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A:\NOOR 2025\1B and Reverse 1B\Reverse 1B Model\Master Exercise\"/>
    </mc:Choice>
  </mc:AlternateContent>
  <xr:revisionPtr revIDLastSave="0" documentId="13_ncr:1_{36669490-8F16-4454-AE86-FE256E04EB7C}" xr6:coauthVersionLast="47" xr6:coauthVersionMax="47" xr10:uidLastSave="{00000000-0000-0000-0000-000000000000}"/>
  <bookViews>
    <workbookView xWindow="-120" yWindow="-120" windowWidth="29040" windowHeight="15840" xr2:uid="{62C90EAF-5D37-43CF-B200-A9FFAAA1675B}"/>
  </bookViews>
  <sheets>
    <sheet name="1A Proforma" sheetId="1" r:id="rId1"/>
  </sheets>
  <externalReferences>
    <externalReference r:id="rId2"/>
  </externalReferences>
  <definedNames>
    <definedName name="_xlnm.Print_Area" localSheetId="0">'1A Proforma'!$C$1:$N$52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4" i="1" l="1"/>
  <c r="N131" i="1"/>
  <c r="M131" i="1"/>
  <c r="L131" i="1"/>
  <c r="F129" i="1"/>
  <c r="G124" i="1"/>
  <c r="F124" i="1"/>
  <c r="G119" i="1"/>
  <c r="L118" i="1"/>
  <c r="G114" i="1"/>
  <c r="F114" i="1"/>
  <c r="I112" i="1"/>
  <c r="I111" i="1"/>
  <c r="I110" i="1"/>
  <c r="I107" i="1"/>
  <c r="L106" i="1"/>
  <c r="K106" i="1"/>
  <c r="F105" i="1"/>
  <c r="I104" i="1"/>
  <c r="I103" i="1"/>
  <c r="I102" i="1"/>
  <c r="I105" i="1" s="1"/>
  <c r="I106" i="1" s="1"/>
  <c r="I101" i="1"/>
  <c r="I100" i="1"/>
  <c r="I99" i="1"/>
  <c r="I96" i="1"/>
  <c r="I95" i="1"/>
  <c r="G95" i="1"/>
  <c r="G111" i="1" s="1"/>
  <c r="I94" i="1"/>
  <c r="G94" i="1"/>
  <c r="G110" i="1" s="1"/>
  <c r="L91" i="1"/>
  <c r="K91" i="1"/>
  <c r="G89" i="1"/>
  <c r="F89" i="1"/>
  <c r="D89" i="1"/>
  <c r="I76" i="1"/>
  <c r="H76" i="1"/>
  <c r="F76" i="1"/>
  <c r="J73" i="1"/>
  <c r="H73" i="1"/>
  <c r="F73" i="1"/>
  <c r="K72" i="1"/>
  <c r="J72" i="1"/>
  <c r="I72" i="1"/>
  <c r="H72" i="1"/>
  <c r="G72" i="1"/>
  <c r="K71" i="1"/>
  <c r="J71" i="1"/>
  <c r="I71" i="1"/>
  <c r="H71" i="1"/>
  <c r="G71" i="1"/>
  <c r="F71" i="1"/>
  <c r="E71" i="1"/>
  <c r="K70" i="1"/>
  <c r="J70" i="1"/>
  <c r="I70" i="1"/>
  <c r="H70" i="1"/>
  <c r="G70" i="1"/>
  <c r="F70" i="1"/>
  <c r="K69" i="1"/>
  <c r="J69" i="1"/>
  <c r="I69" i="1"/>
  <c r="H69" i="1"/>
  <c r="G69" i="1"/>
  <c r="F69" i="1"/>
  <c r="F72" i="1" s="1"/>
  <c r="G63" i="1"/>
  <c r="G38" i="1"/>
  <c r="H35" i="1"/>
  <c r="I35" i="1" s="1"/>
  <c r="H34" i="1"/>
  <c r="I34" i="1" s="1"/>
  <c r="H33" i="1"/>
  <c r="I33" i="1" s="1"/>
  <c r="H32" i="1"/>
  <c r="H31" i="1"/>
  <c r="I31" i="1" s="1"/>
  <c r="K25" i="1"/>
  <c r="K26" i="1" s="1"/>
  <c r="J26" i="1" s="1"/>
  <c r="I21" i="1"/>
  <c r="G21" i="1"/>
  <c r="K20" i="1"/>
  <c r="J20" i="1"/>
  <c r="K17" i="1"/>
  <c r="J17" i="1"/>
  <c r="C11" i="1"/>
  <c r="F9" i="1"/>
  <c r="F12" i="1" s="1"/>
  <c r="E9" i="1"/>
  <c r="H62" i="1" s="1"/>
  <c r="L8" i="1"/>
  <c r="K8" i="1"/>
  <c r="J8" i="1"/>
  <c r="H8" i="1"/>
  <c r="G8" i="1"/>
  <c r="K7" i="1"/>
  <c r="L7" i="1" s="1"/>
  <c r="J7" i="1"/>
  <c r="H7" i="1"/>
  <c r="H9" i="1" s="1"/>
  <c r="G7" i="1"/>
  <c r="K6" i="1"/>
  <c r="L6" i="1" s="1"/>
  <c r="L9" i="1" s="1"/>
  <c r="K16" i="1" s="1"/>
  <c r="J6" i="1"/>
  <c r="H6" i="1"/>
  <c r="G6" i="1"/>
  <c r="G9" i="1" s="1"/>
  <c r="H132" i="1" l="1"/>
  <c r="H87" i="1"/>
  <c r="G125" i="1"/>
  <c r="F120" i="1"/>
  <c r="G115" i="1"/>
  <c r="I88" i="1"/>
  <c r="I86" i="1"/>
  <c r="F35" i="1"/>
  <c r="K35" i="1" s="1"/>
  <c r="F33" i="1"/>
  <c r="K33" i="1" s="1"/>
  <c r="F31" i="1"/>
  <c r="K31" i="1" s="1"/>
  <c r="F21" i="1"/>
  <c r="F125" i="1"/>
  <c r="F115" i="1"/>
  <c r="H88" i="1"/>
  <c r="H86" i="1"/>
  <c r="H89" i="1" s="1"/>
  <c r="H90" i="1" s="1"/>
  <c r="H133" i="1"/>
  <c r="I87" i="1"/>
  <c r="K37" i="1"/>
  <c r="F34" i="1"/>
  <c r="F32" i="1"/>
  <c r="F30" i="1"/>
  <c r="I20" i="1"/>
  <c r="G120" i="1"/>
  <c r="H16" i="1"/>
  <c r="H20" i="1"/>
  <c r="I17" i="1"/>
  <c r="K32" i="1"/>
  <c r="F62" i="1"/>
  <c r="J12" i="1"/>
  <c r="H17" i="1"/>
  <c r="J21" i="1"/>
  <c r="K21" i="1" s="1"/>
  <c r="H21" i="1" s="1"/>
  <c r="K9" i="1"/>
  <c r="J25" i="1"/>
  <c r="K34" i="1"/>
  <c r="J32" i="1" l="1"/>
  <c r="I32" i="1" s="1"/>
  <c r="K22" i="1"/>
  <c r="L122" i="1"/>
  <c r="J35" i="1"/>
  <c r="I89" i="1"/>
  <c r="I90" i="1" s="1"/>
  <c r="I91" i="1" s="1"/>
  <c r="J37" i="1"/>
  <c r="I37" i="1" s="1"/>
  <c r="H37" i="1"/>
  <c r="L129" i="1" s="1"/>
  <c r="J31" i="1"/>
  <c r="J34" i="1"/>
  <c r="L121" i="1"/>
  <c r="L123" i="1" s="1"/>
  <c r="J9" i="1"/>
  <c r="I9" i="1"/>
  <c r="I16" i="1" s="1"/>
  <c r="I22" i="1" s="1"/>
  <c r="J13" i="1"/>
  <c r="J16" i="1"/>
  <c r="J22" i="1" s="1"/>
  <c r="F64" i="1"/>
  <c r="G62" i="1"/>
  <c r="H22" i="1"/>
  <c r="J33" i="1"/>
  <c r="H135" i="1"/>
  <c r="H23" i="1" l="1"/>
  <c r="H27" i="1" s="1"/>
  <c r="K23" i="1"/>
  <c r="J23" i="1" s="1"/>
  <c r="J27" i="1" s="1"/>
  <c r="I23" i="1"/>
  <c r="I27" i="1" s="1"/>
  <c r="F80" i="1"/>
  <c r="G64" i="1"/>
  <c r="F81" i="1" l="1"/>
  <c r="F82" i="1"/>
  <c r="H79" i="1"/>
  <c r="K27" i="1"/>
  <c r="K36" i="1" l="1"/>
  <c r="K38" i="1"/>
  <c r="L119" i="1"/>
  <c r="L32" i="1"/>
  <c r="L37" i="1"/>
  <c r="L34" i="1"/>
  <c r="L35" i="1"/>
  <c r="L31" i="1"/>
  <c r="L33" i="1"/>
  <c r="I135" i="1"/>
  <c r="H80" i="1"/>
  <c r="H30" i="1"/>
  <c r="L38" i="1" l="1"/>
  <c r="H38" i="1"/>
  <c r="J38" i="1"/>
  <c r="I38" i="1" s="1"/>
  <c r="I30" i="1"/>
  <c r="I39" i="1" s="1"/>
  <c r="I41" i="1" s="1"/>
  <c r="K30" i="1"/>
  <c r="J36" i="1"/>
  <c r="I36" i="1" s="1"/>
  <c r="L36" i="1"/>
  <c r="H36" i="1"/>
  <c r="H39" i="1" s="1"/>
  <c r="H41" i="1" s="1"/>
  <c r="J30" i="1" l="1"/>
  <c r="J39" i="1" s="1"/>
  <c r="J41" i="1" s="1"/>
  <c r="L30" i="1"/>
  <c r="K39" i="1"/>
  <c r="L39" i="1" l="1"/>
  <c r="F39" i="1"/>
  <c r="K41" i="1"/>
  <c r="K46" i="1" l="1"/>
  <c r="K47" i="1"/>
  <c r="K45" i="1"/>
  <c r="J45" i="1" l="1"/>
  <c r="I45" i="1"/>
  <c r="J47" i="1"/>
  <c r="I47" i="1"/>
  <c r="J46" i="1"/>
  <c r="I46" i="1"/>
  <c r="G129" i="1" s="1"/>
  <c r="I129" i="1" s="1"/>
  <c r="J12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 Hohol</author>
  </authors>
  <commentList>
    <comment ref="N70" authorId="0" shapeId="0" xr:uid="{5740FD89-6DC3-411F-8D60-8B83CBF33C31}">
      <text>
        <r>
          <rPr>
            <sz val="10"/>
            <color indexed="8"/>
            <rFont val="Arial"/>
            <family val="2"/>
          </rPr>
          <t xml:space="preserve">Fran Hohol:
</t>
        </r>
        <r>
          <rPr>
            <sz val="10"/>
            <color indexed="8"/>
            <rFont val="Arial"/>
            <family val="2"/>
          </rPr>
          <t>Common area chgs for water less than in-suite costs; electricity and gas charges for common area and in-suite are the same.</t>
        </r>
      </text>
    </comment>
  </commentList>
</comments>
</file>

<file path=xl/sharedStrings.xml><?xml version="1.0" encoding="utf-8"?>
<sst xmlns="http://schemas.openxmlformats.org/spreadsheetml/2006/main" count="196" uniqueCount="155">
  <si>
    <t>Estimated Stabilized Value - 2240 Birchmount Road, Scarborough, ON</t>
  </si>
  <si>
    <t>RECOMMENDED RENTAL RATES</t>
  </si>
  <si>
    <t>Unit Mix</t>
  </si>
  <si>
    <t>Unit Type</t>
  </si>
  <si>
    <t>Unit Size (SF)</t>
  </si>
  <si>
    <t>Unit Count</t>
  </si>
  <si>
    <t>Total SF</t>
  </si>
  <si>
    <t>Monthly  Per Unit</t>
  </si>
  <si>
    <t>$/SF</t>
  </si>
  <si>
    <t>Monthly</t>
  </si>
  <si>
    <t>Total Annual</t>
  </si>
  <si>
    <t>1 Bed</t>
  </si>
  <si>
    <t>2 Bed</t>
  </si>
  <si>
    <t>3 Bed</t>
  </si>
  <si>
    <t>TOTAL/AVG.:</t>
  </si>
  <si>
    <t>Total Residential Units:</t>
  </si>
  <si>
    <t>Net Rentable SF (Residential Units):</t>
  </si>
  <si>
    <t>Total Monthly Rent Revenue:</t>
  </si>
  <si>
    <t>ESTIMATED OPERATING REVENUES</t>
  </si>
  <si>
    <t>#Spaces</t>
  </si>
  <si>
    <t>Monthly Fee</t>
  </si>
  <si>
    <t>Annual Per Unit</t>
  </si>
  <si>
    <t>Monthly Per Unit</t>
  </si>
  <si>
    <t>Rent</t>
  </si>
  <si>
    <t>Underground Parking</t>
  </si>
  <si>
    <t>Visitor Parking</t>
  </si>
  <si>
    <t>Retail Parking</t>
  </si>
  <si>
    <t>Storage Lockers</t>
  </si>
  <si>
    <t>Submetering Reimbursement</t>
  </si>
  <si>
    <t>SUB-TOTAL:</t>
  </si>
  <si>
    <t>Vacancies (Rent &amp; Parking)</t>
  </si>
  <si>
    <t>Other Income</t>
  </si>
  <si>
    <t>Rate</t>
  </si>
  <si>
    <t>Net Commercial Retail $/SF</t>
  </si>
  <si>
    <t>Vacancies (Commercial)</t>
  </si>
  <si>
    <t>TOTAL:</t>
  </si>
  <si>
    <t>ESTIMATED OPERATING EXPENSES (INDUSTRY STANDARD)</t>
  </si>
  <si>
    <t>% of Revenue</t>
  </si>
  <si>
    <t>Utilities (Common Area Only)</t>
  </si>
  <si>
    <t>units @</t>
  </si>
  <si>
    <t xml:space="preserve">Repairs &amp; Maintenance </t>
  </si>
  <si>
    <t xml:space="preserve">Staffing </t>
  </si>
  <si>
    <t xml:space="preserve">Insurance </t>
  </si>
  <si>
    <t>Marketing</t>
  </si>
  <si>
    <t>General &amp; Admin</t>
  </si>
  <si>
    <t xml:space="preserve">Management Fee  </t>
  </si>
  <si>
    <t>% of Gross Revenue</t>
  </si>
  <si>
    <t>Property Taxes (Per Municipal Rate)*</t>
  </si>
  <si>
    <t>Reserve for Asset Replacement</t>
  </si>
  <si>
    <t>ESTIMATED NET OPERATING INCOME</t>
  </si>
  <si>
    <t>ESTIMATED VALUATION</t>
  </si>
  <si>
    <t>Residential CAP Rate</t>
  </si>
  <si>
    <t>Est. Market Value Per Unit</t>
  </si>
  <si>
    <t>Est. Market Value Per SF</t>
  </si>
  <si>
    <t xml:space="preserve">Est. Market Value </t>
  </si>
  <si>
    <t>Market Value @</t>
  </si>
  <si>
    <t>The New Multi-Residential Tax Rate for Totoronto in 2025 is 0.754087%</t>
  </si>
  <si>
    <t>Appropriate property tax rate should be confirmed by a specialist. SVN's property tax calculations are estimates only.</t>
  </si>
  <si>
    <t>FOR INTERNAL USE</t>
  </si>
  <si>
    <t>PROFORMA ASSUMPTIONS</t>
  </si>
  <si>
    <t>Utilities</t>
  </si>
  <si>
    <t>Building GFA</t>
  </si>
  <si>
    <t>Avg Unit Size</t>
  </si>
  <si>
    <t>Retail Space</t>
  </si>
  <si>
    <t>Less Residential GFA</t>
  </si>
  <si>
    <t>Amenity Space</t>
  </si>
  <si>
    <t>Common Area GFA</t>
  </si>
  <si>
    <t>Total Annual Utilities</t>
  </si>
  <si>
    <t>Total Common Area $ PSF</t>
  </si>
  <si>
    <t>Total GFA $ PSF</t>
  </si>
  <si>
    <t>Rentable $ PSF</t>
  </si>
  <si>
    <t>MIN</t>
  </si>
  <si>
    <t>MAX</t>
  </si>
  <si>
    <t>Hydro</t>
  </si>
  <si>
    <t>Gas</t>
  </si>
  <si>
    <t>AVG PSF</t>
  </si>
  <si>
    <t>Peter Wyse (March 18, 2025)</t>
  </si>
  <si>
    <t>Gemini AI Estimate for 200 unit apartment in Ontario</t>
  </si>
  <si>
    <t>per unit</t>
  </si>
  <si>
    <t>Lowest</t>
  </si>
  <si>
    <t>Highest</t>
  </si>
  <si>
    <t>AVG PER UNIT</t>
  </si>
  <si>
    <t>Input Estimate $ PSF Common Area</t>
  </si>
  <si>
    <t>Subject PSF Common Area</t>
  </si>
  <si>
    <t>Subject Per Unit (Rounded) Input for Proforma</t>
  </si>
  <si>
    <t>Subject Total Utilities</t>
  </si>
  <si>
    <t>Subject $ Gross SF</t>
  </si>
  <si>
    <t>Subject $ Rentable SF</t>
  </si>
  <si>
    <t>REPAIRS &amp; MAINTENANCE COSTS</t>
  </si>
  <si>
    <t>Per Unit Per Month</t>
  </si>
  <si>
    <t>Annual Cost</t>
  </si>
  <si>
    <t xml:space="preserve">Trash &amp; Recycling </t>
  </si>
  <si>
    <t>Pest Control</t>
  </si>
  <si>
    <t xml:space="preserve">Cleaning and Maintenance </t>
  </si>
  <si>
    <t>R&amp;M</t>
  </si>
  <si>
    <t>Per Unit Cost</t>
  </si>
  <si>
    <t>Low</t>
  </si>
  <si>
    <t>High</t>
  </si>
  <si>
    <t>AVG Per Unit</t>
  </si>
  <si>
    <t>ROUNDED</t>
  </si>
  <si>
    <t>CMHC R&amp;M Benchmarks</t>
  </si>
  <si>
    <t>ADJUST BASED ON TYPE/LOCATION</t>
  </si>
  <si>
    <t>CMHC Benchmark (inflated to 2025)</t>
  </si>
  <si>
    <t>CMHC Update (Concrete)</t>
  </si>
  <si>
    <t>STAFFING</t>
  </si>
  <si>
    <t># Positions</t>
  </si>
  <si>
    <t>Rate/Hr</t>
  </si>
  <si>
    <t>Annual Hrs</t>
  </si>
  <si>
    <t>Total</t>
  </si>
  <si>
    <t>Security</t>
  </si>
  <si>
    <t>Includes 25% benefits</t>
  </si>
  <si>
    <t>Maintenance</t>
  </si>
  <si>
    <t>Cleaning</t>
  </si>
  <si>
    <t>Concierge/Programming</t>
  </si>
  <si>
    <t>Building Mgr</t>
  </si>
  <si>
    <t>Leasing</t>
  </si>
  <si>
    <t>Staffing</t>
  </si>
  <si>
    <t>TOTAL PAYROLL</t>
  </si>
  <si>
    <t>SVN</t>
  </si>
  <si>
    <t>Per Unit</t>
  </si>
  <si>
    <t>Staffing Cost Per Unit</t>
  </si>
  <si>
    <t>CMHC Staffing Benchmarks</t>
  </si>
  <si>
    <t>Use SVN - may include Mgmt staff</t>
  </si>
  <si>
    <t>INSURANCE</t>
  </si>
  <si>
    <t>Total Cost</t>
  </si>
  <si>
    <t>AVG Cost</t>
  </si>
  <si>
    <t>Compare Marketing and Other Misc Costs to:</t>
  </si>
  <si>
    <t>MARKETING</t>
  </si>
  <si>
    <t>OTHER COSTS (CMHC Benchmark)</t>
  </si>
  <si>
    <t>CMHC</t>
  </si>
  <si>
    <t>GENERAL &amp; ADMIN</t>
  </si>
  <si>
    <t>PROPERTY TAX ASSUMPTIONS</t>
  </si>
  <si>
    <t>Est Value per Unit</t>
  </si>
  <si>
    <t>% Value for Property Tax Assumption</t>
  </si>
  <si>
    <t>Input # into Model</t>
  </si>
  <si>
    <t>AVG</t>
  </si>
  <si>
    <t>RESERVE FOR ASSET REPLACEMENT</t>
  </si>
  <si>
    <t xml:space="preserve"># </t>
  </si>
  <si>
    <t>Annual</t>
  </si>
  <si>
    <t>(Old and New properties)</t>
  </si>
  <si>
    <t>Appliance</t>
  </si>
  <si>
    <t>Based on Gemini (200 units, ON)</t>
  </si>
  <si>
    <t>Heat Pump</t>
  </si>
  <si>
    <t>Elevator</t>
  </si>
  <si>
    <t>Elite Developments</t>
  </si>
  <si>
    <t>Per unit</t>
  </si>
  <si>
    <t>Comparisons by Ryan Tax</t>
  </si>
  <si>
    <t>148 Niagara St., St. Catherines</t>
  </si>
  <si>
    <t>Rounded</t>
  </si>
  <si>
    <t>Fourth Avenue, St. Catharines</t>
  </si>
  <si>
    <t>Rymal, Hamilton</t>
  </si>
  <si>
    <t>570 Upper, Hamilton</t>
  </si>
  <si>
    <t>60 Market, Brantford</t>
  </si>
  <si>
    <t>120 Meridan, Pelham</t>
  </si>
  <si>
    <t>Islington, Vaughan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</si>
</sst>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4" formatCode="_-&quot;$&quot;* #,##0.00_-;\-&quot;$&quot;* #,##0.00_-;_-&quot;$&quot;* &quot;-&quot;??_-;_-@_-"/>
    <numFmt numFmtId="164" formatCode="_-&quot;$&quot;* #,##0_-;\-&quot;$&quot;* #,##0_-;_-&quot;$&quot;* &quot;-&quot;??_-;_-@_-"/>
    <numFmt numFmtId="165" formatCode="_(* #,##0_);_(* \(#,##0\);_(* &quot;-&quot;??_);_(@_)"/>
    <numFmt numFmtId="166" formatCode="_(* #,##0.00_);_(* \(#,##0.00\);_(* &quot;-&quot;??_);_(@_)"/>
    <numFmt numFmtId="167" formatCode="_(&quot;$&quot;* #,##0.00_);_(&quot;$&quot;* \(#,##0.00\);_(&quot;$&quot;* &quot;-&quot;??_);_(@_)"/>
    <numFmt numFmtId="168" formatCode="&quot;$&quot;#,##0"/>
    <numFmt numFmtId="169" formatCode="&quot;$&quot;#,##0.00"/>
    <numFmt numFmtId="170" formatCode="_-&quot;$&quot;* #,##0.0000_-;\-&quot;$&quot;* #,##0.0000_-;_-&quot;$&quot;* &quot;-&quot;??_-;_-@_-"/>
    <numFmt numFmtId="171" formatCode="&quot;$&quot;#,##0_);[Red]\(&quot;$&quot;#,##0\)"/>
    <numFmt numFmtId="172" formatCode="_-[$$-1009]* #,##0.00_-;\-[$$-1009]* #,##0.00_-;_-[$$-1009]* &quot;-&quot;??_-;_-@_-"/>
    <numFmt numFmtId="173" formatCode="0.0%"/>
    <numFmt numFmtId="174" formatCode="0.000000%"/>
    <numFmt numFmtId="175" formatCode="_-[$$-409]* #,##0.00_ ;_-[$$-409]* \-#,##0.00\ ;_-[$$-409]* &quot;-&quot;_ ;_-@_ "/>
    <numFmt numFmtId="176" formatCode="&quot;$&quot;#,##0.00_);[Red]\(&quot;$&quot;#,##0.00\)"/>
    <numFmt numFmtId="177" formatCode="_(&quot;$&quot;* #,##0_);_(&quot;$&quot;* \(#,##0\);_(&quot;$&quot;* &quot;-&quot;??_);_(@_)"/>
  </numFmts>
  <fonts count="43" x14ac:knownFonts="1">
    <font>
      <sz val="10"/>
      <name val="Arial"/>
    </font>
    <font>
      <sz val="10"/>
      <name val="Arial"/>
      <family val="2"/>
    </font>
    <font>
      <sz val="10"/>
      <name val="Open Sans"/>
      <family val="2"/>
      <charset val="1"/>
    </font>
    <font>
      <sz val="11"/>
      <name val="Open Sans"/>
      <family val="2"/>
      <charset val="1"/>
    </font>
    <font>
      <b/>
      <sz val="24"/>
      <color theme="1"/>
      <name val="Open Sans"/>
      <family val="2"/>
      <charset val="1"/>
    </font>
    <font>
      <b/>
      <sz val="11"/>
      <name val="Open Sans"/>
      <family val="2"/>
      <charset val="1"/>
    </font>
    <font>
      <b/>
      <sz val="13"/>
      <name val="Open Sans"/>
      <family val="2"/>
      <charset val="1"/>
    </font>
    <font>
      <sz val="10"/>
      <color theme="0"/>
      <name val="Open Sans"/>
      <family val="2"/>
      <charset val="1"/>
    </font>
    <font>
      <sz val="10"/>
      <name val="Arial"/>
    </font>
    <font>
      <sz val="12"/>
      <color theme="1"/>
      <name val="Open Sans"/>
      <family val="2"/>
      <charset val="1"/>
    </font>
    <font>
      <sz val="12"/>
      <name val="Open Sans"/>
      <family val="2"/>
      <charset val="1"/>
    </font>
    <font>
      <b/>
      <sz val="12"/>
      <name val="Open Sans"/>
      <family val="2"/>
      <charset val="1"/>
    </font>
    <font>
      <sz val="13"/>
      <name val="Open Sans"/>
      <family val="2"/>
      <charset val="1"/>
    </font>
    <font>
      <i/>
      <sz val="13"/>
      <name val="Open Sans"/>
      <family val="2"/>
      <charset val="1"/>
    </font>
    <font>
      <sz val="13"/>
      <color theme="1"/>
      <name val="Open Sans"/>
      <family val="2"/>
      <charset val="1"/>
    </font>
    <font>
      <b/>
      <sz val="13"/>
      <color theme="1"/>
      <name val="Open Sans"/>
      <family val="2"/>
      <charset val="1"/>
    </font>
    <font>
      <sz val="13"/>
      <color rgb="FFFF0000"/>
      <name val="Open Sans"/>
      <family val="2"/>
      <charset val="1"/>
    </font>
    <font>
      <b/>
      <sz val="24"/>
      <name val="Open Sans"/>
      <family val="2"/>
      <charset val="1"/>
    </font>
    <font>
      <b/>
      <sz val="10"/>
      <name val="Open Sans"/>
      <family val="2"/>
      <charset val="1"/>
    </font>
    <font>
      <b/>
      <sz val="10"/>
      <color theme="0"/>
      <name val="Open Sans"/>
      <family val="2"/>
      <charset val="1"/>
    </font>
    <font>
      <sz val="10"/>
      <color theme="1"/>
      <name val="Open Sans"/>
      <family val="2"/>
      <charset val="1"/>
    </font>
    <font>
      <sz val="10"/>
      <color theme="4" tint="-0.249977111117893"/>
      <name val="Open Sans"/>
      <family val="2"/>
      <charset val="1"/>
    </font>
    <font>
      <b/>
      <sz val="13"/>
      <color rgb="FFFF0000"/>
      <name val="Open Sans"/>
      <family val="2"/>
      <charset val="1"/>
    </font>
    <font>
      <sz val="16"/>
      <name val="Open Sans"/>
      <family val="2"/>
      <charset val="1"/>
    </font>
    <font>
      <sz val="12"/>
      <color theme="4" tint="-0.249977111117893"/>
      <name val="Open Sans"/>
      <family val="2"/>
      <charset val="1"/>
    </font>
    <font>
      <sz val="9"/>
      <name val="Open Sans"/>
      <family val="2"/>
      <charset val="1"/>
    </font>
    <font>
      <b/>
      <sz val="14"/>
      <name val="Open Sans"/>
      <family val="2"/>
      <charset val="1"/>
    </font>
    <font>
      <b/>
      <sz val="10"/>
      <color rgb="FF0070C0"/>
      <name val="Open Sans"/>
      <family val="2"/>
      <charset val="1"/>
    </font>
    <font>
      <b/>
      <u/>
      <sz val="10"/>
      <color theme="4" tint="-0.249977111117893"/>
      <name val="Open Sans"/>
      <family val="2"/>
      <charset val="1"/>
    </font>
    <font>
      <i/>
      <sz val="10"/>
      <name val="Open Sans"/>
      <family val="2"/>
      <charset val="1"/>
    </font>
    <font>
      <b/>
      <sz val="10"/>
      <color rgb="FFFF0000"/>
      <name val="Open Sans"/>
      <family val="2"/>
      <charset val="1"/>
    </font>
    <font>
      <b/>
      <i/>
      <sz val="10"/>
      <color rgb="FFFF0000"/>
      <name val="Open Sans"/>
      <family val="2"/>
      <charset val="1"/>
    </font>
    <font>
      <b/>
      <sz val="10"/>
      <color theme="1"/>
      <name val="Open Sans"/>
      <family val="2"/>
      <charset val="1"/>
    </font>
    <font>
      <b/>
      <sz val="9"/>
      <color theme="1"/>
      <name val="Open Sans"/>
      <family val="2"/>
      <charset val="1"/>
    </font>
    <font>
      <b/>
      <sz val="9"/>
      <name val="Open Sans"/>
      <family val="2"/>
      <charset val="1"/>
    </font>
    <font>
      <b/>
      <sz val="10"/>
      <color theme="4" tint="-0.249977111117893"/>
      <name val="Open Sans"/>
      <family val="2"/>
      <charset val="1"/>
    </font>
    <font>
      <b/>
      <sz val="11"/>
      <color rgb="FFFF0000"/>
      <name val="Open Sans"/>
      <family val="2"/>
      <charset val="1"/>
    </font>
    <font>
      <b/>
      <sz val="10"/>
      <color theme="8"/>
      <name val="Open Sans"/>
      <family val="2"/>
      <charset val="1"/>
    </font>
    <font>
      <sz val="10"/>
      <color rgb="FFFF0000"/>
      <name val="Open Sans"/>
      <family val="2"/>
      <charset val="1"/>
    </font>
    <font>
      <b/>
      <sz val="9"/>
      <color theme="0"/>
      <name val="Open Sans"/>
      <family val="2"/>
      <charset val="1"/>
    </font>
    <font>
      <b/>
      <sz val="10"/>
      <color theme="4"/>
      <name val="Open Sans"/>
      <family val="2"/>
      <charset val="1"/>
    </font>
    <font>
      <u/>
      <sz val="10"/>
      <name val="Open Sans"/>
      <family val="2"/>
      <charset val="1"/>
    </font>
    <font>
      <sz val="10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166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344">
    <xf numFmtId="0" fontId="0" fillId="0" borderId="0" xfId="0"/>
    <xf numFmtId="0" fontId="2" fillId="2" borderId="0" xfId="4" applyFont="1" applyFill="1" applyAlignment="1">
      <alignment vertical="center"/>
    </xf>
    <xf numFmtId="0" fontId="3" fillId="2" borderId="0" xfId="4" applyFont="1" applyFill="1" applyAlignment="1">
      <alignment vertical="center"/>
    </xf>
    <xf numFmtId="0" fontId="3" fillId="2" borderId="0" xfId="4" applyFont="1" applyFill="1" applyAlignment="1">
      <alignment horizontal="center" vertical="center"/>
    </xf>
    <xf numFmtId="164" fontId="3" fillId="2" borderId="0" xfId="5" applyNumberFormat="1" applyFont="1" applyFill="1" applyAlignment="1">
      <alignment horizontal="center" vertical="center"/>
    </xf>
    <xf numFmtId="164" fontId="3" fillId="2" borderId="0" xfId="5" applyNumberFormat="1" applyFont="1" applyFill="1" applyAlignment="1">
      <alignment vertical="center"/>
    </xf>
    <xf numFmtId="0" fontId="2" fillId="0" borderId="0" xfId="4" applyFont="1" applyAlignment="1">
      <alignment vertical="center"/>
    </xf>
    <xf numFmtId="0" fontId="5" fillId="2" borderId="0" xfId="4" applyFont="1" applyFill="1" applyAlignment="1">
      <alignment vertical="center"/>
    </xf>
    <xf numFmtId="0" fontId="6" fillId="3" borderId="1" xfId="4" applyFont="1" applyFill="1" applyBorder="1" applyAlignment="1">
      <alignment vertical="center"/>
    </xf>
    <xf numFmtId="0" fontId="6" fillId="3" borderId="1" xfId="4" applyFont="1" applyFill="1" applyBorder="1" applyAlignment="1">
      <alignment horizontal="center" vertical="center"/>
    </xf>
    <xf numFmtId="0" fontId="6" fillId="3" borderId="2" xfId="4" applyFont="1" applyFill="1" applyBorder="1" applyAlignment="1">
      <alignment horizontal="center" vertical="center"/>
    </xf>
    <xf numFmtId="164" fontId="6" fillId="3" borderId="2" xfId="5" applyNumberFormat="1" applyFont="1" applyFill="1" applyBorder="1" applyAlignment="1">
      <alignment horizontal="center" vertical="center"/>
    </xf>
    <xf numFmtId="164" fontId="6" fillId="3" borderId="2" xfId="5" applyNumberFormat="1" applyFont="1" applyFill="1" applyBorder="1" applyAlignment="1">
      <alignment vertical="center"/>
    </xf>
    <xf numFmtId="164" fontId="6" fillId="3" borderId="3" xfId="5" applyNumberFormat="1" applyFont="1" applyFill="1" applyBorder="1" applyAlignment="1">
      <alignment vertical="center"/>
    </xf>
    <xf numFmtId="0" fontId="6" fillId="3" borderId="4" xfId="4" applyFont="1" applyFill="1" applyBorder="1" applyAlignment="1">
      <alignment horizontal="left" vertical="center"/>
    </xf>
    <xf numFmtId="0" fontId="6" fillId="3" borderId="4" xfId="4" applyFont="1" applyFill="1" applyBorder="1" applyAlignment="1">
      <alignment horizontal="center" vertical="center"/>
    </xf>
    <xf numFmtId="0" fontId="6" fillId="3" borderId="5" xfId="4" applyFont="1" applyFill="1" applyBorder="1" applyAlignment="1">
      <alignment horizontal="center" vertical="center"/>
    </xf>
    <xf numFmtId="164" fontId="6" fillId="3" borderId="5" xfId="5" applyNumberFormat="1" applyFont="1" applyFill="1" applyBorder="1" applyAlignment="1">
      <alignment horizontal="center" vertical="center"/>
    </xf>
    <xf numFmtId="164" fontId="6" fillId="3" borderId="5" xfId="5" applyNumberFormat="1" applyFont="1" applyFill="1" applyBorder="1" applyAlignment="1">
      <alignment horizontal="left" vertical="top" wrapText="1"/>
    </xf>
    <xf numFmtId="164" fontId="6" fillId="3" borderId="5" xfId="5" applyNumberFormat="1" applyFont="1" applyFill="1" applyBorder="1" applyAlignment="1">
      <alignment horizontal="right" vertical="center"/>
    </xf>
    <xf numFmtId="164" fontId="6" fillId="3" borderId="6" xfId="5" applyNumberFormat="1" applyFont="1" applyFill="1" applyBorder="1" applyAlignment="1">
      <alignment horizontal="right" vertical="center"/>
    </xf>
    <xf numFmtId="9" fontId="2" fillId="0" borderId="0" xfId="4" applyNumberFormat="1" applyFont="1" applyAlignment="1">
      <alignment vertical="center"/>
    </xf>
    <xf numFmtId="165" fontId="7" fillId="2" borderId="0" xfId="4" applyNumberFormat="1" applyFont="1" applyFill="1" applyAlignment="1">
      <alignment vertical="center"/>
    </xf>
    <xf numFmtId="0" fontId="9" fillId="2" borderId="7" xfId="0" applyFont="1" applyFill="1" applyBorder="1"/>
    <xf numFmtId="3" fontId="9" fillId="2" borderId="7" xfId="0" applyNumberFormat="1" applyFont="1" applyFill="1" applyBorder="1" applyAlignment="1">
      <alignment horizontal="center"/>
    </xf>
    <xf numFmtId="1" fontId="9" fillId="2" borderId="0" xfId="0" applyNumberFormat="1" applyFont="1" applyFill="1" applyAlignment="1">
      <alignment horizontal="center"/>
    </xf>
    <xf numFmtId="9" fontId="9" fillId="2" borderId="0" xfId="3" applyFont="1" applyFill="1" applyBorder="1" applyAlignment="1">
      <alignment horizontal="center"/>
    </xf>
    <xf numFmtId="3" fontId="9" fillId="2" borderId="0" xfId="1" applyNumberFormat="1" applyFont="1" applyFill="1" applyBorder="1" applyAlignment="1">
      <alignment horizontal="center" vertical="center"/>
    </xf>
    <xf numFmtId="168" fontId="9" fillId="2" borderId="0" xfId="2" applyNumberFormat="1" applyFont="1" applyFill="1" applyBorder="1" applyAlignment="1">
      <alignment horizontal="right" vertical="center"/>
    </xf>
    <xf numFmtId="169" fontId="10" fillId="2" borderId="0" xfId="4" applyNumberFormat="1" applyFont="1" applyFill="1" applyAlignment="1">
      <alignment horizontal="right" vertical="center"/>
    </xf>
    <xf numFmtId="168" fontId="10" fillId="2" borderId="0" xfId="5" applyNumberFormat="1" applyFont="1" applyFill="1" applyBorder="1" applyAlignment="1">
      <alignment horizontal="right" vertical="center"/>
    </xf>
    <xf numFmtId="168" fontId="10" fillId="2" borderId="8" xfId="5" applyNumberFormat="1" applyFont="1" applyFill="1" applyBorder="1" applyAlignment="1">
      <alignment horizontal="right" vertical="center"/>
    </xf>
    <xf numFmtId="0" fontId="11" fillId="2" borderId="9" xfId="4" applyFont="1" applyFill="1" applyBorder="1" applyAlignment="1">
      <alignment vertical="center"/>
    </xf>
    <xf numFmtId="3" fontId="11" fillId="2" borderId="10" xfId="4" applyNumberFormat="1" applyFont="1" applyFill="1" applyBorder="1" applyAlignment="1">
      <alignment horizontal="center" vertical="center"/>
    </xf>
    <xf numFmtId="1" fontId="11" fillId="2" borderId="10" xfId="4" applyNumberFormat="1" applyFont="1" applyFill="1" applyBorder="1" applyAlignment="1">
      <alignment horizontal="center" vertical="center"/>
    </xf>
    <xf numFmtId="9" fontId="11" fillId="2" borderId="10" xfId="3" applyFont="1" applyFill="1" applyBorder="1" applyAlignment="1">
      <alignment horizontal="center" vertical="center"/>
    </xf>
    <xf numFmtId="168" fontId="11" fillId="2" borderId="10" xfId="2" applyNumberFormat="1" applyFont="1" applyFill="1" applyBorder="1" applyAlignment="1">
      <alignment horizontal="right" vertical="center"/>
    </xf>
    <xf numFmtId="169" fontId="11" fillId="2" borderId="10" xfId="2" applyNumberFormat="1" applyFont="1" applyFill="1" applyBorder="1" applyAlignment="1">
      <alignment horizontal="right" vertical="center"/>
    </xf>
    <xf numFmtId="168" fontId="11" fillId="2" borderId="11" xfId="2" applyNumberFormat="1" applyFont="1" applyFill="1" applyBorder="1" applyAlignment="1">
      <alignment horizontal="right" vertical="center"/>
    </xf>
    <xf numFmtId="3" fontId="2" fillId="0" borderId="0" xfId="4" applyNumberFormat="1" applyFont="1" applyAlignment="1">
      <alignment vertical="center"/>
    </xf>
    <xf numFmtId="0" fontId="12" fillId="2" borderId="0" xfId="4" applyFont="1" applyFill="1" applyAlignment="1">
      <alignment vertical="center"/>
    </xf>
    <xf numFmtId="0" fontId="2" fillId="2" borderId="0" xfId="4" applyFont="1" applyFill="1" applyAlignment="1">
      <alignment horizontal="center" vertical="center"/>
    </xf>
    <xf numFmtId="164" fontId="2" fillId="2" borderId="0" xfId="5" applyNumberFormat="1" applyFont="1" applyFill="1" applyAlignment="1">
      <alignment horizontal="center" vertical="center"/>
    </xf>
    <xf numFmtId="164" fontId="2" fillId="2" borderId="0" xfId="5" applyNumberFormat="1" applyFont="1" applyFill="1" applyAlignment="1">
      <alignment vertical="center"/>
    </xf>
    <xf numFmtId="0" fontId="12" fillId="2" borderId="0" xfId="4" applyFont="1" applyFill="1" applyAlignment="1">
      <alignment horizontal="center" vertical="center"/>
    </xf>
    <xf numFmtId="164" fontId="12" fillId="2" borderId="0" xfId="5" applyNumberFormat="1" applyFont="1" applyFill="1" applyAlignment="1">
      <alignment horizontal="center" vertical="center"/>
    </xf>
    <xf numFmtId="164" fontId="12" fillId="2" borderId="0" xfId="5" applyNumberFormat="1" applyFont="1" applyFill="1" applyAlignment="1">
      <alignment vertical="center"/>
    </xf>
    <xf numFmtId="170" fontId="12" fillId="2" borderId="0" xfId="5" applyNumberFormat="1" applyFont="1" applyFill="1" applyAlignment="1">
      <alignment vertical="center"/>
    </xf>
    <xf numFmtId="167" fontId="2" fillId="2" borderId="0" xfId="4" applyNumberFormat="1" applyFont="1" applyFill="1" applyAlignment="1">
      <alignment vertical="center"/>
    </xf>
    <xf numFmtId="0" fontId="6" fillId="2" borderId="0" xfId="4" applyFont="1" applyFill="1" applyAlignment="1">
      <alignment horizontal="right" vertical="center"/>
    </xf>
    <xf numFmtId="3" fontId="6" fillId="2" borderId="12" xfId="4" applyNumberFormat="1" applyFont="1" applyFill="1" applyBorder="1" applyAlignment="1">
      <alignment horizontal="center" vertical="center"/>
    </xf>
    <xf numFmtId="0" fontId="13" fillId="2" borderId="0" xfId="4" applyFont="1" applyFill="1" applyAlignment="1">
      <alignment horizontal="left" vertical="center"/>
    </xf>
    <xf numFmtId="3" fontId="6" fillId="2" borderId="12" xfId="4" applyNumberFormat="1" applyFont="1" applyFill="1" applyBorder="1" applyAlignment="1">
      <alignment horizontal="right" vertical="center"/>
    </xf>
    <xf numFmtId="3" fontId="6" fillId="2" borderId="0" xfId="4" applyNumberFormat="1" applyFont="1" applyFill="1" applyAlignment="1">
      <alignment horizontal="center" vertical="center"/>
    </xf>
    <xf numFmtId="168" fontId="6" fillId="2" borderId="12" xfId="2" applyNumberFormat="1" applyFont="1" applyFill="1" applyBorder="1" applyAlignment="1">
      <alignment horizontal="right" vertical="center"/>
    </xf>
    <xf numFmtId="0" fontId="6" fillId="3" borderId="0" xfId="4" applyFont="1" applyFill="1" applyAlignment="1">
      <alignment vertical="center"/>
    </xf>
    <xf numFmtId="0" fontId="6" fillId="3" borderId="0" xfId="4" applyFont="1" applyFill="1" applyAlignment="1">
      <alignment horizontal="center" vertical="center"/>
    </xf>
    <xf numFmtId="0" fontId="6" fillId="3" borderId="0" xfId="4" applyFont="1" applyFill="1" applyAlignment="1">
      <alignment horizontal="right" vertical="center"/>
    </xf>
    <xf numFmtId="164" fontId="6" fillId="3" borderId="0" xfId="5" applyNumberFormat="1" applyFont="1" applyFill="1" applyAlignment="1">
      <alignment horizontal="right" vertical="center"/>
    </xf>
    <xf numFmtId="1" fontId="6" fillId="2" borderId="0" xfId="4" applyNumberFormat="1" applyFont="1" applyFill="1" applyAlignment="1">
      <alignment vertical="center"/>
    </xf>
    <xf numFmtId="0" fontId="12" fillId="2" borderId="0" xfId="4" applyFont="1" applyFill="1" applyAlignment="1">
      <alignment horizontal="right" vertical="center"/>
    </xf>
    <xf numFmtId="168" fontId="12" fillId="2" borderId="0" xfId="2" applyNumberFormat="1" applyFont="1" applyFill="1" applyAlignment="1">
      <alignment horizontal="right" vertical="center"/>
    </xf>
    <xf numFmtId="168" fontId="12" fillId="2" borderId="0" xfId="5" applyNumberFormat="1" applyFont="1" applyFill="1" applyAlignment="1">
      <alignment horizontal="right" vertical="center"/>
    </xf>
    <xf numFmtId="1" fontId="14" fillId="2" borderId="0" xfId="4" applyNumberFormat="1" applyFont="1" applyFill="1" applyAlignment="1">
      <alignment horizontal="center" vertical="center"/>
    </xf>
    <xf numFmtId="171" fontId="14" fillId="2" borderId="0" xfId="4" applyNumberFormat="1" applyFont="1" applyFill="1" applyAlignment="1">
      <alignment horizontal="center" vertical="center"/>
    </xf>
    <xf numFmtId="171" fontId="2" fillId="2" borderId="0" xfId="4" applyNumberFormat="1" applyFont="1" applyFill="1" applyAlignment="1">
      <alignment vertical="center"/>
    </xf>
    <xf numFmtId="172" fontId="2" fillId="0" borderId="0" xfId="4" applyNumberFormat="1" applyFont="1" applyAlignment="1">
      <alignment vertical="center"/>
    </xf>
    <xf numFmtId="0" fontId="6" fillId="2" borderId="0" xfId="4" applyFont="1" applyFill="1" applyAlignment="1">
      <alignment horizontal="left" vertical="center"/>
    </xf>
    <xf numFmtId="0" fontId="15" fillId="2" borderId="0" xfId="4" applyFont="1" applyFill="1" applyAlignment="1">
      <alignment horizontal="center" vertical="center"/>
    </xf>
    <xf numFmtId="168" fontId="6" fillId="2" borderId="0" xfId="5" applyNumberFormat="1" applyFont="1" applyFill="1" applyAlignment="1">
      <alignment horizontal="right" vertical="center"/>
    </xf>
    <xf numFmtId="173" fontId="14" fillId="2" borderId="0" xfId="3" applyNumberFormat="1" applyFont="1" applyFill="1" applyAlignment="1">
      <alignment horizontal="center" vertical="center"/>
    </xf>
    <xf numFmtId="0" fontId="14" fillId="2" borderId="0" xfId="4" applyFont="1" applyFill="1" applyAlignment="1">
      <alignment horizontal="left" vertical="center"/>
    </xf>
    <xf numFmtId="168" fontId="16" fillId="2" borderId="0" xfId="5" applyNumberFormat="1" applyFont="1" applyFill="1" applyAlignment="1">
      <alignment horizontal="right" vertical="center"/>
    </xf>
    <xf numFmtId="3" fontId="14" fillId="2" borderId="0" xfId="4" applyNumberFormat="1" applyFont="1" applyFill="1" applyAlignment="1">
      <alignment horizontal="center" vertical="center"/>
    </xf>
    <xf numFmtId="168" fontId="14" fillId="2" borderId="0" xfId="5" applyNumberFormat="1" applyFont="1" applyFill="1" applyAlignment="1">
      <alignment horizontal="right" vertical="center"/>
    </xf>
    <xf numFmtId="0" fontId="6" fillId="2" borderId="0" xfId="4" applyFont="1" applyFill="1" applyAlignment="1">
      <alignment vertical="center"/>
    </xf>
    <xf numFmtId="10" fontId="6" fillId="2" borderId="0" xfId="3" applyNumberFormat="1" applyFont="1" applyFill="1" applyAlignment="1">
      <alignment horizontal="center" vertical="center"/>
    </xf>
    <xf numFmtId="0" fontId="6" fillId="2" borderId="0" xfId="4" applyFont="1" applyFill="1" applyAlignment="1">
      <alignment horizontal="center" vertical="center"/>
    </xf>
    <xf numFmtId="167" fontId="17" fillId="2" borderId="0" xfId="4" applyNumberFormat="1" applyFont="1" applyFill="1" applyAlignment="1">
      <alignment vertical="center"/>
    </xf>
    <xf numFmtId="167" fontId="6" fillId="2" borderId="0" xfId="4" applyNumberFormat="1" applyFont="1" applyFill="1" applyAlignment="1">
      <alignment horizontal="right" vertical="center"/>
    </xf>
    <xf numFmtId="167" fontId="6" fillId="3" borderId="0" xfId="5" applyNumberFormat="1" applyFont="1" applyFill="1" applyAlignment="1">
      <alignment horizontal="right" vertical="center"/>
    </xf>
    <xf numFmtId="167" fontId="6" fillId="3" borderId="0" xfId="5" applyNumberFormat="1" applyFont="1" applyFill="1" applyAlignment="1">
      <alignment vertical="center"/>
    </xf>
    <xf numFmtId="0" fontId="18" fillId="2" borderId="0" xfId="4" applyFont="1" applyFill="1" applyAlignment="1">
      <alignment vertical="center"/>
    </xf>
    <xf numFmtId="1" fontId="12" fillId="2" borderId="0" xfId="4" applyNumberFormat="1" applyFont="1" applyFill="1" applyAlignment="1">
      <alignment horizontal="center" vertical="center"/>
    </xf>
    <xf numFmtId="173" fontId="12" fillId="2" borderId="0" xfId="3" applyNumberFormat="1" applyFont="1" applyFill="1" applyAlignment="1">
      <alignment horizontal="right" vertical="center"/>
    </xf>
    <xf numFmtId="171" fontId="2" fillId="2" borderId="0" xfId="4" applyNumberFormat="1" applyFont="1" applyFill="1" applyAlignment="1">
      <alignment horizontal="center" vertical="center"/>
    </xf>
    <xf numFmtId="0" fontId="12" fillId="2" borderId="0" xfId="4" applyFont="1" applyFill="1" applyAlignment="1">
      <alignment vertical="center" wrapText="1"/>
    </xf>
    <xf numFmtId="168" fontId="12" fillId="0" borderId="0" xfId="2" applyNumberFormat="1" applyFont="1" applyFill="1" applyAlignment="1">
      <alignment horizontal="right" vertical="center"/>
    </xf>
    <xf numFmtId="0" fontId="10" fillId="0" borderId="0" xfId="4" applyFont="1" applyAlignment="1">
      <alignment vertical="center"/>
    </xf>
    <xf numFmtId="0" fontId="10" fillId="2" borderId="0" xfId="4" applyFont="1" applyFill="1" applyAlignment="1">
      <alignment vertical="center"/>
    </xf>
    <xf numFmtId="10" fontId="14" fillId="2" borderId="0" xfId="3" applyNumberFormat="1" applyFont="1" applyFill="1" applyAlignment="1">
      <alignment horizontal="center" vertical="center"/>
    </xf>
    <xf numFmtId="0" fontId="18" fillId="0" borderId="0" xfId="4" applyFont="1" applyAlignment="1">
      <alignment vertical="center"/>
    </xf>
    <xf numFmtId="0" fontId="19" fillId="2" borderId="0" xfId="4" applyFont="1" applyFill="1" applyAlignment="1">
      <alignment vertical="center"/>
    </xf>
    <xf numFmtId="174" fontId="20" fillId="4" borderId="0" xfId="3" applyNumberFormat="1" applyFont="1" applyFill="1" applyAlignment="1">
      <alignment horizontal="center" vertical="center" wrapText="1"/>
    </xf>
    <xf numFmtId="168" fontId="14" fillId="2" borderId="0" xfId="2" applyNumberFormat="1" applyFont="1" applyFill="1" applyAlignment="1">
      <alignment horizontal="center" vertical="center"/>
    </xf>
    <xf numFmtId="0" fontId="12" fillId="0" borderId="0" xfId="4" applyFont="1" applyAlignment="1">
      <alignment vertical="center"/>
    </xf>
    <xf numFmtId="174" fontId="21" fillId="4" borderId="0" xfId="3" applyNumberFormat="1" applyFont="1" applyFill="1" applyAlignment="1">
      <alignment horizontal="center" vertical="center" wrapText="1"/>
    </xf>
    <xf numFmtId="10" fontId="12" fillId="2" borderId="0" xfId="3" applyNumberFormat="1" applyFont="1" applyFill="1" applyAlignment="1">
      <alignment horizontal="center" vertical="center"/>
    </xf>
    <xf numFmtId="173" fontId="6" fillId="2" borderId="0" xfId="3" applyNumberFormat="1" applyFont="1" applyFill="1" applyAlignment="1">
      <alignment horizontal="center" vertical="center"/>
    </xf>
    <xf numFmtId="168" fontId="6" fillId="2" borderId="0" xfId="4" applyNumberFormat="1" applyFont="1" applyFill="1" applyAlignment="1">
      <alignment horizontal="right" vertical="center"/>
    </xf>
    <xf numFmtId="173" fontId="6" fillId="2" borderId="0" xfId="3" applyNumberFormat="1" applyFont="1" applyFill="1" applyAlignment="1">
      <alignment horizontal="right" vertical="center"/>
    </xf>
    <xf numFmtId="169" fontId="6" fillId="2" borderId="0" xfId="4" applyNumberFormat="1" applyFont="1" applyFill="1" applyAlignment="1">
      <alignment horizontal="right" vertical="center"/>
    </xf>
    <xf numFmtId="173" fontId="2" fillId="2" borderId="0" xfId="3" applyNumberFormat="1" applyFont="1" applyFill="1" applyAlignment="1">
      <alignment vertical="center"/>
    </xf>
    <xf numFmtId="0" fontId="6" fillId="3" borderId="0" xfId="4" applyFont="1" applyFill="1" applyAlignment="1">
      <alignment horizontal="left" vertical="center"/>
    </xf>
    <xf numFmtId="168" fontId="6" fillId="3" borderId="0" xfId="5" applyNumberFormat="1" applyFont="1" applyFill="1" applyAlignment="1">
      <alignment horizontal="right" vertical="center"/>
    </xf>
    <xf numFmtId="0" fontId="13" fillId="2" borderId="0" xfId="4" applyFont="1" applyFill="1" applyAlignment="1">
      <alignment vertical="center"/>
    </xf>
    <xf numFmtId="0" fontId="22" fillId="2" borderId="0" xfId="4" applyFont="1" applyFill="1" applyAlignment="1">
      <alignment vertical="center"/>
    </xf>
    <xf numFmtId="164" fontId="2" fillId="2" borderId="0" xfId="4" applyNumberFormat="1" applyFont="1" applyFill="1" applyAlignment="1">
      <alignment vertical="center"/>
    </xf>
    <xf numFmtId="0" fontId="23" fillId="0" borderId="0" xfId="0" applyFont="1"/>
    <xf numFmtId="0" fontId="6" fillId="3" borderId="13" xfId="4" applyFont="1" applyFill="1" applyBorder="1" applyAlignment="1">
      <alignment horizontal="center" vertical="center"/>
    </xf>
    <xf numFmtId="164" fontId="15" fillId="3" borderId="13" xfId="5" applyNumberFormat="1" applyFont="1" applyFill="1" applyBorder="1" applyAlignment="1">
      <alignment horizontal="center" vertical="center" wrapText="1"/>
    </xf>
    <xf numFmtId="164" fontId="6" fillId="3" borderId="13" xfId="5" applyNumberFormat="1" applyFont="1" applyFill="1" applyBorder="1" applyAlignment="1">
      <alignment horizontal="center" vertical="center" wrapText="1"/>
    </xf>
    <xf numFmtId="0" fontId="12" fillId="2" borderId="13" xfId="4" applyFont="1" applyFill="1" applyBorder="1" applyAlignment="1">
      <alignment horizontal="right" vertical="center"/>
    </xf>
    <xf numFmtId="10" fontId="12" fillId="2" borderId="13" xfId="3" applyNumberFormat="1" applyFont="1" applyFill="1" applyBorder="1" applyAlignment="1">
      <alignment horizontal="center" vertical="center"/>
    </xf>
    <xf numFmtId="168" fontId="12" fillId="2" borderId="13" xfId="5" applyNumberFormat="1" applyFont="1" applyFill="1" applyBorder="1" applyAlignment="1">
      <alignment horizontal="center" vertical="center"/>
    </xf>
    <xf numFmtId="168" fontId="6" fillId="2" borderId="13" xfId="5" applyNumberFormat="1" applyFont="1" applyFill="1" applyBorder="1" applyAlignment="1">
      <alignment horizontal="center" vertical="center"/>
    </xf>
    <xf numFmtId="0" fontId="2" fillId="0" borderId="0" xfId="4" applyFont="1" applyAlignment="1">
      <alignment horizontal="center" vertical="center"/>
    </xf>
    <xf numFmtId="166" fontId="14" fillId="2" borderId="0" xfId="1" applyFont="1" applyFill="1" applyAlignment="1">
      <alignment horizontal="center" vertical="center"/>
    </xf>
    <xf numFmtId="175" fontId="12" fillId="2" borderId="0" xfId="5" applyNumberFormat="1" applyFont="1" applyFill="1" applyAlignment="1">
      <alignment vertical="center"/>
    </xf>
    <xf numFmtId="175" fontId="6" fillId="2" borderId="0" xfId="5" applyNumberFormat="1" applyFont="1" applyFill="1" applyAlignment="1">
      <alignment vertical="center"/>
    </xf>
    <xf numFmtId="0" fontId="24" fillId="2" borderId="0" xfId="4" applyFont="1" applyFill="1" applyAlignment="1">
      <alignment horizontal="left" vertical="center"/>
    </xf>
    <xf numFmtId="0" fontId="25" fillId="2" borderId="0" xfId="4" applyFont="1" applyFill="1" applyAlignment="1">
      <alignment vertical="center"/>
    </xf>
    <xf numFmtId="0" fontId="2" fillId="2" borderId="0" xfId="4" applyFont="1" applyFill="1" applyAlignment="1">
      <alignment horizontal="center" vertical="center" wrapText="1"/>
    </xf>
    <xf numFmtId="0" fontId="9" fillId="2" borderId="0" xfId="4" applyFont="1" applyFill="1" applyAlignment="1">
      <alignment horizontal="left" vertical="center"/>
    </xf>
    <xf numFmtId="164" fontId="5" fillId="2" borderId="0" xfId="5" applyNumberFormat="1" applyFont="1" applyFill="1" applyAlignment="1">
      <alignment horizontal="center" vertical="center" wrapText="1"/>
    </xf>
    <xf numFmtId="164" fontId="5" fillId="2" borderId="0" xfId="5" applyNumberFormat="1" applyFont="1" applyFill="1" applyAlignment="1">
      <alignment vertical="center"/>
    </xf>
    <xf numFmtId="0" fontId="10" fillId="2" borderId="0" xfId="4" applyFont="1" applyFill="1" applyAlignment="1">
      <alignment horizontal="center" vertical="center"/>
    </xf>
    <xf numFmtId="167" fontId="3" fillId="2" borderId="0" xfId="2" applyFont="1" applyFill="1" applyAlignment="1">
      <alignment vertical="center"/>
    </xf>
    <xf numFmtId="164" fontId="5" fillId="2" borderId="0" xfId="5" applyNumberFormat="1" applyFont="1" applyFill="1" applyAlignment="1">
      <alignment horizontal="center" vertical="center"/>
    </xf>
    <xf numFmtId="167" fontId="18" fillId="2" borderId="0" xfId="4" applyNumberFormat="1" applyFont="1" applyFill="1" applyAlignment="1">
      <alignment vertical="center"/>
    </xf>
    <xf numFmtId="0" fontId="10" fillId="2" borderId="0" xfId="4" applyFont="1" applyFill="1" applyAlignment="1">
      <alignment horizontal="left" vertical="center"/>
    </xf>
    <xf numFmtId="0" fontId="11" fillId="2" borderId="0" xfId="4" applyFont="1" applyFill="1" applyAlignment="1">
      <alignment horizontal="left" vertical="center"/>
    </xf>
    <xf numFmtId="0" fontId="2" fillId="5" borderId="0" xfId="4" applyFont="1" applyFill="1" applyAlignment="1">
      <alignment horizontal="center" vertical="center"/>
    </xf>
    <xf numFmtId="0" fontId="26" fillId="5" borderId="0" xfId="4" applyFont="1" applyFill="1" applyAlignment="1">
      <alignment horizontal="left" vertical="center"/>
    </xf>
    <xf numFmtId="0" fontId="2" fillId="0" borderId="0" xfId="4" applyFont="1" applyAlignment="1">
      <alignment horizontal="right" vertical="center"/>
    </xf>
    <xf numFmtId="0" fontId="19" fillId="6" borderId="0" xfId="4" applyFont="1" applyFill="1" applyAlignment="1">
      <alignment horizontal="left" vertical="center"/>
    </xf>
    <xf numFmtId="0" fontId="7" fillId="6" borderId="0" xfId="4" applyFont="1" applyFill="1" applyAlignment="1">
      <alignment horizontal="center" vertical="center"/>
    </xf>
    <xf numFmtId="0" fontId="2" fillId="0" borderId="14" xfId="4" applyFont="1" applyBorder="1" applyAlignment="1">
      <alignment horizontal="right" vertical="center"/>
    </xf>
    <xf numFmtId="165" fontId="27" fillId="0" borderId="15" xfId="1" applyNumberFormat="1" applyFont="1" applyBorder="1" applyAlignment="1">
      <alignment horizontal="center" vertical="center"/>
    </xf>
    <xf numFmtId="0" fontId="2" fillId="0" borderId="16" xfId="4" applyFont="1" applyBorder="1" applyAlignment="1">
      <alignment horizontal="center" vertical="center"/>
    </xf>
    <xf numFmtId="0" fontId="18" fillId="0" borderId="14" xfId="4" applyFont="1" applyBorder="1" applyAlignment="1">
      <alignment horizontal="center" vertical="center"/>
    </xf>
    <xf numFmtId="0" fontId="2" fillId="0" borderId="17" xfId="4" applyFont="1" applyBorder="1" applyAlignment="1">
      <alignment horizontal="right" vertical="center"/>
    </xf>
    <xf numFmtId="3" fontId="2" fillId="0" borderId="0" xfId="4" applyNumberFormat="1" applyFont="1" applyAlignment="1">
      <alignment horizontal="right" vertical="center"/>
    </xf>
    <xf numFmtId="9" fontId="2" fillId="0" borderId="18" xfId="3" applyFont="1" applyBorder="1" applyAlignment="1">
      <alignment horizontal="right" vertical="center"/>
    </xf>
    <xf numFmtId="1" fontId="2" fillId="0" borderId="17" xfId="4" applyNumberFormat="1" applyFont="1" applyBorder="1" applyAlignment="1">
      <alignment horizontal="center" vertical="center"/>
    </xf>
    <xf numFmtId="0" fontId="2" fillId="0" borderId="18" xfId="4" applyFont="1" applyBorder="1" applyAlignment="1">
      <alignment horizontal="center" vertical="center"/>
    </xf>
    <xf numFmtId="3" fontId="28" fillId="0" borderId="0" xfId="4" applyNumberFormat="1" applyFont="1" applyAlignment="1">
      <alignment horizontal="right" vertical="center"/>
    </xf>
    <xf numFmtId="0" fontId="18" fillId="0" borderId="19" xfId="4" applyFont="1" applyBorder="1" applyAlignment="1">
      <alignment horizontal="right" vertical="center"/>
    </xf>
    <xf numFmtId="3" fontId="18" fillId="0" borderId="20" xfId="4" applyNumberFormat="1" applyFont="1" applyBorder="1" applyAlignment="1">
      <alignment horizontal="right" vertical="center"/>
    </xf>
    <xf numFmtId="9" fontId="2" fillId="0" borderId="21" xfId="3" applyFont="1" applyBorder="1" applyAlignment="1">
      <alignment horizontal="right" vertical="center"/>
    </xf>
    <xf numFmtId="0" fontId="2" fillId="0" borderId="19" xfId="4" applyFont="1" applyBorder="1" applyAlignment="1">
      <alignment horizontal="center" vertical="center"/>
    </xf>
    <xf numFmtId="0" fontId="2" fillId="0" borderId="21" xfId="4" applyFont="1" applyBorder="1" applyAlignment="1">
      <alignment horizontal="center" vertical="center"/>
    </xf>
    <xf numFmtId="165" fontId="2" fillId="0" borderId="0" xfId="4" applyNumberFormat="1" applyFont="1" applyAlignment="1">
      <alignment horizontal="center" vertical="center"/>
    </xf>
    <xf numFmtId="0" fontId="29" fillId="0" borderId="0" xfId="4" applyFont="1" applyAlignment="1">
      <alignment horizontal="left" vertical="center"/>
    </xf>
    <xf numFmtId="0" fontId="18" fillId="0" borderId="0" xfId="4" applyFont="1" applyAlignment="1">
      <alignment horizontal="left" vertical="center"/>
    </xf>
    <xf numFmtId="0" fontId="18" fillId="0" borderId="24" xfId="4" applyFont="1" applyBorder="1" applyAlignment="1">
      <alignment horizontal="center" vertical="center"/>
    </xf>
    <xf numFmtId="0" fontId="18" fillId="0" borderId="23" xfId="4" applyFont="1" applyBorder="1" applyAlignment="1">
      <alignment horizontal="center" vertical="center"/>
    </xf>
    <xf numFmtId="0" fontId="18" fillId="0" borderId="22" xfId="4" applyFont="1" applyBorder="1" applyAlignment="1">
      <alignment horizontal="center" vertical="center"/>
    </xf>
    <xf numFmtId="169" fontId="2" fillId="0" borderId="17" xfId="4" applyNumberFormat="1" applyFont="1" applyBorder="1" applyAlignment="1">
      <alignment vertical="center"/>
    </xf>
    <xf numFmtId="169" fontId="2" fillId="0" borderId="25" xfId="4" applyNumberFormat="1" applyFont="1" applyBorder="1" applyAlignment="1">
      <alignment vertical="center"/>
    </xf>
    <xf numFmtId="169" fontId="2" fillId="0" borderId="0" xfId="4" applyNumberFormat="1" applyFont="1" applyAlignment="1">
      <alignment vertical="center"/>
    </xf>
    <xf numFmtId="169" fontId="18" fillId="2" borderId="22" xfId="4" applyNumberFormat="1" applyFont="1" applyFill="1" applyBorder="1" applyAlignment="1">
      <alignment vertical="center"/>
    </xf>
    <xf numFmtId="169" fontId="18" fillId="2" borderId="13" xfId="4" applyNumberFormat="1" applyFont="1" applyFill="1" applyBorder="1" applyAlignment="1">
      <alignment vertical="center"/>
    </xf>
    <xf numFmtId="169" fontId="18" fillId="0" borderId="24" xfId="4" applyNumberFormat="1" applyFont="1" applyBorder="1" applyAlignment="1">
      <alignment vertical="center"/>
    </xf>
    <xf numFmtId="169" fontId="18" fillId="0" borderId="13" xfId="4" applyNumberFormat="1" applyFont="1" applyBorder="1" applyAlignment="1">
      <alignment vertical="center"/>
    </xf>
    <xf numFmtId="169" fontId="18" fillId="0" borderId="22" xfId="4" applyNumberFormat="1" applyFont="1" applyBorder="1" applyAlignment="1">
      <alignment vertical="center"/>
    </xf>
    <xf numFmtId="168" fontId="18" fillId="0" borderId="0" xfId="4" applyNumberFormat="1" applyFont="1" applyAlignment="1">
      <alignment horizontal="center" vertical="center"/>
    </xf>
    <xf numFmtId="0" fontId="11" fillId="2" borderId="0" xfId="4" applyFont="1" applyFill="1" applyAlignment="1">
      <alignment horizontal="right" vertical="center"/>
    </xf>
    <xf numFmtId="0" fontId="29" fillId="2" borderId="0" xfId="4" applyFont="1" applyFill="1" applyAlignment="1">
      <alignment horizontal="right" vertical="center"/>
    </xf>
    <xf numFmtId="168" fontId="29" fillId="7" borderId="22" xfId="2" applyNumberFormat="1" applyFont="1" applyFill="1" applyBorder="1" applyAlignment="1">
      <alignment vertical="center"/>
    </xf>
    <xf numFmtId="168" fontId="29" fillId="7" borderId="24" xfId="2" applyNumberFormat="1" applyFont="1" applyFill="1" applyBorder="1" applyAlignment="1">
      <alignment vertical="center"/>
    </xf>
    <xf numFmtId="168" fontId="2" fillId="0" borderId="0" xfId="4" applyNumberFormat="1" applyFont="1" applyAlignment="1">
      <alignment horizontal="center" vertical="center"/>
    </xf>
    <xf numFmtId="168" fontId="29" fillId="2" borderId="0" xfId="2" applyNumberFormat="1" applyFont="1" applyFill="1" applyBorder="1" applyAlignment="1">
      <alignment vertical="center"/>
    </xf>
    <xf numFmtId="169" fontId="2" fillId="2" borderId="0" xfId="2" applyNumberFormat="1" applyFont="1" applyFill="1" applyBorder="1" applyAlignment="1">
      <alignment horizontal="right" vertical="center"/>
    </xf>
    <xf numFmtId="0" fontId="18" fillId="2" borderId="0" xfId="4" applyFont="1" applyFill="1" applyAlignment="1">
      <alignment horizontal="right" vertical="center"/>
    </xf>
    <xf numFmtId="168" fontId="30" fillId="2" borderId="22" xfId="2" applyNumberFormat="1" applyFont="1" applyFill="1" applyBorder="1" applyAlignment="1">
      <alignment vertical="center"/>
    </xf>
    <xf numFmtId="168" fontId="2" fillId="2" borderId="24" xfId="2" applyNumberFormat="1" applyFont="1" applyFill="1" applyBorder="1" applyAlignment="1">
      <alignment vertical="center"/>
    </xf>
    <xf numFmtId="168" fontId="18" fillId="2" borderId="24" xfId="2" applyNumberFormat="1" applyFont="1" applyFill="1" applyBorder="1" applyAlignment="1">
      <alignment vertical="center"/>
    </xf>
    <xf numFmtId="168" fontId="18" fillId="2" borderId="23" xfId="2" applyNumberFormat="1" applyFont="1" applyFill="1" applyBorder="1" applyAlignment="1">
      <alignment vertical="center"/>
    </xf>
    <xf numFmtId="168" fontId="2" fillId="2" borderId="0" xfId="2" applyNumberFormat="1" applyFont="1" applyFill="1" applyBorder="1" applyAlignment="1">
      <alignment vertical="center"/>
    </xf>
    <xf numFmtId="169" fontId="29" fillId="2" borderId="0" xfId="2" applyNumberFormat="1" applyFont="1" applyFill="1" applyBorder="1" applyAlignment="1">
      <alignment vertical="center"/>
    </xf>
    <xf numFmtId="169" fontId="18" fillId="2" borderId="0" xfId="2" applyNumberFormat="1" applyFont="1" applyFill="1" applyAlignment="1">
      <alignment vertical="center"/>
    </xf>
    <xf numFmtId="9" fontId="2" fillId="2" borderId="0" xfId="3" applyFont="1" applyFill="1" applyAlignment="1">
      <alignment vertical="center"/>
    </xf>
    <xf numFmtId="169" fontId="18" fillId="0" borderId="0" xfId="4" applyNumberFormat="1" applyFont="1" applyAlignment="1">
      <alignment vertical="center"/>
    </xf>
    <xf numFmtId="0" fontId="27" fillId="2" borderId="0" xfId="4" applyFont="1" applyFill="1" applyAlignment="1">
      <alignment horizontal="right" vertical="center"/>
    </xf>
    <xf numFmtId="169" fontId="27" fillId="7" borderId="14" xfId="2" applyNumberFormat="1" applyFont="1" applyFill="1" applyBorder="1" applyAlignment="1">
      <alignment vertical="center"/>
    </xf>
    <xf numFmtId="169" fontId="18" fillId="2" borderId="15" xfId="2" applyNumberFormat="1" applyFont="1" applyFill="1" applyBorder="1" applyAlignment="1">
      <alignment vertical="center"/>
    </xf>
    <xf numFmtId="168" fontId="30" fillId="2" borderId="16" xfId="2" applyNumberFormat="1" applyFont="1" applyFill="1" applyBorder="1" applyAlignment="1">
      <alignment vertical="center"/>
    </xf>
    <xf numFmtId="169" fontId="27" fillId="2" borderId="0" xfId="2" applyNumberFormat="1" applyFont="1" applyFill="1" applyAlignment="1">
      <alignment vertical="center"/>
    </xf>
    <xf numFmtId="168" fontId="18" fillId="2" borderId="17" xfId="2" applyNumberFormat="1" applyFont="1" applyFill="1" applyBorder="1" applyAlignment="1">
      <alignment vertical="center"/>
    </xf>
    <xf numFmtId="169" fontId="18" fillId="2" borderId="0" xfId="2" applyNumberFormat="1" applyFont="1" applyFill="1" applyBorder="1" applyAlignment="1">
      <alignment vertical="center"/>
    </xf>
    <xf numFmtId="168" fontId="18" fillId="2" borderId="18" xfId="2" applyNumberFormat="1" applyFont="1" applyFill="1" applyBorder="1" applyAlignment="1">
      <alignment vertical="center"/>
    </xf>
    <xf numFmtId="169" fontId="30" fillId="2" borderId="17" xfId="2" applyNumberFormat="1" applyFont="1" applyFill="1" applyBorder="1" applyAlignment="1">
      <alignment vertical="center"/>
    </xf>
    <xf numFmtId="169" fontId="18" fillId="2" borderId="18" xfId="2" applyNumberFormat="1" applyFont="1" applyFill="1" applyBorder="1" applyAlignment="1">
      <alignment vertical="center"/>
    </xf>
    <xf numFmtId="169" fontId="30" fillId="2" borderId="19" xfId="2" applyNumberFormat="1" applyFont="1" applyFill="1" applyBorder="1" applyAlignment="1">
      <alignment vertical="center"/>
    </xf>
    <xf numFmtId="169" fontId="18" fillId="2" borderId="20" xfId="2" applyNumberFormat="1" applyFont="1" applyFill="1" applyBorder="1" applyAlignment="1">
      <alignment vertical="center"/>
    </xf>
    <xf numFmtId="169" fontId="18" fillId="2" borderId="21" xfId="2" applyNumberFormat="1" applyFont="1" applyFill="1" applyBorder="1" applyAlignment="1">
      <alignment vertical="center"/>
    </xf>
    <xf numFmtId="0" fontId="19" fillId="6" borderId="14" xfId="4" applyFont="1" applyFill="1" applyBorder="1" applyAlignment="1">
      <alignment horizontal="left" vertical="center"/>
    </xf>
    <xf numFmtId="169" fontId="7" fillId="6" borderId="15" xfId="2" applyNumberFormat="1" applyFont="1" applyFill="1" applyBorder="1" applyAlignment="1">
      <alignment horizontal="right" vertical="center"/>
    </xf>
    <xf numFmtId="169" fontId="7" fillId="6" borderId="15" xfId="2" applyNumberFormat="1" applyFont="1" applyFill="1" applyBorder="1" applyAlignment="1">
      <alignment vertical="center"/>
    </xf>
    <xf numFmtId="169" fontId="19" fillId="6" borderId="14" xfId="2" applyNumberFormat="1" applyFont="1" applyFill="1" applyBorder="1" applyAlignment="1">
      <alignment vertical="center"/>
    </xf>
    <xf numFmtId="169" fontId="19" fillId="6" borderId="16" xfId="2" applyNumberFormat="1" applyFont="1" applyFill="1" applyBorder="1" applyAlignment="1">
      <alignment vertical="center"/>
    </xf>
    <xf numFmtId="0" fontId="19" fillId="2" borderId="17" xfId="4" applyFont="1" applyFill="1" applyBorder="1" applyAlignment="1">
      <alignment horizontal="left" vertical="center"/>
    </xf>
    <xf numFmtId="169" fontId="21" fillId="0" borderId="0" xfId="2" applyNumberFormat="1" applyFont="1" applyBorder="1" applyAlignment="1">
      <alignment horizontal="right" vertical="center"/>
    </xf>
    <xf numFmtId="169" fontId="21" fillId="2" borderId="0" xfId="2" applyNumberFormat="1" applyFont="1" applyFill="1" applyBorder="1" applyAlignment="1">
      <alignment vertical="center"/>
    </xf>
    <xf numFmtId="168" fontId="2" fillId="0" borderId="17" xfId="2" applyNumberFormat="1" applyFont="1" applyBorder="1" applyAlignment="1">
      <alignment vertical="center"/>
    </xf>
    <xf numFmtId="168" fontId="2" fillId="0" borderId="18" xfId="2" applyNumberFormat="1" applyFont="1" applyBorder="1" applyAlignment="1">
      <alignment vertical="center"/>
    </xf>
    <xf numFmtId="0" fontId="18" fillId="0" borderId="22" xfId="4" applyFont="1" applyBorder="1" applyAlignment="1">
      <alignment vertical="center"/>
    </xf>
    <xf numFmtId="169" fontId="18" fillId="0" borderId="24" xfId="2" applyNumberFormat="1" applyFont="1" applyBorder="1" applyAlignment="1">
      <alignment vertical="center"/>
    </xf>
    <xf numFmtId="168" fontId="18" fillId="2" borderId="22" xfId="4" applyNumberFormat="1" applyFont="1" applyFill="1" applyBorder="1" applyAlignment="1">
      <alignment vertical="center"/>
    </xf>
    <xf numFmtId="168" fontId="18" fillId="2" borderId="23" xfId="4" applyNumberFormat="1" applyFont="1" applyFill="1" applyBorder="1" applyAlignment="1">
      <alignment vertical="center"/>
    </xf>
    <xf numFmtId="0" fontId="2" fillId="0" borderId="22" xfId="4" applyFont="1" applyBorder="1" applyAlignment="1">
      <alignment vertical="center"/>
    </xf>
    <xf numFmtId="169" fontId="2" fillId="0" borderId="24" xfId="2" applyNumberFormat="1" applyFont="1" applyBorder="1" applyAlignment="1">
      <alignment vertical="center"/>
    </xf>
    <xf numFmtId="169" fontId="7" fillId="2" borderId="24" xfId="2" applyNumberFormat="1" applyFont="1" applyFill="1" applyBorder="1" applyAlignment="1">
      <alignment vertical="center"/>
    </xf>
    <xf numFmtId="168" fontId="2" fillId="2" borderId="22" xfId="2" applyNumberFormat="1" applyFont="1" applyFill="1" applyBorder="1" applyAlignment="1">
      <alignment vertical="center"/>
    </xf>
    <xf numFmtId="168" fontId="2" fillId="2" borderId="23" xfId="2" applyNumberFormat="1" applyFont="1" applyFill="1" applyBorder="1" applyAlignment="1">
      <alignment vertical="center"/>
    </xf>
    <xf numFmtId="0" fontId="18" fillId="0" borderId="14" xfId="4" applyFont="1" applyBorder="1" applyAlignment="1">
      <alignment horizontal="right" vertical="center"/>
    </xf>
    <xf numFmtId="0" fontId="18" fillId="0" borderId="16" xfId="4" applyFont="1" applyBorder="1" applyAlignment="1">
      <alignment horizontal="right" vertical="center"/>
    </xf>
    <xf numFmtId="0" fontId="2" fillId="0" borderId="17" xfId="4" applyFont="1" applyBorder="1" applyAlignment="1">
      <alignment vertical="center"/>
    </xf>
    <xf numFmtId="169" fontId="2" fillId="0" borderId="0" xfId="2" applyNumberFormat="1" applyFont="1" applyBorder="1" applyAlignment="1">
      <alignment vertical="center"/>
    </xf>
    <xf numFmtId="169" fontId="7" fillId="2" borderId="0" xfId="2" applyNumberFormat="1" applyFont="1" applyFill="1" applyBorder="1" applyAlignment="1">
      <alignment vertical="center"/>
    </xf>
    <xf numFmtId="168" fontId="30" fillId="2" borderId="18" xfId="2" applyNumberFormat="1" applyFont="1" applyFill="1" applyBorder="1" applyAlignment="1">
      <alignment vertical="center"/>
    </xf>
    <xf numFmtId="168" fontId="30" fillId="0" borderId="19" xfId="4" applyNumberFormat="1" applyFont="1" applyBorder="1" applyAlignment="1">
      <alignment vertical="center"/>
    </xf>
    <xf numFmtId="168" fontId="30" fillId="0" borderId="21" xfId="4" applyNumberFormat="1" applyFont="1" applyBorder="1" applyAlignment="1">
      <alignment vertical="center"/>
    </xf>
    <xf numFmtId="0" fontId="18" fillId="0" borderId="19" xfId="4" applyFont="1" applyBorder="1" applyAlignment="1">
      <alignment vertical="center"/>
    </xf>
    <xf numFmtId="169" fontId="2" fillId="0" borderId="20" xfId="2" applyNumberFormat="1" applyFont="1" applyBorder="1" applyAlignment="1">
      <alignment vertical="center"/>
    </xf>
    <xf numFmtId="168" fontId="18" fillId="0" borderId="20" xfId="0" applyNumberFormat="1" applyFont="1" applyBorder="1"/>
    <xf numFmtId="168" fontId="27" fillId="7" borderId="21" xfId="2" applyNumberFormat="1" applyFont="1" applyFill="1" applyBorder="1" applyAlignment="1">
      <alignment vertical="center"/>
    </xf>
    <xf numFmtId="0" fontId="11" fillId="2" borderId="14" xfId="4" applyFont="1" applyFill="1" applyBorder="1" applyAlignment="1">
      <alignment horizontal="left" vertical="center"/>
    </xf>
    <xf numFmtId="0" fontId="3" fillId="2" borderId="15" xfId="4" applyFont="1" applyFill="1" applyBorder="1" applyAlignment="1">
      <alignment vertical="center"/>
    </xf>
    <xf numFmtId="164" fontId="19" fillId="6" borderId="15" xfId="5" applyNumberFormat="1" applyFont="1" applyFill="1" applyBorder="1" applyAlignment="1">
      <alignment vertical="center"/>
    </xf>
    <xf numFmtId="164" fontId="7" fillId="6" borderId="15" xfId="5" applyNumberFormat="1" applyFont="1" applyFill="1" applyBorder="1" applyAlignment="1">
      <alignment vertical="center"/>
    </xf>
    <xf numFmtId="164" fontId="7" fillId="6" borderId="16" xfId="5" applyNumberFormat="1" applyFont="1" applyFill="1" applyBorder="1" applyAlignment="1">
      <alignment vertical="center"/>
    </xf>
    <xf numFmtId="0" fontId="18" fillId="2" borderId="17" xfId="4" applyFont="1" applyFill="1" applyBorder="1" applyAlignment="1">
      <alignment horizontal="left" vertical="center"/>
    </xf>
    <xf numFmtId="164" fontId="2" fillId="2" borderId="0" xfId="5" applyNumberFormat="1" applyFont="1" applyFill="1" applyBorder="1" applyAlignment="1">
      <alignment vertical="center"/>
    </xf>
    <xf numFmtId="168" fontId="18" fillId="2" borderId="18" xfId="5" applyNumberFormat="1" applyFont="1" applyFill="1" applyBorder="1" applyAlignment="1">
      <alignment vertical="center"/>
    </xf>
    <xf numFmtId="0" fontId="11" fillId="2" borderId="19" xfId="4" applyFont="1" applyFill="1" applyBorder="1" applyAlignment="1">
      <alignment horizontal="left" vertical="center"/>
    </xf>
    <xf numFmtId="0" fontId="3" fillId="2" borderId="20" xfId="4" applyFont="1" applyFill="1" applyBorder="1" applyAlignment="1">
      <alignment vertical="center"/>
    </xf>
    <xf numFmtId="164" fontId="2" fillId="2" borderId="20" xfId="5" applyNumberFormat="1" applyFont="1" applyFill="1" applyBorder="1" applyAlignment="1">
      <alignment vertical="center"/>
    </xf>
    <xf numFmtId="168" fontId="18" fillId="2" borderId="21" xfId="5" applyNumberFormat="1" applyFont="1" applyFill="1" applyBorder="1" applyAlignment="1">
      <alignment vertical="center"/>
    </xf>
    <xf numFmtId="168" fontId="32" fillId="2" borderId="18" xfId="5" applyNumberFormat="1" applyFont="1" applyFill="1" applyBorder="1" applyAlignment="1">
      <alignment vertical="center"/>
    </xf>
    <xf numFmtId="164" fontId="2" fillId="8" borderId="0" xfId="5" applyNumberFormat="1" applyFont="1" applyFill="1" applyAlignment="1">
      <alignment vertical="center"/>
    </xf>
    <xf numFmtId="0" fontId="19" fillId="6" borderId="22" xfId="4" applyFont="1" applyFill="1" applyBorder="1" applyAlignment="1">
      <alignment horizontal="left" vertical="center"/>
    </xf>
    <xf numFmtId="0" fontId="7" fillId="6" borderId="15" xfId="4" applyFont="1" applyFill="1" applyBorder="1" applyAlignment="1">
      <alignment vertical="center"/>
    </xf>
    <xf numFmtId="0" fontId="7" fillId="6" borderId="16" xfId="4" applyFont="1" applyFill="1" applyBorder="1" applyAlignment="1">
      <alignment vertical="center"/>
    </xf>
    <xf numFmtId="0" fontId="33" fillId="2" borderId="22" xfId="4" applyFont="1" applyFill="1" applyBorder="1" applyAlignment="1">
      <alignment horizontal="left" vertical="center"/>
    </xf>
    <xf numFmtId="0" fontId="34" fillId="2" borderId="24" xfId="4" applyFont="1" applyFill="1" applyBorder="1" applyAlignment="1">
      <alignment horizontal="right" vertical="center"/>
    </xf>
    <xf numFmtId="0" fontId="34" fillId="2" borderId="13" xfId="4" applyFont="1" applyFill="1" applyBorder="1" applyAlignment="1">
      <alignment horizontal="right" vertical="center"/>
    </xf>
    <xf numFmtId="0" fontId="34" fillId="2" borderId="23" xfId="4" applyFont="1" applyFill="1" applyBorder="1" applyAlignment="1">
      <alignment horizontal="right" vertical="center"/>
    </xf>
    <xf numFmtId="2" fontId="35" fillId="0" borderId="0" xfId="4" applyNumberFormat="1" applyFont="1" applyAlignment="1">
      <alignment vertical="center"/>
    </xf>
    <xf numFmtId="176" fontId="35" fillId="2" borderId="25" xfId="4" applyNumberFormat="1" applyFont="1" applyFill="1" applyBorder="1" applyAlignment="1">
      <alignment horizontal="right" vertical="center"/>
    </xf>
    <xf numFmtId="165" fontId="2" fillId="0" borderId="0" xfId="1" applyNumberFormat="1" applyFont="1" applyBorder="1" applyAlignment="1">
      <alignment vertical="center"/>
    </xf>
    <xf numFmtId="168" fontId="2" fillId="0" borderId="18" xfId="1" applyNumberFormat="1" applyFont="1" applyBorder="1" applyAlignment="1">
      <alignment vertical="center"/>
    </xf>
    <xf numFmtId="168" fontId="18" fillId="2" borderId="0" xfId="4" applyNumberFormat="1" applyFont="1" applyFill="1" applyAlignment="1">
      <alignment vertical="center"/>
    </xf>
    <xf numFmtId="171" fontId="35" fillId="2" borderId="25" xfId="4" applyNumberFormat="1" applyFont="1" applyFill="1" applyBorder="1" applyAlignment="1">
      <alignment horizontal="right" vertical="center"/>
    </xf>
    <xf numFmtId="0" fontId="18" fillId="2" borderId="22" xfId="4" applyFont="1" applyFill="1" applyBorder="1" applyAlignment="1">
      <alignment vertical="center"/>
    </xf>
    <xf numFmtId="2" fontId="18" fillId="2" borderId="24" xfId="4" applyNumberFormat="1" applyFont="1" applyFill="1" applyBorder="1" applyAlignment="1">
      <alignment vertical="center"/>
    </xf>
    <xf numFmtId="0" fontId="18" fillId="0" borderId="13" xfId="4" applyFont="1" applyBorder="1" applyAlignment="1">
      <alignment vertical="center"/>
    </xf>
    <xf numFmtId="0" fontId="18" fillId="0" borderId="24" xfId="4" applyFont="1" applyBorder="1" applyAlignment="1">
      <alignment vertical="center"/>
    </xf>
    <xf numFmtId="168" fontId="5" fillId="7" borderId="23" xfId="4" applyNumberFormat="1" applyFont="1" applyFill="1" applyBorder="1" applyAlignment="1">
      <alignment vertical="center"/>
    </xf>
    <xf numFmtId="164" fontId="18" fillId="2" borderId="0" xfId="5" applyNumberFormat="1" applyFont="1" applyFill="1" applyAlignment="1">
      <alignment vertical="center"/>
    </xf>
    <xf numFmtId="0" fontId="18" fillId="2" borderId="19" xfId="4" applyFont="1" applyFill="1" applyBorder="1" applyAlignment="1">
      <alignment vertical="center"/>
    </xf>
    <xf numFmtId="2" fontId="18" fillId="2" borderId="20" xfId="4" applyNumberFormat="1" applyFont="1" applyFill="1" applyBorder="1" applyAlignment="1">
      <alignment vertical="center"/>
    </xf>
    <xf numFmtId="0" fontId="18" fillId="0" borderId="20" xfId="4" applyFont="1" applyBorder="1" applyAlignment="1">
      <alignment vertical="center"/>
    </xf>
    <xf numFmtId="168" fontId="5" fillId="7" borderId="21" xfId="4" applyNumberFormat="1" applyFont="1" applyFill="1" applyBorder="1" applyAlignment="1">
      <alignment vertical="center"/>
    </xf>
    <xf numFmtId="168" fontId="36" fillId="7" borderId="21" xfId="4" applyNumberFormat="1" applyFont="1" applyFill="1" applyBorder="1" applyAlignment="1">
      <alignment vertical="center"/>
    </xf>
    <xf numFmtId="168" fontId="27" fillId="7" borderId="21" xfId="5" applyNumberFormat="1" applyFont="1" applyFill="1" applyBorder="1" applyAlignment="1">
      <alignment vertical="center"/>
    </xf>
    <xf numFmtId="0" fontId="2" fillId="0" borderId="17" xfId="4" applyFont="1" applyBorder="1" applyAlignment="1">
      <alignment horizontal="center" vertical="center"/>
    </xf>
    <xf numFmtId="176" fontId="30" fillId="2" borderId="0" xfId="4" applyNumberFormat="1" applyFont="1" applyFill="1" applyAlignment="1">
      <alignment horizontal="center" vertical="center"/>
    </xf>
    <xf numFmtId="168" fontId="2" fillId="0" borderId="0" xfId="2" applyNumberFormat="1" applyFont="1" applyBorder="1" applyAlignment="1">
      <alignment horizontal="center" vertical="center"/>
    </xf>
    <xf numFmtId="171" fontId="27" fillId="7" borderId="20" xfId="4" applyNumberFormat="1" applyFont="1" applyFill="1" applyBorder="1" applyAlignment="1">
      <alignment horizontal="center" vertical="center"/>
    </xf>
    <xf numFmtId="0" fontId="2" fillId="0" borderId="20" xfId="4" applyFont="1" applyBorder="1" applyAlignment="1">
      <alignment horizontal="center" vertical="center"/>
    </xf>
    <xf numFmtId="164" fontId="18" fillId="2" borderId="14" xfId="5" applyNumberFormat="1" applyFont="1" applyFill="1" applyBorder="1" applyAlignment="1">
      <alignment vertical="center"/>
    </xf>
    <xf numFmtId="0" fontId="2" fillId="2" borderId="15" xfId="4" applyFont="1" applyFill="1" applyBorder="1" applyAlignment="1">
      <alignment vertical="center"/>
    </xf>
    <xf numFmtId="0" fontId="18" fillId="2" borderId="14" xfId="4" applyFont="1" applyFill="1" applyBorder="1" applyAlignment="1">
      <alignment vertical="center"/>
    </xf>
    <xf numFmtId="0" fontId="18" fillId="2" borderId="16" xfId="4" applyFont="1" applyFill="1" applyBorder="1" applyAlignment="1">
      <alignment vertical="center"/>
    </xf>
    <xf numFmtId="164" fontId="18" fillId="2" borderId="17" xfId="5" applyNumberFormat="1" applyFont="1" applyFill="1" applyBorder="1" applyAlignment="1">
      <alignment vertical="center"/>
    </xf>
    <xf numFmtId="9" fontId="27" fillId="2" borderId="17" xfId="3" applyFont="1" applyFill="1" applyBorder="1" applyAlignment="1">
      <alignment vertical="center"/>
    </xf>
    <xf numFmtId="0" fontId="18" fillId="2" borderId="18" xfId="4" applyFont="1" applyFill="1" applyBorder="1" applyAlignment="1">
      <alignment vertical="center"/>
    </xf>
    <xf numFmtId="176" fontId="35" fillId="2" borderId="0" xfId="4" applyNumberFormat="1" applyFont="1" applyFill="1" applyAlignment="1">
      <alignment horizontal="center" vertical="center"/>
    </xf>
    <xf numFmtId="164" fontId="2" fillId="2" borderId="17" xfId="5" applyNumberFormat="1" applyFont="1" applyFill="1" applyBorder="1" applyAlignment="1">
      <alignment vertical="center"/>
    </xf>
    <xf numFmtId="168" fontId="18" fillId="7" borderId="22" xfId="2" applyNumberFormat="1" applyFont="1" applyFill="1" applyBorder="1" applyAlignment="1">
      <alignment vertical="center"/>
    </xf>
    <xf numFmtId="0" fontId="18" fillId="2" borderId="23" xfId="4" applyFont="1" applyFill="1" applyBorder="1" applyAlignment="1">
      <alignment vertical="center"/>
    </xf>
    <xf numFmtId="168" fontId="18" fillId="2" borderId="14" xfId="4" applyNumberFormat="1" applyFont="1" applyFill="1" applyBorder="1" applyAlignment="1">
      <alignment vertical="center"/>
    </xf>
    <xf numFmtId="168" fontId="18" fillId="2" borderId="17" xfId="4" applyNumberFormat="1" applyFont="1" applyFill="1" applyBorder="1" applyAlignment="1">
      <alignment vertical="center"/>
    </xf>
    <xf numFmtId="164" fontId="2" fillId="2" borderId="19" xfId="5" applyNumberFormat="1" applyFont="1" applyFill="1" applyBorder="1" applyAlignment="1">
      <alignment vertical="center"/>
    </xf>
    <xf numFmtId="0" fontId="2" fillId="2" borderId="20" xfId="4" applyFont="1" applyFill="1" applyBorder="1" applyAlignment="1">
      <alignment vertical="center"/>
    </xf>
    <xf numFmtId="168" fontId="18" fillId="7" borderId="22" xfId="4" applyNumberFormat="1" applyFont="1" applyFill="1" applyBorder="1" applyAlignment="1">
      <alignment vertical="center"/>
    </xf>
    <xf numFmtId="0" fontId="7" fillId="6" borderId="15" xfId="4" applyFont="1" applyFill="1" applyBorder="1" applyAlignment="1">
      <alignment horizontal="right" vertical="center"/>
    </xf>
    <xf numFmtId="0" fontId="2" fillId="2" borderId="19" xfId="4" applyFont="1" applyFill="1" applyBorder="1" applyAlignment="1">
      <alignment horizontal="right" vertical="center"/>
    </xf>
    <xf numFmtId="10" fontId="2" fillId="2" borderId="20" xfId="3" applyNumberFormat="1" applyFont="1" applyFill="1" applyBorder="1" applyAlignment="1">
      <alignment horizontal="center" vertical="center"/>
    </xf>
    <xf numFmtId="168" fontId="2" fillId="2" borderId="20" xfId="5" applyNumberFormat="1" applyFont="1" applyFill="1" applyBorder="1" applyAlignment="1">
      <alignment vertical="center"/>
    </xf>
    <xf numFmtId="173" fontId="37" fillId="0" borderId="20" xfId="3" applyNumberFormat="1" applyFont="1" applyBorder="1" applyAlignment="1">
      <alignment vertical="center"/>
    </xf>
    <xf numFmtId="169" fontId="18" fillId="0" borderId="21" xfId="5" applyNumberFormat="1" applyFont="1" applyBorder="1" applyAlignment="1">
      <alignment vertical="center"/>
    </xf>
    <xf numFmtId="168" fontId="18" fillId="7" borderId="0" xfId="2" applyNumberFormat="1" applyFont="1" applyFill="1" applyAlignment="1">
      <alignment vertical="center"/>
    </xf>
    <xf numFmtId="0" fontId="38" fillId="2" borderId="0" xfId="4" applyFont="1" applyFill="1" applyAlignment="1">
      <alignment vertical="center"/>
    </xf>
    <xf numFmtId="168" fontId="30" fillId="2" borderId="22" xfId="4" applyNumberFormat="1" applyFont="1" applyFill="1" applyBorder="1" applyAlignment="1">
      <alignment vertical="center"/>
    </xf>
    <xf numFmtId="0" fontId="18" fillId="0" borderId="17" xfId="4" applyFont="1" applyBorder="1" applyAlignment="1">
      <alignment horizontal="right" vertical="center"/>
    </xf>
    <xf numFmtId="0" fontId="18" fillId="0" borderId="18" xfId="4" applyFont="1" applyBorder="1" applyAlignment="1">
      <alignment horizontal="right" vertical="center"/>
    </xf>
    <xf numFmtId="0" fontId="39" fillId="6" borderId="22" xfId="4" applyFont="1" applyFill="1" applyBorder="1" applyAlignment="1">
      <alignment horizontal="right" vertical="center"/>
    </xf>
    <xf numFmtId="0" fontId="39" fillId="6" borderId="22" xfId="4" applyFont="1" applyFill="1" applyBorder="1" applyAlignment="1">
      <alignment horizontal="left" vertical="center"/>
    </xf>
    <xf numFmtId="168" fontId="18" fillId="7" borderId="19" xfId="2" applyNumberFormat="1" applyFont="1" applyFill="1" applyBorder="1" applyAlignment="1">
      <alignment vertical="center"/>
    </xf>
    <xf numFmtId="168" fontId="18" fillId="7" borderId="21" xfId="2" applyNumberFormat="1" applyFont="1" applyFill="1" applyBorder="1" applyAlignment="1">
      <alignment vertical="center"/>
    </xf>
    <xf numFmtId="177" fontId="29" fillId="2" borderId="0" xfId="2" applyNumberFormat="1" applyFont="1" applyFill="1" applyAlignment="1">
      <alignment vertical="center"/>
    </xf>
    <xf numFmtId="0" fontId="2" fillId="2" borderId="17" xfId="4" applyFont="1" applyFill="1" applyBorder="1" applyAlignment="1">
      <alignment horizontal="right" vertical="center"/>
    </xf>
    <xf numFmtId="169" fontId="40" fillId="2" borderId="0" xfId="5" applyNumberFormat="1" applyFont="1" applyFill="1" applyBorder="1" applyAlignment="1">
      <alignment horizontal="right" vertical="center"/>
    </xf>
    <xf numFmtId="2" fontId="40" fillId="2" borderId="0" xfId="4" applyNumberFormat="1" applyFont="1" applyFill="1" applyAlignment="1">
      <alignment vertical="center"/>
    </xf>
    <xf numFmtId="168" fontId="2" fillId="2" borderId="17" xfId="2" applyNumberFormat="1" applyFont="1" applyFill="1" applyBorder="1" applyAlignment="1">
      <alignment horizontal="right" vertical="center"/>
    </xf>
    <xf numFmtId="164" fontId="5" fillId="2" borderId="18" xfId="5" applyNumberFormat="1" applyFont="1" applyFill="1" applyBorder="1" applyAlignment="1">
      <alignment vertical="center"/>
    </xf>
    <xf numFmtId="169" fontId="40" fillId="2" borderId="0" xfId="2" applyNumberFormat="1" applyFont="1" applyFill="1" applyBorder="1" applyAlignment="1">
      <alignment horizontal="right" vertical="center"/>
    </xf>
    <xf numFmtId="2" fontId="40" fillId="2" borderId="0" xfId="5" applyNumberFormat="1" applyFont="1" applyFill="1" applyBorder="1" applyAlignment="1">
      <alignment vertical="center"/>
    </xf>
    <xf numFmtId="164" fontId="2" fillId="2" borderId="18" xfId="5" applyNumberFormat="1" applyFont="1" applyFill="1" applyBorder="1" applyAlignment="1">
      <alignment vertical="center"/>
    </xf>
    <xf numFmtId="168" fontId="41" fillId="2" borderId="17" xfId="2" applyNumberFormat="1" applyFont="1" applyFill="1" applyBorder="1" applyAlignment="1">
      <alignment horizontal="right" vertical="center"/>
    </xf>
    <xf numFmtId="0" fontId="18" fillId="0" borderId="0" xfId="0" applyFont="1"/>
    <xf numFmtId="168" fontId="18" fillId="0" borderId="0" xfId="0" applyNumberFormat="1" applyFont="1" applyAlignment="1">
      <alignment horizontal="right"/>
    </xf>
    <xf numFmtId="0" fontId="2" fillId="2" borderId="19" xfId="4" applyFont="1" applyFill="1" applyBorder="1" applyAlignment="1">
      <alignment horizontal="center" vertical="center"/>
    </xf>
    <xf numFmtId="177" fontId="2" fillId="2" borderId="20" xfId="2" applyNumberFormat="1" applyFont="1" applyFill="1" applyBorder="1" applyAlignment="1">
      <alignment horizontal="center" vertical="center"/>
    </xf>
    <xf numFmtId="168" fontId="18" fillId="2" borderId="19" xfId="2" applyNumberFormat="1" applyFont="1" applyFill="1" applyBorder="1" applyAlignment="1">
      <alignment vertical="center"/>
    </xf>
    <xf numFmtId="10" fontId="18" fillId="2" borderId="21" xfId="3" applyNumberFormat="1" applyFont="1" applyFill="1" applyBorder="1" applyAlignment="1">
      <alignment vertical="center"/>
    </xf>
    <xf numFmtId="0" fontId="2" fillId="0" borderId="0" xfId="0" applyFont="1"/>
    <xf numFmtId="168" fontId="0" fillId="0" borderId="0" xfId="0" applyNumberFormat="1"/>
    <xf numFmtId="0" fontId="11" fillId="2" borderId="22" xfId="4" applyFont="1" applyFill="1" applyBorder="1" applyAlignment="1">
      <alignment horizontal="left" vertical="center"/>
    </xf>
    <xf numFmtId="0" fontId="3" fillId="2" borderId="24" xfId="4" applyFont="1" applyFill="1" applyBorder="1" applyAlignment="1">
      <alignment vertical="center"/>
    </xf>
    <xf numFmtId="164" fontId="2" fillId="2" borderId="24" xfId="5" applyNumberFormat="1" applyFont="1" applyFill="1" applyBorder="1" applyAlignment="1">
      <alignment vertical="center"/>
    </xf>
    <xf numFmtId="10" fontId="18" fillId="7" borderId="23" xfId="3" applyNumberFormat="1" applyFont="1" applyFill="1" applyBorder="1" applyAlignment="1">
      <alignment vertical="center"/>
    </xf>
    <xf numFmtId="164" fontId="2" fillId="0" borderId="0" xfId="5" applyNumberFormat="1" applyFont="1" applyAlignment="1">
      <alignment horizontal="center" vertical="center"/>
    </xf>
    <xf numFmtId="164" fontId="2" fillId="0" borderId="0" xfId="5" applyNumberFormat="1" applyFont="1" applyAlignment="1">
      <alignment vertical="center"/>
    </xf>
    <xf numFmtId="169" fontId="31" fillId="7" borderId="24" xfId="2" applyNumberFormat="1" applyFont="1" applyFill="1" applyBorder="1" applyAlignment="1">
      <alignment horizontal="center" vertical="center"/>
    </xf>
    <xf numFmtId="169" fontId="31" fillId="7" borderId="23" xfId="2" applyNumberFormat="1" applyFont="1" applyFill="1" applyBorder="1" applyAlignment="1">
      <alignment horizontal="center" vertical="center"/>
    </xf>
    <xf numFmtId="169" fontId="18" fillId="2" borderId="22" xfId="2" applyNumberFormat="1" applyFont="1" applyFill="1" applyBorder="1" applyAlignment="1">
      <alignment horizontal="center" vertical="center"/>
    </xf>
    <xf numFmtId="169" fontId="18" fillId="2" borderId="23" xfId="2" applyNumberFormat="1" applyFont="1" applyFill="1" applyBorder="1" applyAlignment="1">
      <alignment horizontal="center" vertical="center"/>
    </xf>
    <xf numFmtId="0" fontId="4" fillId="2" borderId="0" xfId="4" applyFont="1" applyFill="1" applyAlignment="1">
      <alignment horizontal="center" vertical="center" wrapText="1"/>
    </xf>
    <xf numFmtId="0" fontId="6" fillId="3" borderId="2" xfId="4" applyFont="1" applyFill="1" applyBorder="1" applyAlignment="1">
      <alignment horizontal="center"/>
    </xf>
    <xf numFmtId="0" fontId="6" fillId="3" borderId="5" xfId="4" applyFont="1" applyFill="1" applyBorder="1" applyAlignment="1">
      <alignment horizontal="center"/>
    </xf>
    <xf numFmtId="0" fontId="18" fillId="7" borderId="22" xfId="4" applyFont="1" applyFill="1" applyBorder="1" applyAlignment="1">
      <alignment horizontal="center" vertical="center"/>
    </xf>
    <xf numFmtId="0" fontId="18" fillId="7" borderId="23" xfId="4" applyFont="1" applyFill="1" applyBorder="1" applyAlignment="1">
      <alignment horizontal="center" vertical="center"/>
    </xf>
    <xf numFmtId="0" fontId="18" fillId="0" borderId="24" xfId="4" applyFont="1" applyBorder="1" applyAlignment="1">
      <alignment horizontal="center" vertical="center"/>
    </xf>
    <xf numFmtId="0" fontId="18" fillId="0" borderId="23" xfId="4" applyFont="1" applyBorder="1" applyAlignment="1">
      <alignment horizontal="center" vertical="center"/>
    </xf>
    <xf numFmtId="0" fontId="18" fillId="0" borderId="22" xfId="4" applyFont="1" applyBorder="1" applyAlignment="1">
      <alignment horizontal="center" vertical="center"/>
    </xf>
    <xf numFmtId="169" fontId="18" fillId="7" borderId="22" xfId="4" applyNumberFormat="1" applyFont="1" applyFill="1" applyBorder="1" applyAlignment="1">
      <alignment horizontal="center" vertical="center"/>
    </xf>
    <xf numFmtId="169" fontId="18" fillId="7" borderId="23" xfId="4" applyNumberFormat="1" applyFont="1" applyFill="1" applyBorder="1" applyAlignment="1">
      <alignment horizontal="center" vertical="center"/>
    </xf>
    <xf numFmtId="169" fontId="30" fillId="7" borderId="24" xfId="4" applyNumberFormat="1" applyFont="1" applyFill="1" applyBorder="1" applyAlignment="1">
      <alignment horizontal="center" vertical="center"/>
    </xf>
    <xf numFmtId="169" fontId="30" fillId="7" borderId="23" xfId="4" applyNumberFormat="1" applyFont="1" applyFill="1" applyBorder="1" applyAlignment="1">
      <alignment horizontal="center" vertical="center"/>
    </xf>
    <xf numFmtId="169" fontId="30" fillId="7" borderId="22" xfId="4" applyNumberFormat="1" applyFont="1" applyFill="1" applyBorder="1" applyAlignment="1">
      <alignment horizontal="center" vertical="center"/>
    </xf>
  </cellXfs>
  <cellStyles count="6">
    <cellStyle name="Comma" xfId="1" builtinId="3"/>
    <cellStyle name="Currency" xfId="2" builtinId="4"/>
    <cellStyle name="Currency_Starward Heritage 2012_4 proforma" xfId="5" xr:uid="{4C06C4D9-222A-4A91-8A35-269CBDA6A9F8}"/>
    <cellStyle name="Normal" xfId="0" builtinId="0"/>
    <cellStyle name="Normal_Starward Kitchener 2012_5 recommendations pricing grid" xfId="4" xr:uid="{F9EA96B1-D6F2-4B06-B787-0677934BCD67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2.png@01D16A4D.5644CAB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4</xdr:col>
      <xdr:colOff>0</xdr:colOff>
      <xdr:row>2</xdr:row>
      <xdr:rowOff>0</xdr:rowOff>
    </xdr:to>
    <xdr:pic>
      <xdr:nvPicPr>
        <xdr:cNvPr id="2" name="Picture 9" descr="EmailSignatureBlock-Blue-DBA_Logo_RockAdvisors">
          <a:extLst>
            <a:ext uri="{FF2B5EF4-FFF2-40B4-BE49-F238E27FC236}">
              <a16:creationId xmlns:a16="http://schemas.microsoft.com/office/drawing/2014/main" id="{86C1BBD0-C464-4693-9A59-A8D686C26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2300" y="209550"/>
          <a:ext cx="22383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7515225</xdr:colOff>
      <xdr:row>1</xdr:row>
      <xdr:rowOff>0</xdr:rowOff>
    </xdr:from>
    <xdr:to>
      <xdr:col>4</xdr:col>
      <xdr:colOff>0</xdr:colOff>
      <xdr:row>2</xdr:row>
      <xdr:rowOff>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6F2D2EC9-AA5D-4E56-A65F-A97084FFC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2300" y="209550"/>
          <a:ext cx="22383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A:\NOOR%202025\1B%20and%20Reverse%201B\Reverse%201B%20Model\Master%20Exercise\SVN%20Proforma%20-%202240%20Birchmount%20Rd,%20Toronto,%20ON%20v3%20Kanen%20File.xls" TargetMode="External"/><Relationship Id="rId1" Type="http://schemas.openxmlformats.org/officeDocument/2006/relationships/externalLinkPath" Target="SVN%20Proforma%20-%202240%20Birchmount%20Rd,%20Toronto,%20ON%20v3%20Kanen%20Fi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ventional Proforma"/>
      <sheetName val="Typical Conv.Operating Expenses"/>
      <sheetName val="Student Housing Proforma"/>
      <sheetName val="Student Housing Op Expenses"/>
      <sheetName val="Const Costs"/>
      <sheetName val="CMHC 2024"/>
      <sheetName val="CMHC "/>
      <sheetName val="Expense Comparison"/>
    </sheetNames>
    <sheetDataSet>
      <sheetData sheetId="0"/>
      <sheetData sheetId="1">
        <row r="85">
          <cell r="BW85">
            <v>1.1269682168445956</v>
          </cell>
          <cell r="BX85">
            <v>3.1454605637041166</v>
          </cell>
          <cell r="BZ85">
            <v>0.16904523252668927</v>
          </cell>
          <cell r="CA85">
            <v>0.47181908455561766</v>
          </cell>
          <cell r="CC85">
            <v>0.19887674414904619</v>
          </cell>
          <cell r="CD85">
            <v>3.0043212058330586</v>
          </cell>
        </row>
        <row r="86">
          <cell r="BW86">
            <v>0.64609058189958246</v>
          </cell>
          <cell r="BX86">
            <v>6.906005125652225</v>
          </cell>
          <cell r="BZ86">
            <v>9.6913587284937347E-2</v>
          </cell>
          <cell r="CA86">
            <v>1.0359007688478343</v>
          </cell>
          <cell r="CC86">
            <v>0.11401598504110276</v>
          </cell>
          <cell r="CD86">
            <v>6.906005125652225</v>
          </cell>
        </row>
        <row r="87">
          <cell r="B87" t="str">
            <v>Water &amp; Sewer</v>
          </cell>
          <cell r="BW87">
            <v>0.54094474408540583</v>
          </cell>
          <cell r="BX87">
            <v>4.7552529720763079</v>
          </cell>
          <cell r="BZ87">
            <v>8.1141711612810849E-2</v>
          </cell>
          <cell r="CA87">
            <v>0.71328794581144594</v>
          </cell>
          <cell r="CC87">
            <v>9.5460837191542164E-2</v>
          </cell>
          <cell r="CD87">
            <v>4.7552529720763062</v>
          </cell>
        </row>
        <row r="88">
          <cell r="BZ88">
            <v>0.43681288084896508</v>
          </cell>
          <cell r="CA88">
            <v>4.9121524898114757</v>
          </cell>
          <cell r="CC88">
            <v>0.51389750688113534</v>
          </cell>
          <cell r="CD88">
            <v>5.7427339211859252</v>
          </cell>
        </row>
        <row r="91">
          <cell r="BU91">
            <v>1202.8066978193146</v>
          </cell>
          <cell r="BX91">
            <v>426.08695652173913</v>
          </cell>
        </row>
        <row r="92">
          <cell r="BU92">
            <v>1.4346517903191525</v>
          </cell>
          <cell r="BX92">
            <v>2195.3577235772359</v>
          </cell>
        </row>
        <row r="93">
          <cell r="BU93">
            <v>8.4224722371217666</v>
          </cell>
        </row>
        <row r="94">
          <cell r="BU94">
            <v>1.2258458796157747</v>
          </cell>
        </row>
        <row r="96">
          <cell r="BU96">
            <v>20</v>
          </cell>
        </row>
        <row r="97">
          <cell r="BW97">
            <v>1517.8861788617887</v>
          </cell>
          <cell r="BX97">
            <v>4549</v>
          </cell>
        </row>
        <row r="99">
          <cell r="BW99">
            <v>300</v>
          </cell>
          <cell r="BX99">
            <v>600</v>
          </cell>
        </row>
        <row r="100">
          <cell r="BW100">
            <v>28.59349593495935</v>
          </cell>
          <cell r="BX100">
            <v>323</v>
          </cell>
        </row>
        <row r="101">
          <cell r="BW101">
            <v>500</v>
          </cell>
          <cell r="BX101">
            <v>1498.2845528455284</v>
          </cell>
        </row>
        <row r="105">
          <cell r="BS105">
            <v>800.02222776703468</v>
          </cell>
          <cell r="BW105">
            <v>600</v>
          </cell>
          <cell r="BX105">
            <v>1138</v>
          </cell>
        </row>
        <row r="106">
          <cell r="BX106">
            <v>203</v>
          </cell>
        </row>
      </sheetData>
      <sheetData sheetId="2"/>
      <sheetData sheetId="3"/>
      <sheetData sheetId="4"/>
      <sheetData sheetId="5"/>
      <sheetData sheetId="6">
        <row r="9">
          <cell r="K9" t="str">
            <v>Ontario - Wood Frame 12 units and more</v>
          </cell>
          <cell r="O9">
            <v>830</v>
          </cell>
          <cell r="Q9">
            <v>555</v>
          </cell>
          <cell r="U9">
            <v>0.01</v>
          </cell>
        </row>
        <row r="10">
          <cell r="K10" t="str">
            <v>Ontario - Concrete</v>
          </cell>
          <cell r="O10">
            <v>975</v>
          </cell>
          <cell r="Q10">
            <v>700</v>
          </cell>
        </row>
      </sheetData>
      <sheetData sheetId="7">
        <row r="11">
          <cell r="H11">
            <v>975</v>
          </cell>
        </row>
        <row r="15">
          <cell r="H15">
            <v>700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A4DE6-8E1F-45E5-87BD-A59F5AF0DC08}">
  <sheetPr>
    <tabColor rgb="FFFFFF00"/>
    <pageSetUpPr fitToPage="1"/>
  </sheetPr>
  <dimension ref="A1:IU149"/>
  <sheetViews>
    <sheetView tabSelected="1" topLeftCell="E2" zoomScale="98" zoomScaleNormal="98" zoomScalePageLayoutView="55" workbookViewId="0">
      <selection activeCell="J45" sqref="J45"/>
    </sheetView>
  </sheetViews>
  <sheetFormatPr defaultColWidth="20.5703125" defaultRowHeight="15" x14ac:dyDescent="0.2"/>
  <cols>
    <col min="1" max="1" width="5.140625" style="6" customWidth="1"/>
    <col min="2" max="2" width="19.85546875" style="6" customWidth="1"/>
    <col min="3" max="3" width="22.42578125" style="6" customWidth="1"/>
    <col min="4" max="4" width="33.5703125" style="116" customWidth="1"/>
    <col min="5" max="5" width="56.85546875" style="116" customWidth="1"/>
    <col min="6" max="6" width="24.5703125" style="325" customWidth="1"/>
    <col min="7" max="7" width="29.42578125" style="326" bestFit="1" customWidth="1"/>
    <col min="8" max="8" width="26.42578125" style="326" bestFit="1" customWidth="1"/>
    <col min="9" max="10" width="22.5703125" style="326" bestFit="1" customWidth="1"/>
    <col min="11" max="11" width="22.5703125" style="6" bestFit="1" customWidth="1"/>
    <col min="12" max="12" width="29.85546875" style="6" customWidth="1"/>
    <col min="13" max="13" width="13.42578125" style="6" customWidth="1"/>
    <col min="14" max="14" width="9.140625" style="6" customWidth="1"/>
    <col min="15" max="15" width="10" style="6" bestFit="1" customWidth="1"/>
    <col min="16" max="16" width="9.85546875" style="6" customWidth="1"/>
    <col min="17" max="17" width="11.42578125" style="6" customWidth="1"/>
    <col min="18" max="250" width="9.140625" style="6" customWidth="1"/>
    <col min="251" max="251" width="9" style="6" customWidth="1"/>
    <col min="252" max="256" width="20.5703125" style="6"/>
    <col min="257" max="257" width="5.140625" style="6" customWidth="1"/>
    <col min="258" max="258" width="19.85546875" style="6" customWidth="1"/>
    <col min="259" max="259" width="22.42578125" style="6" customWidth="1"/>
    <col min="260" max="260" width="33.5703125" style="6" customWidth="1"/>
    <col min="261" max="261" width="56.85546875" style="6" customWidth="1"/>
    <col min="262" max="262" width="24.5703125" style="6" customWidth="1"/>
    <col min="263" max="263" width="29.42578125" style="6" bestFit="1" customWidth="1"/>
    <col min="264" max="264" width="26.42578125" style="6" bestFit="1" customWidth="1"/>
    <col min="265" max="267" width="22.5703125" style="6" bestFit="1" customWidth="1"/>
    <col min="268" max="268" width="29.85546875" style="6" customWidth="1"/>
    <col min="269" max="269" width="13.42578125" style="6" customWidth="1"/>
    <col min="270" max="270" width="9.140625" style="6" customWidth="1"/>
    <col min="271" max="271" width="10" style="6" bestFit="1" customWidth="1"/>
    <col min="272" max="272" width="9.85546875" style="6" customWidth="1"/>
    <col min="273" max="273" width="11.42578125" style="6" customWidth="1"/>
    <col min="274" max="506" width="9.140625" style="6" customWidth="1"/>
    <col min="507" max="507" width="9" style="6" customWidth="1"/>
    <col min="508" max="512" width="20.5703125" style="6"/>
    <col min="513" max="513" width="5.140625" style="6" customWidth="1"/>
    <col min="514" max="514" width="19.85546875" style="6" customWidth="1"/>
    <col min="515" max="515" width="22.42578125" style="6" customWidth="1"/>
    <col min="516" max="516" width="33.5703125" style="6" customWidth="1"/>
    <col min="517" max="517" width="56.85546875" style="6" customWidth="1"/>
    <col min="518" max="518" width="24.5703125" style="6" customWidth="1"/>
    <col min="519" max="519" width="29.42578125" style="6" bestFit="1" customWidth="1"/>
    <col min="520" max="520" width="26.42578125" style="6" bestFit="1" customWidth="1"/>
    <col min="521" max="523" width="22.5703125" style="6" bestFit="1" customWidth="1"/>
    <col min="524" max="524" width="29.85546875" style="6" customWidth="1"/>
    <col min="525" max="525" width="13.42578125" style="6" customWidth="1"/>
    <col min="526" max="526" width="9.140625" style="6" customWidth="1"/>
    <col min="527" max="527" width="10" style="6" bestFit="1" customWidth="1"/>
    <col min="528" max="528" width="9.85546875" style="6" customWidth="1"/>
    <col min="529" max="529" width="11.42578125" style="6" customWidth="1"/>
    <col min="530" max="762" width="9.140625" style="6" customWidth="1"/>
    <col min="763" max="763" width="9" style="6" customWidth="1"/>
    <col min="764" max="768" width="20.5703125" style="6"/>
    <col min="769" max="769" width="5.140625" style="6" customWidth="1"/>
    <col min="770" max="770" width="19.85546875" style="6" customWidth="1"/>
    <col min="771" max="771" width="22.42578125" style="6" customWidth="1"/>
    <col min="772" max="772" width="33.5703125" style="6" customWidth="1"/>
    <col min="773" max="773" width="56.85546875" style="6" customWidth="1"/>
    <col min="774" max="774" width="24.5703125" style="6" customWidth="1"/>
    <col min="775" max="775" width="29.42578125" style="6" bestFit="1" customWidth="1"/>
    <col min="776" max="776" width="26.42578125" style="6" bestFit="1" customWidth="1"/>
    <col min="777" max="779" width="22.5703125" style="6" bestFit="1" customWidth="1"/>
    <col min="780" max="780" width="29.85546875" style="6" customWidth="1"/>
    <col min="781" max="781" width="13.42578125" style="6" customWidth="1"/>
    <col min="782" max="782" width="9.140625" style="6" customWidth="1"/>
    <col min="783" max="783" width="10" style="6" bestFit="1" customWidth="1"/>
    <col min="784" max="784" width="9.85546875" style="6" customWidth="1"/>
    <col min="785" max="785" width="11.42578125" style="6" customWidth="1"/>
    <col min="786" max="1018" width="9.140625" style="6" customWidth="1"/>
    <col min="1019" max="1019" width="9" style="6" customWidth="1"/>
    <col min="1020" max="1024" width="20.5703125" style="6"/>
    <col min="1025" max="1025" width="5.140625" style="6" customWidth="1"/>
    <col min="1026" max="1026" width="19.85546875" style="6" customWidth="1"/>
    <col min="1027" max="1027" width="22.42578125" style="6" customWidth="1"/>
    <col min="1028" max="1028" width="33.5703125" style="6" customWidth="1"/>
    <col min="1029" max="1029" width="56.85546875" style="6" customWidth="1"/>
    <col min="1030" max="1030" width="24.5703125" style="6" customWidth="1"/>
    <col min="1031" max="1031" width="29.42578125" style="6" bestFit="1" customWidth="1"/>
    <col min="1032" max="1032" width="26.42578125" style="6" bestFit="1" customWidth="1"/>
    <col min="1033" max="1035" width="22.5703125" style="6" bestFit="1" customWidth="1"/>
    <col min="1036" max="1036" width="29.85546875" style="6" customWidth="1"/>
    <col min="1037" max="1037" width="13.42578125" style="6" customWidth="1"/>
    <col min="1038" max="1038" width="9.140625" style="6" customWidth="1"/>
    <col min="1039" max="1039" width="10" style="6" bestFit="1" customWidth="1"/>
    <col min="1040" max="1040" width="9.85546875" style="6" customWidth="1"/>
    <col min="1041" max="1041" width="11.42578125" style="6" customWidth="1"/>
    <col min="1042" max="1274" width="9.140625" style="6" customWidth="1"/>
    <col min="1275" max="1275" width="9" style="6" customWidth="1"/>
    <col min="1276" max="1280" width="20.5703125" style="6"/>
    <col min="1281" max="1281" width="5.140625" style="6" customWidth="1"/>
    <col min="1282" max="1282" width="19.85546875" style="6" customWidth="1"/>
    <col min="1283" max="1283" width="22.42578125" style="6" customWidth="1"/>
    <col min="1284" max="1284" width="33.5703125" style="6" customWidth="1"/>
    <col min="1285" max="1285" width="56.85546875" style="6" customWidth="1"/>
    <col min="1286" max="1286" width="24.5703125" style="6" customWidth="1"/>
    <col min="1287" max="1287" width="29.42578125" style="6" bestFit="1" customWidth="1"/>
    <col min="1288" max="1288" width="26.42578125" style="6" bestFit="1" customWidth="1"/>
    <col min="1289" max="1291" width="22.5703125" style="6" bestFit="1" customWidth="1"/>
    <col min="1292" max="1292" width="29.85546875" style="6" customWidth="1"/>
    <col min="1293" max="1293" width="13.42578125" style="6" customWidth="1"/>
    <col min="1294" max="1294" width="9.140625" style="6" customWidth="1"/>
    <col min="1295" max="1295" width="10" style="6" bestFit="1" customWidth="1"/>
    <col min="1296" max="1296" width="9.85546875" style="6" customWidth="1"/>
    <col min="1297" max="1297" width="11.42578125" style="6" customWidth="1"/>
    <col min="1298" max="1530" width="9.140625" style="6" customWidth="1"/>
    <col min="1531" max="1531" width="9" style="6" customWidth="1"/>
    <col min="1532" max="1536" width="20.5703125" style="6"/>
    <col min="1537" max="1537" width="5.140625" style="6" customWidth="1"/>
    <col min="1538" max="1538" width="19.85546875" style="6" customWidth="1"/>
    <col min="1539" max="1539" width="22.42578125" style="6" customWidth="1"/>
    <col min="1540" max="1540" width="33.5703125" style="6" customWidth="1"/>
    <col min="1541" max="1541" width="56.85546875" style="6" customWidth="1"/>
    <col min="1542" max="1542" width="24.5703125" style="6" customWidth="1"/>
    <col min="1543" max="1543" width="29.42578125" style="6" bestFit="1" customWidth="1"/>
    <col min="1544" max="1544" width="26.42578125" style="6" bestFit="1" customWidth="1"/>
    <col min="1545" max="1547" width="22.5703125" style="6" bestFit="1" customWidth="1"/>
    <col min="1548" max="1548" width="29.85546875" style="6" customWidth="1"/>
    <col min="1549" max="1549" width="13.42578125" style="6" customWidth="1"/>
    <col min="1550" max="1550" width="9.140625" style="6" customWidth="1"/>
    <col min="1551" max="1551" width="10" style="6" bestFit="1" customWidth="1"/>
    <col min="1552" max="1552" width="9.85546875" style="6" customWidth="1"/>
    <col min="1553" max="1553" width="11.42578125" style="6" customWidth="1"/>
    <col min="1554" max="1786" width="9.140625" style="6" customWidth="1"/>
    <col min="1787" max="1787" width="9" style="6" customWidth="1"/>
    <col min="1788" max="1792" width="20.5703125" style="6"/>
    <col min="1793" max="1793" width="5.140625" style="6" customWidth="1"/>
    <col min="1794" max="1794" width="19.85546875" style="6" customWidth="1"/>
    <col min="1795" max="1795" width="22.42578125" style="6" customWidth="1"/>
    <col min="1796" max="1796" width="33.5703125" style="6" customWidth="1"/>
    <col min="1797" max="1797" width="56.85546875" style="6" customWidth="1"/>
    <col min="1798" max="1798" width="24.5703125" style="6" customWidth="1"/>
    <col min="1799" max="1799" width="29.42578125" style="6" bestFit="1" customWidth="1"/>
    <col min="1800" max="1800" width="26.42578125" style="6" bestFit="1" customWidth="1"/>
    <col min="1801" max="1803" width="22.5703125" style="6" bestFit="1" customWidth="1"/>
    <col min="1804" max="1804" width="29.85546875" style="6" customWidth="1"/>
    <col min="1805" max="1805" width="13.42578125" style="6" customWidth="1"/>
    <col min="1806" max="1806" width="9.140625" style="6" customWidth="1"/>
    <col min="1807" max="1807" width="10" style="6" bestFit="1" customWidth="1"/>
    <col min="1808" max="1808" width="9.85546875" style="6" customWidth="1"/>
    <col min="1809" max="1809" width="11.42578125" style="6" customWidth="1"/>
    <col min="1810" max="2042" width="9.140625" style="6" customWidth="1"/>
    <col min="2043" max="2043" width="9" style="6" customWidth="1"/>
    <col min="2044" max="2048" width="20.5703125" style="6"/>
    <col min="2049" max="2049" width="5.140625" style="6" customWidth="1"/>
    <col min="2050" max="2050" width="19.85546875" style="6" customWidth="1"/>
    <col min="2051" max="2051" width="22.42578125" style="6" customWidth="1"/>
    <col min="2052" max="2052" width="33.5703125" style="6" customWidth="1"/>
    <col min="2053" max="2053" width="56.85546875" style="6" customWidth="1"/>
    <col min="2054" max="2054" width="24.5703125" style="6" customWidth="1"/>
    <col min="2055" max="2055" width="29.42578125" style="6" bestFit="1" customWidth="1"/>
    <col min="2056" max="2056" width="26.42578125" style="6" bestFit="1" customWidth="1"/>
    <col min="2057" max="2059" width="22.5703125" style="6" bestFit="1" customWidth="1"/>
    <col min="2060" max="2060" width="29.85546875" style="6" customWidth="1"/>
    <col min="2061" max="2061" width="13.42578125" style="6" customWidth="1"/>
    <col min="2062" max="2062" width="9.140625" style="6" customWidth="1"/>
    <col min="2063" max="2063" width="10" style="6" bestFit="1" customWidth="1"/>
    <col min="2064" max="2064" width="9.85546875" style="6" customWidth="1"/>
    <col min="2065" max="2065" width="11.42578125" style="6" customWidth="1"/>
    <col min="2066" max="2298" width="9.140625" style="6" customWidth="1"/>
    <col min="2299" max="2299" width="9" style="6" customWidth="1"/>
    <col min="2300" max="2304" width="20.5703125" style="6"/>
    <col min="2305" max="2305" width="5.140625" style="6" customWidth="1"/>
    <col min="2306" max="2306" width="19.85546875" style="6" customWidth="1"/>
    <col min="2307" max="2307" width="22.42578125" style="6" customWidth="1"/>
    <col min="2308" max="2308" width="33.5703125" style="6" customWidth="1"/>
    <col min="2309" max="2309" width="56.85546875" style="6" customWidth="1"/>
    <col min="2310" max="2310" width="24.5703125" style="6" customWidth="1"/>
    <col min="2311" max="2311" width="29.42578125" style="6" bestFit="1" customWidth="1"/>
    <col min="2312" max="2312" width="26.42578125" style="6" bestFit="1" customWidth="1"/>
    <col min="2313" max="2315" width="22.5703125" style="6" bestFit="1" customWidth="1"/>
    <col min="2316" max="2316" width="29.85546875" style="6" customWidth="1"/>
    <col min="2317" max="2317" width="13.42578125" style="6" customWidth="1"/>
    <col min="2318" max="2318" width="9.140625" style="6" customWidth="1"/>
    <col min="2319" max="2319" width="10" style="6" bestFit="1" customWidth="1"/>
    <col min="2320" max="2320" width="9.85546875" style="6" customWidth="1"/>
    <col min="2321" max="2321" width="11.42578125" style="6" customWidth="1"/>
    <col min="2322" max="2554" width="9.140625" style="6" customWidth="1"/>
    <col min="2555" max="2555" width="9" style="6" customWidth="1"/>
    <col min="2556" max="2560" width="20.5703125" style="6"/>
    <col min="2561" max="2561" width="5.140625" style="6" customWidth="1"/>
    <col min="2562" max="2562" width="19.85546875" style="6" customWidth="1"/>
    <col min="2563" max="2563" width="22.42578125" style="6" customWidth="1"/>
    <col min="2564" max="2564" width="33.5703125" style="6" customWidth="1"/>
    <col min="2565" max="2565" width="56.85546875" style="6" customWidth="1"/>
    <col min="2566" max="2566" width="24.5703125" style="6" customWidth="1"/>
    <col min="2567" max="2567" width="29.42578125" style="6" bestFit="1" customWidth="1"/>
    <col min="2568" max="2568" width="26.42578125" style="6" bestFit="1" customWidth="1"/>
    <col min="2569" max="2571" width="22.5703125" style="6" bestFit="1" customWidth="1"/>
    <col min="2572" max="2572" width="29.85546875" style="6" customWidth="1"/>
    <col min="2573" max="2573" width="13.42578125" style="6" customWidth="1"/>
    <col min="2574" max="2574" width="9.140625" style="6" customWidth="1"/>
    <col min="2575" max="2575" width="10" style="6" bestFit="1" customWidth="1"/>
    <col min="2576" max="2576" width="9.85546875" style="6" customWidth="1"/>
    <col min="2577" max="2577" width="11.42578125" style="6" customWidth="1"/>
    <col min="2578" max="2810" width="9.140625" style="6" customWidth="1"/>
    <col min="2811" max="2811" width="9" style="6" customWidth="1"/>
    <col min="2812" max="2816" width="20.5703125" style="6"/>
    <col min="2817" max="2817" width="5.140625" style="6" customWidth="1"/>
    <col min="2818" max="2818" width="19.85546875" style="6" customWidth="1"/>
    <col min="2819" max="2819" width="22.42578125" style="6" customWidth="1"/>
    <col min="2820" max="2820" width="33.5703125" style="6" customWidth="1"/>
    <col min="2821" max="2821" width="56.85546875" style="6" customWidth="1"/>
    <col min="2822" max="2822" width="24.5703125" style="6" customWidth="1"/>
    <col min="2823" max="2823" width="29.42578125" style="6" bestFit="1" customWidth="1"/>
    <col min="2824" max="2824" width="26.42578125" style="6" bestFit="1" customWidth="1"/>
    <col min="2825" max="2827" width="22.5703125" style="6" bestFit="1" customWidth="1"/>
    <col min="2828" max="2828" width="29.85546875" style="6" customWidth="1"/>
    <col min="2829" max="2829" width="13.42578125" style="6" customWidth="1"/>
    <col min="2830" max="2830" width="9.140625" style="6" customWidth="1"/>
    <col min="2831" max="2831" width="10" style="6" bestFit="1" customWidth="1"/>
    <col min="2832" max="2832" width="9.85546875" style="6" customWidth="1"/>
    <col min="2833" max="2833" width="11.42578125" style="6" customWidth="1"/>
    <col min="2834" max="3066" width="9.140625" style="6" customWidth="1"/>
    <col min="3067" max="3067" width="9" style="6" customWidth="1"/>
    <col min="3068" max="3072" width="20.5703125" style="6"/>
    <col min="3073" max="3073" width="5.140625" style="6" customWidth="1"/>
    <col min="3074" max="3074" width="19.85546875" style="6" customWidth="1"/>
    <col min="3075" max="3075" width="22.42578125" style="6" customWidth="1"/>
    <col min="3076" max="3076" width="33.5703125" style="6" customWidth="1"/>
    <col min="3077" max="3077" width="56.85546875" style="6" customWidth="1"/>
    <col min="3078" max="3078" width="24.5703125" style="6" customWidth="1"/>
    <col min="3079" max="3079" width="29.42578125" style="6" bestFit="1" customWidth="1"/>
    <col min="3080" max="3080" width="26.42578125" style="6" bestFit="1" customWidth="1"/>
    <col min="3081" max="3083" width="22.5703125" style="6" bestFit="1" customWidth="1"/>
    <col min="3084" max="3084" width="29.85546875" style="6" customWidth="1"/>
    <col min="3085" max="3085" width="13.42578125" style="6" customWidth="1"/>
    <col min="3086" max="3086" width="9.140625" style="6" customWidth="1"/>
    <col min="3087" max="3087" width="10" style="6" bestFit="1" customWidth="1"/>
    <col min="3088" max="3088" width="9.85546875" style="6" customWidth="1"/>
    <col min="3089" max="3089" width="11.42578125" style="6" customWidth="1"/>
    <col min="3090" max="3322" width="9.140625" style="6" customWidth="1"/>
    <col min="3323" max="3323" width="9" style="6" customWidth="1"/>
    <col min="3324" max="3328" width="20.5703125" style="6"/>
    <col min="3329" max="3329" width="5.140625" style="6" customWidth="1"/>
    <col min="3330" max="3330" width="19.85546875" style="6" customWidth="1"/>
    <col min="3331" max="3331" width="22.42578125" style="6" customWidth="1"/>
    <col min="3332" max="3332" width="33.5703125" style="6" customWidth="1"/>
    <col min="3333" max="3333" width="56.85546875" style="6" customWidth="1"/>
    <col min="3334" max="3334" width="24.5703125" style="6" customWidth="1"/>
    <col min="3335" max="3335" width="29.42578125" style="6" bestFit="1" customWidth="1"/>
    <col min="3336" max="3336" width="26.42578125" style="6" bestFit="1" customWidth="1"/>
    <col min="3337" max="3339" width="22.5703125" style="6" bestFit="1" customWidth="1"/>
    <col min="3340" max="3340" width="29.85546875" style="6" customWidth="1"/>
    <col min="3341" max="3341" width="13.42578125" style="6" customWidth="1"/>
    <col min="3342" max="3342" width="9.140625" style="6" customWidth="1"/>
    <col min="3343" max="3343" width="10" style="6" bestFit="1" customWidth="1"/>
    <col min="3344" max="3344" width="9.85546875" style="6" customWidth="1"/>
    <col min="3345" max="3345" width="11.42578125" style="6" customWidth="1"/>
    <col min="3346" max="3578" width="9.140625" style="6" customWidth="1"/>
    <col min="3579" max="3579" width="9" style="6" customWidth="1"/>
    <col min="3580" max="3584" width="20.5703125" style="6"/>
    <col min="3585" max="3585" width="5.140625" style="6" customWidth="1"/>
    <col min="3586" max="3586" width="19.85546875" style="6" customWidth="1"/>
    <col min="3587" max="3587" width="22.42578125" style="6" customWidth="1"/>
    <col min="3588" max="3588" width="33.5703125" style="6" customWidth="1"/>
    <col min="3589" max="3589" width="56.85546875" style="6" customWidth="1"/>
    <col min="3590" max="3590" width="24.5703125" style="6" customWidth="1"/>
    <col min="3591" max="3591" width="29.42578125" style="6" bestFit="1" customWidth="1"/>
    <col min="3592" max="3592" width="26.42578125" style="6" bestFit="1" customWidth="1"/>
    <col min="3593" max="3595" width="22.5703125" style="6" bestFit="1" customWidth="1"/>
    <col min="3596" max="3596" width="29.85546875" style="6" customWidth="1"/>
    <col min="3597" max="3597" width="13.42578125" style="6" customWidth="1"/>
    <col min="3598" max="3598" width="9.140625" style="6" customWidth="1"/>
    <col min="3599" max="3599" width="10" style="6" bestFit="1" customWidth="1"/>
    <col min="3600" max="3600" width="9.85546875" style="6" customWidth="1"/>
    <col min="3601" max="3601" width="11.42578125" style="6" customWidth="1"/>
    <col min="3602" max="3834" width="9.140625" style="6" customWidth="1"/>
    <col min="3835" max="3835" width="9" style="6" customWidth="1"/>
    <col min="3836" max="3840" width="20.5703125" style="6"/>
    <col min="3841" max="3841" width="5.140625" style="6" customWidth="1"/>
    <col min="3842" max="3842" width="19.85546875" style="6" customWidth="1"/>
    <col min="3843" max="3843" width="22.42578125" style="6" customWidth="1"/>
    <col min="3844" max="3844" width="33.5703125" style="6" customWidth="1"/>
    <col min="3845" max="3845" width="56.85546875" style="6" customWidth="1"/>
    <col min="3846" max="3846" width="24.5703125" style="6" customWidth="1"/>
    <col min="3847" max="3847" width="29.42578125" style="6" bestFit="1" customWidth="1"/>
    <col min="3848" max="3848" width="26.42578125" style="6" bestFit="1" customWidth="1"/>
    <col min="3849" max="3851" width="22.5703125" style="6" bestFit="1" customWidth="1"/>
    <col min="3852" max="3852" width="29.85546875" style="6" customWidth="1"/>
    <col min="3853" max="3853" width="13.42578125" style="6" customWidth="1"/>
    <col min="3854" max="3854" width="9.140625" style="6" customWidth="1"/>
    <col min="3855" max="3855" width="10" style="6" bestFit="1" customWidth="1"/>
    <col min="3856" max="3856" width="9.85546875" style="6" customWidth="1"/>
    <col min="3857" max="3857" width="11.42578125" style="6" customWidth="1"/>
    <col min="3858" max="4090" width="9.140625" style="6" customWidth="1"/>
    <col min="4091" max="4091" width="9" style="6" customWidth="1"/>
    <col min="4092" max="4096" width="20.5703125" style="6"/>
    <col min="4097" max="4097" width="5.140625" style="6" customWidth="1"/>
    <col min="4098" max="4098" width="19.85546875" style="6" customWidth="1"/>
    <col min="4099" max="4099" width="22.42578125" style="6" customWidth="1"/>
    <col min="4100" max="4100" width="33.5703125" style="6" customWidth="1"/>
    <col min="4101" max="4101" width="56.85546875" style="6" customWidth="1"/>
    <col min="4102" max="4102" width="24.5703125" style="6" customWidth="1"/>
    <col min="4103" max="4103" width="29.42578125" style="6" bestFit="1" customWidth="1"/>
    <col min="4104" max="4104" width="26.42578125" style="6" bestFit="1" customWidth="1"/>
    <col min="4105" max="4107" width="22.5703125" style="6" bestFit="1" customWidth="1"/>
    <col min="4108" max="4108" width="29.85546875" style="6" customWidth="1"/>
    <col min="4109" max="4109" width="13.42578125" style="6" customWidth="1"/>
    <col min="4110" max="4110" width="9.140625" style="6" customWidth="1"/>
    <col min="4111" max="4111" width="10" style="6" bestFit="1" customWidth="1"/>
    <col min="4112" max="4112" width="9.85546875" style="6" customWidth="1"/>
    <col min="4113" max="4113" width="11.42578125" style="6" customWidth="1"/>
    <col min="4114" max="4346" width="9.140625" style="6" customWidth="1"/>
    <col min="4347" max="4347" width="9" style="6" customWidth="1"/>
    <col min="4348" max="4352" width="20.5703125" style="6"/>
    <col min="4353" max="4353" width="5.140625" style="6" customWidth="1"/>
    <col min="4354" max="4354" width="19.85546875" style="6" customWidth="1"/>
    <col min="4355" max="4355" width="22.42578125" style="6" customWidth="1"/>
    <col min="4356" max="4356" width="33.5703125" style="6" customWidth="1"/>
    <col min="4357" max="4357" width="56.85546875" style="6" customWidth="1"/>
    <col min="4358" max="4358" width="24.5703125" style="6" customWidth="1"/>
    <col min="4359" max="4359" width="29.42578125" style="6" bestFit="1" customWidth="1"/>
    <col min="4360" max="4360" width="26.42578125" style="6" bestFit="1" customWidth="1"/>
    <col min="4361" max="4363" width="22.5703125" style="6" bestFit="1" customWidth="1"/>
    <col min="4364" max="4364" width="29.85546875" style="6" customWidth="1"/>
    <col min="4365" max="4365" width="13.42578125" style="6" customWidth="1"/>
    <col min="4366" max="4366" width="9.140625" style="6" customWidth="1"/>
    <col min="4367" max="4367" width="10" style="6" bestFit="1" customWidth="1"/>
    <col min="4368" max="4368" width="9.85546875" style="6" customWidth="1"/>
    <col min="4369" max="4369" width="11.42578125" style="6" customWidth="1"/>
    <col min="4370" max="4602" width="9.140625" style="6" customWidth="1"/>
    <col min="4603" max="4603" width="9" style="6" customWidth="1"/>
    <col min="4604" max="4608" width="20.5703125" style="6"/>
    <col min="4609" max="4609" width="5.140625" style="6" customWidth="1"/>
    <col min="4610" max="4610" width="19.85546875" style="6" customWidth="1"/>
    <col min="4611" max="4611" width="22.42578125" style="6" customWidth="1"/>
    <col min="4612" max="4612" width="33.5703125" style="6" customWidth="1"/>
    <col min="4613" max="4613" width="56.85546875" style="6" customWidth="1"/>
    <col min="4614" max="4614" width="24.5703125" style="6" customWidth="1"/>
    <col min="4615" max="4615" width="29.42578125" style="6" bestFit="1" customWidth="1"/>
    <col min="4616" max="4616" width="26.42578125" style="6" bestFit="1" customWidth="1"/>
    <col min="4617" max="4619" width="22.5703125" style="6" bestFit="1" customWidth="1"/>
    <col min="4620" max="4620" width="29.85546875" style="6" customWidth="1"/>
    <col min="4621" max="4621" width="13.42578125" style="6" customWidth="1"/>
    <col min="4622" max="4622" width="9.140625" style="6" customWidth="1"/>
    <col min="4623" max="4623" width="10" style="6" bestFit="1" customWidth="1"/>
    <col min="4624" max="4624" width="9.85546875" style="6" customWidth="1"/>
    <col min="4625" max="4625" width="11.42578125" style="6" customWidth="1"/>
    <col min="4626" max="4858" width="9.140625" style="6" customWidth="1"/>
    <col min="4859" max="4859" width="9" style="6" customWidth="1"/>
    <col min="4860" max="4864" width="20.5703125" style="6"/>
    <col min="4865" max="4865" width="5.140625" style="6" customWidth="1"/>
    <col min="4866" max="4866" width="19.85546875" style="6" customWidth="1"/>
    <col min="4867" max="4867" width="22.42578125" style="6" customWidth="1"/>
    <col min="4868" max="4868" width="33.5703125" style="6" customWidth="1"/>
    <col min="4869" max="4869" width="56.85546875" style="6" customWidth="1"/>
    <col min="4870" max="4870" width="24.5703125" style="6" customWidth="1"/>
    <col min="4871" max="4871" width="29.42578125" style="6" bestFit="1" customWidth="1"/>
    <col min="4872" max="4872" width="26.42578125" style="6" bestFit="1" customWidth="1"/>
    <col min="4873" max="4875" width="22.5703125" style="6" bestFit="1" customWidth="1"/>
    <col min="4876" max="4876" width="29.85546875" style="6" customWidth="1"/>
    <col min="4877" max="4877" width="13.42578125" style="6" customWidth="1"/>
    <col min="4878" max="4878" width="9.140625" style="6" customWidth="1"/>
    <col min="4879" max="4879" width="10" style="6" bestFit="1" customWidth="1"/>
    <col min="4880" max="4880" width="9.85546875" style="6" customWidth="1"/>
    <col min="4881" max="4881" width="11.42578125" style="6" customWidth="1"/>
    <col min="4882" max="5114" width="9.140625" style="6" customWidth="1"/>
    <col min="5115" max="5115" width="9" style="6" customWidth="1"/>
    <col min="5116" max="5120" width="20.5703125" style="6"/>
    <col min="5121" max="5121" width="5.140625" style="6" customWidth="1"/>
    <col min="5122" max="5122" width="19.85546875" style="6" customWidth="1"/>
    <col min="5123" max="5123" width="22.42578125" style="6" customWidth="1"/>
    <col min="5124" max="5124" width="33.5703125" style="6" customWidth="1"/>
    <col min="5125" max="5125" width="56.85546875" style="6" customWidth="1"/>
    <col min="5126" max="5126" width="24.5703125" style="6" customWidth="1"/>
    <col min="5127" max="5127" width="29.42578125" style="6" bestFit="1" customWidth="1"/>
    <col min="5128" max="5128" width="26.42578125" style="6" bestFit="1" customWidth="1"/>
    <col min="5129" max="5131" width="22.5703125" style="6" bestFit="1" customWidth="1"/>
    <col min="5132" max="5132" width="29.85546875" style="6" customWidth="1"/>
    <col min="5133" max="5133" width="13.42578125" style="6" customWidth="1"/>
    <col min="5134" max="5134" width="9.140625" style="6" customWidth="1"/>
    <col min="5135" max="5135" width="10" style="6" bestFit="1" customWidth="1"/>
    <col min="5136" max="5136" width="9.85546875" style="6" customWidth="1"/>
    <col min="5137" max="5137" width="11.42578125" style="6" customWidth="1"/>
    <col min="5138" max="5370" width="9.140625" style="6" customWidth="1"/>
    <col min="5371" max="5371" width="9" style="6" customWidth="1"/>
    <col min="5372" max="5376" width="20.5703125" style="6"/>
    <col min="5377" max="5377" width="5.140625" style="6" customWidth="1"/>
    <col min="5378" max="5378" width="19.85546875" style="6" customWidth="1"/>
    <col min="5379" max="5379" width="22.42578125" style="6" customWidth="1"/>
    <col min="5380" max="5380" width="33.5703125" style="6" customWidth="1"/>
    <col min="5381" max="5381" width="56.85546875" style="6" customWidth="1"/>
    <col min="5382" max="5382" width="24.5703125" style="6" customWidth="1"/>
    <col min="5383" max="5383" width="29.42578125" style="6" bestFit="1" customWidth="1"/>
    <col min="5384" max="5384" width="26.42578125" style="6" bestFit="1" customWidth="1"/>
    <col min="5385" max="5387" width="22.5703125" style="6" bestFit="1" customWidth="1"/>
    <col min="5388" max="5388" width="29.85546875" style="6" customWidth="1"/>
    <col min="5389" max="5389" width="13.42578125" style="6" customWidth="1"/>
    <col min="5390" max="5390" width="9.140625" style="6" customWidth="1"/>
    <col min="5391" max="5391" width="10" style="6" bestFit="1" customWidth="1"/>
    <col min="5392" max="5392" width="9.85546875" style="6" customWidth="1"/>
    <col min="5393" max="5393" width="11.42578125" style="6" customWidth="1"/>
    <col min="5394" max="5626" width="9.140625" style="6" customWidth="1"/>
    <col min="5627" max="5627" width="9" style="6" customWidth="1"/>
    <col min="5628" max="5632" width="20.5703125" style="6"/>
    <col min="5633" max="5633" width="5.140625" style="6" customWidth="1"/>
    <col min="5634" max="5634" width="19.85546875" style="6" customWidth="1"/>
    <col min="5635" max="5635" width="22.42578125" style="6" customWidth="1"/>
    <col min="5636" max="5636" width="33.5703125" style="6" customWidth="1"/>
    <col min="5637" max="5637" width="56.85546875" style="6" customWidth="1"/>
    <col min="5638" max="5638" width="24.5703125" style="6" customWidth="1"/>
    <col min="5639" max="5639" width="29.42578125" style="6" bestFit="1" customWidth="1"/>
    <col min="5640" max="5640" width="26.42578125" style="6" bestFit="1" customWidth="1"/>
    <col min="5641" max="5643" width="22.5703125" style="6" bestFit="1" customWidth="1"/>
    <col min="5644" max="5644" width="29.85546875" style="6" customWidth="1"/>
    <col min="5645" max="5645" width="13.42578125" style="6" customWidth="1"/>
    <col min="5646" max="5646" width="9.140625" style="6" customWidth="1"/>
    <col min="5647" max="5647" width="10" style="6" bestFit="1" customWidth="1"/>
    <col min="5648" max="5648" width="9.85546875" style="6" customWidth="1"/>
    <col min="5649" max="5649" width="11.42578125" style="6" customWidth="1"/>
    <col min="5650" max="5882" width="9.140625" style="6" customWidth="1"/>
    <col min="5883" max="5883" width="9" style="6" customWidth="1"/>
    <col min="5884" max="5888" width="20.5703125" style="6"/>
    <col min="5889" max="5889" width="5.140625" style="6" customWidth="1"/>
    <col min="5890" max="5890" width="19.85546875" style="6" customWidth="1"/>
    <col min="5891" max="5891" width="22.42578125" style="6" customWidth="1"/>
    <col min="5892" max="5892" width="33.5703125" style="6" customWidth="1"/>
    <col min="5893" max="5893" width="56.85546875" style="6" customWidth="1"/>
    <col min="5894" max="5894" width="24.5703125" style="6" customWidth="1"/>
    <col min="5895" max="5895" width="29.42578125" style="6" bestFit="1" customWidth="1"/>
    <col min="5896" max="5896" width="26.42578125" style="6" bestFit="1" customWidth="1"/>
    <col min="5897" max="5899" width="22.5703125" style="6" bestFit="1" customWidth="1"/>
    <col min="5900" max="5900" width="29.85546875" style="6" customWidth="1"/>
    <col min="5901" max="5901" width="13.42578125" style="6" customWidth="1"/>
    <col min="5902" max="5902" width="9.140625" style="6" customWidth="1"/>
    <col min="5903" max="5903" width="10" style="6" bestFit="1" customWidth="1"/>
    <col min="5904" max="5904" width="9.85546875" style="6" customWidth="1"/>
    <col min="5905" max="5905" width="11.42578125" style="6" customWidth="1"/>
    <col min="5906" max="6138" width="9.140625" style="6" customWidth="1"/>
    <col min="6139" max="6139" width="9" style="6" customWidth="1"/>
    <col min="6140" max="6144" width="20.5703125" style="6"/>
    <col min="6145" max="6145" width="5.140625" style="6" customWidth="1"/>
    <col min="6146" max="6146" width="19.85546875" style="6" customWidth="1"/>
    <col min="6147" max="6147" width="22.42578125" style="6" customWidth="1"/>
    <col min="6148" max="6148" width="33.5703125" style="6" customWidth="1"/>
    <col min="6149" max="6149" width="56.85546875" style="6" customWidth="1"/>
    <col min="6150" max="6150" width="24.5703125" style="6" customWidth="1"/>
    <col min="6151" max="6151" width="29.42578125" style="6" bestFit="1" customWidth="1"/>
    <col min="6152" max="6152" width="26.42578125" style="6" bestFit="1" customWidth="1"/>
    <col min="6153" max="6155" width="22.5703125" style="6" bestFit="1" customWidth="1"/>
    <col min="6156" max="6156" width="29.85546875" style="6" customWidth="1"/>
    <col min="6157" max="6157" width="13.42578125" style="6" customWidth="1"/>
    <col min="6158" max="6158" width="9.140625" style="6" customWidth="1"/>
    <col min="6159" max="6159" width="10" style="6" bestFit="1" customWidth="1"/>
    <col min="6160" max="6160" width="9.85546875" style="6" customWidth="1"/>
    <col min="6161" max="6161" width="11.42578125" style="6" customWidth="1"/>
    <col min="6162" max="6394" width="9.140625" style="6" customWidth="1"/>
    <col min="6395" max="6395" width="9" style="6" customWidth="1"/>
    <col min="6396" max="6400" width="20.5703125" style="6"/>
    <col min="6401" max="6401" width="5.140625" style="6" customWidth="1"/>
    <col min="6402" max="6402" width="19.85546875" style="6" customWidth="1"/>
    <col min="6403" max="6403" width="22.42578125" style="6" customWidth="1"/>
    <col min="6404" max="6404" width="33.5703125" style="6" customWidth="1"/>
    <col min="6405" max="6405" width="56.85546875" style="6" customWidth="1"/>
    <col min="6406" max="6406" width="24.5703125" style="6" customWidth="1"/>
    <col min="6407" max="6407" width="29.42578125" style="6" bestFit="1" customWidth="1"/>
    <col min="6408" max="6408" width="26.42578125" style="6" bestFit="1" customWidth="1"/>
    <col min="6409" max="6411" width="22.5703125" style="6" bestFit="1" customWidth="1"/>
    <col min="6412" max="6412" width="29.85546875" style="6" customWidth="1"/>
    <col min="6413" max="6413" width="13.42578125" style="6" customWidth="1"/>
    <col min="6414" max="6414" width="9.140625" style="6" customWidth="1"/>
    <col min="6415" max="6415" width="10" style="6" bestFit="1" customWidth="1"/>
    <col min="6416" max="6416" width="9.85546875" style="6" customWidth="1"/>
    <col min="6417" max="6417" width="11.42578125" style="6" customWidth="1"/>
    <col min="6418" max="6650" width="9.140625" style="6" customWidth="1"/>
    <col min="6651" max="6651" width="9" style="6" customWidth="1"/>
    <col min="6652" max="6656" width="20.5703125" style="6"/>
    <col min="6657" max="6657" width="5.140625" style="6" customWidth="1"/>
    <col min="6658" max="6658" width="19.85546875" style="6" customWidth="1"/>
    <col min="6659" max="6659" width="22.42578125" style="6" customWidth="1"/>
    <col min="6660" max="6660" width="33.5703125" style="6" customWidth="1"/>
    <col min="6661" max="6661" width="56.85546875" style="6" customWidth="1"/>
    <col min="6662" max="6662" width="24.5703125" style="6" customWidth="1"/>
    <col min="6663" max="6663" width="29.42578125" style="6" bestFit="1" customWidth="1"/>
    <col min="6664" max="6664" width="26.42578125" style="6" bestFit="1" customWidth="1"/>
    <col min="6665" max="6667" width="22.5703125" style="6" bestFit="1" customWidth="1"/>
    <col min="6668" max="6668" width="29.85546875" style="6" customWidth="1"/>
    <col min="6669" max="6669" width="13.42578125" style="6" customWidth="1"/>
    <col min="6670" max="6670" width="9.140625" style="6" customWidth="1"/>
    <col min="6671" max="6671" width="10" style="6" bestFit="1" customWidth="1"/>
    <col min="6672" max="6672" width="9.85546875" style="6" customWidth="1"/>
    <col min="6673" max="6673" width="11.42578125" style="6" customWidth="1"/>
    <col min="6674" max="6906" width="9.140625" style="6" customWidth="1"/>
    <col min="6907" max="6907" width="9" style="6" customWidth="1"/>
    <col min="6908" max="6912" width="20.5703125" style="6"/>
    <col min="6913" max="6913" width="5.140625" style="6" customWidth="1"/>
    <col min="6914" max="6914" width="19.85546875" style="6" customWidth="1"/>
    <col min="6915" max="6915" width="22.42578125" style="6" customWidth="1"/>
    <col min="6916" max="6916" width="33.5703125" style="6" customWidth="1"/>
    <col min="6917" max="6917" width="56.85546875" style="6" customWidth="1"/>
    <col min="6918" max="6918" width="24.5703125" style="6" customWidth="1"/>
    <col min="6919" max="6919" width="29.42578125" style="6" bestFit="1" customWidth="1"/>
    <col min="6920" max="6920" width="26.42578125" style="6" bestFit="1" customWidth="1"/>
    <col min="6921" max="6923" width="22.5703125" style="6" bestFit="1" customWidth="1"/>
    <col min="6924" max="6924" width="29.85546875" style="6" customWidth="1"/>
    <col min="6925" max="6925" width="13.42578125" style="6" customWidth="1"/>
    <col min="6926" max="6926" width="9.140625" style="6" customWidth="1"/>
    <col min="6927" max="6927" width="10" style="6" bestFit="1" customWidth="1"/>
    <col min="6928" max="6928" width="9.85546875" style="6" customWidth="1"/>
    <col min="6929" max="6929" width="11.42578125" style="6" customWidth="1"/>
    <col min="6930" max="7162" width="9.140625" style="6" customWidth="1"/>
    <col min="7163" max="7163" width="9" style="6" customWidth="1"/>
    <col min="7164" max="7168" width="20.5703125" style="6"/>
    <col min="7169" max="7169" width="5.140625" style="6" customWidth="1"/>
    <col min="7170" max="7170" width="19.85546875" style="6" customWidth="1"/>
    <col min="7171" max="7171" width="22.42578125" style="6" customWidth="1"/>
    <col min="7172" max="7172" width="33.5703125" style="6" customWidth="1"/>
    <col min="7173" max="7173" width="56.85546875" style="6" customWidth="1"/>
    <col min="7174" max="7174" width="24.5703125" style="6" customWidth="1"/>
    <col min="7175" max="7175" width="29.42578125" style="6" bestFit="1" customWidth="1"/>
    <col min="7176" max="7176" width="26.42578125" style="6" bestFit="1" customWidth="1"/>
    <col min="7177" max="7179" width="22.5703125" style="6" bestFit="1" customWidth="1"/>
    <col min="7180" max="7180" width="29.85546875" style="6" customWidth="1"/>
    <col min="7181" max="7181" width="13.42578125" style="6" customWidth="1"/>
    <col min="7182" max="7182" width="9.140625" style="6" customWidth="1"/>
    <col min="7183" max="7183" width="10" style="6" bestFit="1" customWidth="1"/>
    <col min="7184" max="7184" width="9.85546875" style="6" customWidth="1"/>
    <col min="7185" max="7185" width="11.42578125" style="6" customWidth="1"/>
    <col min="7186" max="7418" width="9.140625" style="6" customWidth="1"/>
    <col min="7419" max="7419" width="9" style="6" customWidth="1"/>
    <col min="7420" max="7424" width="20.5703125" style="6"/>
    <col min="7425" max="7425" width="5.140625" style="6" customWidth="1"/>
    <col min="7426" max="7426" width="19.85546875" style="6" customWidth="1"/>
    <col min="7427" max="7427" width="22.42578125" style="6" customWidth="1"/>
    <col min="7428" max="7428" width="33.5703125" style="6" customWidth="1"/>
    <col min="7429" max="7429" width="56.85546875" style="6" customWidth="1"/>
    <col min="7430" max="7430" width="24.5703125" style="6" customWidth="1"/>
    <col min="7431" max="7431" width="29.42578125" style="6" bestFit="1" customWidth="1"/>
    <col min="7432" max="7432" width="26.42578125" style="6" bestFit="1" customWidth="1"/>
    <col min="7433" max="7435" width="22.5703125" style="6" bestFit="1" customWidth="1"/>
    <col min="7436" max="7436" width="29.85546875" style="6" customWidth="1"/>
    <col min="7437" max="7437" width="13.42578125" style="6" customWidth="1"/>
    <col min="7438" max="7438" width="9.140625" style="6" customWidth="1"/>
    <col min="7439" max="7439" width="10" style="6" bestFit="1" customWidth="1"/>
    <col min="7440" max="7440" width="9.85546875" style="6" customWidth="1"/>
    <col min="7441" max="7441" width="11.42578125" style="6" customWidth="1"/>
    <col min="7442" max="7674" width="9.140625" style="6" customWidth="1"/>
    <col min="7675" max="7675" width="9" style="6" customWidth="1"/>
    <col min="7676" max="7680" width="20.5703125" style="6"/>
    <col min="7681" max="7681" width="5.140625" style="6" customWidth="1"/>
    <col min="7682" max="7682" width="19.85546875" style="6" customWidth="1"/>
    <col min="7683" max="7683" width="22.42578125" style="6" customWidth="1"/>
    <col min="7684" max="7684" width="33.5703125" style="6" customWidth="1"/>
    <col min="7685" max="7685" width="56.85546875" style="6" customWidth="1"/>
    <col min="7686" max="7686" width="24.5703125" style="6" customWidth="1"/>
    <col min="7687" max="7687" width="29.42578125" style="6" bestFit="1" customWidth="1"/>
    <col min="7688" max="7688" width="26.42578125" style="6" bestFit="1" customWidth="1"/>
    <col min="7689" max="7691" width="22.5703125" style="6" bestFit="1" customWidth="1"/>
    <col min="7692" max="7692" width="29.85546875" style="6" customWidth="1"/>
    <col min="7693" max="7693" width="13.42578125" style="6" customWidth="1"/>
    <col min="7694" max="7694" width="9.140625" style="6" customWidth="1"/>
    <col min="7695" max="7695" width="10" style="6" bestFit="1" customWidth="1"/>
    <col min="7696" max="7696" width="9.85546875" style="6" customWidth="1"/>
    <col min="7697" max="7697" width="11.42578125" style="6" customWidth="1"/>
    <col min="7698" max="7930" width="9.140625" style="6" customWidth="1"/>
    <col min="7931" max="7931" width="9" style="6" customWidth="1"/>
    <col min="7932" max="7936" width="20.5703125" style="6"/>
    <col min="7937" max="7937" width="5.140625" style="6" customWidth="1"/>
    <col min="7938" max="7938" width="19.85546875" style="6" customWidth="1"/>
    <col min="7939" max="7939" width="22.42578125" style="6" customWidth="1"/>
    <col min="7940" max="7940" width="33.5703125" style="6" customWidth="1"/>
    <col min="7941" max="7941" width="56.85546875" style="6" customWidth="1"/>
    <col min="7942" max="7942" width="24.5703125" style="6" customWidth="1"/>
    <col min="7943" max="7943" width="29.42578125" style="6" bestFit="1" customWidth="1"/>
    <col min="7944" max="7944" width="26.42578125" style="6" bestFit="1" customWidth="1"/>
    <col min="7945" max="7947" width="22.5703125" style="6" bestFit="1" customWidth="1"/>
    <col min="7948" max="7948" width="29.85546875" style="6" customWidth="1"/>
    <col min="7949" max="7949" width="13.42578125" style="6" customWidth="1"/>
    <col min="7950" max="7950" width="9.140625" style="6" customWidth="1"/>
    <col min="7951" max="7951" width="10" style="6" bestFit="1" customWidth="1"/>
    <col min="7952" max="7952" width="9.85546875" style="6" customWidth="1"/>
    <col min="7953" max="7953" width="11.42578125" style="6" customWidth="1"/>
    <col min="7954" max="8186" width="9.140625" style="6" customWidth="1"/>
    <col min="8187" max="8187" width="9" style="6" customWidth="1"/>
    <col min="8188" max="8192" width="20.5703125" style="6"/>
    <col min="8193" max="8193" width="5.140625" style="6" customWidth="1"/>
    <col min="8194" max="8194" width="19.85546875" style="6" customWidth="1"/>
    <col min="8195" max="8195" width="22.42578125" style="6" customWidth="1"/>
    <col min="8196" max="8196" width="33.5703125" style="6" customWidth="1"/>
    <col min="8197" max="8197" width="56.85546875" style="6" customWidth="1"/>
    <col min="8198" max="8198" width="24.5703125" style="6" customWidth="1"/>
    <col min="8199" max="8199" width="29.42578125" style="6" bestFit="1" customWidth="1"/>
    <col min="8200" max="8200" width="26.42578125" style="6" bestFit="1" customWidth="1"/>
    <col min="8201" max="8203" width="22.5703125" style="6" bestFit="1" customWidth="1"/>
    <col min="8204" max="8204" width="29.85546875" style="6" customWidth="1"/>
    <col min="8205" max="8205" width="13.42578125" style="6" customWidth="1"/>
    <col min="8206" max="8206" width="9.140625" style="6" customWidth="1"/>
    <col min="8207" max="8207" width="10" style="6" bestFit="1" customWidth="1"/>
    <col min="8208" max="8208" width="9.85546875" style="6" customWidth="1"/>
    <col min="8209" max="8209" width="11.42578125" style="6" customWidth="1"/>
    <col min="8210" max="8442" width="9.140625" style="6" customWidth="1"/>
    <col min="8443" max="8443" width="9" style="6" customWidth="1"/>
    <col min="8444" max="8448" width="20.5703125" style="6"/>
    <col min="8449" max="8449" width="5.140625" style="6" customWidth="1"/>
    <col min="8450" max="8450" width="19.85546875" style="6" customWidth="1"/>
    <col min="8451" max="8451" width="22.42578125" style="6" customWidth="1"/>
    <col min="8452" max="8452" width="33.5703125" style="6" customWidth="1"/>
    <col min="8453" max="8453" width="56.85546875" style="6" customWidth="1"/>
    <col min="8454" max="8454" width="24.5703125" style="6" customWidth="1"/>
    <col min="8455" max="8455" width="29.42578125" style="6" bestFit="1" customWidth="1"/>
    <col min="8456" max="8456" width="26.42578125" style="6" bestFit="1" customWidth="1"/>
    <col min="8457" max="8459" width="22.5703125" style="6" bestFit="1" customWidth="1"/>
    <col min="8460" max="8460" width="29.85546875" style="6" customWidth="1"/>
    <col min="8461" max="8461" width="13.42578125" style="6" customWidth="1"/>
    <col min="8462" max="8462" width="9.140625" style="6" customWidth="1"/>
    <col min="8463" max="8463" width="10" style="6" bestFit="1" customWidth="1"/>
    <col min="8464" max="8464" width="9.85546875" style="6" customWidth="1"/>
    <col min="8465" max="8465" width="11.42578125" style="6" customWidth="1"/>
    <col min="8466" max="8698" width="9.140625" style="6" customWidth="1"/>
    <col min="8699" max="8699" width="9" style="6" customWidth="1"/>
    <col min="8700" max="8704" width="20.5703125" style="6"/>
    <col min="8705" max="8705" width="5.140625" style="6" customWidth="1"/>
    <col min="8706" max="8706" width="19.85546875" style="6" customWidth="1"/>
    <col min="8707" max="8707" width="22.42578125" style="6" customWidth="1"/>
    <col min="8708" max="8708" width="33.5703125" style="6" customWidth="1"/>
    <col min="8709" max="8709" width="56.85546875" style="6" customWidth="1"/>
    <col min="8710" max="8710" width="24.5703125" style="6" customWidth="1"/>
    <col min="8711" max="8711" width="29.42578125" style="6" bestFit="1" customWidth="1"/>
    <col min="8712" max="8712" width="26.42578125" style="6" bestFit="1" customWidth="1"/>
    <col min="8713" max="8715" width="22.5703125" style="6" bestFit="1" customWidth="1"/>
    <col min="8716" max="8716" width="29.85546875" style="6" customWidth="1"/>
    <col min="8717" max="8717" width="13.42578125" style="6" customWidth="1"/>
    <col min="8718" max="8718" width="9.140625" style="6" customWidth="1"/>
    <col min="8719" max="8719" width="10" style="6" bestFit="1" customWidth="1"/>
    <col min="8720" max="8720" width="9.85546875" style="6" customWidth="1"/>
    <col min="8721" max="8721" width="11.42578125" style="6" customWidth="1"/>
    <col min="8722" max="8954" width="9.140625" style="6" customWidth="1"/>
    <col min="8955" max="8955" width="9" style="6" customWidth="1"/>
    <col min="8956" max="8960" width="20.5703125" style="6"/>
    <col min="8961" max="8961" width="5.140625" style="6" customWidth="1"/>
    <col min="8962" max="8962" width="19.85546875" style="6" customWidth="1"/>
    <col min="8963" max="8963" width="22.42578125" style="6" customWidth="1"/>
    <col min="8964" max="8964" width="33.5703125" style="6" customWidth="1"/>
    <col min="8965" max="8965" width="56.85546875" style="6" customWidth="1"/>
    <col min="8966" max="8966" width="24.5703125" style="6" customWidth="1"/>
    <col min="8967" max="8967" width="29.42578125" style="6" bestFit="1" customWidth="1"/>
    <col min="8968" max="8968" width="26.42578125" style="6" bestFit="1" customWidth="1"/>
    <col min="8969" max="8971" width="22.5703125" style="6" bestFit="1" customWidth="1"/>
    <col min="8972" max="8972" width="29.85546875" style="6" customWidth="1"/>
    <col min="8973" max="8973" width="13.42578125" style="6" customWidth="1"/>
    <col min="8974" max="8974" width="9.140625" style="6" customWidth="1"/>
    <col min="8975" max="8975" width="10" style="6" bestFit="1" customWidth="1"/>
    <col min="8976" max="8976" width="9.85546875" style="6" customWidth="1"/>
    <col min="8977" max="8977" width="11.42578125" style="6" customWidth="1"/>
    <col min="8978" max="9210" width="9.140625" style="6" customWidth="1"/>
    <col min="9211" max="9211" width="9" style="6" customWidth="1"/>
    <col min="9212" max="9216" width="20.5703125" style="6"/>
    <col min="9217" max="9217" width="5.140625" style="6" customWidth="1"/>
    <col min="9218" max="9218" width="19.85546875" style="6" customWidth="1"/>
    <col min="9219" max="9219" width="22.42578125" style="6" customWidth="1"/>
    <col min="9220" max="9220" width="33.5703125" style="6" customWidth="1"/>
    <col min="9221" max="9221" width="56.85546875" style="6" customWidth="1"/>
    <col min="9222" max="9222" width="24.5703125" style="6" customWidth="1"/>
    <col min="9223" max="9223" width="29.42578125" style="6" bestFit="1" customWidth="1"/>
    <col min="9224" max="9224" width="26.42578125" style="6" bestFit="1" customWidth="1"/>
    <col min="9225" max="9227" width="22.5703125" style="6" bestFit="1" customWidth="1"/>
    <col min="9228" max="9228" width="29.85546875" style="6" customWidth="1"/>
    <col min="9229" max="9229" width="13.42578125" style="6" customWidth="1"/>
    <col min="9230" max="9230" width="9.140625" style="6" customWidth="1"/>
    <col min="9231" max="9231" width="10" style="6" bestFit="1" customWidth="1"/>
    <col min="9232" max="9232" width="9.85546875" style="6" customWidth="1"/>
    <col min="9233" max="9233" width="11.42578125" style="6" customWidth="1"/>
    <col min="9234" max="9466" width="9.140625" style="6" customWidth="1"/>
    <col min="9467" max="9467" width="9" style="6" customWidth="1"/>
    <col min="9468" max="9472" width="20.5703125" style="6"/>
    <col min="9473" max="9473" width="5.140625" style="6" customWidth="1"/>
    <col min="9474" max="9474" width="19.85546875" style="6" customWidth="1"/>
    <col min="9475" max="9475" width="22.42578125" style="6" customWidth="1"/>
    <col min="9476" max="9476" width="33.5703125" style="6" customWidth="1"/>
    <col min="9477" max="9477" width="56.85546875" style="6" customWidth="1"/>
    <col min="9478" max="9478" width="24.5703125" style="6" customWidth="1"/>
    <col min="9479" max="9479" width="29.42578125" style="6" bestFit="1" customWidth="1"/>
    <col min="9480" max="9480" width="26.42578125" style="6" bestFit="1" customWidth="1"/>
    <col min="9481" max="9483" width="22.5703125" style="6" bestFit="1" customWidth="1"/>
    <col min="9484" max="9484" width="29.85546875" style="6" customWidth="1"/>
    <col min="9485" max="9485" width="13.42578125" style="6" customWidth="1"/>
    <col min="9486" max="9486" width="9.140625" style="6" customWidth="1"/>
    <col min="9487" max="9487" width="10" style="6" bestFit="1" customWidth="1"/>
    <col min="9488" max="9488" width="9.85546875" style="6" customWidth="1"/>
    <col min="9489" max="9489" width="11.42578125" style="6" customWidth="1"/>
    <col min="9490" max="9722" width="9.140625" style="6" customWidth="1"/>
    <col min="9723" max="9723" width="9" style="6" customWidth="1"/>
    <col min="9724" max="9728" width="20.5703125" style="6"/>
    <col min="9729" max="9729" width="5.140625" style="6" customWidth="1"/>
    <col min="9730" max="9730" width="19.85546875" style="6" customWidth="1"/>
    <col min="9731" max="9731" width="22.42578125" style="6" customWidth="1"/>
    <col min="9732" max="9732" width="33.5703125" style="6" customWidth="1"/>
    <col min="9733" max="9733" width="56.85546875" style="6" customWidth="1"/>
    <col min="9734" max="9734" width="24.5703125" style="6" customWidth="1"/>
    <col min="9735" max="9735" width="29.42578125" style="6" bestFit="1" customWidth="1"/>
    <col min="9736" max="9736" width="26.42578125" style="6" bestFit="1" customWidth="1"/>
    <col min="9737" max="9739" width="22.5703125" style="6" bestFit="1" customWidth="1"/>
    <col min="9740" max="9740" width="29.85546875" style="6" customWidth="1"/>
    <col min="9741" max="9741" width="13.42578125" style="6" customWidth="1"/>
    <col min="9742" max="9742" width="9.140625" style="6" customWidth="1"/>
    <col min="9743" max="9743" width="10" style="6" bestFit="1" customWidth="1"/>
    <col min="9744" max="9744" width="9.85546875" style="6" customWidth="1"/>
    <col min="9745" max="9745" width="11.42578125" style="6" customWidth="1"/>
    <col min="9746" max="9978" width="9.140625" style="6" customWidth="1"/>
    <col min="9979" max="9979" width="9" style="6" customWidth="1"/>
    <col min="9980" max="9984" width="20.5703125" style="6"/>
    <col min="9985" max="9985" width="5.140625" style="6" customWidth="1"/>
    <col min="9986" max="9986" width="19.85546875" style="6" customWidth="1"/>
    <col min="9987" max="9987" width="22.42578125" style="6" customWidth="1"/>
    <col min="9988" max="9988" width="33.5703125" style="6" customWidth="1"/>
    <col min="9989" max="9989" width="56.85546875" style="6" customWidth="1"/>
    <col min="9990" max="9990" width="24.5703125" style="6" customWidth="1"/>
    <col min="9991" max="9991" width="29.42578125" style="6" bestFit="1" customWidth="1"/>
    <col min="9992" max="9992" width="26.42578125" style="6" bestFit="1" customWidth="1"/>
    <col min="9993" max="9995" width="22.5703125" style="6" bestFit="1" customWidth="1"/>
    <col min="9996" max="9996" width="29.85546875" style="6" customWidth="1"/>
    <col min="9997" max="9997" width="13.42578125" style="6" customWidth="1"/>
    <col min="9998" max="9998" width="9.140625" style="6" customWidth="1"/>
    <col min="9999" max="9999" width="10" style="6" bestFit="1" customWidth="1"/>
    <col min="10000" max="10000" width="9.85546875" style="6" customWidth="1"/>
    <col min="10001" max="10001" width="11.42578125" style="6" customWidth="1"/>
    <col min="10002" max="10234" width="9.140625" style="6" customWidth="1"/>
    <col min="10235" max="10235" width="9" style="6" customWidth="1"/>
    <col min="10236" max="10240" width="20.5703125" style="6"/>
    <col min="10241" max="10241" width="5.140625" style="6" customWidth="1"/>
    <col min="10242" max="10242" width="19.85546875" style="6" customWidth="1"/>
    <col min="10243" max="10243" width="22.42578125" style="6" customWidth="1"/>
    <col min="10244" max="10244" width="33.5703125" style="6" customWidth="1"/>
    <col min="10245" max="10245" width="56.85546875" style="6" customWidth="1"/>
    <col min="10246" max="10246" width="24.5703125" style="6" customWidth="1"/>
    <col min="10247" max="10247" width="29.42578125" style="6" bestFit="1" customWidth="1"/>
    <col min="10248" max="10248" width="26.42578125" style="6" bestFit="1" customWidth="1"/>
    <col min="10249" max="10251" width="22.5703125" style="6" bestFit="1" customWidth="1"/>
    <col min="10252" max="10252" width="29.85546875" style="6" customWidth="1"/>
    <col min="10253" max="10253" width="13.42578125" style="6" customWidth="1"/>
    <col min="10254" max="10254" width="9.140625" style="6" customWidth="1"/>
    <col min="10255" max="10255" width="10" style="6" bestFit="1" customWidth="1"/>
    <col min="10256" max="10256" width="9.85546875" style="6" customWidth="1"/>
    <col min="10257" max="10257" width="11.42578125" style="6" customWidth="1"/>
    <col min="10258" max="10490" width="9.140625" style="6" customWidth="1"/>
    <col min="10491" max="10491" width="9" style="6" customWidth="1"/>
    <col min="10492" max="10496" width="20.5703125" style="6"/>
    <col min="10497" max="10497" width="5.140625" style="6" customWidth="1"/>
    <col min="10498" max="10498" width="19.85546875" style="6" customWidth="1"/>
    <col min="10499" max="10499" width="22.42578125" style="6" customWidth="1"/>
    <col min="10500" max="10500" width="33.5703125" style="6" customWidth="1"/>
    <col min="10501" max="10501" width="56.85546875" style="6" customWidth="1"/>
    <col min="10502" max="10502" width="24.5703125" style="6" customWidth="1"/>
    <col min="10503" max="10503" width="29.42578125" style="6" bestFit="1" customWidth="1"/>
    <col min="10504" max="10504" width="26.42578125" style="6" bestFit="1" customWidth="1"/>
    <col min="10505" max="10507" width="22.5703125" style="6" bestFit="1" customWidth="1"/>
    <col min="10508" max="10508" width="29.85546875" style="6" customWidth="1"/>
    <col min="10509" max="10509" width="13.42578125" style="6" customWidth="1"/>
    <col min="10510" max="10510" width="9.140625" style="6" customWidth="1"/>
    <col min="10511" max="10511" width="10" style="6" bestFit="1" customWidth="1"/>
    <col min="10512" max="10512" width="9.85546875" style="6" customWidth="1"/>
    <col min="10513" max="10513" width="11.42578125" style="6" customWidth="1"/>
    <col min="10514" max="10746" width="9.140625" style="6" customWidth="1"/>
    <col min="10747" max="10747" width="9" style="6" customWidth="1"/>
    <col min="10748" max="10752" width="20.5703125" style="6"/>
    <col min="10753" max="10753" width="5.140625" style="6" customWidth="1"/>
    <col min="10754" max="10754" width="19.85546875" style="6" customWidth="1"/>
    <col min="10755" max="10755" width="22.42578125" style="6" customWidth="1"/>
    <col min="10756" max="10756" width="33.5703125" style="6" customWidth="1"/>
    <col min="10757" max="10757" width="56.85546875" style="6" customWidth="1"/>
    <col min="10758" max="10758" width="24.5703125" style="6" customWidth="1"/>
    <col min="10759" max="10759" width="29.42578125" style="6" bestFit="1" customWidth="1"/>
    <col min="10760" max="10760" width="26.42578125" style="6" bestFit="1" customWidth="1"/>
    <col min="10761" max="10763" width="22.5703125" style="6" bestFit="1" customWidth="1"/>
    <col min="10764" max="10764" width="29.85546875" style="6" customWidth="1"/>
    <col min="10765" max="10765" width="13.42578125" style="6" customWidth="1"/>
    <col min="10766" max="10766" width="9.140625" style="6" customWidth="1"/>
    <col min="10767" max="10767" width="10" style="6" bestFit="1" customWidth="1"/>
    <col min="10768" max="10768" width="9.85546875" style="6" customWidth="1"/>
    <col min="10769" max="10769" width="11.42578125" style="6" customWidth="1"/>
    <col min="10770" max="11002" width="9.140625" style="6" customWidth="1"/>
    <col min="11003" max="11003" width="9" style="6" customWidth="1"/>
    <col min="11004" max="11008" width="20.5703125" style="6"/>
    <col min="11009" max="11009" width="5.140625" style="6" customWidth="1"/>
    <col min="11010" max="11010" width="19.85546875" style="6" customWidth="1"/>
    <col min="11011" max="11011" width="22.42578125" style="6" customWidth="1"/>
    <col min="11012" max="11012" width="33.5703125" style="6" customWidth="1"/>
    <col min="11013" max="11013" width="56.85546875" style="6" customWidth="1"/>
    <col min="11014" max="11014" width="24.5703125" style="6" customWidth="1"/>
    <col min="11015" max="11015" width="29.42578125" style="6" bestFit="1" customWidth="1"/>
    <col min="11016" max="11016" width="26.42578125" style="6" bestFit="1" customWidth="1"/>
    <col min="11017" max="11019" width="22.5703125" style="6" bestFit="1" customWidth="1"/>
    <col min="11020" max="11020" width="29.85546875" style="6" customWidth="1"/>
    <col min="11021" max="11021" width="13.42578125" style="6" customWidth="1"/>
    <col min="11022" max="11022" width="9.140625" style="6" customWidth="1"/>
    <col min="11023" max="11023" width="10" style="6" bestFit="1" customWidth="1"/>
    <col min="11024" max="11024" width="9.85546875" style="6" customWidth="1"/>
    <col min="11025" max="11025" width="11.42578125" style="6" customWidth="1"/>
    <col min="11026" max="11258" width="9.140625" style="6" customWidth="1"/>
    <col min="11259" max="11259" width="9" style="6" customWidth="1"/>
    <col min="11260" max="11264" width="20.5703125" style="6"/>
    <col min="11265" max="11265" width="5.140625" style="6" customWidth="1"/>
    <col min="11266" max="11266" width="19.85546875" style="6" customWidth="1"/>
    <col min="11267" max="11267" width="22.42578125" style="6" customWidth="1"/>
    <col min="11268" max="11268" width="33.5703125" style="6" customWidth="1"/>
    <col min="11269" max="11269" width="56.85546875" style="6" customWidth="1"/>
    <col min="11270" max="11270" width="24.5703125" style="6" customWidth="1"/>
    <col min="11271" max="11271" width="29.42578125" style="6" bestFit="1" customWidth="1"/>
    <col min="11272" max="11272" width="26.42578125" style="6" bestFit="1" customWidth="1"/>
    <col min="11273" max="11275" width="22.5703125" style="6" bestFit="1" customWidth="1"/>
    <col min="11276" max="11276" width="29.85546875" style="6" customWidth="1"/>
    <col min="11277" max="11277" width="13.42578125" style="6" customWidth="1"/>
    <col min="11278" max="11278" width="9.140625" style="6" customWidth="1"/>
    <col min="11279" max="11279" width="10" style="6" bestFit="1" customWidth="1"/>
    <col min="11280" max="11280" width="9.85546875" style="6" customWidth="1"/>
    <col min="11281" max="11281" width="11.42578125" style="6" customWidth="1"/>
    <col min="11282" max="11514" width="9.140625" style="6" customWidth="1"/>
    <col min="11515" max="11515" width="9" style="6" customWidth="1"/>
    <col min="11516" max="11520" width="20.5703125" style="6"/>
    <col min="11521" max="11521" width="5.140625" style="6" customWidth="1"/>
    <col min="11522" max="11522" width="19.85546875" style="6" customWidth="1"/>
    <col min="11523" max="11523" width="22.42578125" style="6" customWidth="1"/>
    <col min="11524" max="11524" width="33.5703125" style="6" customWidth="1"/>
    <col min="11525" max="11525" width="56.85546875" style="6" customWidth="1"/>
    <col min="11526" max="11526" width="24.5703125" style="6" customWidth="1"/>
    <col min="11527" max="11527" width="29.42578125" style="6" bestFit="1" customWidth="1"/>
    <col min="11528" max="11528" width="26.42578125" style="6" bestFit="1" customWidth="1"/>
    <col min="11529" max="11531" width="22.5703125" style="6" bestFit="1" customWidth="1"/>
    <col min="11532" max="11532" width="29.85546875" style="6" customWidth="1"/>
    <col min="11533" max="11533" width="13.42578125" style="6" customWidth="1"/>
    <col min="11534" max="11534" width="9.140625" style="6" customWidth="1"/>
    <col min="11535" max="11535" width="10" style="6" bestFit="1" customWidth="1"/>
    <col min="11536" max="11536" width="9.85546875" style="6" customWidth="1"/>
    <col min="11537" max="11537" width="11.42578125" style="6" customWidth="1"/>
    <col min="11538" max="11770" width="9.140625" style="6" customWidth="1"/>
    <col min="11771" max="11771" width="9" style="6" customWidth="1"/>
    <col min="11772" max="11776" width="20.5703125" style="6"/>
    <col min="11777" max="11777" width="5.140625" style="6" customWidth="1"/>
    <col min="11778" max="11778" width="19.85546875" style="6" customWidth="1"/>
    <col min="11779" max="11779" width="22.42578125" style="6" customWidth="1"/>
    <col min="11780" max="11780" width="33.5703125" style="6" customWidth="1"/>
    <col min="11781" max="11781" width="56.85546875" style="6" customWidth="1"/>
    <col min="11782" max="11782" width="24.5703125" style="6" customWidth="1"/>
    <col min="11783" max="11783" width="29.42578125" style="6" bestFit="1" customWidth="1"/>
    <col min="11784" max="11784" width="26.42578125" style="6" bestFit="1" customWidth="1"/>
    <col min="11785" max="11787" width="22.5703125" style="6" bestFit="1" customWidth="1"/>
    <col min="11788" max="11788" width="29.85546875" style="6" customWidth="1"/>
    <col min="11789" max="11789" width="13.42578125" style="6" customWidth="1"/>
    <col min="11790" max="11790" width="9.140625" style="6" customWidth="1"/>
    <col min="11791" max="11791" width="10" style="6" bestFit="1" customWidth="1"/>
    <col min="11792" max="11792" width="9.85546875" style="6" customWidth="1"/>
    <col min="11793" max="11793" width="11.42578125" style="6" customWidth="1"/>
    <col min="11794" max="12026" width="9.140625" style="6" customWidth="1"/>
    <col min="12027" max="12027" width="9" style="6" customWidth="1"/>
    <col min="12028" max="12032" width="20.5703125" style="6"/>
    <col min="12033" max="12033" width="5.140625" style="6" customWidth="1"/>
    <col min="12034" max="12034" width="19.85546875" style="6" customWidth="1"/>
    <col min="12035" max="12035" width="22.42578125" style="6" customWidth="1"/>
    <col min="12036" max="12036" width="33.5703125" style="6" customWidth="1"/>
    <col min="12037" max="12037" width="56.85546875" style="6" customWidth="1"/>
    <col min="12038" max="12038" width="24.5703125" style="6" customWidth="1"/>
    <col min="12039" max="12039" width="29.42578125" style="6" bestFit="1" customWidth="1"/>
    <col min="12040" max="12040" width="26.42578125" style="6" bestFit="1" customWidth="1"/>
    <col min="12041" max="12043" width="22.5703125" style="6" bestFit="1" customWidth="1"/>
    <col min="12044" max="12044" width="29.85546875" style="6" customWidth="1"/>
    <col min="12045" max="12045" width="13.42578125" style="6" customWidth="1"/>
    <col min="12046" max="12046" width="9.140625" style="6" customWidth="1"/>
    <col min="12047" max="12047" width="10" style="6" bestFit="1" customWidth="1"/>
    <col min="12048" max="12048" width="9.85546875" style="6" customWidth="1"/>
    <col min="12049" max="12049" width="11.42578125" style="6" customWidth="1"/>
    <col min="12050" max="12282" width="9.140625" style="6" customWidth="1"/>
    <col min="12283" max="12283" width="9" style="6" customWidth="1"/>
    <col min="12284" max="12288" width="20.5703125" style="6"/>
    <col min="12289" max="12289" width="5.140625" style="6" customWidth="1"/>
    <col min="12290" max="12290" width="19.85546875" style="6" customWidth="1"/>
    <col min="12291" max="12291" width="22.42578125" style="6" customWidth="1"/>
    <col min="12292" max="12292" width="33.5703125" style="6" customWidth="1"/>
    <col min="12293" max="12293" width="56.85546875" style="6" customWidth="1"/>
    <col min="12294" max="12294" width="24.5703125" style="6" customWidth="1"/>
    <col min="12295" max="12295" width="29.42578125" style="6" bestFit="1" customWidth="1"/>
    <col min="12296" max="12296" width="26.42578125" style="6" bestFit="1" customWidth="1"/>
    <col min="12297" max="12299" width="22.5703125" style="6" bestFit="1" customWidth="1"/>
    <col min="12300" max="12300" width="29.85546875" style="6" customWidth="1"/>
    <col min="12301" max="12301" width="13.42578125" style="6" customWidth="1"/>
    <col min="12302" max="12302" width="9.140625" style="6" customWidth="1"/>
    <col min="12303" max="12303" width="10" style="6" bestFit="1" customWidth="1"/>
    <col min="12304" max="12304" width="9.85546875" style="6" customWidth="1"/>
    <col min="12305" max="12305" width="11.42578125" style="6" customWidth="1"/>
    <col min="12306" max="12538" width="9.140625" style="6" customWidth="1"/>
    <col min="12539" max="12539" width="9" style="6" customWidth="1"/>
    <col min="12540" max="12544" width="20.5703125" style="6"/>
    <col min="12545" max="12545" width="5.140625" style="6" customWidth="1"/>
    <col min="12546" max="12546" width="19.85546875" style="6" customWidth="1"/>
    <col min="12547" max="12547" width="22.42578125" style="6" customWidth="1"/>
    <col min="12548" max="12548" width="33.5703125" style="6" customWidth="1"/>
    <col min="12549" max="12549" width="56.85546875" style="6" customWidth="1"/>
    <col min="12550" max="12550" width="24.5703125" style="6" customWidth="1"/>
    <col min="12551" max="12551" width="29.42578125" style="6" bestFit="1" customWidth="1"/>
    <col min="12552" max="12552" width="26.42578125" style="6" bestFit="1" customWidth="1"/>
    <col min="12553" max="12555" width="22.5703125" style="6" bestFit="1" customWidth="1"/>
    <col min="12556" max="12556" width="29.85546875" style="6" customWidth="1"/>
    <col min="12557" max="12557" width="13.42578125" style="6" customWidth="1"/>
    <col min="12558" max="12558" width="9.140625" style="6" customWidth="1"/>
    <col min="12559" max="12559" width="10" style="6" bestFit="1" customWidth="1"/>
    <col min="12560" max="12560" width="9.85546875" style="6" customWidth="1"/>
    <col min="12561" max="12561" width="11.42578125" style="6" customWidth="1"/>
    <col min="12562" max="12794" width="9.140625" style="6" customWidth="1"/>
    <col min="12795" max="12795" width="9" style="6" customWidth="1"/>
    <col min="12796" max="12800" width="20.5703125" style="6"/>
    <col min="12801" max="12801" width="5.140625" style="6" customWidth="1"/>
    <col min="12802" max="12802" width="19.85546875" style="6" customWidth="1"/>
    <col min="12803" max="12803" width="22.42578125" style="6" customWidth="1"/>
    <col min="12804" max="12804" width="33.5703125" style="6" customWidth="1"/>
    <col min="12805" max="12805" width="56.85546875" style="6" customWidth="1"/>
    <col min="12806" max="12806" width="24.5703125" style="6" customWidth="1"/>
    <col min="12807" max="12807" width="29.42578125" style="6" bestFit="1" customWidth="1"/>
    <col min="12808" max="12808" width="26.42578125" style="6" bestFit="1" customWidth="1"/>
    <col min="12809" max="12811" width="22.5703125" style="6" bestFit="1" customWidth="1"/>
    <col min="12812" max="12812" width="29.85546875" style="6" customWidth="1"/>
    <col min="12813" max="12813" width="13.42578125" style="6" customWidth="1"/>
    <col min="12814" max="12814" width="9.140625" style="6" customWidth="1"/>
    <col min="12815" max="12815" width="10" style="6" bestFit="1" customWidth="1"/>
    <col min="12816" max="12816" width="9.85546875" style="6" customWidth="1"/>
    <col min="12817" max="12817" width="11.42578125" style="6" customWidth="1"/>
    <col min="12818" max="13050" width="9.140625" style="6" customWidth="1"/>
    <col min="13051" max="13051" width="9" style="6" customWidth="1"/>
    <col min="13052" max="13056" width="20.5703125" style="6"/>
    <col min="13057" max="13057" width="5.140625" style="6" customWidth="1"/>
    <col min="13058" max="13058" width="19.85546875" style="6" customWidth="1"/>
    <col min="13059" max="13059" width="22.42578125" style="6" customWidth="1"/>
    <col min="13060" max="13060" width="33.5703125" style="6" customWidth="1"/>
    <col min="13061" max="13061" width="56.85546875" style="6" customWidth="1"/>
    <col min="13062" max="13062" width="24.5703125" style="6" customWidth="1"/>
    <col min="13063" max="13063" width="29.42578125" style="6" bestFit="1" customWidth="1"/>
    <col min="13064" max="13064" width="26.42578125" style="6" bestFit="1" customWidth="1"/>
    <col min="13065" max="13067" width="22.5703125" style="6" bestFit="1" customWidth="1"/>
    <col min="13068" max="13068" width="29.85546875" style="6" customWidth="1"/>
    <col min="13069" max="13069" width="13.42578125" style="6" customWidth="1"/>
    <col min="13070" max="13070" width="9.140625" style="6" customWidth="1"/>
    <col min="13071" max="13071" width="10" style="6" bestFit="1" customWidth="1"/>
    <col min="13072" max="13072" width="9.85546875" style="6" customWidth="1"/>
    <col min="13073" max="13073" width="11.42578125" style="6" customWidth="1"/>
    <col min="13074" max="13306" width="9.140625" style="6" customWidth="1"/>
    <col min="13307" max="13307" width="9" style="6" customWidth="1"/>
    <col min="13308" max="13312" width="20.5703125" style="6"/>
    <col min="13313" max="13313" width="5.140625" style="6" customWidth="1"/>
    <col min="13314" max="13314" width="19.85546875" style="6" customWidth="1"/>
    <col min="13315" max="13315" width="22.42578125" style="6" customWidth="1"/>
    <col min="13316" max="13316" width="33.5703125" style="6" customWidth="1"/>
    <col min="13317" max="13317" width="56.85546875" style="6" customWidth="1"/>
    <col min="13318" max="13318" width="24.5703125" style="6" customWidth="1"/>
    <col min="13319" max="13319" width="29.42578125" style="6" bestFit="1" customWidth="1"/>
    <col min="13320" max="13320" width="26.42578125" style="6" bestFit="1" customWidth="1"/>
    <col min="13321" max="13323" width="22.5703125" style="6" bestFit="1" customWidth="1"/>
    <col min="13324" max="13324" width="29.85546875" style="6" customWidth="1"/>
    <col min="13325" max="13325" width="13.42578125" style="6" customWidth="1"/>
    <col min="13326" max="13326" width="9.140625" style="6" customWidth="1"/>
    <col min="13327" max="13327" width="10" style="6" bestFit="1" customWidth="1"/>
    <col min="13328" max="13328" width="9.85546875" style="6" customWidth="1"/>
    <col min="13329" max="13329" width="11.42578125" style="6" customWidth="1"/>
    <col min="13330" max="13562" width="9.140625" style="6" customWidth="1"/>
    <col min="13563" max="13563" width="9" style="6" customWidth="1"/>
    <col min="13564" max="13568" width="20.5703125" style="6"/>
    <col min="13569" max="13569" width="5.140625" style="6" customWidth="1"/>
    <col min="13570" max="13570" width="19.85546875" style="6" customWidth="1"/>
    <col min="13571" max="13571" width="22.42578125" style="6" customWidth="1"/>
    <col min="13572" max="13572" width="33.5703125" style="6" customWidth="1"/>
    <col min="13573" max="13573" width="56.85546875" style="6" customWidth="1"/>
    <col min="13574" max="13574" width="24.5703125" style="6" customWidth="1"/>
    <col min="13575" max="13575" width="29.42578125" style="6" bestFit="1" customWidth="1"/>
    <col min="13576" max="13576" width="26.42578125" style="6" bestFit="1" customWidth="1"/>
    <col min="13577" max="13579" width="22.5703125" style="6" bestFit="1" customWidth="1"/>
    <col min="13580" max="13580" width="29.85546875" style="6" customWidth="1"/>
    <col min="13581" max="13581" width="13.42578125" style="6" customWidth="1"/>
    <col min="13582" max="13582" width="9.140625" style="6" customWidth="1"/>
    <col min="13583" max="13583" width="10" style="6" bestFit="1" customWidth="1"/>
    <col min="13584" max="13584" width="9.85546875" style="6" customWidth="1"/>
    <col min="13585" max="13585" width="11.42578125" style="6" customWidth="1"/>
    <col min="13586" max="13818" width="9.140625" style="6" customWidth="1"/>
    <col min="13819" max="13819" width="9" style="6" customWidth="1"/>
    <col min="13820" max="13824" width="20.5703125" style="6"/>
    <col min="13825" max="13825" width="5.140625" style="6" customWidth="1"/>
    <col min="13826" max="13826" width="19.85546875" style="6" customWidth="1"/>
    <col min="13827" max="13827" width="22.42578125" style="6" customWidth="1"/>
    <col min="13828" max="13828" width="33.5703125" style="6" customWidth="1"/>
    <col min="13829" max="13829" width="56.85546875" style="6" customWidth="1"/>
    <col min="13830" max="13830" width="24.5703125" style="6" customWidth="1"/>
    <col min="13831" max="13831" width="29.42578125" style="6" bestFit="1" customWidth="1"/>
    <col min="13832" max="13832" width="26.42578125" style="6" bestFit="1" customWidth="1"/>
    <col min="13833" max="13835" width="22.5703125" style="6" bestFit="1" customWidth="1"/>
    <col min="13836" max="13836" width="29.85546875" style="6" customWidth="1"/>
    <col min="13837" max="13837" width="13.42578125" style="6" customWidth="1"/>
    <col min="13838" max="13838" width="9.140625" style="6" customWidth="1"/>
    <col min="13839" max="13839" width="10" style="6" bestFit="1" customWidth="1"/>
    <col min="13840" max="13840" width="9.85546875" style="6" customWidth="1"/>
    <col min="13841" max="13841" width="11.42578125" style="6" customWidth="1"/>
    <col min="13842" max="14074" width="9.140625" style="6" customWidth="1"/>
    <col min="14075" max="14075" width="9" style="6" customWidth="1"/>
    <col min="14076" max="14080" width="20.5703125" style="6"/>
    <col min="14081" max="14081" width="5.140625" style="6" customWidth="1"/>
    <col min="14082" max="14082" width="19.85546875" style="6" customWidth="1"/>
    <col min="14083" max="14083" width="22.42578125" style="6" customWidth="1"/>
    <col min="14084" max="14084" width="33.5703125" style="6" customWidth="1"/>
    <col min="14085" max="14085" width="56.85546875" style="6" customWidth="1"/>
    <col min="14086" max="14086" width="24.5703125" style="6" customWidth="1"/>
    <col min="14087" max="14087" width="29.42578125" style="6" bestFit="1" customWidth="1"/>
    <col min="14088" max="14088" width="26.42578125" style="6" bestFit="1" customWidth="1"/>
    <col min="14089" max="14091" width="22.5703125" style="6" bestFit="1" customWidth="1"/>
    <col min="14092" max="14092" width="29.85546875" style="6" customWidth="1"/>
    <col min="14093" max="14093" width="13.42578125" style="6" customWidth="1"/>
    <col min="14094" max="14094" width="9.140625" style="6" customWidth="1"/>
    <col min="14095" max="14095" width="10" style="6" bestFit="1" customWidth="1"/>
    <col min="14096" max="14096" width="9.85546875" style="6" customWidth="1"/>
    <col min="14097" max="14097" width="11.42578125" style="6" customWidth="1"/>
    <col min="14098" max="14330" width="9.140625" style="6" customWidth="1"/>
    <col min="14331" max="14331" width="9" style="6" customWidth="1"/>
    <col min="14332" max="14336" width="20.5703125" style="6"/>
    <col min="14337" max="14337" width="5.140625" style="6" customWidth="1"/>
    <col min="14338" max="14338" width="19.85546875" style="6" customWidth="1"/>
    <col min="14339" max="14339" width="22.42578125" style="6" customWidth="1"/>
    <col min="14340" max="14340" width="33.5703125" style="6" customWidth="1"/>
    <col min="14341" max="14341" width="56.85546875" style="6" customWidth="1"/>
    <col min="14342" max="14342" width="24.5703125" style="6" customWidth="1"/>
    <col min="14343" max="14343" width="29.42578125" style="6" bestFit="1" customWidth="1"/>
    <col min="14344" max="14344" width="26.42578125" style="6" bestFit="1" customWidth="1"/>
    <col min="14345" max="14347" width="22.5703125" style="6" bestFit="1" customWidth="1"/>
    <col min="14348" max="14348" width="29.85546875" style="6" customWidth="1"/>
    <col min="14349" max="14349" width="13.42578125" style="6" customWidth="1"/>
    <col min="14350" max="14350" width="9.140625" style="6" customWidth="1"/>
    <col min="14351" max="14351" width="10" style="6" bestFit="1" customWidth="1"/>
    <col min="14352" max="14352" width="9.85546875" style="6" customWidth="1"/>
    <col min="14353" max="14353" width="11.42578125" style="6" customWidth="1"/>
    <col min="14354" max="14586" width="9.140625" style="6" customWidth="1"/>
    <col min="14587" max="14587" width="9" style="6" customWidth="1"/>
    <col min="14588" max="14592" width="20.5703125" style="6"/>
    <col min="14593" max="14593" width="5.140625" style="6" customWidth="1"/>
    <col min="14594" max="14594" width="19.85546875" style="6" customWidth="1"/>
    <col min="14595" max="14595" width="22.42578125" style="6" customWidth="1"/>
    <col min="14596" max="14596" width="33.5703125" style="6" customWidth="1"/>
    <col min="14597" max="14597" width="56.85546875" style="6" customWidth="1"/>
    <col min="14598" max="14598" width="24.5703125" style="6" customWidth="1"/>
    <col min="14599" max="14599" width="29.42578125" style="6" bestFit="1" customWidth="1"/>
    <col min="14600" max="14600" width="26.42578125" style="6" bestFit="1" customWidth="1"/>
    <col min="14601" max="14603" width="22.5703125" style="6" bestFit="1" customWidth="1"/>
    <col min="14604" max="14604" width="29.85546875" style="6" customWidth="1"/>
    <col min="14605" max="14605" width="13.42578125" style="6" customWidth="1"/>
    <col min="14606" max="14606" width="9.140625" style="6" customWidth="1"/>
    <col min="14607" max="14607" width="10" style="6" bestFit="1" customWidth="1"/>
    <col min="14608" max="14608" width="9.85546875" style="6" customWidth="1"/>
    <col min="14609" max="14609" width="11.42578125" style="6" customWidth="1"/>
    <col min="14610" max="14842" width="9.140625" style="6" customWidth="1"/>
    <col min="14843" max="14843" width="9" style="6" customWidth="1"/>
    <col min="14844" max="14848" width="20.5703125" style="6"/>
    <col min="14849" max="14849" width="5.140625" style="6" customWidth="1"/>
    <col min="14850" max="14850" width="19.85546875" style="6" customWidth="1"/>
    <col min="14851" max="14851" width="22.42578125" style="6" customWidth="1"/>
    <col min="14852" max="14852" width="33.5703125" style="6" customWidth="1"/>
    <col min="14853" max="14853" width="56.85546875" style="6" customWidth="1"/>
    <col min="14854" max="14854" width="24.5703125" style="6" customWidth="1"/>
    <col min="14855" max="14855" width="29.42578125" style="6" bestFit="1" customWidth="1"/>
    <col min="14856" max="14856" width="26.42578125" style="6" bestFit="1" customWidth="1"/>
    <col min="14857" max="14859" width="22.5703125" style="6" bestFit="1" customWidth="1"/>
    <col min="14860" max="14860" width="29.85546875" style="6" customWidth="1"/>
    <col min="14861" max="14861" width="13.42578125" style="6" customWidth="1"/>
    <col min="14862" max="14862" width="9.140625" style="6" customWidth="1"/>
    <col min="14863" max="14863" width="10" style="6" bestFit="1" customWidth="1"/>
    <col min="14864" max="14864" width="9.85546875" style="6" customWidth="1"/>
    <col min="14865" max="14865" width="11.42578125" style="6" customWidth="1"/>
    <col min="14866" max="15098" width="9.140625" style="6" customWidth="1"/>
    <col min="15099" max="15099" width="9" style="6" customWidth="1"/>
    <col min="15100" max="15104" width="20.5703125" style="6"/>
    <col min="15105" max="15105" width="5.140625" style="6" customWidth="1"/>
    <col min="15106" max="15106" width="19.85546875" style="6" customWidth="1"/>
    <col min="15107" max="15107" width="22.42578125" style="6" customWidth="1"/>
    <col min="15108" max="15108" width="33.5703125" style="6" customWidth="1"/>
    <col min="15109" max="15109" width="56.85546875" style="6" customWidth="1"/>
    <col min="15110" max="15110" width="24.5703125" style="6" customWidth="1"/>
    <col min="15111" max="15111" width="29.42578125" style="6" bestFit="1" customWidth="1"/>
    <col min="15112" max="15112" width="26.42578125" style="6" bestFit="1" customWidth="1"/>
    <col min="15113" max="15115" width="22.5703125" style="6" bestFit="1" customWidth="1"/>
    <col min="15116" max="15116" width="29.85546875" style="6" customWidth="1"/>
    <col min="15117" max="15117" width="13.42578125" style="6" customWidth="1"/>
    <col min="15118" max="15118" width="9.140625" style="6" customWidth="1"/>
    <col min="15119" max="15119" width="10" style="6" bestFit="1" customWidth="1"/>
    <col min="15120" max="15120" width="9.85546875" style="6" customWidth="1"/>
    <col min="15121" max="15121" width="11.42578125" style="6" customWidth="1"/>
    <col min="15122" max="15354" width="9.140625" style="6" customWidth="1"/>
    <col min="15355" max="15355" width="9" style="6" customWidth="1"/>
    <col min="15356" max="15360" width="20.5703125" style="6"/>
    <col min="15361" max="15361" width="5.140625" style="6" customWidth="1"/>
    <col min="15362" max="15362" width="19.85546875" style="6" customWidth="1"/>
    <col min="15363" max="15363" width="22.42578125" style="6" customWidth="1"/>
    <col min="15364" max="15364" width="33.5703125" style="6" customWidth="1"/>
    <col min="15365" max="15365" width="56.85546875" style="6" customWidth="1"/>
    <col min="15366" max="15366" width="24.5703125" style="6" customWidth="1"/>
    <col min="15367" max="15367" width="29.42578125" style="6" bestFit="1" customWidth="1"/>
    <col min="15368" max="15368" width="26.42578125" style="6" bestFit="1" customWidth="1"/>
    <col min="15369" max="15371" width="22.5703125" style="6" bestFit="1" customWidth="1"/>
    <col min="15372" max="15372" width="29.85546875" style="6" customWidth="1"/>
    <col min="15373" max="15373" width="13.42578125" style="6" customWidth="1"/>
    <col min="15374" max="15374" width="9.140625" style="6" customWidth="1"/>
    <col min="15375" max="15375" width="10" style="6" bestFit="1" customWidth="1"/>
    <col min="15376" max="15376" width="9.85546875" style="6" customWidth="1"/>
    <col min="15377" max="15377" width="11.42578125" style="6" customWidth="1"/>
    <col min="15378" max="15610" width="9.140625" style="6" customWidth="1"/>
    <col min="15611" max="15611" width="9" style="6" customWidth="1"/>
    <col min="15612" max="15616" width="20.5703125" style="6"/>
    <col min="15617" max="15617" width="5.140625" style="6" customWidth="1"/>
    <col min="15618" max="15618" width="19.85546875" style="6" customWidth="1"/>
    <col min="15619" max="15619" width="22.42578125" style="6" customWidth="1"/>
    <col min="15620" max="15620" width="33.5703125" style="6" customWidth="1"/>
    <col min="15621" max="15621" width="56.85546875" style="6" customWidth="1"/>
    <col min="15622" max="15622" width="24.5703125" style="6" customWidth="1"/>
    <col min="15623" max="15623" width="29.42578125" style="6" bestFit="1" customWidth="1"/>
    <col min="15624" max="15624" width="26.42578125" style="6" bestFit="1" customWidth="1"/>
    <col min="15625" max="15627" width="22.5703125" style="6" bestFit="1" customWidth="1"/>
    <col min="15628" max="15628" width="29.85546875" style="6" customWidth="1"/>
    <col min="15629" max="15629" width="13.42578125" style="6" customWidth="1"/>
    <col min="15630" max="15630" width="9.140625" style="6" customWidth="1"/>
    <col min="15631" max="15631" width="10" style="6" bestFit="1" customWidth="1"/>
    <col min="15632" max="15632" width="9.85546875" style="6" customWidth="1"/>
    <col min="15633" max="15633" width="11.42578125" style="6" customWidth="1"/>
    <col min="15634" max="15866" width="9.140625" style="6" customWidth="1"/>
    <col min="15867" max="15867" width="9" style="6" customWidth="1"/>
    <col min="15868" max="15872" width="20.5703125" style="6"/>
    <col min="15873" max="15873" width="5.140625" style="6" customWidth="1"/>
    <col min="15874" max="15874" width="19.85546875" style="6" customWidth="1"/>
    <col min="15875" max="15875" width="22.42578125" style="6" customWidth="1"/>
    <col min="15876" max="15876" width="33.5703125" style="6" customWidth="1"/>
    <col min="15877" max="15877" width="56.85546875" style="6" customWidth="1"/>
    <col min="15878" max="15878" width="24.5703125" style="6" customWidth="1"/>
    <col min="15879" max="15879" width="29.42578125" style="6" bestFit="1" customWidth="1"/>
    <col min="15880" max="15880" width="26.42578125" style="6" bestFit="1" customWidth="1"/>
    <col min="15881" max="15883" width="22.5703125" style="6" bestFit="1" customWidth="1"/>
    <col min="15884" max="15884" width="29.85546875" style="6" customWidth="1"/>
    <col min="15885" max="15885" width="13.42578125" style="6" customWidth="1"/>
    <col min="15886" max="15886" width="9.140625" style="6" customWidth="1"/>
    <col min="15887" max="15887" width="10" style="6" bestFit="1" customWidth="1"/>
    <col min="15888" max="15888" width="9.85546875" style="6" customWidth="1"/>
    <col min="15889" max="15889" width="11.42578125" style="6" customWidth="1"/>
    <col min="15890" max="16122" width="9.140625" style="6" customWidth="1"/>
    <col min="16123" max="16123" width="9" style="6" customWidth="1"/>
    <col min="16124" max="16128" width="20.5703125" style="6"/>
    <col min="16129" max="16129" width="5.140625" style="6" customWidth="1"/>
    <col min="16130" max="16130" width="19.85546875" style="6" customWidth="1"/>
    <col min="16131" max="16131" width="22.42578125" style="6" customWidth="1"/>
    <col min="16132" max="16132" width="33.5703125" style="6" customWidth="1"/>
    <col min="16133" max="16133" width="56.85546875" style="6" customWidth="1"/>
    <col min="16134" max="16134" width="24.5703125" style="6" customWidth="1"/>
    <col min="16135" max="16135" width="29.42578125" style="6" bestFit="1" customWidth="1"/>
    <col min="16136" max="16136" width="26.42578125" style="6" bestFit="1" customWidth="1"/>
    <col min="16137" max="16139" width="22.5703125" style="6" bestFit="1" customWidth="1"/>
    <col min="16140" max="16140" width="29.85546875" style="6" customWidth="1"/>
    <col min="16141" max="16141" width="13.42578125" style="6" customWidth="1"/>
    <col min="16142" max="16142" width="9.140625" style="6" customWidth="1"/>
    <col min="16143" max="16143" width="10" style="6" bestFit="1" customWidth="1"/>
    <col min="16144" max="16144" width="9.85546875" style="6" customWidth="1"/>
    <col min="16145" max="16145" width="11.42578125" style="6" customWidth="1"/>
    <col min="16146" max="16378" width="9.140625" style="6" customWidth="1"/>
    <col min="16379" max="16379" width="9" style="6" customWidth="1"/>
    <col min="16380" max="16384" width="20.5703125" style="6"/>
  </cols>
  <sheetData>
    <row r="1" spans="3:28" ht="16.5" x14ac:dyDescent="0.2">
      <c r="C1" s="1"/>
      <c r="D1" s="2"/>
      <c r="E1" s="2"/>
      <c r="F1" s="3"/>
      <c r="G1" s="3"/>
      <c r="H1" s="4"/>
      <c r="I1" s="5"/>
      <c r="J1" s="5"/>
      <c r="K1" s="5"/>
      <c r="L1" s="1"/>
      <c r="M1" s="1"/>
      <c r="N1" s="1"/>
    </row>
    <row r="2" spans="3:28" ht="69.599999999999994" customHeight="1" x14ac:dyDescent="0.2">
      <c r="C2" s="1"/>
      <c r="D2" s="2"/>
      <c r="E2" s="331" t="s">
        <v>0</v>
      </c>
      <c r="F2" s="331"/>
      <c r="G2" s="331"/>
      <c r="H2" s="331"/>
      <c r="I2" s="331"/>
      <c r="J2" s="331"/>
      <c r="K2" s="331"/>
      <c r="L2" s="331"/>
      <c r="M2" s="1"/>
      <c r="N2" s="1"/>
    </row>
    <row r="3" spans="3:28" ht="15" customHeight="1" thickBot="1" x14ac:dyDescent="0.25">
      <c r="C3" s="1"/>
      <c r="D3" s="2"/>
      <c r="E3" s="2"/>
      <c r="F3" s="3"/>
      <c r="G3" s="3"/>
      <c r="H3" s="4"/>
      <c r="I3" s="5"/>
      <c r="J3" s="5"/>
      <c r="K3" s="5"/>
      <c r="L3" s="1"/>
      <c r="M3" s="1"/>
      <c r="N3" s="1"/>
    </row>
    <row r="4" spans="3:28" ht="15" customHeight="1" x14ac:dyDescent="0.2">
      <c r="C4" s="7"/>
      <c r="D4" s="8" t="s">
        <v>1</v>
      </c>
      <c r="E4" s="9"/>
      <c r="F4" s="10"/>
      <c r="G4" s="332" t="s">
        <v>2</v>
      </c>
      <c r="H4" s="11"/>
      <c r="I4" s="12"/>
      <c r="J4" s="12"/>
      <c r="K4" s="12"/>
      <c r="L4" s="13"/>
      <c r="M4" s="1"/>
      <c r="N4" s="1"/>
    </row>
    <row r="5" spans="3:28" ht="20.45" customHeight="1" thickBot="1" x14ac:dyDescent="0.25">
      <c r="C5" s="1"/>
      <c r="D5" s="14" t="s">
        <v>3</v>
      </c>
      <c r="E5" s="15" t="s">
        <v>4</v>
      </c>
      <c r="F5" s="16" t="s">
        <v>5</v>
      </c>
      <c r="G5" s="333"/>
      <c r="H5" s="17" t="s">
        <v>6</v>
      </c>
      <c r="I5" s="18" t="s">
        <v>7</v>
      </c>
      <c r="J5" s="19" t="s">
        <v>8</v>
      </c>
      <c r="K5" s="19" t="s">
        <v>9</v>
      </c>
      <c r="L5" s="20" t="s">
        <v>10</v>
      </c>
      <c r="M5" s="1"/>
      <c r="N5" s="1"/>
      <c r="P5" s="21"/>
    </row>
    <row r="6" spans="3:28" ht="17.45" customHeight="1" x14ac:dyDescent="0.35">
      <c r="C6" s="22"/>
      <c r="D6" s="23" t="s">
        <v>11</v>
      </c>
      <c r="E6" s="24">
        <v>624</v>
      </c>
      <c r="F6" s="25">
        <v>84</v>
      </c>
      <c r="G6" s="26">
        <f>F6/$F$9</f>
        <v>0.49411764705882355</v>
      </c>
      <c r="H6" s="27">
        <f>F6*E6</f>
        <v>52416</v>
      </c>
      <c r="I6" s="28">
        <v>2490</v>
      </c>
      <c r="J6" s="29">
        <f>I6/E6</f>
        <v>3.9903846153846154</v>
      </c>
      <c r="K6" s="30">
        <f>I6*F6</f>
        <v>209160</v>
      </c>
      <c r="L6" s="31">
        <f>K6*12</f>
        <v>2509920</v>
      </c>
      <c r="M6" s="1"/>
      <c r="N6" s="1"/>
      <c r="P6" s="21"/>
    </row>
    <row r="7" spans="3:28" ht="17.45" customHeight="1" x14ac:dyDescent="0.35">
      <c r="C7" s="22"/>
      <c r="D7" s="23" t="s">
        <v>12</v>
      </c>
      <c r="E7" s="24">
        <v>855.4</v>
      </c>
      <c r="F7" s="25">
        <v>68</v>
      </c>
      <c r="G7" s="26">
        <f>F7/$F$9</f>
        <v>0.4</v>
      </c>
      <c r="H7" s="27">
        <f>F7*E7</f>
        <v>58167.199999999997</v>
      </c>
      <c r="I7" s="28">
        <v>3155</v>
      </c>
      <c r="J7" s="29">
        <f>I7/E7</f>
        <v>3.6883329436520929</v>
      </c>
      <c r="K7" s="30">
        <f>I7*F7</f>
        <v>214540</v>
      </c>
      <c r="L7" s="31">
        <f>K7*12</f>
        <v>2574480</v>
      </c>
      <c r="M7" s="1"/>
      <c r="N7" s="1"/>
      <c r="P7" s="21"/>
    </row>
    <row r="8" spans="3:28" ht="17.45" customHeight="1" thickBot="1" x14ac:dyDescent="0.4">
      <c r="C8" s="22"/>
      <c r="D8" s="23" t="s">
        <v>13</v>
      </c>
      <c r="E8" s="24">
        <v>1015</v>
      </c>
      <c r="F8" s="25">
        <v>18</v>
      </c>
      <c r="G8" s="26">
        <f>F8/$F$9</f>
        <v>0.10588235294117647</v>
      </c>
      <c r="H8" s="27">
        <f>F8*E8</f>
        <v>18270</v>
      </c>
      <c r="I8" s="28">
        <v>3675</v>
      </c>
      <c r="J8" s="29">
        <f>I8/E8</f>
        <v>3.6206896551724137</v>
      </c>
      <c r="K8" s="30">
        <f>I8*F8</f>
        <v>66150</v>
      </c>
      <c r="L8" s="31">
        <f>K8*12</f>
        <v>793800</v>
      </c>
      <c r="M8" s="1"/>
      <c r="N8" s="1"/>
      <c r="P8" s="21"/>
    </row>
    <row r="9" spans="3:28" ht="17.45" customHeight="1" thickBot="1" x14ac:dyDescent="0.25">
      <c r="C9" s="22"/>
      <c r="D9" s="32" t="s">
        <v>14</v>
      </c>
      <c r="E9" s="33">
        <f>SUMPRODUCT(E6:E8,F6:F8)/F9</f>
        <v>757.96</v>
      </c>
      <c r="F9" s="34">
        <f>SUM(F6:F8)</f>
        <v>170</v>
      </c>
      <c r="G9" s="35">
        <f>SUM(G6:G8)</f>
        <v>1</v>
      </c>
      <c r="H9" s="33">
        <f>SUM(H6:H8)</f>
        <v>128853.2</v>
      </c>
      <c r="I9" s="36">
        <f>K9/F9</f>
        <v>2881.4705882352941</v>
      </c>
      <c r="J9" s="37">
        <f>K9/H9</f>
        <v>3.8016129983578213</v>
      </c>
      <c r="K9" s="36">
        <f>SUM(K6:K8)</f>
        <v>489850</v>
      </c>
      <c r="L9" s="38">
        <f>SUM(L6:L8)</f>
        <v>5878200</v>
      </c>
      <c r="M9" s="1"/>
      <c r="N9" s="1"/>
      <c r="P9" s="21"/>
      <c r="Y9" s="39"/>
      <c r="Z9" s="39"/>
      <c r="AA9" s="39"/>
      <c r="AB9" s="39"/>
    </row>
    <row r="10" spans="3:28" ht="18.75" x14ac:dyDescent="0.2">
      <c r="C10" s="22"/>
      <c r="D10" s="40"/>
      <c r="E10" s="41"/>
      <c r="F10" s="42"/>
      <c r="G10" s="43"/>
      <c r="H10" s="43"/>
      <c r="I10" s="43"/>
      <c r="J10" s="43"/>
      <c r="K10" s="1"/>
      <c r="L10" s="1"/>
      <c r="M10" s="1"/>
      <c r="N10" s="1"/>
      <c r="P10" s="21"/>
      <c r="Y10" s="39"/>
      <c r="Z10" s="39"/>
      <c r="AA10" s="39"/>
      <c r="AB10" s="39"/>
    </row>
    <row r="11" spans="3:28" ht="15" customHeight="1" thickBot="1" x14ac:dyDescent="0.25">
      <c r="C11" s="22">
        <f>SUM(C6:C6)</f>
        <v>0</v>
      </c>
      <c r="D11" s="40"/>
      <c r="E11" s="40"/>
      <c r="F11" s="44"/>
      <c r="G11" s="44"/>
      <c r="H11" s="45"/>
      <c r="I11" s="46"/>
      <c r="J11" s="46"/>
      <c r="K11" s="47"/>
      <c r="L11" s="1"/>
      <c r="M11" s="1"/>
      <c r="N11" s="48"/>
      <c r="P11" s="21"/>
    </row>
    <row r="12" spans="3:28" ht="15" customHeight="1" thickBot="1" x14ac:dyDescent="0.25">
      <c r="C12" s="1"/>
      <c r="D12" s="40"/>
      <c r="E12" s="49" t="s">
        <v>15</v>
      </c>
      <c r="F12" s="50">
        <f>F9</f>
        <v>170</v>
      </c>
      <c r="G12" s="40"/>
      <c r="H12" s="51"/>
      <c r="I12" s="49" t="s">
        <v>16</v>
      </c>
      <c r="J12" s="52">
        <f>H9</f>
        <v>128853.2</v>
      </c>
      <c r="K12" s="46"/>
      <c r="L12" s="1"/>
      <c r="M12" s="48"/>
      <c r="N12" s="1"/>
      <c r="O12" s="21"/>
    </row>
    <row r="13" spans="3:28" ht="15" customHeight="1" thickBot="1" x14ac:dyDescent="0.25">
      <c r="C13" s="1"/>
      <c r="D13" s="40"/>
      <c r="E13" s="49"/>
      <c r="F13" s="53"/>
      <c r="G13" s="40"/>
      <c r="H13" s="51"/>
      <c r="I13" s="49" t="s">
        <v>17</v>
      </c>
      <c r="J13" s="54">
        <f>K9</f>
        <v>489850</v>
      </c>
      <c r="K13" s="46"/>
      <c r="L13" s="1"/>
      <c r="M13" s="48"/>
      <c r="N13" s="1"/>
      <c r="O13" s="21"/>
    </row>
    <row r="14" spans="3:28" ht="15" customHeight="1" x14ac:dyDescent="0.2">
      <c r="C14" s="1"/>
      <c r="D14" s="40"/>
      <c r="E14" s="40"/>
      <c r="F14" s="44"/>
      <c r="G14" s="44"/>
      <c r="H14" s="45"/>
      <c r="I14" s="46"/>
      <c r="J14" s="46"/>
      <c r="K14" s="46"/>
      <c r="L14" s="1"/>
      <c r="M14" s="48"/>
      <c r="N14" s="1"/>
      <c r="O14" s="21"/>
    </row>
    <row r="15" spans="3:28" ht="15" customHeight="1" x14ac:dyDescent="0.2">
      <c r="C15" s="1"/>
      <c r="D15" s="40"/>
      <c r="E15" s="55" t="s">
        <v>18</v>
      </c>
      <c r="F15" s="56" t="s">
        <v>19</v>
      </c>
      <c r="G15" s="56" t="s">
        <v>20</v>
      </c>
      <c r="H15" s="57" t="s">
        <v>21</v>
      </c>
      <c r="I15" s="58" t="s">
        <v>22</v>
      </c>
      <c r="J15" s="58" t="s">
        <v>9</v>
      </c>
      <c r="K15" s="58" t="s">
        <v>10</v>
      </c>
      <c r="L15" s="58"/>
      <c r="M15" s="48"/>
      <c r="N15" s="1"/>
      <c r="O15" s="21"/>
    </row>
    <row r="16" spans="3:28" ht="15" customHeight="1" x14ac:dyDescent="0.2">
      <c r="C16" s="1"/>
      <c r="D16" s="59"/>
      <c r="E16" s="40" t="s">
        <v>23</v>
      </c>
      <c r="F16" s="44"/>
      <c r="G16" s="60"/>
      <c r="H16" s="61">
        <f>K16/$F$12</f>
        <v>34577.647058823532</v>
      </c>
      <c r="I16" s="62">
        <f>I9</f>
        <v>2881.4705882352941</v>
      </c>
      <c r="J16" s="62">
        <f>K9</f>
        <v>489850</v>
      </c>
      <c r="K16" s="62">
        <f>L9</f>
        <v>5878200</v>
      </c>
      <c r="L16" s="1"/>
      <c r="M16" s="48"/>
      <c r="N16" s="1"/>
      <c r="O16" s="21"/>
    </row>
    <row r="17" spans="3:16" ht="15" customHeight="1" x14ac:dyDescent="0.2">
      <c r="C17" s="1"/>
      <c r="D17" s="40"/>
      <c r="E17" s="40" t="s">
        <v>24</v>
      </c>
      <c r="F17" s="63">
        <v>162</v>
      </c>
      <c r="G17" s="64">
        <v>200</v>
      </c>
      <c r="H17" s="62">
        <f>K17/$F$12</f>
        <v>2287.0588235294117</v>
      </c>
      <c r="I17" s="62">
        <f>J17/$F$12</f>
        <v>190.58823529411765</v>
      </c>
      <c r="J17" s="62">
        <f>F17*G17</f>
        <v>32400</v>
      </c>
      <c r="K17" s="62">
        <f>J17*12</f>
        <v>388800</v>
      </c>
      <c r="L17" s="65"/>
      <c r="M17" s="48"/>
      <c r="N17" s="1"/>
      <c r="O17" s="66"/>
      <c r="P17" s="66"/>
    </row>
    <row r="18" spans="3:16" ht="15" customHeight="1" x14ac:dyDescent="0.2">
      <c r="C18" s="1"/>
      <c r="D18" s="40"/>
      <c r="E18" s="40" t="s">
        <v>25</v>
      </c>
      <c r="F18" s="63">
        <v>15</v>
      </c>
      <c r="G18" s="64">
        <v>0</v>
      </c>
      <c r="H18" s="62"/>
      <c r="I18" s="62"/>
      <c r="J18" s="62"/>
      <c r="K18" s="62"/>
      <c r="L18" s="1"/>
      <c r="M18" s="48"/>
      <c r="N18" s="1"/>
      <c r="O18" s="66"/>
      <c r="P18" s="66"/>
    </row>
    <row r="19" spans="3:16" ht="15" customHeight="1" x14ac:dyDescent="0.2">
      <c r="C19" s="1"/>
      <c r="D19" s="40"/>
      <c r="E19" s="40" t="s">
        <v>26</v>
      </c>
      <c r="F19" s="63">
        <v>15</v>
      </c>
      <c r="G19" s="64">
        <v>0</v>
      </c>
      <c r="H19" s="62"/>
      <c r="I19" s="62"/>
      <c r="J19" s="62"/>
      <c r="K19" s="62"/>
      <c r="L19" s="1"/>
      <c r="M19" s="48"/>
      <c r="N19" s="1"/>
      <c r="O19" s="66"/>
      <c r="P19" s="66"/>
    </row>
    <row r="20" spans="3:16" ht="15" customHeight="1" x14ac:dyDescent="0.2">
      <c r="C20" s="1"/>
      <c r="D20" s="40"/>
      <c r="E20" s="40" t="s">
        <v>27</v>
      </c>
      <c r="F20" s="63">
        <v>100</v>
      </c>
      <c r="G20" s="64">
        <v>40</v>
      </c>
      <c r="H20" s="62">
        <f>K20/$F$12</f>
        <v>282.35294117647061</v>
      </c>
      <c r="I20" s="62">
        <f>J20/$F$12</f>
        <v>23.529411764705884</v>
      </c>
      <c r="J20" s="62">
        <f>F20*G20</f>
        <v>4000</v>
      </c>
      <c r="K20" s="62">
        <f>J20*12</f>
        <v>48000</v>
      </c>
      <c r="L20" s="1"/>
      <c r="M20" s="48"/>
      <c r="N20" s="1"/>
      <c r="O20" s="66"/>
      <c r="P20" s="66"/>
    </row>
    <row r="21" spans="3:16" ht="15" customHeight="1" x14ac:dyDescent="0.2">
      <c r="C21" s="1"/>
      <c r="D21" s="40"/>
      <c r="E21" s="40" t="s">
        <v>28</v>
      </c>
      <c r="F21" s="63">
        <f>F12</f>
        <v>170</v>
      </c>
      <c r="G21" s="64">
        <f>+'[1]Typical Conv.Operating Expenses'!BU96</f>
        <v>20</v>
      </c>
      <c r="H21" s="62">
        <f>K21/F12</f>
        <v>240</v>
      </c>
      <c r="I21" s="62">
        <f>G21</f>
        <v>20</v>
      </c>
      <c r="J21" s="62">
        <f>I21*F12</f>
        <v>3400</v>
      </c>
      <c r="K21" s="62">
        <f>J21*12</f>
        <v>40800</v>
      </c>
      <c r="L21" s="1"/>
      <c r="M21" s="48"/>
      <c r="N21" s="1"/>
      <c r="O21" s="66"/>
      <c r="P21" s="66"/>
    </row>
    <row r="22" spans="3:16" ht="15" customHeight="1" x14ac:dyDescent="0.2">
      <c r="C22" s="1"/>
      <c r="D22" s="41"/>
      <c r="E22" s="67" t="s">
        <v>29</v>
      </c>
      <c r="F22" s="68"/>
      <c r="G22" s="68"/>
      <c r="H22" s="69">
        <f>SUM(H16:H21)</f>
        <v>37387.058823529413</v>
      </c>
      <c r="I22" s="69">
        <f>SUM(I16:I21)</f>
        <v>3115.5882352941176</v>
      </c>
      <c r="J22" s="69">
        <f>SUM(J16:J21)</f>
        <v>529650</v>
      </c>
      <c r="K22" s="69">
        <f>SUM(K16:K21)</f>
        <v>6355800</v>
      </c>
      <c r="L22" s="1"/>
      <c r="M22" s="48"/>
      <c r="N22" s="1"/>
      <c r="O22" s="66"/>
      <c r="P22" s="66"/>
    </row>
    <row r="23" spans="3:16" ht="15" customHeight="1" x14ac:dyDescent="0.2">
      <c r="C23" s="1"/>
      <c r="D23" s="41"/>
      <c r="E23" s="40" t="s">
        <v>30</v>
      </c>
      <c r="F23" s="70">
        <v>0.03</v>
      </c>
      <c r="G23" s="71"/>
      <c r="H23" s="72">
        <f>-H22*$F$23</f>
        <v>-1121.6117647058823</v>
      </c>
      <c r="I23" s="72">
        <f>-I22*$F$23</f>
        <v>-93.46764705882353</v>
      </c>
      <c r="J23" s="72">
        <f>+K23/12</f>
        <v>-15889.5</v>
      </c>
      <c r="K23" s="72">
        <f>-+K22*F23</f>
        <v>-190674</v>
      </c>
      <c r="L23" s="1"/>
      <c r="M23" s="48"/>
      <c r="N23" s="1"/>
      <c r="O23" s="66"/>
      <c r="P23" s="66"/>
    </row>
    <row r="24" spans="3:16" ht="15" customHeight="1" x14ac:dyDescent="0.2">
      <c r="C24" s="1"/>
      <c r="D24" s="41"/>
      <c r="E24" s="67" t="s">
        <v>31</v>
      </c>
      <c r="F24" s="70"/>
      <c r="G24" s="68" t="s">
        <v>32</v>
      </c>
      <c r="H24" s="72"/>
      <c r="I24" s="72"/>
      <c r="J24" s="72"/>
      <c r="K24" s="69"/>
      <c r="L24" s="1"/>
      <c r="M24" s="48"/>
      <c r="N24" s="1"/>
      <c r="O24" s="66"/>
      <c r="P24" s="66"/>
    </row>
    <row r="25" spans="3:16" ht="15" customHeight="1" x14ac:dyDescent="0.2">
      <c r="C25" s="1"/>
      <c r="D25" s="41"/>
      <c r="E25" s="40" t="s">
        <v>33</v>
      </c>
      <c r="F25" s="73">
        <v>4370</v>
      </c>
      <c r="G25" s="64">
        <v>40</v>
      </c>
      <c r="H25" s="72"/>
      <c r="I25" s="72"/>
      <c r="J25" s="74">
        <f>K25/12</f>
        <v>14566.666666666666</v>
      </c>
      <c r="K25" s="69">
        <f>+F25*G25</f>
        <v>174800</v>
      </c>
      <c r="L25" s="1"/>
      <c r="M25" s="48"/>
      <c r="N25" s="1"/>
      <c r="O25" s="66"/>
      <c r="P25" s="66"/>
    </row>
    <row r="26" spans="3:16" ht="15" customHeight="1" x14ac:dyDescent="0.2">
      <c r="C26" s="1"/>
      <c r="D26" s="75"/>
      <c r="E26" s="40" t="s">
        <v>34</v>
      </c>
      <c r="F26" s="70">
        <v>0.04</v>
      </c>
      <c r="G26" s="71"/>
      <c r="H26" s="72"/>
      <c r="I26" s="72"/>
      <c r="J26" s="72">
        <f>K26/12</f>
        <v>-582.66666666666663</v>
      </c>
      <c r="K26" s="72">
        <f>-K25*$F$26</f>
        <v>-6992</v>
      </c>
      <c r="L26" s="1"/>
      <c r="M26" s="48"/>
      <c r="N26" s="1"/>
      <c r="O26" s="66"/>
      <c r="P26" s="66"/>
    </row>
    <row r="27" spans="3:16" ht="14.45" customHeight="1" x14ac:dyDescent="0.2">
      <c r="D27" s="75"/>
      <c r="E27" s="75" t="s">
        <v>35</v>
      </c>
      <c r="F27" s="76"/>
      <c r="G27" s="77"/>
      <c r="H27" s="69">
        <f>SUM(H22:H25)</f>
        <v>36265.447058823527</v>
      </c>
      <c r="I27" s="69">
        <f>SUM(I22:I25)</f>
        <v>3022.1205882352942</v>
      </c>
      <c r="J27" s="69">
        <f>SUM(J22:J26)</f>
        <v>527744.5</v>
      </c>
      <c r="K27" s="69">
        <f>SUM(K22:K26)</f>
        <v>6332934</v>
      </c>
      <c r="L27" s="78"/>
      <c r="M27" s="48"/>
      <c r="N27" s="1"/>
      <c r="O27" s="66"/>
      <c r="P27" s="66"/>
    </row>
    <row r="28" spans="3:16" ht="18.75" x14ac:dyDescent="0.2">
      <c r="C28" s="1"/>
      <c r="D28" s="40"/>
      <c r="E28" s="75"/>
      <c r="F28" s="59"/>
      <c r="G28" s="75"/>
      <c r="H28" s="79"/>
      <c r="I28" s="79"/>
      <c r="J28" s="79"/>
      <c r="K28" s="79"/>
      <c r="L28" s="1"/>
      <c r="M28" s="48"/>
      <c r="N28" s="1"/>
    </row>
    <row r="29" spans="3:16" ht="24" customHeight="1" x14ac:dyDescent="0.2">
      <c r="C29" s="1"/>
      <c r="D29" s="75"/>
      <c r="E29" s="55" t="s">
        <v>36</v>
      </c>
      <c r="F29" s="56"/>
      <c r="G29" s="56"/>
      <c r="H29" s="80" t="s">
        <v>21</v>
      </c>
      <c r="I29" s="81" t="s">
        <v>22</v>
      </c>
      <c r="J29" s="80" t="s">
        <v>9</v>
      </c>
      <c r="K29" s="80" t="s">
        <v>10</v>
      </c>
      <c r="L29" s="80" t="s">
        <v>37</v>
      </c>
      <c r="M29" s="82"/>
      <c r="N29" s="82"/>
    </row>
    <row r="30" spans="3:16" ht="17.100000000000001" customHeight="1" x14ac:dyDescent="0.2">
      <c r="C30" s="1"/>
      <c r="D30" s="75"/>
      <c r="E30" s="40" t="s">
        <v>38</v>
      </c>
      <c r="F30" s="83">
        <f t="shared" ref="F30:F35" si="0">$F$12</f>
        <v>170</v>
      </c>
      <c r="G30" s="44" t="s">
        <v>39</v>
      </c>
      <c r="H30" s="62">
        <f>+H79</f>
        <v>1130</v>
      </c>
      <c r="I30" s="62">
        <f>H30/12</f>
        <v>94.166666666666671</v>
      </c>
      <c r="J30" s="62">
        <f>K30/12</f>
        <v>16008.333333333334</v>
      </c>
      <c r="K30" s="62">
        <f>H30*F30</f>
        <v>192100</v>
      </c>
      <c r="L30" s="84">
        <f t="shared" ref="L30:L39" si="1">+K30/$K$27</f>
        <v>3.0333491553835867E-2</v>
      </c>
      <c r="M30" s="1"/>
      <c r="N30" s="85"/>
    </row>
    <row r="31" spans="3:16" ht="15.6" customHeight="1" x14ac:dyDescent="0.2">
      <c r="C31" s="1"/>
      <c r="D31" s="75"/>
      <c r="E31" s="40" t="s">
        <v>40</v>
      </c>
      <c r="F31" s="83">
        <f>$F$12</f>
        <v>170</v>
      </c>
      <c r="G31" s="44" t="s">
        <v>39</v>
      </c>
      <c r="H31" s="62">
        <f>+I92</f>
        <v>1050</v>
      </c>
      <c r="I31" s="62">
        <f>H31/12</f>
        <v>87.5</v>
      </c>
      <c r="J31" s="62">
        <f t="shared" ref="J31:J37" si="2">K31/12</f>
        <v>14875</v>
      </c>
      <c r="K31" s="62">
        <f>H31*F31</f>
        <v>178500</v>
      </c>
      <c r="L31" s="84">
        <f t="shared" si="1"/>
        <v>2.8185987727015631E-2</v>
      </c>
      <c r="M31" s="1"/>
      <c r="N31" s="1"/>
    </row>
    <row r="32" spans="3:16" ht="15.6" customHeight="1" x14ac:dyDescent="0.2">
      <c r="C32" s="1"/>
      <c r="D32" s="40"/>
      <c r="E32" s="86" t="s">
        <v>41</v>
      </c>
      <c r="F32" s="83">
        <f t="shared" si="0"/>
        <v>170</v>
      </c>
      <c r="G32" s="44" t="s">
        <v>39</v>
      </c>
      <c r="H32" s="87">
        <f>+I108</f>
        <v>1200</v>
      </c>
      <c r="I32" s="62">
        <f>J32/F12</f>
        <v>100</v>
      </c>
      <c r="J32" s="62">
        <f>K32/12</f>
        <v>17000</v>
      </c>
      <c r="K32" s="62">
        <f>+H32*F12</f>
        <v>204000</v>
      </c>
      <c r="L32" s="84">
        <f t="shared" si="1"/>
        <v>3.2212557402303575E-2</v>
      </c>
      <c r="M32" s="1"/>
      <c r="N32" s="1"/>
    </row>
    <row r="33" spans="3:255" ht="26.45" customHeight="1" x14ac:dyDescent="0.2">
      <c r="C33" s="1"/>
      <c r="D33" s="40"/>
      <c r="E33" s="40" t="s">
        <v>42</v>
      </c>
      <c r="F33" s="83">
        <f t="shared" si="0"/>
        <v>170</v>
      </c>
      <c r="G33" s="44" t="s">
        <v>39</v>
      </c>
      <c r="H33" s="62">
        <f>+F116</f>
        <v>450</v>
      </c>
      <c r="I33" s="62">
        <f>H33/12</f>
        <v>37.5</v>
      </c>
      <c r="J33" s="62">
        <f t="shared" si="2"/>
        <v>6375</v>
      </c>
      <c r="K33" s="62">
        <f>H33*F33</f>
        <v>76500</v>
      </c>
      <c r="L33" s="84">
        <f t="shared" si="1"/>
        <v>1.2079709025863842E-2</v>
      </c>
      <c r="M33" s="1"/>
      <c r="N33" s="1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  <c r="AQ33" s="88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88"/>
      <c r="BF33" s="88"/>
      <c r="BG33" s="88"/>
      <c r="BH33" s="88"/>
      <c r="BI33" s="88"/>
      <c r="BJ33" s="88"/>
      <c r="BK33" s="88"/>
      <c r="BL33" s="88"/>
      <c r="BM33" s="88"/>
      <c r="BN33" s="88"/>
      <c r="BO33" s="88"/>
      <c r="BP33" s="88"/>
      <c r="BQ33" s="88"/>
      <c r="BR33" s="88"/>
      <c r="BS33" s="88"/>
      <c r="BT33" s="88"/>
      <c r="BU33" s="88"/>
      <c r="BV33" s="88"/>
      <c r="BW33" s="88"/>
      <c r="BX33" s="88"/>
      <c r="BY33" s="88"/>
      <c r="BZ33" s="88"/>
      <c r="CA33" s="88"/>
      <c r="CB33" s="88"/>
      <c r="CC33" s="88"/>
      <c r="CD33" s="88"/>
      <c r="CE33" s="88"/>
      <c r="CF33" s="88"/>
      <c r="CG33" s="88"/>
      <c r="CH33" s="88"/>
      <c r="CI33" s="88"/>
      <c r="CJ33" s="88"/>
      <c r="CK33" s="88"/>
      <c r="CL33" s="88"/>
      <c r="CM33" s="88"/>
      <c r="CN33" s="88"/>
      <c r="CO33" s="88"/>
      <c r="CP33" s="88"/>
      <c r="CQ33" s="88"/>
      <c r="CR33" s="88"/>
      <c r="CS33" s="88"/>
      <c r="CT33" s="88"/>
      <c r="CU33" s="88"/>
      <c r="CV33" s="88"/>
      <c r="CW33" s="88"/>
      <c r="CX33" s="88"/>
      <c r="CY33" s="88"/>
      <c r="CZ33" s="88"/>
      <c r="DA33" s="88"/>
      <c r="DB33" s="88"/>
      <c r="DC33" s="88"/>
      <c r="DD33" s="88"/>
      <c r="DE33" s="88"/>
      <c r="DF33" s="88"/>
      <c r="DG33" s="88"/>
      <c r="DH33" s="88"/>
      <c r="DI33" s="88"/>
      <c r="DJ33" s="88"/>
      <c r="DK33" s="88"/>
      <c r="DL33" s="88"/>
      <c r="DM33" s="88"/>
      <c r="DN33" s="88"/>
      <c r="DO33" s="88"/>
      <c r="DP33" s="88"/>
      <c r="DQ33" s="88"/>
      <c r="DR33" s="88"/>
      <c r="DS33" s="88"/>
      <c r="DT33" s="88"/>
      <c r="DU33" s="88"/>
      <c r="DV33" s="88"/>
      <c r="DW33" s="88"/>
      <c r="DX33" s="88"/>
      <c r="DY33" s="88"/>
      <c r="DZ33" s="88"/>
      <c r="EA33" s="88"/>
      <c r="EB33" s="88"/>
      <c r="EC33" s="88"/>
      <c r="ED33" s="88"/>
      <c r="EE33" s="88"/>
      <c r="EF33" s="88"/>
      <c r="EG33" s="88"/>
      <c r="EH33" s="88"/>
      <c r="EI33" s="88"/>
      <c r="EJ33" s="88"/>
      <c r="EK33" s="88"/>
      <c r="EL33" s="88"/>
      <c r="EM33" s="88"/>
      <c r="EN33" s="88"/>
      <c r="EO33" s="88"/>
      <c r="EP33" s="88"/>
      <c r="EQ33" s="88"/>
      <c r="ER33" s="88"/>
      <c r="ES33" s="88"/>
      <c r="ET33" s="88"/>
      <c r="EU33" s="88"/>
      <c r="EV33" s="88"/>
      <c r="EW33" s="88"/>
      <c r="EX33" s="88"/>
      <c r="EY33" s="88"/>
      <c r="EZ33" s="88"/>
      <c r="FA33" s="88"/>
      <c r="FB33" s="88"/>
      <c r="FC33" s="88"/>
      <c r="FD33" s="88"/>
      <c r="FE33" s="88"/>
      <c r="FF33" s="88"/>
      <c r="FG33" s="88"/>
      <c r="FH33" s="88"/>
      <c r="FI33" s="88"/>
      <c r="FJ33" s="88"/>
      <c r="FK33" s="88"/>
      <c r="FL33" s="88"/>
      <c r="FM33" s="88"/>
      <c r="FN33" s="88"/>
      <c r="FO33" s="88"/>
      <c r="FP33" s="88"/>
      <c r="FQ33" s="88"/>
      <c r="FR33" s="88"/>
      <c r="FS33" s="88"/>
      <c r="FT33" s="88"/>
      <c r="FU33" s="88"/>
      <c r="FV33" s="88"/>
      <c r="FW33" s="88"/>
      <c r="FX33" s="88"/>
      <c r="FY33" s="88"/>
      <c r="FZ33" s="88"/>
      <c r="GA33" s="88"/>
      <c r="GB33" s="88"/>
      <c r="GC33" s="88"/>
      <c r="GD33" s="88"/>
      <c r="GE33" s="88"/>
      <c r="GF33" s="88"/>
      <c r="GG33" s="88"/>
      <c r="GH33" s="88"/>
      <c r="GI33" s="88"/>
      <c r="GJ33" s="88"/>
      <c r="GK33" s="88"/>
      <c r="GL33" s="88"/>
      <c r="GM33" s="88"/>
      <c r="GN33" s="88"/>
      <c r="GO33" s="88"/>
      <c r="GP33" s="88"/>
      <c r="GQ33" s="88"/>
      <c r="GR33" s="88"/>
      <c r="GS33" s="88"/>
      <c r="GT33" s="88"/>
      <c r="GU33" s="88"/>
      <c r="GV33" s="88"/>
      <c r="GW33" s="88"/>
      <c r="GX33" s="88"/>
      <c r="GY33" s="88"/>
      <c r="GZ33" s="88"/>
      <c r="HA33" s="88"/>
      <c r="HB33" s="88"/>
      <c r="HC33" s="88"/>
      <c r="HD33" s="88"/>
      <c r="HE33" s="88"/>
      <c r="HF33" s="88"/>
      <c r="HG33" s="88"/>
      <c r="HH33" s="88"/>
      <c r="HI33" s="88"/>
      <c r="HJ33" s="88"/>
      <c r="HK33" s="88"/>
      <c r="HL33" s="88"/>
      <c r="HM33" s="88"/>
      <c r="HN33" s="88"/>
      <c r="HO33" s="88"/>
      <c r="HP33" s="88"/>
      <c r="HQ33" s="88"/>
      <c r="HR33" s="88"/>
      <c r="HS33" s="88"/>
      <c r="HT33" s="88"/>
      <c r="HU33" s="88"/>
      <c r="HV33" s="88"/>
      <c r="HW33" s="88"/>
      <c r="HX33" s="88"/>
      <c r="HY33" s="88"/>
      <c r="HZ33" s="88"/>
      <c r="IA33" s="88"/>
      <c r="IB33" s="88"/>
      <c r="IC33" s="88"/>
      <c r="ID33" s="88"/>
      <c r="IE33" s="88"/>
      <c r="IF33" s="88"/>
      <c r="IG33" s="88"/>
      <c r="IH33" s="88"/>
      <c r="II33" s="88"/>
      <c r="IJ33" s="88"/>
      <c r="IK33" s="88"/>
      <c r="IL33" s="88"/>
      <c r="IM33" s="88"/>
      <c r="IN33" s="88"/>
      <c r="IO33" s="88"/>
    </row>
    <row r="34" spans="3:255" s="88" customFormat="1" ht="18.75" x14ac:dyDescent="0.2">
      <c r="C34" s="89"/>
      <c r="D34" s="40"/>
      <c r="E34" s="40" t="s">
        <v>43</v>
      </c>
      <c r="F34" s="83">
        <f t="shared" si="0"/>
        <v>170</v>
      </c>
      <c r="G34" s="44" t="s">
        <v>39</v>
      </c>
      <c r="H34" s="62">
        <f>+F121</f>
        <v>300</v>
      </c>
      <c r="I34" s="62">
        <f>H34/12</f>
        <v>25</v>
      </c>
      <c r="J34" s="62">
        <f t="shared" si="2"/>
        <v>4250</v>
      </c>
      <c r="K34" s="62">
        <f>H34*F34</f>
        <v>51000</v>
      </c>
      <c r="L34" s="84">
        <f t="shared" si="1"/>
        <v>8.0531393505758938E-3</v>
      </c>
      <c r="M34" s="89"/>
      <c r="N34" s="89"/>
    </row>
    <row r="35" spans="3:255" s="88" customFormat="1" ht="21.6" customHeight="1" x14ac:dyDescent="0.2">
      <c r="C35" s="89"/>
      <c r="D35" s="40"/>
      <c r="E35" s="40" t="s">
        <v>44</v>
      </c>
      <c r="F35" s="83">
        <f t="shared" si="0"/>
        <v>170</v>
      </c>
      <c r="G35" s="44" t="s">
        <v>39</v>
      </c>
      <c r="H35" s="62">
        <f>+F126</f>
        <v>250</v>
      </c>
      <c r="I35" s="62">
        <f>H35/12</f>
        <v>20.833333333333332</v>
      </c>
      <c r="J35" s="62">
        <f t="shared" si="2"/>
        <v>3541.6666666666665</v>
      </c>
      <c r="K35" s="62">
        <f>H35*F35</f>
        <v>42500</v>
      </c>
      <c r="L35" s="84">
        <f t="shared" si="1"/>
        <v>6.7109494588132451E-3</v>
      </c>
      <c r="M35" s="89"/>
      <c r="N35" s="89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6"/>
      <c r="IB35" s="6"/>
      <c r="IC35" s="6"/>
      <c r="ID35" s="6"/>
      <c r="IE35" s="6"/>
      <c r="IF35" s="6"/>
      <c r="IG35" s="6"/>
      <c r="IH35" s="6"/>
      <c r="II35" s="6"/>
      <c r="IJ35" s="6"/>
      <c r="IK35" s="6"/>
      <c r="IL35" s="6"/>
      <c r="IM35" s="6"/>
      <c r="IN35" s="6"/>
      <c r="IO35" s="6"/>
    </row>
    <row r="36" spans="3:255" ht="18.75" x14ac:dyDescent="0.2">
      <c r="C36" s="1"/>
      <c r="D36" s="40"/>
      <c r="E36" s="40" t="s">
        <v>45</v>
      </c>
      <c r="F36" s="44" t="s">
        <v>46</v>
      </c>
      <c r="G36" s="90">
        <v>4.2500000000000003E-2</v>
      </c>
      <c r="H36" s="62">
        <f>ROUND(K36/F12,-1)</f>
        <v>1580</v>
      </c>
      <c r="I36" s="62">
        <f>J36/F12</f>
        <v>131.936125</v>
      </c>
      <c r="J36" s="62">
        <f>K36/12</f>
        <v>22429.141250000001</v>
      </c>
      <c r="K36" s="62">
        <f>K27*G36</f>
        <v>269149.69500000001</v>
      </c>
      <c r="L36" s="84">
        <f t="shared" si="1"/>
        <v>4.2500000000000003E-2</v>
      </c>
      <c r="M36" s="82"/>
      <c r="N36" s="82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91"/>
      <c r="AU36" s="91"/>
      <c r="AV36" s="91"/>
      <c r="AW36" s="91"/>
      <c r="AX36" s="91"/>
      <c r="AY36" s="91"/>
      <c r="AZ36" s="91"/>
      <c r="BA36" s="91"/>
      <c r="BB36" s="91"/>
      <c r="BC36" s="91"/>
      <c r="BD36" s="91"/>
      <c r="BE36" s="91"/>
      <c r="BF36" s="91"/>
      <c r="BG36" s="91"/>
      <c r="BH36" s="91"/>
      <c r="BI36" s="91"/>
      <c r="BJ36" s="91"/>
      <c r="BK36" s="91"/>
      <c r="BL36" s="91"/>
      <c r="BM36" s="91"/>
      <c r="BN36" s="91"/>
      <c r="BO36" s="91"/>
      <c r="BP36" s="91"/>
      <c r="BQ36" s="91"/>
      <c r="BR36" s="91"/>
      <c r="BS36" s="91"/>
      <c r="BT36" s="91"/>
      <c r="BU36" s="91"/>
      <c r="BV36" s="91"/>
      <c r="BW36" s="91"/>
      <c r="BX36" s="91"/>
      <c r="BY36" s="91"/>
      <c r="BZ36" s="91"/>
      <c r="CA36" s="91"/>
      <c r="CB36" s="91"/>
      <c r="CC36" s="91"/>
      <c r="CD36" s="91"/>
      <c r="CE36" s="91"/>
      <c r="CF36" s="91"/>
      <c r="CG36" s="91"/>
      <c r="CH36" s="91"/>
      <c r="CI36" s="91"/>
      <c r="CJ36" s="91"/>
      <c r="CK36" s="91"/>
      <c r="CL36" s="91"/>
      <c r="CM36" s="91"/>
      <c r="CN36" s="91"/>
      <c r="CO36" s="91"/>
      <c r="CP36" s="91"/>
      <c r="CQ36" s="91"/>
      <c r="CR36" s="91"/>
      <c r="CS36" s="91"/>
      <c r="CT36" s="91"/>
      <c r="CU36" s="91"/>
      <c r="CV36" s="91"/>
      <c r="CW36" s="91"/>
      <c r="CX36" s="91"/>
      <c r="CY36" s="91"/>
      <c r="CZ36" s="91"/>
      <c r="DA36" s="91"/>
      <c r="DB36" s="91"/>
      <c r="DC36" s="91"/>
      <c r="DD36" s="91"/>
      <c r="DE36" s="91"/>
      <c r="DF36" s="91"/>
      <c r="DG36" s="91"/>
      <c r="DH36" s="91"/>
      <c r="DI36" s="91"/>
      <c r="DJ36" s="91"/>
      <c r="DK36" s="91"/>
      <c r="DL36" s="91"/>
      <c r="DM36" s="91"/>
      <c r="DN36" s="91"/>
      <c r="DO36" s="91"/>
      <c r="DP36" s="91"/>
      <c r="DQ36" s="91"/>
      <c r="DR36" s="91"/>
      <c r="DS36" s="91"/>
      <c r="DT36" s="91"/>
      <c r="DU36" s="91"/>
      <c r="DV36" s="91"/>
      <c r="DW36" s="91"/>
      <c r="DX36" s="91"/>
      <c r="DY36" s="91"/>
      <c r="DZ36" s="91"/>
      <c r="EA36" s="91"/>
      <c r="EB36" s="91"/>
      <c r="EC36" s="91"/>
      <c r="ED36" s="91"/>
      <c r="EE36" s="91"/>
      <c r="EF36" s="91"/>
      <c r="EG36" s="91"/>
      <c r="EH36" s="91"/>
      <c r="EI36" s="91"/>
      <c r="EJ36" s="91"/>
      <c r="EK36" s="91"/>
      <c r="EL36" s="91"/>
      <c r="EM36" s="91"/>
      <c r="EN36" s="91"/>
      <c r="EO36" s="91"/>
      <c r="EP36" s="91"/>
      <c r="EQ36" s="91"/>
      <c r="ER36" s="91"/>
      <c r="ES36" s="91"/>
      <c r="ET36" s="91"/>
      <c r="EU36" s="91"/>
      <c r="EV36" s="91"/>
      <c r="EW36" s="91"/>
      <c r="EX36" s="91"/>
      <c r="EY36" s="91"/>
      <c r="EZ36" s="91"/>
      <c r="FA36" s="91"/>
      <c r="FB36" s="91"/>
      <c r="FC36" s="91"/>
      <c r="FD36" s="91"/>
      <c r="FE36" s="91"/>
      <c r="FF36" s="91"/>
      <c r="FG36" s="91"/>
      <c r="FH36" s="91"/>
      <c r="FI36" s="91"/>
      <c r="FJ36" s="91"/>
      <c r="FK36" s="91"/>
      <c r="FL36" s="91"/>
      <c r="FM36" s="91"/>
      <c r="FN36" s="91"/>
      <c r="FO36" s="91"/>
      <c r="FP36" s="91"/>
      <c r="FQ36" s="91"/>
      <c r="FR36" s="91"/>
      <c r="FS36" s="91"/>
      <c r="FT36" s="91"/>
      <c r="FU36" s="91"/>
      <c r="FV36" s="91"/>
      <c r="FW36" s="91"/>
      <c r="FX36" s="91"/>
      <c r="FY36" s="91"/>
      <c r="FZ36" s="91"/>
      <c r="GA36" s="91"/>
      <c r="GB36" s="91"/>
      <c r="GC36" s="91"/>
      <c r="GD36" s="91"/>
      <c r="GE36" s="91"/>
      <c r="GF36" s="91"/>
      <c r="GG36" s="91"/>
      <c r="GH36" s="91"/>
      <c r="GI36" s="91"/>
      <c r="GJ36" s="91"/>
      <c r="GK36" s="91"/>
      <c r="GL36" s="91"/>
      <c r="GM36" s="91"/>
      <c r="GN36" s="91"/>
      <c r="GO36" s="91"/>
      <c r="GP36" s="91"/>
      <c r="GQ36" s="91"/>
      <c r="GR36" s="91"/>
      <c r="GS36" s="91"/>
      <c r="GT36" s="91"/>
      <c r="GU36" s="91"/>
      <c r="GV36" s="91"/>
      <c r="GW36" s="91"/>
      <c r="GX36" s="91"/>
      <c r="GY36" s="91"/>
      <c r="GZ36" s="91"/>
      <c r="HA36" s="91"/>
      <c r="HB36" s="91"/>
      <c r="HC36" s="91"/>
      <c r="HD36" s="91"/>
      <c r="HE36" s="91"/>
      <c r="HF36" s="91"/>
      <c r="HG36" s="91"/>
      <c r="HH36" s="91"/>
      <c r="HI36" s="91"/>
      <c r="HJ36" s="91"/>
      <c r="HK36" s="91"/>
      <c r="HL36" s="91"/>
      <c r="HM36" s="91"/>
      <c r="HN36" s="91"/>
      <c r="HO36" s="91"/>
      <c r="HP36" s="91"/>
      <c r="HQ36" s="91"/>
      <c r="HR36" s="91"/>
      <c r="HS36" s="91"/>
      <c r="HT36" s="91"/>
      <c r="HU36" s="91"/>
      <c r="HV36" s="91"/>
      <c r="HW36" s="91"/>
      <c r="HX36" s="91"/>
      <c r="HY36" s="91"/>
      <c r="HZ36" s="91"/>
      <c r="IA36" s="91"/>
      <c r="IB36" s="91"/>
      <c r="IC36" s="91"/>
      <c r="ID36" s="91"/>
      <c r="IE36" s="91"/>
      <c r="IF36" s="91"/>
      <c r="IG36" s="91"/>
      <c r="IH36" s="91"/>
      <c r="II36" s="91"/>
      <c r="IJ36" s="91"/>
      <c r="IK36" s="91"/>
      <c r="IL36" s="91"/>
      <c r="IM36" s="91"/>
      <c r="IN36" s="91"/>
      <c r="IO36" s="91"/>
    </row>
    <row r="37" spans="3:255" s="91" customFormat="1" ht="18.75" x14ac:dyDescent="0.2">
      <c r="C37" s="92"/>
      <c r="D37" s="40"/>
      <c r="E37" s="40" t="s">
        <v>47</v>
      </c>
      <c r="F37" s="93">
        <v>7.5408699999999999E-3</v>
      </c>
      <c r="G37" s="94">
        <v>450000</v>
      </c>
      <c r="H37" s="62">
        <f>ROUND(K37/F12,-1)</f>
        <v>3390</v>
      </c>
      <c r="I37" s="62">
        <f>J37/F12</f>
        <v>282.78262499999994</v>
      </c>
      <c r="J37" s="62">
        <f t="shared" si="2"/>
        <v>48073.046249999992</v>
      </c>
      <c r="K37" s="62">
        <f>F12*G37*F37</f>
        <v>576876.55499999993</v>
      </c>
      <c r="L37" s="84">
        <f t="shared" si="1"/>
        <v>9.1091515401865858E-2</v>
      </c>
      <c r="M37" s="1"/>
      <c r="N37" s="1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</row>
    <row r="38" spans="3:255" s="91" customFormat="1" ht="18.75" x14ac:dyDescent="0.2">
      <c r="C38" s="92"/>
      <c r="D38" s="40"/>
      <c r="E38" s="95" t="s">
        <v>48</v>
      </c>
      <c r="F38" s="96"/>
      <c r="G38" s="97">
        <f>+I136</f>
        <v>0.02</v>
      </c>
      <c r="H38" s="62">
        <f>ROUND(K38/F12,-1)</f>
        <v>750</v>
      </c>
      <c r="I38" s="62">
        <f>J38/F12</f>
        <v>62.087588235294128</v>
      </c>
      <c r="J38" s="62">
        <f>K38/12</f>
        <v>10554.890000000001</v>
      </c>
      <c r="K38" s="62">
        <f>K27*G38</f>
        <v>126658.68000000001</v>
      </c>
      <c r="L38" s="84">
        <f t="shared" si="1"/>
        <v>0.02</v>
      </c>
      <c r="M38" s="1"/>
      <c r="N38" s="1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/>
      <c r="IA38" s="6"/>
      <c r="IB38" s="6"/>
      <c r="IC38" s="6"/>
      <c r="ID38" s="6"/>
      <c r="IE38" s="6"/>
      <c r="IF38" s="6"/>
      <c r="IG38" s="6"/>
      <c r="IH38" s="6"/>
      <c r="II38" s="6"/>
      <c r="IJ38" s="6"/>
      <c r="IK38" s="6"/>
      <c r="IL38" s="6"/>
      <c r="IM38" s="6"/>
      <c r="IN38" s="6"/>
      <c r="IO38" s="6"/>
    </row>
    <row r="39" spans="3:255" ht="18.75" x14ac:dyDescent="0.2">
      <c r="C39" s="1"/>
      <c r="D39" s="40"/>
      <c r="E39" s="75" t="s">
        <v>35</v>
      </c>
      <c r="F39" s="98">
        <f>K39/K27</f>
        <v>0.27116734992027391</v>
      </c>
      <c r="G39" s="67"/>
      <c r="H39" s="99">
        <f>SUM(H30:H38)</f>
        <v>10100</v>
      </c>
      <c r="I39" s="69">
        <f>SUM(I30:I38)</f>
        <v>841.80633823529411</v>
      </c>
      <c r="J39" s="69">
        <f>SUM(J30:J38)</f>
        <v>143107.07750000001</v>
      </c>
      <c r="K39" s="69">
        <f>SUM(K30:K38)</f>
        <v>1717284.93</v>
      </c>
      <c r="L39" s="100">
        <f t="shared" si="1"/>
        <v>0.27116734992027391</v>
      </c>
      <c r="M39" s="82"/>
      <c r="N39" s="82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  <c r="AP39" s="91"/>
      <c r="AQ39" s="91"/>
      <c r="AR39" s="91"/>
      <c r="AS39" s="91"/>
      <c r="AT39" s="91"/>
      <c r="AU39" s="91"/>
      <c r="AV39" s="91"/>
      <c r="AW39" s="91"/>
      <c r="AX39" s="91"/>
      <c r="AY39" s="91"/>
      <c r="AZ39" s="91"/>
      <c r="BA39" s="91"/>
      <c r="BB39" s="91"/>
      <c r="BC39" s="91"/>
      <c r="BD39" s="91"/>
      <c r="BE39" s="91"/>
      <c r="BF39" s="91"/>
      <c r="BG39" s="91"/>
      <c r="BH39" s="91"/>
      <c r="BI39" s="91"/>
      <c r="BJ39" s="91"/>
      <c r="BK39" s="91"/>
      <c r="BL39" s="91"/>
      <c r="BM39" s="91"/>
      <c r="BN39" s="91"/>
      <c r="BO39" s="91"/>
      <c r="BP39" s="91"/>
      <c r="BQ39" s="91"/>
      <c r="BR39" s="91"/>
      <c r="BS39" s="91"/>
      <c r="BT39" s="91"/>
      <c r="BU39" s="91"/>
      <c r="BV39" s="91"/>
      <c r="BW39" s="91"/>
      <c r="BX39" s="91"/>
      <c r="BY39" s="91"/>
      <c r="BZ39" s="91"/>
      <c r="CA39" s="91"/>
      <c r="CB39" s="91"/>
      <c r="CC39" s="91"/>
      <c r="CD39" s="91"/>
      <c r="CE39" s="91"/>
      <c r="CF39" s="91"/>
      <c r="CG39" s="91"/>
      <c r="CH39" s="91"/>
      <c r="CI39" s="91"/>
      <c r="CJ39" s="91"/>
      <c r="CK39" s="91"/>
      <c r="CL39" s="91"/>
      <c r="CM39" s="91"/>
      <c r="CN39" s="91"/>
      <c r="CO39" s="91"/>
      <c r="CP39" s="91"/>
      <c r="CQ39" s="91"/>
      <c r="CR39" s="91"/>
      <c r="CS39" s="91"/>
      <c r="CT39" s="91"/>
      <c r="CU39" s="91"/>
      <c r="CV39" s="91"/>
      <c r="CW39" s="91"/>
      <c r="CX39" s="91"/>
      <c r="CY39" s="91"/>
      <c r="CZ39" s="91"/>
      <c r="DA39" s="91"/>
      <c r="DB39" s="91"/>
      <c r="DC39" s="91"/>
      <c r="DD39" s="91"/>
      <c r="DE39" s="91"/>
      <c r="DF39" s="91"/>
      <c r="DG39" s="91"/>
      <c r="DH39" s="91"/>
      <c r="DI39" s="91"/>
      <c r="DJ39" s="91"/>
      <c r="DK39" s="91"/>
      <c r="DL39" s="91"/>
      <c r="DM39" s="91"/>
      <c r="DN39" s="91"/>
      <c r="DO39" s="91"/>
      <c r="DP39" s="91"/>
      <c r="DQ39" s="91"/>
      <c r="DR39" s="91"/>
      <c r="DS39" s="91"/>
      <c r="DT39" s="91"/>
      <c r="DU39" s="91"/>
      <c r="DV39" s="91"/>
      <c r="DW39" s="91"/>
      <c r="DX39" s="91"/>
      <c r="DY39" s="91"/>
      <c r="DZ39" s="91"/>
      <c r="EA39" s="91"/>
      <c r="EB39" s="91"/>
      <c r="EC39" s="91"/>
      <c r="ED39" s="91"/>
      <c r="EE39" s="91"/>
      <c r="EF39" s="91"/>
      <c r="EG39" s="91"/>
      <c r="EH39" s="91"/>
      <c r="EI39" s="91"/>
      <c r="EJ39" s="91"/>
      <c r="EK39" s="91"/>
      <c r="EL39" s="91"/>
      <c r="EM39" s="91"/>
      <c r="EN39" s="91"/>
      <c r="EO39" s="91"/>
      <c r="EP39" s="91"/>
      <c r="EQ39" s="91"/>
      <c r="ER39" s="91"/>
      <c r="ES39" s="91"/>
      <c r="ET39" s="91"/>
      <c r="EU39" s="91"/>
      <c r="EV39" s="91"/>
      <c r="EW39" s="91"/>
      <c r="EX39" s="91"/>
      <c r="EY39" s="91"/>
      <c r="EZ39" s="91"/>
      <c r="FA39" s="91"/>
      <c r="FB39" s="91"/>
      <c r="FC39" s="91"/>
      <c r="FD39" s="91"/>
      <c r="FE39" s="91"/>
      <c r="FF39" s="91"/>
      <c r="FG39" s="91"/>
      <c r="FH39" s="91"/>
      <c r="FI39" s="91"/>
      <c r="FJ39" s="91"/>
      <c r="FK39" s="91"/>
      <c r="FL39" s="91"/>
      <c r="FM39" s="91"/>
      <c r="FN39" s="91"/>
      <c r="FO39" s="91"/>
      <c r="FP39" s="91"/>
      <c r="FQ39" s="91"/>
      <c r="FR39" s="91"/>
      <c r="FS39" s="91"/>
      <c r="FT39" s="91"/>
      <c r="FU39" s="91"/>
      <c r="FV39" s="91"/>
      <c r="FW39" s="91"/>
      <c r="FX39" s="91"/>
      <c r="FY39" s="91"/>
      <c r="FZ39" s="91"/>
      <c r="GA39" s="91"/>
      <c r="GB39" s="91"/>
      <c r="GC39" s="91"/>
      <c r="GD39" s="91"/>
      <c r="GE39" s="91"/>
      <c r="GF39" s="91"/>
      <c r="GG39" s="91"/>
      <c r="GH39" s="91"/>
      <c r="GI39" s="91"/>
      <c r="GJ39" s="91"/>
      <c r="GK39" s="91"/>
      <c r="GL39" s="91"/>
      <c r="GM39" s="91"/>
      <c r="GN39" s="91"/>
      <c r="GO39" s="91"/>
      <c r="GP39" s="91"/>
      <c r="GQ39" s="91"/>
      <c r="GR39" s="91"/>
      <c r="GS39" s="91"/>
      <c r="GT39" s="91"/>
      <c r="GU39" s="91"/>
      <c r="GV39" s="91"/>
      <c r="GW39" s="91"/>
      <c r="GX39" s="91"/>
      <c r="GY39" s="91"/>
      <c r="GZ39" s="91"/>
      <c r="HA39" s="91"/>
      <c r="HB39" s="91"/>
      <c r="HC39" s="91"/>
      <c r="HD39" s="91"/>
      <c r="HE39" s="91"/>
      <c r="HF39" s="91"/>
      <c r="HG39" s="91"/>
      <c r="HH39" s="91"/>
      <c r="HI39" s="91"/>
      <c r="HJ39" s="91"/>
      <c r="HK39" s="91"/>
      <c r="HL39" s="91"/>
      <c r="HM39" s="91"/>
      <c r="HN39" s="91"/>
      <c r="HO39" s="91"/>
      <c r="HP39" s="91"/>
      <c r="HQ39" s="91"/>
      <c r="HR39" s="91"/>
      <c r="HS39" s="91"/>
      <c r="HT39" s="91"/>
      <c r="HU39" s="91"/>
      <c r="HV39" s="91"/>
      <c r="HW39" s="91"/>
      <c r="HX39" s="91"/>
      <c r="HY39" s="91"/>
      <c r="HZ39" s="91"/>
      <c r="IA39" s="91"/>
      <c r="IB39" s="91"/>
      <c r="IC39" s="91"/>
      <c r="ID39" s="91"/>
      <c r="IE39" s="91"/>
      <c r="IF39" s="91"/>
      <c r="IG39" s="91"/>
      <c r="IH39" s="91"/>
      <c r="II39" s="91"/>
      <c r="IJ39" s="91"/>
      <c r="IK39" s="91"/>
      <c r="IL39" s="91"/>
      <c r="IM39" s="91"/>
      <c r="IN39" s="91"/>
      <c r="IO39" s="91"/>
    </row>
    <row r="40" spans="3:255" ht="18.75" x14ac:dyDescent="0.2">
      <c r="C40" s="7"/>
      <c r="D40" s="75"/>
      <c r="E40" s="75"/>
      <c r="F40" s="75"/>
      <c r="G40" s="75"/>
      <c r="H40" s="101"/>
      <c r="I40" s="101"/>
      <c r="J40" s="101"/>
      <c r="K40" s="101"/>
      <c r="L40" s="82"/>
      <c r="M40" s="102"/>
      <c r="N40" s="1"/>
      <c r="IP40" s="91"/>
      <c r="IQ40" s="91"/>
      <c r="IR40" s="91"/>
      <c r="IS40" s="91"/>
      <c r="IT40" s="91"/>
      <c r="IU40" s="91"/>
    </row>
    <row r="41" spans="3:255" s="91" customFormat="1" ht="18.75" x14ac:dyDescent="0.2">
      <c r="C41" s="1"/>
      <c r="D41" s="75"/>
      <c r="E41" s="103" t="s">
        <v>49</v>
      </c>
      <c r="F41" s="103"/>
      <c r="G41" s="56"/>
      <c r="H41" s="104">
        <f>H27-H39</f>
        <v>26165.447058823527</v>
      </c>
      <c r="I41" s="104">
        <f>I27-I39</f>
        <v>2180.3142500000004</v>
      </c>
      <c r="J41" s="104">
        <f>J27-J39</f>
        <v>384637.42249999999</v>
      </c>
      <c r="K41" s="104">
        <f>K27-K39</f>
        <v>4615649.07</v>
      </c>
      <c r="L41" s="104"/>
      <c r="M41" s="82"/>
      <c r="N41" s="82"/>
      <c r="IP41" s="6"/>
      <c r="IQ41" s="6"/>
      <c r="IR41" s="6"/>
      <c r="IS41" s="6"/>
      <c r="IT41" s="6"/>
      <c r="IU41" s="6"/>
    </row>
    <row r="42" spans="3:255" ht="18.75" x14ac:dyDescent="0.2">
      <c r="C42" s="82"/>
      <c r="D42" s="40"/>
      <c r="E42" s="105"/>
      <c r="F42" s="75"/>
      <c r="G42" s="106"/>
      <c r="H42" s="75"/>
      <c r="I42" s="75"/>
      <c r="J42" s="75"/>
      <c r="K42" s="49"/>
      <c r="L42" s="107"/>
      <c r="M42" s="82"/>
      <c r="N42" s="82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91"/>
      <c r="AE42" s="91"/>
      <c r="AF42" s="91"/>
      <c r="AG42" s="91"/>
      <c r="AH42" s="91"/>
      <c r="AI42" s="91"/>
      <c r="AJ42" s="91"/>
      <c r="AK42" s="91"/>
      <c r="AL42" s="91"/>
      <c r="AM42" s="91"/>
      <c r="AN42" s="91"/>
      <c r="AO42" s="91"/>
      <c r="AP42" s="91"/>
      <c r="AQ42" s="91"/>
      <c r="AR42" s="91"/>
      <c r="AS42" s="91"/>
      <c r="AT42" s="91"/>
      <c r="AU42" s="91"/>
      <c r="AV42" s="91"/>
      <c r="AW42" s="91"/>
      <c r="AX42" s="91"/>
      <c r="AY42" s="91"/>
      <c r="AZ42" s="91"/>
      <c r="BA42" s="91"/>
      <c r="BB42" s="91"/>
      <c r="BC42" s="91"/>
      <c r="BD42" s="91"/>
      <c r="BE42" s="91"/>
      <c r="BF42" s="91"/>
      <c r="BG42" s="91"/>
      <c r="BH42" s="91"/>
      <c r="BI42" s="91"/>
      <c r="BJ42" s="91"/>
      <c r="BK42" s="91"/>
      <c r="BL42" s="91"/>
      <c r="BM42" s="91"/>
      <c r="BN42" s="91"/>
      <c r="BO42" s="91"/>
      <c r="BP42" s="91"/>
      <c r="BQ42" s="91"/>
      <c r="BR42" s="91"/>
      <c r="BS42" s="91"/>
      <c r="BT42" s="91"/>
      <c r="BU42" s="91"/>
      <c r="BV42" s="91"/>
      <c r="BW42" s="91"/>
      <c r="BX42" s="91"/>
      <c r="BY42" s="91"/>
      <c r="BZ42" s="91"/>
      <c r="CA42" s="91"/>
      <c r="CB42" s="91"/>
      <c r="CC42" s="91"/>
      <c r="CD42" s="91"/>
      <c r="CE42" s="91"/>
      <c r="CF42" s="91"/>
      <c r="CG42" s="91"/>
      <c r="CH42" s="91"/>
      <c r="CI42" s="91"/>
      <c r="CJ42" s="91"/>
      <c r="CK42" s="91"/>
      <c r="CL42" s="91"/>
      <c r="CM42" s="91"/>
      <c r="CN42" s="91"/>
      <c r="CO42" s="91"/>
      <c r="CP42" s="91"/>
      <c r="CQ42" s="91"/>
      <c r="CR42" s="91"/>
      <c r="CS42" s="91"/>
      <c r="CT42" s="91"/>
      <c r="CU42" s="91"/>
      <c r="CV42" s="91"/>
      <c r="CW42" s="91"/>
      <c r="CX42" s="91"/>
      <c r="CY42" s="91"/>
      <c r="CZ42" s="91"/>
      <c r="DA42" s="91"/>
      <c r="DB42" s="91"/>
      <c r="DC42" s="91"/>
      <c r="DD42" s="91"/>
      <c r="DE42" s="91"/>
      <c r="DF42" s="91"/>
      <c r="DG42" s="91"/>
      <c r="DH42" s="91"/>
      <c r="DI42" s="91"/>
      <c r="DJ42" s="91"/>
      <c r="DK42" s="91"/>
      <c r="DL42" s="91"/>
      <c r="DM42" s="91"/>
      <c r="DN42" s="91"/>
      <c r="DO42" s="91"/>
      <c r="DP42" s="91"/>
      <c r="DQ42" s="91"/>
      <c r="DR42" s="91"/>
      <c r="DS42" s="91"/>
      <c r="DT42" s="91"/>
      <c r="DU42" s="91"/>
      <c r="DV42" s="91"/>
      <c r="DW42" s="91"/>
      <c r="DX42" s="91"/>
      <c r="DY42" s="91"/>
      <c r="DZ42" s="91"/>
      <c r="EA42" s="91"/>
      <c r="EB42" s="91"/>
      <c r="EC42" s="91"/>
      <c r="ED42" s="91"/>
      <c r="EE42" s="91"/>
      <c r="EF42" s="91"/>
      <c r="EG42" s="91"/>
      <c r="EH42" s="91"/>
      <c r="EI42" s="91"/>
      <c r="EJ42" s="91"/>
      <c r="EK42" s="91"/>
      <c r="EL42" s="91"/>
      <c r="EM42" s="91"/>
      <c r="EN42" s="91"/>
      <c r="EO42" s="91"/>
      <c r="EP42" s="91"/>
      <c r="EQ42" s="91"/>
      <c r="ER42" s="91"/>
      <c r="ES42" s="91"/>
      <c r="ET42" s="91"/>
      <c r="EU42" s="91"/>
      <c r="EV42" s="91"/>
      <c r="EW42" s="91"/>
      <c r="EX42" s="91"/>
      <c r="EY42" s="91"/>
      <c r="EZ42" s="91"/>
      <c r="FA42" s="91"/>
      <c r="FB42" s="91"/>
      <c r="FC42" s="91"/>
      <c r="FD42" s="91"/>
      <c r="FE42" s="91"/>
      <c r="FF42" s="91"/>
      <c r="FG42" s="91"/>
      <c r="FH42" s="91"/>
      <c r="FI42" s="91"/>
      <c r="FJ42" s="91"/>
      <c r="FK42" s="91"/>
      <c r="FL42" s="91"/>
      <c r="FM42" s="91"/>
      <c r="FN42" s="91"/>
      <c r="FO42" s="91"/>
      <c r="FP42" s="91"/>
      <c r="FQ42" s="91"/>
      <c r="FR42" s="91"/>
      <c r="FS42" s="91"/>
      <c r="FT42" s="91"/>
      <c r="FU42" s="91"/>
      <c r="FV42" s="91"/>
      <c r="FW42" s="91"/>
      <c r="FX42" s="91"/>
      <c r="FY42" s="91"/>
      <c r="FZ42" s="91"/>
      <c r="GA42" s="91"/>
      <c r="GB42" s="91"/>
      <c r="GC42" s="91"/>
      <c r="GD42" s="91"/>
      <c r="GE42" s="91"/>
      <c r="GF42" s="91"/>
      <c r="GG42" s="91"/>
      <c r="GH42" s="91"/>
      <c r="GI42" s="91"/>
      <c r="GJ42" s="91"/>
      <c r="GK42" s="91"/>
      <c r="GL42" s="91"/>
      <c r="GM42" s="91"/>
      <c r="GN42" s="91"/>
      <c r="GO42" s="91"/>
      <c r="GP42" s="91"/>
      <c r="GQ42" s="91"/>
      <c r="GR42" s="91"/>
      <c r="GS42" s="91"/>
      <c r="GT42" s="91"/>
      <c r="GU42" s="91"/>
      <c r="GV42" s="91"/>
      <c r="GW42" s="91"/>
      <c r="GX42" s="91"/>
      <c r="GY42" s="91"/>
      <c r="GZ42" s="91"/>
      <c r="HA42" s="91"/>
      <c r="HB42" s="91"/>
      <c r="HC42" s="91"/>
      <c r="HD42" s="91"/>
      <c r="HE42" s="91"/>
      <c r="HF42" s="91"/>
      <c r="HG42" s="91"/>
      <c r="HH42" s="91"/>
      <c r="HI42" s="91"/>
      <c r="HJ42" s="91"/>
      <c r="HK42" s="91"/>
      <c r="HL42" s="91"/>
      <c r="HM42" s="91"/>
      <c r="HN42" s="91"/>
      <c r="HO42" s="91"/>
      <c r="HP42" s="91"/>
      <c r="HQ42" s="91"/>
      <c r="HR42" s="91"/>
      <c r="HS42" s="91"/>
      <c r="HT42" s="91"/>
      <c r="HU42" s="91"/>
      <c r="HV42" s="91"/>
      <c r="HW42" s="91"/>
      <c r="HX42" s="91"/>
      <c r="HY42" s="91"/>
      <c r="HZ42" s="91"/>
      <c r="IA42" s="91"/>
      <c r="IB42" s="91"/>
      <c r="IC42" s="91"/>
      <c r="ID42" s="91"/>
      <c r="IE42" s="91"/>
      <c r="IF42" s="91"/>
      <c r="IG42" s="91"/>
      <c r="IH42" s="91"/>
      <c r="II42" s="91"/>
      <c r="IJ42" s="91"/>
      <c r="IK42" s="91"/>
      <c r="IL42" s="91"/>
      <c r="IM42" s="91"/>
      <c r="IN42" s="91"/>
      <c r="IO42" s="91"/>
      <c r="IP42" s="91"/>
      <c r="IQ42" s="91"/>
      <c r="IR42" s="91"/>
      <c r="IS42" s="91"/>
      <c r="IT42" s="91"/>
      <c r="IU42" s="91"/>
    </row>
    <row r="43" spans="3:255" s="91" customFormat="1" ht="18.75" x14ac:dyDescent="0.2">
      <c r="C43" s="1"/>
      <c r="D43" s="75"/>
      <c r="E43" s="105"/>
      <c r="F43" s="75"/>
      <c r="G43" s="75"/>
      <c r="H43" s="75"/>
      <c r="I43" s="75"/>
      <c r="J43" s="75"/>
      <c r="K43" s="49"/>
      <c r="L43" s="107"/>
      <c r="M43" s="82"/>
      <c r="N43" s="82"/>
    </row>
    <row r="44" spans="3:255" s="91" customFormat="1" ht="37.5" x14ac:dyDescent="0.4">
      <c r="C44" s="82"/>
      <c r="D44" s="108"/>
      <c r="E44" s="77"/>
      <c r="G44" s="109" t="s">
        <v>50</v>
      </c>
      <c r="H44" s="110" t="s">
        <v>51</v>
      </c>
      <c r="I44" s="111" t="s">
        <v>52</v>
      </c>
      <c r="J44" s="111" t="s">
        <v>53</v>
      </c>
      <c r="K44" s="111" t="s">
        <v>54</v>
      </c>
      <c r="L44" s="107"/>
      <c r="M44" s="107"/>
      <c r="N44" s="1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H44" s="6"/>
      <c r="II44" s="6"/>
      <c r="IJ44" s="6"/>
      <c r="IK44" s="6"/>
      <c r="IL44" s="6"/>
      <c r="IM44" s="6"/>
      <c r="IN44" s="6"/>
      <c r="IO44" s="6"/>
    </row>
    <row r="45" spans="3:255" s="91" customFormat="1" ht="18.75" x14ac:dyDescent="0.2">
      <c r="C45" s="82"/>
      <c r="D45" s="75"/>
      <c r="E45" s="40"/>
      <c r="F45" s="44"/>
      <c r="G45" s="112" t="s">
        <v>55</v>
      </c>
      <c r="H45" s="113">
        <v>4.2500000000000003E-2</v>
      </c>
      <c r="I45" s="114">
        <f>ROUND(K45/$F$12,-2)</f>
        <v>638800</v>
      </c>
      <c r="J45" s="114">
        <f>K45/$J$12</f>
        <v>842.85062381066211</v>
      </c>
      <c r="K45" s="115">
        <f>ROUND($K$41/H45,-3)</f>
        <v>108604000</v>
      </c>
      <c r="L45" s="107"/>
      <c r="M45" s="107"/>
      <c r="N45" s="1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6"/>
      <c r="HX45" s="6"/>
      <c r="HY45" s="6"/>
      <c r="HZ45" s="6"/>
      <c r="IA45" s="6"/>
      <c r="IB45" s="6"/>
      <c r="IC45" s="6"/>
      <c r="ID45" s="6"/>
      <c r="IE45" s="6"/>
      <c r="IF45" s="6"/>
      <c r="IG45" s="6"/>
      <c r="IH45" s="6"/>
      <c r="II45" s="6"/>
      <c r="IJ45" s="6"/>
      <c r="IK45" s="6"/>
      <c r="IL45" s="6"/>
      <c r="IM45" s="6"/>
      <c r="IN45" s="6"/>
      <c r="IO45" s="6"/>
      <c r="IP45" s="6"/>
      <c r="IQ45" s="6"/>
      <c r="IR45" s="6"/>
      <c r="IS45" s="6"/>
      <c r="IT45" s="6"/>
      <c r="IU45" s="6"/>
    </row>
    <row r="46" spans="3:255" ht="18.75" x14ac:dyDescent="0.2">
      <c r="C46" s="82"/>
      <c r="D46" s="40"/>
      <c r="E46" s="40"/>
      <c r="F46" s="44"/>
      <c r="G46" s="112" t="s">
        <v>55</v>
      </c>
      <c r="H46" s="113">
        <v>4.4999999999999998E-2</v>
      </c>
      <c r="I46" s="114">
        <f>ROUND(K46/$F$12,-2)</f>
        <v>603400</v>
      </c>
      <c r="J46" s="114">
        <f>K46/$J$12</f>
        <v>796.02213992357201</v>
      </c>
      <c r="K46" s="115">
        <f>ROUND($K$41/H46,-3)</f>
        <v>102570000</v>
      </c>
      <c r="L46" s="107"/>
      <c r="M46" s="107"/>
      <c r="N46" s="1"/>
    </row>
    <row r="47" spans="3:255" ht="18.75" x14ac:dyDescent="0.2">
      <c r="C47" s="7"/>
      <c r="D47" s="40"/>
      <c r="E47" s="40"/>
      <c r="F47" s="44"/>
      <c r="G47" s="112" t="s">
        <v>55</v>
      </c>
      <c r="H47" s="113">
        <v>4.7500000000000001E-2</v>
      </c>
      <c r="I47" s="114">
        <f>ROUND(K47/$F$12,-2)</f>
        <v>571600</v>
      </c>
      <c r="J47" s="114">
        <f>K47/$J$12</f>
        <v>754.12950551480287</v>
      </c>
      <c r="K47" s="115">
        <f>ROUND($K$41/H47,-3)</f>
        <v>97172000</v>
      </c>
      <c r="L47" s="107"/>
      <c r="M47" s="107"/>
      <c r="N47" s="1"/>
    </row>
    <row r="48" spans="3:255" ht="18.75" x14ac:dyDescent="0.2">
      <c r="C48" s="1"/>
      <c r="D48" s="40"/>
      <c r="F48" s="44"/>
      <c r="G48" s="60"/>
      <c r="H48" s="117"/>
      <c r="I48" s="118"/>
      <c r="J48" s="118"/>
      <c r="K48" s="119"/>
      <c r="L48" s="107"/>
      <c r="M48" s="107"/>
      <c r="N48" s="1"/>
    </row>
    <row r="49" spans="3:249" ht="18" hidden="1" x14ac:dyDescent="0.2">
      <c r="C49" s="1"/>
      <c r="D49" s="41"/>
      <c r="E49" s="41"/>
      <c r="F49" s="42"/>
      <c r="G49" s="120"/>
      <c r="H49" s="120"/>
      <c r="I49" s="121"/>
      <c r="J49" s="121"/>
      <c r="K49" s="1"/>
      <c r="L49" s="107"/>
      <c r="M49" s="107"/>
      <c r="N49" s="1"/>
    </row>
    <row r="50" spans="3:249" ht="18" x14ac:dyDescent="0.2">
      <c r="C50" s="1"/>
      <c r="D50" s="122"/>
      <c r="E50" s="123" t="s">
        <v>56</v>
      </c>
      <c r="F50" s="123"/>
      <c r="G50" s="88"/>
      <c r="H50" s="88"/>
      <c r="I50" s="124"/>
      <c r="J50" s="125"/>
      <c r="K50" s="1"/>
      <c r="L50" s="82"/>
      <c r="M50" s="107"/>
      <c r="N50" s="1"/>
    </row>
    <row r="51" spans="3:249" ht="18" x14ac:dyDescent="0.2">
      <c r="C51" s="1"/>
      <c r="D51" s="126"/>
      <c r="E51" s="89" t="s">
        <v>57</v>
      </c>
      <c r="F51" s="88"/>
      <c r="G51" s="2"/>
      <c r="H51" s="2"/>
      <c r="I51" s="127"/>
      <c r="J51" s="128"/>
      <c r="K51" s="1"/>
      <c r="L51" s="129"/>
      <c r="M51" s="107"/>
      <c r="N51" s="1"/>
    </row>
    <row r="52" spans="3:249" ht="18" x14ac:dyDescent="0.2">
      <c r="C52" s="1"/>
      <c r="D52" s="41"/>
      <c r="E52" s="130"/>
      <c r="F52" s="2"/>
      <c r="G52" s="43"/>
      <c r="H52" s="43"/>
      <c r="I52" s="43"/>
      <c r="J52" s="43"/>
      <c r="K52" s="1"/>
      <c r="L52" s="82"/>
      <c r="M52" s="82"/>
      <c r="N52" s="82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1"/>
      <c r="AE52" s="91"/>
      <c r="AF52" s="91"/>
      <c r="AG52" s="91"/>
      <c r="AH52" s="91"/>
      <c r="AI52" s="91"/>
      <c r="AJ52" s="91"/>
      <c r="AK52" s="91"/>
      <c r="AL52" s="91"/>
      <c r="AM52" s="91"/>
      <c r="AN52" s="91"/>
      <c r="AO52" s="91"/>
      <c r="AP52" s="91"/>
      <c r="AQ52" s="91"/>
      <c r="AR52" s="91"/>
      <c r="AS52" s="91"/>
      <c r="AT52" s="91"/>
      <c r="AU52" s="91"/>
      <c r="AV52" s="91"/>
      <c r="AW52" s="91"/>
      <c r="AX52" s="91"/>
      <c r="AY52" s="91"/>
      <c r="AZ52" s="91"/>
      <c r="BA52" s="91"/>
      <c r="BB52" s="91"/>
      <c r="BC52" s="91"/>
      <c r="BD52" s="91"/>
      <c r="BE52" s="91"/>
      <c r="BF52" s="91"/>
      <c r="BG52" s="91"/>
      <c r="BH52" s="91"/>
      <c r="BI52" s="91"/>
      <c r="BJ52" s="91"/>
      <c r="BK52" s="91"/>
      <c r="BL52" s="91"/>
      <c r="BM52" s="91"/>
      <c r="BN52" s="91"/>
      <c r="BO52" s="91"/>
      <c r="BP52" s="91"/>
      <c r="BQ52" s="91"/>
      <c r="BR52" s="91"/>
      <c r="BS52" s="91"/>
      <c r="BT52" s="91"/>
      <c r="BU52" s="91"/>
      <c r="BV52" s="91"/>
      <c r="BW52" s="91"/>
      <c r="BX52" s="91"/>
      <c r="BY52" s="91"/>
      <c r="BZ52" s="91"/>
      <c r="CA52" s="91"/>
      <c r="CB52" s="91"/>
      <c r="CC52" s="91"/>
      <c r="CD52" s="91"/>
      <c r="CE52" s="91"/>
      <c r="CF52" s="91"/>
      <c r="CG52" s="91"/>
      <c r="CH52" s="91"/>
      <c r="CI52" s="91"/>
      <c r="CJ52" s="91"/>
      <c r="CK52" s="91"/>
      <c r="CL52" s="91"/>
      <c r="CM52" s="91"/>
      <c r="CN52" s="91"/>
      <c r="CO52" s="91"/>
      <c r="CP52" s="91"/>
      <c r="CQ52" s="91"/>
      <c r="CR52" s="91"/>
      <c r="CS52" s="91"/>
      <c r="CT52" s="91"/>
      <c r="CU52" s="91"/>
      <c r="CV52" s="91"/>
      <c r="CW52" s="91"/>
      <c r="CX52" s="91"/>
      <c r="CY52" s="91"/>
      <c r="CZ52" s="91"/>
      <c r="DA52" s="91"/>
      <c r="DB52" s="91"/>
      <c r="DC52" s="91"/>
      <c r="DD52" s="91"/>
      <c r="DE52" s="91"/>
      <c r="DF52" s="91"/>
      <c r="DG52" s="91"/>
      <c r="DH52" s="91"/>
      <c r="DI52" s="91"/>
      <c r="DJ52" s="91"/>
      <c r="DK52" s="91"/>
      <c r="DL52" s="91"/>
      <c r="DM52" s="91"/>
      <c r="DN52" s="91"/>
      <c r="DO52" s="91"/>
      <c r="DP52" s="91"/>
      <c r="DQ52" s="91"/>
      <c r="DR52" s="91"/>
      <c r="DS52" s="91"/>
      <c r="DT52" s="91"/>
      <c r="DU52" s="91"/>
      <c r="DV52" s="91"/>
      <c r="DW52" s="91"/>
      <c r="DX52" s="91"/>
      <c r="DY52" s="91"/>
      <c r="DZ52" s="91"/>
      <c r="EA52" s="91"/>
      <c r="EB52" s="91"/>
      <c r="EC52" s="91"/>
      <c r="ED52" s="91"/>
      <c r="EE52" s="91"/>
      <c r="EF52" s="91"/>
      <c r="EG52" s="91"/>
      <c r="EH52" s="91"/>
      <c r="EI52" s="91"/>
      <c r="EJ52" s="91"/>
      <c r="EK52" s="91"/>
      <c r="EL52" s="91"/>
      <c r="EM52" s="91"/>
      <c r="EN52" s="91"/>
      <c r="EO52" s="91"/>
      <c r="EP52" s="91"/>
      <c r="EQ52" s="91"/>
      <c r="ER52" s="91"/>
      <c r="ES52" s="91"/>
      <c r="ET52" s="91"/>
      <c r="EU52" s="91"/>
      <c r="EV52" s="91"/>
      <c r="EW52" s="91"/>
      <c r="EX52" s="91"/>
      <c r="EY52" s="91"/>
      <c r="EZ52" s="91"/>
      <c r="FA52" s="91"/>
      <c r="FB52" s="91"/>
      <c r="FC52" s="91"/>
      <c r="FD52" s="91"/>
      <c r="FE52" s="91"/>
      <c r="FF52" s="91"/>
      <c r="FG52" s="91"/>
      <c r="FH52" s="91"/>
      <c r="FI52" s="91"/>
      <c r="FJ52" s="91"/>
      <c r="FK52" s="91"/>
      <c r="FL52" s="91"/>
      <c r="FM52" s="91"/>
      <c r="FN52" s="91"/>
      <c r="FO52" s="91"/>
      <c r="FP52" s="91"/>
      <c r="FQ52" s="91"/>
      <c r="FR52" s="91"/>
      <c r="FS52" s="91"/>
      <c r="FT52" s="91"/>
      <c r="FU52" s="91"/>
      <c r="FV52" s="91"/>
      <c r="FW52" s="91"/>
      <c r="FX52" s="91"/>
      <c r="FY52" s="91"/>
      <c r="FZ52" s="91"/>
      <c r="GA52" s="91"/>
      <c r="GB52" s="91"/>
      <c r="GC52" s="91"/>
      <c r="GD52" s="91"/>
      <c r="GE52" s="91"/>
      <c r="GF52" s="91"/>
      <c r="GG52" s="91"/>
      <c r="GH52" s="91"/>
      <c r="GI52" s="91"/>
      <c r="GJ52" s="91"/>
      <c r="GK52" s="91"/>
      <c r="GL52" s="91"/>
      <c r="GM52" s="91"/>
      <c r="GN52" s="91"/>
      <c r="GO52" s="91"/>
      <c r="GP52" s="91"/>
      <c r="GQ52" s="91"/>
      <c r="GR52" s="91"/>
      <c r="GS52" s="91"/>
      <c r="GT52" s="91"/>
      <c r="GU52" s="91"/>
      <c r="GV52" s="91"/>
      <c r="GW52" s="91"/>
      <c r="GX52" s="91"/>
      <c r="GY52" s="91"/>
      <c r="GZ52" s="91"/>
      <c r="HA52" s="91"/>
      <c r="HB52" s="91"/>
      <c r="HC52" s="91"/>
      <c r="HD52" s="91"/>
      <c r="HE52" s="91"/>
      <c r="HF52" s="91"/>
      <c r="HG52" s="91"/>
      <c r="HH52" s="91"/>
      <c r="HI52" s="91"/>
      <c r="HJ52" s="91"/>
      <c r="HK52" s="91"/>
      <c r="HL52" s="91"/>
      <c r="HM52" s="91"/>
      <c r="HN52" s="91"/>
      <c r="HO52" s="91"/>
      <c r="HP52" s="91"/>
      <c r="HQ52" s="91"/>
      <c r="HR52" s="91"/>
      <c r="HS52" s="91"/>
      <c r="HT52" s="91"/>
      <c r="HU52" s="91"/>
      <c r="HV52" s="91"/>
      <c r="HW52" s="91"/>
      <c r="HX52" s="91"/>
      <c r="HY52" s="91"/>
      <c r="HZ52" s="91"/>
      <c r="IA52" s="91"/>
      <c r="IB52" s="91"/>
      <c r="IC52" s="91"/>
      <c r="ID52" s="91"/>
      <c r="IE52" s="91"/>
      <c r="IF52" s="91"/>
      <c r="IG52" s="91"/>
      <c r="IH52" s="91"/>
      <c r="II52" s="91"/>
      <c r="IJ52" s="91"/>
      <c r="IK52" s="91"/>
      <c r="IL52" s="91"/>
      <c r="IM52" s="91"/>
      <c r="IN52" s="91"/>
      <c r="IO52" s="91"/>
    </row>
    <row r="53" spans="3:249" ht="18" x14ac:dyDescent="0.2">
      <c r="C53" s="1"/>
      <c r="D53" s="41"/>
      <c r="E53" s="130"/>
      <c r="F53" s="2"/>
      <c r="G53" s="43"/>
      <c r="H53" s="43"/>
      <c r="I53" s="43"/>
      <c r="J53" s="43"/>
      <c r="K53" s="1"/>
      <c r="L53" s="82"/>
      <c r="M53" s="82"/>
      <c r="N53" s="82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  <c r="AC53" s="91"/>
      <c r="AD53" s="91"/>
      <c r="AE53" s="91"/>
      <c r="AF53" s="91"/>
      <c r="AG53" s="91"/>
      <c r="AH53" s="91"/>
      <c r="AI53" s="91"/>
      <c r="AJ53" s="91"/>
      <c r="AK53" s="91"/>
      <c r="AL53" s="91"/>
      <c r="AM53" s="91"/>
      <c r="AN53" s="91"/>
      <c r="AO53" s="91"/>
      <c r="AP53" s="91"/>
      <c r="AQ53" s="91"/>
      <c r="AR53" s="91"/>
      <c r="AS53" s="91"/>
      <c r="AT53" s="91"/>
      <c r="AU53" s="91"/>
      <c r="AV53" s="91"/>
      <c r="AW53" s="91"/>
      <c r="AX53" s="91"/>
      <c r="AY53" s="91"/>
      <c r="AZ53" s="91"/>
      <c r="BA53" s="91"/>
      <c r="BB53" s="91"/>
      <c r="BC53" s="91"/>
      <c r="BD53" s="91"/>
      <c r="BE53" s="91"/>
      <c r="BF53" s="91"/>
      <c r="BG53" s="91"/>
      <c r="BH53" s="91"/>
      <c r="BI53" s="91"/>
      <c r="BJ53" s="91"/>
      <c r="BK53" s="91"/>
      <c r="BL53" s="91"/>
      <c r="BM53" s="91"/>
      <c r="BN53" s="91"/>
      <c r="BO53" s="91"/>
      <c r="BP53" s="91"/>
      <c r="BQ53" s="91"/>
      <c r="BR53" s="91"/>
      <c r="BS53" s="91"/>
      <c r="BT53" s="91"/>
      <c r="BU53" s="91"/>
      <c r="BV53" s="91"/>
      <c r="BW53" s="91"/>
      <c r="BX53" s="91"/>
      <c r="BY53" s="91"/>
      <c r="BZ53" s="91"/>
      <c r="CA53" s="91"/>
      <c r="CB53" s="91"/>
      <c r="CC53" s="91"/>
      <c r="CD53" s="91"/>
      <c r="CE53" s="91"/>
      <c r="CF53" s="91"/>
      <c r="CG53" s="91"/>
      <c r="CH53" s="91"/>
      <c r="CI53" s="91"/>
      <c r="CJ53" s="91"/>
      <c r="CK53" s="91"/>
      <c r="CL53" s="91"/>
      <c r="CM53" s="91"/>
      <c r="CN53" s="91"/>
      <c r="CO53" s="91"/>
      <c r="CP53" s="91"/>
      <c r="CQ53" s="91"/>
      <c r="CR53" s="91"/>
      <c r="CS53" s="91"/>
      <c r="CT53" s="91"/>
      <c r="CU53" s="91"/>
      <c r="CV53" s="91"/>
      <c r="CW53" s="91"/>
      <c r="CX53" s="91"/>
      <c r="CY53" s="91"/>
      <c r="CZ53" s="91"/>
      <c r="DA53" s="91"/>
      <c r="DB53" s="91"/>
      <c r="DC53" s="91"/>
      <c r="DD53" s="91"/>
      <c r="DE53" s="91"/>
      <c r="DF53" s="91"/>
      <c r="DG53" s="91"/>
      <c r="DH53" s="91"/>
      <c r="DI53" s="91"/>
      <c r="DJ53" s="91"/>
      <c r="DK53" s="91"/>
      <c r="DL53" s="91"/>
      <c r="DM53" s="91"/>
      <c r="DN53" s="91"/>
      <c r="DO53" s="91"/>
      <c r="DP53" s="91"/>
      <c r="DQ53" s="91"/>
      <c r="DR53" s="91"/>
      <c r="DS53" s="91"/>
      <c r="DT53" s="91"/>
      <c r="DU53" s="91"/>
      <c r="DV53" s="91"/>
      <c r="DW53" s="91"/>
      <c r="DX53" s="91"/>
      <c r="DY53" s="91"/>
      <c r="DZ53" s="91"/>
      <c r="EA53" s="91"/>
      <c r="EB53" s="91"/>
      <c r="EC53" s="91"/>
      <c r="ED53" s="91"/>
      <c r="EE53" s="91"/>
      <c r="EF53" s="91"/>
      <c r="EG53" s="91"/>
      <c r="EH53" s="91"/>
      <c r="EI53" s="91"/>
      <c r="EJ53" s="91"/>
      <c r="EK53" s="91"/>
      <c r="EL53" s="91"/>
      <c r="EM53" s="91"/>
      <c r="EN53" s="91"/>
      <c r="EO53" s="91"/>
      <c r="EP53" s="91"/>
      <c r="EQ53" s="91"/>
      <c r="ER53" s="91"/>
      <c r="ES53" s="91"/>
      <c r="ET53" s="91"/>
      <c r="EU53" s="91"/>
      <c r="EV53" s="91"/>
      <c r="EW53" s="91"/>
      <c r="EX53" s="91"/>
      <c r="EY53" s="91"/>
      <c r="EZ53" s="91"/>
      <c r="FA53" s="91"/>
      <c r="FB53" s="91"/>
      <c r="FC53" s="91"/>
      <c r="FD53" s="91"/>
      <c r="FE53" s="91"/>
      <c r="FF53" s="91"/>
      <c r="FG53" s="91"/>
      <c r="FH53" s="91"/>
      <c r="FI53" s="91"/>
      <c r="FJ53" s="91"/>
      <c r="FK53" s="91"/>
      <c r="FL53" s="91"/>
      <c r="FM53" s="91"/>
      <c r="FN53" s="91"/>
      <c r="FO53" s="91"/>
      <c r="FP53" s="91"/>
      <c r="FQ53" s="91"/>
      <c r="FR53" s="91"/>
      <c r="FS53" s="91"/>
      <c r="FT53" s="91"/>
      <c r="FU53" s="91"/>
      <c r="FV53" s="91"/>
      <c r="FW53" s="91"/>
      <c r="FX53" s="91"/>
      <c r="FY53" s="91"/>
      <c r="FZ53" s="91"/>
      <c r="GA53" s="91"/>
      <c r="GB53" s="91"/>
      <c r="GC53" s="91"/>
      <c r="GD53" s="91"/>
      <c r="GE53" s="91"/>
      <c r="GF53" s="91"/>
      <c r="GG53" s="91"/>
      <c r="GH53" s="91"/>
      <c r="GI53" s="91"/>
      <c r="GJ53" s="91"/>
      <c r="GK53" s="91"/>
      <c r="GL53" s="91"/>
      <c r="GM53" s="91"/>
      <c r="GN53" s="91"/>
      <c r="GO53" s="91"/>
      <c r="GP53" s="91"/>
      <c r="GQ53" s="91"/>
      <c r="GR53" s="91"/>
      <c r="GS53" s="91"/>
      <c r="GT53" s="91"/>
      <c r="GU53" s="91"/>
      <c r="GV53" s="91"/>
      <c r="GW53" s="91"/>
      <c r="GX53" s="91"/>
      <c r="GY53" s="91"/>
      <c r="GZ53" s="91"/>
      <c r="HA53" s="91"/>
      <c r="HB53" s="91"/>
      <c r="HC53" s="91"/>
      <c r="HD53" s="91"/>
      <c r="HE53" s="91"/>
      <c r="HF53" s="91"/>
      <c r="HG53" s="91"/>
      <c r="HH53" s="91"/>
      <c r="HI53" s="91"/>
      <c r="HJ53" s="91"/>
      <c r="HK53" s="91"/>
      <c r="HL53" s="91"/>
      <c r="HM53" s="91"/>
      <c r="HN53" s="91"/>
      <c r="HO53" s="91"/>
      <c r="HP53" s="91"/>
      <c r="HQ53" s="91"/>
      <c r="HR53" s="91"/>
      <c r="HS53" s="91"/>
      <c r="HT53" s="91"/>
      <c r="HU53" s="91"/>
      <c r="HV53" s="91"/>
      <c r="HW53" s="91"/>
      <c r="HX53" s="91"/>
      <c r="HY53" s="91"/>
      <c r="HZ53" s="91"/>
      <c r="IA53" s="91"/>
      <c r="IB53" s="91"/>
      <c r="IC53" s="91"/>
      <c r="ID53" s="91"/>
      <c r="IE53" s="91"/>
      <c r="IF53" s="91"/>
      <c r="IG53" s="91"/>
      <c r="IH53" s="91"/>
      <c r="II53" s="91"/>
      <c r="IJ53" s="91"/>
      <c r="IK53" s="91"/>
      <c r="IL53" s="91"/>
      <c r="IM53" s="91"/>
      <c r="IN53" s="91"/>
      <c r="IO53" s="91"/>
    </row>
    <row r="54" spans="3:249" ht="18" x14ac:dyDescent="0.2">
      <c r="C54" s="1"/>
      <c r="D54" s="41"/>
      <c r="E54" s="130"/>
      <c r="F54" s="2"/>
      <c r="G54" s="43"/>
      <c r="H54" s="43"/>
      <c r="I54" s="43"/>
      <c r="J54" s="43"/>
      <c r="K54" s="1"/>
      <c r="L54" s="82"/>
      <c r="M54" s="82"/>
      <c r="N54" s="82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1"/>
      <c r="AG54" s="91"/>
      <c r="AH54" s="91"/>
      <c r="AI54" s="91"/>
      <c r="AJ54" s="91"/>
      <c r="AK54" s="91"/>
      <c r="AL54" s="91"/>
      <c r="AM54" s="91"/>
      <c r="AN54" s="91"/>
      <c r="AO54" s="91"/>
      <c r="AP54" s="91"/>
      <c r="AQ54" s="91"/>
      <c r="AR54" s="91"/>
      <c r="AS54" s="91"/>
      <c r="AT54" s="91"/>
      <c r="AU54" s="91"/>
      <c r="AV54" s="91"/>
      <c r="AW54" s="91"/>
      <c r="AX54" s="91"/>
      <c r="AY54" s="91"/>
      <c r="AZ54" s="91"/>
      <c r="BA54" s="91"/>
      <c r="BB54" s="91"/>
      <c r="BC54" s="91"/>
      <c r="BD54" s="91"/>
      <c r="BE54" s="91"/>
      <c r="BF54" s="91"/>
      <c r="BG54" s="91"/>
      <c r="BH54" s="91"/>
      <c r="BI54" s="91"/>
      <c r="BJ54" s="91"/>
      <c r="BK54" s="91"/>
      <c r="BL54" s="91"/>
      <c r="BM54" s="91"/>
      <c r="BN54" s="91"/>
      <c r="BO54" s="91"/>
      <c r="BP54" s="91"/>
      <c r="BQ54" s="91"/>
      <c r="BR54" s="91"/>
      <c r="BS54" s="91"/>
      <c r="BT54" s="91"/>
      <c r="BU54" s="91"/>
      <c r="BV54" s="91"/>
      <c r="BW54" s="91"/>
      <c r="BX54" s="91"/>
      <c r="BY54" s="91"/>
      <c r="BZ54" s="91"/>
      <c r="CA54" s="91"/>
      <c r="CB54" s="91"/>
      <c r="CC54" s="91"/>
      <c r="CD54" s="91"/>
      <c r="CE54" s="91"/>
      <c r="CF54" s="91"/>
      <c r="CG54" s="91"/>
      <c r="CH54" s="91"/>
      <c r="CI54" s="91"/>
      <c r="CJ54" s="91"/>
      <c r="CK54" s="91"/>
      <c r="CL54" s="91"/>
      <c r="CM54" s="91"/>
      <c r="CN54" s="91"/>
      <c r="CO54" s="91"/>
      <c r="CP54" s="91"/>
      <c r="CQ54" s="91"/>
      <c r="CR54" s="91"/>
      <c r="CS54" s="91"/>
      <c r="CT54" s="91"/>
      <c r="CU54" s="91"/>
      <c r="CV54" s="91"/>
      <c r="CW54" s="91"/>
      <c r="CX54" s="91"/>
      <c r="CY54" s="91"/>
      <c r="CZ54" s="91"/>
      <c r="DA54" s="91"/>
      <c r="DB54" s="91"/>
      <c r="DC54" s="91"/>
      <c r="DD54" s="91"/>
      <c r="DE54" s="91"/>
      <c r="DF54" s="91"/>
      <c r="DG54" s="91"/>
      <c r="DH54" s="91"/>
      <c r="DI54" s="91"/>
      <c r="DJ54" s="91"/>
      <c r="DK54" s="91"/>
      <c r="DL54" s="91"/>
      <c r="DM54" s="91"/>
      <c r="DN54" s="91"/>
      <c r="DO54" s="91"/>
      <c r="DP54" s="91"/>
      <c r="DQ54" s="91"/>
      <c r="DR54" s="91"/>
      <c r="DS54" s="91"/>
      <c r="DT54" s="91"/>
      <c r="DU54" s="91"/>
      <c r="DV54" s="91"/>
      <c r="DW54" s="91"/>
      <c r="DX54" s="91"/>
      <c r="DY54" s="91"/>
      <c r="DZ54" s="91"/>
      <c r="EA54" s="91"/>
      <c r="EB54" s="91"/>
      <c r="EC54" s="91"/>
      <c r="ED54" s="91"/>
      <c r="EE54" s="91"/>
      <c r="EF54" s="91"/>
      <c r="EG54" s="91"/>
      <c r="EH54" s="91"/>
      <c r="EI54" s="91"/>
      <c r="EJ54" s="91"/>
      <c r="EK54" s="91"/>
      <c r="EL54" s="91"/>
      <c r="EM54" s="91"/>
      <c r="EN54" s="91"/>
      <c r="EO54" s="91"/>
      <c r="EP54" s="91"/>
      <c r="EQ54" s="91"/>
      <c r="ER54" s="91"/>
      <c r="ES54" s="91"/>
      <c r="ET54" s="91"/>
      <c r="EU54" s="91"/>
      <c r="EV54" s="91"/>
      <c r="EW54" s="91"/>
      <c r="EX54" s="91"/>
      <c r="EY54" s="91"/>
      <c r="EZ54" s="91"/>
      <c r="FA54" s="91"/>
      <c r="FB54" s="91"/>
      <c r="FC54" s="91"/>
      <c r="FD54" s="91"/>
      <c r="FE54" s="91"/>
      <c r="FF54" s="91"/>
      <c r="FG54" s="91"/>
      <c r="FH54" s="91"/>
      <c r="FI54" s="91"/>
      <c r="FJ54" s="91"/>
      <c r="FK54" s="91"/>
      <c r="FL54" s="91"/>
      <c r="FM54" s="91"/>
      <c r="FN54" s="91"/>
      <c r="FO54" s="91"/>
      <c r="FP54" s="91"/>
      <c r="FQ54" s="91"/>
      <c r="FR54" s="91"/>
      <c r="FS54" s="91"/>
      <c r="FT54" s="91"/>
      <c r="FU54" s="91"/>
      <c r="FV54" s="91"/>
      <c r="FW54" s="91"/>
      <c r="FX54" s="91"/>
      <c r="FY54" s="91"/>
      <c r="FZ54" s="91"/>
      <c r="GA54" s="91"/>
      <c r="GB54" s="91"/>
      <c r="GC54" s="91"/>
      <c r="GD54" s="91"/>
      <c r="GE54" s="91"/>
      <c r="GF54" s="91"/>
      <c r="GG54" s="91"/>
      <c r="GH54" s="91"/>
      <c r="GI54" s="91"/>
      <c r="GJ54" s="91"/>
      <c r="GK54" s="91"/>
      <c r="GL54" s="91"/>
      <c r="GM54" s="91"/>
      <c r="GN54" s="91"/>
      <c r="GO54" s="91"/>
      <c r="GP54" s="91"/>
      <c r="GQ54" s="91"/>
      <c r="GR54" s="91"/>
      <c r="GS54" s="91"/>
      <c r="GT54" s="91"/>
      <c r="GU54" s="91"/>
      <c r="GV54" s="91"/>
      <c r="GW54" s="91"/>
      <c r="GX54" s="91"/>
      <c r="GY54" s="91"/>
      <c r="GZ54" s="91"/>
      <c r="HA54" s="91"/>
      <c r="HB54" s="91"/>
      <c r="HC54" s="91"/>
      <c r="HD54" s="91"/>
      <c r="HE54" s="91"/>
      <c r="HF54" s="91"/>
      <c r="HG54" s="91"/>
      <c r="HH54" s="91"/>
      <c r="HI54" s="91"/>
      <c r="HJ54" s="91"/>
      <c r="HK54" s="91"/>
      <c r="HL54" s="91"/>
      <c r="HM54" s="91"/>
      <c r="HN54" s="91"/>
      <c r="HO54" s="91"/>
      <c r="HP54" s="91"/>
      <c r="HQ54" s="91"/>
      <c r="HR54" s="91"/>
      <c r="HS54" s="91"/>
      <c r="HT54" s="91"/>
      <c r="HU54" s="91"/>
      <c r="HV54" s="91"/>
      <c r="HW54" s="91"/>
      <c r="HX54" s="91"/>
      <c r="HY54" s="91"/>
      <c r="HZ54" s="91"/>
      <c r="IA54" s="91"/>
      <c r="IB54" s="91"/>
      <c r="IC54" s="91"/>
      <c r="ID54" s="91"/>
      <c r="IE54" s="91"/>
      <c r="IF54" s="91"/>
      <c r="IG54" s="91"/>
      <c r="IH54" s="91"/>
      <c r="II54" s="91"/>
      <c r="IJ54" s="91"/>
      <c r="IK54" s="91"/>
      <c r="IL54" s="91"/>
      <c r="IM54" s="91"/>
      <c r="IN54" s="91"/>
      <c r="IO54" s="91"/>
    </row>
    <row r="55" spans="3:249" ht="18" x14ac:dyDescent="0.2">
      <c r="C55" s="1"/>
      <c r="D55" s="41"/>
      <c r="E55" s="130"/>
      <c r="F55" s="2"/>
      <c r="G55" s="43"/>
      <c r="H55" s="43"/>
      <c r="I55" s="43"/>
      <c r="J55" s="43"/>
      <c r="K55" s="1"/>
      <c r="L55" s="82"/>
      <c r="M55" s="82"/>
      <c r="N55" s="82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91"/>
      <c r="AG55" s="91"/>
      <c r="AH55" s="91"/>
      <c r="AI55" s="91"/>
      <c r="AJ55" s="91"/>
      <c r="AK55" s="91"/>
      <c r="AL55" s="91"/>
      <c r="AM55" s="91"/>
      <c r="AN55" s="91"/>
      <c r="AO55" s="91"/>
      <c r="AP55" s="91"/>
      <c r="AQ55" s="91"/>
      <c r="AR55" s="91"/>
      <c r="AS55" s="91"/>
      <c r="AT55" s="91"/>
      <c r="AU55" s="91"/>
      <c r="AV55" s="91"/>
      <c r="AW55" s="91"/>
      <c r="AX55" s="91"/>
      <c r="AY55" s="91"/>
      <c r="AZ55" s="91"/>
      <c r="BA55" s="91"/>
      <c r="BB55" s="91"/>
      <c r="BC55" s="91"/>
      <c r="BD55" s="91"/>
      <c r="BE55" s="91"/>
      <c r="BF55" s="91"/>
      <c r="BG55" s="91"/>
      <c r="BH55" s="91"/>
      <c r="BI55" s="91"/>
      <c r="BJ55" s="91"/>
      <c r="BK55" s="91"/>
      <c r="BL55" s="91"/>
      <c r="BM55" s="91"/>
      <c r="BN55" s="91"/>
      <c r="BO55" s="91"/>
      <c r="BP55" s="91"/>
      <c r="BQ55" s="91"/>
      <c r="BR55" s="91"/>
      <c r="BS55" s="91"/>
      <c r="BT55" s="91"/>
      <c r="BU55" s="91"/>
      <c r="BV55" s="91"/>
      <c r="BW55" s="91"/>
      <c r="BX55" s="91"/>
      <c r="BY55" s="91"/>
      <c r="BZ55" s="91"/>
      <c r="CA55" s="91"/>
      <c r="CB55" s="91"/>
      <c r="CC55" s="91"/>
      <c r="CD55" s="91"/>
      <c r="CE55" s="91"/>
      <c r="CF55" s="91"/>
      <c r="CG55" s="91"/>
      <c r="CH55" s="91"/>
      <c r="CI55" s="91"/>
      <c r="CJ55" s="91"/>
      <c r="CK55" s="91"/>
      <c r="CL55" s="91"/>
      <c r="CM55" s="91"/>
      <c r="CN55" s="91"/>
      <c r="CO55" s="91"/>
      <c r="CP55" s="91"/>
      <c r="CQ55" s="91"/>
      <c r="CR55" s="91"/>
      <c r="CS55" s="91"/>
      <c r="CT55" s="91"/>
      <c r="CU55" s="91"/>
      <c r="CV55" s="91"/>
      <c r="CW55" s="91"/>
      <c r="CX55" s="91"/>
      <c r="CY55" s="91"/>
      <c r="CZ55" s="91"/>
      <c r="DA55" s="91"/>
      <c r="DB55" s="91"/>
      <c r="DC55" s="91"/>
      <c r="DD55" s="91"/>
      <c r="DE55" s="91"/>
      <c r="DF55" s="91"/>
      <c r="DG55" s="91"/>
      <c r="DH55" s="91"/>
      <c r="DI55" s="91"/>
      <c r="DJ55" s="91"/>
      <c r="DK55" s="91"/>
      <c r="DL55" s="91"/>
      <c r="DM55" s="91"/>
      <c r="DN55" s="91"/>
      <c r="DO55" s="91"/>
      <c r="DP55" s="91"/>
      <c r="DQ55" s="91"/>
      <c r="DR55" s="91"/>
      <c r="DS55" s="91"/>
      <c r="DT55" s="91"/>
      <c r="DU55" s="91"/>
      <c r="DV55" s="91"/>
      <c r="DW55" s="91"/>
      <c r="DX55" s="91"/>
      <c r="DY55" s="91"/>
      <c r="DZ55" s="91"/>
      <c r="EA55" s="91"/>
      <c r="EB55" s="91"/>
      <c r="EC55" s="91"/>
      <c r="ED55" s="91"/>
      <c r="EE55" s="91"/>
      <c r="EF55" s="91"/>
      <c r="EG55" s="91"/>
      <c r="EH55" s="91"/>
      <c r="EI55" s="91"/>
      <c r="EJ55" s="91"/>
      <c r="EK55" s="91"/>
      <c r="EL55" s="91"/>
      <c r="EM55" s="91"/>
      <c r="EN55" s="91"/>
      <c r="EO55" s="91"/>
      <c r="EP55" s="91"/>
      <c r="EQ55" s="91"/>
      <c r="ER55" s="91"/>
      <c r="ES55" s="91"/>
      <c r="ET55" s="91"/>
      <c r="EU55" s="91"/>
      <c r="EV55" s="91"/>
      <c r="EW55" s="91"/>
      <c r="EX55" s="91"/>
      <c r="EY55" s="91"/>
      <c r="EZ55" s="91"/>
      <c r="FA55" s="91"/>
      <c r="FB55" s="91"/>
      <c r="FC55" s="91"/>
      <c r="FD55" s="91"/>
      <c r="FE55" s="91"/>
      <c r="FF55" s="91"/>
      <c r="FG55" s="91"/>
      <c r="FH55" s="91"/>
      <c r="FI55" s="91"/>
      <c r="FJ55" s="91"/>
      <c r="FK55" s="91"/>
      <c r="FL55" s="91"/>
      <c r="FM55" s="91"/>
      <c r="FN55" s="91"/>
      <c r="FO55" s="91"/>
      <c r="FP55" s="91"/>
      <c r="FQ55" s="91"/>
      <c r="FR55" s="91"/>
      <c r="FS55" s="91"/>
      <c r="FT55" s="91"/>
      <c r="FU55" s="91"/>
      <c r="FV55" s="91"/>
      <c r="FW55" s="91"/>
      <c r="FX55" s="91"/>
      <c r="FY55" s="91"/>
      <c r="FZ55" s="91"/>
      <c r="GA55" s="91"/>
      <c r="GB55" s="91"/>
      <c r="GC55" s="91"/>
      <c r="GD55" s="91"/>
      <c r="GE55" s="91"/>
      <c r="GF55" s="91"/>
      <c r="GG55" s="91"/>
      <c r="GH55" s="91"/>
      <c r="GI55" s="91"/>
      <c r="GJ55" s="91"/>
      <c r="GK55" s="91"/>
      <c r="GL55" s="91"/>
      <c r="GM55" s="91"/>
      <c r="GN55" s="91"/>
      <c r="GO55" s="91"/>
      <c r="GP55" s="91"/>
      <c r="GQ55" s="91"/>
      <c r="GR55" s="91"/>
      <c r="GS55" s="91"/>
      <c r="GT55" s="91"/>
      <c r="GU55" s="91"/>
      <c r="GV55" s="91"/>
      <c r="GW55" s="91"/>
      <c r="GX55" s="91"/>
      <c r="GY55" s="91"/>
      <c r="GZ55" s="91"/>
      <c r="HA55" s="91"/>
      <c r="HB55" s="91"/>
      <c r="HC55" s="91"/>
      <c r="HD55" s="91"/>
      <c r="HE55" s="91"/>
      <c r="HF55" s="91"/>
      <c r="HG55" s="91"/>
      <c r="HH55" s="91"/>
      <c r="HI55" s="91"/>
      <c r="HJ55" s="91"/>
      <c r="HK55" s="91"/>
      <c r="HL55" s="91"/>
      <c r="HM55" s="91"/>
      <c r="HN55" s="91"/>
      <c r="HO55" s="91"/>
      <c r="HP55" s="91"/>
      <c r="HQ55" s="91"/>
      <c r="HR55" s="91"/>
      <c r="HS55" s="91"/>
      <c r="HT55" s="91"/>
      <c r="HU55" s="91"/>
      <c r="HV55" s="91"/>
      <c r="HW55" s="91"/>
      <c r="HX55" s="91"/>
      <c r="HY55" s="91"/>
      <c r="HZ55" s="91"/>
      <c r="IA55" s="91"/>
      <c r="IB55" s="91"/>
      <c r="IC55" s="91"/>
      <c r="ID55" s="91"/>
      <c r="IE55" s="91"/>
      <c r="IF55" s="91"/>
      <c r="IG55" s="91"/>
      <c r="IH55" s="91"/>
      <c r="II55" s="91"/>
      <c r="IJ55" s="91"/>
      <c r="IK55" s="91"/>
      <c r="IL55" s="91"/>
      <c r="IM55" s="91"/>
      <c r="IN55" s="91"/>
      <c r="IO55" s="91"/>
    </row>
    <row r="56" spans="3:249" ht="18" x14ac:dyDescent="0.2">
      <c r="C56" s="1"/>
      <c r="E56" s="130"/>
      <c r="F56" s="2"/>
      <c r="G56" s="43"/>
      <c r="H56" s="43"/>
      <c r="I56" s="43"/>
      <c r="J56" s="43"/>
      <c r="K56" s="1"/>
      <c r="L56" s="82"/>
      <c r="M56" s="82"/>
      <c r="N56" s="82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91"/>
      <c r="AH56" s="91"/>
      <c r="AI56" s="91"/>
      <c r="AJ56" s="91"/>
      <c r="AK56" s="91"/>
      <c r="AL56" s="91"/>
      <c r="AM56" s="91"/>
      <c r="AN56" s="91"/>
      <c r="AO56" s="91"/>
      <c r="AP56" s="91"/>
      <c r="AQ56" s="91"/>
      <c r="AR56" s="91"/>
      <c r="AS56" s="91"/>
      <c r="AT56" s="91"/>
      <c r="AU56" s="91"/>
      <c r="AV56" s="91"/>
      <c r="AW56" s="91"/>
      <c r="AX56" s="91"/>
      <c r="AY56" s="91"/>
      <c r="AZ56" s="91"/>
      <c r="BA56" s="91"/>
      <c r="BB56" s="91"/>
      <c r="BC56" s="91"/>
      <c r="BD56" s="91"/>
      <c r="BE56" s="91"/>
      <c r="BF56" s="91"/>
      <c r="BG56" s="91"/>
      <c r="BH56" s="91"/>
      <c r="BI56" s="91"/>
      <c r="BJ56" s="91"/>
      <c r="BK56" s="91"/>
      <c r="BL56" s="91"/>
      <c r="BM56" s="91"/>
      <c r="BN56" s="91"/>
      <c r="BO56" s="91"/>
      <c r="BP56" s="91"/>
      <c r="BQ56" s="91"/>
      <c r="BR56" s="91"/>
      <c r="BS56" s="91"/>
      <c r="BT56" s="91"/>
      <c r="BU56" s="91"/>
      <c r="BV56" s="91"/>
      <c r="BW56" s="91"/>
      <c r="BX56" s="91"/>
      <c r="BY56" s="91"/>
      <c r="BZ56" s="91"/>
      <c r="CA56" s="91"/>
      <c r="CB56" s="91"/>
      <c r="CC56" s="91"/>
      <c r="CD56" s="91"/>
      <c r="CE56" s="91"/>
      <c r="CF56" s="91"/>
      <c r="CG56" s="91"/>
      <c r="CH56" s="91"/>
      <c r="CI56" s="91"/>
      <c r="CJ56" s="91"/>
      <c r="CK56" s="91"/>
      <c r="CL56" s="91"/>
      <c r="CM56" s="91"/>
      <c r="CN56" s="91"/>
      <c r="CO56" s="91"/>
      <c r="CP56" s="91"/>
      <c r="CQ56" s="91"/>
      <c r="CR56" s="91"/>
      <c r="CS56" s="91"/>
      <c r="CT56" s="91"/>
      <c r="CU56" s="91"/>
      <c r="CV56" s="91"/>
      <c r="CW56" s="91"/>
      <c r="CX56" s="91"/>
      <c r="CY56" s="91"/>
      <c r="CZ56" s="91"/>
      <c r="DA56" s="91"/>
      <c r="DB56" s="91"/>
      <c r="DC56" s="91"/>
      <c r="DD56" s="91"/>
      <c r="DE56" s="91"/>
      <c r="DF56" s="91"/>
      <c r="DG56" s="91"/>
      <c r="DH56" s="91"/>
      <c r="DI56" s="91"/>
      <c r="DJ56" s="91"/>
      <c r="DK56" s="91"/>
      <c r="DL56" s="91"/>
      <c r="DM56" s="91"/>
      <c r="DN56" s="91"/>
      <c r="DO56" s="91"/>
      <c r="DP56" s="91"/>
      <c r="DQ56" s="91"/>
      <c r="DR56" s="91"/>
      <c r="DS56" s="91"/>
      <c r="DT56" s="91"/>
      <c r="DU56" s="91"/>
      <c r="DV56" s="91"/>
      <c r="DW56" s="91"/>
      <c r="DX56" s="91"/>
      <c r="DY56" s="91"/>
      <c r="DZ56" s="91"/>
      <c r="EA56" s="91"/>
      <c r="EB56" s="91"/>
      <c r="EC56" s="91"/>
      <c r="ED56" s="91"/>
      <c r="EE56" s="91"/>
      <c r="EF56" s="91"/>
      <c r="EG56" s="91"/>
      <c r="EH56" s="91"/>
      <c r="EI56" s="91"/>
      <c r="EJ56" s="91"/>
      <c r="EK56" s="91"/>
      <c r="EL56" s="91"/>
      <c r="EM56" s="91"/>
      <c r="EN56" s="91"/>
      <c r="EO56" s="91"/>
      <c r="EP56" s="91"/>
      <c r="EQ56" s="91"/>
      <c r="ER56" s="91"/>
      <c r="ES56" s="91"/>
      <c r="ET56" s="91"/>
      <c r="EU56" s="91"/>
      <c r="EV56" s="91"/>
      <c r="EW56" s="91"/>
      <c r="EX56" s="91"/>
      <c r="EY56" s="91"/>
      <c r="EZ56" s="91"/>
      <c r="FA56" s="91"/>
      <c r="FB56" s="91"/>
      <c r="FC56" s="91"/>
      <c r="FD56" s="91"/>
      <c r="FE56" s="91"/>
      <c r="FF56" s="91"/>
      <c r="FG56" s="91"/>
      <c r="FH56" s="91"/>
      <c r="FI56" s="91"/>
      <c r="FJ56" s="91"/>
      <c r="FK56" s="91"/>
      <c r="FL56" s="91"/>
      <c r="FM56" s="91"/>
      <c r="FN56" s="91"/>
      <c r="FO56" s="91"/>
      <c r="FP56" s="91"/>
      <c r="FQ56" s="91"/>
      <c r="FR56" s="91"/>
      <c r="FS56" s="91"/>
      <c r="FT56" s="91"/>
      <c r="FU56" s="91"/>
      <c r="FV56" s="91"/>
      <c r="FW56" s="91"/>
      <c r="FX56" s="91"/>
      <c r="FY56" s="91"/>
      <c r="FZ56" s="91"/>
      <c r="GA56" s="91"/>
      <c r="GB56" s="91"/>
      <c r="GC56" s="91"/>
      <c r="GD56" s="91"/>
      <c r="GE56" s="91"/>
      <c r="GF56" s="91"/>
      <c r="GG56" s="91"/>
      <c r="GH56" s="91"/>
      <c r="GI56" s="91"/>
      <c r="GJ56" s="91"/>
      <c r="GK56" s="91"/>
      <c r="GL56" s="91"/>
      <c r="GM56" s="91"/>
      <c r="GN56" s="91"/>
      <c r="GO56" s="91"/>
      <c r="GP56" s="91"/>
      <c r="GQ56" s="91"/>
      <c r="GR56" s="91"/>
      <c r="GS56" s="91"/>
      <c r="GT56" s="91"/>
      <c r="GU56" s="91"/>
      <c r="GV56" s="91"/>
      <c r="GW56" s="91"/>
      <c r="GX56" s="91"/>
      <c r="GY56" s="91"/>
      <c r="GZ56" s="91"/>
      <c r="HA56" s="91"/>
      <c r="HB56" s="91"/>
      <c r="HC56" s="91"/>
      <c r="HD56" s="91"/>
      <c r="HE56" s="91"/>
      <c r="HF56" s="91"/>
      <c r="HG56" s="91"/>
      <c r="HH56" s="91"/>
      <c r="HI56" s="91"/>
      <c r="HJ56" s="91"/>
      <c r="HK56" s="91"/>
      <c r="HL56" s="91"/>
      <c r="HM56" s="91"/>
      <c r="HN56" s="91"/>
      <c r="HO56" s="91"/>
      <c r="HP56" s="91"/>
      <c r="HQ56" s="91"/>
      <c r="HR56" s="91"/>
      <c r="HS56" s="91"/>
      <c r="HT56" s="91"/>
      <c r="HU56" s="91"/>
      <c r="HV56" s="91"/>
      <c r="HW56" s="91"/>
      <c r="HX56" s="91"/>
      <c r="HY56" s="91"/>
      <c r="HZ56" s="91"/>
      <c r="IA56" s="91"/>
      <c r="IB56" s="91"/>
      <c r="IC56" s="91"/>
      <c r="ID56" s="91"/>
      <c r="IE56" s="91"/>
      <c r="IF56" s="91"/>
      <c r="IG56" s="91"/>
      <c r="IH56" s="91"/>
      <c r="II56" s="91"/>
      <c r="IJ56" s="91"/>
      <c r="IK56" s="91"/>
      <c r="IL56" s="91"/>
      <c r="IM56" s="91"/>
      <c r="IN56" s="91"/>
      <c r="IO56" s="91"/>
    </row>
    <row r="57" spans="3:249" ht="18" x14ac:dyDescent="0.2">
      <c r="C57" s="1"/>
      <c r="E57" s="131" t="s">
        <v>58</v>
      </c>
      <c r="F57" s="2"/>
      <c r="G57" s="43"/>
      <c r="H57" s="43"/>
      <c r="I57" s="43"/>
      <c r="J57" s="43"/>
      <c r="K57" s="1"/>
      <c r="L57" s="82"/>
      <c r="M57" s="82"/>
      <c r="N57" s="82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1"/>
      <c r="AM57" s="91"/>
      <c r="AN57" s="91"/>
      <c r="AO57" s="91"/>
      <c r="AP57" s="91"/>
      <c r="AQ57" s="91"/>
      <c r="AR57" s="91"/>
      <c r="AS57" s="91"/>
      <c r="AT57" s="91"/>
      <c r="AU57" s="91"/>
      <c r="AV57" s="91"/>
      <c r="AW57" s="91"/>
      <c r="AX57" s="91"/>
      <c r="AY57" s="91"/>
      <c r="AZ57" s="91"/>
      <c r="BA57" s="91"/>
      <c r="BB57" s="91"/>
      <c r="BC57" s="91"/>
      <c r="BD57" s="91"/>
      <c r="BE57" s="91"/>
      <c r="BF57" s="91"/>
      <c r="BG57" s="91"/>
      <c r="BH57" s="91"/>
      <c r="BI57" s="91"/>
      <c r="BJ57" s="91"/>
      <c r="BK57" s="91"/>
      <c r="BL57" s="91"/>
      <c r="BM57" s="91"/>
      <c r="BN57" s="91"/>
      <c r="BO57" s="91"/>
      <c r="BP57" s="91"/>
      <c r="BQ57" s="91"/>
      <c r="BR57" s="91"/>
      <c r="BS57" s="91"/>
      <c r="BT57" s="91"/>
      <c r="BU57" s="91"/>
      <c r="BV57" s="91"/>
      <c r="BW57" s="91"/>
      <c r="BX57" s="91"/>
      <c r="BY57" s="91"/>
      <c r="BZ57" s="91"/>
      <c r="CA57" s="91"/>
      <c r="CB57" s="91"/>
      <c r="CC57" s="91"/>
      <c r="CD57" s="91"/>
      <c r="CE57" s="91"/>
      <c r="CF57" s="91"/>
      <c r="CG57" s="91"/>
      <c r="CH57" s="91"/>
      <c r="CI57" s="91"/>
      <c r="CJ57" s="91"/>
      <c r="CK57" s="91"/>
      <c r="CL57" s="91"/>
      <c r="CM57" s="91"/>
      <c r="CN57" s="91"/>
      <c r="CO57" s="91"/>
      <c r="CP57" s="91"/>
      <c r="CQ57" s="91"/>
      <c r="CR57" s="91"/>
      <c r="CS57" s="91"/>
      <c r="CT57" s="91"/>
      <c r="CU57" s="91"/>
      <c r="CV57" s="91"/>
      <c r="CW57" s="91"/>
      <c r="CX57" s="91"/>
      <c r="CY57" s="91"/>
      <c r="CZ57" s="91"/>
      <c r="DA57" s="91"/>
      <c r="DB57" s="91"/>
      <c r="DC57" s="91"/>
      <c r="DD57" s="91"/>
      <c r="DE57" s="91"/>
      <c r="DF57" s="91"/>
      <c r="DG57" s="91"/>
      <c r="DH57" s="91"/>
      <c r="DI57" s="91"/>
      <c r="DJ57" s="91"/>
      <c r="DK57" s="91"/>
      <c r="DL57" s="91"/>
      <c r="DM57" s="91"/>
      <c r="DN57" s="91"/>
      <c r="DO57" s="91"/>
      <c r="DP57" s="91"/>
      <c r="DQ57" s="91"/>
      <c r="DR57" s="91"/>
      <c r="DS57" s="91"/>
      <c r="DT57" s="91"/>
      <c r="DU57" s="91"/>
      <c r="DV57" s="91"/>
      <c r="DW57" s="91"/>
      <c r="DX57" s="91"/>
      <c r="DY57" s="91"/>
      <c r="DZ57" s="91"/>
      <c r="EA57" s="91"/>
      <c r="EB57" s="91"/>
      <c r="EC57" s="91"/>
      <c r="ED57" s="91"/>
      <c r="EE57" s="91"/>
      <c r="EF57" s="91"/>
      <c r="EG57" s="91"/>
      <c r="EH57" s="91"/>
      <c r="EI57" s="91"/>
      <c r="EJ57" s="91"/>
      <c r="EK57" s="91"/>
      <c r="EL57" s="91"/>
      <c r="EM57" s="91"/>
      <c r="EN57" s="91"/>
      <c r="EO57" s="91"/>
      <c r="EP57" s="91"/>
      <c r="EQ57" s="91"/>
      <c r="ER57" s="91"/>
      <c r="ES57" s="91"/>
      <c r="ET57" s="91"/>
      <c r="EU57" s="91"/>
      <c r="EV57" s="91"/>
      <c r="EW57" s="91"/>
      <c r="EX57" s="91"/>
      <c r="EY57" s="91"/>
      <c r="EZ57" s="91"/>
      <c r="FA57" s="91"/>
      <c r="FB57" s="91"/>
      <c r="FC57" s="91"/>
      <c r="FD57" s="91"/>
      <c r="FE57" s="91"/>
      <c r="FF57" s="91"/>
      <c r="FG57" s="91"/>
      <c r="FH57" s="91"/>
      <c r="FI57" s="91"/>
      <c r="FJ57" s="91"/>
      <c r="FK57" s="91"/>
      <c r="FL57" s="91"/>
      <c r="FM57" s="91"/>
      <c r="FN57" s="91"/>
      <c r="FO57" s="91"/>
      <c r="FP57" s="91"/>
      <c r="FQ57" s="91"/>
      <c r="FR57" s="91"/>
      <c r="FS57" s="91"/>
      <c r="FT57" s="91"/>
      <c r="FU57" s="91"/>
      <c r="FV57" s="91"/>
      <c r="FW57" s="91"/>
      <c r="FX57" s="91"/>
      <c r="FY57" s="91"/>
      <c r="FZ57" s="91"/>
      <c r="GA57" s="91"/>
      <c r="GB57" s="91"/>
      <c r="GC57" s="91"/>
      <c r="GD57" s="91"/>
      <c r="GE57" s="91"/>
      <c r="GF57" s="91"/>
      <c r="GG57" s="91"/>
      <c r="GH57" s="91"/>
      <c r="GI57" s="91"/>
      <c r="GJ57" s="91"/>
      <c r="GK57" s="91"/>
      <c r="GL57" s="91"/>
      <c r="GM57" s="91"/>
      <c r="GN57" s="91"/>
      <c r="GO57" s="91"/>
      <c r="GP57" s="91"/>
      <c r="GQ57" s="91"/>
      <c r="GR57" s="91"/>
      <c r="GS57" s="91"/>
      <c r="GT57" s="91"/>
      <c r="GU57" s="91"/>
      <c r="GV57" s="91"/>
      <c r="GW57" s="91"/>
      <c r="GX57" s="91"/>
      <c r="GY57" s="91"/>
      <c r="GZ57" s="91"/>
      <c r="HA57" s="91"/>
      <c r="HB57" s="91"/>
      <c r="HC57" s="91"/>
      <c r="HD57" s="91"/>
      <c r="HE57" s="91"/>
      <c r="HF57" s="91"/>
      <c r="HG57" s="91"/>
      <c r="HH57" s="91"/>
      <c r="HI57" s="91"/>
      <c r="HJ57" s="91"/>
      <c r="HK57" s="91"/>
      <c r="HL57" s="91"/>
      <c r="HM57" s="91"/>
      <c r="HN57" s="91"/>
      <c r="HO57" s="91"/>
      <c r="HP57" s="91"/>
      <c r="HQ57" s="91"/>
      <c r="HR57" s="91"/>
      <c r="HS57" s="91"/>
      <c r="HT57" s="91"/>
      <c r="HU57" s="91"/>
      <c r="HV57" s="91"/>
      <c r="HW57" s="91"/>
      <c r="HX57" s="91"/>
      <c r="HY57" s="91"/>
      <c r="HZ57" s="91"/>
      <c r="IA57" s="91"/>
      <c r="IB57" s="91"/>
      <c r="IC57" s="91"/>
      <c r="ID57" s="91"/>
      <c r="IE57" s="91"/>
      <c r="IF57" s="91"/>
      <c r="IG57" s="91"/>
      <c r="IH57" s="91"/>
      <c r="II57" s="91"/>
      <c r="IJ57" s="91"/>
      <c r="IK57" s="91"/>
      <c r="IL57" s="91"/>
      <c r="IM57" s="91"/>
      <c r="IN57" s="91"/>
      <c r="IO57" s="91"/>
    </row>
    <row r="58" spans="3:249" ht="18" x14ac:dyDescent="0.2">
      <c r="C58" s="1"/>
      <c r="E58" s="131"/>
      <c r="F58" s="2"/>
      <c r="G58" s="43"/>
      <c r="H58" s="43"/>
      <c r="I58" s="43"/>
      <c r="J58" s="43"/>
      <c r="K58" s="1"/>
      <c r="L58" s="82"/>
      <c r="M58" s="82"/>
      <c r="N58" s="82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91"/>
      <c r="AH58" s="91"/>
      <c r="AI58" s="91"/>
      <c r="AJ58" s="91"/>
      <c r="AK58" s="91"/>
      <c r="AL58" s="91"/>
      <c r="AM58" s="91"/>
      <c r="AN58" s="91"/>
      <c r="AO58" s="91"/>
      <c r="AP58" s="91"/>
      <c r="AQ58" s="91"/>
      <c r="AR58" s="91"/>
      <c r="AS58" s="91"/>
      <c r="AT58" s="91"/>
      <c r="AU58" s="91"/>
      <c r="AV58" s="91"/>
      <c r="AW58" s="91"/>
      <c r="AX58" s="91"/>
      <c r="AY58" s="91"/>
      <c r="AZ58" s="91"/>
      <c r="BA58" s="91"/>
      <c r="BB58" s="91"/>
      <c r="BC58" s="91"/>
      <c r="BD58" s="91"/>
      <c r="BE58" s="91"/>
      <c r="BF58" s="91"/>
      <c r="BG58" s="91"/>
      <c r="BH58" s="91"/>
      <c r="BI58" s="91"/>
      <c r="BJ58" s="91"/>
      <c r="BK58" s="91"/>
      <c r="BL58" s="91"/>
      <c r="BM58" s="91"/>
      <c r="BN58" s="91"/>
      <c r="BO58" s="91"/>
      <c r="BP58" s="91"/>
      <c r="BQ58" s="91"/>
      <c r="BR58" s="91"/>
      <c r="BS58" s="91"/>
      <c r="BT58" s="91"/>
      <c r="BU58" s="91"/>
      <c r="BV58" s="91"/>
      <c r="BW58" s="91"/>
      <c r="BX58" s="91"/>
      <c r="BY58" s="91"/>
      <c r="BZ58" s="91"/>
      <c r="CA58" s="91"/>
      <c r="CB58" s="91"/>
      <c r="CC58" s="91"/>
      <c r="CD58" s="91"/>
      <c r="CE58" s="91"/>
      <c r="CF58" s="91"/>
      <c r="CG58" s="91"/>
      <c r="CH58" s="91"/>
      <c r="CI58" s="91"/>
      <c r="CJ58" s="91"/>
      <c r="CK58" s="91"/>
      <c r="CL58" s="91"/>
      <c r="CM58" s="91"/>
      <c r="CN58" s="91"/>
      <c r="CO58" s="91"/>
      <c r="CP58" s="91"/>
      <c r="CQ58" s="91"/>
      <c r="CR58" s="91"/>
      <c r="CS58" s="91"/>
      <c r="CT58" s="91"/>
      <c r="CU58" s="91"/>
      <c r="CV58" s="91"/>
      <c r="CW58" s="91"/>
      <c r="CX58" s="91"/>
      <c r="CY58" s="91"/>
      <c r="CZ58" s="91"/>
      <c r="DA58" s="91"/>
      <c r="DB58" s="91"/>
      <c r="DC58" s="91"/>
      <c r="DD58" s="91"/>
      <c r="DE58" s="91"/>
      <c r="DF58" s="91"/>
      <c r="DG58" s="91"/>
      <c r="DH58" s="91"/>
      <c r="DI58" s="91"/>
      <c r="DJ58" s="91"/>
      <c r="DK58" s="91"/>
      <c r="DL58" s="91"/>
      <c r="DM58" s="91"/>
      <c r="DN58" s="91"/>
      <c r="DO58" s="91"/>
      <c r="DP58" s="91"/>
      <c r="DQ58" s="91"/>
      <c r="DR58" s="91"/>
      <c r="DS58" s="91"/>
      <c r="DT58" s="91"/>
      <c r="DU58" s="91"/>
      <c r="DV58" s="91"/>
      <c r="DW58" s="91"/>
      <c r="DX58" s="91"/>
      <c r="DY58" s="91"/>
      <c r="DZ58" s="91"/>
      <c r="EA58" s="91"/>
      <c r="EB58" s="91"/>
      <c r="EC58" s="91"/>
      <c r="ED58" s="91"/>
      <c r="EE58" s="91"/>
      <c r="EF58" s="91"/>
      <c r="EG58" s="91"/>
      <c r="EH58" s="91"/>
      <c r="EI58" s="91"/>
      <c r="EJ58" s="91"/>
      <c r="EK58" s="91"/>
      <c r="EL58" s="91"/>
      <c r="EM58" s="91"/>
      <c r="EN58" s="91"/>
      <c r="EO58" s="91"/>
      <c r="EP58" s="91"/>
      <c r="EQ58" s="91"/>
      <c r="ER58" s="91"/>
      <c r="ES58" s="91"/>
      <c r="ET58" s="91"/>
      <c r="EU58" s="91"/>
      <c r="EV58" s="91"/>
      <c r="EW58" s="91"/>
      <c r="EX58" s="91"/>
      <c r="EY58" s="91"/>
      <c r="EZ58" s="91"/>
      <c r="FA58" s="91"/>
      <c r="FB58" s="91"/>
      <c r="FC58" s="91"/>
      <c r="FD58" s="91"/>
      <c r="FE58" s="91"/>
      <c r="FF58" s="91"/>
      <c r="FG58" s="91"/>
      <c r="FH58" s="91"/>
      <c r="FI58" s="91"/>
      <c r="FJ58" s="91"/>
      <c r="FK58" s="91"/>
      <c r="FL58" s="91"/>
      <c r="FM58" s="91"/>
      <c r="FN58" s="91"/>
      <c r="FO58" s="91"/>
      <c r="FP58" s="91"/>
      <c r="FQ58" s="91"/>
      <c r="FR58" s="91"/>
      <c r="FS58" s="91"/>
      <c r="FT58" s="91"/>
      <c r="FU58" s="91"/>
      <c r="FV58" s="91"/>
      <c r="FW58" s="91"/>
      <c r="FX58" s="91"/>
      <c r="FY58" s="91"/>
      <c r="FZ58" s="91"/>
      <c r="GA58" s="91"/>
      <c r="GB58" s="91"/>
      <c r="GC58" s="91"/>
      <c r="GD58" s="91"/>
      <c r="GE58" s="91"/>
      <c r="GF58" s="91"/>
      <c r="GG58" s="91"/>
      <c r="GH58" s="91"/>
      <c r="GI58" s="91"/>
      <c r="GJ58" s="91"/>
      <c r="GK58" s="91"/>
      <c r="GL58" s="91"/>
      <c r="GM58" s="91"/>
      <c r="GN58" s="91"/>
      <c r="GO58" s="91"/>
      <c r="GP58" s="91"/>
      <c r="GQ58" s="91"/>
      <c r="GR58" s="91"/>
      <c r="GS58" s="91"/>
      <c r="GT58" s="91"/>
      <c r="GU58" s="91"/>
      <c r="GV58" s="91"/>
      <c r="GW58" s="91"/>
      <c r="GX58" s="91"/>
      <c r="GY58" s="91"/>
      <c r="GZ58" s="91"/>
      <c r="HA58" s="91"/>
      <c r="HB58" s="91"/>
      <c r="HC58" s="91"/>
      <c r="HD58" s="91"/>
      <c r="HE58" s="91"/>
      <c r="HF58" s="91"/>
      <c r="HG58" s="91"/>
      <c r="HH58" s="91"/>
      <c r="HI58" s="91"/>
      <c r="HJ58" s="91"/>
      <c r="HK58" s="91"/>
      <c r="HL58" s="91"/>
      <c r="HM58" s="91"/>
      <c r="HN58" s="91"/>
      <c r="HO58" s="91"/>
      <c r="HP58" s="91"/>
      <c r="HQ58" s="91"/>
      <c r="HR58" s="91"/>
      <c r="HS58" s="91"/>
      <c r="HT58" s="91"/>
      <c r="HU58" s="91"/>
      <c r="HV58" s="91"/>
      <c r="HW58" s="91"/>
      <c r="HX58" s="91"/>
      <c r="HY58" s="91"/>
      <c r="HZ58" s="91"/>
      <c r="IA58" s="91"/>
      <c r="IB58" s="91"/>
      <c r="IC58" s="91"/>
      <c r="ID58" s="91"/>
      <c r="IE58" s="91"/>
      <c r="IF58" s="91"/>
      <c r="IG58" s="91"/>
      <c r="IH58" s="91"/>
      <c r="II58" s="91"/>
      <c r="IJ58" s="91"/>
      <c r="IK58" s="91"/>
      <c r="IL58" s="91"/>
      <c r="IM58" s="91"/>
      <c r="IN58" s="91"/>
      <c r="IO58" s="91"/>
    </row>
    <row r="59" spans="3:249" ht="21" x14ac:dyDescent="0.2">
      <c r="C59" s="1"/>
      <c r="D59" s="132"/>
      <c r="E59" s="133" t="s">
        <v>59</v>
      </c>
      <c r="F59" s="132"/>
      <c r="G59" s="132"/>
      <c r="H59" s="132"/>
      <c r="I59" s="132"/>
      <c r="J59" s="43"/>
      <c r="K59" s="1"/>
      <c r="L59" s="82"/>
      <c r="M59" s="82"/>
      <c r="N59" s="82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43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1"/>
      <c r="AN59" s="91"/>
      <c r="AO59" s="91"/>
      <c r="AP59" s="91"/>
      <c r="AQ59" s="91"/>
      <c r="AR59" s="91"/>
      <c r="AS59" s="91"/>
      <c r="AT59" s="91"/>
      <c r="AU59" s="91"/>
      <c r="AV59" s="91"/>
      <c r="AW59" s="91"/>
      <c r="AX59" s="91"/>
      <c r="AY59" s="91"/>
      <c r="AZ59" s="91"/>
      <c r="BA59" s="91"/>
      <c r="BB59" s="91"/>
      <c r="BC59" s="91"/>
      <c r="BD59" s="91"/>
      <c r="BE59" s="91"/>
      <c r="BF59" s="91"/>
      <c r="BG59" s="91"/>
      <c r="BH59" s="91"/>
      <c r="BI59" s="91"/>
      <c r="BJ59" s="91"/>
      <c r="BK59" s="91"/>
      <c r="BL59" s="91"/>
      <c r="BM59" s="91"/>
      <c r="BN59" s="91"/>
      <c r="BO59" s="91"/>
      <c r="BP59" s="91"/>
      <c r="BQ59" s="91"/>
      <c r="BR59" s="91"/>
      <c r="BS59" s="91"/>
      <c r="BT59" s="91"/>
      <c r="BU59" s="91"/>
      <c r="BV59" s="91"/>
      <c r="BW59" s="91"/>
      <c r="BX59" s="91"/>
      <c r="BY59" s="91"/>
      <c r="BZ59" s="91"/>
      <c r="CA59" s="91"/>
      <c r="CB59" s="91"/>
      <c r="CC59" s="91"/>
      <c r="CD59" s="91"/>
      <c r="CE59" s="91"/>
      <c r="CF59" s="91"/>
      <c r="CG59" s="91"/>
      <c r="CH59" s="91"/>
      <c r="CI59" s="91"/>
      <c r="CJ59" s="91"/>
      <c r="CK59" s="91"/>
      <c r="CL59" s="91"/>
      <c r="CM59" s="91"/>
      <c r="CN59" s="91"/>
      <c r="CO59" s="91"/>
      <c r="CP59" s="91"/>
      <c r="CQ59" s="91"/>
      <c r="CR59" s="91"/>
      <c r="CS59" s="91"/>
      <c r="CT59" s="91"/>
      <c r="CU59" s="91"/>
      <c r="CV59" s="91"/>
      <c r="CW59" s="91"/>
      <c r="CX59" s="91"/>
      <c r="CY59" s="91"/>
      <c r="CZ59" s="91"/>
      <c r="DA59" s="91"/>
      <c r="DB59" s="91"/>
      <c r="DC59" s="91"/>
      <c r="DD59" s="91"/>
      <c r="DE59" s="91"/>
      <c r="DF59" s="91"/>
      <c r="DG59" s="91"/>
      <c r="DH59" s="91"/>
      <c r="DI59" s="91"/>
      <c r="DJ59" s="91"/>
      <c r="DK59" s="91"/>
      <c r="DL59" s="91"/>
      <c r="DM59" s="91"/>
      <c r="DN59" s="91"/>
      <c r="DO59" s="91"/>
      <c r="DP59" s="91"/>
      <c r="DQ59" s="91"/>
      <c r="DR59" s="91"/>
      <c r="DS59" s="91"/>
      <c r="DT59" s="91"/>
      <c r="DU59" s="91"/>
      <c r="DV59" s="91"/>
      <c r="DW59" s="91"/>
      <c r="DX59" s="91"/>
      <c r="DY59" s="91"/>
      <c r="DZ59" s="91"/>
      <c r="EA59" s="91"/>
      <c r="EB59" s="91"/>
      <c r="EC59" s="91"/>
      <c r="ED59" s="91"/>
      <c r="EE59" s="91"/>
      <c r="EF59" s="91"/>
      <c r="EG59" s="91"/>
      <c r="EH59" s="91"/>
      <c r="EI59" s="91"/>
      <c r="EJ59" s="91"/>
      <c r="EK59" s="91"/>
      <c r="EL59" s="91"/>
      <c r="EM59" s="91"/>
      <c r="EN59" s="91"/>
      <c r="EO59" s="91"/>
      <c r="EP59" s="91"/>
      <c r="EQ59" s="91"/>
      <c r="ER59" s="91"/>
      <c r="ES59" s="91"/>
      <c r="ET59" s="91"/>
      <c r="EU59" s="91"/>
      <c r="EV59" s="91"/>
      <c r="EW59" s="91"/>
      <c r="EX59" s="91"/>
      <c r="EY59" s="91"/>
      <c r="EZ59" s="91"/>
      <c r="FA59" s="91"/>
      <c r="FB59" s="91"/>
      <c r="FC59" s="91"/>
      <c r="FD59" s="91"/>
      <c r="FE59" s="91"/>
      <c r="FF59" s="91"/>
      <c r="FG59" s="91"/>
      <c r="FH59" s="91"/>
      <c r="FI59" s="91"/>
      <c r="FJ59" s="91"/>
      <c r="FK59" s="91"/>
      <c r="FL59" s="91"/>
      <c r="FM59" s="91"/>
      <c r="FN59" s="91"/>
      <c r="FO59" s="91"/>
      <c r="FP59" s="91"/>
      <c r="FQ59" s="91"/>
      <c r="FR59" s="91"/>
      <c r="FS59" s="91"/>
      <c r="FT59" s="91"/>
      <c r="FU59" s="91"/>
      <c r="FV59" s="91"/>
      <c r="FW59" s="91"/>
      <c r="FX59" s="91"/>
      <c r="FY59" s="91"/>
      <c r="FZ59" s="91"/>
      <c r="GA59" s="91"/>
      <c r="GB59" s="91"/>
      <c r="GC59" s="91"/>
      <c r="GD59" s="91"/>
      <c r="GE59" s="91"/>
      <c r="GF59" s="91"/>
      <c r="GG59" s="91"/>
      <c r="GH59" s="91"/>
      <c r="GI59" s="91"/>
      <c r="GJ59" s="91"/>
      <c r="GK59" s="91"/>
      <c r="GL59" s="91"/>
      <c r="GM59" s="91"/>
      <c r="GN59" s="91"/>
      <c r="GO59" s="91"/>
      <c r="GP59" s="91"/>
      <c r="GQ59" s="91"/>
      <c r="GR59" s="91"/>
      <c r="GS59" s="91"/>
      <c r="GT59" s="91"/>
      <c r="GU59" s="91"/>
      <c r="GV59" s="91"/>
      <c r="GW59" s="91"/>
      <c r="GX59" s="91"/>
      <c r="GY59" s="91"/>
      <c r="GZ59" s="91"/>
      <c r="HA59" s="91"/>
      <c r="HB59" s="91"/>
      <c r="HC59" s="91"/>
      <c r="HD59" s="91"/>
      <c r="HE59" s="91"/>
      <c r="HF59" s="91"/>
      <c r="HG59" s="91"/>
      <c r="HH59" s="91"/>
      <c r="HI59" s="91"/>
      <c r="HJ59" s="91"/>
      <c r="HK59" s="91"/>
      <c r="HL59" s="91"/>
      <c r="HM59" s="91"/>
      <c r="HN59" s="91"/>
      <c r="HO59" s="91"/>
      <c r="HP59" s="91"/>
      <c r="HQ59" s="91"/>
      <c r="HR59" s="91"/>
      <c r="HS59" s="91"/>
      <c r="HT59" s="91"/>
      <c r="HU59" s="91"/>
      <c r="HV59" s="91"/>
      <c r="HW59" s="91"/>
      <c r="HX59" s="91"/>
      <c r="HY59" s="91"/>
      <c r="HZ59" s="91"/>
      <c r="IA59" s="91"/>
      <c r="IB59" s="91"/>
      <c r="IC59" s="91"/>
      <c r="ID59" s="91"/>
      <c r="IE59" s="91"/>
      <c r="IF59" s="91"/>
      <c r="IG59" s="91"/>
      <c r="IH59" s="91"/>
      <c r="II59" s="91"/>
      <c r="IJ59" s="91"/>
      <c r="IK59" s="91"/>
      <c r="IL59" s="91"/>
      <c r="IM59" s="91"/>
      <c r="IN59" s="91"/>
      <c r="IO59" s="91"/>
    </row>
    <row r="60" spans="3:249" x14ac:dyDescent="0.2">
      <c r="C60" s="1"/>
      <c r="D60" s="134">
        <v>1</v>
      </c>
      <c r="E60" s="135" t="s">
        <v>60</v>
      </c>
      <c r="F60" s="136"/>
      <c r="G60" s="136"/>
      <c r="H60" s="136"/>
      <c r="I60" s="136"/>
      <c r="J60" s="43"/>
      <c r="K60" s="1"/>
      <c r="L60" s="82"/>
      <c r="M60" s="82"/>
      <c r="N60" s="82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43"/>
      <c r="AB60" s="91"/>
      <c r="AC60" s="91"/>
      <c r="AD60" s="91"/>
      <c r="AE60" s="91"/>
      <c r="AF60" s="91"/>
      <c r="AG60" s="91"/>
      <c r="AH60" s="91"/>
      <c r="AI60" s="91"/>
      <c r="AJ60" s="91"/>
      <c r="AK60" s="91"/>
      <c r="AL60" s="91"/>
      <c r="AM60" s="91"/>
      <c r="AN60" s="91"/>
      <c r="AO60" s="91"/>
      <c r="AP60" s="91"/>
      <c r="AQ60" s="91"/>
      <c r="AR60" s="91"/>
      <c r="AS60" s="91"/>
      <c r="AT60" s="91"/>
      <c r="AU60" s="91"/>
      <c r="AV60" s="91"/>
      <c r="AW60" s="91"/>
      <c r="AX60" s="91"/>
      <c r="AY60" s="91"/>
      <c r="AZ60" s="91"/>
      <c r="BA60" s="91"/>
      <c r="BB60" s="91"/>
      <c r="BC60" s="91"/>
      <c r="BD60" s="91"/>
      <c r="BE60" s="91"/>
      <c r="BF60" s="91"/>
      <c r="BG60" s="91"/>
      <c r="BH60" s="91"/>
      <c r="BI60" s="91"/>
      <c r="BJ60" s="91"/>
      <c r="BK60" s="91"/>
      <c r="BL60" s="91"/>
      <c r="BM60" s="91"/>
      <c r="BN60" s="91"/>
      <c r="BO60" s="91"/>
      <c r="BP60" s="91"/>
      <c r="BQ60" s="91"/>
      <c r="BR60" s="91"/>
      <c r="BS60" s="91"/>
      <c r="BT60" s="91"/>
      <c r="BU60" s="91"/>
      <c r="BV60" s="91"/>
      <c r="BW60" s="91"/>
      <c r="BX60" s="91"/>
      <c r="BY60" s="91"/>
      <c r="BZ60" s="91"/>
      <c r="CA60" s="91"/>
      <c r="CB60" s="91"/>
      <c r="CC60" s="91"/>
      <c r="CD60" s="91"/>
      <c r="CE60" s="91"/>
      <c r="CF60" s="91"/>
      <c r="CG60" s="91"/>
      <c r="CH60" s="91"/>
      <c r="CI60" s="91"/>
      <c r="CJ60" s="91"/>
      <c r="CK60" s="91"/>
      <c r="CL60" s="91"/>
      <c r="CM60" s="91"/>
      <c r="CN60" s="91"/>
      <c r="CO60" s="91"/>
      <c r="CP60" s="91"/>
      <c r="CQ60" s="91"/>
      <c r="CR60" s="91"/>
      <c r="CS60" s="91"/>
      <c r="CT60" s="91"/>
      <c r="CU60" s="91"/>
      <c r="CV60" s="91"/>
      <c r="CW60" s="91"/>
      <c r="CX60" s="91"/>
      <c r="CY60" s="91"/>
      <c r="CZ60" s="91"/>
      <c r="DA60" s="91"/>
      <c r="DB60" s="91"/>
      <c r="DC60" s="91"/>
      <c r="DD60" s="91"/>
      <c r="DE60" s="91"/>
      <c r="DF60" s="91"/>
      <c r="DG60" s="91"/>
      <c r="DH60" s="91"/>
      <c r="DI60" s="91"/>
      <c r="DJ60" s="91"/>
      <c r="DK60" s="91"/>
      <c r="DL60" s="91"/>
      <c r="DM60" s="91"/>
      <c r="DN60" s="91"/>
      <c r="DO60" s="91"/>
      <c r="DP60" s="91"/>
      <c r="DQ60" s="91"/>
      <c r="DR60" s="91"/>
      <c r="DS60" s="91"/>
      <c r="DT60" s="91"/>
      <c r="DU60" s="91"/>
      <c r="DV60" s="91"/>
      <c r="DW60" s="91"/>
      <c r="DX60" s="91"/>
      <c r="DY60" s="91"/>
      <c r="DZ60" s="91"/>
      <c r="EA60" s="91"/>
      <c r="EB60" s="91"/>
      <c r="EC60" s="91"/>
      <c r="ED60" s="91"/>
      <c r="EE60" s="91"/>
      <c r="EF60" s="91"/>
      <c r="EG60" s="91"/>
      <c r="EH60" s="91"/>
      <c r="EI60" s="91"/>
      <c r="EJ60" s="91"/>
      <c r="EK60" s="91"/>
      <c r="EL60" s="91"/>
      <c r="EM60" s="91"/>
      <c r="EN60" s="91"/>
      <c r="EO60" s="91"/>
      <c r="EP60" s="91"/>
      <c r="EQ60" s="91"/>
      <c r="ER60" s="91"/>
      <c r="ES60" s="91"/>
      <c r="ET60" s="91"/>
      <c r="EU60" s="91"/>
      <c r="EV60" s="91"/>
      <c r="EW60" s="91"/>
      <c r="EX60" s="91"/>
      <c r="EY60" s="91"/>
      <c r="EZ60" s="91"/>
      <c r="FA60" s="91"/>
      <c r="FB60" s="91"/>
      <c r="FC60" s="91"/>
      <c r="FD60" s="91"/>
      <c r="FE60" s="91"/>
      <c r="FF60" s="91"/>
      <c r="FG60" s="91"/>
      <c r="FH60" s="91"/>
      <c r="FI60" s="91"/>
      <c r="FJ60" s="91"/>
      <c r="FK60" s="91"/>
      <c r="FL60" s="91"/>
      <c r="FM60" s="91"/>
      <c r="FN60" s="91"/>
      <c r="FO60" s="91"/>
      <c r="FP60" s="91"/>
      <c r="FQ60" s="91"/>
      <c r="FR60" s="91"/>
      <c r="FS60" s="91"/>
      <c r="FT60" s="91"/>
      <c r="FU60" s="91"/>
      <c r="FV60" s="91"/>
      <c r="FW60" s="91"/>
      <c r="FX60" s="91"/>
      <c r="FY60" s="91"/>
      <c r="FZ60" s="91"/>
      <c r="GA60" s="91"/>
      <c r="GB60" s="91"/>
      <c r="GC60" s="91"/>
      <c r="GD60" s="91"/>
      <c r="GE60" s="91"/>
      <c r="GF60" s="91"/>
      <c r="GG60" s="91"/>
      <c r="GH60" s="91"/>
      <c r="GI60" s="91"/>
      <c r="GJ60" s="91"/>
      <c r="GK60" s="91"/>
      <c r="GL60" s="91"/>
      <c r="GM60" s="91"/>
      <c r="GN60" s="91"/>
      <c r="GO60" s="91"/>
      <c r="GP60" s="91"/>
      <c r="GQ60" s="91"/>
      <c r="GR60" s="91"/>
      <c r="GS60" s="91"/>
      <c r="GT60" s="91"/>
      <c r="GU60" s="91"/>
      <c r="GV60" s="91"/>
      <c r="GW60" s="91"/>
      <c r="GX60" s="91"/>
      <c r="GY60" s="91"/>
      <c r="GZ60" s="91"/>
      <c r="HA60" s="91"/>
      <c r="HB60" s="91"/>
      <c r="HC60" s="91"/>
      <c r="HD60" s="91"/>
      <c r="HE60" s="91"/>
      <c r="HF60" s="91"/>
      <c r="HG60" s="91"/>
      <c r="HH60" s="91"/>
      <c r="HI60" s="91"/>
      <c r="HJ60" s="91"/>
      <c r="HK60" s="91"/>
      <c r="HL60" s="91"/>
      <c r="HM60" s="91"/>
      <c r="HN60" s="91"/>
      <c r="HO60" s="91"/>
      <c r="HP60" s="91"/>
      <c r="HQ60" s="91"/>
      <c r="HR60" s="91"/>
      <c r="HS60" s="91"/>
      <c r="HT60" s="91"/>
      <c r="HU60" s="91"/>
      <c r="HV60" s="91"/>
      <c r="HW60" s="91"/>
      <c r="HX60" s="91"/>
      <c r="HY60" s="91"/>
      <c r="HZ60" s="91"/>
      <c r="IA60" s="91"/>
      <c r="IB60" s="91"/>
      <c r="IC60" s="91"/>
      <c r="ID60" s="91"/>
      <c r="IE60" s="91"/>
      <c r="IF60" s="91"/>
      <c r="IG60" s="91"/>
      <c r="IH60" s="91"/>
      <c r="II60" s="91"/>
      <c r="IJ60" s="91"/>
      <c r="IK60" s="91"/>
      <c r="IL60" s="91"/>
      <c r="IM60" s="91"/>
      <c r="IN60" s="91"/>
      <c r="IO60" s="91"/>
    </row>
    <row r="61" spans="3:249" x14ac:dyDescent="0.2">
      <c r="C61" s="1"/>
      <c r="D61" s="134"/>
      <c r="E61" s="137" t="s">
        <v>61</v>
      </c>
      <c r="F61" s="138">
        <v>146346</v>
      </c>
      <c r="G61" s="139"/>
      <c r="H61" s="140" t="s">
        <v>62</v>
      </c>
      <c r="I61" s="139"/>
      <c r="J61" s="43"/>
      <c r="K61" s="1" t="s">
        <v>63</v>
      </c>
      <c r="L61" s="82">
        <v>4370.1499999999996</v>
      </c>
      <c r="M61" s="82"/>
      <c r="N61" s="82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43"/>
      <c r="AB61" s="91"/>
      <c r="AC61" s="91"/>
      <c r="AD61" s="91"/>
      <c r="AE61" s="91"/>
      <c r="AF61" s="91"/>
      <c r="AG61" s="91"/>
      <c r="AH61" s="91"/>
      <c r="AI61" s="91"/>
      <c r="AJ61" s="91"/>
      <c r="AK61" s="91"/>
      <c r="AL61" s="91"/>
      <c r="AM61" s="91"/>
      <c r="AN61" s="91"/>
      <c r="AO61" s="91"/>
      <c r="AP61" s="91"/>
      <c r="AQ61" s="91"/>
      <c r="AR61" s="91"/>
      <c r="AS61" s="91"/>
      <c r="AT61" s="91"/>
      <c r="AU61" s="91"/>
      <c r="AV61" s="91"/>
      <c r="AW61" s="91"/>
      <c r="AX61" s="91"/>
      <c r="AY61" s="91"/>
      <c r="AZ61" s="91"/>
      <c r="BA61" s="91"/>
      <c r="BB61" s="91"/>
      <c r="BC61" s="91"/>
      <c r="BD61" s="91"/>
      <c r="BE61" s="91"/>
      <c r="BF61" s="91"/>
      <c r="BG61" s="91"/>
      <c r="BH61" s="91"/>
      <c r="BI61" s="91"/>
      <c r="BJ61" s="91"/>
      <c r="BK61" s="91"/>
      <c r="BL61" s="91"/>
      <c r="BM61" s="91"/>
      <c r="BN61" s="91"/>
      <c r="BO61" s="91"/>
      <c r="BP61" s="91"/>
      <c r="BQ61" s="91"/>
      <c r="BR61" s="91"/>
      <c r="BS61" s="91"/>
      <c r="BT61" s="91"/>
      <c r="BU61" s="91"/>
      <c r="BV61" s="91"/>
      <c r="BW61" s="91"/>
      <c r="BX61" s="91"/>
      <c r="BY61" s="91"/>
      <c r="BZ61" s="91"/>
      <c r="CA61" s="91"/>
      <c r="CB61" s="91"/>
      <c r="CC61" s="91"/>
      <c r="CD61" s="91"/>
      <c r="CE61" s="91"/>
      <c r="CF61" s="91"/>
      <c r="CG61" s="91"/>
      <c r="CH61" s="91"/>
      <c r="CI61" s="91"/>
      <c r="CJ61" s="91"/>
      <c r="CK61" s="91"/>
      <c r="CL61" s="91"/>
      <c r="CM61" s="91"/>
      <c r="CN61" s="91"/>
      <c r="CO61" s="91"/>
      <c r="CP61" s="91"/>
      <c r="CQ61" s="91"/>
      <c r="CR61" s="91"/>
      <c r="CS61" s="91"/>
      <c r="CT61" s="91"/>
      <c r="CU61" s="91"/>
      <c r="CV61" s="91"/>
      <c r="CW61" s="91"/>
      <c r="CX61" s="91"/>
      <c r="CY61" s="91"/>
      <c r="CZ61" s="91"/>
      <c r="DA61" s="91"/>
      <c r="DB61" s="91"/>
      <c r="DC61" s="91"/>
      <c r="DD61" s="91"/>
      <c r="DE61" s="91"/>
      <c r="DF61" s="91"/>
      <c r="DG61" s="91"/>
      <c r="DH61" s="91"/>
      <c r="DI61" s="91"/>
      <c r="DJ61" s="91"/>
      <c r="DK61" s="91"/>
      <c r="DL61" s="91"/>
      <c r="DM61" s="91"/>
      <c r="DN61" s="91"/>
      <c r="DO61" s="91"/>
      <c r="DP61" s="91"/>
      <c r="DQ61" s="91"/>
      <c r="DR61" s="91"/>
      <c r="DS61" s="91"/>
      <c r="DT61" s="91"/>
      <c r="DU61" s="91"/>
      <c r="DV61" s="91"/>
      <c r="DW61" s="91"/>
      <c r="DX61" s="91"/>
      <c r="DY61" s="91"/>
      <c r="DZ61" s="91"/>
      <c r="EA61" s="91"/>
      <c r="EB61" s="91"/>
      <c r="EC61" s="91"/>
      <c r="ED61" s="91"/>
      <c r="EE61" s="91"/>
      <c r="EF61" s="91"/>
      <c r="EG61" s="91"/>
      <c r="EH61" s="91"/>
      <c r="EI61" s="91"/>
      <c r="EJ61" s="91"/>
      <c r="EK61" s="91"/>
      <c r="EL61" s="91"/>
      <c r="EM61" s="91"/>
      <c r="EN61" s="91"/>
      <c r="EO61" s="91"/>
      <c r="EP61" s="91"/>
      <c r="EQ61" s="91"/>
      <c r="ER61" s="91"/>
      <c r="ES61" s="91"/>
      <c r="ET61" s="91"/>
      <c r="EU61" s="91"/>
      <c r="EV61" s="91"/>
      <c r="EW61" s="91"/>
      <c r="EX61" s="91"/>
      <c r="EY61" s="91"/>
      <c r="EZ61" s="91"/>
      <c r="FA61" s="91"/>
      <c r="FB61" s="91"/>
      <c r="FC61" s="91"/>
      <c r="FD61" s="91"/>
      <c r="FE61" s="91"/>
      <c r="FF61" s="91"/>
      <c r="FG61" s="91"/>
      <c r="FH61" s="91"/>
      <c r="FI61" s="91"/>
      <c r="FJ61" s="91"/>
      <c r="FK61" s="91"/>
      <c r="FL61" s="91"/>
      <c r="FM61" s="91"/>
      <c r="FN61" s="91"/>
      <c r="FO61" s="91"/>
      <c r="FP61" s="91"/>
      <c r="FQ61" s="91"/>
      <c r="FR61" s="91"/>
      <c r="FS61" s="91"/>
      <c r="FT61" s="91"/>
      <c r="FU61" s="91"/>
      <c r="FV61" s="91"/>
      <c r="FW61" s="91"/>
      <c r="FX61" s="91"/>
      <c r="FY61" s="91"/>
      <c r="FZ61" s="91"/>
      <c r="GA61" s="91"/>
      <c r="GB61" s="91"/>
      <c r="GC61" s="91"/>
      <c r="GD61" s="91"/>
      <c r="GE61" s="91"/>
      <c r="GF61" s="91"/>
      <c r="GG61" s="91"/>
      <c r="GH61" s="91"/>
      <c r="GI61" s="91"/>
      <c r="GJ61" s="91"/>
      <c r="GK61" s="91"/>
      <c r="GL61" s="91"/>
      <c r="GM61" s="91"/>
      <c r="GN61" s="91"/>
      <c r="GO61" s="91"/>
      <c r="GP61" s="91"/>
      <c r="GQ61" s="91"/>
      <c r="GR61" s="91"/>
      <c r="GS61" s="91"/>
      <c r="GT61" s="91"/>
      <c r="GU61" s="91"/>
      <c r="GV61" s="91"/>
      <c r="GW61" s="91"/>
      <c r="GX61" s="91"/>
      <c r="GY61" s="91"/>
      <c r="GZ61" s="91"/>
      <c r="HA61" s="91"/>
      <c r="HB61" s="91"/>
      <c r="HC61" s="91"/>
      <c r="HD61" s="91"/>
      <c r="HE61" s="91"/>
      <c r="HF61" s="91"/>
      <c r="HG61" s="91"/>
      <c r="HH61" s="91"/>
      <c r="HI61" s="91"/>
      <c r="HJ61" s="91"/>
      <c r="HK61" s="91"/>
      <c r="HL61" s="91"/>
      <c r="HM61" s="91"/>
      <c r="HN61" s="91"/>
      <c r="HO61" s="91"/>
      <c r="HP61" s="91"/>
      <c r="HQ61" s="91"/>
      <c r="HR61" s="91"/>
      <c r="HS61" s="91"/>
      <c r="HT61" s="91"/>
      <c r="HU61" s="91"/>
      <c r="HV61" s="91"/>
      <c r="HW61" s="91"/>
      <c r="HX61" s="91"/>
      <c r="HY61" s="91"/>
      <c r="HZ61" s="91"/>
      <c r="IA61" s="91"/>
      <c r="IB61" s="91"/>
      <c r="IC61" s="91"/>
      <c r="ID61" s="91"/>
      <c r="IE61" s="91"/>
      <c r="IF61" s="91"/>
      <c r="IG61" s="91"/>
      <c r="IH61" s="91"/>
      <c r="II61" s="91"/>
      <c r="IJ61" s="91"/>
      <c r="IK61" s="91"/>
      <c r="IL61" s="91"/>
      <c r="IM61" s="91"/>
      <c r="IN61" s="91"/>
      <c r="IO61" s="91"/>
    </row>
    <row r="62" spans="3:249" x14ac:dyDescent="0.2">
      <c r="C62" s="1"/>
      <c r="D62" s="134"/>
      <c r="E62" s="141" t="s">
        <v>64</v>
      </c>
      <c r="F62" s="142">
        <f>+H9</f>
        <v>128853.2</v>
      </c>
      <c r="G62" s="143">
        <f>+F62/F61</f>
        <v>0.88046957210993126</v>
      </c>
      <c r="H62" s="144">
        <f>+E9</f>
        <v>757.96</v>
      </c>
      <c r="I62" s="145"/>
      <c r="J62" s="43"/>
      <c r="K62" s="1"/>
      <c r="L62" s="82"/>
      <c r="M62" s="82"/>
      <c r="N62" s="82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43"/>
      <c r="AB62" s="91"/>
      <c r="AC62" s="91"/>
      <c r="AD62" s="91"/>
      <c r="AE62" s="91"/>
      <c r="AF62" s="91"/>
      <c r="AG62" s="91"/>
      <c r="AH62" s="91"/>
      <c r="AI62" s="91"/>
      <c r="AJ62" s="91"/>
      <c r="AK62" s="91"/>
      <c r="AL62" s="91"/>
      <c r="AM62" s="91"/>
      <c r="AN62" s="91"/>
      <c r="AO62" s="91"/>
      <c r="AP62" s="91"/>
      <c r="AQ62" s="91"/>
      <c r="AR62" s="91"/>
      <c r="AS62" s="91"/>
      <c r="AT62" s="91"/>
      <c r="AU62" s="91"/>
      <c r="AV62" s="91"/>
      <c r="AW62" s="91"/>
      <c r="AX62" s="91"/>
      <c r="AY62" s="91"/>
      <c r="AZ62" s="91"/>
      <c r="BA62" s="91"/>
      <c r="BB62" s="91"/>
      <c r="BC62" s="91"/>
      <c r="BD62" s="91"/>
      <c r="BE62" s="91"/>
      <c r="BF62" s="91"/>
      <c r="BG62" s="91"/>
      <c r="BH62" s="91"/>
      <c r="BI62" s="91"/>
      <c r="BJ62" s="91"/>
      <c r="BK62" s="91"/>
      <c r="BL62" s="91"/>
      <c r="BM62" s="91"/>
      <c r="BN62" s="91"/>
      <c r="BO62" s="91"/>
      <c r="BP62" s="91"/>
      <c r="BQ62" s="91"/>
      <c r="BR62" s="91"/>
      <c r="BS62" s="91"/>
      <c r="BT62" s="91"/>
      <c r="BU62" s="91"/>
      <c r="BV62" s="91"/>
      <c r="BW62" s="91"/>
      <c r="BX62" s="91"/>
      <c r="BY62" s="91"/>
      <c r="BZ62" s="91"/>
      <c r="CA62" s="91"/>
      <c r="CB62" s="91"/>
      <c r="CC62" s="91"/>
      <c r="CD62" s="91"/>
      <c r="CE62" s="91"/>
      <c r="CF62" s="91"/>
      <c r="CG62" s="91"/>
      <c r="CH62" s="91"/>
      <c r="CI62" s="91"/>
      <c r="CJ62" s="91"/>
      <c r="CK62" s="91"/>
      <c r="CL62" s="91"/>
      <c r="CM62" s="91"/>
      <c r="CN62" s="91"/>
      <c r="CO62" s="91"/>
      <c r="CP62" s="91"/>
      <c r="CQ62" s="91"/>
      <c r="CR62" s="91"/>
      <c r="CS62" s="91"/>
      <c r="CT62" s="91"/>
      <c r="CU62" s="91"/>
      <c r="CV62" s="91"/>
      <c r="CW62" s="91"/>
      <c r="CX62" s="91"/>
      <c r="CY62" s="91"/>
      <c r="CZ62" s="91"/>
      <c r="DA62" s="91"/>
      <c r="DB62" s="91"/>
      <c r="DC62" s="91"/>
      <c r="DD62" s="91"/>
      <c r="DE62" s="91"/>
      <c r="DF62" s="91"/>
      <c r="DG62" s="91"/>
      <c r="DH62" s="91"/>
      <c r="DI62" s="91"/>
      <c r="DJ62" s="91"/>
      <c r="DK62" s="91"/>
      <c r="DL62" s="91"/>
      <c r="DM62" s="91"/>
      <c r="DN62" s="91"/>
      <c r="DO62" s="91"/>
      <c r="DP62" s="91"/>
      <c r="DQ62" s="91"/>
      <c r="DR62" s="91"/>
      <c r="DS62" s="91"/>
      <c r="DT62" s="91"/>
      <c r="DU62" s="91"/>
      <c r="DV62" s="91"/>
      <c r="DW62" s="91"/>
      <c r="DX62" s="91"/>
      <c r="DY62" s="91"/>
      <c r="DZ62" s="91"/>
      <c r="EA62" s="91"/>
      <c r="EB62" s="91"/>
      <c r="EC62" s="91"/>
      <c r="ED62" s="91"/>
      <c r="EE62" s="91"/>
      <c r="EF62" s="91"/>
      <c r="EG62" s="91"/>
      <c r="EH62" s="91"/>
      <c r="EI62" s="91"/>
      <c r="EJ62" s="91"/>
      <c r="EK62" s="91"/>
      <c r="EL62" s="91"/>
      <c r="EM62" s="91"/>
      <c r="EN62" s="91"/>
      <c r="EO62" s="91"/>
      <c r="EP62" s="91"/>
      <c r="EQ62" s="91"/>
      <c r="ER62" s="91"/>
      <c r="ES62" s="91"/>
      <c r="ET62" s="91"/>
      <c r="EU62" s="91"/>
      <c r="EV62" s="91"/>
      <c r="EW62" s="91"/>
      <c r="EX62" s="91"/>
      <c r="EY62" s="91"/>
      <c r="EZ62" s="91"/>
      <c r="FA62" s="91"/>
      <c r="FB62" s="91"/>
      <c r="FC62" s="91"/>
      <c r="FD62" s="91"/>
      <c r="FE62" s="91"/>
      <c r="FF62" s="91"/>
      <c r="FG62" s="91"/>
      <c r="FH62" s="91"/>
      <c r="FI62" s="91"/>
      <c r="FJ62" s="91"/>
      <c r="FK62" s="91"/>
      <c r="FL62" s="91"/>
      <c r="FM62" s="91"/>
      <c r="FN62" s="91"/>
      <c r="FO62" s="91"/>
      <c r="FP62" s="91"/>
      <c r="FQ62" s="91"/>
      <c r="FR62" s="91"/>
      <c r="FS62" s="91"/>
      <c r="FT62" s="91"/>
      <c r="FU62" s="91"/>
      <c r="FV62" s="91"/>
      <c r="FW62" s="91"/>
      <c r="FX62" s="91"/>
      <c r="FY62" s="91"/>
      <c r="FZ62" s="91"/>
      <c r="GA62" s="91"/>
      <c r="GB62" s="91"/>
      <c r="GC62" s="91"/>
      <c r="GD62" s="91"/>
      <c r="GE62" s="91"/>
      <c r="GF62" s="91"/>
      <c r="GG62" s="91"/>
      <c r="GH62" s="91"/>
      <c r="GI62" s="91"/>
      <c r="GJ62" s="91"/>
      <c r="GK62" s="91"/>
      <c r="GL62" s="91"/>
      <c r="GM62" s="91"/>
      <c r="GN62" s="91"/>
      <c r="GO62" s="91"/>
      <c r="GP62" s="91"/>
      <c r="GQ62" s="91"/>
      <c r="GR62" s="91"/>
      <c r="GS62" s="91"/>
      <c r="GT62" s="91"/>
      <c r="GU62" s="91"/>
      <c r="GV62" s="91"/>
      <c r="GW62" s="91"/>
      <c r="GX62" s="91"/>
      <c r="GY62" s="91"/>
      <c r="GZ62" s="91"/>
      <c r="HA62" s="91"/>
      <c r="HB62" s="91"/>
      <c r="HC62" s="91"/>
      <c r="HD62" s="91"/>
      <c r="HE62" s="91"/>
      <c r="HF62" s="91"/>
      <c r="HG62" s="91"/>
      <c r="HH62" s="91"/>
      <c r="HI62" s="91"/>
      <c r="HJ62" s="91"/>
      <c r="HK62" s="91"/>
      <c r="HL62" s="91"/>
      <c r="HM62" s="91"/>
      <c r="HN62" s="91"/>
      <c r="HO62" s="91"/>
      <c r="HP62" s="91"/>
      <c r="HQ62" s="91"/>
      <c r="HR62" s="91"/>
      <c r="HS62" s="91"/>
      <c r="HT62" s="91"/>
      <c r="HU62" s="91"/>
      <c r="HV62" s="91"/>
      <c r="HW62" s="91"/>
      <c r="HX62" s="91"/>
      <c r="HY62" s="91"/>
      <c r="HZ62" s="91"/>
      <c r="IA62" s="91"/>
      <c r="IB62" s="91"/>
      <c r="IC62" s="91"/>
      <c r="ID62" s="91"/>
      <c r="IE62" s="91"/>
      <c r="IF62" s="91"/>
      <c r="IG62" s="91"/>
      <c r="IH62" s="91"/>
      <c r="II62" s="91"/>
      <c r="IJ62" s="91"/>
      <c r="IK62" s="91"/>
      <c r="IL62" s="91"/>
      <c r="IM62" s="91"/>
      <c r="IN62" s="91"/>
      <c r="IO62" s="91"/>
    </row>
    <row r="63" spans="3:249" x14ac:dyDescent="0.2">
      <c r="C63" s="1"/>
      <c r="D63" s="134"/>
      <c r="E63" s="141" t="s">
        <v>65</v>
      </c>
      <c r="F63" s="146">
        <v>3703</v>
      </c>
      <c r="G63" s="143">
        <f>+F63/F61</f>
        <v>2.5303048938816231E-2</v>
      </c>
      <c r="H63" s="144"/>
      <c r="I63" s="145"/>
      <c r="J63" s="43"/>
      <c r="K63" s="1"/>
      <c r="L63" s="82"/>
      <c r="M63" s="82"/>
      <c r="N63" s="82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43"/>
      <c r="AB63" s="91"/>
      <c r="AC63" s="91"/>
      <c r="AD63" s="91"/>
      <c r="AE63" s="91"/>
      <c r="AF63" s="91"/>
      <c r="AG63" s="91"/>
      <c r="AH63" s="91"/>
      <c r="AI63" s="91"/>
      <c r="AJ63" s="91"/>
      <c r="AK63" s="91"/>
      <c r="AL63" s="91"/>
      <c r="AM63" s="91"/>
      <c r="AN63" s="91"/>
      <c r="AO63" s="91"/>
      <c r="AP63" s="91"/>
      <c r="AQ63" s="91"/>
      <c r="AR63" s="91"/>
      <c r="AS63" s="91"/>
      <c r="AT63" s="91"/>
      <c r="AU63" s="91"/>
      <c r="AV63" s="91"/>
      <c r="AW63" s="91"/>
      <c r="AX63" s="91"/>
      <c r="AY63" s="91"/>
      <c r="AZ63" s="91"/>
      <c r="BA63" s="91"/>
      <c r="BB63" s="91"/>
      <c r="BC63" s="91"/>
      <c r="BD63" s="91"/>
      <c r="BE63" s="91"/>
      <c r="BF63" s="91"/>
      <c r="BG63" s="91"/>
      <c r="BH63" s="91"/>
      <c r="BI63" s="91"/>
      <c r="BJ63" s="91"/>
      <c r="BK63" s="91"/>
      <c r="BL63" s="91"/>
      <c r="BM63" s="91"/>
      <c r="BN63" s="91"/>
      <c r="BO63" s="91"/>
      <c r="BP63" s="91"/>
      <c r="BQ63" s="91"/>
      <c r="BR63" s="91"/>
      <c r="BS63" s="91"/>
      <c r="BT63" s="91"/>
      <c r="BU63" s="91"/>
      <c r="BV63" s="91"/>
      <c r="BW63" s="91"/>
      <c r="BX63" s="91"/>
      <c r="BY63" s="91"/>
      <c r="BZ63" s="91"/>
      <c r="CA63" s="91"/>
      <c r="CB63" s="91"/>
      <c r="CC63" s="91"/>
      <c r="CD63" s="91"/>
      <c r="CE63" s="91"/>
      <c r="CF63" s="91"/>
      <c r="CG63" s="91"/>
      <c r="CH63" s="91"/>
      <c r="CI63" s="91"/>
      <c r="CJ63" s="91"/>
      <c r="CK63" s="91"/>
      <c r="CL63" s="91"/>
      <c r="CM63" s="91"/>
      <c r="CN63" s="91"/>
      <c r="CO63" s="91"/>
      <c r="CP63" s="91"/>
      <c r="CQ63" s="91"/>
      <c r="CR63" s="91"/>
      <c r="CS63" s="91"/>
      <c r="CT63" s="91"/>
      <c r="CU63" s="91"/>
      <c r="CV63" s="91"/>
      <c r="CW63" s="91"/>
      <c r="CX63" s="91"/>
      <c r="CY63" s="91"/>
      <c r="CZ63" s="91"/>
      <c r="DA63" s="91"/>
      <c r="DB63" s="91"/>
      <c r="DC63" s="91"/>
      <c r="DD63" s="91"/>
      <c r="DE63" s="91"/>
      <c r="DF63" s="91"/>
      <c r="DG63" s="91"/>
      <c r="DH63" s="91"/>
      <c r="DI63" s="91"/>
      <c r="DJ63" s="91"/>
      <c r="DK63" s="91"/>
      <c r="DL63" s="91"/>
      <c r="DM63" s="91"/>
      <c r="DN63" s="91"/>
      <c r="DO63" s="91"/>
      <c r="DP63" s="91"/>
      <c r="DQ63" s="91"/>
      <c r="DR63" s="91"/>
      <c r="DS63" s="91"/>
      <c r="DT63" s="91"/>
      <c r="DU63" s="91"/>
      <c r="DV63" s="91"/>
      <c r="DW63" s="91"/>
      <c r="DX63" s="91"/>
      <c r="DY63" s="91"/>
      <c r="DZ63" s="91"/>
      <c r="EA63" s="91"/>
      <c r="EB63" s="91"/>
      <c r="EC63" s="91"/>
      <c r="ED63" s="91"/>
      <c r="EE63" s="91"/>
      <c r="EF63" s="91"/>
      <c r="EG63" s="91"/>
      <c r="EH63" s="91"/>
      <c r="EI63" s="91"/>
      <c r="EJ63" s="91"/>
      <c r="EK63" s="91"/>
      <c r="EL63" s="91"/>
      <c r="EM63" s="91"/>
      <c r="EN63" s="91"/>
      <c r="EO63" s="91"/>
      <c r="EP63" s="91"/>
      <c r="EQ63" s="91"/>
      <c r="ER63" s="91"/>
      <c r="ES63" s="91"/>
      <c r="ET63" s="91"/>
      <c r="EU63" s="91"/>
      <c r="EV63" s="91"/>
      <c r="EW63" s="91"/>
      <c r="EX63" s="91"/>
      <c r="EY63" s="91"/>
      <c r="EZ63" s="91"/>
      <c r="FA63" s="91"/>
      <c r="FB63" s="91"/>
      <c r="FC63" s="91"/>
      <c r="FD63" s="91"/>
      <c r="FE63" s="91"/>
      <c r="FF63" s="91"/>
      <c r="FG63" s="91"/>
      <c r="FH63" s="91"/>
      <c r="FI63" s="91"/>
      <c r="FJ63" s="91"/>
      <c r="FK63" s="91"/>
      <c r="FL63" s="91"/>
      <c r="FM63" s="91"/>
      <c r="FN63" s="91"/>
      <c r="FO63" s="91"/>
      <c r="FP63" s="91"/>
      <c r="FQ63" s="91"/>
      <c r="FR63" s="91"/>
      <c r="FS63" s="91"/>
      <c r="FT63" s="91"/>
      <c r="FU63" s="91"/>
      <c r="FV63" s="91"/>
      <c r="FW63" s="91"/>
      <c r="FX63" s="91"/>
      <c r="FY63" s="91"/>
      <c r="FZ63" s="91"/>
      <c r="GA63" s="91"/>
      <c r="GB63" s="91"/>
      <c r="GC63" s="91"/>
      <c r="GD63" s="91"/>
      <c r="GE63" s="91"/>
      <c r="GF63" s="91"/>
      <c r="GG63" s="91"/>
      <c r="GH63" s="91"/>
      <c r="GI63" s="91"/>
      <c r="GJ63" s="91"/>
      <c r="GK63" s="91"/>
      <c r="GL63" s="91"/>
      <c r="GM63" s="91"/>
      <c r="GN63" s="91"/>
      <c r="GO63" s="91"/>
      <c r="GP63" s="91"/>
      <c r="GQ63" s="91"/>
      <c r="GR63" s="91"/>
      <c r="GS63" s="91"/>
      <c r="GT63" s="91"/>
      <c r="GU63" s="91"/>
      <c r="GV63" s="91"/>
      <c r="GW63" s="91"/>
      <c r="GX63" s="91"/>
      <c r="GY63" s="91"/>
      <c r="GZ63" s="91"/>
      <c r="HA63" s="91"/>
      <c r="HB63" s="91"/>
      <c r="HC63" s="91"/>
      <c r="HD63" s="91"/>
      <c r="HE63" s="91"/>
      <c r="HF63" s="91"/>
      <c r="HG63" s="91"/>
      <c r="HH63" s="91"/>
      <c r="HI63" s="91"/>
      <c r="HJ63" s="91"/>
      <c r="HK63" s="91"/>
      <c r="HL63" s="91"/>
      <c r="HM63" s="91"/>
      <c r="HN63" s="91"/>
      <c r="HO63" s="91"/>
      <c r="HP63" s="91"/>
      <c r="HQ63" s="91"/>
      <c r="HR63" s="91"/>
      <c r="HS63" s="91"/>
      <c r="HT63" s="91"/>
      <c r="HU63" s="91"/>
      <c r="HV63" s="91"/>
      <c r="HW63" s="91"/>
      <c r="HX63" s="91"/>
      <c r="HY63" s="91"/>
      <c r="HZ63" s="91"/>
      <c r="IA63" s="91"/>
      <c r="IB63" s="91"/>
      <c r="IC63" s="91"/>
      <c r="ID63" s="91"/>
      <c r="IE63" s="91"/>
      <c r="IF63" s="91"/>
      <c r="IG63" s="91"/>
      <c r="IH63" s="91"/>
      <c r="II63" s="91"/>
      <c r="IJ63" s="91"/>
      <c r="IK63" s="91"/>
      <c r="IL63" s="91"/>
      <c r="IM63" s="91"/>
      <c r="IN63" s="91"/>
      <c r="IO63" s="91"/>
    </row>
    <row r="64" spans="3:249" x14ac:dyDescent="0.2">
      <c r="C64" s="1"/>
      <c r="D64" s="134"/>
      <c r="E64" s="147" t="s">
        <v>66</v>
      </c>
      <c r="F64" s="148">
        <f>+F61-F62</f>
        <v>17492.800000000003</v>
      </c>
      <c r="G64" s="149">
        <f>+F64/F61</f>
        <v>0.11953042789006876</v>
      </c>
      <c r="H64" s="150"/>
      <c r="I64" s="151"/>
      <c r="J64" s="43"/>
      <c r="K64" s="1"/>
      <c r="L64" s="82"/>
      <c r="M64" s="82"/>
      <c r="N64" s="82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43"/>
      <c r="AB64" s="91"/>
      <c r="AC64" s="91"/>
      <c r="AD64" s="91"/>
      <c r="AE64" s="91"/>
      <c r="AF64" s="91"/>
      <c r="AG64" s="91"/>
      <c r="AH64" s="91"/>
      <c r="AI64" s="91"/>
      <c r="AJ64" s="91"/>
      <c r="AK64" s="91"/>
      <c r="AL64" s="91"/>
      <c r="AM64" s="91"/>
      <c r="AN64" s="91"/>
      <c r="AO64" s="91"/>
      <c r="AP64" s="91"/>
      <c r="AQ64" s="91"/>
      <c r="AR64" s="91"/>
      <c r="AS64" s="91"/>
      <c r="AT64" s="91"/>
      <c r="AU64" s="91"/>
      <c r="AV64" s="91"/>
      <c r="AW64" s="91"/>
      <c r="AX64" s="91"/>
      <c r="AY64" s="91"/>
      <c r="AZ64" s="91"/>
      <c r="BA64" s="91"/>
      <c r="BB64" s="91"/>
      <c r="BC64" s="91"/>
      <c r="BD64" s="91"/>
      <c r="BE64" s="91"/>
      <c r="BF64" s="91"/>
      <c r="BG64" s="91"/>
      <c r="BH64" s="91"/>
      <c r="BI64" s="91"/>
      <c r="BJ64" s="91"/>
      <c r="BK64" s="91"/>
      <c r="BL64" s="91"/>
      <c r="BM64" s="91"/>
      <c r="BN64" s="91"/>
      <c r="BO64" s="91"/>
      <c r="BP64" s="91"/>
      <c r="BQ64" s="91"/>
      <c r="BR64" s="91"/>
      <c r="BS64" s="91"/>
      <c r="BT64" s="91"/>
      <c r="BU64" s="91"/>
      <c r="BV64" s="91"/>
      <c r="BW64" s="91"/>
      <c r="BX64" s="91"/>
      <c r="BY64" s="91"/>
      <c r="BZ64" s="91"/>
      <c r="CA64" s="91"/>
      <c r="CB64" s="91"/>
      <c r="CC64" s="91"/>
      <c r="CD64" s="91"/>
      <c r="CE64" s="91"/>
      <c r="CF64" s="91"/>
      <c r="CG64" s="91"/>
      <c r="CH64" s="91"/>
      <c r="CI64" s="91"/>
      <c r="CJ64" s="91"/>
      <c r="CK64" s="91"/>
      <c r="CL64" s="91"/>
      <c r="CM64" s="91"/>
      <c r="CN64" s="91"/>
      <c r="CO64" s="91"/>
      <c r="CP64" s="91"/>
      <c r="CQ64" s="91"/>
      <c r="CR64" s="91"/>
      <c r="CS64" s="91"/>
      <c r="CT64" s="91"/>
      <c r="CU64" s="91"/>
      <c r="CV64" s="91"/>
      <c r="CW64" s="91"/>
      <c r="CX64" s="91"/>
      <c r="CY64" s="91"/>
      <c r="CZ64" s="91"/>
      <c r="DA64" s="91"/>
      <c r="DB64" s="91"/>
      <c r="DC64" s="91"/>
      <c r="DD64" s="91"/>
      <c r="DE64" s="91"/>
      <c r="DF64" s="91"/>
      <c r="DG64" s="91"/>
      <c r="DH64" s="91"/>
      <c r="DI64" s="91"/>
      <c r="DJ64" s="91"/>
      <c r="DK64" s="91"/>
      <c r="DL64" s="91"/>
      <c r="DM64" s="91"/>
      <c r="DN64" s="91"/>
      <c r="DO64" s="91"/>
      <c r="DP64" s="91"/>
      <c r="DQ64" s="91"/>
      <c r="DR64" s="91"/>
      <c r="DS64" s="91"/>
      <c r="DT64" s="91"/>
      <c r="DU64" s="91"/>
      <c r="DV64" s="91"/>
      <c r="DW64" s="91"/>
      <c r="DX64" s="91"/>
      <c r="DY64" s="91"/>
      <c r="DZ64" s="91"/>
      <c r="EA64" s="91"/>
      <c r="EB64" s="91"/>
      <c r="EC64" s="91"/>
      <c r="ED64" s="91"/>
      <c r="EE64" s="91"/>
      <c r="EF64" s="91"/>
      <c r="EG64" s="91"/>
      <c r="EH64" s="91"/>
      <c r="EI64" s="91"/>
      <c r="EJ64" s="91"/>
      <c r="EK64" s="91"/>
      <c r="EL64" s="91"/>
      <c r="EM64" s="91"/>
      <c r="EN64" s="91"/>
      <c r="EO64" s="91"/>
      <c r="EP64" s="91"/>
      <c r="EQ64" s="91"/>
      <c r="ER64" s="91"/>
      <c r="ES64" s="91"/>
      <c r="ET64" s="91"/>
      <c r="EU64" s="91"/>
      <c r="EV64" s="91"/>
      <c r="EW64" s="91"/>
      <c r="EX64" s="91"/>
      <c r="EY64" s="91"/>
      <c r="EZ64" s="91"/>
      <c r="FA64" s="91"/>
      <c r="FB64" s="91"/>
      <c r="FC64" s="91"/>
      <c r="FD64" s="91"/>
      <c r="FE64" s="91"/>
      <c r="FF64" s="91"/>
      <c r="FG64" s="91"/>
      <c r="FH64" s="91"/>
      <c r="FI64" s="91"/>
      <c r="FJ64" s="91"/>
      <c r="FK64" s="91"/>
      <c r="FL64" s="91"/>
      <c r="FM64" s="91"/>
      <c r="FN64" s="91"/>
      <c r="FO64" s="91"/>
      <c r="FP64" s="91"/>
      <c r="FQ64" s="91"/>
      <c r="FR64" s="91"/>
      <c r="FS64" s="91"/>
      <c r="FT64" s="91"/>
      <c r="FU64" s="91"/>
      <c r="FV64" s="91"/>
      <c r="FW64" s="91"/>
      <c r="FX64" s="91"/>
      <c r="FY64" s="91"/>
      <c r="FZ64" s="91"/>
      <c r="GA64" s="91"/>
      <c r="GB64" s="91"/>
      <c r="GC64" s="91"/>
      <c r="GD64" s="91"/>
      <c r="GE64" s="91"/>
      <c r="GF64" s="91"/>
      <c r="GG64" s="91"/>
      <c r="GH64" s="91"/>
      <c r="GI64" s="91"/>
      <c r="GJ64" s="91"/>
      <c r="GK64" s="91"/>
      <c r="GL64" s="91"/>
      <c r="GM64" s="91"/>
      <c r="GN64" s="91"/>
      <c r="GO64" s="91"/>
      <c r="GP64" s="91"/>
      <c r="GQ64" s="91"/>
      <c r="GR64" s="91"/>
      <c r="GS64" s="91"/>
      <c r="GT64" s="91"/>
      <c r="GU64" s="91"/>
      <c r="GV64" s="91"/>
      <c r="GW64" s="91"/>
      <c r="GX64" s="91"/>
      <c r="GY64" s="91"/>
      <c r="GZ64" s="91"/>
      <c r="HA64" s="91"/>
      <c r="HB64" s="91"/>
      <c r="HC64" s="91"/>
      <c r="HD64" s="91"/>
      <c r="HE64" s="91"/>
      <c r="HF64" s="91"/>
      <c r="HG64" s="91"/>
      <c r="HH64" s="91"/>
      <c r="HI64" s="91"/>
      <c r="HJ64" s="91"/>
      <c r="HK64" s="91"/>
      <c r="HL64" s="91"/>
      <c r="HM64" s="91"/>
      <c r="HN64" s="91"/>
      <c r="HO64" s="91"/>
      <c r="HP64" s="91"/>
      <c r="HQ64" s="91"/>
      <c r="HR64" s="91"/>
      <c r="HS64" s="91"/>
      <c r="HT64" s="91"/>
      <c r="HU64" s="91"/>
      <c r="HV64" s="91"/>
      <c r="HW64" s="91"/>
      <c r="HX64" s="91"/>
      <c r="HY64" s="91"/>
      <c r="HZ64" s="91"/>
      <c r="IA64" s="91"/>
      <c r="IB64" s="91"/>
      <c r="IC64" s="91"/>
      <c r="ID64" s="91"/>
      <c r="IE64" s="91"/>
      <c r="IF64" s="91"/>
      <c r="IG64" s="91"/>
      <c r="IH64" s="91"/>
      <c r="II64" s="91"/>
      <c r="IJ64" s="91"/>
      <c r="IK64" s="91"/>
      <c r="IL64" s="91"/>
      <c r="IM64" s="91"/>
      <c r="IN64" s="91"/>
      <c r="IO64" s="91"/>
    </row>
    <row r="65" spans="3:249" x14ac:dyDescent="0.2">
      <c r="C65" s="1"/>
      <c r="D65" s="134"/>
      <c r="E65" s="6"/>
      <c r="F65" s="116"/>
      <c r="G65" s="116"/>
      <c r="H65" s="116"/>
      <c r="I65" s="116"/>
      <c r="J65" s="43"/>
      <c r="K65" s="1"/>
      <c r="L65" s="82"/>
      <c r="M65" s="82"/>
      <c r="N65" s="82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43"/>
      <c r="AB65" s="91"/>
      <c r="AC65" s="91"/>
      <c r="AD65" s="91"/>
      <c r="AE65" s="91"/>
      <c r="AF65" s="91"/>
      <c r="AG65" s="91"/>
      <c r="AH65" s="91"/>
      <c r="AI65" s="91"/>
      <c r="AJ65" s="91"/>
      <c r="AK65" s="91"/>
      <c r="AL65" s="91"/>
      <c r="AM65" s="91"/>
      <c r="AN65" s="91"/>
      <c r="AO65" s="91"/>
      <c r="AP65" s="91"/>
      <c r="AQ65" s="91"/>
      <c r="AR65" s="91"/>
      <c r="AS65" s="91"/>
      <c r="AT65" s="91"/>
      <c r="AU65" s="91"/>
      <c r="AV65" s="91"/>
      <c r="AW65" s="91"/>
      <c r="AX65" s="91"/>
      <c r="AY65" s="91"/>
      <c r="AZ65" s="91"/>
      <c r="BA65" s="91"/>
      <c r="BB65" s="91"/>
      <c r="BC65" s="91"/>
      <c r="BD65" s="91"/>
      <c r="BE65" s="91"/>
      <c r="BF65" s="91"/>
      <c r="BG65" s="91"/>
      <c r="BH65" s="91"/>
      <c r="BI65" s="91"/>
      <c r="BJ65" s="91"/>
      <c r="BK65" s="91"/>
      <c r="BL65" s="91"/>
      <c r="BM65" s="91"/>
      <c r="BN65" s="91"/>
      <c r="BO65" s="91"/>
      <c r="BP65" s="91"/>
      <c r="BQ65" s="91"/>
      <c r="BR65" s="91"/>
      <c r="BS65" s="91"/>
      <c r="BT65" s="91"/>
      <c r="BU65" s="91"/>
      <c r="BV65" s="91"/>
      <c r="BW65" s="91"/>
      <c r="BX65" s="91"/>
      <c r="BY65" s="91"/>
      <c r="BZ65" s="91"/>
      <c r="CA65" s="91"/>
      <c r="CB65" s="91"/>
      <c r="CC65" s="91"/>
      <c r="CD65" s="91"/>
      <c r="CE65" s="91"/>
      <c r="CF65" s="91"/>
      <c r="CG65" s="91"/>
      <c r="CH65" s="91"/>
      <c r="CI65" s="91"/>
      <c r="CJ65" s="91"/>
      <c r="CK65" s="91"/>
      <c r="CL65" s="91"/>
      <c r="CM65" s="91"/>
      <c r="CN65" s="91"/>
      <c r="CO65" s="91"/>
      <c r="CP65" s="91"/>
      <c r="CQ65" s="91"/>
      <c r="CR65" s="91"/>
      <c r="CS65" s="91"/>
      <c r="CT65" s="91"/>
      <c r="CU65" s="91"/>
      <c r="CV65" s="91"/>
      <c r="CW65" s="91"/>
      <c r="CX65" s="91"/>
      <c r="CY65" s="91"/>
      <c r="CZ65" s="91"/>
      <c r="DA65" s="91"/>
      <c r="DB65" s="91"/>
      <c r="DC65" s="91"/>
      <c r="DD65" s="91"/>
      <c r="DE65" s="91"/>
      <c r="DF65" s="91"/>
      <c r="DG65" s="91"/>
      <c r="DH65" s="91"/>
      <c r="DI65" s="91"/>
      <c r="DJ65" s="91"/>
      <c r="DK65" s="91"/>
      <c r="DL65" s="91"/>
      <c r="DM65" s="91"/>
      <c r="DN65" s="91"/>
      <c r="DO65" s="91"/>
      <c r="DP65" s="91"/>
      <c r="DQ65" s="91"/>
      <c r="DR65" s="91"/>
      <c r="DS65" s="91"/>
      <c r="DT65" s="91"/>
      <c r="DU65" s="91"/>
      <c r="DV65" s="91"/>
      <c r="DW65" s="91"/>
      <c r="DX65" s="91"/>
      <c r="DY65" s="91"/>
      <c r="DZ65" s="91"/>
      <c r="EA65" s="91"/>
      <c r="EB65" s="91"/>
      <c r="EC65" s="91"/>
      <c r="ED65" s="91"/>
      <c r="EE65" s="91"/>
      <c r="EF65" s="91"/>
      <c r="EG65" s="91"/>
      <c r="EH65" s="91"/>
      <c r="EI65" s="91"/>
      <c r="EJ65" s="91"/>
      <c r="EK65" s="91"/>
      <c r="EL65" s="91"/>
      <c r="EM65" s="91"/>
      <c r="EN65" s="91"/>
      <c r="EO65" s="91"/>
      <c r="EP65" s="91"/>
      <c r="EQ65" s="91"/>
      <c r="ER65" s="91"/>
      <c r="ES65" s="91"/>
      <c r="ET65" s="91"/>
      <c r="EU65" s="91"/>
      <c r="EV65" s="91"/>
      <c r="EW65" s="91"/>
      <c r="EX65" s="91"/>
      <c r="EY65" s="91"/>
      <c r="EZ65" s="91"/>
      <c r="FA65" s="91"/>
      <c r="FB65" s="91"/>
      <c r="FC65" s="91"/>
      <c r="FD65" s="91"/>
      <c r="FE65" s="91"/>
      <c r="FF65" s="91"/>
      <c r="FG65" s="91"/>
      <c r="FH65" s="91"/>
      <c r="FI65" s="91"/>
      <c r="FJ65" s="91"/>
      <c r="FK65" s="91"/>
      <c r="FL65" s="91"/>
      <c r="FM65" s="91"/>
      <c r="FN65" s="91"/>
      <c r="FO65" s="91"/>
      <c r="FP65" s="91"/>
      <c r="FQ65" s="91"/>
      <c r="FR65" s="91"/>
      <c r="FS65" s="91"/>
      <c r="FT65" s="91"/>
      <c r="FU65" s="91"/>
      <c r="FV65" s="91"/>
      <c r="FW65" s="91"/>
      <c r="FX65" s="91"/>
      <c r="FY65" s="91"/>
      <c r="FZ65" s="91"/>
      <c r="GA65" s="91"/>
      <c r="GB65" s="91"/>
      <c r="GC65" s="91"/>
      <c r="GD65" s="91"/>
      <c r="GE65" s="91"/>
      <c r="GF65" s="91"/>
      <c r="GG65" s="91"/>
      <c r="GH65" s="91"/>
      <c r="GI65" s="91"/>
      <c r="GJ65" s="91"/>
      <c r="GK65" s="91"/>
      <c r="GL65" s="91"/>
      <c r="GM65" s="91"/>
      <c r="GN65" s="91"/>
      <c r="GO65" s="91"/>
      <c r="GP65" s="91"/>
      <c r="GQ65" s="91"/>
      <c r="GR65" s="91"/>
      <c r="GS65" s="91"/>
      <c r="GT65" s="91"/>
      <c r="GU65" s="91"/>
      <c r="GV65" s="91"/>
      <c r="GW65" s="91"/>
      <c r="GX65" s="91"/>
      <c r="GY65" s="91"/>
      <c r="GZ65" s="91"/>
      <c r="HA65" s="91"/>
      <c r="HB65" s="91"/>
      <c r="HC65" s="91"/>
      <c r="HD65" s="91"/>
      <c r="HE65" s="91"/>
      <c r="HF65" s="91"/>
      <c r="HG65" s="91"/>
      <c r="HH65" s="91"/>
      <c r="HI65" s="91"/>
      <c r="HJ65" s="91"/>
      <c r="HK65" s="91"/>
      <c r="HL65" s="91"/>
      <c r="HM65" s="91"/>
      <c r="HN65" s="91"/>
      <c r="HO65" s="91"/>
      <c r="HP65" s="91"/>
      <c r="HQ65" s="91"/>
      <c r="HR65" s="91"/>
      <c r="HS65" s="91"/>
      <c r="HT65" s="91"/>
      <c r="HU65" s="91"/>
      <c r="HV65" s="91"/>
      <c r="HW65" s="91"/>
      <c r="HX65" s="91"/>
      <c r="HY65" s="91"/>
      <c r="HZ65" s="91"/>
      <c r="IA65" s="91"/>
      <c r="IB65" s="91"/>
      <c r="IC65" s="91"/>
      <c r="ID65" s="91"/>
      <c r="IE65" s="91"/>
      <c r="IF65" s="91"/>
      <c r="IG65" s="91"/>
      <c r="IH65" s="91"/>
      <c r="II65" s="91"/>
      <c r="IJ65" s="91"/>
      <c r="IK65" s="91"/>
      <c r="IL65" s="91"/>
      <c r="IM65" s="91"/>
      <c r="IN65" s="91"/>
      <c r="IO65" s="91"/>
    </row>
    <row r="66" spans="3:249" x14ac:dyDescent="0.2">
      <c r="C66" s="1"/>
      <c r="D66" s="134"/>
      <c r="E66" s="152"/>
      <c r="F66" s="153"/>
      <c r="G66" s="116"/>
      <c r="H66" s="116"/>
      <c r="I66" s="116"/>
      <c r="J66" s="116"/>
      <c r="K66" s="1"/>
      <c r="L66" s="82"/>
      <c r="M66" s="82"/>
      <c r="N66" s="82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91"/>
      <c r="AH66" s="91"/>
      <c r="AI66" s="91"/>
      <c r="AJ66" s="91"/>
      <c r="AK66" s="91"/>
      <c r="AL66" s="91"/>
      <c r="AM66" s="91"/>
      <c r="AN66" s="91"/>
      <c r="AO66" s="91"/>
      <c r="AP66" s="91"/>
      <c r="AQ66" s="91"/>
      <c r="AR66" s="91"/>
      <c r="AS66" s="91"/>
      <c r="AT66" s="91"/>
      <c r="AU66" s="91"/>
      <c r="AV66" s="91"/>
      <c r="AW66" s="91"/>
      <c r="AX66" s="91"/>
      <c r="AY66" s="91"/>
      <c r="AZ66" s="91"/>
      <c r="BA66" s="91"/>
      <c r="BB66" s="91"/>
      <c r="BC66" s="91"/>
      <c r="BD66" s="91"/>
      <c r="BE66" s="91"/>
      <c r="BF66" s="91"/>
      <c r="BG66" s="91"/>
      <c r="BH66" s="91"/>
      <c r="BI66" s="91"/>
      <c r="BJ66" s="91"/>
      <c r="BK66" s="91"/>
      <c r="BL66" s="91"/>
      <c r="BM66" s="91"/>
      <c r="BN66" s="91"/>
      <c r="BO66" s="91"/>
      <c r="BP66" s="91"/>
      <c r="BQ66" s="91"/>
      <c r="BR66" s="91"/>
      <c r="BS66" s="91"/>
      <c r="BT66" s="91"/>
      <c r="BU66" s="91"/>
      <c r="BV66" s="91"/>
      <c r="BW66" s="91"/>
      <c r="BX66" s="91"/>
      <c r="BY66" s="91"/>
      <c r="BZ66" s="91"/>
      <c r="CA66" s="91"/>
      <c r="CB66" s="91"/>
      <c r="CC66" s="91"/>
      <c r="CD66" s="91"/>
      <c r="CE66" s="91"/>
      <c r="CF66" s="91"/>
      <c r="CG66" s="91"/>
      <c r="CH66" s="91"/>
      <c r="CI66" s="91"/>
      <c r="CJ66" s="91"/>
      <c r="CK66" s="91"/>
      <c r="CL66" s="91"/>
      <c r="CM66" s="91"/>
      <c r="CN66" s="91"/>
      <c r="CO66" s="91"/>
      <c r="CP66" s="91"/>
      <c r="CQ66" s="91"/>
      <c r="CR66" s="91"/>
      <c r="CS66" s="91"/>
      <c r="CT66" s="91"/>
      <c r="CU66" s="91"/>
      <c r="CV66" s="91"/>
      <c r="CW66" s="91"/>
      <c r="CX66" s="91"/>
      <c r="CY66" s="91"/>
      <c r="CZ66" s="91"/>
      <c r="DA66" s="91"/>
      <c r="DB66" s="91"/>
      <c r="DC66" s="91"/>
      <c r="DD66" s="91"/>
      <c r="DE66" s="91"/>
      <c r="DF66" s="91"/>
      <c r="DG66" s="91"/>
      <c r="DH66" s="91"/>
      <c r="DI66" s="91"/>
      <c r="DJ66" s="91"/>
      <c r="DK66" s="91"/>
      <c r="DL66" s="91"/>
      <c r="DM66" s="91"/>
      <c r="DN66" s="91"/>
      <c r="DO66" s="91"/>
      <c r="DP66" s="91"/>
      <c r="DQ66" s="91"/>
      <c r="DR66" s="91"/>
      <c r="DS66" s="91"/>
      <c r="DT66" s="91"/>
      <c r="DU66" s="91"/>
      <c r="DV66" s="91"/>
      <c r="DW66" s="91"/>
      <c r="DX66" s="91"/>
      <c r="DY66" s="91"/>
      <c r="DZ66" s="91"/>
      <c r="EA66" s="91"/>
      <c r="EB66" s="91"/>
      <c r="EC66" s="91"/>
      <c r="ED66" s="91"/>
      <c r="EE66" s="91"/>
      <c r="EF66" s="91"/>
      <c r="EG66" s="91"/>
      <c r="EH66" s="91"/>
      <c r="EI66" s="91"/>
      <c r="EJ66" s="91"/>
      <c r="EK66" s="91"/>
      <c r="EL66" s="91"/>
      <c r="EM66" s="91"/>
      <c r="EN66" s="91"/>
      <c r="EO66" s="91"/>
      <c r="EP66" s="91"/>
      <c r="EQ66" s="91"/>
      <c r="ER66" s="91"/>
      <c r="ES66" s="91"/>
      <c r="ET66" s="91"/>
      <c r="EU66" s="91"/>
      <c r="EV66" s="91"/>
      <c r="EW66" s="91"/>
      <c r="EX66" s="91"/>
      <c r="EY66" s="91"/>
      <c r="EZ66" s="91"/>
      <c r="FA66" s="91"/>
      <c r="FB66" s="91"/>
      <c r="FC66" s="91"/>
      <c r="FD66" s="91"/>
      <c r="FE66" s="91"/>
      <c r="FF66" s="91"/>
      <c r="FG66" s="91"/>
      <c r="FH66" s="91"/>
      <c r="FI66" s="91"/>
      <c r="FJ66" s="91"/>
      <c r="FK66" s="91"/>
      <c r="FL66" s="91"/>
      <c r="FM66" s="91"/>
      <c r="FN66" s="91"/>
      <c r="FO66" s="91"/>
      <c r="FP66" s="91"/>
      <c r="FQ66" s="91"/>
      <c r="FR66" s="91"/>
      <c r="FS66" s="91"/>
      <c r="FT66" s="91"/>
      <c r="FU66" s="91"/>
      <c r="FV66" s="91"/>
      <c r="FW66" s="91"/>
      <c r="FX66" s="91"/>
      <c r="FY66" s="91"/>
      <c r="FZ66" s="91"/>
      <c r="GA66" s="91"/>
      <c r="GB66" s="91"/>
      <c r="GC66" s="91"/>
      <c r="GD66" s="91"/>
      <c r="GE66" s="91"/>
      <c r="GF66" s="91"/>
      <c r="GG66" s="91"/>
      <c r="GH66" s="91"/>
      <c r="GI66" s="91"/>
      <c r="GJ66" s="91"/>
      <c r="GK66" s="91"/>
      <c r="GL66" s="91"/>
      <c r="GM66" s="91"/>
      <c r="GN66" s="91"/>
      <c r="GO66" s="91"/>
      <c r="GP66" s="91"/>
      <c r="GQ66" s="91"/>
      <c r="GR66" s="91"/>
      <c r="GS66" s="91"/>
      <c r="GT66" s="91"/>
      <c r="GU66" s="91"/>
      <c r="GV66" s="91"/>
      <c r="GW66" s="91"/>
      <c r="GX66" s="91"/>
      <c r="GY66" s="91"/>
      <c r="GZ66" s="91"/>
      <c r="HA66" s="91"/>
      <c r="HB66" s="91"/>
      <c r="HC66" s="91"/>
      <c r="HD66" s="91"/>
      <c r="HE66" s="91"/>
      <c r="HF66" s="91"/>
      <c r="HG66" s="91"/>
      <c r="HH66" s="91"/>
      <c r="HI66" s="91"/>
      <c r="HJ66" s="91"/>
      <c r="HK66" s="91"/>
      <c r="HL66" s="91"/>
      <c r="HM66" s="91"/>
      <c r="HN66" s="91"/>
      <c r="HO66" s="91"/>
      <c r="HP66" s="91"/>
      <c r="HQ66" s="91"/>
      <c r="HR66" s="91"/>
      <c r="HS66" s="91"/>
      <c r="HT66" s="91"/>
      <c r="HU66" s="91"/>
      <c r="HV66" s="91"/>
      <c r="HW66" s="91"/>
      <c r="HX66" s="91"/>
      <c r="HY66" s="91"/>
      <c r="HZ66" s="91"/>
      <c r="IA66" s="91"/>
      <c r="IB66" s="91"/>
      <c r="IC66" s="91"/>
      <c r="ID66" s="91"/>
      <c r="IE66" s="91"/>
      <c r="IF66" s="91"/>
      <c r="IG66" s="91"/>
      <c r="IH66" s="91"/>
      <c r="II66" s="91"/>
      <c r="IJ66" s="91"/>
      <c r="IK66" s="91"/>
      <c r="IL66" s="91"/>
      <c r="IM66" s="91"/>
      <c r="IN66" s="91"/>
      <c r="IO66" s="91"/>
    </row>
    <row r="67" spans="3:249" x14ac:dyDescent="0.2">
      <c r="C67" s="1"/>
      <c r="D67" s="134"/>
      <c r="E67" s="154" t="s">
        <v>67</v>
      </c>
      <c r="F67" s="334" t="s">
        <v>68</v>
      </c>
      <c r="G67" s="335"/>
      <c r="H67" s="336" t="s">
        <v>69</v>
      </c>
      <c r="I67" s="337"/>
      <c r="J67" s="338" t="s">
        <v>70</v>
      </c>
      <c r="K67" s="337"/>
      <c r="L67" s="82"/>
      <c r="M67" s="82"/>
      <c r="N67" s="82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91"/>
      <c r="AH67" s="91"/>
      <c r="AI67" s="91"/>
      <c r="AJ67" s="91"/>
      <c r="AK67" s="91"/>
      <c r="AL67" s="91"/>
      <c r="AM67" s="91"/>
      <c r="AN67" s="91"/>
      <c r="AO67" s="91"/>
      <c r="AP67" s="91"/>
      <c r="AQ67" s="91"/>
      <c r="AR67" s="91"/>
      <c r="AS67" s="91"/>
      <c r="AT67" s="91"/>
      <c r="AU67" s="91"/>
      <c r="AV67" s="91"/>
      <c r="AW67" s="91"/>
      <c r="AX67" s="91"/>
      <c r="AY67" s="91"/>
      <c r="AZ67" s="91"/>
      <c r="BA67" s="91"/>
      <c r="BB67" s="91"/>
      <c r="BC67" s="91"/>
      <c r="BD67" s="91"/>
      <c r="BE67" s="91"/>
      <c r="BF67" s="91"/>
      <c r="BG67" s="91"/>
      <c r="BH67" s="91"/>
      <c r="BI67" s="91"/>
      <c r="BJ67" s="91"/>
      <c r="BK67" s="91"/>
      <c r="BL67" s="91"/>
      <c r="BM67" s="91"/>
      <c r="BN67" s="91"/>
      <c r="BO67" s="91"/>
      <c r="BP67" s="91"/>
      <c r="BQ67" s="91"/>
      <c r="BR67" s="91"/>
      <c r="BS67" s="91"/>
      <c r="BT67" s="91"/>
      <c r="BU67" s="91"/>
      <c r="BV67" s="91"/>
      <c r="BW67" s="91"/>
      <c r="BX67" s="91"/>
      <c r="BY67" s="91"/>
      <c r="BZ67" s="91"/>
      <c r="CA67" s="91"/>
      <c r="CB67" s="91"/>
      <c r="CC67" s="91"/>
      <c r="CD67" s="91"/>
      <c r="CE67" s="91"/>
      <c r="CF67" s="91"/>
      <c r="CG67" s="91"/>
      <c r="CH67" s="91"/>
      <c r="CI67" s="91"/>
      <c r="CJ67" s="91"/>
      <c r="CK67" s="91"/>
      <c r="CL67" s="91"/>
      <c r="CM67" s="91"/>
      <c r="CN67" s="91"/>
      <c r="CO67" s="91"/>
      <c r="CP67" s="91"/>
      <c r="CQ67" s="91"/>
      <c r="CR67" s="91"/>
      <c r="CS67" s="91"/>
      <c r="CT67" s="91"/>
      <c r="CU67" s="91"/>
      <c r="CV67" s="91"/>
      <c r="CW67" s="91"/>
      <c r="CX67" s="91"/>
      <c r="CY67" s="91"/>
      <c r="CZ67" s="91"/>
      <c r="DA67" s="91"/>
      <c r="DB67" s="91"/>
      <c r="DC67" s="91"/>
      <c r="DD67" s="91"/>
      <c r="DE67" s="91"/>
      <c r="DF67" s="91"/>
      <c r="DG67" s="91"/>
      <c r="DH67" s="91"/>
      <c r="DI67" s="91"/>
      <c r="DJ67" s="91"/>
      <c r="DK67" s="91"/>
      <c r="DL67" s="91"/>
      <c r="DM67" s="91"/>
      <c r="DN67" s="91"/>
      <c r="DO67" s="91"/>
      <c r="DP67" s="91"/>
      <c r="DQ67" s="91"/>
      <c r="DR67" s="91"/>
      <c r="DS67" s="91"/>
      <c r="DT67" s="91"/>
      <c r="DU67" s="91"/>
      <c r="DV67" s="91"/>
      <c r="DW67" s="91"/>
      <c r="DX67" s="91"/>
      <c r="DY67" s="91"/>
      <c r="DZ67" s="91"/>
      <c r="EA67" s="91"/>
      <c r="EB67" s="91"/>
      <c r="EC67" s="91"/>
      <c r="ED67" s="91"/>
      <c r="EE67" s="91"/>
      <c r="EF67" s="91"/>
      <c r="EG67" s="91"/>
      <c r="EH67" s="91"/>
      <c r="EI67" s="91"/>
      <c r="EJ67" s="91"/>
      <c r="EK67" s="91"/>
      <c r="EL67" s="91"/>
      <c r="EM67" s="91"/>
      <c r="EN67" s="91"/>
      <c r="EO67" s="91"/>
      <c r="EP67" s="91"/>
      <c r="EQ67" s="91"/>
      <c r="ER67" s="91"/>
      <c r="ES67" s="91"/>
      <c r="ET67" s="91"/>
      <c r="EU67" s="91"/>
      <c r="EV67" s="91"/>
      <c r="EW67" s="91"/>
      <c r="EX67" s="91"/>
      <c r="EY67" s="91"/>
      <c r="EZ67" s="91"/>
      <c r="FA67" s="91"/>
      <c r="FB67" s="91"/>
      <c r="FC67" s="91"/>
      <c r="FD67" s="91"/>
      <c r="FE67" s="91"/>
      <c r="FF67" s="91"/>
      <c r="FG67" s="91"/>
      <c r="FH67" s="91"/>
      <c r="FI67" s="91"/>
      <c r="FJ67" s="91"/>
      <c r="FK67" s="91"/>
      <c r="FL67" s="91"/>
      <c r="FM67" s="91"/>
      <c r="FN67" s="91"/>
      <c r="FO67" s="91"/>
      <c r="FP67" s="91"/>
      <c r="FQ67" s="91"/>
      <c r="FR67" s="91"/>
      <c r="FS67" s="91"/>
      <c r="FT67" s="91"/>
      <c r="FU67" s="91"/>
      <c r="FV67" s="91"/>
      <c r="FW67" s="91"/>
      <c r="FX67" s="91"/>
      <c r="FY67" s="91"/>
      <c r="FZ67" s="91"/>
      <c r="GA67" s="91"/>
      <c r="GB67" s="91"/>
      <c r="GC67" s="91"/>
      <c r="GD67" s="91"/>
      <c r="GE67" s="91"/>
      <c r="GF67" s="91"/>
      <c r="GG67" s="91"/>
      <c r="GH67" s="91"/>
      <c r="GI67" s="91"/>
      <c r="GJ67" s="91"/>
      <c r="GK67" s="91"/>
      <c r="GL67" s="91"/>
      <c r="GM67" s="91"/>
      <c r="GN67" s="91"/>
      <c r="GO67" s="91"/>
      <c r="GP67" s="91"/>
      <c r="GQ67" s="91"/>
      <c r="GR67" s="91"/>
      <c r="GS67" s="91"/>
      <c r="GT67" s="91"/>
      <c r="GU67" s="91"/>
      <c r="GV67" s="91"/>
      <c r="GW67" s="91"/>
      <c r="GX67" s="91"/>
      <c r="GY67" s="91"/>
      <c r="GZ67" s="91"/>
      <c r="HA67" s="91"/>
      <c r="HB67" s="91"/>
      <c r="HC67" s="91"/>
      <c r="HD67" s="91"/>
      <c r="HE67" s="91"/>
      <c r="HF67" s="91"/>
      <c r="HG67" s="91"/>
      <c r="HH67" s="91"/>
      <c r="HI67" s="91"/>
      <c r="HJ67" s="91"/>
      <c r="HK67" s="91"/>
      <c r="HL67" s="91"/>
      <c r="HM67" s="91"/>
      <c r="HN67" s="91"/>
      <c r="HO67" s="91"/>
      <c r="HP67" s="91"/>
      <c r="HQ67" s="91"/>
      <c r="HR67" s="91"/>
      <c r="HS67" s="91"/>
      <c r="HT67" s="91"/>
      <c r="HU67" s="91"/>
      <c r="HV67" s="91"/>
      <c r="HW67" s="91"/>
      <c r="HX67" s="91"/>
      <c r="HY67" s="91"/>
      <c r="HZ67" s="91"/>
      <c r="IA67" s="91"/>
      <c r="IB67" s="91"/>
      <c r="IC67" s="91"/>
      <c r="ID67" s="91"/>
      <c r="IE67" s="91"/>
      <c r="IF67" s="91"/>
      <c r="IG67" s="91"/>
      <c r="IH67" s="91"/>
      <c r="II67" s="91"/>
      <c r="IJ67" s="91"/>
      <c r="IK67" s="91"/>
      <c r="IL67" s="91"/>
      <c r="IM67" s="91"/>
      <c r="IN67" s="91"/>
      <c r="IO67" s="91"/>
    </row>
    <row r="68" spans="3:249" x14ac:dyDescent="0.2">
      <c r="C68" s="1"/>
      <c r="D68" s="134"/>
      <c r="E68" s="154"/>
      <c r="F68" s="157" t="s">
        <v>71</v>
      </c>
      <c r="G68" s="156" t="s">
        <v>72</v>
      </c>
      <c r="H68" s="155" t="s">
        <v>71</v>
      </c>
      <c r="I68" s="156" t="s">
        <v>72</v>
      </c>
      <c r="J68" s="157" t="s">
        <v>71</v>
      </c>
      <c r="K68" s="156" t="s">
        <v>72</v>
      </c>
      <c r="L68" s="82"/>
      <c r="M68" s="82"/>
      <c r="N68" s="82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  <c r="AD68" s="91"/>
      <c r="AE68" s="91"/>
      <c r="AF68" s="91"/>
      <c r="AG68" s="91"/>
      <c r="AH68" s="91"/>
      <c r="AI68" s="91"/>
      <c r="AJ68" s="91"/>
      <c r="AK68" s="91"/>
      <c r="AL68" s="91"/>
      <c r="AM68" s="91"/>
      <c r="AN68" s="91"/>
      <c r="AO68" s="91"/>
      <c r="AP68" s="91"/>
      <c r="AQ68" s="91"/>
      <c r="AR68" s="91"/>
      <c r="AS68" s="91"/>
      <c r="AT68" s="91"/>
      <c r="AU68" s="91"/>
      <c r="AV68" s="91"/>
      <c r="AW68" s="91"/>
      <c r="AX68" s="91"/>
      <c r="AY68" s="91"/>
      <c r="AZ68" s="91"/>
      <c r="BA68" s="91"/>
      <c r="BB68" s="91"/>
      <c r="BC68" s="91"/>
      <c r="BD68" s="91"/>
      <c r="BE68" s="91"/>
      <c r="BF68" s="91"/>
      <c r="BG68" s="91"/>
      <c r="BH68" s="91"/>
      <c r="BI68" s="91"/>
      <c r="BJ68" s="91"/>
      <c r="BK68" s="91"/>
      <c r="BL68" s="91"/>
      <c r="BM68" s="91"/>
      <c r="BN68" s="91"/>
      <c r="BO68" s="91"/>
      <c r="BP68" s="91"/>
      <c r="BQ68" s="91"/>
      <c r="BR68" s="91"/>
      <c r="BS68" s="91"/>
      <c r="BT68" s="91"/>
      <c r="BU68" s="91"/>
      <c r="BV68" s="91"/>
      <c r="BW68" s="91"/>
      <c r="BX68" s="91"/>
      <c r="BY68" s="91"/>
      <c r="BZ68" s="91"/>
      <c r="CA68" s="91"/>
      <c r="CB68" s="91"/>
      <c r="CC68" s="91"/>
      <c r="CD68" s="91"/>
      <c r="CE68" s="91"/>
      <c r="CF68" s="91"/>
      <c r="CG68" s="91"/>
      <c r="CH68" s="91"/>
      <c r="CI68" s="91"/>
      <c r="CJ68" s="91"/>
      <c r="CK68" s="91"/>
      <c r="CL68" s="91"/>
      <c r="CM68" s="91"/>
      <c r="CN68" s="91"/>
      <c r="CO68" s="91"/>
      <c r="CP68" s="91"/>
      <c r="CQ68" s="91"/>
      <c r="CR68" s="91"/>
      <c r="CS68" s="91"/>
      <c r="CT68" s="91"/>
      <c r="CU68" s="91"/>
      <c r="CV68" s="91"/>
      <c r="CW68" s="91"/>
      <c r="CX68" s="91"/>
      <c r="CY68" s="91"/>
      <c r="CZ68" s="91"/>
      <c r="DA68" s="91"/>
      <c r="DB68" s="91"/>
      <c r="DC68" s="91"/>
      <c r="DD68" s="91"/>
      <c r="DE68" s="91"/>
      <c r="DF68" s="91"/>
      <c r="DG68" s="91"/>
      <c r="DH68" s="91"/>
      <c r="DI68" s="91"/>
      <c r="DJ68" s="91"/>
      <c r="DK68" s="91"/>
      <c r="DL68" s="91"/>
      <c r="DM68" s="91"/>
      <c r="DN68" s="91"/>
      <c r="DO68" s="91"/>
      <c r="DP68" s="91"/>
      <c r="DQ68" s="91"/>
      <c r="DR68" s="91"/>
      <c r="DS68" s="91"/>
      <c r="DT68" s="91"/>
      <c r="DU68" s="91"/>
      <c r="DV68" s="91"/>
      <c r="DW68" s="91"/>
      <c r="DX68" s="91"/>
      <c r="DY68" s="91"/>
      <c r="DZ68" s="91"/>
      <c r="EA68" s="91"/>
      <c r="EB68" s="91"/>
      <c r="EC68" s="91"/>
      <c r="ED68" s="91"/>
      <c r="EE68" s="91"/>
      <c r="EF68" s="91"/>
      <c r="EG68" s="91"/>
      <c r="EH68" s="91"/>
      <c r="EI68" s="91"/>
      <c r="EJ68" s="91"/>
      <c r="EK68" s="91"/>
      <c r="EL68" s="91"/>
      <c r="EM68" s="91"/>
      <c r="EN68" s="91"/>
      <c r="EO68" s="91"/>
      <c r="EP68" s="91"/>
      <c r="EQ68" s="91"/>
      <c r="ER68" s="91"/>
      <c r="ES68" s="91"/>
      <c r="ET68" s="91"/>
      <c r="EU68" s="91"/>
      <c r="EV68" s="91"/>
      <c r="EW68" s="91"/>
      <c r="EX68" s="91"/>
      <c r="EY68" s="91"/>
      <c r="EZ68" s="91"/>
      <c r="FA68" s="91"/>
      <c r="FB68" s="91"/>
      <c r="FC68" s="91"/>
      <c r="FD68" s="91"/>
      <c r="FE68" s="91"/>
      <c r="FF68" s="91"/>
      <c r="FG68" s="91"/>
      <c r="FH68" s="91"/>
      <c r="FI68" s="91"/>
      <c r="FJ68" s="91"/>
      <c r="FK68" s="91"/>
      <c r="FL68" s="91"/>
      <c r="FM68" s="91"/>
      <c r="FN68" s="91"/>
      <c r="FO68" s="91"/>
      <c r="FP68" s="91"/>
      <c r="FQ68" s="91"/>
      <c r="FR68" s="91"/>
      <c r="FS68" s="91"/>
      <c r="FT68" s="91"/>
      <c r="FU68" s="91"/>
      <c r="FV68" s="91"/>
      <c r="FW68" s="91"/>
      <c r="FX68" s="91"/>
      <c r="FY68" s="91"/>
      <c r="FZ68" s="91"/>
      <c r="GA68" s="91"/>
      <c r="GB68" s="91"/>
      <c r="GC68" s="91"/>
      <c r="GD68" s="91"/>
      <c r="GE68" s="91"/>
      <c r="GF68" s="91"/>
      <c r="GG68" s="91"/>
      <c r="GH68" s="91"/>
      <c r="GI68" s="91"/>
      <c r="GJ68" s="91"/>
      <c r="GK68" s="91"/>
      <c r="GL68" s="91"/>
      <c r="GM68" s="91"/>
      <c r="GN68" s="91"/>
      <c r="GO68" s="91"/>
      <c r="GP68" s="91"/>
      <c r="GQ68" s="91"/>
      <c r="GR68" s="91"/>
      <c r="GS68" s="91"/>
      <c r="GT68" s="91"/>
      <c r="GU68" s="91"/>
      <c r="GV68" s="91"/>
      <c r="GW68" s="91"/>
      <c r="GX68" s="91"/>
      <c r="GY68" s="91"/>
      <c r="GZ68" s="91"/>
      <c r="HA68" s="91"/>
      <c r="HB68" s="91"/>
      <c r="HC68" s="91"/>
      <c r="HD68" s="91"/>
      <c r="HE68" s="91"/>
      <c r="HF68" s="91"/>
      <c r="HG68" s="91"/>
      <c r="HH68" s="91"/>
      <c r="HI68" s="91"/>
      <c r="HJ68" s="91"/>
      <c r="HK68" s="91"/>
      <c r="HL68" s="91"/>
      <c r="HM68" s="91"/>
      <c r="HN68" s="91"/>
      <c r="HO68" s="91"/>
      <c r="HP68" s="91"/>
      <c r="HQ68" s="91"/>
      <c r="HR68" s="91"/>
      <c r="HS68" s="91"/>
      <c r="HT68" s="91"/>
      <c r="HU68" s="91"/>
      <c r="HV68" s="91"/>
      <c r="HW68" s="91"/>
      <c r="HX68" s="91"/>
      <c r="HY68" s="91"/>
      <c r="HZ68" s="91"/>
      <c r="IA68" s="91"/>
      <c r="IB68" s="91"/>
      <c r="IC68" s="91"/>
      <c r="ID68" s="91"/>
      <c r="IE68" s="91"/>
      <c r="IF68" s="91"/>
      <c r="IG68" s="91"/>
      <c r="IH68" s="91"/>
      <c r="II68" s="91"/>
      <c r="IJ68" s="91"/>
      <c r="IK68" s="91"/>
      <c r="IL68" s="91"/>
      <c r="IM68" s="91"/>
      <c r="IN68" s="91"/>
      <c r="IO68" s="91"/>
    </row>
    <row r="69" spans="3:249" x14ac:dyDescent="0.2">
      <c r="C69" s="1"/>
      <c r="D69" s="134"/>
      <c r="E69" s="134" t="s">
        <v>73</v>
      </c>
      <c r="F69" s="158">
        <f>+'[1]Typical Conv.Operating Expenses'!BW85</f>
        <v>1.1269682168445956</v>
      </c>
      <c r="G69" s="159">
        <f>+'[1]Typical Conv.Operating Expenses'!BX85</f>
        <v>3.1454605637041166</v>
      </c>
      <c r="H69" s="160">
        <f>+'[1]Typical Conv.Operating Expenses'!BZ85</f>
        <v>0.16904523252668927</v>
      </c>
      <c r="I69" s="159">
        <f>+'[1]Typical Conv.Operating Expenses'!CA85</f>
        <v>0.47181908455561766</v>
      </c>
      <c r="J69" s="158">
        <f>+'[1]Typical Conv.Operating Expenses'!CC85</f>
        <v>0.19887674414904619</v>
      </c>
      <c r="K69" s="159">
        <f>+'[1]Typical Conv.Operating Expenses'!CD85</f>
        <v>3.0043212058330586</v>
      </c>
      <c r="L69" s="82"/>
      <c r="M69" s="82"/>
      <c r="N69" s="82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  <c r="AC69" s="91"/>
      <c r="AD69" s="91"/>
      <c r="AE69" s="91"/>
      <c r="AF69" s="91"/>
      <c r="AG69" s="91"/>
      <c r="AH69" s="91"/>
      <c r="AI69" s="91"/>
      <c r="AJ69" s="91"/>
      <c r="AK69" s="91"/>
      <c r="AL69" s="91"/>
      <c r="AM69" s="91"/>
      <c r="AN69" s="91"/>
      <c r="AO69" s="91"/>
      <c r="AP69" s="91"/>
      <c r="AQ69" s="91"/>
      <c r="AR69" s="91"/>
      <c r="AS69" s="91"/>
      <c r="AT69" s="91"/>
      <c r="AU69" s="91"/>
      <c r="AV69" s="91"/>
      <c r="AW69" s="91"/>
      <c r="AX69" s="91"/>
      <c r="AY69" s="91"/>
      <c r="AZ69" s="91"/>
      <c r="BA69" s="91"/>
      <c r="BB69" s="91"/>
      <c r="BC69" s="91"/>
      <c r="BD69" s="91"/>
      <c r="BE69" s="91"/>
      <c r="BF69" s="91"/>
      <c r="BG69" s="91"/>
      <c r="BH69" s="91"/>
      <c r="BI69" s="91"/>
      <c r="BJ69" s="91"/>
      <c r="BK69" s="91"/>
      <c r="BL69" s="91"/>
      <c r="BM69" s="91"/>
      <c r="BN69" s="91"/>
      <c r="BO69" s="91"/>
      <c r="BP69" s="91"/>
      <c r="BQ69" s="91"/>
      <c r="BR69" s="91"/>
      <c r="BS69" s="91"/>
      <c r="BT69" s="91"/>
      <c r="BU69" s="91"/>
      <c r="BV69" s="91"/>
      <c r="BW69" s="91"/>
      <c r="BX69" s="91"/>
      <c r="BY69" s="91"/>
      <c r="BZ69" s="91"/>
      <c r="CA69" s="91"/>
      <c r="CB69" s="91"/>
      <c r="CC69" s="91"/>
      <c r="CD69" s="91"/>
      <c r="CE69" s="91"/>
      <c r="CF69" s="91"/>
      <c r="CG69" s="91"/>
      <c r="CH69" s="91"/>
      <c r="CI69" s="91"/>
      <c r="CJ69" s="91"/>
      <c r="CK69" s="91"/>
      <c r="CL69" s="91"/>
      <c r="CM69" s="91"/>
      <c r="CN69" s="91"/>
      <c r="CO69" s="91"/>
      <c r="CP69" s="91"/>
      <c r="CQ69" s="91"/>
      <c r="CR69" s="91"/>
      <c r="CS69" s="91"/>
      <c r="CT69" s="91"/>
      <c r="CU69" s="91"/>
      <c r="CV69" s="91"/>
      <c r="CW69" s="91"/>
      <c r="CX69" s="91"/>
      <c r="CY69" s="91"/>
      <c r="CZ69" s="91"/>
      <c r="DA69" s="91"/>
      <c r="DB69" s="91"/>
      <c r="DC69" s="91"/>
      <c r="DD69" s="91"/>
      <c r="DE69" s="91"/>
      <c r="DF69" s="91"/>
      <c r="DG69" s="91"/>
      <c r="DH69" s="91"/>
      <c r="DI69" s="91"/>
      <c r="DJ69" s="91"/>
      <c r="DK69" s="91"/>
      <c r="DL69" s="91"/>
      <c r="DM69" s="91"/>
      <c r="DN69" s="91"/>
      <c r="DO69" s="91"/>
      <c r="DP69" s="91"/>
      <c r="DQ69" s="91"/>
      <c r="DR69" s="91"/>
      <c r="DS69" s="91"/>
      <c r="DT69" s="91"/>
      <c r="DU69" s="91"/>
      <c r="DV69" s="91"/>
      <c r="DW69" s="91"/>
      <c r="DX69" s="91"/>
      <c r="DY69" s="91"/>
      <c r="DZ69" s="91"/>
      <c r="EA69" s="91"/>
      <c r="EB69" s="91"/>
      <c r="EC69" s="91"/>
      <c r="ED69" s="91"/>
      <c r="EE69" s="91"/>
      <c r="EF69" s="91"/>
      <c r="EG69" s="91"/>
      <c r="EH69" s="91"/>
      <c r="EI69" s="91"/>
      <c r="EJ69" s="91"/>
      <c r="EK69" s="91"/>
      <c r="EL69" s="91"/>
      <c r="EM69" s="91"/>
      <c r="EN69" s="91"/>
      <c r="EO69" s="91"/>
      <c r="EP69" s="91"/>
      <c r="EQ69" s="91"/>
      <c r="ER69" s="91"/>
      <c r="ES69" s="91"/>
      <c r="ET69" s="91"/>
      <c r="EU69" s="91"/>
      <c r="EV69" s="91"/>
      <c r="EW69" s="91"/>
      <c r="EX69" s="91"/>
      <c r="EY69" s="91"/>
      <c r="EZ69" s="91"/>
      <c r="FA69" s="91"/>
      <c r="FB69" s="91"/>
      <c r="FC69" s="91"/>
      <c r="FD69" s="91"/>
      <c r="FE69" s="91"/>
      <c r="FF69" s="91"/>
      <c r="FG69" s="91"/>
      <c r="FH69" s="91"/>
      <c r="FI69" s="91"/>
      <c r="FJ69" s="91"/>
      <c r="FK69" s="91"/>
      <c r="FL69" s="91"/>
      <c r="FM69" s="91"/>
      <c r="FN69" s="91"/>
      <c r="FO69" s="91"/>
      <c r="FP69" s="91"/>
      <c r="FQ69" s="91"/>
      <c r="FR69" s="91"/>
      <c r="FS69" s="91"/>
      <c r="FT69" s="91"/>
      <c r="FU69" s="91"/>
      <c r="FV69" s="91"/>
      <c r="FW69" s="91"/>
      <c r="FX69" s="91"/>
      <c r="FY69" s="91"/>
      <c r="FZ69" s="91"/>
      <c r="GA69" s="91"/>
      <c r="GB69" s="91"/>
      <c r="GC69" s="91"/>
      <c r="GD69" s="91"/>
      <c r="GE69" s="91"/>
      <c r="GF69" s="91"/>
      <c r="GG69" s="91"/>
      <c r="GH69" s="91"/>
      <c r="GI69" s="91"/>
      <c r="GJ69" s="91"/>
      <c r="GK69" s="91"/>
      <c r="GL69" s="91"/>
      <c r="GM69" s="91"/>
      <c r="GN69" s="91"/>
      <c r="GO69" s="91"/>
      <c r="GP69" s="91"/>
      <c r="GQ69" s="91"/>
      <c r="GR69" s="91"/>
      <c r="GS69" s="91"/>
      <c r="GT69" s="91"/>
      <c r="GU69" s="91"/>
      <c r="GV69" s="91"/>
      <c r="GW69" s="91"/>
      <c r="GX69" s="91"/>
      <c r="GY69" s="91"/>
      <c r="GZ69" s="91"/>
      <c r="HA69" s="91"/>
      <c r="HB69" s="91"/>
      <c r="HC69" s="91"/>
      <c r="HD69" s="91"/>
      <c r="HE69" s="91"/>
      <c r="HF69" s="91"/>
      <c r="HG69" s="91"/>
      <c r="HH69" s="91"/>
      <c r="HI69" s="91"/>
      <c r="HJ69" s="91"/>
      <c r="HK69" s="91"/>
      <c r="HL69" s="91"/>
      <c r="HM69" s="91"/>
      <c r="HN69" s="91"/>
      <c r="HO69" s="91"/>
      <c r="HP69" s="91"/>
      <c r="HQ69" s="91"/>
      <c r="HR69" s="91"/>
      <c r="HS69" s="91"/>
      <c r="HT69" s="91"/>
      <c r="HU69" s="91"/>
      <c r="HV69" s="91"/>
      <c r="HW69" s="91"/>
      <c r="HX69" s="91"/>
      <c r="HY69" s="91"/>
      <c r="HZ69" s="91"/>
      <c r="IA69" s="91"/>
      <c r="IB69" s="91"/>
      <c r="IC69" s="91"/>
      <c r="ID69" s="91"/>
      <c r="IE69" s="91"/>
      <c r="IF69" s="91"/>
      <c r="IG69" s="91"/>
      <c r="IH69" s="91"/>
      <c r="II69" s="91"/>
      <c r="IJ69" s="91"/>
      <c r="IK69" s="91"/>
      <c r="IL69" s="91"/>
      <c r="IM69" s="91"/>
      <c r="IN69" s="91"/>
      <c r="IO69" s="91"/>
    </row>
    <row r="70" spans="3:249" x14ac:dyDescent="0.2">
      <c r="C70" s="1"/>
      <c r="D70" s="134"/>
      <c r="E70" s="134" t="s">
        <v>74</v>
      </c>
      <c r="F70" s="158">
        <f>+'[1]Typical Conv.Operating Expenses'!BW86</f>
        <v>0.64609058189958246</v>
      </c>
      <c r="G70" s="159">
        <f>+'[1]Typical Conv.Operating Expenses'!BX86</f>
        <v>6.906005125652225</v>
      </c>
      <c r="H70" s="160">
        <f>+'[1]Typical Conv.Operating Expenses'!BZ86</f>
        <v>9.6913587284937347E-2</v>
      </c>
      <c r="I70" s="159">
        <f>+'[1]Typical Conv.Operating Expenses'!CA86</f>
        <v>1.0359007688478343</v>
      </c>
      <c r="J70" s="158">
        <f>+'[1]Typical Conv.Operating Expenses'!CC86</f>
        <v>0.11401598504110276</v>
      </c>
      <c r="K70" s="159">
        <f>+'[1]Typical Conv.Operating Expenses'!CD86</f>
        <v>6.906005125652225</v>
      </c>
      <c r="L70" s="82"/>
      <c r="M70" s="82"/>
      <c r="N70" s="82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  <c r="AC70" s="91"/>
      <c r="AD70" s="91"/>
      <c r="AE70" s="91"/>
      <c r="AF70" s="91"/>
      <c r="AG70" s="91"/>
      <c r="AH70" s="91"/>
      <c r="AI70" s="91"/>
      <c r="AJ70" s="91"/>
      <c r="AK70" s="91"/>
      <c r="AL70" s="91"/>
      <c r="AM70" s="91"/>
      <c r="AN70" s="91"/>
      <c r="AO70" s="91"/>
      <c r="AP70" s="91"/>
      <c r="AQ70" s="91"/>
      <c r="AR70" s="91"/>
      <c r="AS70" s="91"/>
      <c r="AT70" s="91"/>
      <c r="AU70" s="91"/>
      <c r="AV70" s="91"/>
      <c r="AW70" s="91"/>
      <c r="AX70" s="91"/>
      <c r="AY70" s="91"/>
      <c r="AZ70" s="91"/>
      <c r="BA70" s="91"/>
      <c r="BB70" s="91"/>
      <c r="BC70" s="91"/>
      <c r="BD70" s="91"/>
      <c r="BE70" s="91"/>
      <c r="BF70" s="91"/>
      <c r="BG70" s="91"/>
      <c r="BH70" s="91"/>
      <c r="BI70" s="91"/>
      <c r="BJ70" s="91"/>
      <c r="BK70" s="91"/>
      <c r="BL70" s="91"/>
      <c r="BM70" s="91"/>
      <c r="BN70" s="91"/>
      <c r="BO70" s="91"/>
      <c r="BP70" s="91"/>
      <c r="BQ70" s="91"/>
      <c r="BR70" s="91"/>
      <c r="BS70" s="91"/>
      <c r="BT70" s="91"/>
      <c r="BU70" s="91"/>
      <c r="BV70" s="91"/>
      <c r="BW70" s="91"/>
      <c r="BX70" s="91"/>
      <c r="BY70" s="91"/>
      <c r="BZ70" s="91"/>
      <c r="CA70" s="91"/>
      <c r="CB70" s="91"/>
      <c r="CC70" s="91"/>
      <c r="CD70" s="91"/>
      <c r="CE70" s="91"/>
      <c r="CF70" s="91"/>
      <c r="CG70" s="91"/>
      <c r="CH70" s="91"/>
      <c r="CI70" s="91"/>
      <c r="CJ70" s="91"/>
      <c r="CK70" s="91"/>
      <c r="CL70" s="91"/>
      <c r="CM70" s="91"/>
      <c r="CN70" s="91"/>
      <c r="CO70" s="91"/>
      <c r="CP70" s="91"/>
      <c r="CQ70" s="91"/>
      <c r="CR70" s="91"/>
      <c r="CS70" s="91"/>
      <c r="CT70" s="91"/>
      <c r="CU70" s="91"/>
      <c r="CV70" s="91"/>
      <c r="CW70" s="91"/>
      <c r="CX70" s="91"/>
      <c r="CY70" s="91"/>
      <c r="CZ70" s="91"/>
      <c r="DA70" s="91"/>
      <c r="DB70" s="91"/>
      <c r="DC70" s="91"/>
      <c r="DD70" s="91"/>
      <c r="DE70" s="91"/>
      <c r="DF70" s="91"/>
      <c r="DG70" s="91"/>
      <c r="DH70" s="91"/>
      <c r="DI70" s="91"/>
      <c r="DJ70" s="91"/>
      <c r="DK70" s="91"/>
      <c r="DL70" s="91"/>
      <c r="DM70" s="91"/>
      <c r="DN70" s="91"/>
      <c r="DO70" s="91"/>
      <c r="DP70" s="91"/>
      <c r="DQ70" s="91"/>
      <c r="DR70" s="91"/>
      <c r="DS70" s="91"/>
      <c r="DT70" s="91"/>
      <c r="DU70" s="91"/>
      <c r="DV70" s="91"/>
      <c r="DW70" s="91"/>
      <c r="DX70" s="91"/>
      <c r="DY70" s="91"/>
      <c r="DZ70" s="91"/>
      <c r="EA70" s="91"/>
      <c r="EB70" s="91"/>
      <c r="EC70" s="91"/>
      <c r="ED70" s="91"/>
      <c r="EE70" s="91"/>
      <c r="EF70" s="91"/>
      <c r="EG70" s="91"/>
      <c r="EH70" s="91"/>
      <c r="EI70" s="91"/>
      <c r="EJ70" s="91"/>
      <c r="EK70" s="91"/>
      <c r="EL70" s="91"/>
      <c r="EM70" s="91"/>
      <c r="EN70" s="91"/>
      <c r="EO70" s="91"/>
      <c r="EP70" s="91"/>
      <c r="EQ70" s="91"/>
      <c r="ER70" s="91"/>
      <c r="ES70" s="91"/>
      <c r="ET70" s="91"/>
      <c r="EU70" s="91"/>
      <c r="EV70" s="91"/>
      <c r="EW70" s="91"/>
      <c r="EX70" s="91"/>
      <c r="EY70" s="91"/>
      <c r="EZ70" s="91"/>
      <c r="FA70" s="91"/>
      <c r="FB70" s="91"/>
      <c r="FC70" s="91"/>
      <c r="FD70" s="91"/>
      <c r="FE70" s="91"/>
      <c r="FF70" s="91"/>
      <c r="FG70" s="91"/>
      <c r="FH70" s="91"/>
      <c r="FI70" s="91"/>
      <c r="FJ70" s="91"/>
      <c r="FK70" s="91"/>
      <c r="FL70" s="91"/>
      <c r="FM70" s="91"/>
      <c r="FN70" s="91"/>
      <c r="FO70" s="91"/>
      <c r="FP70" s="91"/>
      <c r="FQ70" s="91"/>
      <c r="FR70" s="91"/>
      <c r="FS70" s="91"/>
      <c r="FT70" s="91"/>
      <c r="FU70" s="91"/>
      <c r="FV70" s="91"/>
      <c r="FW70" s="91"/>
      <c r="FX70" s="91"/>
      <c r="FY70" s="91"/>
      <c r="FZ70" s="91"/>
      <c r="GA70" s="91"/>
      <c r="GB70" s="91"/>
      <c r="GC70" s="91"/>
      <c r="GD70" s="91"/>
      <c r="GE70" s="91"/>
      <c r="GF70" s="91"/>
      <c r="GG70" s="91"/>
      <c r="GH70" s="91"/>
      <c r="GI70" s="91"/>
      <c r="GJ70" s="91"/>
      <c r="GK70" s="91"/>
      <c r="GL70" s="91"/>
      <c r="GM70" s="91"/>
      <c r="GN70" s="91"/>
      <c r="GO70" s="91"/>
      <c r="GP70" s="91"/>
      <c r="GQ70" s="91"/>
      <c r="GR70" s="91"/>
      <c r="GS70" s="91"/>
      <c r="GT70" s="91"/>
      <c r="GU70" s="91"/>
      <c r="GV70" s="91"/>
      <c r="GW70" s="91"/>
      <c r="GX70" s="91"/>
      <c r="GY70" s="91"/>
      <c r="GZ70" s="91"/>
      <c r="HA70" s="91"/>
      <c r="HB70" s="91"/>
      <c r="HC70" s="91"/>
      <c r="HD70" s="91"/>
      <c r="HE70" s="91"/>
      <c r="HF70" s="91"/>
      <c r="HG70" s="91"/>
      <c r="HH70" s="91"/>
      <c r="HI70" s="91"/>
      <c r="HJ70" s="91"/>
      <c r="HK70" s="91"/>
      <c r="HL70" s="91"/>
      <c r="HM70" s="91"/>
      <c r="HN70" s="91"/>
      <c r="HO70" s="91"/>
      <c r="HP70" s="91"/>
      <c r="HQ70" s="91"/>
      <c r="HR70" s="91"/>
      <c r="HS70" s="91"/>
      <c r="HT70" s="91"/>
      <c r="HU70" s="91"/>
      <c r="HV70" s="91"/>
      <c r="HW70" s="91"/>
      <c r="HX70" s="91"/>
      <c r="HY70" s="91"/>
      <c r="HZ70" s="91"/>
      <c r="IA70" s="91"/>
      <c r="IB70" s="91"/>
      <c r="IC70" s="91"/>
      <c r="ID70" s="91"/>
      <c r="IE70" s="91"/>
      <c r="IF70" s="91"/>
      <c r="IG70" s="91"/>
      <c r="IH70" s="91"/>
      <c r="II70" s="91"/>
      <c r="IJ70" s="91"/>
      <c r="IK70" s="91"/>
      <c r="IL70" s="91"/>
      <c r="IM70" s="91"/>
      <c r="IN70" s="91"/>
      <c r="IO70" s="91"/>
    </row>
    <row r="71" spans="3:249" x14ac:dyDescent="0.2">
      <c r="C71" s="1"/>
      <c r="D71" s="134"/>
      <c r="E71" s="134" t="str">
        <f>+'[1]Typical Conv.Operating Expenses'!B87</f>
        <v>Water &amp; Sewer</v>
      </c>
      <c r="F71" s="158">
        <f>+'[1]Typical Conv.Operating Expenses'!BW87</f>
        <v>0.54094474408540583</v>
      </c>
      <c r="G71" s="159">
        <f>+'[1]Typical Conv.Operating Expenses'!BX87</f>
        <v>4.7552529720763079</v>
      </c>
      <c r="H71" s="160">
        <f>+'[1]Typical Conv.Operating Expenses'!BZ87</f>
        <v>8.1141711612810849E-2</v>
      </c>
      <c r="I71" s="159">
        <f>+'[1]Typical Conv.Operating Expenses'!CA87</f>
        <v>0.71328794581144594</v>
      </c>
      <c r="J71" s="158">
        <f>+'[1]Typical Conv.Operating Expenses'!CC87</f>
        <v>9.5460837191542164E-2</v>
      </c>
      <c r="K71" s="159">
        <f>+'[1]Typical Conv.Operating Expenses'!CD87</f>
        <v>4.7552529720763062</v>
      </c>
      <c r="L71" s="82"/>
      <c r="M71" s="82"/>
      <c r="N71" s="82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1"/>
      <c r="AF71" s="91"/>
      <c r="AG71" s="91"/>
      <c r="AH71" s="91"/>
      <c r="AI71" s="91"/>
      <c r="AJ71" s="91"/>
      <c r="AK71" s="91"/>
      <c r="AL71" s="91"/>
      <c r="AM71" s="91"/>
      <c r="AN71" s="91"/>
      <c r="AO71" s="91"/>
      <c r="AP71" s="91"/>
      <c r="AQ71" s="91"/>
      <c r="AR71" s="91"/>
      <c r="AS71" s="91"/>
      <c r="AT71" s="91"/>
      <c r="AU71" s="91"/>
      <c r="AV71" s="91"/>
      <c r="AW71" s="91"/>
      <c r="AX71" s="91"/>
      <c r="AY71" s="91"/>
      <c r="AZ71" s="91"/>
      <c r="BA71" s="91"/>
      <c r="BB71" s="91"/>
      <c r="BC71" s="91"/>
      <c r="BD71" s="91"/>
      <c r="BE71" s="91"/>
      <c r="BF71" s="91"/>
      <c r="BG71" s="91"/>
      <c r="BH71" s="91"/>
      <c r="BI71" s="91"/>
      <c r="BJ71" s="91"/>
      <c r="BK71" s="91"/>
      <c r="BL71" s="91"/>
      <c r="BM71" s="91"/>
      <c r="BN71" s="91"/>
      <c r="BO71" s="91"/>
      <c r="BP71" s="91"/>
      <c r="BQ71" s="91"/>
      <c r="BR71" s="91"/>
      <c r="BS71" s="91"/>
      <c r="BT71" s="91"/>
      <c r="BU71" s="91"/>
      <c r="BV71" s="91"/>
      <c r="BW71" s="91"/>
      <c r="BX71" s="91"/>
      <c r="BY71" s="91"/>
      <c r="BZ71" s="91"/>
      <c r="CA71" s="91"/>
      <c r="CB71" s="91"/>
      <c r="CC71" s="91"/>
      <c r="CD71" s="91"/>
      <c r="CE71" s="91"/>
      <c r="CF71" s="91"/>
      <c r="CG71" s="91"/>
      <c r="CH71" s="91"/>
      <c r="CI71" s="91"/>
      <c r="CJ71" s="91"/>
      <c r="CK71" s="91"/>
      <c r="CL71" s="91"/>
      <c r="CM71" s="91"/>
      <c r="CN71" s="91"/>
      <c r="CO71" s="91"/>
      <c r="CP71" s="91"/>
      <c r="CQ71" s="91"/>
      <c r="CR71" s="91"/>
      <c r="CS71" s="91"/>
      <c r="CT71" s="91"/>
      <c r="CU71" s="91"/>
      <c r="CV71" s="91"/>
      <c r="CW71" s="91"/>
      <c r="CX71" s="91"/>
      <c r="CY71" s="91"/>
      <c r="CZ71" s="91"/>
      <c r="DA71" s="91"/>
      <c r="DB71" s="91"/>
      <c r="DC71" s="91"/>
      <c r="DD71" s="91"/>
      <c r="DE71" s="91"/>
      <c r="DF71" s="91"/>
      <c r="DG71" s="91"/>
      <c r="DH71" s="91"/>
      <c r="DI71" s="91"/>
      <c r="DJ71" s="91"/>
      <c r="DK71" s="91"/>
      <c r="DL71" s="91"/>
      <c r="DM71" s="91"/>
      <c r="DN71" s="91"/>
      <c r="DO71" s="91"/>
      <c r="DP71" s="91"/>
      <c r="DQ71" s="91"/>
      <c r="DR71" s="91"/>
      <c r="DS71" s="91"/>
      <c r="DT71" s="91"/>
      <c r="DU71" s="91"/>
      <c r="DV71" s="91"/>
      <c r="DW71" s="91"/>
      <c r="DX71" s="91"/>
      <c r="DY71" s="91"/>
      <c r="DZ71" s="91"/>
      <c r="EA71" s="91"/>
      <c r="EB71" s="91"/>
      <c r="EC71" s="91"/>
      <c r="ED71" s="91"/>
      <c r="EE71" s="91"/>
      <c r="EF71" s="91"/>
      <c r="EG71" s="91"/>
      <c r="EH71" s="91"/>
      <c r="EI71" s="91"/>
      <c r="EJ71" s="91"/>
      <c r="EK71" s="91"/>
      <c r="EL71" s="91"/>
      <c r="EM71" s="91"/>
      <c r="EN71" s="91"/>
      <c r="EO71" s="91"/>
      <c r="EP71" s="91"/>
      <c r="EQ71" s="91"/>
      <c r="ER71" s="91"/>
      <c r="ES71" s="91"/>
      <c r="ET71" s="91"/>
      <c r="EU71" s="91"/>
      <c r="EV71" s="91"/>
      <c r="EW71" s="91"/>
      <c r="EX71" s="91"/>
      <c r="EY71" s="91"/>
      <c r="EZ71" s="91"/>
      <c r="FA71" s="91"/>
      <c r="FB71" s="91"/>
      <c r="FC71" s="91"/>
      <c r="FD71" s="91"/>
      <c r="FE71" s="91"/>
      <c r="FF71" s="91"/>
      <c r="FG71" s="91"/>
      <c r="FH71" s="91"/>
      <c r="FI71" s="91"/>
      <c r="FJ71" s="91"/>
      <c r="FK71" s="91"/>
      <c r="FL71" s="91"/>
      <c r="FM71" s="91"/>
      <c r="FN71" s="91"/>
      <c r="FO71" s="91"/>
      <c r="FP71" s="91"/>
      <c r="FQ71" s="91"/>
      <c r="FR71" s="91"/>
      <c r="FS71" s="91"/>
      <c r="FT71" s="91"/>
      <c r="FU71" s="91"/>
      <c r="FV71" s="91"/>
      <c r="FW71" s="91"/>
      <c r="FX71" s="91"/>
      <c r="FY71" s="91"/>
      <c r="FZ71" s="91"/>
      <c r="GA71" s="91"/>
      <c r="GB71" s="91"/>
      <c r="GC71" s="91"/>
      <c r="GD71" s="91"/>
      <c r="GE71" s="91"/>
      <c r="GF71" s="91"/>
      <c r="GG71" s="91"/>
      <c r="GH71" s="91"/>
      <c r="GI71" s="91"/>
      <c r="GJ71" s="91"/>
      <c r="GK71" s="91"/>
      <c r="GL71" s="91"/>
      <c r="GM71" s="91"/>
      <c r="GN71" s="91"/>
      <c r="GO71" s="91"/>
      <c r="GP71" s="91"/>
      <c r="GQ71" s="91"/>
      <c r="GR71" s="91"/>
      <c r="GS71" s="91"/>
      <c r="GT71" s="91"/>
      <c r="GU71" s="91"/>
      <c r="GV71" s="91"/>
      <c r="GW71" s="91"/>
      <c r="GX71" s="91"/>
      <c r="GY71" s="91"/>
      <c r="GZ71" s="91"/>
      <c r="HA71" s="91"/>
      <c r="HB71" s="91"/>
      <c r="HC71" s="91"/>
      <c r="HD71" s="91"/>
      <c r="HE71" s="91"/>
      <c r="HF71" s="91"/>
      <c r="HG71" s="91"/>
      <c r="HH71" s="91"/>
      <c r="HI71" s="91"/>
      <c r="HJ71" s="91"/>
      <c r="HK71" s="91"/>
      <c r="HL71" s="91"/>
      <c r="HM71" s="91"/>
      <c r="HN71" s="91"/>
      <c r="HO71" s="91"/>
      <c r="HP71" s="91"/>
      <c r="HQ71" s="91"/>
      <c r="HR71" s="91"/>
      <c r="HS71" s="91"/>
      <c r="HT71" s="91"/>
      <c r="HU71" s="91"/>
      <c r="HV71" s="91"/>
      <c r="HW71" s="91"/>
      <c r="HX71" s="91"/>
      <c r="HY71" s="91"/>
      <c r="HZ71" s="91"/>
      <c r="IA71" s="91"/>
      <c r="IB71" s="91"/>
      <c r="IC71" s="91"/>
      <c r="ID71" s="91"/>
      <c r="IE71" s="91"/>
      <c r="IF71" s="91"/>
      <c r="IG71" s="91"/>
      <c r="IH71" s="91"/>
      <c r="II71" s="91"/>
      <c r="IJ71" s="91"/>
      <c r="IK71" s="91"/>
      <c r="IL71" s="91"/>
      <c r="IM71" s="91"/>
      <c r="IN71" s="91"/>
      <c r="IO71" s="91"/>
    </row>
    <row r="72" spans="3:249" ht="18" x14ac:dyDescent="0.2">
      <c r="C72" s="1"/>
      <c r="D72" s="134"/>
      <c r="E72" s="131"/>
      <c r="F72" s="161">
        <f>SUM(F69:F71)</f>
        <v>2.314003542829584</v>
      </c>
      <c r="G72" s="162">
        <f>SUM(G69:G71)</f>
        <v>14.806718661432649</v>
      </c>
      <c r="H72" s="163">
        <f>+'[1]Typical Conv.Operating Expenses'!BZ88</f>
        <v>0.43681288084896508</v>
      </c>
      <c r="I72" s="164">
        <f>+'[1]Typical Conv.Operating Expenses'!CA88</f>
        <v>4.9121524898114757</v>
      </c>
      <c r="J72" s="165">
        <f>+'[1]Typical Conv.Operating Expenses'!CC88</f>
        <v>0.51389750688113534</v>
      </c>
      <c r="K72" s="164">
        <f>+'[1]Typical Conv.Operating Expenses'!CD88</f>
        <v>5.7427339211859252</v>
      </c>
      <c r="L72" s="82"/>
      <c r="M72" s="82"/>
      <c r="N72" s="82"/>
      <c r="O72" s="91"/>
      <c r="P72" s="166"/>
      <c r="Q72" s="166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1"/>
      <c r="AF72" s="91"/>
      <c r="AG72" s="91"/>
      <c r="AH72" s="91"/>
      <c r="AI72" s="91"/>
      <c r="AJ72" s="91"/>
      <c r="AK72" s="91"/>
      <c r="AL72" s="91"/>
      <c r="AM72" s="91"/>
      <c r="AN72" s="91"/>
      <c r="AO72" s="91"/>
      <c r="AP72" s="91"/>
      <c r="AQ72" s="91"/>
      <c r="AR72" s="91"/>
      <c r="AS72" s="91"/>
      <c r="AT72" s="91"/>
      <c r="AU72" s="91"/>
      <c r="AV72" s="91"/>
      <c r="AW72" s="91"/>
      <c r="AX72" s="91"/>
      <c r="AY72" s="91"/>
      <c r="AZ72" s="91"/>
      <c r="BA72" s="91"/>
      <c r="BB72" s="91"/>
      <c r="BC72" s="91"/>
      <c r="BD72" s="91"/>
      <c r="BE72" s="91"/>
      <c r="BF72" s="91"/>
      <c r="BG72" s="91"/>
      <c r="BH72" s="91"/>
      <c r="BI72" s="91"/>
      <c r="BJ72" s="91"/>
      <c r="BK72" s="91"/>
      <c r="BL72" s="91"/>
      <c r="BM72" s="91"/>
      <c r="BN72" s="91"/>
      <c r="BO72" s="91"/>
      <c r="BP72" s="91"/>
      <c r="BQ72" s="91"/>
      <c r="BR72" s="91"/>
      <c r="BS72" s="91"/>
      <c r="BT72" s="91"/>
      <c r="BU72" s="91"/>
      <c r="BV72" s="91"/>
      <c r="BW72" s="91"/>
      <c r="BX72" s="91"/>
      <c r="BY72" s="91"/>
      <c r="BZ72" s="91"/>
      <c r="CA72" s="91"/>
      <c r="CB72" s="91"/>
      <c r="CC72" s="91"/>
      <c r="CD72" s="91"/>
      <c r="CE72" s="91"/>
      <c r="CF72" s="91"/>
      <c r="CG72" s="91"/>
      <c r="CH72" s="91"/>
      <c r="CI72" s="91"/>
      <c r="CJ72" s="91"/>
      <c r="CK72" s="91"/>
      <c r="CL72" s="91"/>
      <c r="CM72" s="91"/>
      <c r="CN72" s="91"/>
      <c r="CO72" s="91"/>
      <c r="CP72" s="91"/>
      <c r="CQ72" s="91"/>
      <c r="CR72" s="91"/>
      <c r="CS72" s="91"/>
      <c r="CT72" s="91"/>
      <c r="CU72" s="91"/>
      <c r="CV72" s="91"/>
      <c r="CW72" s="91"/>
      <c r="CX72" s="91"/>
      <c r="CY72" s="91"/>
      <c r="CZ72" s="91"/>
      <c r="DA72" s="91"/>
      <c r="DB72" s="91"/>
      <c r="DC72" s="91"/>
      <c r="DD72" s="91"/>
      <c r="DE72" s="91"/>
      <c r="DF72" s="91"/>
      <c r="DG72" s="91"/>
      <c r="DH72" s="91"/>
      <c r="DI72" s="91"/>
      <c r="DJ72" s="91"/>
      <c r="DK72" s="91"/>
      <c r="DL72" s="91"/>
      <c r="DM72" s="91"/>
      <c r="DN72" s="91"/>
      <c r="DO72" s="91"/>
      <c r="DP72" s="91"/>
      <c r="DQ72" s="91"/>
      <c r="DR72" s="91"/>
      <c r="DS72" s="91"/>
      <c r="DT72" s="91"/>
      <c r="DU72" s="91"/>
      <c r="DV72" s="91"/>
      <c r="DW72" s="91"/>
      <c r="DX72" s="91"/>
      <c r="DY72" s="91"/>
      <c r="DZ72" s="91"/>
      <c r="EA72" s="91"/>
      <c r="EB72" s="91"/>
      <c r="EC72" s="91"/>
      <c r="ED72" s="91"/>
      <c r="EE72" s="91"/>
      <c r="EF72" s="91"/>
      <c r="EG72" s="91"/>
      <c r="EH72" s="91"/>
      <c r="EI72" s="91"/>
      <c r="EJ72" s="91"/>
      <c r="EK72" s="91"/>
      <c r="EL72" s="91"/>
      <c r="EM72" s="91"/>
      <c r="EN72" s="91"/>
      <c r="EO72" s="91"/>
      <c r="EP72" s="91"/>
      <c r="EQ72" s="91"/>
      <c r="ER72" s="91"/>
      <c r="ES72" s="91"/>
      <c r="ET72" s="91"/>
      <c r="EU72" s="91"/>
      <c r="EV72" s="91"/>
      <c r="EW72" s="91"/>
      <c r="EX72" s="91"/>
      <c r="EY72" s="91"/>
      <c r="EZ72" s="91"/>
      <c r="FA72" s="91"/>
      <c r="FB72" s="91"/>
      <c r="FC72" s="91"/>
      <c r="FD72" s="91"/>
      <c r="FE72" s="91"/>
      <c r="FF72" s="91"/>
      <c r="FG72" s="91"/>
      <c r="FH72" s="91"/>
      <c r="FI72" s="91"/>
      <c r="FJ72" s="91"/>
      <c r="FK72" s="91"/>
      <c r="FL72" s="91"/>
      <c r="FM72" s="91"/>
      <c r="FN72" s="91"/>
      <c r="FO72" s="91"/>
      <c r="FP72" s="91"/>
      <c r="FQ72" s="91"/>
      <c r="FR72" s="91"/>
      <c r="FS72" s="91"/>
      <c r="FT72" s="91"/>
      <c r="FU72" s="91"/>
      <c r="FV72" s="91"/>
      <c r="FW72" s="91"/>
      <c r="FX72" s="91"/>
      <c r="FY72" s="91"/>
      <c r="FZ72" s="91"/>
      <c r="GA72" s="91"/>
      <c r="GB72" s="91"/>
      <c r="GC72" s="91"/>
      <c r="GD72" s="91"/>
      <c r="GE72" s="91"/>
      <c r="GF72" s="91"/>
      <c r="GG72" s="91"/>
      <c r="GH72" s="91"/>
      <c r="GI72" s="91"/>
      <c r="GJ72" s="91"/>
      <c r="GK72" s="91"/>
      <c r="GL72" s="91"/>
      <c r="GM72" s="91"/>
      <c r="GN72" s="91"/>
      <c r="GO72" s="91"/>
      <c r="GP72" s="91"/>
      <c r="GQ72" s="91"/>
      <c r="GR72" s="91"/>
      <c r="GS72" s="91"/>
      <c r="GT72" s="91"/>
      <c r="GU72" s="91"/>
      <c r="GV72" s="91"/>
      <c r="GW72" s="91"/>
      <c r="GX72" s="91"/>
      <c r="GY72" s="91"/>
      <c r="GZ72" s="91"/>
      <c r="HA72" s="91"/>
      <c r="HB72" s="91"/>
      <c r="HC72" s="91"/>
      <c r="HD72" s="91"/>
      <c r="HE72" s="91"/>
      <c r="HF72" s="91"/>
      <c r="HG72" s="91"/>
      <c r="HH72" s="91"/>
      <c r="HI72" s="91"/>
      <c r="HJ72" s="91"/>
      <c r="HK72" s="91"/>
      <c r="HL72" s="91"/>
      <c r="HM72" s="91"/>
      <c r="HN72" s="91"/>
      <c r="HO72" s="91"/>
      <c r="HP72" s="91"/>
      <c r="HQ72" s="91"/>
      <c r="HR72" s="91"/>
      <c r="HS72" s="91"/>
      <c r="HT72" s="91"/>
      <c r="HU72" s="91"/>
      <c r="HV72" s="91"/>
      <c r="HW72" s="91"/>
      <c r="HX72" s="91"/>
      <c r="HY72" s="91"/>
      <c r="HZ72" s="91"/>
      <c r="IA72" s="91"/>
      <c r="IB72" s="91"/>
      <c r="IC72" s="91"/>
      <c r="ID72" s="91"/>
      <c r="IE72" s="91"/>
      <c r="IF72" s="91"/>
      <c r="IG72" s="91"/>
      <c r="IH72" s="91"/>
      <c r="II72" s="91"/>
      <c r="IJ72" s="91"/>
      <c r="IK72" s="91"/>
      <c r="IL72" s="91"/>
      <c r="IM72" s="91"/>
      <c r="IN72" s="91"/>
      <c r="IO72" s="91"/>
    </row>
    <row r="73" spans="3:249" ht="18" x14ac:dyDescent="0.2">
      <c r="C73" s="1"/>
      <c r="D73" s="134"/>
      <c r="E73" s="167" t="s">
        <v>75</v>
      </c>
      <c r="F73" s="339">
        <f>+'[1]Typical Conv.Operating Expenses'!BU93</f>
        <v>8.4224722371217666</v>
      </c>
      <c r="G73" s="340"/>
      <c r="H73" s="341">
        <f>+'[1]Typical Conv.Operating Expenses'!BU94</f>
        <v>1.2258458796157747</v>
      </c>
      <c r="I73" s="342"/>
      <c r="J73" s="343">
        <f>+'[1]Typical Conv.Operating Expenses'!BU92</f>
        <v>1.4346517903191525</v>
      </c>
      <c r="K73" s="342"/>
      <c r="L73" s="82"/>
      <c r="M73" s="82"/>
      <c r="N73" s="82"/>
      <c r="O73" s="91"/>
      <c r="P73" s="166"/>
      <c r="Q73" s="166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  <c r="AE73" s="91"/>
      <c r="AF73" s="91"/>
      <c r="AG73" s="91"/>
      <c r="AH73" s="91"/>
      <c r="AI73" s="91"/>
      <c r="AJ73" s="91"/>
      <c r="AK73" s="91"/>
      <c r="AL73" s="91"/>
      <c r="AM73" s="91"/>
      <c r="AN73" s="91"/>
      <c r="AO73" s="91"/>
      <c r="AP73" s="91"/>
      <c r="AQ73" s="91"/>
      <c r="AR73" s="91"/>
      <c r="AS73" s="91"/>
      <c r="AT73" s="91"/>
      <c r="AU73" s="91"/>
      <c r="AV73" s="91"/>
      <c r="AW73" s="91"/>
      <c r="AX73" s="91"/>
      <c r="AY73" s="91"/>
      <c r="AZ73" s="91"/>
      <c r="BA73" s="91"/>
      <c r="BB73" s="91"/>
      <c r="BC73" s="91"/>
      <c r="BD73" s="91"/>
      <c r="BE73" s="91"/>
      <c r="BF73" s="91"/>
      <c r="BG73" s="91"/>
      <c r="BH73" s="91"/>
      <c r="BI73" s="91"/>
      <c r="BJ73" s="91"/>
      <c r="BK73" s="91"/>
      <c r="BL73" s="91"/>
      <c r="BM73" s="91"/>
      <c r="BN73" s="91"/>
      <c r="BO73" s="91"/>
      <c r="BP73" s="91"/>
      <c r="BQ73" s="91"/>
      <c r="BR73" s="91"/>
      <c r="BS73" s="91"/>
      <c r="BT73" s="91"/>
      <c r="BU73" s="91"/>
      <c r="BV73" s="91"/>
      <c r="BW73" s="91"/>
      <c r="BX73" s="91"/>
      <c r="BY73" s="91"/>
      <c r="BZ73" s="91"/>
      <c r="CA73" s="91"/>
      <c r="CB73" s="91"/>
      <c r="CC73" s="91"/>
      <c r="CD73" s="91"/>
      <c r="CE73" s="91"/>
      <c r="CF73" s="91"/>
      <c r="CG73" s="91"/>
      <c r="CH73" s="91"/>
      <c r="CI73" s="91"/>
      <c r="CJ73" s="91"/>
      <c r="CK73" s="91"/>
      <c r="CL73" s="91"/>
      <c r="CM73" s="91"/>
      <c r="CN73" s="91"/>
      <c r="CO73" s="91"/>
      <c r="CP73" s="91"/>
      <c r="CQ73" s="91"/>
      <c r="CR73" s="91"/>
      <c r="CS73" s="91"/>
      <c r="CT73" s="91"/>
      <c r="CU73" s="91"/>
      <c r="CV73" s="91"/>
      <c r="CW73" s="91"/>
      <c r="CX73" s="91"/>
      <c r="CY73" s="91"/>
      <c r="CZ73" s="91"/>
      <c r="DA73" s="91"/>
      <c r="DB73" s="91"/>
      <c r="DC73" s="91"/>
      <c r="DD73" s="91"/>
      <c r="DE73" s="91"/>
      <c r="DF73" s="91"/>
      <c r="DG73" s="91"/>
      <c r="DH73" s="91"/>
      <c r="DI73" s="91"/>
      <c r="DJ73" s="91"/>
      <c r="DK73" s="91"/>
      <c r="DL73" s="91"/>
      <c r="DM73" s="91"/>
      <c r="DN73" s="91"/>
      <c r="DO73" s="91"/>
      <c r="DP73" s="91"/>
      <c r="DQ73" s="91"/>
      <c r="DR73" s="91"/>
      <c r="DS73" s="91"/>
      <c r="DT73" s="91"/>
      <c r="DU73" s="91"/>
      <c r="DV73" s="91"/>
      <c r="DW73" s="91"/>
      <c r="DX73" s="91"/>
      <c r="DY73" s="91"/>
      <c r="DZ73" s="91"/>
      <c r="EA73" s="91"/>
      <c r="EB73" s="91"/>
      <c r="EC73" s="91"/>
      <c r="ED73" s="91"/>
      <c r="EE73" s="91"/>
      <c r="EF73" s="91"/>
      <c r="EG73" s="91"/>
      <c r="EH73" s="91"/>
      <c r="EI73" s="91"/>
      <c r="EJ73" s="91"/>
      <c r="EK73" s="91"/>
      <c r="EL73" s="91"/>
      <c r="EM73" s="91"/>
      <c r="EN73" s="91"/>
      <c r="EO73" s="91"/>
      <c r="EP73" s="91"/>
      <c r="EQ73" s="91"/>
      <c r="ER73" s="91"/>
      <c r="ES73" s="91"/>
      <c r="ET73" s="91"/>
      <c r="EU73" s="91"/>
      <c r="EV73" s="91"/>
      <c r="EW73" s="91"/>
      <c r="EX73" s="91"/>
      <c r="EY73" s="91"/>
      <c r="EZ73" s="91"/>
      <c r="FA73" s="91"/>
      <c r="FB73" s="91"/>
      <c r="FC73" s="91"/>
      <c r="FD73" s="91"/>
      <c r="FE73" s="91"/>
      <c r="FF73" s="91"/>
      <c r="FG73" s="91"/>
      <c r="FH73" s="91"/>
      <c r="FI73" s="91"/>
      <c r="FJ73" s="91"/>
      <c r="FK73" s="91"/>
      <c r="FL73" s="91"/>
      <c r="FM73" s="91"/>
      <c r="FN73" s="91"/>
      <c r="FO73" s="91"/>
      <c r="FP73" s="91"/>
      <c r="FQ73" s="91"/>
      <c r="FR73" s="91"/>
      <c r="FS73" s="91"/>
      <c r="FT73" s="91"/>
      <c r="FU73" s="91"/>
      <c r="FV73" s="91"/>
      <c r="FW73" s="91"/>
      <c r="FX73" s="91"/>
      <c r="FY73" s="91"/>
      <c r="FZ73" s="91"/>
      <c r="GA73" s="91"/>
      <c r="GB73" s="91"/>
      <c r="GC73" s="91"/>
      <c r="GD73" s="91"/>
      <c r="GE73" s="91"/>
      <c r="GF73" s="91"/>
      <c r="GG73" s="91"/>
      <c r="GH73" s="91"/>
      <c r="GI73" s="91"/>
      <c r="GJ73" s="91"/>
      <c r="GK73" s="91"/>
      <c r="GL73" s="91"/>
      <c r="GM73" s="91"/>
      <c r="GN73" s="91"/>
      <c r="GO73" s="91"/>
      <c r="GP73" s="91"/>
      <c r="GQ73" s="91"/>
      <c r="GR73" s="91"/>
      <c r="GS73" s="91"/>
      <c r="GT73" s="91"/>
      <c r="GU73" s="91"/>
      <c r="GV73" s="91"/>
      <c r="GW73" s="91"/>
      <c r="GX73" s="91"/>
      <c r="GY73" s="91"/>
      <c r="GZ73" s="91"/>
      <c r="HA73" s="91"/>
      <c r="HB73" s="91"/>
      <c r="HC73" s="91"/>
      <c r="HD73" s="91"/>
      <c r="HE73" s="91"/>
      <c r="HF73" s="91"/>
      <c r="HG73" s="91"/>
      <c r="HH73" s="91"/>
      <c r="HI73" s="91"/>
      <c r="HJ73" s="91"/>
      <c r="HK73" s="91"/>
      <c r="HL73" s="91"/>
      <c r="HM73" s="91"/>
      <c r="HN73" s="91"/>
      <c r="HO73" s="91"/>
      <c r="HP73" s="91"/>
      <c r="HQ73" s="91"/>
      <c r="HR73" s="91"/>
      <c r="HS73" s="91"/>
      <c r="HT73" s="91"/>
      <c r="HU73" s="91"/>
      <c r="HV73" s="91"/>
      <c r="HW73" s="91"/>
      <c r="HX73" s="91"/>
      <c r="HY73" s="91"/>
      <c r="HZ73" s="91"/>
      <c r="IA73" s="91"/>
      <c r="IB73" s="91"/>
      <c r="IC73" s="91"/>
      <c r="ID73" s="91"/>
      <c r="IE73" s="91"/>
      <c r="IF73" s="91"/>
      <c r="IG73" s="91"/>
      <c r="IH73" s="91"/>
      <c r="II73" s="91"/>
      <c r="IJ73" s="91"/>
      <c r="IK73" s="91"/>
      <c r="IL73" s="91"/>
      <c r="IM73" s="91"/>
      <c r="IN73" s="91"/>
      <c r="IO73" s="91"/>
    </row>
    <row r="74" spans="3:249" x14ac:dyDescent="0.2">
      <c r="C74" s="1"/>
      <c r="D74" s="134"/>
      <c r="E74" s="168" t="s">
        <v>76</v>
      </c>
      <c r="F74" s="169"/>
      <c r="G74" s="170"/>
      <c r="H74" s="327">
        <v>1.5</v>
      </c>
      <c r="I74" s="328"/>
      <c r="J74" s="43"/>
      <c r="K74" s="1"/>
      <c r="L74" s="82"/>
      <c r="M74" s="82"/>
      <c r="N74" s="82"/>
      <c r="O74" s="91"/>
      <c r="P74" s="171"/>
      <c r="Q74" s="17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91"/>
      <c r="AH74" s="91"/>
      <c r="AI74" s="91"/>
      <c r="AJ74" s="91"/>
      <c r="AK74" s="91"/>
      <c r="AL74" s="91"/>
      <c r="AM74" s="91"/>
      <c r="AN74" s="91"/>
      <c r="AO74" s="91"/>
      <c r="AP74" s="91"/>
      <c r="AQ74" s="91"/>
      <c r="AR74" s="91"/>
      <c r="AS74" s="91"/>
      <c r="AT74" s="91"/>
      <c r="AU74" s="91"/>
      <c r="AV74" s="91"/>
      <c r="AW74" s="91"/>
      <c r="AX74" s="91"/>
      <c r="AY74" s="91"/>
      <c r="AZ74" s="91"/>
      <c r="BA74" s="91"/>
      <c r="BB74" s="91"/>
      <c r="BC74" s="91"/>
      <c r="BD74" s="91"/>
      <c r="BE74" s="91"/>
      <c r="BF74" s="91"/>
      <c r="BG74" s="91"/>
      <c r="BH74" s="91"/>
      <c r="BI74" s="91"/>
      <c r="BJ74" s="91"/>
      <c r="BK74" s="91"/>
      <c r="BL74" s="91"/>
      <c r="BM74" s="91"/>
      <c r="BN74" s="91"/>
      <c r="BO74" s="91"/>
      <c r="BP74" s="91"/>
      <c r="BQ74" s="91"/>
      <c r="BR74" s="91"/>
      <c r="BS74" s="91"/>
      <c r="BT74" s="91"/>
      <c r="BU74" s="91"/>
      <c r="BV74" s="91"/>
      <c r="BW74" s="91"/>
      <c r="BX74" s="91"/>
      <c r="BY74" s="91"/>
      <c r="BZ74" s="91"/>
      <c r="CA74" s="91"/>
      <c r="CB74" s="91"/>
      <c r="CC74" s="91"/>
      <c r="CD74" s="91"/>
      <c r="CE74" s="91"/>
      <c r="CF74" s="91"/>
      <c r="CG74" s="91"/>
      <c r="CH74" s="91"/>
      <c r="CI74" s="91"/>
      <c r="CJ74" s="91"/>
      <c r="CK74" s="91"/>
      <c r="CL74" s="91"/>
      <c r="CM74" s="91"/>
      <c r="CN74" s="91"/>
      <c r="CO74" s="91"/>
      <c r="CP74" s="91"/>
      <c r="CQ74" s="91"/>
      <c r="CR74" s="91"/>
      <c r="CS74" s="91"/>
      <c r="CT74" s="91"/>
      <c r="CU74" s="91"/>
      <c r="CV74" s="91"/>
      <c r="CW74" s="91"/>
      <c r="CX74" s="91"/>
      <c r="CY74" s="91"/>
      <c r="CZ74" s="91"/>
      <c r="DA74" s="91"/>
      <c r="DB74" s="91"/>
      <c r="DC74" s="91"/>
      <c r="DD74" s="91"/>
      <c r="DE74" s="91"/>
      <c r="DF74" s="91"/>
      <c r="DG74" s="91"/>
      <c r="DH74" s="91"/>
      <c r="DI74" s="91"/>
      <c r="DJ74" s="91"/>
      <c r="DK74" s="91"/>
      <c r="DL74" s="91"/>
      <c r="DM74" s="91"/>
      <c r="DN74" s="91"/>
      <c r="DO74" s="91"/>
      <c r="DP74" s="91"/>
      <c r="DQ74" s="91"/>
      <c r="DR74" s="91"/>
      <c r="DS74" s="91"/>
      <c r="DT74" s="91"/>
      <c r="DU74" s="91"/>
      <c r="DV74" s="91"/>
      <c r="DW74" s="91"/>
      <c r="DX74" s="91"/>
      <c r="DY74" s="91"/>
      <c r="DZ74" s="91"/>
      <c r="EA74" s="91"/>
      <c r="EB74" s="91"/>
      <c r="EC74" s="91"/>
      <c r="ED74" s="91"/>
      <c r="EE74" s="91"/>
      <c r="EF74" s="91"/>
      <c r="EG74" s="91"/>
      <c r="EH74" s="91"/>
      <c r="EI74" s="91"/>
      <c r="EJ74" s="91"/>
      <c r="EK74" s="91"/>
      <c r="EL74" s="91"/>
      <c r="EM74" s="91"/>
      <c r="EN74" s="91"/>
      <c r="EO74" s="91"/>
      <c r="EP74" s="91"/>
      <c r="EQ74" s="91"/>
      <c r="ER74" s="91"/>
      <c r="ES74" s="91"/>
      <c r="ET74" s="91"/>
      <c r="EU74" s="91"/>
      <c r="EV74" s="91"/>
      <c r="EW74" s="91"/>
      <c r="EX74" s="91"/>
      <c r="EY74" s="91"/>
      <c r="EZ74" s="91"/>
      <c r="FA74" s="91"/>
      <c r="FB74" s="91"/>
      <c r="FC74" s="91"/>
      <c r="FD74" s="91"/>
      <c r="FE74" s="91"/>
      <c r="FF74" s="91"/>
      <c r="FG74" s="91"/>
      <c r="FH74" s="91"/>
      <c r="FI74" s="91"/>
      <c r="FJ74" s="91"/>
      <c r="FK74" s="91"/>
      <c r="FL74" s="91"/>
      <c r="FM74" s="91"/>
      <c r="FN74" s="91"/>
      <c r="FO74" s="91"/>
      <c r="FP74" s="91"/>
      <c r="FQ74" s="91"/>
      <c r="FR74" s="91"/>
      <c r="FS74" s="91"/>
      <c r="FT74" s="91"/>
      <c r="FU74" s="91"/>
      <c r="FV74" s="91"/>
      <c r="FW74" s="91"/>
      <c r="FX74" s="91"/>
      <c r="FY74" s="91"/>
      <c r="FZ74" s="91"/>
      <c r="GA74" s="91"/>
      <c r="GB74" s="91"/>
      <c r="GC74" s="91"/>
      <c r="GD74" s="91"/>
      <c r="GE74" s="91"/>
      <c r="GF74" s="91"/>
      <c r="GG74" s="91"/>
      <c r="GH74" s="91"/>
      <c r="GI74" s="91"/>
      <c r="GJ74" s="91"/>
      <c r="GK74" s="91"/>
      <c r="GL74" s="91"/>
      <c r="GM74" s="91"/>
      <c r="GN74" s="91"/>
      <c r="GO74" s="91"/>
      <c r="GP74" s="91"/>
      <c r="GQ74" s="91"/>
      <c r="GR74" s="91"/>
      <c r="GS74" s="91"/>
      <c r="GT74" s="91"/>
      <c r="GU74" s="91"/>
      <c r="GV74" s="91"/>
      <c r="GW74" s="91"/>
      <c r="GX74" s="91"/>
      <c r="GY74" s="91"/>
      <c r="GZ74" s="91"/>
      <c r="HA74" s="91"/>
      <c r="HB74" s="91"/>
      <c r="HC74" s="91"/>
      <c r="HD74" s="91"/>
      <c r="HE74" s="91"/>
      <c r="HF74" s="91"/>
      <c r="HG74" s="91"/>
      <c r="HH74" s="91"/>
      <c r="HI74" s="91"/>
      <c r="HJ74" s="91"/>
      <c r="HK74" s="91"/>
      <c r="HL74" s="91"/>
      <c r="HM74" s="91"/>
      <c r="HN74" s="91"/>
      <c r="HO74" s="91"/>
      <c r="HP74" s="91"/>
      <c r="HQ74" s="91"/>
      <c r="HR74" s="91"/>
      <c r="HS74" s="91"/>
      <c r="HT74" s="91"/>
      <c r="HU74" s="91"/>
      <c r="HV74" s="91"/>
      <c r="HW74" s="91"/>
      <c r="HX74" s="91"/>
      <c r="HY74" s="91"/>
      <c r="HZ74" s="91"/>
      <c r="IA74" s="91"/>
      <c r="IB74" s="91"/>
      <c r="IC74" s="91"/>
      <c r="ID74" s="91"/>
      <c r="IE74" s="91"/>
      <c r="IF74" s="91"/>
      <c r="IG74" s="91"/>
      <c r="IH74" s="91"/>
      <c r="II74" s="91"/>
      <c r="IJ74" s="91"/>
      <c r="IK74" s="91"/>
      <c r="IL74" s="91"/>
      <c r="IM74" s="91"/>
      <c r="IN74" s="91"/>
      <c r="IO74" s="91"/>
    </row>
    <row r="75" spans="3:249" x14ac:dyDescent="0.2">
      <c r="C75" s="1"/>
      <c r="D75" s="134"/>
      <c r="E75" s="168" t="s">
        <v>77</v>
      </c>
      <c r="F75" s="172">
        <v>1620</v>
      </c>
      <c r="G75" s="172" t="s">
        <v>78</v>
      </c>
      <c r="H75" s="173" t="s">
        <v>79</v>
      </c>
      <c r="I75" s="173" t="s">
        <v>80</v>
      </c>
      <c r="J75" s="43"/>
      <c r="K75" s="1"/>
      <c r="L75" s="82"/>
      <c r="M75" s="82"/>
      <c r="N75" s="82"/>
      <c r="O75" s="91"/>
      <c r="P75" s="171"/>
      <c r="Q75" s="17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1"/>
      <c r="AF75" s="91"/>
      <c r="AG75" s="91"/>
      <c r="AH75" s="91"/>
      <c r="AI75" s="91"/>
      <c r="AJ75" s="91"/>
      <c r="AK75" s="91"/>
      <c r="AL75" s="91"/>
      <c r="AM75" s="91"/>
      <c r="AN75" s="91"/>
      <c r="AO75" s="91"/>
      <c r="AP75" s="91"/>
      <c r="AQ75" s="91"/>
      <c r="AR75" s="91"/>
      <c r="AS75" s="91"/>
      <c r="AT75" s="91"/>
      <c r="AU75" s="91"/>
      <c r="AV75" s="91"/>
      <c r="AW75" s="91"/>
      <c r="AX75" s="91"/>
      <c r="AY75" s="91"/>
      <c r="AZ75" s="91"/>
      <c r="BA75" s="91"/>
      <c r="BB75" s="91"/>
      <c r="BC75" s="91"/>
      <c r="BD75" s="91"/>
      <c r="BE75" s="91"/>
      <c r="BF75" s="91"/>
      <c r="BG75" s="91"/>
      <c r="BH75" s="91"/>
      <c r="BI75" s="91"/>
      <c r="BJ75" s="91"/>
      <c r="BK75" s="91"/>
      <c r="BL75" s="91"/>
      <c r="BM75" s="91"/>
      <c r="BN75" s="91"/>
      <c r="BO75" s="91"/>
      <c r="BP75" s="91"/>
      <c r="BQ75" s="91"/>
      <c r="BR75" s="91"/>
      <c r="BS75" s="91"/>
      <c r="BT75" s="91"/>
      <c r="BU75" s="91"/>
      <c r="BV75" s="91"/>
      <c r="BW75" s="91"/>
      <c r="BX75" s="91"/>
      <c r="BY75" s="91"/>
      <c r="BZ75" s="91"/>
      <c r="CA75" s="91"/>
      <c r="CB75" s="91"/>
      <c r="CC75" s="91"/>
      <c r="CD75" s="91"/>
      <c r="CE75" s="91"/>
      <c r="CF75" s="91"/>
      <c r="CG75" s="91"/>
      <c r="CH75" s="91"/>
      <c r="CI75" s="91"/>
      <c r="CJ75" s="91"/>
      <c r="CK75" s="91"/>
      <c r="CL75" s="91"/>
      <c r="CM75" s="91"/>
      <c r="CN75" s="91"/>
      <c r="CO75" s="91"/>
      <c r="CP75" s="91"/>
      <c r="CQ75" s="91"/>
      <c r="CR75" s="91"/>
      <c r="CS75" s="91"/>
      <c r="CT75" s="91"/>
      <c r="CU75" s="91"/>
      <c r="CV75" s="91"/>
      <c r="CW75" s="91"/>
      <c r="CX75" s="91"/>
      <c r="CY75" s="91"/>
      <c r="CZ75" s="91"/>
      <c r="DA75" s="91"/>
      <c r="DB75" s="91"/>
      <c r="DC75" s="91"/>
      <c r="DD75" s="91"/>
      <c r="DE75" s="91"/>
      <c r="DF75" s="91"/>
      <c r="DG75" s="91"/>
      <c r="DH75" s="91"/>
      <c r="DI75" s="91"/>
      <c r="DJ75" s="91"/>
      <c r="DK75" s="91"/>
      <c r="DL75" s="91"/>
      <c r="DM75" s="91"/>
      <c r="DN75" s="91"/>
      <c r="DO75" s="91"/>
      <c r="DP75" s="91"/>
      <c r="DQ75" s="91"/>
      <c r="DR75" s="91"/>
      <c r="DS75" s="91"/>
      <c r="DT75" s="91"/>
      <c r="DU75" s="91"/>
      <c r="DV75" s="91"/>
      <c r="DW75" s="91"/>
      <c r="DX75" s="91"/>
      <c r="DY75" s="91"/>
      <c r="DZ75" s="91"/>
      <c r="EA75" s="91"/>
      <c r="EB75" s="91"/>
      <c r="EC75" s="91"/>
      <c r="ED75" s="91"/>
      <c r="EE75" s="91"/>
      <c r="EF75" s="91"/>
      <c r="EG75" s="91"/>
      <c r="EH75" s="91"/>
      <c r="EI75" s="91"/>
      <c r="EJ75" s="91"/>
      <c r="EK75" s="91"/>
      <c r="EL75" s="91"/>
      <c r="EM75" s="91"/>
      <c r="EN75" s="91"/>
      <c r="EO75" s="91"/>
      <c r="EP75" s="91"/>
      <c r="EQ75" s="91"/>
      <c r="ER75" s="91"/>
      <c r="ES75" s="91"/>
      <c r="ET75" s="91"/>
      <c r="EU75" s="91"/>
      <c r="EV75" s="91"/>
      <c r="EW75" s="91"/>
      <c r="EX75" s="91"/>
      <c r="EY75" s="91"/>
      <c r="EZ75" s="91"/>
      <c r="FA75" s="91"/>
      <c r="FB75" s="91"/>
      <c r="FC75" s="91"/>
      <c r="FD75" s="91"/>
      <c r="FE75" s="91"/>
      <c r="FF75" s="91"/>
      <c r="FG75" s="91"/>
      <c r="FH75" s="91"/>
      <c r="FI75" s="91"/>
      <c r="FJ75" s="91"/>
      <c r="FK75" s="91"/>
      <c r="FL75" s="91"/>
      <c r="FM75" s="91"/>
      <c r="FN75" s="91"/>
      <c r="FO75" s="91"/>
      <c r="FP75" s="91"/>
      <c r="FQ75" s="91"/>
      <c r="FR75" s="91"/>
      <c r="FS75" s="91"/>
      <c r="FT75" s="91"/>
      <c r="FU75" s="91"/>
      <c r="FV75" s="91"/>
      <c r="FW75" s="91"/>
      <c r="FX75" s="91"/>
      <c r="FY75" s="91"/>
      <c r="FZ75" s="91"/>
      <c r="GA75" s="91"/>
      <c r="GB75" s="91"/>
      <c r="GC75" s="91"/>
      <c r="GD75" s="91"/>
      <c r="GE75" s="91"/>
      <c r="GF75" s="91"/>
      <c r="GG75" s="91"/>
      <c r="GH75" s="91"/>
      <c r="GI75" s="91"/>
      <c r="GJ75" s="91"/>
      <c r="GK75" s="91"/>
      <c r="GL75" s="91"/>
      <c r="GM75" s="91"/>
      <c r="GN75" s="91"/>
      <c r="GO75" s="91"/>
      <c r="GP75" s="91"/>
      <c r="GQ75" s="91"/>
      <c r="GR75" s="91"/>
      <c r="GS75" s="91"/>
      <c r="GT75" s="91"/>
      <c r="GU75" s="91"/>
      <c r="GV75" s="91"/>
      <c r="GW75" s="91"/>
      <c r="GX75" s="91"/>
      <c r="GY75" s="91"/>
      <c r="GZ75" s="91"/>
      <c r="HA75" s="91"/>
      <c r="HB75" s="91"/>
      <c r="HC75" s="91"/>
      <c r="HD75" s="91"/>
      <c r="HE75" s="91"/>
      <c r="HF75" s="91"/>
      <c r="HG75" s="91"/>
      <c r="HH75" s="91"/>
      <c r="HI75" s="91"/>
      <c r="HJ75" s="91"/>
      <c r="HK75" s="91"/>
      <c r="HL75" s="91"/>
      <c r="HM75" s="91"/>
      <c r="HN75" s="91"/>
      <c r="HO75" s="91"/>
      <c r="HP75" s="91"/>
      <c r="HQ75" s="91"/>
      <c r="HR75" s="91"/>
      <c r="HS75" s="91"/>
      <c r="HT75" s="91"/>
      <c r="HU75" s="91"/>
      <c r="HV75" s="91"/>
      <c r="HW75" s="91"/>
      <c r="HX75" s="91"/>
      <c r="HY75" s="91"/>
      <c r="HZ75" s="91"/>
      <c r="IA75" s="91"/>
      <c r="IB75" s="91"/>
      <c r="IC75" s="91"/>
      <c r="ID75" s="91"/>
      <c r="IE75" s="91"/>
      <c r="IF75" s="91"/>
      <c r="IG75" s="91"/>
      <c r="IH75" s="91"/>
      <c r="II75" s="91"/>
      <c r="IJ75" s="91"/>
      <c r="IK75" s="91"/>
      <c r="IL75" s="91"/>
      <c r="IM75" s="91"/>
      <c r="IN75" s="91"/>
      <c r="IO75" s="91"/>
    </row>
    <row r="76" spans="3:249" x14ac:dyDescent="0.2">
      <c r="C76" s="1"/>
      <c r="D76" s="134"/>
      <c r="E76" s="174" t="s">
        <v>81</v>
      </c>
      <c r="F76" s="175">
        <f>+'[1]Typical Conv.Operating Expenses'!BU91</f>
        <v>1202.8066978193146</v>
      </c>
      <c r="G76" s="176"/>
      <c r="H76" s="177">
        <f>+'[1]Typical Conv.Operating Expenses'!BX91</f>
        <v>426.08695652173913</v>
      </c>
      <c r="I76" s="178">
        <f>+'[1]Typical Conv.Operating Expenses'!BX92</f>
        <v>2195.3577235772359</v>
      </c>
      <c r="J76" s="43"/>
      <c r="K76" s="1"/>
      <c r="L76" s="82"/>
      <c r="M76" s="82"/>
      <c r="N76" s="82"/>
      <c r="O76" s="91"/>
      <c r="P76" s="171"/>
      <c r="Q76" s="17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  <c r="AM76" s="91"/>
      <c r="AN76" s="91"/>
      <c r="AO76" s="91"/>
      <c r="AP76" s="91"/>
      <c r="AQ76" s="91"/>
      <c r="AR76" s="91"/>
      <c r="AS76" s="91"/>
      <c r="AT76" s="91"/>
      <c r="AU76" s="91"/>
      <c r="AV76" s="91"/>
      <c r="AW76" s="91"/>
      <c r="AX76" s="91"/>
      <c r="AY76" s="91"/>
      <c r="AZ76" s="91"/>
      <c r="BA76" s="91"/>
      <c r="BB76" s="91"/>
      <c r="BC76" s="91"/>
      <c r="BD76" s="91"/>
      <c r="BE76" s="91"/>
      <c r="BF76" s="91"/>
      <c r="BG76" s="91"/>
      <c r="BH76" s="91"/>
      <c r="BI76" s="91"/>
      <c r="BJ76" s="91"/>
      <c r="BK76" s="91"/>
      <c r="BL76" s="91"/>
      <c r="BM76" s="91"/>
      <c r="BN76" s="91"/>
      <c r="BO76" s="91"/>
      <c r="BP76" s="91"/>
      <c r="BQ76" s="91"/>
      <c r="BR76" s="91"/>
      <c r="BS76" s="91"/>
      <c r="BT76" s="91"/>
      <c r="BU76" s="91"/>
      <c r="BV76" s="91"/>
      <c r="BW76" s="91"/>
      <c r="BX76" s="91"/>
      <c r="BY76" s="91"/>
      <c r="BZ76" s="91"/>
      <c r="CA76" s="91"/>
      <c r="CB76" s="91"/>
      <c r="CC76" s="91"/>
      <c r="CD76" s="91"/>
      <c r="CE76" s="91"/>
      <c r="CF76" s="91"/>
      <c r="CG76" s="91"/>
      <c r="CH76" s="91"/>
      <c r="CI76" s="91"/>
      <c r="CJ76" s="91"/>
      <c r="CK76" s="91"/>
      <c r="CL76" s="91"/>
      <c r="CM76" s="91"/>
      <c r="CN76" s="91"/>
      <c r="CO76" s="91"/>
      <c r="CP76" s="91"/>
      <c r="CQ76" s="91"/>
      <c r="CR76" s="91"/>
      <c r="CS76" s="91"/>
      <c r="CT76" s="91"/>
      <c r="CU76" s="91"/>
      <c r="CV76" s="91"/>
      <c r="CW76" s="91"/>
      <c r="CX76" s="91"/>
      <c r="CY76" s="91"/>
      <c r="CZ76" s="91"/>
      <c r="DA76" s="91"/>
      <c r="DB76" s="91"/>
      <c r="DC76" s="91"/>
      <c r="DD76" s="91"/>
      <c r="DE76" s="91"/>
      <c r="DF76" s="91"/>
      <c r="DG76" s="91"/>
      <c r="DH76" s="91"/>
      <c r="DI76" s="91"/>
      <c r="DJ76" s="91"/>
      <c r="DK76" s="91"/>
      <c r="DL76" s="91"/>
      <c r="DM76" s="91"/>
      <c r="DN76" s="91"/>
      <c r="DO76" s="91"/>
      <c r="DP76" s="91"/>
      <c r="DQ76" s="91"/>
      <c r="DR76" s="91"/>
      <c r="DS76" s="91"/>
      <c r="DT76" s="91"/>
      <c r="DU76" s="91"/>
      <c r="DV76" s="91"/>
      <c r="DW76" s="91"/>
      <c r="DX76" s="91"/>
      <c r="DY76" s="91"/>
      <c r="DZ76" s="91"/>
      <c r="EA76" s="91"/>
      <c r="EB76" s="91"/>
      <c r="EC76" s="91"/>
      <c r="ED76" s="91"/>
      <c r="EE76" s="91"/>
      <c r="EF76" s="91"/>
      <c r="EG76" s="91"/>
      <c r="EH76" s="91"/>
      <c r="EI76" s="91"/>
      <c r="EJ76" s="91"/>
      <c r="EK76" s="91"/>
      <c r="EL76" s="91"/>
      <c r="EM76" s="91"/>
      <c r="EN76" s="91"/>
      <c r="EO76" s="91"/>
      <c r="EP76" s="91"/>
      <c r="EQ76" s="91"/>
      <c r="ER76" s="91"/>
      <c r="ES76" s="91"/>
      <c r="ET76" s="91"/>
      <c r="EU76" s="91"/>
      <c r="EV76" s="91"/>
      <c r="EW76" s="91"/>
      <c r="EX76" s="91"/>
      <c r="EY76" s="91"/>
      <c r="EZ76" s="91"/>
      <c r="FA76" s="91"/>
      <c r="FB76" s="91"/>
      <c r="FC76" s="91"/>
      <c r="FD76" s="91"/>
      <c r="FE76" s="91"/>
      <c r="FF76" s="91"/>
      <c r="FG76" s="91"/>
      <c r="FH76" s="91"/>
      <c r="FI76" s="91"/>
      <c r="FJ76" s="91"/>
      <c r="FK76" s="91"/>
      <c r="FL76" s="91"/>
      <c r="FM76" s="91"/>
      <c r="FN76" s="91"/>
      <c r="FO76" s="91"/>
      <c r="FP76" s="91"/>
      <c r="FQ76" s="91"/>
      <c r="FR76" s="91"/>
      <c r="FS76" s="91"/>
      <c r="FT76" s="91"/>
      <c r="FU76" s="91"/>
      <c r="FV76" s="91"/>
      <c r="FW76" s="91"/>
      <c r="FX76" s="91"/>
      <c r="FY76" s="91"/>
      <c r="FZ76" s="91"/>
      <c r="GA76" s="91"/>
      <c r="GB76" s="91"/>
      <c r="GC76" s="91"/>
      <c r="GD76" s="91"/>
      <c r="GE76" s="91"/>
      <c r="GF76" s="91"/>
      <c r="GG76" s="91"/>
      <c r="GH76" s="91"/>
      <c r="GI76" s="91"/>
      <c r="GJ76" s="91"/>
      <c r="GK76" s="91"/>
      <c r="GL76" s="91"/>
      <c r="GM76" s="91"/>
      <c r="GN76" s="91"/>
      <c r="GO76" s="91"/>
      <c r="GP76" s="91"/>
      <c r="GQ76" s="91"/>
      <c r="GR76" s="91"/>
      <c r="GS76" s="91"/>
      <c r="GT76" s="91"/>
      <c r="GU76" s="91"/>
      <c r="GV76" s="91"/>
      <c r="GW76" s="91"/>
      <c r="GX76" s="91"/>
      <c r="GY76" s="91"/>
      <c r="GZ76" s="91"/>
      <c r="HA76" s="91"/>
      <c r="HB76" s="91"/>
      <c r="HC76" s="91"/>
      <c r="HD76" s="91"/>
      <c r="HE76" s="91"/>
      <c r="HF76" s="91"/>
      <c r="HG76" s="91"/>
      <c r="HH76" s="91"/>
      <c r="HI76" s="91"/>
      <c r="HJ76" s="91"/>
      <c r="HK76" s="91"/>
      <c r="HL76" s="91"/>
      <c r="HM76" s="91"/>
      <c r="HN76" s="91"/>
      <c r="HO76" s="91"/>
      <c r="HP76" s="91"/>
      <c r="HQ76" s="91"/>
      <c r="HR76" s="91"/>
      <c r="HS76" s="91"/>
      <c r="HT76" s="91"/>
      <c r="HU76" s="91"/>
      <c r="HV76" s="91"/>
      <c r="HW76" s="91"/>
      <c r="HX76" s="91"/>
      <c r="HY76" s="91"/>
      <c r="HZ76" s="91"/>
      <c r="IA76" s="91"/>
      <c r="IB76" s="91"/>
      <c r="IC76" s="91"/>
      <c r="ID76" s="91"/>
      <c r="IE76" s="91"/>
      <c r="IF76" s="91"/>
      <c r="IG76" s="91"/>
      <c r="IH76" s="91"/>
      <c r="II76" s="91"/>
      <c r="IJ76" s="91"/>
      <c r="IK76" s="91"/>
      <c r="IL76" s="91"/>
      <c r="IM76" s="91"/>
      <c r="IN76" s="91"/>
      <c r="IO76" s="91"/>
    </row>
    <row r="77" spans="3:249" x14ac:dyDescent="0.2">
      <c r="C77" s="1"/>
      <c r="D77" s="134"/>
      <c r="E77" s="174"/>
      <c r="F77" s="179"/>
      <c r="G77" s="179"/>
      <c r="H77" s="180"/>
      <c r="I77" s="179"/>
      <c r="J77" s="43"/>
      <c r="K77" s="1"/>
      <c r="L77" s="82"/>
      <c r="M77" s="82"/>
      <c r="N77" s="82"/>
      <c r="O77" s="91"/>
      <c r="P77" s="171"/>
      <c r="Q77" s="17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91"/>
      <c r="AG77" s="91"/>
      <c r="AH77" s="91"/>
      <c r="AI77" s="91"/>
      <c r="AJ77" s="91"/>
      <c r="AK77" s="91"/>
      <c r="AL77" s="91"/>
      <c r="AM77" s="91"/>
      <c r="AN77" s="91"/>
      <c r="AO77" s="91"/>
      <c r="AP77" s="91"/>
      <c r="AQ77" s="91"/>
      <c r="AR77" s="91"/>
      <c r="AS77" s="91"/>
      <c r="AT77" s="91"/>
      <c r="AU77" s="91"/>
      <c r="AV77" s="91"/>
      <c r="AW77" s="91"/>
      <c r="AX77" s="91"/>
      <c r="AY77" s="91"/>
      <c r="AZ77" s="91"/>
      <c r="BA77" s="91"/>
      <c r="BB77" s="91"/>
      <c r="BC77" s="91"/>
      <c r="BD77" s="91"/>
      <c r="BE77" s="91"/>
      <c r="BF77" s="91"/>
      <c r="BG77" s="91"/>
      <c r="BH77" s="91"/>
      <c r="BI77" s="91"/>
      <c r="BJ77" s="91"/>
      <c r="BK77" s="91"/>
      <c r="BL77" s="91"/>
      <c r="BM77" s="91"/>
      <c r="BN77" s="91"/>
      <c r="BO77" s="91"/>
      <c r="BP77" s="91"/>
      <c r="BQ77" s="91"/>
      <c r="BR77" s="91"/>
      <c r="BS77" s="91"/>
      <c r="BT77" s="91"/>
      <c r="BU77" s="91"/>
      <c r="BV77" s="91"/>
      <c r="BW77" s="91"/>
      <c r="BX77" s="91"/>
      <c r="BY77" s="91"/>
      <c r="BZ77" s="91"/>
      <c r="CA77" s="91"/>
      <c r="CB77" s="91"/>
      <c r="CC77" s="91"/>
      <c r="CD77" s="91"/>
      <c r="CE77" s="91"/>
      <c r="CF77" s="91"/>
      <c r="CG77" s="91"/>
      <c r="CH77" s="91"/>
      <c r="CI77" s="91"/>
      <c r="CJ77" s="91"/>
      <c r="CK77" s="91"/>
      <c r="CL77" s="91"/>
      <c r="CM77" s="91"/>
      <c r="CN77" s="91"/>
      <c r="CO77" s="91"/>
      <c r="CP77" s="91"/>
      <c r="CQ77" s="91"/>
      <c r="CR77" s="91"/>
      <c r="CS77" s="91"/>
      <c r="CT77" s="91"/>
      <c r="CU77" s="91"/>
      <c r="CV77" s="91"/>
      <c r="CW77" s="91"/>
      <c r="CX77" s="91"/>
      <c r="CY77" s="91"/>
      <c r="CZ77" s="91"/>
      <c r="DA77" s="91"/>
      <c r="DB77" s="91"/>
      <c r="DC77" s="91"/>
      <c r="DD77" s="91"/>
      <c r="DE77" s="91"/>
      <c r="DF77" s="91"/>
      <c r="DG77" s="91"/>
      <c r="DH77" s="91"/>
      <c r="DI77" s="91"/>
      <c r="DJ77" s="91"/>
      <c r="DK77" s="91"/>
      <c r="DL77" s="91"/>
      <c r="DM77" s="91"/>
      <c r="DN77" s="91"/>
      <c r="DO77" s="91"/>
      <c r="DP77" s="91"/>
      <c r="DQ77" s="91"/>
      <c r="DR77" s="91"/>
      <c r="DS77" s="91"/>
      <c r="DT77" s="91"/>
      <c r="DU77" s="91"/>
      <c r="DV77" s="91"/>
      <c r="DW77" s="91"/>
      <c r="DX77" s="91"/>
      <c r="DY77" s="91"/>
      <c r="DZ77" s="91"/>
      <c r="EA77" s="91"/>
      <c r="EB77" s="91"/>
      <c r="EC77" s="91"/>
      <c r="ED77" s="91"/>
      <c r="EE77" s="91"/>
      <c r="EF77" s="91"/>
      <c r="EG77" s="91"/>
      <c r="EH77" s="91"/>
      <c r="EI77" s="91"/>
      <c r="EJ77" s="91"/>
      <c r="EK77" s="91"/>
      <c r="EL77" s="91"/>
      <c r="EM77" s="91"/>
      <c r="EN77" s="91"/>
      <c r="EO77" s="91"/>
      <c r="EP77" s="91"/>
      <c r="EQ77" s="91"/>
      <c r="ER77" s="91"/>
      <c r="ES77" s="91"/>
      <c r="ET77" s="91"/>
      <c r="EU77" s="91"/>
      <c r="EV77" s="91"/>
      <c r="EW77" s="91"/>
      <c r="EX77" s="91"/>
      <c r="EY77" s="91"/>
      <c r="EZ77" s="91"/>
      <c r="FA77" s="91"/>
      <c r="FB77" s="91"/>
      <c r="FC77" s="91"/>
      <c r="FD77" s="91"/>
      <c r="FE77" s="91"/>
      <c r="FF77" s="91"/>
      <c r="FG77" s="91"/>
      <c r="FH77" s="91"/>
      <c r="FI77" s="91"/>
      <c r="FJ77" s="91"/>
      <c r="FK77" s="91"/>
      <c r="FL77" s="91"/>
      <c r="FM77" s="91"/>
      <c r="FN77" s="91"/>
      <c r="FO77" s="91"/>
      <c r="FP77" s="91"/>
      <c r="FQ77" s="91"/>
      <c r="FR77" s="91"/>
      <c r="FS77" s="91"/>
      <c r="FT77" s="91"/>
      <c r="FU77" s="91"/>
      <c r="FV77" s="91"/>
      <c r="FW77" s="91"/>
      <c r="FX77" s="91"/>
      <c r="FY77" s="91"/>
      <c r="FZ77" s="91"/>
      <c r="GA77" s="91"/>
      <c r="GB77" s="91"/>
      <c r="GC77" s="91"/>
      <c r="GD77" s="91"/>
      <c r="GE77" s="91"/>
      <c r="GF77" s="91"/>
      <c r="GG77" s="91"/>
      <c r="GH77" s="91"/>
      <c r="GI77" s="91"/>
      <c r="GJ77" s="91"/>
      <c r="GK77" s="91"/>
      <c r="GL77" s="91"/>
      <c r="GM77" s="91"/>
      <c r="GN77" s="91"/>
      <c r="GO77" s="91"/>
      <c r="GP77" s="91"/>
      <c r="GQ77" s="91"/>
      <c r="GR77" s="91"/>
      <c r="GS77" s="91"/>
      <c r="GT77" s="91"/>
      <c r="GU77" s="91"/>
      <c r="GV77" s="91"/>
      <c r="GW77" s="91"/>
      <c r="GX77" s="91"/>
      <c r="GY77" s="91"/>
      <c r="GZ77" s="91"/>
      <c r="HA77" s="91"/>
      <c r="HB77" s="91"/>
      <c r="HC77" s="91"/>
      <c r="HD77" s="91"/>
      <c r="HE77" s="91"/>
      <c r="HF77" s="91"/>
      <c r="HG77" s="91"/>
      <c r="HH77" s="91"/>
      <c r="HI77" s="91"/>
      <c r="HJ77" s="91"/>
      <c r="HK77" s="91"/>
      <c r="HL77" s="91"/>
      <c r="HM77" s="91"/>
      <c r="HN77" s="91"/>
      <c r="HO77" s="91"/>
      <c r="HP77" s="91"/>
      <c r="HQ77" s="91"/>
      <c r="HR77" s="91"/>
      <c r="HS77" s="91"/>
      <c r="HT77" s="91"/>
      <c r="HU77" s="91"/>
      <c r="HV77" s="91"/>
      <c r="HW77" s="91"/>
      <c r="HX77" s="91"/>
      <c r="HY77" s="91"/>
      <c r="HZ77" s="91"/>
      <c r="IA77" s="91"/>
      <c r="IB77" s="91"/>
      <c r="IC77" s="91"/>
      <c r="ID77" s="91"/>
      <c r="IE77" s="91"/>
      <c r="IF77" s="91"/>
      <c r="IG77" s="91"/>
      <c r="IH77" s="91"/>
      <c r="II77" s="91"/>
      <c r="IJ77" s="91"/>
      <c r="IK77" s="91"/>
      <c r="IL77" s="91"/>
      <c r="IM77" s="91"/>
      <c r="IN77" s="91"/>
      <c r="IO77" s="91"/>
    </row>
    <row r="78" spans="3:249" x14ac:dyDescent="0.2">
      <c r="C78" s="1"/>
      <c r="D78" s="134"/>
      <c r="E78" s="174"/>
      <c r="F78" s="181"/>
      <c r="G78" s="181"/>
      <c r="H78" s="181"/>
      <c r="I78" s="181"/>
      <c r="J78" s="182"/>
      <c r="K78" s="1"/>
      <c r="L78" s="82"/>
      <c r="M78" s="82"/>
      <c r="N78" s="82"/>
      <c r="O78" s="91"/>
      <c r="P78" s="91"/>
      <c r="Q78" s="183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91"/>
      <c r="AG78" s="91"/>
      <c r="AH78" s="91"/>
      <c r="AI78" s="91"/>
      <c r="AJ78" s="91"/>
      <c r="AK78" s="91"/>
      <c r="AL78" s="91"/>
      <c r="AM78" s="91"/>
      <c r="AN78" s="91"/>
      <c r="AO78" s="91"/>
      <c r="AP78" s="91"/>
      <c r="AQ78" s="91"/>
      <c r="AR78" s="91"/>
      <c r="AS78" s="91"/>
      <c r="AT78" s="91"/>
      <c r="AU78" s="91"/>
      <c r="AV78" s="91"/>
      <c r="AW78" s="91"/>
      <c r="AX78" s="91"/>
      <c r="AY78" s="91"/>
      <c r="AZ78" s="91"/>
      <c r="BA78" s="91"/>
      <c r="BB78" s="91"/>
      <c r="BC78" s="91"/>
      <c r="BD78" s="91"/>
      <c r="BE78" s="91"/>
      <c r="BF78" s="91"/>
      <c r="BG78" s="91"/>
      <c r="BH78" s="91"/>
      <c r="BI78" s="91"/>
      <c r="BJ78" s="91"/>
      <c r="BK78" s="91"/>
      <c r="BL78" s="91"/>
      <c r="BM78" s="91"/>
      <c r="BN78" s="91"/>
      <c r="BO78" s="91"/>
      <c r="BP78" s="91"/>
      <c r="BQ78" s="91"/>
      <c r="BR78" s="91"/>
      <c r="BS78" s="91"/>
      <c r="BT78" s="91"/>
      <c r="BU78" s="91"/>
      <c r="BV78" s="91"/>
      <c r="BW78" s="91"/>
      <c r="BX78" s="91"/>
      <c r="BY78" s="91"/>
      <c r="BZ78" s="91"/>
      <c r="CA78" s="91"/>
      <c r="CB78" s="91"/>
      <c r="CC78" s="91"/>
      <c r="CD78" s="91"/>
      <c r="CE78" s="91"/>
      <c r="CF78" s="91"/>
      <c r="CG78" s="91"/>
      <c r="CH78" s="91"/>
      <c r="CI78" s="91"/>
      <c r="CJ78" s="91"/>
      <c r="CK78" s="91"/>
      <c r="CL78" s="91"/>
      <c r="CM78" s="91"/>
      <c r="CN78" s="91"/>
      <c r="CO78" s="91"/>
      <c r="CP78" s="91"/>
      <c r="CQ78" s="91"/>
      <c r="CR78" s="91"/>
      <c r="CS78" s="91"/>
      <c r="CT78" s="91"/>
      <c r="CU78" s="91"/>
      <c r="CV78" s="91"/>
      <c r="CW78" s="91"/>
      <c r="CX78" s="91"/>
      <c r="CY78" s="91"/>
      <c r="CZ78" s="91"/>
      <c r="DA78" s="91"/>
      <c r="DB78" s="91"/>
      <c r="DC78" s="91"/>
      <c r="DD78" s="91"/>
      <c r="DE78" s="91"/>
      <c r="DF78" s="91"/>
      <c r="DG78" s="91"/>
      <c r="DH78" s="91"/>
      <c r="DI78" s="91"/>
      <c r="DJ78" s="91"/>
      <c r="DK78" s="91"/>
      <c r="DL78" s="91"/>
      <c r="DM78" s="91"/>
      <c r="DN78" s="91"/>
      <c r="DO78" s="91"/>
      <c r="DP78" s="91"/>
      <c r="DQ78" s="91"/>
      <c r="DR78" s="91"/>
      <c r="DS78" s="91"/>
      <c r="DT78" s="91"/>
      <c r="DU78" s="91"/>
      <c r="DV78" s="91"/>
      <c r="DW78" s="91"/>
      <c r="DX78" s="91"/>
      <c r="DY78" s="91"/>
      <c r="DZ78" s="91"/>
      <c r="EA78" s="91"/>
      <c r="EB78" s="91"/>
      <c r="EC78" s="91"/>
      <c r="ED78" s="91"/>
      <c r="EE78" s="91"/>
      <c r="EF78" s="91"/>
      <c r="EG78" s="91"/>
      <c r="EH78" s="91"/>
      <c r="EI78" s="91"/>
      <c r="EJ78" s="91"/>
      <c r="EK78" s="91"/>
      <c r="EL78" s="91"/>
      <c r="EM78" s="91"/>
      <c r="EN78" s="91"/>
      <c r="EO78" s="91"/>
      <c r="EP78" s="91"/>
      <c r="EQ78" s="91"/>
      <c r="ER78" s="91"/>
      <c r="ES78" s="91"/>
      <c r="ET78" s="91"/>
      <c r="EU78" s="91"/>
      <c r="EV78" s="91"/>
      <c r="EW78" s="91"/>
      <c r="EX78" s="91"/>
      <c r="EY78" s="91"/>
      <c r="EZ78" s="91"/>
      <c r="FA78" s="91"/>
      <c r="FB78" s="91"/>
      <c r="FC78" s="91"/>
      <c r="FD78" s="91"/>
      <c r="FE78" s="91"/>
      <c r="FF78" s="91"/>
      <c r="FG78" s="91"/>
      <c r="FH78" s="91"/>
      <c r="FI78" s="91"/>
      <c r="FJ78" s="91"/>
      <c r="FK78" s="91"/>
      <c r="FL78" s="91"/>
      <c r="FM78" s="91"/>
      <c r="FN78" s="91"/>
      <c r="FO78" s="91"/>
      <c r="FP78" s="91"/>
      <c r="FQ78" s="91"/>
      <c r="FR78" s="91"/>
      <c r="FS78" s="91"/>
      <c r="FT78" s="91"/>
      <c r="FU78" s="91"/>
      <c r="FV78" s="91"/>
      <c r="FW78" s="91"/>
      <c r="FX78" s="91"/>
      <c r="FY78" s="91"/>
      <c r="FZ78" s="91"/>
      <c r="GA78" s="91"/>
      <c r="GB78" s="91"/>
      <c r="GC78" s="91"/>
      <c r="GD78" s="91"/>
      <c r="GE78" s="91"/>
      <c r="GF78" s="91"/>
      <c r="GG78" s="91"/>
      <c r="GH78" s="91"/>
      <c r="GI78" s="91"/>
      <c r="GJ78" s="91"/>
      <c r="GK78" s="91"/>
      <c r="GL78" s="91"/>
      <c r="GM78" s="91"/>
      <c r="GN78" s="91"/>
      <c r="GO78" s="91"/>
      <c r="GP78" s="91"/>
      <c r="GQ78" s="91"/>
      <c r="GR78" s="91"/>
      <c r="GS78" s="91"/>
      <c r="GT78" s="91"/>
      <c r="GU78" s="91"/>
      <c r="GV78" s="91"/>
      <c r="GW78" s="91"/>
      <c r="GX78" s="91"/>
      <c r="GY78" s="91"/>
      <c r="GZ78" s="91"/>
      <c r="HA78" s="91"/>
      <c r="HB78" s="91"/>
      <c r="HC78" s="91"/>
      <c r="HD78" s="91"/>
      <c r="HE78" s="91"/>
      <c r="HF78" s="91"/>
      <c r="HG78" s="91"/>
      <c r="HH78" s="91"/>
      <c r="HI78" s="91"/>
      <c r="HJ78" s="91"/>
      <c r="HK78" s="91"/>
      <c r="HL78" s="91"/>
      <c r="HM78" s="91"/>
      <c r="HN78" s="91"/>
      <c r="HO78" s="91"/>
      <c r="HP78" s="91"/>
      <c r="HQ78" s="91"/>
      <c r="HR78" s="91"/>
      <c r="HS78" s="91"/>
      <c r="HT78" s="91"/>
      <c r="HU78" s="91"/>
      <c r="HV78" s="91"/>
      <c r="HW78" s="91"/>
      <c r="HX78" s="91"/>
      <c r="HY78" s="91"/>
      <c r="HZ78" s="91"/>
      <c r="IA78" s="91"/>
      <c r="IB78" s="91"/>
      <c r="IC78" s="91"/>
      <c r="ID78" s="91"/>
      <c r="IE78" s="91"/>
      <c r="IF78" s="91"/>
      <c r="IG78" s="91"/>
      <c r="IH78" s="91"/>
      <c r="II78" s="91"/>
      <c r="IJ78" s="91"/>
      <c r="IK78" s="91"/>
      <c r="IL78" s="91"/>
      <c r="IM78" s="91"/>
      <c r="IN78" s="91"/>
      <c r="IO78" s="91"/>
    </row>
    <row r="79" spans="3:249" x14ac:dyDescent="0.2">
      <c r="C79" s="1"/>
      <c r="D79" s="134"/>
      <c r="E79" s="184" t="s">
        <v>82</v>
      </c>
      <c r="F79" s="185">
        <v>11</v>
      </c>
      <c r="G79" s="186" t="s">
        <v>83</v>
      </c>
      <c r="H79" s="187">
        <f>ROUND(+F80/F12,-1)</f>
        <v>1130</v>
      </c>
      <c r="I79" s="188" t="s">
        <v>84</v>
      </c>
      <c r="J79" s="182"/>
      <c r="K79" s="1"/>
      <c r="L79" s="82"/>
      <c r="M79" s="82"/>
      <c r="N79" s="82"/>
      <c r="O79" s="91"/>
      <c r="P79" s="91"/>
      <c r="Q79" s="183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  <c r="AC79" s="91"/>
      <c r="AD79" s="91"/>
      <c r="AE79" s="91"/>
      <c r="AF79" s="91"/>
      <c r="AG79" s="91"/>
      <c r="AH79" s="91"/>
      <c r="AI79" s="91"/>
      <c r="AJ79" s="91"/>
      <c r="AK79" s="91"/>
      <c r="AL79" s="91"/>
      <c r="AM79" s="91"/>
      <c r="AN79" s="91"/>
      <c r="AO79" s="91"/>
      <c r="AP79" s="91"/>
      <c r="AQ79" s="91"/>
      <c r="AR79" s="91"/>
      <c r="AS79" s="91"/>
      <c r="AT79" s="91"/>
      <c r="AU79" s="91"/>
      <c r="AV79" s="91"/>
      <c r="AW79" s="91"/>
      <c r="AX79" s="91"/>
      <c r="AY79" s="91"/>
      <c r="AZ79" s="91"/>
      <c r="BA79" s="91"/>
      <c r="BB79" s="91"/>
      <c r="BC79" s="91"/>
      <c r="BD79" s="91"/>
      <c r="BE79" s="91"/>
      <c r="BF79" s="91"/>
      <c r="BG79" s="91"/>
      <c r="BH79" s="91"/>
      <c r="BI79" s="91"/>
      <c r="BJ79" s="91"/>
      <c r="BK79" s="91"/>
      <c r="BL79" s="91"/>
      <c r="BM79" s="91"/>
      <c r="BN79" s="91"/>
      <c r="BO79" s="91"/>
      <c r="BP79" s="91"/>
      <c r="BQ79" s="91"/>
      <c r="BR79" s="91"/>
      <c r="BS79" s="91"/>
      <c r="BT79" s="91"/>
      <c r="BU79" s="91"/>
      <c r="BV79" s="91"/>
      <c r="BW79" s="91"/>
      <c r="BX79" s="91"/>
      <c r="BY79" s="91"/>
      <c r="BZ79" s="91"/>
      <c r="CA79" s="91"/>
      <c r="CB79" s="91"/>
      <c r="CC79" s="91"/>
      <c r="CD79" s="91"/>
      <c r="CE79" s="91"/>
      <c r="CF79" s="91"/>
      <c r="CG79" s="91"/>
      <c r="CH79" s="91"/>
      <c r="CI79" s="91"/>
      <c r="CJ79" s="91"/>
      <c r="CK79" s="91"/>
      <c r="CL79" s="91"/>
      <c r="CM79" s="91"/>
      <c r="CN79" s="91"/>
      <c r="CO79" s="91"/>
      <c r="CP79" s="91"/>
      <c r="CQ79" s="91"/>
      <c r="CR79" s="91"/>
      <c r="CS79" s="91"/>
      <c r="CT79" s="91"/>
      <c r="CU79" s="91"/>
      <c r="CV79" s="91"/>
      <c r="CW79" s="91"/>
      <c r="CX79" s="91"/>
      <c r="CY79" s="91"/>
      <c r="CZ79" s="91"/>
      <c r="DA79" s="91"/>
      <c r="DB79" s="91"/>
      <c r="DC79" s="91"/>
      <c r="DD79" s="91"/>
      <c r="DE79" s="91"/>
      <c r="DF79" s="91"/>
      <c r="DG79" s="91"/>
      <c r="DH79" s="91"/>
      <c r="DI79" s="91"/>
      <c r="DJ79" s="91"/>
      <c r="DK79" s="91"/>
      <c r="DL79" s="91"/>
      <c r="DM79" s="91"/>
      <c r="DN79" s="91"/>
      <c r="DO79" s="91"/>
      <c r="DP79" s="91"/>
      <c r="DQ79" s="91"/>
      <c r="DR79" s="91"/>
      <c r="DS79" s="91"/>
      <c r="DT79" s="91"/>
      <c r="DU79" s="91"/>
      <c r="DV79" s="91"/>
      <c r="DW79" s="91"/>
      <c r="DX79" s="91"/>
      <c r="DY79" s="91"/>
      <c r="DZ79" s="91"/>
      <c r="EA79" s="91"/>
      <c r="EB79" s="91"/>
      <c r="EC79" s="91"/>
      <c r="ED79" s="91"/>
      <c r="EE79" s="91"/>
      <c r="EF79" s="91"/>
      <c r="EG79" s="91"/>
      <c r="EH79" s="91"/>
      <c r="EI79" s="91"/>
      <c r="EJ79" s="91"/>
      <c r="EK79" s="91"/>
      <c r="EL79" s="91"/>
      <c r="EM79" s="91"/>
      <c r="EN79" s="91"/>
      <c r="EO79" s="91"/>
      <c r="EP79" s="91"/>
      <c r="EQ79" s="91"/>
      <c r="ER79" s="91"/>
      <c r="ES79" s="91"/>
      <c r="ET79" s="91"/>
      <c r="EU79" s="91"/>
      <c r="EV79" s="91"/>
      <c r="EW79" s="91"/>
      <c r="EX79" s="91"/>
      <c r="EY79" s="91"/>
      <c r="EZ79" s="91"/>
      <c r="FA79" s="91"/>
      <c r="FB79" s="91"/>
      <c r="FC79" s="91"/>
      <c r="FD79" s="91"/>
      <c r="FE79" s="91"/>
      <c r="FF79" s="91"/>
      <c r="FG79" s="91"/>
      <c r="FH79" s="91"/>
      <c r="FI79" s="91"/>
      <c r="FJ79" s="91"/>
      <c r="FK79" s="91"/>
      <c r="FL79" s="91"/>
      <c r="FM79" s="91"/>
      <c r="FN79" s="91"/>
      <c r="FO79" s="91"/>
      <c r="FP79" s="91"/>
      <c r="FQ79" s="91"/>
      <c r="FR79" s="91"/>
      <c r="FS79" s="91"/>
      <c r="FT79" s="91"/>
      <c r="FU79" s="91"/>
      <c r="FV79" s="91"/>
      <c r="FW79" s="91"/>
      <c r="FX79" s="91"/>
      <c r="FY79" s="91"/>
      <c r="FZ79" s="91"/>
      <c r="GA79" s="91"/>
      <c r="GB79" s="91"/>
      <c r="GC79" s="91"/>
      <c r="GD79" s="91"/>
      <c r="GE79" s="91"/>
      <c r="GF79" s="91"/>
      <c r="GG79" s="91"/>
      <c r="GH79" s="91"/>
      <c r="GI79" s="91"/>
      <c r="GJ79" s="91"/>
      <c r="GK79" s="91"/>
      <c r="GL79" s="91"/>
      <c r="GM79" s="91"/>
      <c r="GN79" s="91"/>
      <c r="GO79" s="91"/>
      <c r="GP79" s="91"/>
      <c r="GQ79" s="91"/>
      <c r="GR79" s="91"/>
      <c r="GS79" s="91"/>
      <c r="GT79" s="91"/>
      <c r="GU79" s="91"/>
      <c r="GV79" s="91"/>
      <c r="GW79" s="91"/>
      <c r="GX79" s="91"/>
      <c r="GY79" s="91"/>
      <c r="GZ79" s="91"/>
      <c r="HA79" s="91"/>
      <c r="HB79" s="91"/>
      <c r="HC79" s="91"/>
      <c r="HD79" s="91"/>
      <c r="HE79" s="91"/>
      <c r="HF79" s="91"/>
      <c r="HG79" s="91"/>
      <c r="HH79" s="91"/>
      <c r="HI79" s="91"/>
      <c r="HJ79" s="91"/>
      <c r="HK79" s="91"/>
      <c r="HL79" s="91"/>
      <c r="HM79" s="91"/>
      <c r="HN79" s="91"/>
      <c r="HO79" s="91"/>
      <c r="HP79" s="91"/>
      <c r="HQ79" s="91"/>
      <c r="HR79" s="91"/>
      <c r="HS79" s="91"/>
      <c r="HT79" s="91"/>
      <c r="HU79" s="91"/>
      <c r="HV79" s="91"/>
      <c r="HW79" s="91"/>
      <c r="HX79" s="91"/>
      <c r="HY79" s="91"/>
      <c r="HZ79" s="91"/>
      <c r="IA79" s="91"/>
      <c r="IB79" s="91"/>
      <c r="IC79" s="91"/>
      <c r="ID79" s="91"/>
      <c r="IE79" s="91"/>
      <c r="IF79" s="91"/>
      <c r="IG79" s="91"/>
      <c r="IH79" s="91"/>
      <c r="II79" s="91"/>
      <c r="IJ79" s="91"/>
      <c r="IK79" s="91"/>
      <c r="IL79" s="91"/>
      <c r="IM79" s="91"/>
      <c r="IN79" s="91"/>
      <c r="IO79" s="91"/>
    </row>
    <row r="80" spans="3:249" x14ac:dyDescent="0.2">
      <c r="C80" s="1"/>
      <c r="D80" s="134"/>
      <c r="E80" s="174"/>
      <c r="F80" s="189">
        <f>+F79*F64</f>
        <v>192420.80000000005</v>
      </c>
      <c r="G80" s="190" t="s">
        <v>85</v>
      </c>
      <c r="H80" s="191">
        <f>+H79*F12</f>
        <v>192100</v>
      </c>
      <c r="I80" s="181"/>
      <c r="J80" s="182"/>
      <c r="K80" s="1"/>
      <c r="L80" s="82"/>
      <c r="M80" s="82"/>
      <c r="N80" s="82"/>
      <c r="O80" s="91"/>
      <c r="P80" s="91"/>
      <c r="Q80" s="183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  <c r="AE80" s="91"/>
      <c r="AF80" s="91"/>
      <c r="AG80" s="91"/>
      <c r="AH80" s="91"/>
      <c r="AI80" s="91"/>
      <c r="AJ80" s="91"/>
      <c r="AK80" s="91"/>
      <c r="AL80" s="91"/>
      <c r="AM80" s="91"/>
      <c r="AN80" s="91"/>
      <c r="AO80" s="91"/>
      <c r="AP80" s="91"/>
      <c r="AQ80" s="91"/>
      <c r="AR80" s="91"/>
      <c r="AS80" s="91"/>
      <c r="AT80" s="91"/>
      <c r="AU80" s="91"/>
      <c r="AV80" s="91"/>
      <c r="AW80" s="91"/>
      <c r="AX80" s="91"/>
      <c r="AY80" s="91"/>
      <c r="AZ80" s="91"/>
      <c r="BA80" s="91"/>
      <c r="BB80" s="91"/>
      <c r="BC80" s="91"/>
      <c r="BD80" s="91"/>
      <c r="BE80" s="91"/>
      <c r="BF80" s="91"/>
      <c r="BG80" s="91"/>
      <c r="BH80" s="91"/>
      <c r="BI80" s="91"/>
      <c r="BJ80" s="91"/>
      <c r="BK80" s="91"/>
      <c r="BL80" s="91"/>
      <c r="BM80" s="91"/>
      <c r="BN80" s="91"/>
      <c r="BO80" s="91"/>
      <c r="BP80" s="91"/>
      <c r="BQ80" s="91"/>
      <c r="BR80" s="91"/>
      <c r="BS80" s="91"/>
      <c r="BT80" s="91"/>
      <c r="BU80" s="91"/>
      <c r="BV80" s="91"/>
      <c r="BW80" s="91"/>
      <c r="BX80" s="91"/>
      <c r="BY80" s="91"/>
      <c r="BZ80" s="91"/>
      <c r="CA80" s="91"/>
      <c r="CB80" s="91"/>
      <c r="CC80" s="91"/>
      <c r="CD80" s="91"/>
      <c r="CE80" s="91"/>
      <c r="CF80" s="91"/>
      <c r="CG80" s="91"/>
      <c r="CH80" s="91"/>
      <c r="CI80" s="91"/>
      <c r="CJ80" s="91"/>
      <c r="CK80" s="91"/>
      <c r="CL80" s="91"/>
      <c r="CM80" s="91"/>
      <c r="CN80" s="91"/>
      <c r="CO80" s="91"/>
      <c r="CP80" s="91"/>
      <c r="CQ80" s="91"/>
      <c r="CR80" s="91"/>
      <c r="CS80" s="91"/>
      <c r="CT80" s="91"/>
      <c r="CU80" s="91"/>
      <c r="CV80" s="91"/>
      <c r="CW80" s="91"/>
      <c r="CX80" s="91"/>
      <c r="CY80" s="91"/>
      <c r="CZ80" s="91"/>
      <c r="DA80" s="91"/>
      <c r="DB80" s="91"/>
      <c r="DC80" s="91"/>
      <c r="DD80" s="91"/>
      <c r="DE80" s="91"/>
      <c r="DF80" s="91"/>
      <c r="DG80" s="91"/>
      <c r="DH80" s="91"/>
      <c r="DI80" s="91"/>
      <c r="DJ80" s="91"/>
      <c r="DK80" s="91"/>
      <c r="DL80" s="91"/>
      <c r="DM80" s="91"/>
      <c r="DN80" s="91"/>
      <c r="DO80" s="91"/>
      <c r="DP80" s="91"/>
      <c r="DQ80" s="91"/>
      <c r="DR80" s="91"/>
      <c r="DS80" s="91"/>
      <c r="DT80" s="91"/>
      <c r="DU80" s="91"/>
      <c r="DV80" s="91"/>
      <c r="DW80" s="91"/>
      <c r="DX80" s="91"/>
      <c r="DY80" s="91"/>
      <c r="DZ80" s="91"/>
      <c r="EA80" s="91"/>
      <c r="EB80" s="91"/>
      <c r="EC80" s="91"/>
      <c r="ED80" s="91"/>
      <c r="EE80" s="91"/>
      <c r="EF80" s="91"/>
      <c r="EG80" s="91"/>
      <c r="EH80" s="91"/>
      <c r="EI80" s="91"/>
      <c r="EJ80" s="91"/>
      <c r="EK80" s="91"/>
      <c r="EL80" s="91"/>
      <c r="EM80" s="91"/>
      <c r="EN80" s="91"/>
      <c r="EO80" s="91"/>
      <c r="EP80" s="91"/>
      <c r="EQ80" s="91"/>
      <c r="ER80" s="91"/>
      <c r="ES80" s="91"/>
      <c r="ET80" s="91"/>
      <c r="EU80" s="91"/>
      <c r="EV80" s="91"/>
      <c r="EW80" s="91"/>
      <c r="EX80" s="91"/>
      <c r="EY80" s="91"/>
      <c r="EZ80" s="91"/>
      <c r="FA80" s="91"/>
      <c r="FB80" s="91"/>
      <c r="FC80" s="91"/>
      <c r="FD80" s="91"/>
      <c r="FE80" s="91"/>
      <c r="FF80" s="91"/>
      <c r="FG80" s="91"/>
      <c r="FH80" s="91"/>
      <c r="FI80" s="91"/>
      <c r="FJ80" s="91"/>
      <c r="FK80" s="91"/>
      <c r="FL80" s="91"/>
      <c r="FM80" s="91"/>
      <c r="FN80" s="91"/>
      <c r="FO80" s="91"/>
      <c r="FP80" s="91"/>
      <c r="FQ80" s="91"/>
      <c r="FR80" s="91"/>
      <c r="FS80" s="91"/>
      <c r="FT80" s="91"/>
      <c r="FU80" s="91"/>
      <c r="FV80" s="91"/>
      <c r="FW80" s="91"/>
      <c r="FX80" s="91"/>
      <c r="FY80" s="91"/>
      <c r="FZ80" s="91"/>
      <c r="GA80" s="91"/>
      <c r="GB80" s="91"/>
      <c r="GC80" s="91"/>
      <c r="GD80" s="91"/>
      <c r="GE80" s="91"/>
      <c r="GF80" s="91"/>
      <c r="GG80" s="91"/>
      <c r="GH80" s="91"/>
      <c r="GI80" s="91"/>
      <c r="GJ80" s="91"/>
      <c r="GK80" s="91"/>
      <c r="GL80" s="91"/>
      <c r="GM80" s="91"/>
      <c r="GN80" s="91"/>
      <c r="GO80" s="91"/>
      <c r="GP80" s="91"/>
      <c r="GQ80" s="91"/>
      <c r="GR80" s="91"/>
      <c r="GS80" s="91"/>
      <c r="GT80" s="91"/>
      <c r="GU80" s="91"/>
      <c r="GV80" s="91"/>
      <c r="GW80" s="91"/>
      <c r="GX80" s="91"/>
      <c r="GY80" s="91"/>
      <c r="GZ80" s="91"/>
      <c r="HA80" s="91"/>
      <c r="HB80" s="91"/>
      <c r="HC80" s="91"/>
      <c r="HD80" s="91"/>
      <c r="HE80" s="91"/>
      <c r="HF80" s="91"/>
      <c r="HG80" s="91"/>
      <c r="HH80" s="91"/>
      <c r="HI80" s="91"/>
      <c r="HJ80" s="91"/>
      <c r="HK80" s="91"/>
      <c r="HL80" s="91"/>
      <c r="HM80" s="91"/>
      <c r="HN80" s="91"/>
      <c r="HO80" s="91"/>
      <c r="HP80" s="91"/>
      <c r="HQ80" s="91"/>
      <c r="HR80" s="91"/>
      <c r="HS80" s="91"/>
      <c r="HT80" s="91"/>
      <c r="HU80" s="91"/>
      <c r="HV80" s="91"/>
      <c r="HW80" s="91"/>
      <c r="HX80" s="91"/>
      <c r="HY80" s="91"/>
      <c r="HZ80" s="91"/>
      <c r="IA80" s="91"/>
      <c r="IB80" s="91"/>
      <c r="IC80" s="91"/>
      <c r="ID80" s="91"/>
      <c r="IE80" s="91"/>
      <c r="IF80" s="91"/>
      <c r="IG80" s="91"/>
      <c r="IH80" s="91"/>
      <c r="II80" s="91"/>
      <c r="IJ80" s="91"/>
      <c r="IK80" s="91"/>
      <c r="IL80" s="91"/>
      <c r="IM80" s="91"/>
      <c r="IN80" s="91"/>
      <c r="IO80" s="91"/>
    </row>
    <row r="81" spans="3:249" x14ac:dyDescent="0.2">
      <c r="C81" s="1"/>
      <c r="D81" s="134"/>
      <c r="E81" s="174"/>
      <c r="F81" s="192">
        <f>+F80/F61</f>
        <v>1.3148347067907564</v>
      </c>
      <c r="G81" s="190" t="s">
        <v>86</v>
      </c>
      <c r="H81" s="193"/>
      <c r="I81" s="181"/>
      <c r="J81" s="182"/>
      <c r="K81" s="1"/>
      <c r="L81" s="82"/>
      <c r="M81" s="82"/>
      <c r="N81" s="82"/>
      <c r="O81" s="91"/>
      <c r="P81" s="1"/>
      <c r="Q81" s="183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1"/>
      <c r="AF81" s="91"/>
      <c r="AG81" s="91"/>
      <c r="AH81" s="91"/>
      <c r="AI81" s="91"/>
      <c r="AJ81" s="91"/>
      <c r="AK81" s="91"/>
      <c r="AL81" s="91"/>
      <c r="AM81" s="91"/>
      <c r="AN81" s="91"/>
      <c r="AO81" s="91"/>
      <c r="AP81" s="91"/>
      <c r="AQ81" s="91"/>
      <c r="AR81" s="91"/>
      <c r="AS81" s="91"/>
      <c r="AT81" s="91"/>
      <c r="AU81" s="91"/>
      <c r="AV81" s="91"/>
      <c r="AW81" s="91"/>
      <c r="AX81" s="91"/>
      <c r="AY81" s="91"/>
      <c r="AZ81" s="91"/>
      <c r="BA81" s="91"/>
      <c r="BB81" s="91"/>
      <c r="BC81" s="91"/>
      <c r="BD81" s="91"/>
      <c r="BE81" s="91"/>
      <c r="BF81" s="91"/>
      <c r="BG81" s="91"/>
      <c r="BH81" s="91"/>
      <c r="BI81" s="91"/>
      <c r="BJ81" s="91"/>
      <c r="BK81" s="91"/>
      <c r="BL81" s="91"/>
      <c r="BM81" s="91"/>
      <c r="BN81" s="91"/>
      <c r="BO81" s="91"/>
      <c r="BP81" s="91"/>
      <c r="BQ81" s="91"/>
      <c r="BR81" s="91"/>
      <c r="BS81" s="91"/>
      <c r="BT81" s="91"/>
      <c r="BU81" s="91"/>
      <c r="BV81" s="91"/>
      <c r="BW81" s="91"/>
      <c r="BX81" s="91"/>
      <c r="BY81" s="91"/>
      <c r="BZ81" s="91"/>
      <c r="CA81" s="91"/>
      <c r="CB81" s="91"/>
      <c r="CC81" s="91"/>
      <c r="CD81" s="91"/>
      <c r="CE81" s="91"/>
      <c r="CF81" s="91"/>
      <c r="CG81" s="91"/>
      <c r="CH81" s="91"/>
      <c r="CI81" s="91"/>
      <c r="CJ81" s="91"/>
      <c r="CK81" s="91"/>
      <c r="CL81" s="91"/>
      <c r="CM81" s="91"/>
      <c r="CN81" s="91"/>
      <c r="CO81" s="91"/>
      <c r="CP81" s="91"/>
      <c r="CQ81" s="91"/>
      <c r="CR81" s="91"/>
      <c r="CS81" s="91"/>
      <c r="CT81" s="91"/>
      <c r="CU81" s="91"/>
      <c r="CV81" s="91"/>
      <c r="CW81" s="91"/>
      <c r="CX81" s="91"/>
      <c r="CY81" s="91"/>
      <c r="CZ81" s="91"/>
      <c r="DA81" s="91"/>
      <c r="DB81" s="91"/>
      <c r="DC81" s="91"/>
      <c r="DD81" s="91"/>
      <c r="DE81" s="91"/>
      <c r="DF81" s="91"/>
      <c r="DG81" s="91"/>
      <c r="DH81" s="91"/>
      <c r="DI81" s="91"/>
      <c r="DJ81" s="91"/>
      <c r="DK81" s="91"/>
      <c r="DL81" s="91"/>
      <c r="DM81" s="91"/>
      <c r="DN81" s="91"/>
      <c r="DO81" s="91"/>
      <c r="DP81" s="91"/>
      <c r="DQ81" s="91"/>
      <c r="DR81" s="91"/>
      <c r="DS81" s="91"/>
      <c r="DT81" s="91"/>
      <c r="DU81" s="91"/>
      <c r="DV81" s="91"/>
      <c r="DW81" s="91"/>
      <c r="DX81" s="91"/>
      <c r="DY81" s="91"/>
      <c r="DZ81" s="91"/>
      <c r="EA81" s="91"/>
      <c r="EB81" s="91"/>
      <c r="EC81" s="91"/>
      <c r="ED81" s="91"/>
      <c r="EE81" s="91"/>
      <c r="EF81" s="91"/>
      <c r="EG81" s="91"/>
      <c r="EH81" s="91"/>
      <c r="EI81" s="91"/>
      <c r="EJ81" s="91"/>
      <c r="EK81" s="91"/>
      <c r="EL81" s="91"/>
      <c r="EM81" s="91"/>
      <c r="EN81" s="91"/>
      <c r="EO81" s="91"/>
      <c r="EP81" s="91"/>
      <c r="EQ81" s="91"/>
      <c r="ER81" s="91"/>
      <c r="ES81" s="91"/>
      <c r="ET81" s="91"/>
      <c r="EU81" s="91"/>
      <c r="EV81" s="91"/>
      <c r="EW81" s="91"/>
      <c r="EX81" s="91"/>
      <c r="EY81" s="91"/>
      <c r="EZ81" s="91"/>
      <c r="FA81" s="91"/>
      <c r="FB81" s="91"/>
      <c r="FC81" s="91"/>
      <c r="FD81" s="91"/>
      <c r="FE81" s="91"/>
      <c r="FF81" s="91"/>
      <c r="FG81" s="91"/>
      <c r="FH81" s="91"/>
      <c r="FI81" s="91"/>
      <c r="FJ81" s="91"/>
      <c r="FK81" s="91"/>
      <c r="FL81" s="91"/>
      <c r="FM81" s="91"/>
      <c r="FN81" s="91"/>
      <c r="FO81" s="91"/>
      <c r="FP81" s="91"/>
      <c r="FQ81" s="91"/>
      <c r="FR81" s="91"/>
      <c r="FS81" s="91"/>
      <c r="FT81" s="91"/>
      <c r="FU81" s="91"/>
      <c r="FV81" s="91"/>
      <c r="FW81" s="91"/>
      <c r="FX81" s="91"/>
      <c r="FY81" s="91"/>
      <c r="FZ81" s="91"/>
      <c r="GA81" s="91"/>
      <c r="GB81" s="91"/>
      <c r="GC81" s="91"/>
      <c r="GD81" s="91"/>
      <c r="GE81" s="91"/>
      <c r="GF81" s="91"/>
      <c r="GG81" s="91"/>
      <c r="GH81" s="91"/>
      <c r="GI81" s="91"/>
      <c r="GJ81" s="91"/>
      <c r="GK81" s="91"/>
      <c r="GL81" s="91"/>
      <c r="GM81" s="91"/>
      <c r="GN81" s="91"/>
      <c r="GO81" s="91"/>
      <c r="GP81" s="91"/>
      <c r="GQ81" s="91"/>
      <c r="GR81" s="91"/>
      <c r="GS81" s="91"/>
      <c r="GT81" s="91"/>
      <c r="GU81" s="91"/>
      <c r="GV81" s="91"/>
      <c r="GW81" s="91"/>
      <c r="GX81" s="91"/>
      <c r="GY81" s="91"/>
      <c r="GZ81" s="91"/>
      <c r="HA81" s="91"/>
      <c r="HB81" s="91"/>
      <c r="HC81" s="91"/>
      <c r="HD81" s="91"/>
      <c r="HE81" s="91"/>
      <c r="HF81" s="91"/>
      <c r="HG81" s="91"/>
      <c r="HH81" s="91"/>
      <c r="HI81" s="91"/>
      <c r="HJ81" s="91"/>
      <c r="HK81" s="91"/>
      <c r="HL81" s="91"/>
      <c r="HM81" s="91"/>
      <c r="HN81" s="91"/>
      <c r="HO81" s="91"/>
      <c r="HP81" s="91"/>
      <c r="HQ81" s="91"/>
      <c r="HR81" s="91"/>
      <c r="HS81" s="91"/>
      <c r="HT81" s="91"/>
      <c r="HU81" s="91"/>
      <c r="HV81" s="91"/>
      <c r="HW81" s="91"/>
      <c r="HX81" s="91"/>
      <c r="HY81" s="91"/>
      <c r="HZ81" s="91"/>
      <c r="IA81" s="91"/>
      <c r="IB81" s="91"/>
      <c r="IC81" s="91"/>
      <c r="ID81" s="91"/>
      <c r="IE81" s="91"/>
      <c r="IF81" s="91"/>
      <c r="IG81" s="91"/>
      <c r="IH81" s="91"/>
      <c r="II81" s="91"/>
      <c r="IJ81" s="91"/>
      <c r="IK81" s="91"/>
      <c r="IL81" s="91"/>
      <c r="IM81" s="91"/>
      <c r="IN81" s="91"/>
      <c r="IO81" s="91"/>
    </row>
    <row r="82" spans="3:249" x14ac:dyDescent="0.2">
      <c r="C82" s="1"/>
      <c r="D82" s="134"/>
      <c r="E82" s="174"/>
      <c r="F82" s="194">
        <f>+F80/F62</f>
        <v>1.4933334988964189</v>
      </c>
      <c r="G82" s="195" t="s">
        <v>87</v>
      </c>
      <c r="H82" s="196"/>
      <c r="I82" s="181"/>
      <c r="J82" s="182"/>
      <c r="K82" s="1"/>
      <c r="L82" s="82"/>
      <c r="M82" s="82"/>
      <c r="N82" s="82"/>
      <c r="O82" s="91"/>
      <c r="P82" s="1"/>
      <c r="Q82" s="183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  <c r="AC82" s="91"/>
      <c r="AD82" s="91"/>
      <c r="AE82" s="91"/>
      <c r="AF82" s="91"/>
      <c r="AG82" s="91"/>
      <c r="AH82" s="91"/>
      <c r="AI82" s="91"/>
      <c r="AJ82" s="91"/>
      <c r="AK82" s="91"/>
      <c r="AL82" s="91"/>
      <c r="AM82" s="91"/>
      <c r="AN82" s="91"/>
      <c r="AO82" s="91"/>
      <c r="AP82" s="91"/>
      <c r="AQ82" s="91"/>
      <c r="AR82" s="91"/>
      <c r="AS82" s="91"/>
      <c r="AT82" s="91"/>
      <c r="AU82" s="91"/>
      <c r="AV82" s="91"/>
      <c r="AW82" s="91"/>
      <c r="AX82" s="91"/>
      <c r="AY82" s="91"/>
      <c r="AZ82" s="91"/>
      <c r="BA82" s="91"/>
      <c r="BB82" s="91"/>
      <c r="BC82" s="91"/>
      <c r="BD82" s="91"/>
      <c r="BE82" s="91"/>
      <c r="BF82" s="91"/>
      <c r="BG82" s="91"/>
      <c r="BH82" s="91"/>
      <c r="BI82" s="91"/>
      <c r="BJ82" s="91"/>
      <c r="BK82" s="91"/>
      <c r="BL82" s="91"/>
      <c r="BM82" s="91"/>
      <c r="BN82" s="91"/>
      <c r="BO82" s="91"/>
      <c r="BP82" s="91"/>
      <c r="BQ82" s="91"/>
      <c r="BR82" s="91"/>
      <c r="BS82" s="91"/>
      <c r="BT82" s="91"/>
      <c r="BU82" s="91"/>
      <c r="BV82" s="91"/>
      <c r="BW82" s="91"/>
      <c r="BX82" s="91"/>
      <c r="BY82" s="91"/>
      <c r="BZ82" s="91"/>
      <c r="CA82" s="91"/>
      <c r="CB82" s="91"/>
      <c r="CC82" s="91"/>
      <c r="CD82" s="91"/>
      <c r="CE82" s="91"/>
      <c r="CF82" s="91"/>
      <c r="CG82" s="91"/>
      <c r="CH82" s="91"/>
      <c r="CI82" s="91"/>
      <c r="CJ82" s="91"/>
      <c r="CK82" s="91"/>
      <c r="CL82" s="91"/>
      <c r="CM82" s="91"/>
      <c r="CN82" s="91"/>
      <c r="CO82" s="91"/>
      <c r="CP82" s="91"/>
      <c r="CQ82" s="91"/>
      <c r="CR82" s="91"/>
      <c r="CS82" s="91"/>
      <c r="CT82" s="91"/>
      <c r="CU82" s="91"/>
      <c r="CV82" s="91"/>
      <c r="CW82" s="91"/>
      <c r="CX82" s="91"/>
      <c r="CY82" s="91"/>
      <c r="CZ82" s="91"/>
      <c r="DA82" s="91"/>
      <c r="DB82" s="91"/>
      <c r="DC82" s="91"/>
      <c r="DD82" s="91"/>
      <c r="DE82" s="91"/>
      <c r="DF82" s="91"/>
      <c r="DG82" s="91"/>
      <c r="DH82" s="91"/>
      <c r="DI82" s="91"/>
      <c r="DJ82" s="91"/>
      <c r="DK82" s="91"/>
      <c r="DL82" s="91"/>
      <c r="DM82" s="91"/>
      <c r="DN82" s="91"/>
      <c r="DO82" s="91"/>
      <c r="DP82" s="91"/>
      <c r="DQ82" s="91"/>
      <c r="DR82" s="91"/>
      <c r="DS82" s="91"/>
      <c r="DT82" s="91"/>
      <c r="DU82" s="91"/>
      <c r="DV82" s="91"/>
      <c r="DW82" s="91"/>
      <c r="DX82" s="91"/>
      <c r="DY82" s="91"/>
      <c r="DZ82" s="91"/>
      <c r="EA82" s="91"/>
      <c r="EB82" s="91"/>
      <c r="EC82" s="91"/>
      <c r="ED82" s="91"/>
      <c r="EE82" s="91"/>
      <c r="EF82" s="91"/>
      <c r="EG82" s="91"/>
      <c r="EH82" s="91"/>
      <c r="EI82" s="91"/>
      <c r="EJ82" s="91"/>
      <c r="EK82" s="91"/>
      <c r="EL82" s="91"/>
      <c r="EM82" s="91"/>
      <c r="EN82" s="91"/>
      <c r="EO82" s="91"/>
      <c r="EP82" s="91"/>
      <c r="EQ82" s="91"/>
      <c r="ER82" s="91"/>
      <c r="ES82" s="91"/>
      <c r="ET82" s="91"/>
      <c r="EU82" s="91"/>
      <c r="EV82" s="91"/>
      <c r="EW82" s="91"/>
      <c r="EX82" s="91"/>
      <c r="EY82" s="91"/>
      <c r="EZ82" s="91"/>
      <c r="FA82" s="91"/>
      <c r="FB82" s="91"/>
      <c r="FC82" s="91"/>
      <c r="FD82" s="91"/>
      <c r="FE82" s="91"/>
      <c r="FF82" s="91"/>
      <c r="FG82" s="91"/>
      <c r="FH82" s="91"/>
      <c r="FI82" s="91"/>
      <c r="FJ82" s="91"/>
      <c r="FK82" s="91"/>
      <c r="FL82" s="91"/>
      <c r="FM82" s="91"/>
      <c r="FN82" s="91"/>
      <c r="FO82" s="91"/>
      <c r="FP82" s="91"/>
      <c r="FQ82" s="91"/>
      <c r="FR82" s="91"/>
      <c r="FS82" s="91"/>
      <c r="FT82" s="91"/>
      <c r="FU82" s="91"/>
      <c r="FV82" s="91"/>
      <c r="FW82" s="91"/>
      <c r="FX82" s="91"/>
      <c r="FY82" s="91"/>
      <c r="FZ82" s="91"/>
      <c r="GA82" s="91"/>
      <c r="GB82" s="91"/>
      <c r="GC82" s="91"/>
      <c r="GD82" s="91"/>
      <c r="GE82" s="91"/>
      <c r="GF82" s="91"/>
      <c r="GG82" s="91"/>
      <c r="GH82" s="91"/>
      <c r="GI82" s="91"/>
      <c r="GJ82" s="91"/>
      <c r="GK82" s="91"/>
      <c r="GL82" s="91"/>
      <c r="GM82" s="91"/>
      <c r="GN82" s="91"/>
      <c r="GO82" s="91"/>
      <c r="GP82" s="91"/>
      <c r="GQ82" s="91"/>
      <c r="GR82" s="91"/>
      <c r="GS82" s="91"/>
      <c r="GT82" s="91"/>
      <c r="GU82" s="91"/>
      <c r="GV82" s="91"/>
      <c r="GW82" s="91"/>
      <c r="GX82" s="91"/>
      <c r="GY82" s="91"/>
      <c r="GZ82" s="91"/>
      <c r="HA82" s="91"/>
      <c r="HB82" s="91"/>
      <c r="HC82" s="91"/>
      <c r="HD82" s="91"/>
      <c r="HE82" s="91"/>
      <c r="HF82" s="91"/>
      <c r="HG82" s="91"/>
      <c r="HH82" s="91"/>
      <c r="HI82" s="91"/>
      <c r="HJ82" s="91"/>
      <c r="HK82" s="91"/>
      <c r="HL82" s="91"/>
      <c r="HM82" s="91"/>
      <c r="HN82" s="91"/>
      <c r="HO82" s="91"/>
      <c r="HP82" s="91"/>
      <c r="HQ82" s="91"/>
      <c r="HR82" s="91"/>
      <c r="HS82" s="91"/>
      <c r="HT82" s="91"/>
      <c r="HU82" s="91"/>
      <c r="HV82" s="91"/>
      <c r="HW82" s="91"/>
      <c r="HX82" s="91"/>
      <c r="HY82" s="91"/>
      <c r="HZ82" s="91"/>
      <c r="IA82" s="91"/>
      <c r="IB82" s="91"/>
      <c r="IC82" s="91"/>
      <c r="ID82" s="91"/>
      <c r="IE82" s="91"/>
      <c r="IF82" s="91"/>
      <c r="IG82" s="91"/>
      <c r="IH82" s="91"/>
      <c r="II82" s="91"/>
      <c r="IJ82" s="91"/>
      <c r="IK82" s="91"/>
      <c r="IL82" s="91"/>
      <c r="IM82" s="91"/>
      <c r="IN82" s="91"/>
      <c r="IO82" s="91"/>
    </row>
    <row r="83" spans="3:249" ht="18" x14ac:dyDescent="0.2">
      <c r="C83" s="1"/>
      <c r="D83" s="134"/>
      <c r="E83" s="131"/>
      <c r="F83" s="2"/>
      <c r="G83" s="43"/>
      <c r="H83" s="43"/>
      <c r="I83" s="43"/>
      <c r="J83" s="182"/>
      <c r="K83" s="1"/>
      <c r="L83" s="82"/>
      <c r="M83" s="82"/>
      <c r="N83" s="82"/>
      <c r="O83" s="91"/>
      <c r="P83" s="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1"/>
      <c r="AF83" s="91"/>
      <c r="AG83" s="91"/>
      <c r="AH83" s="91"/>
      <c r="AI83" s="91"/>
      <c r="AJ83" s="91"/>
      <c r="AK83" s="91"/>
      <c r="AL83" s="91"/>
      <c r="AM83" s="91"/>
      <c r="AN83" s="91"/>
      <c r="AO83" s="91"/>
      <c r="AP83" s="91"/>
      <c r="AQ83" s="91"/>
      <c r="AR83" s="91"/>
      <c r="AS83" s="91"/>
      <c r="AT83" s="91"/>
      <c r="AU83" s="91"/>
      <c r="AV83" s="91"/>
      <c r="AW83" s="91"/>
      <c r="AX83" s="91"/>
      <c r="AY83" s="91"/>
      <c r="AZ83" s="91"/>
      <c r="BA83" s="91"/>
      <c r="BB83" s="91"/>
      <c r="BC83" s="91"/>
      <c r="BD83" s="91"/>
      <c r="BE83" s="91"/>
      <c r="BF83" s="91"/>
      <c r="BG83" s="91"/>
      <c r="BH83" s="91"/>
      <c r="BI83" s="91"/>
      <c r="BJ83" s="91"/>
      <c r="BK83" s="91"/>
      <c r="BL83" s="91"/>
      <c r="BM83" s="91"/>
      <c r="BN83" s="91"/>
      <c r="BO83" s="91"/>
      <c r="BP83" s="91"/>
      <c r="BQ83" s="91"/>
      <c r="BR83" s="91"/>
      <c r="BS83" s="91"/>
      <c r="BT83" s="91"/>
      <c r="BU83" s="91"/>
      <c r="BV83" s="91"/>
      <c r="BW83" s="91"/>
      <c r="BX83" s="91"/>
      <c r="BY83" s="91"/>
      <c r="BZ83" s="91"/>
      <c r="CA83" s="91"/>
      <c r="CB83" s="91"/>
      <c r="CC83" s="91"/>
      <c r="CD83" s="91"/>
      <c r="CE83" s="91"/>
      <c r="CF83" s="91"/>
      <c r="CG83" s="91"/>
      <c r="CH83" s="91"/>
      <c r="CI83" s="91"/>
      <c r="CJ83" s="91"/>
      <c r="CK83" s="91"/>
      <c r="CL83" s="91"/>
      <c r="CM83" s="91"/>
      <c r="CN83" s="91"/>
      <c r="CO83" s="91"/>
      <c r="CP83" s="91"/>
      <c r="CQ83" s="91"/>
      <c r="CR83" s="91"/>
      <c r="CS83" s="91"/>
      <c r="CT83" s="91"/>
      <c r="CU83" s="91"/>
      <c r="CV83" s="91"/>
      <c r="CW83" s="91"/>
      <c r="CX83" s="91"/>
      <c r="CY83" s="91"/>
      <c r="CZ83" s="91"/>
      <c r="DA83" s="91"/>
      <c r="DB83" s="91"/>
      <c r="DC83" s="91"/>
      <c r="DD83" s="91"/>
      <c r="DE83" s="91"/>
      <c r="DF83" s="91"/>
      <c r="DG83" s="91"/>
      <c r="DH83" s="91"/>
      <c r="DI83" s="91"/>
      <c r="DJ83" s="91"/>
      <c r="DK83" s="91"/>
      <c r="DL83" s="91"/>
      <c r="DM83" s="91"/>
      <c r="DN83" s="91"/>
      <c r="DO83" s="91"/>
      <c r="DP83" s="91"/>
      <c r="DQ83" s="91"/>
      <c r="DR83" s="91"/>
      <c r="DS83" s="91"/>
      <c r="DT83" s="91"/>
      <c r="DU83" s="91"/>
      <c r="DV83" s="91"/>
      <c r="DW83" s="91"/>
      <c r="DX83" s="91"/>
      <c r="DY83" s="91"/>
      <c r="DZ83" s="91"/>
      <c r="EA83" s="91"/>
      <c r="EB83" s="91"/>
      <c r="EC83" s="91"/>
      <c r="ED83" s="91"/>
      <c r="EE83" s="91"/>
      <c r="EF83" s="91"/>
      <c r="EG83" s="91"/>
      <c r="EH83" s="91"/>
      <c r="EI83" s="91"/>
      <c r="EJ83" s="91"/>
      <c r="EK83" s="91"/>
      <c r="EL83" s="91"/>
      <c r="EM83" s="91"/>
      <c r="EN83" s="91"/>
      <c r="EO83" s="91"/>
      <c r="EP83" s="91"/>
      <c r="EQ83" s="91"/>
      <c r="ER83" s="91"/>
      <c r="ES83" s="91"/>
      <c r="ET83" s="91"/>
      <c r="EU83" s="91"/>
      <c r="EV83" s="91"/>
      <c r="EW83" s="91"/>
      <c r="EX83" s="91"/>
      <c r="EY83" s="91"/>
      <c r="EZ83" s="91"/>
      <c r="FA83" s="91"/>
      <c r="FB83" s="91"/>
      <c r="FC83" s="91"/>
      <c r="FD83" s="91"/>
      <c r="FE83" s="91"/>
      <c r="FF83" s="91"/>
      <c r="FG83" s="91"/>
      <c r="FH83" s="91"/>
      <c r="FI83" s="91"/>
      <c r="FJ83" s="91"/>
      <c r="FK83" s="91"/>
      <c r="FL83" s="91"/>
      <c r="FM83" s="91"/>
      <c r="FN83" s="91"/>
      <c r="FO83" s="91"/>
      <c r="FP83" s="91"/>
      <c r="FQ83" s="91"/>
      <c r="FR83" s="91"/>
      <c r="FS83" s="91"/>
      <c r="FT83" s="91"/>
      <c r="FU83" s="91"/>
      <c r="FV83" s="91"/>
      <c r="FW83" s="91"/>
      <c r="FX83" s="91"/>
      <c r="FY83" s="91"/>
      <c r="FZ83" s="91"/>
      <c r="GA83" s="91"/>
      <c r="GB83" s="91"/>
      <c r="GC83" s="91"/>
      <c r="GD83" s="91"/>
      <c r="GE83" s="91"/>
      <c r="GF83" s="91"/>
      <c r="GG83" s="91"/>
      <c r="GH83" s="91"/>
      <c r="GI83" s="91"/>
      <c r="GJ83" s="91"/>
      <c r="GK83" s="91"/>
      <c r="GL83" s="91"/>
      <c r="GM83" s="91"/>
      <c r="GN83" s="91"/>
      <c r="GO83" s="91"/>
      <c r="GP83" s="91"/>
      <c r="GQ83" s="91"/>
      <c r="GR83" s="91"/>
      <c r="GS83" s="91"/>
      <c r="GT83" s="91"/>
      <c r="GU83" s="91"/>
      <c r="GV83" s="91"/>
      <c r="GW83" s="91"/>
      <c r="GX83" s="91"/>
      <c r="GY83" s="91"/>
      <c r="GZ83" s="91"/>
      <c r="HA83" s="91"/>
      <c r="HB83" s="91"/>
      <c r="HC83" s="91"/>
      <c r="HD83" s="91"/>
      <c r="HE83" s="91"/>
      <c r="HF83" s="91"/>
      <c r="HG83" s="91"/>
      <c r="HH83" s="91"/>
      <c r="HI83" s="91"/>
      <c r="HJ83" s="91"/>
      <c r="HK83" s="91"/>
      <c r="HL83" s="91"/>
      <c r="HM83" s="91"/>
      <c r="HN83" s="91"/>
      <c r="HO83" s="91"/>
      <c r="HP83" s="91"/>
      <c r="HQ83" s="91"/>
      <c r="HR83" s="91"/>
      <c r="HS83" s="91"/>
      <c r="HT83" s="91"/>
      <c r="HU83" s="91"/>
      <c r="HV83" s="91"/>
      <c r="HW83" s="91"/>
      <c r="HX83" s="91"/>
      <c r="HY83" s="91"/>
      <c r="HZ83" s="91"/>
      <c r="IA83" s="91"/>
      <c r="IB83" s="91"/>
      <c r="IC83" s="91"/>
      <c r="ID83" s="91"/>
      <c r="IE83" s="91"/>
      <c r="IF83" s="91"/>
      <c r="IG83" s="91"/>
      <c r="IH83" s="91"/>
      <c r="II83" s="91"/>
      <c r="IJ83" s="91"/>
      <c r="IK83" s="91"/>
      <c r="IL83" s="91"/>
      <c r="IM83" s="91"/>
      <c r="IN83" s="91"/>
      <c r="IO83" s="91"/>
    </row>
    <row r="84" spans="3:249" x14ac:dyDescent="0.2">
      <c r="C84" s="1"/>
      <c r="D84" s="134">
        <v>2</v>
      </c>
      <c r="E84" s="197" t="s">
        <v>88</v>
      </c>
      <c r="F84" s="198"/>
      <c r="G84" s="199"/>
      <c r="H84" s="200"/>
      <c r="I84" s="201"/>
      <c r="J84" s="182"/>
      <c r="K84" s="1"/>
      <c r="L84" s="82"/>
      <c r="M84" s="82"/>
      <c r="N84" s="82"/>
      <c r="O84" s="91"/>
      <c r="P84" s="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  <c r="AW84" s="91"/>
      <c r="AX84" s="91"/>
      <c r="AY84" s="91"/>
      <c r="AZ84" s="91"/>
      <c r="BA84" s="91"/>
      <c r="BB84" s="91"/>
      <c r="BC84" s="91"/>
      <c r="BD84" s="91"/>
      <c r="BE84" s="91"/>
      <c r="BF84" s="91"/>
      <c r="BG84" s="91"/>
      <c r="BH84" s="91"/>
      <c r="BI84" s="91"/>
      <c r="BJ84" s="91"/>
      <c r="BK84" s="91"/>
      <c r="BL84" s="91"/>
      <c r="BM84" s="91"/>
      <c r="BN84" s="91"/>
      <c r="BO84" s="91"/>
      <c r="BP84" s="91"/>
      <c r="BQ84" s="91"/>
      <c r="BR84" s="91"/>
      <c r="BS84" s="91"/>
      <c r="BT84" s="91"/>
      <c r="BU84" s="91"/>
      <c r="BV84" s="91"/>
      <c r="BW84" s="91"/>
      <c r="BX84" s="91"/>
      <c r="BY84" s="91"/>
      <c r="BZ84" s="91"/>
      <c r="CA84" s="91"/>
      <c r="CB84" s="91"/>
      <c r="CC84" s="91"/>
      <c r="CD84" s="91"/>
      <c r="CE84" s="91"/>
      <c r="CF84" s="91"/>
      <c r="CG84" s="91"/>
      <c r="CH84" s="91"/>
      <c r="CI84" s="91"/>
      <c r="CJ84" s="91"/>
      <c r="CK84" s="91"/>
      <c r="CL84" s="91"/>
      <c r="CM84" s="91"/>
      <c r="CN84" s="91"/>
      <c r="CO84" s="91"/>
      <c r="CP84" s="91"/>
      <c r="CQ84" s="91"/>
      <c r="CR84" s="91"/>
      <c r="CS84" s="91"/>
      <c r="CT84" s="91"/>
      <c r="CU84" s="91"/>
      <c r="CV84" s="91"/>
      <c r="CW84" s="91"/>
      <c r="CX84" s="91"/>
      <c r="CY84" s="91"/>
      <c r="CZ84" s="91"/>
      <c r="DA84" s="91"/>
      <c r="DB84" s="91"/>
      <c r="DC84" s="91"/>
      <c r="DD84" s="91"/>
      <c r="DE84" s="91"/>
      <c r="DF84" s="91"/>
      <c r="DG84" s="91"/>
      <c r="DH84" s="91"/>
      <c r="DI84" s="91"/>
      <c r="DJ84" s="91"/>
      <c r="DK84" s="91"/>
      <c r="DL84" s="91"/>
      <c r="DM84" s="91"/>
      <c r="DN84" s="91"/>
      <c r="DO84" s="91"/>
      <c r="DP84" s="91"/>
      <c r="DQ84" s="91"/>
      <c r="DR84" s="91"/>
      <c r="DS84" s="91"/>
      <c r="DT84" s="91"/>
      <c r="DU84" s="91"/>
      <c r="DV84" s="91"/>
      <c r="DW84" s="91"/>
      <c r="DX84" s="91"/>
      <c r="DY84" s="91"/>
      <c r="DZ84" s="91"/>
      <c r="EA84" s="91"/>
      <c r="EB84" s="91"/>
      <c r="EC84" s="91"/>
      <c r="ED84" s="91"/>
      <c r="EE84" s="91"/>
      <c r="EF84" s="91"/>
      <c r="EG84" s="91"/>
      <c r="EH84" s="91"/>
      <c r="EI84" s="91"/>
      <c r="EJ84" s="91"/>
      <c r="EK84" s="91"/>
      <c r="EL84" s="91"/>
      <c r="EM84" s="91"/>
      <c r="EN84" s="91"/>
      <c r="EO84" s="91"/>
      <c r="EP84" s="91"/>
      <c r="EQ84" s="91"/>
      <c r="ER84" s="91"/>
      <c r="ES84" s="91"/>
      <c r="ET84" s="91"/>
      <c r="EU84" s="91"/>
      <c r="EV84" s="91"/>
      <c r="EW84" s="91"/>
      <c r="EX84" s="91"/>
      <c r="EY84" s="91"/>
      <c r="EZ84" s="91"/>
      <c r="FA84" s="91"/>
      <c r="FB84" s="91"/>
      <c r="FC84" s="91"/>
      <c r="FD84" s="91"/>
      <c r="FE84" s="91"/>
      <c r="FF84" s="91"/>
      <c r="FG84" s="91"/>
      <c r="FH84" s="91"/>
      <c r="FI84" s="91"/>
      <c r="FJ84" s="91"/>
      <c r="FK84" s="91"/>
      <c r="FL84" s="91"/>
      <c r="FM84" s="91"/>
      <c r="FN84" s="91"/>
      <c r="FO84" s="91"/>
      <c r="FP84" s="91"/>
      <c r="FQ84" s="91"/>
      <c r="FR84" s="91"/>
      <c r="FS84" s="91"/>
      <c r="FT84" s="91"/>
      <c r="FU84" s="91"/>
      <c r="FV84" s="91"/>
      <c r="FW84" s="91"/>
      <c r="FX84" s="91"/>
      <c r="FY84" s="91"/>
      <c r="FZ84" s="91"/>
      <c r="GA84" s="91"/>
      <c r="GB84" s="91"/>
      <c r="GC84" s="91"/>
      <c r="GD84" s="91"/>
      <c r="GE84" s="91"/>
      <c r="GF84" s="91"/>
      <c r="GG84" s="91"/>
      <c r="GH84" s="91"/>
      <c r="GI84" s="91"/>
      <c r="GJ84" s="91"/>
      <c r="GK84" s="91"/>
      <c r="GL84" s="91"/>
      <c r="GM84" s="91"/>
      <c r="GN84" s="91"/>
      <c r="GO84" s="91"/>
      <c r="GP84" s="91"/>
      <c r="GQ84" s="91"/>
      <c r="GR84" s="91"/>
      <c r="GS84" s="91"/>
      <c r="GT84" s="91"/>
      <c r="GU84" s="91"/>
      <c r="GV84" s="91"/>
      <c r="GW84" s="91"/>
      <c r="GX84" s="91"/>
      <c r="GY84" s="91"/>
      <c r="GZ84" s="91"/>
      <c r="HA84" s="91"/>
      <c r="HB84" s="91"/>
      <c r="HC84" s="91"/>
      <c r="HD84" s="91"/>
      <c r="HE84" s="91"/>
      <c r="HF84" s="91"/>
      <c r="HG84" s="91"/>
      <c r="HH84" s="91"/>
      <c r="HI84" s="91"/>
      <c r="HJ84" s="91"/>
      <c r="HK84" s="91"/>
      <c r="HL84" s="91"/>
      <c r="HM84" s="91"/>
      <c r="HN84" s="91"/>
      <c r="HO84" s="91"/>
      <c r="HP84" s="91"/>
      <c r="HQ84" s="91"/>
      <c r="HR84" s="91"/>
      <c r="HS84" s="91"/>
      <c r="HT84" s="91"/>
      <c r="HU84" s="91"/>
      <c r="HV84" s="91"/>
      <c r="HW84" s="91"/>
      <c r="HX84" s="91"/>
      <c r="HY84" s="91"/>
      <c r="HZ84" s="91"/>
      <c r="IA84" s="91"/>
      <c r="IB84" s="91"/>
      <c r="IC84" s="91"/>
      <c r="ID84" s="91"/>
      <c r="IE84" s="91"/>
      <c r="IF84" s="91"/>
      <c r="IG84" s="91"/>
      <c r="IH84" s="91"/>
      <c r="II84" s="91"/>
      <c r="IJ84" s="91"/>
      <c r="IK84" s="91"/>
      <c r="IL84" s="91"/>
      <c r="IM84" s="91"/>
      <c r="IN84" s="91"/>
      <c r="IO84" s="91"/>
    </row>
    <row r="85" spans="3:249" x14ac:dyDescent="0.2">
      <c r="C85" s="1"/>
      <c r="D85" s="134"/>
      <c r="E85" s="202"/>
      <c r="F85" s="329" t="s">
        <v>89</v>
      </c>
      <c r="G85" s="330"/>
      <c r="H85" s="329" t="s">
        <v>90</v>
      </c>
      <c r="I85" s="330"/>
      <c r="J85" s="182"/>
      <c r="K85" s="1"/>
      <c r="L85" s="82"/>
      <c r="M85" s="82"/>
      <c r="N85" s="82"/>
      <c r="O85" s="91"/>
      <c r="P85" s="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  <c r="AC85" s="91"/>
      <c r="AD85" s="91"/>
      <c r="AE85" s="91"/>
      <c r="AF85" s="91"/>
      <c r="AG85" s="91"/>
      <c r="AH85" s="91"/>
      <c r="AI85" s="91"/>
      <c r="AJ85" s="91"/>
      <c r="AK85" s="91"/>
      <c r="AL85" s="91"/>
      <c r="AM85" s="91"/>
      <c r="AN85" s="91"/>
      <c r="AO85" s="91"/>
      <c r="AP85" s="91"/>
      <c r="AQ85" s="91"/>
      <c r="AR85" s="91"/>
      <c r="AS85" s="91"/>
      <c r="AT85" s="91"/>
      <c r="AU85" s="91"/>
      <c r="AV85" s="91"/>
      <c r="AW85" s="91"/>
      <c r="AX85" s="91"/>
      <c r="AY85" s="91"/>
      <c r="AZ85" s="91"/>
      <c r="BA85" s="91"/>
      <c r="BB85" s="91"/>
      <c r="BC85" s="91"/>
      <c r="BD85" s="91"/>
      <c r="BE85" s="91"/>
      <c r="BF85" s="91"/>
      <c r="BG85" s="91"/>
      <c r="BH85" s="91"/>
      <c r="BI85" s="91"/>
      <c r="BJ85" s="91"/>
      <c r="BK85" s="91"/>
      <c r="BL85" s="91"/>
      <c r="BM85" s="91"/>
      <c r="BN85" s="91"/>
      <c r="BO85" s="91"/>
      <c r="BP85" s="91"/>
      <c r="BQ85" s="91"/>
      <c r="BR85" s="91"/>
      <c r="BS85" s="91"/>
      <c r="BT85" s="91"/>
      <c r="BU85" s="91"/>
      <c r="BV85" s="91"/>
      <c r="BW85" s="91"/>
      <c r="BX85" s="91"/>
      <c r="BY85" s="91"/>
      <c r="BZ85" s="91"/>
      <c r="CA85" s="91"/>
      <c r="CB85" s="91"/>
      <c r="CC85" s="91"/>
      <c r="CD85" s="91"/>
      <c r="CE85" s="91"/>
      <c r="CF85" s="91"/>
      <c r="CG85" s="91"/>
      <c r="CH85" s="91"/>
      <c r="CI85" s="91"/>
      <c r="CJ85" s="91"/>
      <c r="CK85" s="91"/>
      <c r="CL85" s="91"/>
      <c r="CM85" s="91"/>
      <c r="CN85" s="91"/>
      <c r="CO85" s="91"/>
      <c r="CP85" s="91"/>
      <c r="CQ85" s="91"/>
      <c r="CR85" s="91"/>
      <c r="CS85" s="91"/>
      <c r="CT85" s="91"/>
      <c r="CU85" s="91"/>
      <c r="CV85" s="91"/>
      <c r="CW85" s="91"/>
      <c r="CX85" s="91"/>
      <c r="CY85" s="91"/>
      <c r="CZ85" s="91"/>
      <c r="DA85" s="91"/>
      <c r="DB85" s="91"/>
      <c r="DC85" s="91"/>
      <c r="DD85" s="91"/>
      <c r="DE85" s="91"/>
      <c r="DF85" s="91"/>
      <c r="DG85" s="91"/>
      <c r="DH85" s="91"/>
      <c r="DI85" s="91"/>
      <c r="DJ85" s="91"/>
      <c r="DK85" s="91"/>
      <c r="DL85" s="91"/>
      <c r="DM85" s="91"/>
      <c r="DN85" s="91"/>
      <c r="DO85" s="91"/>
      <c r="DP85" s="91"/>
      <c r="DQ85" s="91"/>
      <c r="DR85" s="91"/>
      <c r="DS85" s="91"/>
      <c r="DT85" s="91"/>
      <c r="DU85" s="91"/>
      <c r="DV85" s="91"/>
      <c r="DW85" s="91"/>
      <c r="DX85" s="91"/>
      <c r="DY85" s="91"/>
      <c r="DZ85" s="91"/>
      <c r="EA85" s="91"/>
      <c r="EB85" s="91"/>
      <c r="EC85" s="91"/>
      <c r="ED85" s="91"/>
      <c r="EE85" s="91"/>
      <c r="EF85" s="91"/>
      <c r="EG85" s="91"/>
      <c r="EH85" s="91"/>
      <c r="EI85" s="91"/>
      <c r="EJ85" s="91"/>
      <c r="EK85" s="91"/>
      <c r="EL85" s="91"/>
      <c r="EM85" s="91"/>
      <c r="EN85" s="91"/>
      <c r="EO85" s="91"/>
      <c r="EP85" s="91"/>
      <c r="EQ85" s="91"/>
      <c r="ER85" s="91"/>
      <c r="ES85" s="91"/>
      <c r="ET85" s="91"/>
      <c r="EU85" s="91"/>
      <c r="EV85" s="91"/>
      <c r="EW85" s="91"/>
      <c r="EX85" s="91"/>
      <c r="EY85" s="91"/>
      <c r="EZ85" s="91"/>
      <c r="FA85" s="91"/>
      <c r="FB85" s="91"/>
      <c r="FC85" s="91"/>
      <c r="FD85" s="91"/>
      <c r="FE85" s="91"/>
      <c r="FF85" s="91"/>
      <c r="FG85" s="91"/>
      <c r="FH85" s="91"/>
      <c r="FI85" s="91"/>
      <c r="FJ85" s="91"/>
      <c r="FK85" s="91"/>
      <c r="FL85" s="91"/>
      <c r="FM85" s="91"/>
      <c r="FN85" s="91"/>
      <c r="FO85" s="91"/>
      <c r="FP85" s="91"/>
      <c r="FQ85" s="91"/>
      <c r="FR85" s="91"/>
      <c r="FS85" s="91"/>
      <c r="FT85" s="91"/>
      <c r="FU85" s="91"/>
      <c r="FV85" s="91"/>
      <c r="FW85" s="91"/>
      <c r="FX85" s="91"/>
      <c r="FY85" s="91"/>
      <c r="FZ85" s="91"/>
      <c r="GA85" s="91"/>
      <c r="GB85" s="91"/>
      <c r="GC85" s="91"/>
      <c r="GD85" s="91"/>
      <c r="GE85" s="91"/>
      <c r="GF85" s="91"/>
      <c r="GG85" s="91"/>
      <c r="GH85" s="91"/>
      <c r="GI85" s="91"/>
      <c r="GJ85" s="91"/>
      <c r="GK85" s="91"/>
      <c r="GL85" s="91"/>
      <c r="GM85" s="91"/>
      <c r="GN85" s="91"/>
      <c r="GO85" s="91"/>
      <c r="GP85" s="91"/>
      <c r="GQ85" s="91"/>
      <c r="GR85" s="91"/>
      <c r="GS85" s="91"/>
      <c r="GT85" s="91"/>
      <c r="GU85" s="91"/>
      <c r="GV85" s="91"/>
      <c r="GW85" s="91"/>
      <c r="GX85" s="91"/>
      <c r="GY85" s="91"/>
      <c r="GZ85" s="91"/>
      <c r="HA85" s="91"/>
      <c r="HB85" s="91"/>
      <c r="HC85" s="91"/>
      <c r="HD85" s="91"/>
      <c r="HE85" s="91"/>
      <c r="HF85" s="91"/>
      <c r="HG85" s="91"/>
      <c r="HH85" s="91"/>
      <c r="HI85" s="91"/>
      <c r="HJ85" s="91"/>
      <c r="HK85" s="91"/>
      <c r="HL85" s="91"/>
      <c r="HM85" s="91"/>
      <c r="HN85" s="91"/>
      <c r="HO85" s="91"/>
      <c r="HP85" s="91"/>
      <c r="HQ85" s="91"/>
      <c r="HR85" s="91"/>
      <c r="HS85" s="91"/>
      <c r="HT85" s="91"/>
      <c r="HU85" s="91"/>
      <c r="HV85" s="91"/>
      <c r="HW85" s="91"/>
      <c r="HX85" s="91"/>
      <c r="HY85" s="91"/>
      <c r="HZ85" s="91"/>
      <c r="IA85" s="91"/>
      <c r="IB85" s="91"/>
      <c r="IC85" s="91"/>
      <c r="ID85" s="91"/>
      <c r="IE85" s="91"/>
      <c r="IF85" s="91"/>
      <c r="IG85" s="91"/>
      <c r="IH85" s="91"/>
      <c r="II85" s="91"/>
      <c r="IJ85" s="91"/>
      <c r="IK85" s="91"/>
      <c r="IL85" s="91"/>
      <c r="IM85" s="91"/>
      <c r="IN85" s="91"/>
      <c r="IO85" s="91"/>
    </row>
    <row r="86" spans="3:249" x14ac:dyDescent="0.2">
      <c r="C86" s="1"/>
      <c r="D86" s="134"/>
      <c r="E86" s="141" t="s">
        <v>91</v>
      </c>
      <c r="F86" s="203">
        <v>25</v>
      </c>
      <c r="G86" s="204">
        <v>50</v>
      </c>
      <c r="H86" s="205">
        <f t="shared" ref="H86:I88" si="3">+F86*$F$12*12</f>
        <v>51000</v>
      </c>
      <c r="I86" s="206">
        <f t="shared" si="3"/>
        <v>102000</v>
      </c>
      <c r="J86" s="43"/>
      <c r="K86" s="1"/>
      <c r="L86" s="82"/>
      <c r="M86" s="82"/>
      <c r="N86" s="82"/>
      <c r="O86" s="91"/>
      <c r="P86" s="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  <c r="AC86" s="91"/>
      <c r="AD86" s="91"/>
      <c r="AE86" s="91"/>
      <c r="AF86" s="91"/>
      <c r="AG86" s="91"/>
      <c r="AH86" s="91"/>
      <c r="AI86" s="91"/>
      <c r="AJ86" s="91"/>
      <c r="AK86" s="91"/>
      <c r="AL86" s="91"/>
      <c r="AM86" s="91"/>
      <c r="AN86" s="91"/>
      <c r="AO86" s="91"/>
      <c r="AP86" s="91"/>
      <c r="AQ86" s="91"/>
      <c r="AR86" s="91"/>
      <c r="AS86" s="91"/>
      <c r="AT86" s="91"/>
      <c r="AU86" s="91"/>
      <c r="AV86" s="91"/>
      <c r="AW86" s="91"/>
      <c r="AX86" s="91"/>
      <c r="AY86" s="91"/>
      <c r="AZ86" s="91"/>
      <c r="BA86" s="91"/>
      <c r="BB86" s="91"/>
      <c r="BC86" s="91"/>
      <c r="BD86" s="91"/>
      <c r="BE86" s="91"/>
      <c r="BF86" s="91"/>
      <c r="BG86" s="91"/>
      <c r="BH86" s="91"/>
      <c r="BI86" s="91"/>
      <c r="BJ86" s="91"/>
      <c r="BK86" s="91"/>
      <c r="BL86" s="91"/>
      <c r="BM86" s="91"/>
      <c r="BN86" s="91"/>
      <c r="BO86" s="91"/>
      <c r="BP86" s="91"/>
      <c r="BQ86" s="91"/>
      <c r="BR86" s="91"/>
      <c r="BS86" s="91"/>
      <c r="BT86" s="91"/>
      <c r="BU86" s="91"/>
      <c r="BV86" s="91"/>
      <c r="BW86" s="91"/>
      <c r="BX86" s="91"/>
      <c r="BY86" s="91"/>
      <c r="BZ86" s="91"/>
      <c r="CA86" s="91"/>
      <c r="CB86" s="91"/>
      <c r="CC86" s="91"/>
      <c r="CD86" s="91"/>
      <c r="CE86" s="91"/>
      <c r="CF86" s="91"/>
      <c r="CG86" s="91"/>
      <c r="CH86" s="91"/>
      <c r="CI86" s="91"/>
      <c r="CJ86" s="91"/>
      <c r="CK86" s="91"/>
      <c r="CL86" s="91"/>
      <c r="CM86" s="91"/>
      <c r="CN86" s="91"/>
      <c r="CO86" s="91"/>
      <c r="CP86" s="91"/>
      <c r="CQ86" s="91"/>
      <c r="CR86" s="91"/>
      <c r="CS86" s="91"/>
      <c r="CT86" s="91"/>
      <c r="CU86" s="91"/>
      <c r="CV86" s="91"/>
      <c r="CW86" s="91"/>
      <c r="CX86" s="91"/>
      <c r="CY86" s="91"/>
      <c r="CZ86" s="91"/>
      <c r="DA86" s="91"/>
      <c r="DB86" s="91"/>
      <c r="DC86" s="91"/>
      <c r="DD86" s="91"/>
      <c r="DE86" s="91"/>
      <c r="DF86" s="91"/>
      <c r="DG86" s="91"/>
      <c r="DH86" s="91"/>
      <c r="DI86" s="91"/>
      <c r="DJ86" s="91"/>
      <c r="DK86" s="91"/>
      <c r="DL86" s="91"/>
      <c r="DM86" s="91"/>
      <c r="DN86" s="91"/>
      <c r="DO86" s="91"/>
      <c r="DP86" s="91"/>
      <c r="DQ86" s="91"/>
      <c r="DR86" s="91"/>
      <c r="DS86" s="91"/>
      <c r="DT86" s="91"/>
      <c r="DU86" s="91"/>
      <c r="DV86" s="91"/>
      <c r="DW86" s="91"/>
      <c r="DX86" s="91"/>
      <c r="DY86" s="91"/>
      <c r="DZ86" s="91"/>
      <c r="EA86" s="91"/>
      <c r="EB86" s="91"/>
      <c r="EC86" s="91"/>
      <c r="ED86" s="91"/>
      <c r="EE86" s="91"/>
      <c r="EF86" s="91"/>
      <c r="EG86" s="91"/>
      <c r="EH86" s="91"/>
      <c r="EI86" s="91"/>
      <c r="EJ86" s="91"/>
      <c r="EK86" s="91"/>
      <c r="EL86" s="91"/>
      <c r="EM86" s="91"/>
      <c r="EN86" s="91"/>
      <c r="EO86" s="91"/>
      <c r="EP86" s="91"/>
      <c r="EQ86" s="91"/>
      <c r="ER86" s="91"/>
      <c r="ES86" s="91"/>
      <c r="ET86" s="91"/>
      <c r="EU86" s="91"/>
      <c r="EV86" s="91"/>
      <c r="EW86" s="91"/>
      <c r="EX86" s="91"/>
      <c r="EY86" s="91"/>
      <c r="EZ86" s="91"/>
      <c r="FA86" s="91"/>
      <c r="FB86" s="91"/>
      <c r="FC86" s="91"/>
      <c r="FD86" s="91"/>
      <c r="FE86" s="91"/>
      <c r="FF86" s="91"/>
      <c r="FG86" s="91"/>
      <c r="FH86" s="91"/>
      <c r="FI86" s="91"/>
      <c r="FJ86" s="91"/>
      <c r="FK86" s="91"/>
      <c r="FL86" s="91"/>
      <c r="FM86" s="91"/>
      <c r="FN86" s="91"/>
      <c r="FO86" s="91"/>
      <c r="FP86" s="91"/>
      <c r="FQ86" s="91"/>
      <c r="FR86" s="91"/>
      <c r="FS86" s="91"/>
      <c r="FT86" s="91"/>
      <c r="FU86" s="91"/>
      <c r="FV86" s="91"/>
      <c r="FW86" s="91"/>
      <c r="FX86" s="91"/>
      <c r="FY86" s="91"/>
      <c r="FZ86" s="91"/>
      <c r="GA86" s="91"/>
      <c r="GB86" s="91"/>
      <c r="GC86" s="91"/>
      <c r="GD86" s="91"/>
      <c r="GE86" s="91"/>
      <c r="GF86" s="91"/>
      <c r="GG86" s="91"/>
      <c r="GH86" s="91"/>
      <c r="GI86" s="91"/>
      <c r="GJ86" s="91"/>
      <c r="GK86" s="91"/>
      <c r="GL86" s="91"/>
      <c r="GM86" s="91"/>
      <c r="GN86" s="91"/>
      <c r="GO86" s="91"/>
      <c r="GP86" s="91"/>
      <c r="GQ86" s="91"/>
      <c r="GR86" s="91"/>
      <c r="GS86" s="91"/>
      <c r="GT86" s="91"/>
      <c r="GU86" s="91"/>
      <c r="GV86" s="91"/>
      <c r="GW86" s="91"/>
      <c r="GX86" s="91"/>
      <c r="GY86" s="91"/>
      <c r="GZ86" s="91"/>
      <c r="HA86" s="91"/>
      <c r="HB86" s="91"/>
      <c r="HC86" s="91"/>
      <c r="HD86" s="91"/>
      <c r="HE86" s="91"/>
      <c r="HF86" s="91"/>
      <c r="HG86" s="91"/>
      <c r="HH86" s="91"/>
      <c r="HI86" s="91"/>
      <c r="HJ86" s="91"/>
      <c r="HK86" s="91"/>
      <c r="HL86" s="91"/>
      <c r="HM86" s="91"/>
      <c r="HN86" s="91"/>
      <c r="HO86" s="91"/>
      <c r="HP86" s="91"/>
      <c r="HQ86" s="91"/>
      <c r="HR86" s="91"/>
      <c r="HS86" s="91"/>
      <c r="HT86" s="91"/>
      <c r="HU86" s="91"/>
      <c r="HV86" s="91"/>
      <c r="HW86" s="91"/>
      <c r="HX86" s="91"/>
      <c r="HY86" s="91"/>
      <c r="HZ86" s="91"/>
      <c r="IA86" s="91"/>
      <c r="IB86" s="91"/>
      <c r="IC86" s="91"/>
      <c r="ID86" s="91"/>
      <c r="IE86" s="91"/>
      <c r="IF86" s="91"/>
      <c r="IG86" s="91"/>
      <c r="IH86" s="91"/>
      <c r="II86" s="91"/>
      <c r="IJ86" s="91"/>
      <c r="IK86" s="91"/>
      <c r="IL86" s="91"/>
      <c r="IM86" s="91"/>
      <c r="IN86" s="91"/>
      <c r="IO86" s="91"/>
    </row>
    <row r="87" spans="3:249" x14ac:dyDescent="0.2">
      <c r="C87" s="1"/>
      <c r="D87" s="134"/>
      <c r="E87" s="141" t="s">
        <v>92</v>
      </c>
      <c r="F87" s="203">
        <v>5</v>
      </c>
      <c r="G87" s="204">
        <v>20</v>
      </c>
      <c r="H87" s="205">
        <f t="shared" si="3"/>
        <v>10200</v>
      </c>
      <c r="I87" s="206">
        <f t="shared" si="3"/>
        <v>40800</v>
      </c>
      <c r="J87" s="43"/>
      <c r="K87" s="1"/>
      <c r="L87" s="82"/>
      <c r="M87" s="82"/>
      <c r="N87" s="82"/>
      <c r="O87" s="91"/>
      <c r="P87" s="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91"/>
      <c r="AL87" s="91"/>
      <c r="AM87" s="91"/>
      <c r="AN87" s="91"/>
      <c r="AO87" s="91"/>
      <c r="AP87" s="91"/>
      <c r="AQ87" s="91"/>
      <c r="AR87" s="91"/>
      <c r="AS87" s="91"/>
      <c r="AT87" s="91"/>
      <c r="AU87" s="91"/>
      <c r="AV87" s="91"/>
      <c r="AW87" s="91"/>
      <c r="AX87" s="91"/>
      <c r="AY87" s="91"/>
      <c r="AZ87" s="91"/>
      <c r="BA87" s="91"/>
      <c r="BB87" s="91"/>
      <c r="BC87" s="91"/>
      <c r="BD87" s="91"/>
      <c r="BE87" s="91"/>
      <c r="BF87" s="91"/>
      <c r="BG87" s="91"/>
      <c r="BH87" s="91"/>
      <c r="BI87" s="91"/>
      <c r="BJ87" s="91"/>
      <c r="BK87" s="91"/>
      <c r="BL87" s="91"/>
      <c r="BM87" s="91"/>
      <c r="BN87" s="91"/>
      <c r="BO87" s="91"/>
      <c r="BP87" s="91"/>
      <c r="BQ87" s="91"/>
      <c r="BR87" s="91"/>
      <c r="BS87" s="91"/>
      <c r="BT87" s="91"/>
      <c r="BU87" s="91"/>
      <c r="BV87" s="91"/>
      <c r="BW87" s="91"/>
      <c r="BX87" s="91"/>
      <c r="BY87" s="91"/>
      <c r="BZ87" s="91"/>
      <c r="CA87" s="91"/>
      <c r="CB87" s="91"/>
      <c r="CC87" s="91"/>
      <c r="CD87" s="91"/>
      <c r="CE87" s="91"/>
      <c r="CF87" s="91"/>
      <c r="CG87" s="91"/>
      <c r="CH87" s="91"/>
      <c r="CI87" s="91"/>
      <c r="CJ87" s="91"/>
      <c r="CK87" s="91"/>
      <c r="CL87" s="91"/>
      <c r="CM87" s="91"/>
      <c r="CN87" s="91"/>
      <c r="CO87" s="91"/>
      <c r="CP87" s="91"/>
      <c r="CQ87" s="91"/>
      <c r="CR87" s="91"/>
      <c r="CS87" s="91"/>
      <c r="CT87" s="91"/>
      <c r="CU87" s="91"/>
      <c r="CV87" s="91"/>
      <c r="CW87" s="91"/>
      <c r="CX87" s="91"/>
      <c r="CY87" s="91"/>
      <c r="CZ87" s="91"/>
      <c r="DA87" s="91"/>
      <c r="DB87" s="91"/>
      <c r="DC87" s="91"/>
      <c r="DD87" s="91"/>
      <c r="DE87" s="91"/>
      <c r="DF87" s="91"/>
      <c r="DG87" s="91"/>
      <c r="DH87" s="91"/>
      <c r="DI87" s="91"/>
      <c r="DJ87" s="91"/>
      <c r="DK87" s="91"/>
      <c r="DL87" s="91"/>
      <c r="DM87" s="91"/>
      <c r="DN87" s="91"/>
      <c r="DO87" s="91"/>
      <c r="DP87" s="91"/>
      <c r="DQ87" s="91"/>
      <c r="DR87" s="91"/>
      <c r="DS87" s="91"/>
      <c r="DT87" s="91"/>
      <c r="DU87" s="91"/>
      <c r="DV87" s="91"/>
      <c r="DW87" s="91"/>
      <c r="DX87" s="91"/>
      <c r="DY87" s="91"/>
      <c r="DZ87" s="91"/>
      <c r="EA87" s="91"/>
      <c r="EB87" s="91"/>
      <c r="EC87" s="91"/>
      <c r="ED87" s="91"/>
      <c r="EE87" s="91"/>
      <c r="EF87" s="91"/>
      <c r="EG87" s="91"/>
      <c r="EH87" s="91"/>
      <c r="EI87" s="91"/>
      <c r="EJ87" s="91"/>
      <c r="EK87" s="91"/>
      <c r="EL87" s="91"/>
      <c r="EM87" s="91"/>
      <c r="EN87" s="91"/>
      <c r="EO87" s="91"/>
      <c r="EP87" s="91"/>
      <c r="EQ87" s="91"/>
      <c r="ER87" s="91"/>
      <c r="ES87" s="91"/>
      <c r="ET87" s="91"/>
      <c r="EU87" s="91"/>
      <c r="EV87" s="91"/>
      <c r="EW87" s="91"/>
      <c r="EX87" s="91"/>
      <c r="EY87" s="91"/>
      <c r="EZ87" s="91"/>
      <c r="FA87" s="91"/>
      <c r="FB87" s="91"/>
      <c r="FC87" s="91"/>
      <c r="FD87" s="91"/>
      <c r="FE87" s="91"/>
      <c r="FF87" s="91"/>
      <c r="FG87" s="91"/>
      <c r="FH87" s="91"/>
      <c r="FI87" s="91"/>
      <c r="FJ87" s="91"/>
      <c r="FK87" s="91"/>
      <c r="FL87" s="91"/>
      <c r="FM87" s="91"/>
      <c r="FN87" s="91"/>
      <c r="FO87" s="91"/>
      <c r="FP87" s="91"/>
      <c r="FQ87" s="91"/>
      <c r="FR87" s="91"/>
      <c r="FS87" s="91"/>
      <c r="FT87" s="91"/>
      <c r="FU87" s="91"/>
      <c r="FV87" s="91"/>
      <c r="FW87" s="91"/>
      <c r="FX87" s="91"/>
      <c r="FY87" s="91"/>
      <c r="FZ87" s="91"/>
      <c r="GA87" s="91"/>
      <c r="GB87" s="91"/>
      <c r="GC87" s="91"/>
      <c r="GD87" s="91"/>
      <c r="GE87" s="91"/>
      <c r="GF87" s="91"/>
      <c r="GG87" s="91"/>
      <c r="GH87" s="91"/>
      <c r="GI87" s="91"/>
      <c r="GJ87" s="91"/>
      <c r="GK87" s="91"/>
      <c r="GL87" s="91"/>
      <c r="GM87" s="91"/>
      <c r="GN87" s="91"/>
      <c r="GO87" s="91"/>
      <c r="GP87" s="91"/>
      <c r="GQ87" s="91"/>
      <c r="GR87" s="91"/>
      <c r="GS87" s="91"/>
      <c r="GT87" s="91"/>
      <c r="GU87" s="91"/>
      <c r="GV87" s="91"/>
      <c r="GW87" s="91"/>
      <c r="GX87" s="91"/>
      <c r="GY87" s="91"/>
      <c r="GZ87" s="91"/>
      <c r="HA87" s="91"/>
      <c r="HB87" s="91"/>
      <c r="HC87" s="91"/>
      <c r="HD87" s="91"/>
      <c r="HE87" s="91"/>
      <c r="HF87" s="91"/>
      <c r="HG87" s="91"/>
      <c r="HH87" s="91"/>
      <c r="HI87" s="91"/>
      <c r="HJ87" s="91"/>
      <c r="HK87" s="91"/>
      <c r="HL87" s="91"/>
      <c r="HM87" s="91"/>
      <c r="HN87" s="91"/>
      <c r="HO87" s="91"/>
      <c r="HP87" s="91"/>
      <c r="HQ87" s="91"/>
      <c r="HR87" s="91"/>
      <c r="HS87" s="91"/>
      <c r="HT87" s="91"/>
      <c r="HU87" s="91"/>
      <c r="HV87" s="91"/>
      <c r="HW87" s="91"/>
      <c r="HX87" s="91"/>
      <c r="HY87" s="91"/>
      <c r="HZ87" s="91"/>
      <c r="IA87" s="91"/>
      <c r="IB87" s="91"/>
      <c r="IC87" s="91"/>
      <c r="ID87" s="91"/>
      <c r="IE87" s="91"/>
      <c r="IF87" s="91"/>
      <c r="IG87" s="91"/>
      <c r="IH87" s="91"/>
      <c r="II87" s="91"/>
      <c r="IJ87" s="91"/>
      <c r="IK87" s="91"/>
      <c r="IL87" s="91"/>
      <c r="IM87" s="91"/>
      <c r="IN87" s="91"/>
      <c r="IO87" s="91"/>
    </row>
    <row r="88" spans="3:249" x14ac:dyDescent="0.2">
      <c r="C88" s="1"/>
      <c r="D88" s="134"/>
      <c r="E88" s="141" t="s">
        <v>93</v>
      </c>
      <c r="F88" s="203">
        <v>20</v>
      </c>
      <c r="G88" s="204">
        <v>35</v>
      </c>
      <c r="H88" s="205">
        <f t="shared" si="3"/>
        <v>40800</v>
      </c>
      <c r="I88" s="206">
        <f t="shared" si="3"/>
        <v>71400</v>
      </c>
      <c r="J88" s="43"/>
      <c r="K88" s="1"/>
      <c r="L88" s="82"/>
      <c r="M88" s="82"/>
      <c r="N88" s="82"/>
      <c r="O88" s="91"/>
      <c r="P88" s="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  <c r="AC88" s="91"/>
      <c r="AD88" s="91"/>
      <c r="AE88" s="91"/>
      <c r="AF88" s="91"/>
      <c r="AG88" s="91"/>
      <c r="AH88" s="91"/>
      <c r="AI88" s="91"/>
      <c r="AJ88" s="91"/>
      <c r="AK88" s="91"/>
      <c r="AL88" s="91"/>
      <c r="AM88" s="91"/>
      <c r="AN88" s="91"/>
      <c r="AO88" s="91"/>
      <c r="AP88" s="91"/>
      <c r="AQ88" s="91"/>
      <c r="AR88" s="91"/>
      <c r="AS88" s="91"/>
      <c r="AT88" s="91"/>
      <c r="AU88" s="91"/>
      <c r="AV88" s="91"/>
      <c r="AW88" s="91"/>
      <c r="AX88" s="91"/>
      <c r="AY88" s="91"/>
      <c r="AZ88" s="91"/>
      <c r="BA88" s="91"/>
      <c r="BB88" s="91"/>
      <c r="BC88" s="91"/>
      <c r="BD88" s="91"/>
      <c r="BE88" s="91"/>
      <c r="BF88" s="91"/>
      <c r="BG88" s="91"/>
      <c r="BH88" s="91"/>
      <c r="BI88" s="91"/>
      <c r="BJ88" s="91"/>
      <c r="BK88" s="91"/>
      <c r="BL88" s="91"/>
      <c r="BM88" s="91"/>
      <c r="BN88" s="91"/>
      <c r="BO88" s="91"/>
      <c r="BP88" s="91"/>
      <c r="BQ88" s="91"/>
      <c r="BR88" s="91"/>
      <c r="BS88" s="91"/>
      <c r="BT88" s="91"/>
      <c r="BU88" s="91"/>
      <c r="BV88" s="91"/>
      <c r="BW88" s="91"/>
      <c r="BX88" s="91"/>
      <c r="BY88" s="91"/>
      <c r="BZ88" s="91"/>
      <c r="CA88" s="91"/>
      <c r="CB88" s="91"/>
      <c r="CC88" s="91"/>
      <c r="CD88" s="91"/>
      <c r="CE88" s="91"/>
      <c r="CF88" s="91"/>
      <c r="CG88" s="91"/>
      <c r="CH88" s="91"/>
      <c r="CI88" s="91"/>
      <c r="CJ88" s="91"/>
      <c r="CK88" s="91"/>
      <c r="CL88" s="91"/>
      <c r="CM88" s="91"/>
      <c r="CN88" s="91"/>
      <c r="CO88" s="91"/>
      <c r="CP88" s="91"/>
      <c r="CQ88" s="91"/>
      <c r="CR88" s="91"/>
      <c r="CS88" s="91"/>
      <c r="CT88" s="91"/>
      <c r="CU88" s="91"/>
      <c r="CV88" s="91"/>
      <c r="CW88" s="91"/>
      <c r="CX88" s="91"/>
      <c r="CY88" s="91"/>
      <c r="CZ88" s="91"/>
      <c r="DA88" s="91"/>
      <c r="DB88" s="91"/>
      <c r="DC88" s="91"/>
      <c r="DD88" s="91"/>
      <c r="DE88" s="91"/>
      <c r="DF88" s="91"/>
      <c r="DG88" s="91"/>
      <c r="DH88" s="91"/>
      <c r="DI88" s="91"/>
      <c r="DJ88" s="91"/>
      <c r="DK88" s="91"/>
      <c r="DL88" s="91"/>
      <c r="DM88" s="91"/>
      <c r="DN88" s="91"/>
      <c r="DO88" s="91"/>
      <c r="DP88" s="91"/>
      <c r="DQ88" s="91"/>
      <c r="DR88" s="91"/>
      <c r="DS88" s="91"/>
      <c r="DT88" s="91"/>
      <c r="DU88" s="91"/>
      <c r="DV88" s="91"/>
      <c r="DW88" s="91"/>
      <c r="DX88" s="91"/>
      <c r="DY88" s="91"/>
      <c r="DZ88" s="91"/>
      <c r="EA88" s="91"/>
      <c r="EB88" s="91"/>
      <c r="EC88" s="91"/>
      <c r="ED88" s="91"/>
      <c r="EE88" s="91"/>
      <c r="EF88" s="91"/>
      <c r="EG88" s="91"/>
      <c r="EH88" s="91"/>
      <c r="EI88" s="91"/>
      <c r="EJ88" s="91"/>
      <c r="EK88" s="91"/>
      <c r="EL88" s="91"/>
      <c r="EM88" s="91"/>
      <c r="EN88" s="91"/>
      <c r="EO88" s="91"/>
      <c r="EP88" s="91"/>
      <c r="EQ88" s="91"/>
      <c r="ER88" s="91"/>
      <c r="ES88" s="91"/>
      <c r="ET88" s="91"/>
      <c r="EU88" s="91"/>
      <c r="EV88" s="91"/>
      <c r="EW88" s="91"/>
      <c r="EX88" s="91"/>
      <c r="EY88" s="91"/>
      <c r="EZ88" s="91"/>
      <c r="FA88" s="91"/>
      <c r="FB88" s="91"/>
      <c r="FC88" s="91"/>
      <c r="FD88" s="91"/>
      <c r="FE88" s="91"/>
      <c r="FF88" s="91"/>
      <c r="FG88" s="91"/>
      <c r="FH88" s="91"/>
      <c r="FI88" s="91"/>
      <c r="FJ88" s="91"/>
      <c r="FK88" s="91"/>
      <c r="FL88" s="91"/>
      <c r="FM88" s="91"/>
      <c r="FN88" s="91"/>
      <c r="FO88" s="91"/>
      <c r="FP88" s="91"/>
      <c r="FQ88" s="91"/>
      <c r="FR88" s="91"/>
      <c r="FS88" s="91"/>
      <c r="FT88" s="91"/>
      <c r="FU88" s="91"/>
      <c r="FV88" s="91"/>
      <c r="FW88" s="91"/>
      <c r="FX88" s="91"/>
      <c r="FY88" s="91"/>
      <c r="FZ88" s="91"/>
      <c r="GA88" s="91"/>
      <c r="GB88" s="91"/>
      <c r="GC88" s="91"/>
      <c r="GD88" s="91"/>
      <c r="GE88" s="91"/>
      <c r="GF88" s="91"/>
      <c r="GG88" s="91"/>
      <c r="GH88" s="91"/>
      <c r="GI88" s="91"/>
      <c r="GJ88" s="91"/>
      <c r="GK88" s="91"/>
      <c r="GL88" s="91"/>
      <c r="GM88" s="91"/>
      <c r="GN88" s="91"/>
      <c r="GO88" s="91"/>
      <c r="GP88" s="91"/>
      <c r="GQ88" s="91"/>
      <c r="GR88" s="91"/>
      <c r="GS88" s="91"/>
      <c r="GT88" s="91"/>
      <c r="GU88" s="91"/>
      <c r="GV88" s="91"/>
      <c r="GW88" s="91"/>
      <c r="GX88" s="91"/>
      <c r="GY88" s="91"/>
      <c r="GZ88" s="91"/>
      <c r="HA88" s="91"/>
      <c r="HB88" s="91"/>
      <c r="HC88" s="91"/>
      <c r="HD88" s="91"/>
      <c r="HE88" s="91"/>
      <c r="HF88" s="91"/>
      <c r="HG88" s="91"/>
      <c r="HH88" s="91"/>
      <c r="HI88" s="91"/>
      <c r="HJ88" s="91"/>
      <c r="HK88" s="91"/>
      <c r="HL88" s="91"/>
      <c r="HM88" s="91"/>
      <c r="HN88" s="91"/>
      <c r="HO88" s="91"/>
      <c r="HP88" s="91"/>
      <c r="HQ88" s="91"/>
      <c r="HR88" s="91"/>
      <c r="HS88" s="91"/>
      <c r="HT88" s="91"/>
      <c r="HU88" s="91"/>
      <c r="HV88" s="91"/>
      <c r="HW88" s="91"/>
      <c r="HX88" s="91"/>
      <c r="HY88" s="91"/>
      <c r="HZ88" s="91"/>
      <c r="IA88" s="91"/>
      <c r="IB88" s="91"/>
      <c r="IC88" s="91"/>
      <c r="ID88" s="91"/>
      <c r="IE88" s="91"/>
      <c r="IF88" s="91"/>
      <c r="IG88" s="91"/>
      <c r="IH88" s="91"/>
      <c r="II88" s="91"/>
      <c r="IJ88" s="91"/>
      <c r="IK88" s="91"/>
      <c r="IL88" s="91"/>
      <c r="IM88" s="91"/>
      <c r="IN88" s="91"/>
      <c r="IO88" s="91"/>
    </row>
    <row r="89" spans="3:249" x14ac:dyDescent="0.2">
      <c r="C89" s="1"/>
      <c r="D89" s="134">
        <f>5*52*8</f>
        <v>2080</v>
      </c>
      <c r="E89" s="207"/>
      <c r="F89" s="208">
        <f>SUM(F86:F88)</f>
        <v>50</v>
      </c>
      <c r="G89" s="208">
        <f>SUM(G86:G88)</f>
        <v>105</v>
      </c>
      <c r="H89" s="209">
        <f>SUM(H86:H88)</f>
        <v>102000</v>
      </c>
      <c r="I89" s="210">
        <f>SUM(I86:I88)</f>
        <v>214200</v>
      </c>
      <c r="J89" s="43"/>
      <c r="K89" s="82" t="s">
        <v>94</v>
      </c>
      <c r="L89" s="82"/>
      <c r="M89" s="82"/>
      <c r="N89" s="82"/>
      <c r="O89" s="91"/>
      <c r="P89" s="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  <c r="AC89" s="91"/>
      <c r="AD89" s="91"/>
      <c r="AE89" s="91"/>
      <c r="AF89" s="91"/>
      <c r="AG89" s="91"/>
      <c r="AH89" s="91"/>
      <c r="AI89" s="91"/>
      <c r="AJ89" s="91"/>
      <c r="AK89" s="91"/>
      <c r="AL89" s="91"/>
      <c r="AM89" s="91"/>
      <c r="AN89" s="91"/>
      <c r="AO89" s="91"/>
      <c r="AP89" s="91"/>
      <c r="AQ89" s="91"/>
      <c r="AR89" s="91"/>
      <c r="AS89" s="91"/>
      <c r="AT89" s="91"/>
      <c r="AU89" s="91"/>
      <c r="AV89" s="91"/>
      <c r="AW89" s="91"/>
      <c r="AX89" s="91"/>
      <c r="AY89" s="91"/>
      <c r="AZ89" s="91"/>
      <c r="BA89" s="91"/>
      <c r="BB89" s="91"/>
      <c r="BC89" s="91"/>
      <c r="BD89" s="91"/>
      <c r="BE89" s="91"/>
      <c r="BF89" s="91"/>
      <c r="BG89" s="91"/>
      <c r="BH89" s="91"/>
      <c r="BI89" s="91"/>
      <c r="BJ89" s="91"/>
      <c r="BK89" s="91"/>
      <c r="BL89" s="91"/>
      <c r="BM89" s="91"/>
      <c r="BN89" s="91"/>
      <c r="BO89" s="91"/>
      <c r="BP89" s="91"/>
      <c r="BQ89" s="91"/>
      <c r="BR89" s="91"/>
      <c r="BS89" s="91"/>
      <c r="BT89" s="91"/>
      <c r="BU89" s="91"/>
      <c r="BV89" s="91"/>
      <c r="BW89" s="91"/>
      <c r="BX89" s="91"/>
      <c r="BY89" s="91"/>
      <c r="BZ89" s="91"/>
      <c r="CA89" s="91"/>
      <c r="CB89" s="91"/>
      <c r="CC89" s="91"/>
      <c r="CD89" s="91"/>
      <c r="CE89" s="91"/>
      <c r="CF89" s="91"/>
      <c r="CG89" s="91"/>
      <c r="CH89" s="91"/>
      <c r="CI89" s="91"/>
      <c r="CJ89" s="91"/>
      <c r="CK89" s="91"/>
      <c r="CL89" s="91"/>
      <c r="CM89" s="91"/>
      <c r="CN89" s="91"/>
      <c r="CO89" s="91"/>
      <c r="CP89" s="91"/>
      <c r="CQ89" s="91"/>
      <c r="CR89" s="91"/>
      <c r="CS89" s="91"/>
      <c r="CT89" s="91"/>
      <c r="CU89" s="91"/>
      <c r="CV89" s="91"/>
      <c r="CW89" s="91"/>
      <c r="CX89" s="91"/>
      <c r="CY89" s="91"/>
      <c r="CZ89" s="91"/>
      <c r="DA89" s="91"/>
      <c r="DB89" s="91"/>
      <c r="DC89" s="91"/>
      <c r="DD89" s="91"/>
      <c r="DE89" s="91"/>
      <c r="DF89" s="91"/>
      <c r="DG89" s="91"/>
      <c r="DH89" s="91"/>
      <c r="DI89" s="91"/>
      <c r="DJ89" s="91"/>
      <c r="DK89" s="91"/>
      <c r="DL89" s="91"/>
      <c r="DM89" s="91"/>
      <c r="DN89" s="91"/>
      <c r="DO89" s="91"/>
      <c r="DP89" s="91"/>
      <c r="DQ89" s="91"/>
      <c r="DR89" s="91"/>
      <c r="DS89" s="91"/>
      <c r="DT89" s="91"/>
      <c r="DU89" s="91"/>
      <c r="DV89" s="91"/>
      <c r="DW89" s="91"/>
      <c r="DX89" s="91"/>
      <c r="DY89" s="91"/>
      <c r="DZ89" s="91"/>
      <c r="EA89" s="91"/>
      <c r="EB89" s="91"/>
      <c r="EC89" s="91"/>
      <c r="ED89" s="91"/>
      <c r="EE89" s="91"/>
      <c r="EF89" s="91"/>
      <c r="EG89" s="91"/>
      <c r="EH89" s="91"/>
      <c r="EI89" s="91"/>
      <c r="EJ89" s="91"/>
      <c r="EK89" s="91"/>
      <c r="EL89" s="91"/>
      <c r="EM89" s="91"/>
      <c r="EN89" s="91"/>
      <c r="EO89" s="91"/>
      <c r="EP89" s="91"/>
      <c r="EQ89" s="91"/>
      <c r="ER89" s="91"/>
      <c r="ES89" s="91"/>
      <c r="ET89" s="91"/>
      <c r="EU89" s="91"/>
      <c r="EV89" s="91"/>
      <c r="EW89" s="91"/>
      <c r="EX89" s="91"/>
      <c r="EY89" s="91"/>
      <c r="EZ89" s="91"/>
      <c r="FA89" s="91"/>
      <c r="FB89" s="91"/>
      <c r="FC89" s="91"/>
      <c r="FD89" s="91"/>
      <c r="FE89" s="91"/>
      <c r="FF89" s="91"/>
      <c r="FG89" s="91"/>
      <c r="FH89" s="91"/>
      <c r="FI89" s="91"/>
      <c r="FJ89" s="91"/>
      <c r="FK89" s="91"/>
      <c r="FL89" s="91"/>
      <c r="FM89" s="91"/>
      <c r="FN89" s="91"/>
      <c r="FO89" s="91"/>
      <c r="FP89" s="91"/>
      <c r="FQ89" s="91"/>
      <c r="FR89" s="91"/>
      <c r="FS89" s="91"/>
      <c r="FT89" s="91"/>
      <c r="FU89" s="91"/>
      <c r="FV89" s="91"/>
      <c r="FW89" s="91"/>
      <c r="FX89" s="91"/>
      <c r="FY89" s="91"/>
      <c r="FZ89" s="91"/>
      <c r="GA89" s="91"/>
      <c r="GB89" s="91"/>
      <c r="GC89" s="91"/>
      <c r="GD89" s="91"/>
      <c r="GE89" s="91"/>
      <c r="GF89" s="91"/>
      <c r="GG89" s="91"/>
      <c r="GH89" s="91"/>
      <c r="GI89" s="91"/>
      <c r="GJ89" s="91"/>
      <c r="GK89" s="91"/>
      <c r="GL89" s="91"/>
      <c r="GM89" s="91"/>
      <c r="GN89" s="91"/>
      <c r="GO89" s="91"/>
      <c r="GP89" s="91"/>
      <c r="GQ89" s="91"/>
      <c r="GR89" s="91"/>
      <c r="GS89" s="91"/>
      <c r="GT89" s="91"/>
      <c r="GU89" s="91"/>
      <c r="GV89" s="91"/>
      <c r="GW89" s="91"/>
      <c r="GX89" s="91"/>
      <c r="GY89" s="91"/>
      <c r="GZ89" s="91"/>
      <c r="HA89" s="91"/>
      <c r="HB89" s="91"/>
      <c r="HC89" s="91"/>
      <c r="HD89" s="91"/>
      <c r="HE89" s="91"/>
      <c r="HF89" s="91"/>
      <c r="HG89" s="91"/>
      <c r="HH89" s="91"/>
      <c r="HI89" s="91"/>
      <c r="HJ89" s="91"/>
      <c r="HK89" s="91"/>
      <c r="HL89" s="91"/>
      <c r="HM89" s="91"/>
      <c r="HN89" s="91"/>
      <c r="HO89" s="91"/>
      <c r="HP89" s="91"/>
      <c r="HQ89" s="91"/>
      <c r="HR89" s="91"/>
      <c r="HS89" s="91"/>
      <c r="HT89" s="91"/>
      <c r="HU89" s="91"/>
      <c r="HV89" s="91"/>
      <c r="HW89" s="91"/>
      <c r="HX89" s="91"/>
      <c r="HY89" s="91"/>
      <c r="HZ89" s="91"/>
      <c r="IA89" s="91"/>
      <c r="IB89" s="91"/>
      <c r="IC89" s="91"/>
      <c r="ID89" s="91"/>
      <c r="IE89" s="91"/>
      <c r="IF89" s="91"/>
      <c r="IG89" s="91"/>
      <c r="IH89" s="91"/>
      <c r="II89" s="91"/>
      <c r="IJ89" s="91"/>
      <c r="IK89" s="91"/>
      <c r="IL89" s="91"/>
      <c r="IM89" s="91"/>
      <c r="IN89" s="91"/>
      <c r="IO89" s="91"/>
    </row>
    <row r="90" spans="3:249" x14ac:dyDescent="0.2">
      <c r="C90" s="1"/>
      <c r="D90" s="134"/>
      <c r="E90" s="211" t="s">
        <v>95</v>
      </c>
      <c r="F90" s="212"/>
      <c r="G90" s="213"/>
      <c r="H90" s="214">
        <f>+H89/$F$12</f>
        <v>600</v>
      </c>
      <c r="I90" s="215">
        <f>+I89/$F$12</f>
        <v>1260</v>
      </c>
      <c r="J90" s="6"/>
      <c r="K90" s="216" t="s">
        <v>96</v>
      </c>
      <c r="L90" s="217" t="s">
        <v>97</v>
      </c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  <c r="AC90" s="91"/>
      <c r="AD90" s="91"/>
      <c r="AE90" s="91"/>
      <c r="AF90" s="91"/>
      <c r="AG90" s="91"/>
      <c r="AH90" s="91"/>
      <c r="AI90" s="91"/>
      <c r="AJ90" s="91"/>
      <c r="AK90" s="91"/>
      <c r="AL90" s="91"/>
      <c r="AM90" s="91"/>
      <c r="AN90" s="91"/>
      <c r="AO90" s="91"/>
      <c r="AP90" s="91"/>
      <c r="AQ90" s="91"/>
      <c r="AR90" s="91"/>
      <c r="AS90" s="91"/>
      <c r="AT90" s="91"/>
      <c r="AU90" s="91"/>
      <c r="AV90" s="91"/>
      <c r="AW90" s="91"/>
      <c r="AX90" s="91"/>
      <c r="AY90" s="91"/>
      <c r="AZ90" s="91"/>
      <c r="BA90" s="91"/>
      <c r="BB90" s="91"/>
      <c r="BC90" s="91"/>
      <c r="BD90" s="91"/>
      <c r="BE90" s="91"/>
      <c r="BF90" s="91"/>
      <c r="BG90" s="91"/>
      <c r="BH90" s="91"/>
      <c r="BI90" s="91"/>
      <c r="BJ90" s="91"/>
      <c r="BK90" s="91"/>
      <c r="BL90" s="91"/>
      <c r="BM90" s="91"/>
      <c r="BN90" s="91"/>
      <c r="BO90" s="91"/>
      <c r="BP90" s="91"/>
      <c r="BQ90" s="91"/>
      <c r="BR90" s="91"/>
      <c r="BS90" s="91"/>
      <c r="BT90" s="91"/>
      <c r="BU90" s="91"/>
      <c r="BV90" s="91"/>
      <c r="BW90" s="91"/>
      <c r="BX90" s="91"/>
      <c r="BY90" s="91"/>
      <c r="BZ90" s="91"/>
      <c r="CA90" s="91"/>
      <c r="CB90" s="91"/>
      <c r="CC90" s="91"/>
      <c r="CD90" s="91"/>
      <c r="CE90" s="91"/>
      <c r="CF90" s="91"/>
      <c r="CG90" s="91"/>
      <c r="CH90" s="91"/>
      <c r="CI90" s="91"/>
      <c r="CJ90" s="91"/>
      <c r="CK90" s="91"/>
      <c r="CL90" s="91"/>
      <c r="CM90" s="91"/>
      <c r="CN90" s="91"/>
      <c r="CO90" s="91"/>
      <c r="CP90" s="91"/>
      <c r="CQ90" s="91"/>
      <c r="CR90" s="91"/>
      <c r="CS90" s="91"/>
      <c r="CT90" s="91"/>
      <c r="CU90" s="91"/>
      <c r="CV90" s="91"/>
      <c r="CW90" s="91"/>
      <c r="CX90" s="91"/>
      <c r="CY90" s="91"/>
      <c r="CZ90" s="91"/>
      <c r="DA90" s="91"/>
      <c r="DB90" s="91"/>
      <c r="DC90" s="91"/>
      <c r="DD90" s="91"/>
      <c r="DE90" s="91"/>
      <c r="DF90" s="91"/>
      <c r="DG90" s="91"/>
      <c r="DH90" s="91"/>
      <c r="DI90" s="91"/>
      <c r="DJ90" s="91"/>
      <c r="DK90" s="91"/>
      <c r="DL90" s="91"/>
      <c r="DM90" s="91"/>
      <c r="DN90" s="91"/>
      <c r="DO90" s="91"/>
      <c r="DP90" s="91"/>
      <c r="DQ90" s="91"/>
      <c r="DR90" s="91"/>
      <c r="DS90" s="91"/>
      <c r="DT90" s="91"/>
      <c r="DU90" s="91"/>
      <c r="DV90" s="91"/>
      <c r="DW90" s="91"/>
      <c r="DX90" s="91"/>
      <c r="DY90" s="91"/>
      <c r="DZ90" s="91"/>
      <c r="EA90" s="91"/>
      <c r="EB90" s="91"/>
      <c r="EC90" s="91"/>
      <c r="ED90" s="91"/>
      <c r="EE90" s="91"/>
      <c r="EF90" s="91"/>
      <c r="EG90" s="91"/>
      <c r="EH90" s="91"/>
      <c r="EI90" s="91"/>
      <c r="EJ90" s="91"/>
      <c r="EK90" s="91"/>
      <c r="EL90" s="91"/>
      <c r="EM90" s="91"/>
      <c r="EN90" s="91"/>
      <c r="EO90" s="91"/>
      <c r="EP90" s="91"/>
      <c r="EQ90" s="91"/>
      <c r="ER90" s="91"/>
      <c r="ES90" s="91"/>
      <c r="ET90" s="91"/>
      <c r="EU90" s="91"/>
      <c r="EV90" s="91"/>
      <c r="EW90" s="91"/>
      <c r="EX90" s="91"/>
      <c r="EY90" s="91"/>
      <c r="EZ90" s="91"/>
      <c r="FA90" s="91"/>
      <c r="FB90" s="91"/>
      <c r="FC90" s="91"/>
      <c r="FD90" s="91"/>
      <c r="FE90" s="91"/>
      <c r="FF90" s="91"/>
      <c r="FG90" s="91"/>
      <c r="FH90" s="91"/>
      <c r="FI90" s="91"/>
      <c r="FJ90" s="91"/>
      <c r="FK90" s="91"/>
      <c r="FL90" s="91"/>
      <c r="FM90" s="91"/>
      <c r="FN90" s="91"/>
      <c r="FO90" s="91"/>
      <c r="FP90" s="91"/>
      <c r="FQ90" s="91"/>
      <c r="FR90" s="91"/>
      <c r="FS90" s="91"/>
      <c r="FT90" s="91"/>
      <c r="FU90" s="91"/>
      <c r="FV90" s="91"/>
      <c r="FW90" s="91"/>
      <c r="FX90" s="91"/>
      <c r="FY90" s="91"/>
      <c r="FZ90" s="91"/>
      <c r="GA90" s="91"/>
      <c r="GB90" s="91"/>
      <c r="GC90" s="91"/>
      <c r="GD90" s="91"/>
      <c r="GE90" s="91"/>
      <c r="GF90" s="91"/>
      <c r="GG90" s="91"/>
      <c r="GH90" s="91"/>
      <c r="GI90" s="91"/>
      <c r="GJ90" s="91"/>
      <c r="GK90" s="91"/>
      <c r="GL90" s="91"/>
      <c r="GM90" s="91"/>
      <c r="GN90" s="91"/>
      <c r="GO90" s="91"/>
      <c r="GP90" s="91"/>
      <c r="GQ90" s="91"/>
      <c r="GR90" s="91"/>
      <c r="GS90" s="91"/>
      <c r="GT90" s="91"/>
      <c r="GU90" s="91"/>
      <c r="GV90" s="91"/>
      <c r="GW90" s="91"/>
      <c r="GX90" s="91"/>
      <c r="GY90" s="91"/>
      <c r="GZ90" s="91"/>
      <c r="HA90" s="91"/>
      <c r="HB90" s="91"/>
      <c r="HC90" s="91"/>
      <c r="HD90" s="91"/>
      <c r="HE90" s="91"/>
      <c r="HF90" s="91"/>
      <c r="HG90" s="91"/>
      <c r="HH90" s="91"/>
      <c r="HI90" s="91"/>
      <c r="HJ90" s="91"/>
      <c r="HK90" s="91"/>
      <c r="HL90" s="91"/>
      <c r="HM90" s="91"/>
      <c r="HN90" s="91"/>
      <c r="HO90" s="91"/>
      <c r="HP90" s="91"/>
      <c r="HQ90" s="91"/>
      <c r="HR90" s="91"/>
      <c r="HS90" s="91"/>
      <c r="HT90" s="91"/>
      <c r="HU90" s="91"/>
      <c r="HV90" s="91"/>
      <c r="HW90" s="91"/>
      <c r="HX90" s="91"/>
      <c r="HY90" s="91"/>
      <c r="HZ90" s="91"/>
      <c r="IA90" s="91"/>
      <c r="IB90" s="91"/>
      <c r="IC90" s="91"/>
      <c r="ID90" s="91"/>
      <c r="IE90" s="91"/>
      <c r="IF90" s="91"/>
      <c r="IG90" s="91"/>
      <c r="IH90" s="91"/>
      <c r="II90" s="91"/>
      <c r="IJ90" s="91"/>
      <c r="IK90" s="91"/>
      <c r="IL90" s="91"/>
      <c r="IM90" s="91"/>
      <c r="IN90" s="91"/>
      <c r="IO90" s="91"/>
    </row>
    <row r="91" spans="3:249" x14ac:dyDescent="0.2">
      <c r="C91" s="1"/>
      <c r="D91" s="134"/>
      <c r="E91" s="218"/>
      <c r="F91" s="219"/>
      <c r="G91" s="220"/>
      <c r="H91" s="179"/>
      <c r="I91" s="221">
        <f>AVERAGE(H90:I90)</f>
        <v>930</v>
      </c>
      <c r="J91" s="91" t="s">
        <v>98</v>
      </c>
      <c r="K91" s="222">
        <f>+'[1]Typical Conv.Operating Expenses'!BW101</f>
        <v>500</v>
      </c>
      <c r="L91" s="223">
        <f>+'[1]Typical Conv.Operating Expenses'!BX101</f>
        <v>1498.2845528455284</v>
      </c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91"/>
      <c r="AE91" s="91"/>
      <c r="AF91" s="91"/>
      <c r="AG91" s="91"/>
      <c r="AH91" s="91"/>
      <c r="AI91" s="91"/>
      <c r="AJ91" s="91"/>
      <c r="AK91" s="91"/>
      <c r="AL91" s="91"/>
      <c r="AM91" s="91"/>
      <c r="AN91" s="91"/>
      <c r="AO91" s="91"/>
      <c r="AP91" s="91"/>
      <c r="AQ91" s="91"/>
      <c r="AR91" s="91"/>
      <c r="AS91" s="91"/>
      <c r="AT91" s="91"/>
      <c r="AU91" s="91"/>
      <c r="AV91" s="91"/>
      <c r="AW91" s="91"/>
      <c r="AX91" s="91"/>
      <c r="AY91" s="91"/>
      <c r="AZ91" s="91"/>
      <c r="BA91" s="91"/>
      <c r="BB91" s="91"/>
      <c r="BC91" s="91"/>
      <c r="BD91" s="91"/>
      <c r="BE91" s="91"/>
      <c r="BF91" s="91"/>
      <c r="BG91" s="91"/>
      <c r="BH91" s="91"/>
      <c r="BI91" s="91"/>
      <c r="BJ91" s="91"/>
      <c r="BK91" s="91"/>
      <c r="BL91" s="91"/>
      <c r="BM91" s="91"/>
      <c r="BN91" s="91"/>
      <c r="BO91" s="91"/>
      <c r="BP91" s="91"/>
      <c r="BQ91" s="91"/>
      <c r="BR91" s="91"/>
      <c r="BS91" s="91"/>
      <c r="BT91" s="91"/>
      <c r="BU91" s="91"/>
      <c r="BV91" s="91"/>
      <c r="BW91" s="91"/>
      <c r="BX91" s="91"/>
      <c r="BY91" s="91"/>
      <c r="BZ91" s="91"/>
      <c r="CA91" s="91"/>
      <c r="CB91" s="91"/>
      <c r="CC91" s="91"/>
      <c r="CD91" s="91"/>
      <c r="CE91" s="91"/>
      <c r="CF91" s="91"/>
      <c r="CG91" s="91"/>
      <c r="CH91" s="91"/>
      <c r="CI91" s="91"/>
      <c r="CJ91" s="91"/>
      <c r="CK91" s="91"/>
      <c r="CL91" s="91"/>
      <c r="CM91" s="91"/>
      <c r="CN91" s="91"/>
      <c r="CO91" s="91"/>
      <c r="CP91" s="91"/>
      <c r="CQ91" s="91"/>
      <c r="CR91" s="91"/>
      <c r="CS91" s="91"/>
      <c r="CT91" s="91"/>
      <c r="CU91" s="91"/>
      <c r="CV91" s="91"/>
      <c r="CW91" s="91"/>
      <c r="CX91" s="91"/>
      <c r="CY91" s="91"/>
      <c r="CZ91" s="91"/>
      <c r="DA91" s="91"/>
      <c r="DB91" s="91"/>
      <c r="DC91" s="91"/>
      <c r="DD91" s="91"/>
      <c r="DE91" s="91"/>
      <c r="DF91" s="91"/>
      <c r="DG91" s="91"/>
      <c r="DH91" s="91"/>
      <c r="DI91" s="91"/>
      <c r="DJ91" s="91"/>
      <c r="DK91" s="91"/>
      <c r="DL91" s="91"/>
      <c r="DM91" s="91"/>
      <c r="DN91" s="91"/>
      <c r="DO91" s="91"/>
      <c r="DP91" s="91"/>
      <c r="DQ91" s="91"/>
      <c r="DR91" s="91"/>
      <c r="DS91" s="91"/>
      <c r="DT91" s="91"/>
      <c r="DU91" s="91"/>
      <c r="DV91" s="91"/>
      <c r="DW91" s="91"/>
      <c r="DX91" s="91"/>
      <c r="DY91" s="91"/>
      <c r="DZ91" s="91"/>
      <c r="EA91" s="91"/>
      <c r="EB91" s="91"/>
      <c r="EC91" s="91"/>
      <c r="ED91" s="91"/>
      <c r="EE91" s="91"/>
      <c r="EF91" s="91"/>
      <c r="EG91" s="91"/>
      <c r="EH91" s="91"/>
      <c r="EI91" s="91"/>
      <c r="EJ91" s="91"/>
      <c r="EK91" s="91"/>
      <c r="EL91" s="91"/>
      <c r="EM91" s="91"/>
      <c r="EN91" s="91"/>
      <c r="EO91" s="91"/>
      <c r="EP91" s="91"/>
      <c r="EQ91" s="91"/>
      <c r="ER91" s="91"/>
      <c r="ES91" s="91"/>
      <c r="ET91" s="91"/>
      <c r="EU91" s="91"/>
      <c r="EV91" s="91"/>
      <c r="EW91" s="91"/>
      <c r="EX91" s="91"/>
      <c r="EY91" s="91"/>
      <c r="EZ91" s="91"/>
      <c r="FA91" s="91"/>
      <c r="FB91" s="91"/>
      <c r="FC91" s="91"/>
      <c r="FD91" s="91"/>
      <c r="FE91" s="91"/>
      <c r="FF91" s="91"/>
      <c r="FG91" s="91"/>
      <c r="FH91" s="91"/>
      <c r="FI91" s="91"/>
      <c r="FJ91" s="91"/>
      <c r="FK91" s="91"/>
      <c r="FL91" s="91"/>
      <c r="FM91" s="91"/>
      <c r="FN91" s="91"/>
      <c r="FO91" s="91"/>
      <c r="FP91" s="91"/>
      <c r="FQ91" s="91"/>
      <c r="FR91" s="91"/>
      <c r="FS91" s="91"/>
      <c r="FT91" s="91"/>
      <c r="FU91" s="91"/>
      <c r="FV91" s="91"/>
      <c r="FW91" s="91"/>
      <c r="FX91" s="91"/>
      <c r="FY91" s="91"/>
      <c r="FZ91" s="91"/>
      <c r="GA91" s="91"/>
      <c r="GB91" s="91"/>
      <c r="GC91" s="91"/>
      <c r="GD91" s="91"/>
      <c r="GE91" s="91"/>
      <c r="GF91" s="91"/>
      <c r="GG91" s="91"/>
      <c r="GH91" s="91"/>
      <c r="GI91" s="91"/>
      <c r="GJ91" s="91"/>
      <c r="GK91" s="91"/>
      <c r="GL91" s="91"/>
      <c r="GM91" s="91"/>
      <c r="GN91" s="91"/>
      <c r="GO91" s="91"/>
      <c r="GP91" s="91"/>
      <c r="GQ91" s="91"/>
      <c r="GR91" s="91"/>
      <c r="GS91" s="91"/>
      <c r="GT91" s="91"/>
      <c r="GU91" s="91"/>
      <c r="GV91" s="91"/>
      <c r="GW91" s="91"/>
      <c r="GX91" s="91"/>
      <c r="GY91" s="91"/>
      <c r="GZ91" s="91"/>
      <c r="HA91" s="91"/>
      <c r="HB91" s="91"/>
      <c r="HC91" s="91"/>
      <c r="HD91" s="91"/>
      <c r="HE91" s="91"/>
      <c r="HF91" s="91"/>
      <c r="HG91" s="91"/>
      <c r="HH91" s="91"/>
      <c r="HI91" s="91"/>
      <c r="HJ91" s="91"/>
      <c r="HK91" s="91"/>
      <c r="HL91" s="91"/>
      <c r="HM91" s="91"/>
      <c r="HN91" s="91"/>
      <c r="HO91" s="91"/>
      <c r="HP91" s="91"/>
      <c r="HQ91" s="91"/>
      <c r="HR91" s="91"/>
      <c r="HS91" s="91"/>
      <c r="HT91" s="91"/>
      <c r="HU91" s="91"/>
      <c r="HV91" s="91"/>
      <c r="HW91" s="91"/>
      <c r="HX91" s="91"/>
      <c r="HY91" s="91"/>
      <c r="HZ91" s="91"/>
      <c r="IA91" s="91"/>
      <c r="IB91" s="91"/>
      <c r="IC91" s="91"/>
      <c r="ID91" s="91"/>
      <c r="IE91" s="91"/>
      <c r="IF91" s="91"/>
      <c r="IG91" s="91"/>
      <c r="IH91" s="91"/>
      <c r="II91" s="91"/>
      <c r="IJ91" s="91"/>
      <c r="IK91" s="91"/>
      <c r="IL91" s="91"/>
      <c r="IM91" s="91"/>
      <c r="IN91" s="91"/>
      <c r="IO91" s="91"/>
    </row>
    <row r="92" spans="3:249" x14ac:dyDescent="0.3">
      <c r="C92" s="1"/>
      <c r="D92" s="134"/>
      <c r="E92" s="224"/>
      <c r="F92" s="225"/>
      <c r="G92" s="225"/>
      <c r="H92" s="226" t="s">
        <v>99</v>
      </c>
      <c r="I92" s="227">
        <v>1050</v>
      </c>
      <c r="J92" s="43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  <c r="AD92" s="91"/>
      <c r="AE92" s="91"/>
      <c r="AF92" s="91"/>
      <c r="AG92" s="91"/>
      <c r="AH92" s="91"/>
      <c r="AI92" s="91"/>
      <c r="AJ92" s="91"/>
      <c r="AK92" s="91"/>
      <c r="AL92" s="91"/>
      <c r="AM92" s="91"/>
      <c r="AN92" s="91"/>
      <c r="AO92" s="91"/>
      <c r="AP92" s="91"/>
      <c r="AQ92" s="91"/>
      <c r="AR92" s="91"/>
      <c r="AS92" s="91"/>
      <c r="AT92" s="91"/>
      <c r="AU92" s="91"/>
      <c r="AV92" s="91"/>
      <c r="AW92" s="91"/>
      <c r="AX92" s="91"/>
      <c r="AY92" s="91"/>
      <c r="AZ92" s="91"/>
      <c r="BA92" s="91"/>
      <c r="BB92" s="91"/>
      <c r="BC92" s="91"/>
      <c r="BD92" s="91"/>
      <c r="BE92" s="91"/>
      <c r="BF92" s="91"/>
      <c r="BG92" s="91"/>
      <c r="BH92" s="91"/>
      <c r="BI92" s="91"/>
      <c r="BJ92" s="91"/>
      <c r="BK92" s="91"/>
      <c r="BL92" s="91"/>
      <c r="BM92" s="91"/>
      <c r="BN92" s="91"/>
      <c r="BO92" s="91"/>
      <c r="BP92" s="91"/>
      <c r="BQ92" s="91"/>
      <c r="BR92" s="91"/>
      <c r="BS92" s="91"/>
      <c r="BT92" s="91"/>
      <c r="BU92" s="91"/>
      <c r="BV92" s="91"/>
      <c r="BW92" s="91"/>
      <c r="BX92" s="91"/>
      <c r="BY92" s="91"/>
      <c r="BZ92" s="91"/>
      <c r="CA92" s="91"/>
      <c r="CB92" s="91"/>
      <c r="CC92" s="91"/>
      <c r="CD92" s="91"/>
      <c r="CE92" s="91"/>
      <c r="CF92" s="91"/>
      <c r="CG92" s="91"/>
      <c r="CH92" s="91"/>
      <c r="CI92" s="91"/>
      <c r="CJ92" s="91"/>
      <c r="CK92" s="91"/>
      <c r="CL92" s="91"/>
      <c r="CM92" s="91"/>
      <c r="CN92" s="91"/>
      <c r="CO92" s="91"/>
      <c r="CP92" s="91"/>
      <c r="CQ92" s="91"/>
      <c r="CR92" s="91"/>
      <c r="CS92" s="91"/>
      <c r="CT92" s="91"/>
      <c r="CU92" s="91"/>
      <c r="CV92" s="91"/>
      <c r="CW92" s="91"/>
      <c r="CX92" s="91"/>
      <c r="CY92" s="91"/>
      <c r="CZ92" s="91"/>
      <c r="DA92" s="91"/>
      <c r="DB92" s="91"/>
      <c r="DC92" s="91"/>
      <c r="DD92" s="91"/>
      <c r="DE92" s="91"/>
      <c r="DF92" s="91"/>
      <c r="DG92" s="91"/>
      <c r="DH92" s="91"/>
      <c r="DI92" s="91"/>
      <c r="DJ92" s="91"/>
      <c r="DK92" s="91"/>
      <c r="DL92" s="91"/>
      <c r="DM92" s="91"/>
      <c r="DN92" s="91"/>
      <c r="DO92" s="91"/>
      <c r="DP92" s="91"/>
      <c r="DQ92" s="91"/>
      <c r="DR92" s="91"/>
      <c r="DS92" s="91"/>
      <c r="DT92" s="91"/>
      <c r="DU92" s="91"/>
      <c r="DV92" s="91"/>
      <c r="DW92" s="91"/>
      <c r="DX92" s="91"/>
      <c r="DY92" s="91"/>
      <c r="DZ92" s="91"/>
      <c r="EA92" s="91"/>
      <c r="EB92" s="91"/>
      <c r="EC92" s="91"/>
      <c r="ED92" s="91"/>
      <c r="EE92" s="91"/>
      <c r="EF92" s="91"/>
      <c r="EG92" s="91"/>
      <c r="EH92" s="91"/>
      <c r="EI92" s="91"/>
      <c r="EJ92" s="91"/>
      <c r="EK92" s="91"/>
      <c r="EL92" s="91"/>
      <c r="EM92" s="91"/>
      <c r="EN92" s="91"/>
      <c r="EO92" s="91"/>
      <c r="EP92" s="91"/>
      <c r="EQ92" s="91"/>
      <c r="ER92" s="91"/>
      <c r="ES92" s="91"/>
      <c r="ET92" s="91"/>
      <c r="EU92" s="91"/>
      <c r="EV92" s="91"/>
      <c r="EW92" s="91"/>
      <c r="EX92" s="91"/>
      <c r="EY92" s="91"/>
      <c r="EZ92" s="91"/>
      <c r="FA92" s="91"/>
      <c r="FB92" s="91"/>
      <c r="FC92" s="91"/>
      <c r="FD92" s="91"/>
      <c r="FE92" s="91"/>
      <c r="FF92" s="91"/>
      <c r="FG92" s="91"/>
      <c r="FH92" s="91"/>
      <c r="FI92" s="91"/>
      <c r="FJ92" s="91"/>
      <c r="FK92" s="91"/>
      <c r="FL92" s="91"/>
      <c r="FM92" s="91"/>
      <c r="FN92" s="91"/>
      <c r="FO92" s="91"/>
      <c r="FP92" s="91"/>
      <c r="FQ92" s="91"/>
      <c r="FR92" s="91"/>
      <c r="FS92" s="91"/>
      <c r="FT92" s="91"/>
      <c r="FU92" s="91"/>
      <c r="FV92" s="91"/>
      <c r="FW92" s="91"/>
      <c r="FX92" s="91"/>
      <c r="FY92" s="91"/>
      <c r="FZ92" s="91"/>
      <c r="GA92" s="91"/>
      <c r="GB92" s="91"/>
      <c r="GC92" s="91"/>
      <c r="GD92" s="91"/>
      <c r="GE92" s="91"/>
      <c r="GF92" s="91"/>
      <c r="GG92" s="91"/>
      <c r="GH92" s="91"/>
      <c r="GI92" s="91"/>
      <c r="GJ92" s="91"/>
      <c r="GK92" s="91"/>
      <c r="GL92" s="91"/>
      <c r="GM92" s="91"/>
      <c r="GN92" s="91"/>
      <c r="GO92" s="91"/>
      <c r="GP92" s="91"/>
      <c r="GQ92" s="91"/>
      <c r="GR92" s="91"/>
      <c r="GS92" s="91"/>
      <c r="GT92" s="91"/>
      <c r="GU92" s="91"/>
      <c r="GV92" s="91"/>
      <c r="GW92" s="91"/>
      <c r="GX92" s="91"/>
      <c r="GY92" s="91"/>
      <c r="GZ92" s="91"/>
      <c r="HA92" s="91"/>
      <c r="HB92" s="91"/>
      <c r="HC92" s="91"/>
      <c r="HD92" s="91"/>
      <c r="HE92" s="91"/>
      <c r="HF92" s="91"/>
      <c r="HG92" s="91"/>
      <c r="HH92" s="91"/>
      <c r="HI92" s="91"/>
      <c r="HJ92" s="91"/>
      <c r="HK92" s="91"/>
      <c r="HL92" s="91"/>
      <c r="HM92" s="91"/>
      <c r="HN92" s="91"/>
      <c r="HO92" s="91"/>
      <c r="HP92" s="91"/>
      <c r="HQ92" s="91"/>
      <c r="HR92" s="91"/>
      <c r="HS92" s="91"/>
      <c r="HT92" s="91"/>
      <c r="HU92" s="91"/>
      <c r="HV92" s="91"/>
      <c r="HW92" s="91"/>
      <c r="HX92" s="91"/>
      <c r="HY92" s="91"/>
      <c r="HZ92" s="91"/>
      <c r="IA92" s="91"/>
      <c r="IB92" s="91"/>
      <c r="IC92" s="91"/>
      <c r="ID92" s="91"/>
      <c r="IE92" s="91"/>
      <c r="IF92" s="91"/>
      <c r="IG92" s="91"/>
      <c r="IH92" s="91"/>
      <c r="II92" s="91"/>
      <c r="IJ92" s="91"/>
      <c r="IK92" s="91"/>
      <c r="IL92" s="91"/>
      <c r="IM92" s="91"/>
      <c r="IN92" s="91"/>
      <c r="IO92" s="91"/>
    </row>
    <row r="93" spans="3:249" ht="18" x14ac:dyDescent="0.2">
      <c r="C93" s="1"/>
      <c r="D93" s="134"/>
      <c r="E93" s="228"/>
      <c r="F93" s="229"/>
      <c r="G93" s="230" t="s">
        <v>100</v>
      </c>
      <c r="H93" s="231"/>
      <c r="I93" s="232"/>
      <c r="J93" s="43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1"/>
      <c r="AD93" s="91"/>
      <c r="AE93" s="91"/>
      <c r="AF93" s="91"/>
      <c r="AG93" s="91"/>
      <c r="AH93" s="91"/>
      <c r="AI93" s="91"/>
      <c r="AJ93" s="91"/>
      <c r="AK93" s="91"/>
      <c r="AL93" s="91"/>
      <c r="AM93" s="91"/>
      <c r="AN93" s="91"/>
      <c r="AO93" s="91"/>
      <c r="AP93" s="91"/>
      <c r="AQ93" s="91"/>
      <c r="AR93" s="91"/>
      <c r="AS93" s="91"/>
      <c r="AT93" s="91"/>
      <c r="AU93" s="91"/>
      <c r="AV93" s="91"/>
      <c r="AW93" s="91"/>
      <c r="AX93" s="91"/>
      <c r="AY93" s="91"/>
      <c r="AZ93" s="91"/>
      <c r="BA93" s="91"/>
      <c r="BB93" s="91"/>
      <c r="BC93" s="91"/>
      <c r="BD93" s="91"/>
      <c r="BE93" s="91"/>
      <c r="BF93" s="91"/>
      <c r="BG93" s="91"/>
      <c r="BH93" s="91"/>
      <c r="BI93" s="91"/>
      <c r="BJ93" s="91"/>
      <c r="BK93" s="91"/>
      <c r="BL93" s="91"/>
      <c r="BM93" s="91"/>
      <c r="BN93" s="91"/>
      <c r="BO93" s="91"/>
      <c r="BP93" s="91"/>
      <c r="BQ93" s="91"/>
      <c r="BR93" s="91"/>
      <c r="BS93" s="91"/>
      <c r="BT93" s="91"/>
      <c r="BU93" s="91"/>
      <c r="BV93" s="91"/>
      <c r="BW93" s="91"/>
      <c r="BX93" s="91"/>
      <c r="BY93" s="91"/>
      <c r="BZ93" s="91"/>
      <c r="CA93" s="91"/>
      <c r="CB93" s="91"/>
      <c r="CC93" s="91"/>
      <c r="CD93" s="91"/>
      <c r="CE93" s="91"/>
      <c r="CF93" s="91"/>
      <c r="CG93" s="91"/>
      <c r="CH93" s="91"/>
      <c r="CI93" s="91"/>
      <c r="CJ93" s="91"/>
      <c r="CK93" s="91"/>
      <c r="CL93" s="91"/>
      <c r="CM93" s="91"/>
      <c r="CN93" s="91"/>
      <c r="CO93" s="91"/>
      <c r="CP93" s="91"/>
      <c r="CQ93" s="91"/>
      <c r="CR93" s="91"/>
      <c r="CS93" s="91"/>
      <c r="CT93" s="91"/>
      <c r="CU93" s="91"/>
      <c r="CV93" s="91"/>
      <c r="CW93" s="91"/>
      <c r="CX93" s="91"/>
      <c r="CY93" s="91"/>
      <c r="CZ93" s="91"/>
      <c r="DA93" s="91"/>
      <c r="DB93" s="91"/>
      <c r="DC93" s="91"/>
      <c r="DD93" s="91"/>
      <c r="DE93" s="91"/>
      <c r="DF93" s="91"/>
      <c r="DG93" s="91"/>
      <c r="DH93" s="91"/>
      <c r="DI93" s="91"/>
      <c r="DJ93" s="91"/>
      <c r="DK93" s="91"/>
      <c r="DL93" s="91"/>
      <c r="DM93" s="91"/>
      <c r="DN93" s="91"/>
      <c r="DO93" s="91"/>
      <c r="DP93" s="91"/>
      <c r="DQ93" s="91"/>
      <c r="DR93" s="91"/>
      <c r="DS93" s="91"/>
      <c r="DT93" s="91"/>
      <c r="DU93" s="91"/>
      <c r="DV93" s="91"/>
      <c r="DW93" s="91"/>
      <c r="DX93" s="91"/>
      <c r="DY93" s="91"/>
      <c r="DZ93" s="91"/>
      <c r="EA93" s="91"/>
      <c r="EB93" s="91"/>
      <c r="EC93" s="91"/>
      <c r="ED93" s="91"/>
      <c r="EE93" s="91"/>
      <c r="EF93" s="91"/>
      <c r="EG93" s="91"/>
      <c r="EH93" s="91"/>
      <c r="EI93" s="91"/>
      <c r="EJ93" s="91"/>
      <c r="EK93" s="91"/>
      <c r="EL93" s="91"/>
      <c r="EM93" s="91"/>
      <c r="EN93" s="91"/>
      <c r="EO93" s="91"/>
      <c r="EP93" s="91"/>
      <c r="EQ93" s="91"/>
      <c r="ER93" s="91"/>
      <c r="ES93" s="91"/>
      <c r="ET93" s="91"/>
      <c r="EU93" s="91"/>
      <c r="EV93" s="91"/>
      <c r="EW93" s="91"/>
      <c r="EX93" s="91"/>
      <c r="EY93" s="91"/>
      <c r="EZ93" s="91"/>
      <c r="FA93" s="91"/>
      <c r="FB93" s="91"/>
      <c r="FC93" s="91"/>
      <c r="FD93" s="91"/>
      <c r="FE93" s="91"/>
      <c r="FF93" s="91"/>
      <c r="FG93" s="91"/>
      <c r="FH93" s="91"/>
      <c r="FI93" s="91"/>
      <c r="FJ93" s="91"/>
      <c r="FK93" s="91"/>
      <c r="FL93" s="91"/>
      <c r="FM93" s="91"/>
      <c r="FN93" s="91"/>
      <c r="FO93" s="91"/>
      <c r="FP93" s="91"/>
      <c r="FQ93" s="91"/>
      <c r="FR93" s="91"/>
      <c r="FS93" s="91"/>
      <c r="FT93" s="91"/>
      <c r="FU93" s="91"/>
      <c r="FV93" s="91"/>
      <c r="FW93" s="91"/>
      <c r="FX93" s="91"/>
      <c r="FY93" s="91"/>
      <c r="FZ93" s="91"/>
      <c r="GA93" s="91"/>
      <c r="GB93" s="91"/>
      <c r="GC93" s="91"/>
      <c r="GD93" s="91"/>
      <c r="GE93" s="91"/>
      <c r="GF93" s="91"/>
      <c r="GG93" s="91"/>
      <c r="GH93" s="91"/>
      <c r="GI93" s="91"/>
      <c r="GJ93" s="91"/>
      <c r="GK93" s="91"/>
      <c r="GL93" s="91"/>
      <c r="GM93" s="91"/>
      <c r="GN93" s="91"/>
      <c r="GO93" s="91"/>
      <c r="GP93" s="91"/>
      <c r="GQ93" s="91"/>
      <c r="GR93" s="91"/>
      <c r="GS93" s="91"/>
      <c r="GT93" s="91"/>
      <c r="GU93" s="91"/>
      <c r="GV93" s="91"/>
      <c r="GW93" s="91"/>
      <c r="GX93" s="91"/>
      <c r="GY93" s="91"/>
      <c r="GZ93" s="91"/>
      <c r="HA93" s="91"/>
      <c r="HB93" s="91"/>
      <c r="HC93" s="91"/>
      <c r="HD93" s="91"/>
      <c r="HE93" s="91"/>
      <c r="HF93" s="91"/>
      <c r="HG93" s="91"/>
      <c r="HH93" s="91"/>
      <c r="HI93" s="91"/>
      <c r="HJ93" s="91"/>
      <c r="HK93" s="91"/>
      <c r="HL93" s="91"/>
      <c r="HM93" s="91"/>
      <c r="HN93" s="91"/>
      <c r="HO93" s="91"/>
      <c r="HP93" s="91"/>
      <c r="HQ93" s="91"/>
      <c r="HR93" s="91"/>
      <c r="HS93" s="91"/>
      <c r="HT93" s="91"/>
      <c r="HU93" s="91"/>
      <c r="HV93" s="91"/>
      <c r="HW93" s="91"/>
      <c r="HX93" s="91"/>
      <c r="HY93" s="91"/>
      <c r="HZ93" s="91"/>
      <c r="IA93" s="91"/>
      <c r="IB93" s="91"/>
      <c r="IC93" s="91"/>
      <c r="ID93" s="91"/>
      <c r="IE93" s="91"/>
      <c r="IF93" s="91"/>
      <c r="IG93" s="91"/>
      <c r="IH93" s="91"/>
      <c r="II93" s="91"/>
      <c r="IJ93" s="91"/>
      <c r="IK93" s="91"/>
      <c r="IL93" s="91"/>
      <c r="IM93" s="91"/>
      <c r="IN93" s="91"/>
      <c r="IO93" s="91"/>
    </row>
    <row r="94" spans="3:249" ht="16.5" x14ac:dyDescent="0.2">
      <c r="C94" s="1"/>
      <c r="D94" s="134"/>
      <c r="E94" s="233" t="s">
        <v>101</v>
      </c>
      <c r="F94" s="2"/>
      <c r="G94" s="234" t="str">
        <f>+'[1]CMHC '!K10</f>
        <v>Ontario - Concrete</v>
      </c>
      <c r="H94" s="234"/>
      <c r="I94" s="235">
        <f>ROUND(+'[1]CMHC '!O10*1.025*1.025*1.025,-1)</f>
        <v>1050</v>
      </c>
      <c r="J94" s="43" t="s">
        <v>102</v>
      </c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  <c r="AC94" s="91"/>
      <c r="AD94" s="91"/>
      <c r="AE94" s="91"/>
      <c r="AF94" s="91"/>
      <c r="AG94" s="91"/>
      <c r="AH94" s="91"/>
      <c r="AI94" s="91"/>
      <c r="AJ94" s="91"/>
      <c r="AK94" s="91"/>
      <c r="AL94" s="91"/>
      <c r="AM94" s="91"/>
      <c r="AN94" s="91"/>
      <c r="AO94" s="91"/>
      <c r="AP94" s="91"/>
      <c r="AQ94" s="91"/>
      <c r="AR94" s="91"/>
      <c r="AS94" s="91"/>
      <c r="AT94" s="91"/>
      <c r="AU94" s="91"/>
      <c r="AV94" s="91"/>
      <c r="AW94" s="91"/>
      <c r="AX94" s="91"/>
      <c r="AY94" s="91"/>
      <c r="AZ94" s="91"/>
      <c r="BA94" s="91"/>
      <c r="BB94" s="91"/>
      <c r="BC94" s="91"/>
      <c r="BD94" s="91"/>
      <c r="BE94" s="91"/>
      <c r="BF94" s="91"/>
      <c r="BG94" s="91"/>
      <c r="BH94" s="91"/>
      <c r="BI94" s="91"/>
      <c r="BJ94" s="91"/>
      <c r="BK94" s="91"/>
      <c r="BL94" s="91"/>
      <c r="BM94" s="91"/>
      <c r="BN94" s="91"/>
      <c r="BO94" s="91"/>
      <c r="BP94" s="91"/>
      <c r="BQ94" s="91"/>
      <c r="BR94" s="91"/>
      <c r="BS94" s="91"/>
      <c r="BT94" s="91"/>
      <c r="BU94" s="91"/>
      <c r="BV94" s="91"/>
      <c r="BW94" s="91"/>
      <c r="BX94" s="91"/>
      <c r="BY94" s="91"/>
      <c r="BZ94" s="91"/>
      <c r="CA94" s="91"/>
      <c r="CB94" s="91"/>
      <c r="CC94" s="91"/>
      <c r="CD94" s="91"/>
      <c r="CE94" s="91"/>
      <c r="CF94" s="91"/>
      <c r="CG94" s="91"/>
      <c r="CH94" s="91"/>
      <c r="CI94" s="91"/>
      <c r="CJ94" s="91"/>
      <c r="CK94" s="91"/>
      <c r="CL94" s="91"/>
      <c r="CM94" s="91"/>
      <c r="CN94" s="91"/>
      <c r="CO94" s="91"/>
      <c r="CP94" s="91"/>
      <c r="CQ94" s="91"/>
      <c r="CR94" s="91"/>
      <c r="CS94" s="91"/>
      <c r="CT94" s="91"/>
      <c r="CU94" s="91"/>
      <c r="CV94" s="91"/>
      <c r="CW94" s="91"/>
      <c r="CX94" s="91"/>
      <c r="CY94" s="91"/>
      <c r="CZ94" s="91"/>
      <c r="DA94" s="91"/>
      <c r="DB94" s="91"/>
      <c r="DC94" s="91"/>
      <c r="DD94" s="91"/>
      <c r="DE94" s="91"/>
      <c r="DF94" s="91"/>
      <c r="DG94" s="91"/>
      <c r="DH94" s="91"/>
      <c r="DI94" s="91"/>
      <c r="DJ94" s="91"/>
      <c r="DK94" s="91"/>
      <c r="DL94" s="91"/>
      <c r="DM94" s="91"/>
      <c r="DN94" s="91"/>
      <c r="DO94" s="91"/>
      <c r="DP94" s="91"/>
      <c r="DQ94" s="91"/>
      <c r="DR94" s="91"/>
      <c r="DS94" s="91"/>
      <c r="DT94" s="91"/>
      <c r="DU94" s="91"/>
      <c r="DV94" s="91"/>
      <c r="DW94" s="91"/>
      <c r="DX94" s="91"/>
      <c r="DY94" s="91"/>
      <c r="DZ94" s="91"/>
      <c r="EA94" s="91"/>
      <c r="EB94" s="91"/>
      <c r="EC94" s="91"/>
      <c r="ED94" s="91"/>
      <c r="EE94" s="91"/>
      <c r="EF94" s="91"/>
      <c r="EG94" s="91"/>
      <c r="EH94" s="91"/>
      <c r="EI94" s="91"/>
      <c r="EJ94" s="91"/>
      <c r="EK94" s="91"/>
      <c r="EL94" s="91"/>
      <c r="EM94" s="91"/>
      <c r="EN94" s="91"/>
      <c r="EO94" s="91"/>
      <c r="EP94" s="91"/>
      <c r="EQ94" s="91"/>
      <c r="ER94" s="91"/>
      <c r="ES94" s="91"/>
      <c r="ET94" s="91"/>
      <c r="EU94" s="91"/>
      <c r="EV94" s="91"/>
      <c r="EW94" s="91"/>
      <c r="EX94" s="91"/>
      <c r="EY94" s="91"/>
      <c r="EZ94" s="91"/>
      <c r="FA94" s="91"/>
      <c r="FB94" s="91"/>
      <c r="FC94" s="91"/>
      <c r="FD94" s="91"/>
      <c r="FE94" s="91"/>
      <c r="FF94" s="91"/>
      <c r="FG94" s="91"/>
      <c r="FH94" s="91"/>
      <c r="FI94" s="91"/>
      <c r="FJ94" s="91"/>
      <c r="FK94" s="91"/>
      <c r="FL94" s="91"/>
      <c r="FM94" s="91"/>
      <c r="FN94" s="91"/>
      <c r="FO94" s="91"/>
      <c r="FP94" s="91"/>
      <c r="FQ94" s="91"/>
      <c r="FR94" s="91"/>
      <c r="FS94" s="91"/>
      <c r="FT94" s="91"/>
      <c r="FU94" s="91"/>
      <c r="FV94" s="91"/>
      <c r="FW94" s="91"/>
      <c r="FX94" s="91"/>
      <c r="FY94" s="91"/>
      <c r="FZ94" s="91"/>
      <c r="GA94" s="91"/>
      <c r="GB94" s="91"/>
      <c r="GC94" s="91"/>
      <c r="GD94" s="91"/>
      <c r="GE94" s="91"/>
      <c r="GF94" s="91"/>
      <c r="GG94" s="91"/>
      <c r="GH94" s="91"/>
      <c r="GI94" s="91"/>
      <c r="GJ94" s="91"/>
      <c r="GK94" s="91"/>
      <c r="GL94" s="91"/>
      <c r="GM94" s="91"/>
      <c r="GN94" s="91"/>
      <c r="GO94" s="91"/>
      <c r="GP94" s="91"/>
      <c r="GQ94" s="91"/>
      <c r="GR94" s="91"/>
      <c r="GS94" s="91"/>
      <c r="GT94" s="91"/>
      <c r="GU94" s="91"/>
      <c r="GV94" s="91"/>
      <c r="GW94" s="91"/>
      <c r="GX94" s="91"/>
      <c r="GY94" s="91"/>
      <c r="GZ94" s="91"/>
      <c r="HA94" s="91"/>
      <c r="HB94" s="91"/>
      <c r="HC94" s="91"/>
      <c r="HD94" s="91"/>
      <c r="HE94" s="91"/>
      <c r="HF94" s="91"/>
      <c r="HG94" s="91"/>
      <c r="HH94" s="91"/>
      <c r="HI94" s="91"/>
      <c r="HJ94" s="91"/>
      <c r="HK94" s="91"/>
      <c r="HL94" s="91"/>
      <c r="HM94" s="91"/>
      <c r="HN94" s="91"/>
      <c r="HO94" s="91"/>
      <c r="HP94" s="91"/>
      <c r="HQ94" s="91"/>
      <c r="HR94" s="91"/>
      <c r="HS94" s="91"/>
      <c r="HT94" s="91"/>
      <c r="HU94" s="91"/>
      <c r="HV94" s="91"/>
      <c r="HW94" s="91"/>
      <c r="HX94" s="91"/>
      <c r="HY94" s="91"/>
      <c r="HZ94" s="91"/>
      <c r="IA94" s="91"/>
      <c r="IB94" s="91"/>
      <c r="IC94" s="91"/>
      <c r="ID94" s="91"/>
      <c r="IE94" s="91"/>
      <c r="IF94" s="91"/>
      <c r="IG94" s="91"/>
      <c r="IH94" s="91"/>
      <c r="II94" s="91"/>
      <c r="IJ94" s="91"/>
      <c r="IK94" s="91"/>
      <c r="IL94" s="91"/>
      <c r="IM94" s="91"/>
      <c r="IN94" s="91"/>
      <c r="IO94" s="91"/>
    </row>
    <row r="95" spans="3:249" ht="18" x14ac:dyDescent="0.2">
      <c r="C95" s="1"/>
      <c r="D95" s="134"/>
      <c r="E95" s="236"/>
      <c r="F95" s="237"/>
      <c r="G95" s="238" t="str">
        <f>+'[1]CMHC '!K9</f>
        <v>Ontario - Wood Frame 12 units and more</v>
      </c>
      <c r="H95" s="238"/>
      <c r="I95" s="239">
        <f>ROUND(+'[1]CMHC '!O9*1.025*1.025*1.025,-1)</f>
        <v>890</v>
      </c>
      <c r="J95" s="43" t="s">
        <v>102</v>
      </c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  <c r="AC95" s="91"/>
      <c r="AD95" s="91"/>
      <c r="AE95" s="91"/>
      <c r="AF95" s="91"/>
      <c r="AG95" s="91"/>
      <c r="AH95" s="91"/>
      <c r="AI95" s="91"/>
      <c r="AJ95" s="91"/>
      <c r="AK95" s="91"/>
      <c r="AL95" s="91"/>
      <c r="AM95" s="91"/>
      <c r="AN95" s="91"/>
      <c r="AO95" s="91"/>
      <c r="AP95" s="91"/>
      <c r="AQ95" s="91"/>
      <c r="AR95" s="91"/>
      <c r="AS95" s="91"/>
      <c r="AT95" s="91"/>
      <c r="AU95" s="91"/>
      <c r="AV95" s="91"/>
      <c r="AW95" s="91"/>
      <c r="AX95" s="91"/>
      <c r="AY95" s="91"/>
      <c r="AZ95" s="91"/>
      <c r="BA95" s="91"/>
      <c r="BB95" s="91"/>
      <c r="BC95" s="91"/>
      <c r="BD95" s="91"/>
      <c r="BE95" s="91"/>
      <c r="BF95" s="91"/>
      <c r="BG95" s="91"/>
      <c r="BH95" s="91"/>
      <c r="BI95" s="91"/>
      <c r="BJ95" s="91"/>
      <c r="BK95" s="91"/>
      <c r="BL95" s="91"/>
      <c r="BM95" s="91"/>
      <c r="BN95" s="91"/>
      <c r="BO95" s="91"/>
      <c r="BP95" s="91"/>
      <c r="BQ95" s="91"/>
      <c r="BR95" s="91"/>
      <c r="BS95" s="91"/>
      <c r="BT95" s="91"/>
      <c r="BU95" s="91"/>
      <c r="BV95" s="91"/>
      <c r="BW95" s="91"/>
      <c r="BX95" s="91"/>
      <c r="BY95" s="91"/>
      <c r="BZ95" s="91"/>
      <c r="CA95" s="91"/>
      <c r="CB95" s="91"/>
      <c r="CC95" s="91"/>
      <c r="CD95" s="91"/>
      <c r="CE95" s="91"/>
      <c r="CF95" s="91"/>
      <c r="CG95" s="91"/>
      <c r="CH95" s="91"/>
      <c r="CI95" s="91"/>
      <c r="CJ95" s="91"/>
      <c r="CK95" s="91"/>
      <c r="CL95" s="91"/>
      <c r="CM95" s="91"/>
      <c r="CN95" s="91"/>
      <c r="CO95" s="91"/>
      <c r="CP95" s="91"/>
      <c r="CQ95" s="91"/>
      <c r="CR95" s="91"/>
      <c r="CS95" s="91"/>
      <c r="CT95" s="91"/>
      <c r="CU95" s="91"/>
      <c r="CV95" s="91"/>
      <c r="CW95" s="91"/>
      <c r="CX95" s="91"/>
      <c r="CY95" s="91"/>
      <c r="CZ95" s="91"/>
      <c r="DA95" s="91"/>
      <c r="DB95" s="91"/>
      <c r="DC95" s="91"/>
      <c r="DD95" s="91"/>
      <c r="DE95" s="91"/>
      <c r="DF95" s="91"/>
      <c r="DG95" s="91"/>
      <c r="DH95" s="91"/>
      <c r="DI95" s="91"/>
      <c r="DJ95" s="91"/>
      <c r="DK95" s="91"/>
      <c r="DL95" s="91"/>
      <c r="DM95" s="91"/>
      <c r="DN95" s="91"/>
      <c r="DO95" s="91"/>
      <c r="DP95" s="91"/>
      <c r="DQ95" s="91"/>
      <c r="DR95" s="91"/>
      <c r="DS95" s="91"/>
      <c r="DT95" s="91"/>
      <c r="DU95" s="91"/>
      <c r="DV95" s="91"/>
      <c r="DW95" s="91"/>
      <c r="DX95" s="91"/>
      <c r="DY95" s="91"/>
      <c r="DZ95" s="91"/>
      <c r="EA95" s="91"/>
      <c r="EB95" s="91"/>
      <c r="EC95" s="91"/>
      <c r="ED95" s="91"/>
      <c r="EE95" s="91"/>
      <c r="EF95" s="91"/>
      <c r="EG95" s="91"/>
      <c r="EH95" s="91"/>
      <c r="EI95" s="91"/>
      <c r="EJ95" s="91"/>
      <c r="EK95" s="91"/>
      <c r="EL95" s="91"/>
      <c r="EM95" s="91"/>
      <c r="EN95" s="91"/>
      <c r="EO95" s="91"/>
      <c r="EP95" s="91"/>
      <c r="EQ95" s="91"/>
      <c r="ER95" s="91"/>
      <c r="ES95" s="91"/>
      <c r="ET95" s="91"/>
      <c r="EU95" s="91"/>
      <c r="EV95" s="91"/>
      <c r="EW95" s="91"/>
      <c r="EX95" s="91"/>
      <c r="EY95" s="91"/>
      <c r="EZ95" s="91"/>
      <c r="FA95" s="91"/>
      <c r="FB95" s="91"/>
      <c r="FC95" s="91"/>
      <c r="FD95" s="91"/>
      <c r="FE95" s="91"/>
      <c r="FF95" s="91"/>
      <c r="FG95" s="91"/>
      <c r="FH95" s="91"/>
      <c r="FI95" s="91"/>
      <c r="FJ95" s="91"/>
      <c r="FK95" s="91"/>
      <c r="FL95" s="91"/>
      <c r="FM95" s="91"/>
      <c r="FN95" s="91"/>
      <c r="FO95" s="91"/>
      <c r="FP95" s="91"/>
      <c r="FQ95" s="91"/>
      <c r="FR95" s="91"/>
      <c r="FS95" s="91"/>
      <c r="FT95" s="91"/>
      <c r="FU95" s="91"/>
      <c r="FV95" s="91"/>
      <c r="FW95" s="91"/>
      <c r="FX95" s="91"/>
      <c r="FY95" s="91"/>
      <c r="FZ95" s="91"/>
      <c r="GA95" s="91"/>
      <c r="GB95" s="91"/>
      <c r="GC95" s="91"/>
      <c r="GD95" s="91"/>
      <c r="GE95" s="91"/>
      <c r="GF95" s="91"/>
      <c r="GG95" s="91"/>
      <c r="GH95" s="91"/>
      <c r="GI95" s="91"/>
      <c r="GJ95" s="91"/>
      <c r="GK95" s="91"/>
      <c r="GL95" s="91"/>
      <c r="GM95" s="91"/>
      <c r="GN95" s="91"/>
      <c r="GO95" s="91"/>
      <c r="GP95" s="91"/>
      <c r="GQ95" s="91"/>
      <c r="GR95" s="91"/>
      <c r="GS95" s="91"/>
      <c r="GT95" s="91"/>
      <c r="GU95" s="91"/>
      <c r="GV95" s="91"/>
      <c r="GW95" s="91"/>
      <c r="GX95" s="91"/>
      <c r="GY95" s="91"/>
      <c r="GZ95" s="91"/>
      <c r="HA95" s="91"/>
      <c r="HB95" s="91"/>
      <c r="HC95" s="91"/>
      <c r="HD95" s="91"/>
      <c r="HE95" s="91"/>
      <c r="HF95" s="91"/>
      <c r="HG95" s="91"/>
      <c r="HH95" s="91"/>
      <c r="HI95" s="91"/>
      <c r="HJ95" s="91"/>
      <c r="HK95" s="91"/>
      <c r="HL95" s="91"/>
      <c r="HM95" s="91"/>
      <c r="HN95" s="91"/>
      <c r="HO95" s="91"/>
      <c r="HP95" s="91"/>
      <c r="HQ95" s="91"/>
      <c r="HR95" s="91"/>
      <c r="HS95" s="91"/>
      <c r="HT95" s="91"/>
      <c r="HU95" s="91"/>
      <c r="HV95" s="91"/>
      <c r="HW95" s="91"/>
      <c r="HX95" s="91"/>
      <c r="HY95" s="91"/>
      <c r="HZ95" s="91"/>
      <c r="IA95" s="91"/>
      <c r="IB95" s="91"/>
      <c r="IC95" s="91"/>
      <c r="ID95" s="91"/>
      <c r="IE95" s="91"/>
      <c r="IF95" s="91"/>
      <c r="IG95" s="91"/>
      <c r="IH95" s="91"/>
      <c r="II95" s="91"/>
      <c r="IJ95" s="91"/>
      <c r="IK95" s="91"/>
      <c r="IL95" s="91"/>
      <c r="IM95" s="91"/>
      <c r="IN95" s="91"/>
      <c r="IO95" s="91"/>
    </row>
    <row r="96" spans="3:249" ht="18" x14ac:dyDescent="0.2">
      <c r="C96" s="1"/>
      <c r="D96" s="134"/>
      <c r="E96" s="131"/>
      <c r="F96" s="2"/>
      <c r="G96" s="43"/>
      <c r="H96" s="43"/>
      <c r="I96" s="240">
        <f>+'[1]Expense Comparison'!H11</f>
        <v>975</v>
      </c>
      <c r="J96" s="241" t="s">
        <v>103</v>
      </c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  <c r="AD96" s="91"/>
      <c r="AE96" s="91"/>
      <c r="AF96" s="91"/>
      <c r="AG96" s="91"/>
      <c r="AH96" s="91"/>
      <c r="AI96" s="91"/>
      <c r="AJ96" s="91"/>
      <c r="AK96" s="91"/>
      <c r="AL96" s="91"/>
      <c r="AM96" s="91"/>
      <c r="AN96" s="91"/>
      <c r="AO96" s="91"/>
      <c r="AP96" s="91"/>
      <c r="AQ96" s="91"/>
      <c r="AR96" s="91"/>
      <c r="AS96" s="91"/>
      <c r="AT96" s="91"/>
      <c r="AU96" s="91"/>
      <c r="AV96" s="91"/>
      <c r="AW96" s="91"/>
      <c r="AX96" s="91"/>
      <c r="AY96" s="91"/>
      <c r="AZ96" s="91"/>
      <c r="BA96" s="91"/>
      <c r="BB96" s="91"/>
      <c r="BC96" s="91"/>
      <c r="BD96" s="91"/>
      <c r="BE96" s="91"/>
      <c r="BF96" s="91"/>
      <c r="BG96" s="91"/>
      <c r="BH96" s="91"/>
      <c r="BI96" s="91"/>
      <c r="BJ96" s="91"/>
      <c r="BK96" s="91"/>
      <c r="BL96" s="91"/>
      <c r="BM96" s="91"/>
      <c r="BN96" s="91"/>
      <c r="BO96" s="91"/>
      <c r="BP96" s="91"/>
      <c r="BQ96" s="91"/>
      <c r="BR96" s="91"/>
      <c r="BS96" s="91"/>
      <c r="BT96" s="91"/>
      <c r="BU96" s="91"/>
      <c r="BV96" s="91"/>
      <c r="BW96" s="91"/>
      <c r="BX96" s="91"/>
      <c r="BY96" s="91"/>
      <c r="BZ96" s="91"/>
      <c r="CA96" s="91"/>
      <c r="CB96" s="91"/>
      <c r="CC96" s="91"/>
      <c r="CD96" s="91"/>
      <c r="CE96" s="91"/>
      <c r="CF96" s="91"/>
      <c r="CG96" s="91"/>
      <c r="CH96" s="91"/>
      <c r="CI96" s="91"/>
      <c r="CJ96" s="91"/>
      <c r="CK96" s="91"/>
      <c r="CL96" s="91"/>
      <c r="CM96" s="91"/>
      <c r="CN96" s="91"/>
      <c r="CO96" s="91"/>
      <c r="CP96" s="91"/>
      <c r="CQ96" s="91"/>
      <c r="CR96" s="91"/>
      <c r="CS96" s="91"/>
      <c r="CT96" s="91"/>
      <c r="CU96" s="91"/>
      <c r="CV96" s="91"/>
      <c r="CW96" s="91"/>
      <c r="CX96" s="91"/>
      <c r="CY96" s="91"/>
      <c r="CZ96" s="91"/>
      <c r="DA96" s="91"/>
      <c r="DB96" s="91"/>
      <c r="DC96" s="91"/>
      <c r="DD96" s="91"/>
      <c r="DE96" s="91"/>
      <c r="DF96" s="91"/>
      <c r="DG96" s="91"/>
      <c r="DH96" s="91"/>
      <c r="DI96" s="91"/>
      <c r="DJ96" s="91"/>
      <c r="DK96" s="91"/>
      <c r="DL96" s="91"/>
      <c r="DM96" s="91"/>
      <c r="DN96" s="91"/>
      <c r="DO96" s="91"/>
      <c r="DP96" s="91"/>
      <c r="DQ96" s="91"/>
      <c r="DR96" s="91"/>
      <c r="DS96" s="91"/>
      <c r="DT96" s="91"/>
      <c r="DU96" s="91"/>
      <c r="DV96" s="91"/>
      <c r="DW96" s="91"/>
      <c r="DX96" s="91"/>
      <c r="DY96" s="91"/>
      <c r="DZ96" s="91"/>
      <c r="EA96" s="91"/>
      <c r="EB96" s="91"/>
      <c r="EC96" s="91"/>
      <c r="ED96" s="91"/>
      <c r="EE96" s="91"/>
      <c r="EF96" s="91"/>
      <c r="EG96" s="91"/>
      <c r="EH96" s="91"/>
      <c r="EI96" s="91"/>
      <c r="EJ96" s="91"/>
      <c r="EK96" s="91"/>
      <c r="EL96" s="91"/>
      <c r="EM96" s="91"/>
      <c r="EN96" s="91"/>
      <c r="EO96" s="91"/>
      <c r="EP96" s="91"/>
      <c r="EQ96" s="91"/>
      <c r="ER96" s="91"/>
      <c r="ES96" s="91"/>
      <c r="ET96" s="91"/>
      <c r="EU96" s="91"/>
      <c r="EV96" s="91"/>
      <c r="EW96" s="91"/>
      <c r="EX96" s="91"/>
      <c r="EY96" s="91"/>
      <c r="EZ96" s="91"/>
      <c r="FA96" s="91"/>
      <c r="FB96" s="91"/>
      <c r="FC96" s="91"/>
      <c r="FD96" s="91"/>
      <c r="FE96" s="91"/>
      <c r="FF96" s="91"/>
      <c r="FG96" s="91"/>
      <c r="FH96" s="91"/>
      <c r="FI96" s="91"/>
      <c r="FJ96" s="91"/>
      <c r="FK96" s="91"/>
      <c r="FL96" s="91"/>
      <c r="FM96" s="91"/>
      <c r="FN96" s="91"/>
      <c r="FO96" s="91"/>
      <c r="FP96" s="91"/>
      <c r="FQ96" s="91"/>
      <c r="FR96" s="91"/>
      <c r="FS96" s="91"/>
      <c r="FT96" s="91"/>
      <c r="FU96" s="91"/>
      <c r="FV96" s="91"/>
      <c r="FW96" s="91"/>
      <c r="FX96" s="91"/>
      <c r="FY96" s="91"/>
      <c r="FZ96" s="91"/>
      <c r="GA96" s="91"/>
      <c r="GB96" s="91"/>
      <c r="GC96" s="91"/>
      <c r="GD96" s="91"/>
      <c r="GE96" s="91"/>
      <c r="GF96" s="91"/>
      <c r="GG96" s="91"/>
      <c r="GH96" s="91"/>
      <c r="GI96" s="91"/>
      <c r="GJ96" s="91"/>
      <c r="GK96" s="91"/>
      <c r="GL96" s="91"/>
      <c r="GM96" s="91"/>
      <c r="GN96" s="91"/>
      <c r="GO96" s="91"/>
      <c r="GP96" s="91"/>
      <c r="GQ96" s="91"/>
      <c r="GR96" s="91"/>
      <c r="GS96" s="91"/>
      <c r="GT96" s="91"/>
      <c r="GU96" s="91"/>
      <c r="GV96" s="91"/>
      <c r="GW96" s="91"/>
      <c r="GX96" s="91"/>
      <c r="GY96" s="91"/>
      <c r="GZ96" s="91"/>
      <c r="HA96" s="91"/>
      <c r="HB96" s="91"/>
      <c r="HC96" s="91"/>
      <c r="HD96" s="91"/>
      <c r="HE96" s="91"/>
      <c r="HF96" s="91"/>
      <c r="HG96" s="91"/>
      <c r="HH96" s="91"/>
      <c r="HI96" s="91"/>
      <c r="HJ96" s="91"/>
      <c r="HK96" s="91"/>
      <c r="HL96" s="91"/>
      <c r="HM96" s="91"/>
      <c r="HN96" s="91"/>
      <c r="HO96" s="91"/>
      <c r="HP96" s="91"/>
      <c r="HQ96" s="91"/>
      <c r="HR96" s="91"/>
      <c r="HS96" s="91"/>
      <c r="HT96" s="91"/>
      <c r="HU96" s="91"/>
      <c r="HV96" s="91"/>
      <c r="HW96" s="91"/>
      <c r="HX96" s="91"/>
      <c r="HY96" s="91"/>
      <c r="HZ96" s="91"/>
      <c r="IA96" s="91"/>
      <c r="IB96" s="91"/>
      <c r="IC96" s="91"/>
      <c r="ID96" s="91"/>
      <c r="IE96" s="91"/>
      <c r="IF96" s="91"/>
      <c r="IG96" s="91"/>
      <c r="IH96" s="91"/>
      <c r="II96" s="91"/>
      <c r="IJ96" s="91"/>
      <c r="IK96" s="91"/>
      <c r="IL96" s="91"/>
      <c r="IM96" s="91"/>
      <c r="IN96" s="91"/>
      <c r="IO96" s="91"/>
    </row>
    <row r="97" spans="3:249" x14ac:dyDescent="0.2">
      <c r="C97" s="1"/>
      <c r="D97" s="134">
        <v>3</v>
      </c>
      <c r="E97" s="242" t="s">
        <v>104</v>
      </c>
      <c r="F97" s="243"/>
      <c r="G97" s="243"/>
      <c r="H97" s="243"/>
      <c r="I97" s="244"/>
      <c r="J97" s="43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91"/>
      <c r="AE97" s="91"/>
      <c r="AF97" s="91"/>
      <c r="AG97" s="91"/>
      <c r="AH97" s="91"/>
      <c r="AI97" s="91"/>
      <c r="AJ97" s="91"/>
      <c r="AK97" s="91"/>
      <c r="AL97" s="91"/>
      <c r="AM97" s="91"/>
      <c r="AN97" s="91"/>
      <c r="AO97" s="91"/>
      <c r="AP97" s="91"/>
      <c r="AQ97" s="91"/>
      <c r="AR97" s="91"/>
      <c r="AS97" s="91"/>
      <c r="AT97" s="91"/>
      <c r="AU97" s="91"/>
      <c r="AV97" s="91"/>
      <c r="AW97" s="91"/>
      <c r="AX97" s="91"/>
      <c r="AY97" s="91"/>
      <c r="AZ97" s="91"/>
      <c r="BA97" s="91"/>
      <c r="BB97" s="91"/>
      <c r="BC97" s="91"/>
      <c r="BD97" s="91"/>
      <c r="BE97" s="91"/>
      <c r="BF97" s="91"/>
      <c r="BG97" s="91"/>
      <c r="BH97" s="91"/>
      <c r="BI97" s="91"/>
      <c r="BJ97" s="91"/>
      <c r="BK97" s="91"/>
      <c r="BL97" s="91"/>
      <c r="BM97" s="91"/>
      <c r="BN97" s="91"/>
      <c r="BO97" s="91"/>
      <c r="BP97" s="91"/>
      <c r="BQ97" s="91"/>
      <c r="BR97" s="91"/>
      <c r="BS97" s="91"/>
      <c r="BT97" s="91"/>
      <c r="BU97" s="91"/>
      <c r="BV97" s="91"/>
      <c r="BW97" s="91"/>
      <c r="BX97" s="91"/>
      <c r="BY97" s="91"/>
      <c r="BZ97" s="91"/>
      <c r="CA97" s="91"/>
      <c r="CB97" s="91"/>
      <c r="CC97" s="91"/>
      <c r="CD97" s="91"/>
      <c r="CE97" s="91"/>
      <c r="CF97" s="91"/>
      <c r="CG97" s="91"/>
      <c r="CH97" s="91"/>
      <c r="CI97" s="91"/>
      <c r="CJ97" s="91"/>
      <c r="CK97" s="91"/>
      <c r="CL97" s="91"/>
      <c r="CM97" s="91"/>
      <c r="CN97" s="91"/>
      <c r="CO97" s="91"/>
      <c r="CP97" s="91"/>
      <c r="CQ97" s="91"/>
      <c r="CR97" s="91"/>
      <c r="CS97" s="91"/>
      <c r="CT97" s="91"/>
      <c r="CU97" s="91"/>
      <c r="CV97" s="91"/>
      <c r="CW97" s="91"/>
      <c r="CX97" s="91"/>
      <c r="CY97" s="91"/>
      <c r="CZ97" s="91"/>
      <c r="DA97" s="91"/>
      <c r="DB97" s="91"/>
      <c r="DC97" s="91"/>
      <c r="DD97" s="91"/>
      <c r="DE97" s="91"/>
      <c r="DF97" s="91"/>
      <c r="DG97" s="91"/>
      <c r="DH97" s="91"/>
      <c r="DI97" s="91"/>
      <c r="DJ97" s="91"/>
      <c r="DK97" s="91"/>
      <c r="DL97" s="91"/>
      <c r="DM97" s="91"/>
      <c r="DN97" s="91"/>
      <c r="DO97" s="91"/>
      <c r="DP97" s="91"/>
      <c r="DQ97" s="91"/>
      <c r="DR97" s="91"/>
      <c r="DS97" s="91"/>
      <c r="DT97" s="91"/>
      <c r="DU97" s="91"/>
      <c r="DV97" s="91"/>
      <c r="DW97" s="91"/>
      <c r="DX97" s="91"/>
      <c r="DY97" s="91"/>
      <c r="DZ97" s="91"/>
      <c r="EA97" s="91"/>
      <c r="EB97" s="91"/>
      <c r="EC97" s="91"/>
      <c r="ED97" s="91"/>
      <c r="EE97" s="91"/>
      <c r="EF97" s="91"/>
      <c r="EG97" s="91"/>
      <c r="EH97" s="91"/>
      <c r="EI97" s="91"/>
      <c r="EJ97" s="91"/>
      <c r="EK97" s="91"/>
      <c r="EL97" s="91"/>
      <c r="EM97" s="91"/>
      <c r="EN97" s="91"/>
      <c r="EO97" s="91"/>
      <c r="EP97" s="91"/>
      <c r="EQ97" s="91"/>
      <c r="ER97" s="91"/>
      <c r="ES97" s="91"/>
      <c r="ET97" s="91"/>
      <c r="EU97" s="91"/>
      <c r="EV97" s="91"/>
      <c r="EW97" s="91"/>
      <c r="EX97" s="91"/>
      <c r="EY97" s="91"/>
      <c r="EZ97" s="91"/>
      <c r="FA97" s="91"/>
      <c r="FB97" s="91"/>
      <c r="FC97" s="91"/>
      <c r="FD97" s="91"/>
      <c r="FE97" s="91"/>
      <c r="FF97" s="91"/>
      <c r="FG97" s="91"/>
      <c r="FH97" s="91"/>
      <c r="FI97" s="91"/>
      <c r="FJ97" s="91"/>
      <c r="FK97" s="91"/>
      <c r="FL97" s="91"/>
      <c r="FM97" s="91"/>
      <c r="FN97" s="91"/>
      <c r="FO97" s="91"/>
      <c r="FP97" s="91"/>
      <c r="FQ97" s="91"/>
      <c r="FR97" s="91"/>
      <c r="FS97" s="91"/>
      <c r="FT97" s="91"/>
      <c r="FU97" s="91"/>
      <c r="FV97" s="91"/>
      <c r="FW97" s="91"/>
      <c r="FX97" s="91"/>
      <c r="FY97" s="91"/>
      <c r="FZ97" s="91"/>
      <c r="GA97" s="91"/>
      <c r="GB97" s="91"/>
      <c r="GC97" s="91"/>
      <c r="GD97" s="91"/>
      <c r="GE97" s="91"/>
      <c r="GF97" s="91"/>
      <c r="GG97" s="91"/>
      <c r="GH97" s="91"/>
      <c r="GI97" s="91"/>
      <c r="GJ97" s="91"/>
      <c r="GK97" s="91"/>
      <c r="GL97" s="91"/>
      <c r="GM97" s="91"/>
      <c r="GN97" s="91"/>
      <c r="GO97" s="91"/>
      <c r="GP97" s="91"/>
      <c r="GQ97" s="91"/>
      <c r="GR97" s="91"/>
      <c r="GS97" s="91"/>
      <c r="GT97" s="91"/>
      <c r="GU97" s="91"/>
      <c r="GV97" s="91"/>
      <c r="GW97" s="91"/>
      <c r="GX97" s="91"/>
      <c r="GY97" s="91"/>
      <c r="GZ97" s="91"/>
      <c r="HA97" s="91"/>
      <c r="HB97" s="91"/>
      <c r="HC97" s="91"/>
      <c r="HD97" s="91"/>
      <c r="HE97" s="91"/>
      <c r="HF97" s="91"/>
      <c r="HG97" s="91"/>
      <c r="HH97" s="91"/>
      <c r="HI97" s="91"/>
      <c r="HJ97" s="91"/>
      <c r="HK97" s="91"/>
      <c r="HL97" s="91"/>
      <c r="HM97" s="91"/>
      <c r="HN97" s="91"/>
      <c r="HO97" s="91"/>
      <c r="HP97" s="91"/>
      <c r="HQ97" s="91"/>
      <c r="HR97" s="91"/>
      <c r="HS97" s="91"/>
      <c r="HT97" s="91"/>
      <c r="HU97" s="91"/>
      <c r="HV97" s="91"/>
      <c r="HW97" s="91"/>
      <c r="HX97" s="91"/>
      <c r="HY97" s="91"/>
      <c r="HZ97" s="91"/>
      <c r="IA97" s="91"/>
      <c r="IB97" s="91"/>
      <c r="IC97" s="91"/>
      <c r="ID97" s="91"/>
      <c r="IE97" s="91"/>
      <c r="IF97" s="91"/>
      <c r="IG97" s="91"/>
      <c r="IH97" s="91"/>
      <c r="II97" s="91"/>
      <c r="IJ97" s="91"/>
      <c r="IK97" s="91"/>
      <c r="IL97" s="91"/>
      <c r="IM97" s="91"/>
      <c r="IN97" s="91"/>
      <c r="IO97" s="91"/>
    </row>
    <row r="98" spans="3:249" x14ac:dyDescent="0.2">
      <c r="C98" s="1"/>
      <c r="D98" s="134"/>
      <c r="E98" s="245"/>
      <c r="F98" s="246" t="s">
        <v>105</v>
      </c>
      <c r="G98" s="247" t="s">
        <v>106</v>
      </c>
      <c r="H98" s="246" t="s">
        <v>107</v>
      </c>
      <c r="I98" s="248" t="s">
        <v>108</v>
      </c>
      <c r="J98" s="43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91"/>
      <c r="AN98" s="91"/>
      <c r="AO98" s="91"/>
      <c r="AP98" s="91"/>
      <c r="AQ98" s="91"/>
      <c r="AR98" s="91"/>
      <c r="AS98" s="91"/>
      <c r="AT98" s="91"/>
      <c r="AU98" s="91"/>
      <c r="AV98" s="91"/>
      <c r="AW98" s="91"/>
      <c r="AX98" s="91"/>
      <c r="AY98" s="91"/>
      <c r="AZ98" s="91"/>
      <c r="BA98" s="91"/>
      <c r="BB98" s="91"/>
      <c r="BC98" s="91"/>
      <c r="BD98" s="91"/>
      <c r="BE98" s="91"/>
      <c r="BF98" s="91"/>
      <c r="BG98" s="91"/>
      <c r="BH98" s="91"/>
      <c r="BI98" s="91"/>
      <c r="BJ98" s="91"/>
      <c r="BK98" s="91"/>
      <c r="BL98" s="91"/>
      <c r="BM98" s="91"/>
      <c r="BN98" s="91"/>
      <c r="BO98" s="91"/>
      <c r="BP98" s="91"/>
      <c r="BQ98" s="91"/>
      <c r="BR98" s="91"/>
      <c r="BS98" s="91"/>
      <c r="BT98" s="91"/>
      <c r="BU98" s="91"/>
      <c r="BV98" s="91"/>
      <c r="BW98" s="91"/>
      <c r="BX98" s="91"/>
      <c r="BY98" s="91"/>
      <c r="BZ98" s="91"/>
      <c r="CA98" s="91"/>
      <c r="CB98" s="91"/>
      <c r="CC98" s="91"/>
      <c r="CD98" s="91"/>
      <c r="CE98" s="91"/>
      <c r="CF98" s="91"/>
      <c r="CG98" s="91"/>
      <c r="CH98" s="91"/>
      <c r="CI98" s="91"/>
      <c r="CJ98" s="91"/>
      <c r="CK98" s="91"/>
      <c r="CL98" s="91"/>
      <c r="CM98" s="91"/>
      <c r="CN98" s="91"/>
      <c r="CO98" s="91"/>
      <c r="CP98" s="91"/>
      <c r="CQ98" s="91"/>
      <c r="CR98" s="91"/>
      <c r="CS98" s="91"/>
      <c r="CT98" s="91"/>
      <c r="CU98" s="91"/>
      <c r="CV98" s="91"/>
      <c r="CW98" s="91"/>
      <c r="CX98" s="91"/>
      <c r="CY98" s="91"/>
      <c r="CZ98" s="91"/>
      <c r="DA98" s="91"/>
      <c r="DB98" s="91"/>
      <c r="DC98" s="91"/>
      <c r="DD98" s="91"/>
      <c r="DE98" s="91"/>
      <c r="DF98" s="91"/>
      <c r="DG98" s="91"/>
      <c r="DH98" s="91"/>
      <c r="DI98" s="91"/>
      <c r="DJ98" s="91"/>
      <c r="DK98" s="91"/>
      <c r="DL98" s="91"/>
      <c r="DM98" s="91"/>
      <c r="DN98" s="91"/>
      <c r="DO98" s="91"/>
      <c r="DP98" s="91"/>
      <c r="DQ98" s="91"/>
      <c r="DR98" s="91"/>
      <c r="DS98" s="91"/>
      <c r="DT98" s="91"/>
      <c r="DU98" s="91"/>
      <c r="DV98" s="91"/>
      <c r="DW98" s="91"/>
      <c r="DX98" s="91"/>
      <c r="DY98" s="91"/>
      <c r="DZ98" s="91"/>
      <c r="EA98" s="91"/>
      <c r="EB98" s="91"/>
      <c r="EC98" s="91"/>
      <c r="ED98" s="91"/>
      <c r="EE98" s="91"/>
      <c r="EF98" s="91"/>
      <c r="EG98" s="91"/>
      <c r="EH98" s="91"/>
      <c r="EI98" s="91"/>
      <c r="EJ98" s="91"/>
      <c r="EK98" s="91"/>
      <c r="EL98" s="91"/>
      <c r="EM98" s="91"/>
      <c r="EN98" s="91"/>
      <c r="EO98" s="91"/>
      <c r="EP98" s="91"/>
      <c r="EQ98" s="91"/>
      <c r="ER98" s="91"/>
      <c r="ES98" s="91"/>
      <c r="ET98" s="91"/>
      <c r="EU98" s="91"/>
      <c r="EV98" s="91"/>
      <c r="EW98" s="91"/>
      <c r="EX98" s="91"/>
      <c r="EY98" s="91"/>
      <c r="EZ98" s="91"/>
      <c r="FA98" s="91"/>
      <c r="FB98" s="91"/>
      <c r="FC98" s="91"/>
      <c r="FD98" s="91"/>
      <c r="FE98" s="91"/>
      <c r="FF98" s="91"/>
      <c r="FG98" s="91"/>
      <c r="FH98" s="91"/>
      <c r="FI98" s="91"/>
      <c r="FJ98" s="91"/>
      <c r="FK98" s="91"/>
      <c r="FL98" s="91"/>
      <c r="FM98" s="91"/>
      <c r="FN98" s="91"/>
      <c r="FO98" s="91"/>
      <c r="FP98" s="91"/>
      <c r="FQ98" s="91"/>
      <c r="FR98" s="91"/>
      <c r="FS98" s="91"/>
      <c r="FT98" s="91"/>
      <c r="FU98" s="91"/>
      <c r="FV98" s="91"/>
      <c r="FW98" s="91"/>
      <c r="FX98" s="91"/>
      <c r="FY98" s="91"/>
      <c r="FZ98" s="91"/>
      <c r="GA98" s="91"/>
      <c r="GB98" s="91"/>
      <c r="GC98" s="91"/>
      <c r="GD98" s="91"/>
      <c r="GE98" s="91"/>
      <c r="GF98" s="91"/>
      <c r="GG98" s="91"/>
      <c r="GH98" s="91"/>
      <c r="GI98" s="91"/>
      <c r="GJ98" s="91"/>
      <c r="GK98" s="91"/>
      <c r="GL98" s="91"/>
      <c r="GM98" s="91"/>
      <c r="GN98" s="91"/>
      <c r="GO98" s="91"/>
      <c r="GP98" s="91"/>
      <c r="GQ98" s="91"/>
      <c r="GR98" s="91"/>
      <c r="GS98" s="91"/>
      <c r="GT98" s="91"/>
      <c r="GU98" s="91"/>
      <c r="GV98" s="91"/>
      <c r="GW98" s="91"/>
      <c r="GX98" s="91"/>
      <c r="GY98" s="91"/>
      <c r="GZ98" s="91"/>
      <c r="HA98" s="91"/>
      <c r="HB98" s="91"/>
      <c r="HC98" s="91"/>
      <c r="HD98" s="91"/>
      <c r="HE98" s="91"/>
      <c r="HF98" s="91"/>
      <c r="HG98" s="91"/>
      <c r="HH98" s="91"/>
      <c r="HI98" s="91"/>
      <c r="HJ98" s="91"/>
      <c r="HK98" s="91"/>
      <c r="HL98" s="91"/>
      <c r="HM98" s="91"/>
      <c r="HN98" s="91"/>
      <c r="HO98" s="91"/>
      <c r="HP98" s="91"/>
      <c r="HQ98" s="91"/>
      <c r="HR98" s="91"/>
      <c r="HS98" s="91"/>
      <c r="HT98" s="91"/>
      <c r="HU98" s="91"/>
      <c r="HV98" s="91"/>
      <c r="HW98" s="91"/>
      <c r="HX98" s="91"/>
      <c r="HY98" s="91"/>
      <c r="HZ98" s="91"/>
      <c r="IA98" s="91"/>
      <c r="IB98" s="91"/>
      <c r="IC98" s="91"/>
      <c r="ID98" s="91"/>
      <c r="IE98" s="91"/>
      <c r="IF98" s="91"/>
      <c r="IG98" s="91"/>
      <c r="IH98" s="91"/>
      <c r="II98" s="91"/>
      <c r="IJ98" s="91"/>
      <c r="IK98" s="91"/>
      <c r="IL98" s="91"/>
      <c r="IM98" s="91"/>
      <c r="IN98" s="91"/>
      <c r="IO98" s="91"/>
    </row>
    <row r="99" spans="3:249" x14ac:dyDescent="0.2">
      <c r="C99" s="1"/>
      <c r="D99" s="134"/>
      <c r="E99" s="141" t="s">
        <v>109</v>
      </c>
      <c r="F99" s="249">
        <v>0.5</v>
      </c>
      <c r="G99" s="250">
        <v>30</v>
      </c>
      <c r="H99" s="251">
        <v>2000</v>
      </c>
      <c r="I99" s="252">
        <f>+F99*G99*H99</f>
        <v>30000</v>
      </c>
      <c r="J99" s="43" t="s">
        <v>110</v>
      </c>
      <c r="K99" s="1"/>
      <c r="L99" s="1"/>
      <c r="M99" s="82"/>
      <c r="N99" s="82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91"/>
      <c r="AN99" s="91"/>
      <c r="AO99" s="91"/>
      <c r="AP99" s="91"/>
      <c r="AQ99" s="91"/>
      <c r="AR99" s="91"/>
      <c r="AS99" s="91"/>
      <c r="AT99" s="91"/>
      <c r="AU99" s="91"/>
      <c r="AV99" s="91"/>
      <c r="AW99" s="91"/>
      <c r="AX99" s="91"/>
      <c r="AY99" s="91"/>
      <c r="AZ99" s="91"/>
      <c r="BA99" s="91"/>
      <c r="BB99" s="91"/>
      <c r="BC99" s="91"/>
      <c r="BD99" s="91"/>
      <c r="BE99" s="91"/>
      <c r="BF99" s="91"/>
      <c r="BG99" s="91"/>
      <c r="BH99" s="91"/>
      <c r="BI99" s="91"/>
      <c r="BJ99" s="91"/>
      <c r="BK99" s="91"/>
      <c r="BL99" s="91"/>
      <c r="BM99" s="91"/>
      <c r="BN99" s="91"/>
      <c r="BO99" s="91"/>
      <c r="BP99" s="91"/>
      <c r="BQ99" s="91"/>
      <c r="BR99" s="91"/>
      <c r="BS99" s="91"/>
      <c r="BT99" s="91"/>
      <c r="BU99" s="91"/>
      <c r="BV99" s="91"/>
      <c r="BW99" s="91"/>
      <c r="BX99" s="91"/>
      <c r="BY99" s="91"/>
      <c r="BZ99" s="91"/>
      <c r="CA99" s="91"/>
      <c r="CB99" s="91"/>
      <c r="CC99" s="91"/>
      <c r="CD99" s="91"/>
      <c r="CE99" s="91"/>
      <c r="CF99" s="91"/>
      <c r="CG99" s="91"/>
      <c r="CH99" s="91"/>
      <c r="CI99" s="91"/>
      <c r="CJ99" s="91"/>
      <c r="CK99" s="91"/>
      <c r="CL99" s="91"/>
      <c r="CM99" s="91"/>
      <c r="CN99" s="91"/>
      <c r="CO99" s="91"/>
      <c r="CP99" s="91"/>
      <c r="CQ99" s="91"/>
      <c r="CR99" s="91"/>
      <c r="CS99" s="91"/>
      <c r="CT99" s="91"/>
      <c r="CU99" s="91"/>
      <c r="CV99" s="91"/>
      <c r="CW99" s="91"/>
      <c r="CX99" s="91"/>
      <c r="CY99" s="91"/>
      <c r="CZ99" s="91"/>
      <c r="DA99" s="91"/>
      <c r="DB99" s="91"/>
      <c r="DC99" s="91"/>
      <c r="DD99" s="91"/>
      <c r="DE99" s="91"/>
      <c r="DF99" s="91"/>
      <c r="DG99" s="91"/>
      <c r="DH99" s="91"/>
      <c r="DI99" s="91"/>
      <c r="DJ99" s="91"/>
      <c r="DK99" s="91"/>
      <c r="DL99" s="91"/>
      <c r="DM99" s="91"/>
      <c r="DN99" s="91"/>
      <c r="DO99" s="91"/>
      <c r="DP99" s="91"/>
      <c r="DQ99" s="91"/>
      <c r="DR99" s="91"/>
      <c r="DS99" s="91"/>
      <c r="DT99" s="91"/>
      <c r="DU99" s="91"/>
      <c r="DV99" s="91"/>
      <c r="DW99" s="91"/>
      <c r="DX99" s="91"/>
      <c r="DY99" s="91"/>
      <c r="DZ99" s="91"/>
      <c r="EA99" s="91"/>
      <c r="EB99" s="91"/>
      <c r="EC99" s="91"/>
      <c r="ED99" s="91"/>
      <c r="EE99" s="91"/>
      <c r="EF99" s="91"/>
      <c r="EG99" s="91"/>
      <c r="EH99" s="91"/>
      <c r="EI99" s="91"/>
      <c r="EJ99" s="91"/>
      <c r="EK99" s="91"/>
      <c r="EL99" s="91"/>
      <c r="EM99" s="91"/>
      <c r="EN99" s="91"/>
      <c r="EO99" s="91"/>
      <c r="EP99" s="91"/>
      <c r="EQ99" s="91"/>
      <c r="ER99" s="91"/>
      <c r="ES99" s="91"/>
      <c r="ET99" s="91"/>
      <c r="EU99" s="91"/>
      <c r="EV99" s="91"/>
      <c r="EW99" s="91"/>
      <c r="EX99" s="91"/>
      <c r="EY99" s="91"/>
      <c r="EZ99" s="91"/>
      <c r="FA99" s="91"/>
      <c r="FB99" s="91"/>
      <c r="FC99" s="91"/>
      <c r="FD99" s="91"/>
      <c r="FE99" s="91"/>
      <c r="FF99" s="91"/>
      <c r="FG99" s="91"/>
      <c r="FH99" s="91"/>
      <c r="FI99" s="91"/>
      <c r="FJ99" s="91"/>
      <c r="FK99" s="91"/>
      <c r="FL99" s="91"/>
      <c r="FM99" s="91"/>
      <c r="FN99" s="91"/>
      <c r="FO99" s="91"/>
      <c r="FP99" s="91"/>
      <c r="FQ99" s="91"/>
      <c r="FR99" s="91"/>
      <c r="FS99" s="91"/>
      <c r="FT99" s="91"/>
      <c r="FU99" s="91"/>
      <c r="FV99" s="91"/>
      <c r="FW99" s="91"/>
      <c r="FX99" s="91"/>
      <c r="FY99" s="91"/>
      <c r="FZ99" s="91"/>
      <c r="GA99" s="91"/>
      <c r="GB99" s="91"/>
      <c r="GC99" s="91"/>
      <c r="GD99" s="91"/>
      <c r="GE99" s="91"/>
      <c r="GF99" s="91"/>
      <c r="GG99" s="91"/>
      <c r="GH99" s="91"/>
      <c r="GI99" s="91"/>
      <c r="GJ99" s="91"/>
      <c r="GK99" s="91"/>
      <c r="GL99" s="91"/>
      <c r="GM99" s="91"/>
      <c r="GN99" s="91"/>
      <c r="GO99" s="91"/>
      <c r="GP99" s="91"/>
      <c r="GQ99" s="91"/>
      <c r="GR99" s="91"/>
      <c r="GS99" s="91"/>
      <c r="GT99" s="91"/>
      <c r="GU99" s="91"/>
      <c r="GV99" s="91"/>
      <c r="GW99" s="91"/>
      <c r="GX99" s="91"/>
      <c r="GY99" s="91"/>
      <c r="GZ99" s="91"/>
      <c r="HA99" s="91"/>
      <c r="HB99" s="91"/>
      <c r="HC99" s="91"/>
      <c r="HD99" s="91"/>
      <c r="HE99" s="91"/>
      <c r="HF99" s="91"/>
      <c r="HG99" s="91"/>
      <c r="HH99" s="91"/>
      <c r="HI99" s="91"/>
      <c r="HJ99" s="91"/>
      <c r="HK99" s="91"/>
      <c r="HL99" s="91"/>
      <c r="HM99" s="91"/>
      <c r="HN99" s="91"/>
      <c r="HO99" s="91"/>
      <c r="HP99" s="91"/>
      <c r="HQ99" s="91"/>
      <c r="HR99" s="91"/>
      <c r="HS99" s="91"/>
      <c r="HT99" s="91"/>
      <c r="HU99" s="91"/>
      <c r="HV99" s="91"/>
      <c r="HW99" s="91"/>
      <c r="HX99" s="91"/>
      <c r="HY99" s="91"/>
      <c r="HZ99" s="91"/>
      <c r="IA99" s="91"/>
      <c r="IB99" s="91"/>
      <c r="IC99" s="91"/>
      <c r="ID99" s="91"/>
      <c r="IE99" s="91"/>
      <c r="IF99" s="91"/>
      <c r="IG99" s="91"/>
      <c r="IH99" s="91"/>
      <c r="II99" s="91"/>
      <c r="IJ99" s="91"/>
      <c r="IK99" s="91"/>
      <c r="IL99" s="91"/>
      <c r="IM99" s="91"/>
      <c r="IN99" s="91"/>
      <c r="IO99" s="91"/>
    </row>
    <row r="100" spans="3:249" x14ac:dyDescent="0.2">
      <c r="C100" s="1"/>
      <c r="D100" s="134"/>
      <c r="E100" s="141" t="s">
        <v>111</v>
      </c>
      <c r="F100" s="249">
        <v>1</v>
      </c>
      <c r="G100" s="250">
        <v>30</v>
      </c>
      <c r="H100" s="251">
        <v>2000</v>
      </c>
      <c r="I100" s="252">
        <f>+F100*G100*H100</f>
        <v>60000</v>
      </c>
      <c r="J100" s="43"/>
      <c r="K100" s="1"/>
      <c r="L100" s="1"/>
      <c r="M100" s="82"/>
      <c r="N100" s="82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91"/>
      <c r="AN100" s="91"/>
      <c r="AO100" s="91"/>
      <c r="AP100" s="91"/>
      <c r="AQ100" s="91"/>
      <c r="AR100" s="91"/>
      <c r="AS100" s="91"/>
      <c r="AT100" s="91"/>
      <c r="AU100" s="91"/>
      <c r="AV100" s="91"/>
      <c r="AW100" s="91"/>
      <c r="AX100" s="91"/>
      <c r="AY100" s="91"/>
      <c r="AZ100" s="91"/>
      <c r="BA100" s="91"/>
      <c r="BB100" s="91"/>
      <c r="BC100" s="91"/>
      <c r="BD100" s="91"/>
      <c r="BE100" s="91"/>
      <c r="BF100" s="91"/>
      <c r="BG100" s="91"/>
      <c r="BH100" s="91"/>
      <c r="BI100" s="91"/>
      <c r="BJ100" s="91"/>
      <c r="BK100" s="91"/>
      <c r="BL100" s="91"/>
      <c r="BM100" s="91"/>
      <c r="BN100" s="91"/>
      <c r="BO100" s="91"/>
      <c r="BP100" s="91"/>
      <c r="BQ100" s="91"/>
      <c r="BR100" s="91"/>
      <c r="BS100" s="91"/>
      <c r="BT100" s="91"/>
      <c r="BU100" s="91"/>
      <c r="BV100" s="91"/>
      <c r="BW100" s="91"/>
      <c r="BX100" s="91"/>
      <c r="BY100" s="91"/>
      <c r="BZ100" s="91"/>
      <c r="CA100" s="91"/>
      <c r="CB100" s="91"/>
      <c r="CC100" s="91"/>
      <c r="CD100" s="91"/>
      <c r="CE100" s="91"/>
      <c r="CF100" s="91"/>
      <c r="CG100" s="91"/>
      <c r="CH100" s="91"/>
      <c r="CI100" s="91"/>
      <c r="CJ100" s="91"/>
      <c r="CK100" s="91"/>
      <c r="CL100" s="91"/>
      <c r="CM100" s="91"/>
      <c r="CN100" s="91"/>
      <c r="CO100" s="91"/>
      <c r="CP100" s="91"/>
      <c r="CQ100" s="91"/>
      <c r="CR100" s="91"/>
      <c r="CS100" s="91"/>
      <c r="CT100" s="91"/>
      <c r="CU100" s="91"/>
      <c r="CV100" s="91"/>
      <c r="CW100" s="91"/>
      <c r="CX100" s="91"/>
      <c r="CY100" s="91"/>
      <c r="CZ100" s="91"/>
      <c r="DA100" s="91"/>
      <c r="DB100" s="91"/>
      <c r="DC100" s="91"/>
      <c r="DD100" s="91"/>
      <c r="DE100" s="91"/>
      <c r="DF100" s="91"/>
      <c r="DG100" s="91"/>
      <c r="DH100" s="91"/>
      <c r="DI100" s="91"/>
      <c r="DJ100" s="91"/>
      <c r="DK100" s="91"/>
      <c r="DL100" s="91"/>
      <c r="DM100" s="91"/>
      <c r="DN100" s="91"/>
      <c r="DO100" s="91"/>
      <c r="DP100" s="91"/>
      <c r="DQ100" s="91"/>
      <c r="DR100" s="91"/>
      <c r="DS100" s="91"/>
      <c r="DT100" s="91"/>
      <c r="DU100" s="91"/>
      <c r="DV100" s="91"/>
      <c r="DW100" s="91"/>
      <c r="DX100" s="91"/>
      <c r="DY100" s="91"/>
      <c r="DZ100" s="91"/>
      <c r="EA100" s="91"/>
      <c r="EB100" s="91"/>
      <c r="EC100" s="91"/>
      <c r="ED100" s="91"/>
      <c r="EE100" s="91"/>
      <c r="EF100" s="91"/>
      <c r="EG100" s="91"/>
      <c r="EH100" s="91"/>
      <c r="EI100" s="91"/>
      <c r="EJ100" s="91"/>
      <c r="EK100" s="91"/>
      <c r="EL100" s="91"/>
      <c r="EM100" s="91"/>
      <c r="EN100" s="91"/>
      <c r="EO100" s="91"/>
      <c r="EP100" s="91"/>
      <c r="EQ100" s="91"/>
      <c r="ER100" s="91"/>
      <c r="ES100" s="91"/>
      <c r="ET100" s="91"/>
      <c r="EU100" s="91"/>
      <c r="EV100" s="91"/>
      <c r="EW100" s="91"/>
      <c r="EX100" s="91"/>
      <c r="EY100" s="91"/>
      <c r="EZ100" s="91"/>
      <c r="FA100" s="91"/>
      <c r="FB100" s="91"/>
      <c r="FC100" s="91"/>
      <c r="FD100" s="91"/>
      <c r="FE100" s="91"/>
      <c r="FF100" s="91"/>
      <c r="FG100" s="91"/>
      <c r="FH100" s="91"/>
      <c r="FI100" s="91"/>
      <c r="FJ100" s="91"/>
      <c r="FK100" s="91"/>
      <c r="FL100" s="91"/>
      <c r="FM100" s="91"/>
      <c r="FN100" s="91"/>
      <c r="FO100" s="91"/>
      <c r="FP100" s="91"/>
      <c r="FQ100" s="91"/>
      <c r="FR100" s="91"/>
      <c r="FS100" s="91"/>
      <c r="FT100" s="91"/>
      <c r="FU100" s="91"/>
      <c r="FV100" s="91"/>
      <c r="FW100" s="91"/>
      <c r="FX100" s="91"/>
      <c r="FY100" s="91"/>
      <c r="FZ100" s="91"/>
      <c r="GA100" s="91"/>
      <c r="GB100" s="91"/>
      <c r="GC100" s="91"/>
      <c r="GD100" s="91"/>
      <c r="GE100" s="91"/>
      <c r="GF100" s="91"/>
      <c r="GG100" s="91"/>
      <c r="GH100" s="91"/>
      <c r="GI100" s="91"/>
      <c r="GJ100" s="91"/>
      <c r="GK100" s="91"/>
      <c r="GL100" s="91"/>
      <c r="GM100" s="91"/>
      <c r="GN100" s="91"/>
      <c r="GO100" s="91"/>
      <c r="GP100" s="91"/>
      <c r="GQ100" s="91"/>
      <c r="GR100" s="91"/>
      <c r="GS100" s="91"/>
      <c r="GT100" s="91"/>
      <c r="GU100" s="91"/>
      <c r="GV100" s="91"/>
      <c r="GW100" s="91"/>
      <c r="GX100" s="91"/>
      <c r="GY100" s="91"/>
      <c r="GZ100" s="91"/>
      <c r="HA100" s="91"/>
      <c r="HB100" s="91"/>
      <c r="HC100" s="91"/>
      <c r="HD100" s="91"/>
      <c r="HE100" s="91"/>
      <c r="HF100" s="91"/>
      <c r="HG100" s="91"/>
      <c r="HH100" s="91"/>
      <c r="HI100" s="91"/>
      <c r="HJ100" s="91"/>
      <c r="HK100" s="91"/>
      <c r="HL100" s="91"/>
      <c r="HM100" s="91"/>
      <c r="HN100" s="91"/>
      <c r="HO100" s="91"/>
      <c r="HP100" s="91"/>
      <c r="HQ100" s="91"/>
      <c r="HR100" s="91"/>
      <c r="HS100" s="91"/>
      <c r="HT100" s="91"/>
      <c r="HU100" s="91"/>
      <c r="HV100" s="91"/>
      <c r="HW100" s="91"/>
      <c r="HX100" s="91"/>
      <c r="HY100" s="91"/>
      <c r="HZ100" s="91"/>
      <c r="IA100" s="91"/>
      <c r="IB100" s="91"/>
      <c r="IC100" s="91"/>
      <c r="ID100" s="91"/>
      <c r="IE100" s="91"/>
      <c r="IF100" s="91"/>
      <c r="IG100" s="91"/>
      <c r="IH100" s="91"/>
      <c r="II100" s="91"/>
      <c r="IJ100" s="91"/>
      <c r="IK100" s="91"/>
      <c r="IL100" s="91"/>
      <c r="IM100" s="91"/>
      <c r="IN100" s="91"/>
      <c r="IO100" s="91"/>
    </row>
    <row r="101" spans="3:249" x14ac:dyDescent="0.2">
      <c r="C101" s="1"/>
      <c r="D101" s="134"/>
      <c r="E101" s="141" t="s">
        <v>112</v>
      </c>
      <c r="F101" s="249">
        <v>1</v>
      </c>
      <c r="G101" s="250">
        <v>30</v>
      </c>
      <c r="H101" s="251">
        <v>2000</v>
      </c>
      <c r="I101" s="252">
        <f>+F101*G101*H101</f>
        <v>60000</v>
      </c>
      <c r="J101" s="43"/>
      <c r="K101" s="253"/>
      <c r="L101" s="1"/>
      <c r="M101" s="82"/>
      <c r="N101" s="82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91"/>
      <c r="AN101" s="91"/>
      <c r="AO101" s="91"/>
      <c r="AP101" s="91"/>
      <c r="AQ101" s="91"/>
      <c r="AR101" s="91"/>
      <c r="AS101" s="91"/>
      <c r="AT101" s="91"/>
      <c r="AU101" s="91"/>
      <c r="AV101" s="91"/>
      <c r="AW101" s="91"/>
      <c r="AX101" s="91"/>
      <c r="AY101" s="91"/>
      <c r="AZ101" s="91"/>
      <c r="BA101" s="91"/>
      <c r="BB101" s="91"/>
      <c r="BC101" s="91"/>
      <c r="BD101" s="91"/>
      <c r="BE101" s="91"/>
      <c r="BF101" s="91"/>
      <c r="BG101" s="91"/>
      <c r="BH101" s="91"/>
      <c r="BI101" s="91"/>
      <c r="BJ101" s="91"/>
      <c r="BK101" s="91"/>
      <c r="BL101" s="91"/>
      <c r="BM101" s="91"/>
      <c r="BN101" s="91"/>
      <c r="BO101" s="91"/>
      <c r="BP101" s="91"/>
      <c r="BQ101" s="91"/>
      <c r="BR101" s="91"/>
      <c r="BS101" s="91"/>
      <c r="BT101" s="91"/>
      <c r="BU101" s="91"/>
      <c r="BV101" s="91"/>
      <c r="BW101" s="91"/>
      <c r="BX101" s="91"/>
      <c r="BY101" s="91"/>
      <c r="BZ101" s="91"/>
      <c r="CA101" s="91"/>
      <c r="CB101" s="91"/>
      <c r="CC101" s="91"/>
      <c r="CD101" s="91"/>
      <c r="CE101" s="91"/>
      <c r="CF101" s="91"/>
      <c r="CG101" s="91"/>
      <c r="CH101" s="91"/>
      <c r="CI101" s="91"/>
      <c r="CJ101" s="91"/>
      <c r="CK101" s="91"/>
      <c r="CL101" s="91"/>
      <c r="CM101" s="91"/>
      <c r="CN101" s="91"/>
      <c r="CO101" s="91"/>
      <c r="CP101" s="91"/>
      <c r="CQ101" s="91"/>
      <c r="CR101" s="91"/>
      <c r="CS101" s="91"/>
      <c r="CT101" s="91"/>
      <c r="CU101" s="91"/>
      <c r="CV101" s="91"/>
      <c r="CW101" s="91"/>
      <c r="CX101" s="91"/>
      <c r="CY101" s="91"/>
      <c r="CZ101" s="91"/>
      <c r="DA101" s="91"/>
      <c r="DB101" s="91"/>
      <c r="DC101" s="91"/>
      <c r="DD101" s="91"/>
      <c r="DE101" s="91"/>
      <c r="DF101" s="91"/>
      <c r="DG101" s="91"/>
      <c r="DH101" s="91"/>
      <c r="DI101" s="91"/>
      <c r="DJ101" s="91"/>
      <c r="DK101" s="91"/>
      <c r="DL101" s="91"/>
      <c r="DM101" s="91"/>
      <c r="DN101" s="91"/>
      <c r="DO101" s="91"/>
      <c r="DP101" s="91"/>
      <c r="DQ101" s="91"/>
      <c r="DR101" s="91"/>
      <c r="DS101" s="91"/>
      <c r="DT101" s="91"/>
      <c r="DU101" s="91"/>
      <c r="DV101" s="91"/>
      <c r="DW101" s="91"/>
      <c r="DX101" s="91"/>
      <c r="DY101" s="91"/>
      <c r="DZ101" s="91"/>
      <c r="EA101" s="91"/>
      <c r="EB101" s="91"/>
      <c r="EC101" s="91"/>
      <c r="ED101" s="91"/>
      <c r="EE101" s="91"/>
      <c r="EF101" s="91"/>
      <c r="EG101" s="91"/>
      <c r="EH101" s="91"/>
      <c r="EI101" s="91"/>
      <c r="EJ101" s="91"/>
      <c r="EK101" s="91"/>
      <c r="EL101" s="91"/>
      <c r="EM101" s="91"/>
      <c r="EN101" s="91"/>
      <c r="EO101" s="91"/>
      <c r="EP101" s="91"/>
      <c r="EQ101" s="91"/>
      <c r="ER101" s="91"/>
      <c r="ES101" s="91"/>
      <c r="ET101" s="91"/>
      <c r="EU101" s="91"/>
      <c r="EV101" s="91"/>
      <c r="EW101" s="91"/>
      <c r="EX101" s="91"/>
      <c r="EY101" s="91"/>
      <c r="EZ101" s="91"/>
      <c r="FA101" s="91"/>
      <c r="FB101" s="91"/>
      <c r="FC101" s="91"/>
      <c r="FD101" s="91"/>
      <c r="FE101" s="91"/>
      <c r="FF101" s="91"/>
      <c r="FG101" s="91"/>
      <c r="FH101" s="91"/>
      <c r="FI101" s="91"/>
      <c r="FJ101" s="91"/>
      <c r="FK101" s="91"/>
      <c r="FL101" s="91"/>
      <c r="FM101" s="91"/>
      <c r="FN101" s="91"/>
      <c r="FO101" s="91"/>
      <c r="FP101" s="91"/>
      <c r="FQ101" s="91"/>
      <c r="FR101" s="91"/>
      <c r="FS101" s="91"/>
      <c r="FT101" s="91"/>
      <c r="FU101" s="91"/>
      <c r="FV101" s="91"/>
      <c r="FW101" s="91"/>
      <c r="FX101" s="91"/>
      <c r="FY101" s="91"/>
      <c r="FZ101" s="91"/>
      <c r="GA101" s="91"/>
      <c r="GB101" s="91"/>
      <c r="GC101" s="91"/>
      <c r="GD101" s="91"/>
      <c r="GE101" s="91"/>
      <c r="GF101" s="91"/>
      <c r="GG101" s="91"/>
      <c r="GH101" s="91"/>
      <c r="GI101" s="91"/>
      <c r="GJ101" s="91"/>
      <c r="GK101" s="91"/>
      <c r="GL101" s="91"/>
      <c r="GM101" s="91"/>
      <c r="GN101" s="91"/>
      <c r="GO101" s="91"/>
      <c r="GP101" s="91"/>
      <c r="GQ101" s="91"/>
      <c r="GR101" s="91"/>
      <c r="GS101" s="91"/>
      <c r="GT101" s="91"/>
      <c r="GU101" s="91"/>
      <c r="GV101" s="91"/>
      <c r="GW101" s="91"/>
      <c r="GX101" s="91"/>
      <c r="GY101" s="91"/>
      <c r="GZ101" s="91"/>
      <c r="HA101" s="91"/>
      <c r="HB101" s="91"/>
      <c r="HC101" s="91"/>
      <c r="HD101" s="91"/>
      <c r="HE101" s="91"/>
      <c r="HF101" s="91"/>
      <c r="HG101" s="91"/>
      <c r="HH101" s="91"/>
      <c r="HI101" s="91"/>
      <c r="HJ101" s="91"/>
      <c r="HK101" s="91"/>
      <c r="HL101" s="91"/>
      <c r="HM101" s="91"/>
      <c r="HN101" s="91"/>
      <c r="HO101" s="91"/>
      <c r="HP101" s="91"/>
      <c r="HQ101" s="91"/>
      <c r="HR101" s="91"/>
      <c r="HS101" s="91"/>
      <c r="HT101" s="91"/>
      <c r="HU101" s="91"/>
      <c r="HV101" s="91"/>
      <c r="HW101" s="91"/>
      <c r="HX101" s="91"/>
      <c r="HY101" s="91"/>
      <c r="HZ101" s="91"/>
      <c r="IA101" s="91"/>
      <c r="IB101" s="91"/>
      <c r="IC101" s="91"/>
      <c r="ID101" s="91"/>
      <c r="IE101" s="91"/>
      <c r="IF101" s="91"/>
      <c r="IG101" s="91"/>
      <c r="IH101" s="91"/>
      <c r="II101" s="91"/>
      <c r="IJ101" s="91"/>
      <c r="IK101" s="91"/>
      <c r="IL101" s="91"/>
      <c r="IM101" s="91"/>
      <c r="IN101" s="91"/>
      <c r="IO101" s="91"/>
    </row>
    <row r="102" spans="3:249" x14ac:dyDescent="0.2">
      <c r="C102" s="1"/>
      <c r="D102" s="134"/>
      <c r="E102" s="141" t="s">
        <v>113</v>
      </c>
      <c r="F102" s="249">
        <v>0</v>
      </c>
      <c r="G102" s="250">
        <v>32</v>
      </c>
      <c r="H102" s="251">
        <v>2000</v>
      </c>
      <c r="I102" s="252">
        <f>+F102*G102*H102</f>
        <v>0</v>
      </c>
      <c r="J102" s="43"/>
      <c r="K102" s="253"/>
      <c r="L102" s="1"/>
      <c r="M102" s="82"/>
      <c r="N102" s="82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91"/>
      <c r="AN102" s="91"/>
      <c r="AO102" s="91"/>
      <c r="AP102" s="91"/>
      <c r="AQ102" s="91"/>
      <c r="AR102" s="91"/>
      <c r="AS102" s="91"/>
      <c r="AT102" s="91"/>
      <c r="AU102" s="91"/>
      <c r="AV102" s="91"/>
      <c r="AW102" s="91"/>
      <c r="AX102" s="91"/>
      <c r="AY102" s="91"/>
      <c r="AZ102" s="91"/>
      <c r="BA102" s="91"/>
      <c r="BB102" s="91"/>
      <c r="BC102" s="91"/>
      <c r="BD102" s="91"/>
      <c r="BE102" s="91"/>
      <c r="BF102" s="91"/>
      <c r="BG102" s="91"/>
      <c r="BH102" s="91"/>
      <c r="BI102" s="91"/>
      <c r="BJ102" s="91"/>
      <c r="BK102" s="91"/>
      <c r="BL102" s="91"/>
      <c r="BM102" s="91"/>
      <c r="BN102" s="91"/>
      <c r="BO102" s="91"/>
      <c r="BP102" s="91"/>
      <c r="BQ102" s="91"/>
      <c r="BR102" s="91"/>
      <c r="BS102" s="91"/>
      <c r="BT102" s="91"/>
      <c r="BU102" s="91"/>
      <c r="BV102" s="91"/>
      <c r="BW102" s="91"/>
      <c r="BX102" s="91"/>
      <c r="BY102" s="91"/>
      <c r="BZ102" s="91"/>
      <c r="CA102" s="91"/>
      <c r="CB102" s="91"/>
      <c r="CC102" s="91"/>
      <c r="CD102" s="91"/>
      <c r="CE102" s="91"/>
      <c r="CF102" s="91"/>
      <c r="CG102" s="91"/>
      <c r="CH102" s="91"/>
      <c r="CI102" s="91"/>
      <c r="CJ102" s="91"/>
      <c r="CK102" s="91"/>
      <c r="CL102" s="91"/>
      <c r="CM102" s="91"/>
      <c r="CN102" s="91"/>
      <c r="CO102" s="91"/>
      <c r="CP102" s="91"/>
      <c r="CQ102" s="91"/>
      <c r="CR102" s="91"/>
      <c r="CS102" s="91"/>
      <c r="CT102" s="91"/>
      <c r="CU102" s="91"/>
      <c r="CV102" s="91"/>
      <c r="CW102" s="91"/>
      <c r="CX102" s="91"/>
      <c r="CY102" s="91"/>
      <c r="CZ102" s="91"/>
      <c r="DA102" s="91"/>
      <c r="DB102" s="91"/>
      <c r="DC102" s="91"/>
      <c r="DD102" s="91"/>
      <c r="DE102" s="91"/>
      <c r="DF102" s="91"/>
      <c r="DG102" s="91"/>
      <c r="DH102" s="91"/>
      <c r="DI102" s="91"/>
      <c r="DJ102" s="91"/>
      <c r="DK102" s="91"/>
      <c r="DL102" s="91"/>
      <c r="DM102" s="91"/>
      <c r="DN102" s="91"/>
      <c r="DO102" s="91"/>
      <c r="DP102" s="91"/>
      <c r="DQ102" s="91"/>
      <c r="DR102" s="91"/>
      <c r="DS102" s="91"/>
      <c r="DT102" s="91"/>
      <c r="DU102" s="91"/>
      <c r="DV102" s="91"/>
      <c r="DW102" s="91"/>
      <c r="DX102" s="91"/>
      <c r="DY102" s="91"/>
      <c r="DZ102" s="91"/>
      <c r="EA102" s="91"/>
      <c r="EB102" s="91"/>
      <c r="EC102" s="91"/>
      <c r="ED102" s="91"/>
      <c r="EE102" s="91"/>
      <c r="EF102" s="91"/>
      <c r="EG102" s="91"/>
      <c r="EH102" s="91"/>
      <c r="EI102" s="91"/>
      <c r="EJ102" s="91"/>
      <c r="EK102" s="91"/>
      <c r="EL102" s="91"/>
      <c r="EM102" s="91"/>
      <c r="EN102" s="91"/>
      <c r="EO102" s="91"/>
      <c r="EP102" s="91"/>
      <c r="EQ102" s="91"/>
      <c r="ER102" s="91"/>
      <c r="ES102" s="91"/>
      <c r="ET102" s="91"/>
      <c r="EU102" s="91"/>
      <c r="EV102" s="91"/>
      <c r="EW102" s="91"/>
      <c r="EX102" s="91"/>
      <c r="EY102" s="91"/>
      <c r="EZ102" s="91"/>
      <c r="FA102" s="91"/>
      <c r="FB102" s="91"/>
      <c r="FC102" s="91"/>
      <c r="FD102" s="91"/>
      <c r="FE102" s="91"/>
      <c r="FF102" s="91"/>
      <c r="FG102" s="91"/>
      <c r="FH102" s="91"/>
      <c r="FI102" s="91"/>
      <c r="FJ102" s="91"/>
      <c r="FK102" s="91"/>
      <c r="FL102" s="91"/>
      <c r="FM102" s="91"/>
      <c r="FN102" s="91"/>
      <c r="FO102" s="91"/>
      <c r="FP102" s="91"/>
      <c r="FQ102" s="91"/>
      <c r="FR102" s="91"/>
      <c r="FS102" s="91"/>
      <c r="FT102" s="91"/>
      <c r="FU102" s="91"/>
      <c r="FV102" s="91"/>
      <c r="FW102" s="91"/>
      <c r="FX102" s="91"/>
      <c r="FY102" s="91"/>
      <c r="FZ102" s="91"/>
      <c r="GA102" s="91"/>
      <c r="GB102" s="91"/>
      <c r="GC102" s="91"/>
      <c r="GD102" s="91"/>
      <c r="GE102" s="91"/>
      <c r="GF102" s="91"/>
      <c r="GG102" s="91"/>
      <c r="GH102" s="91"/>
      <c r="GI102" s="91"/>
      <c r="GJ102" s="91"/>
      <c r="GK102" s="91"/>
      <c r="GL102" s="91"/>
      <c r="GM102" s="91"/>
      <c r="GN102" s="91"/>
      <c r="GO102" s="91"/>
      <c r="GP102" s="91"/>
      <c r="GQ102" s="91"/>
      <c r="GR102" s="91"/>
      <c r="GS102" s="91"/>
      <c r="GT102" s="91"/>
      <c r="GU102" s="91"/>
      <c r="GV102" s="91"/>
      <c r="GW102" s="91"/>
      <c r="GX102" s="91"/>
      <c r="GY102" s="91"/>
      <c r="GZ102" s="91"/>
      <c r="HA102" s="91"/>
      <c r="HB102" s="91"/>
      <c r="HC102" s="91"/>
      <c r="HD102" s="91"/>
      <c r="HE102" s="91"/>
      <c r="HF102" s="91"/>
      <c r="HG102" s="91"/>
      <c r="HH102" s="91"/>
      <c r="HI102" s="91"/>
      <c r="HJ102" s="91"/>
      <c r="HK102" s="91"/>
      <c r="HL102" s="91"/>
      <c r="HM102" s="91"/>
      <c r="HN102" s="91"/>
      <c r="HO102" s="91"/>
      <c r="HP102" s="91"/>
      <c r="HQ102" s="91"/>
      <c r="HR102" s="91"/>
      <c r="HS102" s="91"/>
      <c r="HT102" s="91"/>
      <c r="HU102" s="91"/>
      <c r="HV102" s="91"/>
      <c r="HW102" s="91"/>
      <c r="HX102" s="91"/>
      <c r="HY102" s="91"/>
      <c r="HZ102" s="91"/>
      <c r="IA102" s="91"/>
      <c r="IB102" s="91"/>
      <c r="IC102" s="91"/>
      <c r="ID102" s="91"/>
      <c r="IE102" s="91"/>
      <c r="IF102" s="91"/>
      <c r="IG102" s="91"/>
      <c r="IH102" s="91"/>
      <c r="II102" s="91"/>
      <c r="IJ102" s="91"/>
      <c r="IK102" s="91"/>
      <c r="IL102" s="91"/>
      <c r="IM102" s="91"/>
      <c r="IN102" s="91"/>
      <c r="IO102" s="91"/>
    </row>
    <row r="103" spans="3:249" x14ac:dyDescent="0.2">
      <c r="C103" s="1"/>
      <c r="D103" s="134"/>
      <c r="E103" s="141" t="s">
        <v>114</v>
      </c>
      <c r="F103" s="249">
        <v>1</v>
      </c>
      <c r="G103" s="254">
        <v>70000</v>
      </c>
      <c r="H103" s="251"/>
      <c r="I103" s="252">
        <f>+F103*G103</f>
        <v>70000</v>
      </c>
      <c r="J103" s="43"/>
      <c r="K103" s="253"/>
      <c r="L103" s="1"/>
      <c r="M103" s="82"/>
      <c r="N103" s="82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91"/>
      <c r="AN103" s="91"/>
      <c r="AO103" s="91"/>
      <c r="AP103" s="91"/>
      <c r="AQ103" s="91"/>
      <c r="AR103" s="91"/>
      <c r="AS103" s="91"/>
      <c r="AT103" s="91"/>
      <c r="AU103" s="91"/>
      <c r="AV103" s="91"/>
      <c r="AW103" s="91"/>
      <c r="AX103" s="91"/>
      <c r="AY103" s="91"/>
      <c r="AZ103" s="91"/>
      <c r="BA103" s="91"/>
      <c r="BB103" s="91"/>
      <c r="BC103" s="91"/>
      <c r="BD103" s="91"/>
      <c r="BE103" s="91"/>
      <c r="BF103" s="91"/>
      <c r="BG103" s="91"/>
      <c r="BH103" s="91"/>
      <c r="BI103" s="91"/>
      <c r="BJ103" s="91"/>
      <c r="BK103" s="91"/>
      <c r="BL103" s="91"/>
      <c r="BM103" s="91"/>
      <c r="BN103" s="91"/>
      <c r="BO103" s="91"/>
      <c r="BP103" s="91"/>
      <c r="BQ103" s="91"/>
      <c r="BR103" s="91"/>
      <c r="BS103" s="91"/>
      <c r="BT103" s="91"/>
      <c r="BU103" s="91"/>
      <c r="BV103" s="91"/>
      <c r="BW103" s="91"/>
      <c r="BX103" s="91"/>
      <c r="BY103" s="91"/>
      <c r="BZ103" s="91"/>
      <c r="CA103" s="91"/>
      <c r="CB103" s="91"/>
      <c r="CC103" s="91"/>
      <c r="CD103" s="91"/>
      <c r="CE103" s="91"/>
      <c r="CF103" s="91"/>
      <c r="CG103" s="91"/>
      <c r="CH103" s="91"/>
      <c r="CI103" s="91"/>
      <c r="CJ103" s="91"/>
      <c r="CK103" s="91"/>
      <c r="CL103" s="91"/>
      <c r="CM103" s="91"/>
      <c r="CN103" s="91"/>
      <c r="CO103" s="91"/>
      <c r="CP103" s="91"/>
      <c r="CQ103" s="91"/>
      <c r="CR103" s="91"/>
      <c r="CS103" s="91"/>
      <c r="CT103" s="91"/>
      <c r="CU103" s="91"/>
      <c r="CV103" s="91"/>
      <c r="CW103" s="91"/>
      <c r="CX103" s="91"/>
      <c r="CY103" s="91"/>
      <c r="CZ103" s="91"/>
      <c r="DA103" s="91"/>
      <c r="DB103" s="91"/>
      <c r="DC103" s="91"/>
      <c r="DD103" s="91"/>
      <c r="DE103" s="91"/>
      <c r="DF103" s="91"/>
      <c r="DG103" s="91"/>
      <c r="DH103" s="91"/>
      <c r="DI103" s="91"/>
      <c r="DJ103" s="91"/>
      <c r="DK103" s="91"/>
      <c r="DL103" s="91"/>
      <c r="DM103" s="91"/>
      <c r="DN103" s="91"/>
      <c r="DO103" s="91"/>
      <c r="DP103" s="91"/>
      <c r="DQ103" s="91"/>
      <c r="DR103" s="91"/>
      <c r="DS103" s="91"/>
      <c r="DT103" s="91"/>
      <c r="DU103" s="91"/>
      <c r="DV103" s="91"/>
      <c r="DW103" s="91"/>
      <c r="DX103" s="91"/>
      <c r="DY103" s="91"/>
      <c r="DZ103" s="91"/>
      <c r="EA103" s="91"/>
      <c r="EB103" s="91"/>
      <c r="EC103" s="91"/>
      <c r="ED103" s="91"/>
      <c r="EE103" s="91"/>
      <c r="EF103" s="91"/>
      <c r="EG103" s="91"/>
      <c r="EH103" s="91"/>
      <c r="EI103" s="91"/>
      <c r="EJ103" s="91"/>
      <c r="EK103" s="91"/>
      <c r="EL103" s="91"/>
      <c r="EM103" s="91"/>
      <c r="EN103" s="91"/>
      <c r="EO103" s="91"/>
      <c r="EP103" s="91"/>
      <c r="EQ103" s="91"/>
      <c r="ER103" s="91"/>
      <c r="ES103" s="91"/>
      <c r="ET103" s="91"/>
      <c r="EU103" s="91"/>
      <c r="EV103" s="91"/>
      <c r="EW103" s="91"/>
      <c r="EX103" s="91"/>
      <c r="EY103" s="91"/>
      <c r="EZ103" s="91"/>
      <c r="FA103" s="91"/>
      <c r="FB103" s="91"/>
      <c r="FC103" s="91"/>
      <c r="FD103" s="91"/>
      <c r="FE103" s="91"/>
      <c r="FF103" s="91"/>
      <c r="FG103" s="91"/>
      <c r="FH103" s="91"/>
      <c r="FI103" s="91"/>
      <c r="FJ103" s="91"/>
      <c r="FK103" s="91"/>
      <c r="FL103" s="91"/>
      <c r="FM103" s="91"/>
      <c r="FN103" s="91"/>
      <c r="FO103" s="91"/>
      <c r="FP103" s="91"/>
      <c r="FQ103" s="91"/>
      <c r="FR103" s="91"/>
      <c r="FS103" s="91"/>
      <c r="FT103" s="91"/>
      <c r="FU103" s="91"/>
      <c r="FV103" s="91"/>
      <c r="FW103" s="91"/>
      <c r="FX103" s="91"/>
      <c r="FY103" s="91"/>
      <c r="FZ103" s="91"/>
      <c r="GA103" s="91"/>
      <c r="GB103" s="91"/>
      <c r="GC103" s="91"/>
      <c r="GD103" s="91"/>
      <c r="GE103" s="91"/>
      <c r="GF103" s="91"/>
      <c r="GG103" s="91"/>
      <c r="GH103" s="91"/>
      <c r="GI103" s="91"/>
      <c r="GJ103" s="91"/>
      <c r="GK103" s="91"/>
      <c r="GL103" s="91"/>
      <c r="GM103" s="91"/>
      <c r="GN103" s="91"/>
      <c r="GO103" s="91"/>
      <c r="GP103" s="91"/>
      <c r="GQ103" s="91"/>
      <c r="GR103" s="91"/>
      <c r="GS103" s="91"/>
      <c r="GT103" s="91"/>
      <c r="GU103" s="91"/>
      <c r="GV103" s="91"/>
      <c r="GW103" s="91"/>
      <c r="GX103" s="91"/>
      <c r="GY103" s="91"/>
      <c r="GZ103" s="91"/>
      <c r="HA103" s="91"/>
      <c r="HB103" s="91"/>
      <c r="HC103" s="91"/>
      <c r="HD103" s="91"/>
      <c r="HE103" s="91"/>
      <c r="HF103" s="91"/>
      <c r="HG103" s="91"/>
      <c r="HH103" s="91"/>
      <c r="HI103" s="91"/>
      <c r="HJ103" s="91"/>
      <c r="HK103" s="91"/>
      <c r="HL103" s="91"/>
      <c r="HM103" s="91"/>
      <c r="HN103" s="91"/>
      <c r="HO103" s="91"/>
      <c r="HP103" s="91"/>
      <c r="HQ103" s="91"/>
      <c r="HR103" s="91"/>
      <c r="HS103" s="91"/>
      <c r="HT103" s="91"/>
      <c r="HU103" s="91"/>
      <c r="HV103" s="91"/>
      <c r="HW103" s="91"/>
      <c r="HX103" s="91"/>
      <c r="HY103" s="91"/>
      <c r="HZ103" s="91"/>
      <c r="IA103" s="91"/>
      <c r="IB103" s="91"/>
      <c r="IC103" s="91"/>
      <c r="ID103" s="91"/>
      <c r="IE103" s="91"/>
      <c r="IF103" s="91"/>
      <c r="IG103" s="91"/>
      <c r="IH103" s="91"/>
      <c r="II103" s="91"/>
      <c r="IJ103" s="91"/>
      <c r="IK103" s="91"/>
      <c r="IL103" s="91"/>
      <c r="IM103" s="91"/>
      <c r="IN103" s="91"/>
      <c r="IO103" s="91"/>
    </row>
    <row r="104" spans="3:249" x14ac:dyDescent="0.2">
      <c r="C104" s="1"/>
      <c r="D104" s="134"/>
      <c r="E104" s="141" t="s">
        <v>115</v>
      </c>
      <c r="F104" s="249">
        <v>0</v>
      </c>
      <c r="G104" s="254">
        <v>50000</v>
      </c>
      <c r="H104" s="251"/>
      <c r="I104" s="252">
        <f>+F104*G104</f>
        <v>0</v>
      </c>
      <c r="J104" s="43"/>
      <c r="K104" s="253" t="s">
        <v>116</v>
      </c>
      <c r="L104" s="1"/>
      <c r="M104" s="82"/>
      <c r="N104" s="82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91"/>
      <c r="AN104" s="91"/>
      <c r="AO104" s="91"/>
      <c r="AP104" s="91"/>
      <c r="AQ104" s="91"/>
      <c r="AR104" s="91"/>
      <c r="AS104" s="91"/>
      <c r="AT104" s="91"/>
      <c r="AU104" s="91"/>
      <c r="AV104" s="91"/>
      <c r="AW104" s="91"/>
      <c r="AX104" s="91"/>
      <c r="AY104" s="91"/>
      <c r="AZ104" s="91"/>
      <c r="BA104" s="91"/>
      <c r="BB104" s="91"/>
      <c r="BC104" s="91"/>
      <c r="BD104" s="91"/>
      <c r="BE104" s="91"/>
      <c r="BF104" s="91"/>
      <c r="BG104" s="91"/>
      <c r="BH104" s="91"/>
      <c r="BI104" s="91"/>
      <c r="BJ104" s="91"/>
      <c r="BK104" s="91"/>
      <c r="BL104" s="91"/>
      <c r="BM104" s="91"/>
      <c r="BN104" s="91"/>
      <c r="BO104" s="91"/>
      <c r="BP104" s="91"/>
      <c r="BQ104" s="91"/>
      <c r="BR104" s="91"/>
      <c r="BS104" s="91"/>
      <c r="BT104" s="91"/>
      <c r="BU104" s="91"/>
      <c r="BV104" s="91"/>
      <c r="BW104" s="91"/>
      <c r="BX104" s="91"/>
      <c r="BY104" s="91"/>
      <c r="BZ104" s="91"/>
      <c r="CA104" s="91"/>
      <c r="CB104" s="91"/>
      <c r="CC104" s="91"/>
      <c r="CD104" s="91"/>
      <c r="CE104" s="91"/>
      <c r="CF104" s="91"/>
      <c r="CG104" s="91"/>
      <c r="CH104" s="91"/>
      <c r="CI104" s="91"/>
      <c r="CJ104" s="91"/>
      <c r="CK104" s="91"/>
      <c r="CL104" s="91"/>
      <c r="CM104" s="91"/>
      <c r="CN104" s="91"/>
      <c r="CO104" s="91"/>
      <c r="CP104" s="91"/>
      <c r="CQ104" s="91"/>
      <c r="CR104" s="91"/>
      <c r="CS104" s="91"/>
      <c r="CT104" s="91"/>
      <c r="CU104" s="91"/>
      <c r="CV104" s="91"/>
      <c r="CW104" s="91"/>
      <c r="CX104" s="91"/>
      <c r="CY104" s="91"/>
      <c r="CZ104" s="91"/>
      <c r="DA104" s="91"/>
      <c r="DB104" s="91"/>
      <c r="DC104" s="91"/>
      <c r="DD104" s="91"/>
      <c r="DE104" s="91"/>
      <c r="DF104" s="91"/>
      <c r="DG104" s="91"/>
      <c r="DH104" s="91"/>
      <c r="DI104" s="91"/>
      <c r="DJ104" s="91"/>
      <c r="DK104" s="91"/>
      <c r="DL104" s="91"/>
      <c r="DM104" s="91"/>
      <c r="DN104" s="91"/>
      <c r="DO104" s="91"/>
      <c r="DP104" s="91"/>
      <c r="DQ104" s="91"/>
      <c r="DR104" s="91"/>
      <c r="DS104" s="91"/>
      <c r="DT104" s="91"/>
      <c r="DU104" s="91"/>
      <c r="DV104" s="91"/>
      <c r="DW104" s="91"/>
      <c r="DX104" s="91"/>
      <c r="DY104" s="91"/>
      <c r="DZ104" s="91"/>
      <c r="EA104" s="91"/>
      <c r="EB104" s="91"/>
      <c r="EC104" s="91"/>
      <c r="ED104" s="91"/>
      <c r="EE104" s="91"/>
      <c r="EF104" s="91"/>
      <c r="EG104" s="91"/>
      <c r="EH104" s="91"/>
      <c r="EI104" s="91"/>
      <c r="EJ104" s="91"/>
      <c r="EK104" s="91"/>
      <c r="EL104" s="91"/>
      <c r="EM104" s="91"/>
      <c r="EN104" s="91"/>
      <c r="EO104" s="91"/>
      <c r="EP104" s="91"/>
      <c r="EQ104" s="91"/>
      <c r="ER104" s="91"/>
      <c r="ES104" s="91"/>
      <c r="ET104" s="91"/>
      <c r="EU104" s="91"/>
      <c r="EV104" s="91"/>
      <c r="EW104" s="91"/>
      <c r="EX104" s="91"/>
      <c r="EY104" s="91"/>
      <c r="EZ104" s="91"/>
      <c r="FA104" s="91"/>
      <c r="FB104" s="91"/>
      <c r="FC104" s="91"/>
      <c r="FD104" s="91"/>
      <c r="FE104" s="91"/>
      <c r="FF104" s="91"/>
      <c r="FG104" s="91"/>
      <c r="FH104" s="91"/>
      <c r="FI104" s="91"/>
      <c r="FJ104" s="91"/>
      <c r="FK104" s="91"/>
      <c r="FL104" s="91"/>
      <c r="FM104" s="91"/>
      <c r="FN104" s="91"/>
      <c r="FO104" s="91"/>
      <c r="FP104" s="91"/>
      <c r="FQ104" s="91"/>
      <c r="FR104" s="91"/>
      <c r="FS104" s="91"/>
      <c r="FT104" s="91"/>
      <c r="FU104" s="91"/>
      <c r="FV104" s="91"/>
      <c r="FW104" s="91"/>
      <c r="FX104" s="91"/>
      <c r="FY104" s="91"/>
      <c r="FZ104" s="91"/>
      <c r="GA104" s="91"/>
      <c r="GB104" s="91"/>
      <c r="GC104" s="91"/>
      <c r="GD104" s="91"/>
      <c r="GE104" s="91"/>
      <c r="GF104" s="91"/>
      <c r="GG104" s="91"/>
      <c r="GH104" s="91"/>
      <c r="GI104" s="91"/>
      <c r="GJ104" s="91"/>
      <c r="GK104" s="91"/>
      <c r="GL104" s="91"/>
      <c r="GM104" s="91"/>
      <c r="GN104" s="91"/>
      <c r="GO104" s="91"/>
      <c r="GP104" s="91"/>
      <c r="GQ104" s="91"/>
      <c r="GR104" s="91"/>
      <c r="GS104" s="91"/>
      <c r="GT104" s="91"/>
      <c r="GU104" s="91"/>
      <c r="GV104" s="91"/>
      <c r="GW104" s="91"/>
      <c r="GX104" s="91"/>
      <c r="GY104" s="91"/>
      <c r="GZ104" s="91"/>
      <c r="HA104" s="91"/>
      <c r="HB104" s="91"/>
      <c r="HC104" s="91"/>
      <c r="HD104" s="91"/>
      <c r="HE104" s="91"/>
      <c r="HF104" s="91"/>
      <c r="HG104" s="91"/>
      <c r="HH104" s="91"/>
      <c r="HI104" s="91"/>
      <c r="HJ104" s="91"/>
      <c r="HK104" s="91"/>
      <c r="HL104" s="91"/>
      <c r="HM104" s="91"/>
      <c r="HN104" s="91"/>
      <c r="HO104" s="91"/>
      <c r="HP104" s="91"/>
      <c r="HQ104" s="91"/>
      <c r="HR104" s="91"/>
      <c r="HS104" s="91"/>
      <c r="HT104" s="91"/>
      <c r="HU104" s="91"/>
      <c r="HV104" s="91"/>
      <c r="HW104" s="91"/>
      <c r="HX104" s="91"/>
      <c r="HY104" s="91"/>
      <c r="HZ104" s="91"/>
      <c r="IA104" s="91"/>
      <c r="IB104" s="91"/>
      <c r="IC104" s="91"/>
      <c r="ID104" s="91"/>
      <c r="IE104" s="91"/>
      <c r="IF104" s="91"/>
      <c r="IG104" s="91"/>
      <c r="IH104" s="91"/>
      <c r="II104" s="91"/>
      <c r="IJ104" s="91"/>
      <c r="IK104" s="91"/>
      <c r="IL104" s="91"/>
      <c r="IM104" s="91"/>
      <c r="IN104" s="91"/>
      <c r="IO104" s="91"/>
    </row>
    <row r="105" spans="3:249" ht="16.5" x14ac:dyDescent="0.2">
      <c r="C105" s="1"/>
      <c r="D105" s="134"/>
      <c r="E105" s="255" t="s">
        <v>117</v>
      </c>
      <c r="F105" s="256">
        <f>SUM(F99:F104)</f>
        <v>3.5</v>
      </c>
      <c r="G105" s="257"/>
      <c r="H105" s="258"/>
      <c r="I105" s="259">
        <f>SUM(I99:I104)</f>
        <v>220000</v>
      </c>
      <c r="J105" s="260" t="s">
        <v>118</v>
      </c>
      <c r="K105" s="216" t="s">
        <v>96</v>
      </c>
      <c r="L105" s="217" t="s">
        <v>97</v>
      </c>
      <c r="M105" s="82"/>
      <c r="N105" s="82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91"/>
      <c r="AN105" s="91"/>
      <c r="AO105" s="91"/>
      <c r="AP105" s="91"/>
      <c r="AQ105" s="91"/>
      <c r="AR105" s="91"/>
      <c r="AS105" s="91"/>
      <c r="AT105" s="91"/>
      <c r="AU105" s="91"/>
      <c r="AV105" s="91"/>
      <c r="AW105" s="91"/>
      <c r="AX105" s="91"/>
      <c r="AY105" s="91"/>
      <c r="AZ105" s="91"/>
      <c r="BA105" s="91"/>
      <c r="BB105" s="91"/>
      <c r="BC105" s="91"/>
      <c r="BD105" s="91"/>
      <c r="BE105" s="91"/>
      <c r="BF105" s="91"/>
      <c r="BG105" s="91"/>
      <c r="BH105" s="91"/>
      <c r="BI105" s="91"/>
      <c r="BJ105" s="91"/>
      <c r="BK105" s="91"/>
      <c r="BL105" s="91"/>
      <c r="BM105" s="91"/>
      <c r="BN105" s="91"/>
      <c r="BO105" s="91"/>
      <c r="BP105" s="91"/>
      <c r="BQ105" s="91"/>
      <c r="BR105" s="91"/>
      <c r="BS105" s="91"/>
      <c r="BT105" s="91"/>
      <c r="BU105" s="91"/>
      <c r="BV105" s="91"/>
      <c r="BW105" s="91"/>
      <c r="BX105" s="91"/>
      <c r="BY105" s="91"/>
      <c r="BZ105" s="91"/>
      <c r="CA105" s="91"/>
      <c r="CB105" s="91"/>
      <c r="CC105" s="91"/>
      <c r="CD105" s="91"/>
      <c r="CE105" s="91"/>
      <c r="CF105" s="91"/>
      <c r="CG105" s="91"/>
      <c r="CH105" s="91"/>
      <c r="CI105" s="91"/>
      <c r="CJ105" s="91"/>
      <c r="CK105" s="91"/>
      <c r="CL105" s="91"/>
      <c r="CM105" s="91"/>
      <c r="CN105" s="91"/>
      <c r="CO105" s="91"/>
      <c r="CP105" s="91"/>
      <c r="CQ105" s="91"/>
      <c r="CR105" s="91"/>
      <c r="CS105" s="91"/>
      <c r="CT105" s="91"/>
      <c r="CU105" s="91"/>
      <c r="CV105" s="91"/>
      <c r="CW105" s="91"/>
      <c r="CX105" s="91"/>
      <c r="CY105" s="91"/>
      <c r="CZ105" s="91"/>
      <c r="DA105" s="91"/>
      <c r="DB105" s="91"/>
      <c r="DC105" s="91"/>
      <c r="DD105" s="91"/>
      <c r="DE105" s="91"/>
      <c r="DF105" s="91"/>
      <c r="DG105" s="91"/>
      <c r="DH105" s="91"/>
      <c r="DI105" s="91"/>
      <c r="DJ105" s="91"/>
      <c r="DK105" s="91"/>
      <c r="DL105" s="91"/>
      <c r="DM105" s="91"/>
      <c r="DN105" s="91"/>
      <c r="DO105" s="91"/>
      <c r="DP105" s="91"/>
      <c r="DQ105" s="91"/>
      <c r="DR105" s="91"/>
      <c r="DS105" s="91"/>
      <c r="DT105" s="91"/>
      <c r="DU105" s="91"/>
      <c r="DV105" s="91"/>
      <c r="DW105" s="91"/>
      <c r="DX105" s="91"/>
      <c r="DY105" s="91"/>
      <c r="DZ105" s="91"/>
      <c r="EA105" s="91"/>
      <c r="EB105" s="91"/>
      <c r="EC105" s="91"/>
      <c r="ED105" s="91"/>
      <c r="EE105" s="91"/>
      <c r="EF105" s="91"/>
      <c r="EG105" s="91"/>
      <c r="EH105" s="91"/>
      <c r="EI105" s="91"/>
      <c r="EJ105" s="91"/>
      <c r="EK105" s="91"/>
      <c r="EL105" s="91"/>
      <c r="EM105" s="91"/>
      <c r="EN105" s="91"/>
      <c r="EO105" s="91"/>
      <c r="EP105" s="91"/>
      <c r="EQ105" s="91"/>
      <c r="ER105" s="91"/>
      <c r="ES105" s="91"/>
      <c r="ET105" s="91"/>
      <c r="EU105" s="91"/>
      <c r="EV105" s="91"/>
      <c r="EW105" s="91"/>
      <c r="EX105" s="91"/>
      <c r="EY105" s="91"/>
      <c r="EZ105" s="91"/>
      <c r="FA105" s="91"/>
      <c r="FB105" s="91"/>
      <c r="FC105" s="91"/>
      <c r="FD105" s="91"/>
      <c r="FE105" s="91"/>
      <c r="FF105" s="91"/>
      <c r="FG105" s="91"/>
      <c r="FH105" s="91"/>
      <c r="FI105" s="91"/>
      <c r="FJ105" s="91"/>
      <c r="FK105" s="91"/>
      <c r="FL105" s="91"/>
      <c r="FM105" s="91"/>
      <c r="FN105" s="91"/>
      <c r="FO105" s="91"/>
      <c r="FP105" s="91"/>
      <c r="FQ105" s="91"/>
      <c r="FR105" s="91"/>
      <c r="FS105" s="91"/>
      <c r="FT105" s="91"/>
      <c r="FU105" s="91"/>
      <c r="FV105" s="91"/>
      <c r="FW105" s="91"/>
      <c r="FX105" s="91"/>
      <c r="FY105" s="91"/>
      <c r="FZ105" s="91"/>
      <c r="GA105" s="91"/>
      <c r="GB105" s="91"/>
      <c r="GC105" s="91"/>
      <c r="GD105" s="91"/>
      <c r="GE105" s="91"/>
      <c r="GF105" s="91"/>
      <c r="GG105" s="91"/>
      <c r="GH105" s="91"/>
      <c r="GI105" s="91"/>
      <c r="GJ105" s="91"/>
      <c r="GK105" s="91"/>
      <c r="GL105" s="91"/>
      <c r="GM105" s="91"/>
      <c r="GN105" s="91"/>
      <c r="GO105" s="91"/>
      <c r="GP105" s="91"/>
      <c r="GQ105" s="91"/>
      <c r="GR105" s="91"/>
      <c r="GS105" s="91"/>
      <c r="GT105" s="91"/>
      <c r="GU105" s="91"/>
      <c r="GV105" s="91"/>
      <c r="GW105" s="91"/>
      <c r="GX105" s="91"/>
      <c r="GY105" s="91"/>
      <c r="GZ105" s="91"/>
      <c r="HA105" s="91"/>
      <c r="HB105" s="91"/>
      <c r="HC105" s="91"/>
      <c r="HD105" s="91"/>
      <c r="HE105" s="91"/>
      <c r="HF105" s="91"/>
      <c r="HG105" s="91"/>
      <c r="HH105" s="91"/>
      <c r="HI105" s="91"/>
      <c r="HJ105" s="91"/>
      <c r="HK105" s="91"/>
      <c r="HL105" s="91"/>
      <c r="HM105" s="91"/>
      <c r="HN105" s="91"/>
      <c r="HO105" s="91"/>
      <c r="HP105" s="91"/>
      <c r="HQ105" s="91"/>
      <c r="HR105" s="91"/>
      <c r="HS105" s="91"/>
      <c r="HT105" s="91"/>
      <c r="HU105" s="91"/>
      <c r="HV105" s="91"/>
      <c r="HW105" s="91"/>
      <c r="HX105" s="91"/>
      <c r="HY105" s="91"/>
      <c r="HZ105" s="91"/>
      <c r="IA105" s="91"/>
      <c r="IB105" s="91"/>
      <c r="IC105" s="91"/>
      <c r="ID105" s="91"/>
      <c r="IE105" s="91"/>
      <c r="IF105" s="91"/>
      <c r="IG105" s="91"/>
      <c r="IH105" s="91"/>
      <c r="II105" s="91"/>
      <c r="IJ105" s="91"/>
      <c r="IK105" s="91"/>
      <c r="IL105" s="91"/>
      <c r="IM105" s="91"/>
      <c r="IN105" s="91"/>
      <c r="IO105" s="91"/>
    </row>
    <row r="106" spans="3:249" ht="16.5" x14ac:dyDescent="0.2">
      <c r="C106" s="1"/>
      <c r="D106" s="134"/>
      <c r="E106" s="261"/>
      <c r="F106" s="262"/>
      <c r="G106" s="263"/>
      <c r="H106" s="263"/>
      <c r="I106" s="264">
        <f>+I105/F9</f>
        <v>1294.1176470588234</v>
      </c>
      <c r="J106" s="260" t="s">
        <v>119</v>
      </c>
      <c r="K106" s="222">
        <f>+'[1]Typical Conv.Operating Expenses'!BW105</f>
        <v>600</v>
      </c>
      <c r="L106" s="223">
        <f>+'[1]Typical Conv.Operating Expenses'!BX105</f>
        <v>1138</v>
      </c>
      <c r="M106" s="82"/>
      <c r="N106" s="82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91"/>
      <c r="AN106" s="91"/>
      <c r="AO106" s="91"/>
      <c r="AP106" s="91"/>
      <c r="AQ106" s="91"/>
      <c r="AR106" s="91"/>
      <c r="AS106" s="91"/>
      <c r="AT106" s="91"/>
      <c r="AU106" s="91"/>
      <c r="AV106" s="91"/>
      <c r="AW106" s="91"/>
      <c r="AX106" s="91"/>
      <c r="AY106" s="91"/>
      <c r="AZ106" s="91"/>
      <c r="BA106" s="91"/>
      <c r="BB106" s="91"/>
      <c r="BC106" s="91"/>
      <c r="BD106" s="91"/>
      <c r="BE106" s="91"/>
      <c r="BF106" s="91"/>
      <c r="BG106" s="91"/>
      <c r="BH106" s="91"/>
      <c r="BI106" s="91"/>
      <c r="BJ106" s="91"/>
      <c r="BK106" s="91"/>
      <c r="BL106" s="91"/>
      <c r="BM106" s="91"/>
      <c r="BN106" s="91"/>
      <c r="BO106" s="91"/>
      <c r="BP106" s="91"/>
      <c r="BQ106" s="91"/>
      <c r="BR106" s="91"/>
      <c r="BS106" s="91"/>
      <c r="BT106" s="91"/>
      <c r="BU106" s="91"/>
      <c r="BV106" s="91"/>
      <c r="BW106" s="91"/>
      <c r="BX106" s="91"/>
      <c r="BY106" s="91"/>
      <c r="BZ106" s="91"/>
      <c r="CA106" s="91"/>
      <c r="CB106" s="91"/>
      <c r="CC106" s="91"/>
      <c r="CD106" s="91"/>
      <c r="CE106" s="91"/>
      <c r="CF106" s="91"/>
      <c r="CG106" s="91"/>
      <c r="CH106" s="91"/>
      <c r="CI106" s="91"/>
      <c r="CJ106" s="91"/>
      <c r="CK106" s="91"/>
      <c r="CL106" s="91"/>
      <c r="CM106" s="91"/>
      <c r="CN106" s="91"/>
      <c r="CO106" s="91"/>
      <c r="CP106" s="91"/>
      <c r="CQ106" s="91"/>
      <c r="CR106" s="91"/>
      <c r="CS106" s="91"/>
      <c r="CT106" s="91"/>
      <c r="CU106" s="91"/>
      <c r="CV106" s="91"/>
      <c r="CW106" s="91"/>
      <c r="CX106" s="91"/>
      <c r="CY106" s="91"/>
      <c r="CZ106" s="91"/>
      <c r="DA106" s="91"/>
      <c r="DB106" s="91"/>
      <c r="DC106" s="91"/>
      <c r="DD106" s="91"/>
      <c r="DE106" s="91"/>
      <c r="DF106" s="91"/>
      <c r="DG106" s="91"/>
      <c r="DH106" s="91"/>
      <c r="DI106" s="91"/>
      <c r="DJ106" s="91"/>
      <c r="DK106" s="91"/>
      <c r="DL106" s="91"/>
      <c r="DM106" s="91"/>
      <c r="DN106" s="91"/>
      <c r="DO106" s="91"/>
      <c r="DP106" s="91"/>
      <c r="DQ106" s="91"/>
      <c r="DR106" s="91"/>
      <c r="DS106" s="91"/>
      <c r="DT106" s="91"/>
      <c r="DU106" s="91"/>
      <c r="DV106" s="91"/>
      <c r="DW106" s="91"/>
      <c r="DX106" s="91"/>
      <c r="DY106" s="91"/>
      <c r="DZ106" s="91"/>
      <c r="EA106" s="91"/>
      <c r="EB106" s="91"/>
      <c r="EC106" s="91"/>
      <c r="ED106" s="91"/>
      <c r="EE106" s="91"/>
      <c r="EF106" s="91"/>
      <c r="EG106" s="91"/>
      <c r="EH106" s="91"/>
      <c r="EI106" s="91"/>
      <c r="EJ106" s="91"/>
      <c r="EK106" s="91"/>
      <c r="EL106" s="91"/>
      <c r="EM106" s="91"/>
      <c r="EN106" s="91"/>
      <c r="EO106" s="91"/>
      <c r="EP106" s="91"/>
      <c r="EQ106" s="91"/>
      <c r="ER106" s="91"/>
      <c r="ES106" s="91"/>
      <c r="ET106" s="91"/>
      <c r="EU106" s="91"/>
      <c r="EV106" s="91"/>
      <c r="EW106" s="91"/>
      <c r="EX106" s="91"/>
      <c r="EY106" s="91"/>
      <c r="EZ106" s="91"/>
      <c r="FA106" s="91"/>
      <c r="FB106" s="91"/>
      <c r="FC106" s="91"/>
      <c r="FD106" s="91"/>
      <c r="FE106" s="91"/>
      <c r="FF106" s="91"/>
      <c r="FG106" s="91"/>
      <c r="FH106" s="91"/>
      <c r="FI106" s="91"/>
      <c r="FJ106" s="91"/>
      <c r="FK106" s="91"/>
      <c r="FL106" s="91"/>
      <c r="FM106" s="91"/>
      <c r="FN106" s="91"/>
      <c r="FO106" s="91"/>
      <c r="FP106" s="91"/>
      <c r="FQ106" s="91"/>
      <c r="FR106" s="91"/>
      <c r="FS106" s="91"/>
      <c r="FT106" s="91"/>
      <c r="FU106" s="91"/>
      <c r="FV106" s="91"/>
      <c r="FW106" s="91"/>
      <c r="FX106" s="91"/>
      <c r="FY106" s="91"/>
      <c r="FZ106" s="91"/>
      <c r="GA106" s="91"/>
      <c r="GB106" s="91"/>
      <c r="GC106" s="91"/>
      <c r="GD106" s="91"/>
      <c r="GE106" s="91"/>
      <c r="GF106" s="91"/>
      <c r="GG106" s="91"/>
      <c r="GH106" s="91"/>
      <c r="GI106" s="91"/>
      <c r="GJ106" s="91"/>
      <c r="GK106" s="91"/>
      <c r="GL106" s="91"/>
      <c r="GM106" s="91"/>
      <c r="GN106" s="91"/>
      <c r="GO106" s="91"/>
      <c r="GP106" s="91"/>
      <c r="GQ106" s="91"/>
      <c r="GR106" s="91"/>
      <c r="GS106" s="91"/>
      <c r="GT106" s="91"/>
      <c r="GU106" s="91"/>
      <c r="GV106" s="91"/>
      <c r="GW106" s="91"/>
      <c r="GX106" s="91"/>
      <c r="GY106" s="91"/>
      <c r="GZ106" s="91"/>
      <c r="HA106" s="91"/>
      <c r="HB106" s="91"/>
      <c r="HC106" s="91"/>
      <c r="HD106" s="91"/>
      <c r="HE106" s="91"/>
      <c r="HF106" s="91"/>
      <c r="HG106" s="91"/>
      <c r="HH106" s="91"/>
      <c r="HI106" s="91"/>
      <c r="HJ106" s="91"/>
      <c r="HK106" s="91"/>
      <c r="HL106" s="91"/>
      <c r="HM106" s="91"/>
      <c r="HN106" s="91"/>
      <c r="HO106" s="91"/>
      <c r="HP106" s="91"/>
      <c r="HQ106" s="91"/>
      <c r="HR106" s="91"/>
      <c r="HS106" s="91"/>
      <c r="HT106" s="91"/>
      <c r="HU106" s="91"/>
      <c r="HV106" s="91"/>
      <c r="HW106" s="91"/>
      <c r="HX106" s="91"/>
      <c r="HY106" s="91"/>
      <c r="HZ106" s="91"/>
      <c r="IA106" s="91"/>
      <c r="IB106" s="91"/>
      <c r="IC106" s="91"/>
      <c r="ID106" s="91"/>
      <c r="IE106" s="91"/>
      <c r="IF106" s="91"/>
      <c r="IG106" s="91"/>
      <c r="IH106" s="91"/>
      <c r="II106" s="91"/>
      <c r="IJ106" s="91"/>
      <c r="IK106" s="91"/>
      <c r="IL106" s="91"/>
      <c r="IM106" s="91"/>
      <c r="IN106" s="91"/>
      <c r="IO106" s="91"/>
    </row>
    <row r="107" spans="3:249" ht="16.5" x14ac:dyDescent="0.2">
      <c r="C107" s="1"/>
      <c r="D107" s="134"/>
      <c r="E107" s="261"/>
      <c r="F107" s="262"/>
      <c r="G107" s="263"/>
      <c r="H107" s="263"/>
      <c r="I107" s="265">
        <f>+'[1]Typical Conv.Operating Expenses'!BS105</f>
        <v>800.02222776703468</v>
      </c>
      <c r="J107" s="260" t="s">
        <v>98</v>
      </c>
      <c r="M107" s="82"/>
      <c r="N107" s="82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91"/>
      <c r="AN107" s="91"/>
      <c r="AO107" s="91"/>
      <c r="AP107" s="91"/>
      <c r="AQ107" s="91"/>
      <c r="AR107" s="91"/>
      <c r="AS107" s="91"/>
      <c r="AT107" s="91"/>
      <c r="AU107" s="91"/>
      <c r="AV107" s="91"/>
      <c r="AW107" s="91"/>
      <c r="AX107" s="91"/>
      <c r="AY107" s="91"/>
      <c r="AZ107" s="91"/>
      <c r="BA107" s="91"/>
      <c r="BB107" s="91"/>
      <c r="BC107" s="91"/>
      <c r="BD107" s="91"/>
      <c r="BE107" s="91"/>
      <c r="BF107" s="91"/>
      <c r="BG107" s="91"/>
      <c r="BH107" s="91"/>
      <c r="BI107" s="91"/>
      <c r="BJ107" s="91"/>
      <c r="BK107" s="91"/>
      <c r="BL107" s="91"/>
      <c r="BM107" s="91"/>
      <c r="BN107" s="91"/>
      <c r="BO107" s="91"/>
      <c r="BP107" s="91"/>
      <c r="BQ107" s="91"/>
      <c r="BR107" s="91"/>
      <c r="BS107" s="91"/>
      <c r="BT107" s="91"/>
      <c r="BU107" s="91"/>
      <c r="BV107" s="91"/>
      <c r="BW107" s="91"/>
      <c r="BX107" s="91"/>
      <c r="BY107" s="91"/>
      <c r="BZ107" s="91"/>
      <c r="CA107" s="91"/>
      <c r="CB107" s="91"/>
      <c r="CC107" s="91"/>
      <c r="CD107" s="91"/>
      <c r="CE107" s="91"/>
      <c r="CF107" s="91"/>
      <c r="CG107" s="91"/>
      <c r="CH107" s="91"/>
      <c r="CI107" s="91"/>
      <c r="CJ107" s="91"/>
      <c r="CK107" s="91"/>
      <c r="CL107" s="91"/>
      <c r="CM107" s="91"/>
      <c r="CN107" s="91"/>
      <c r="CO107" s="91"/>
      <c r="CP107" s="91"/>
      <c r="CQ107" s="91"/>
      <c r="CR107" s="91"/>
      <c r="CS107" s="91"/>
      <c r="CT107" s="91"/>
      <c r="CU107" s="91"/>
      <c r="CV107" s="91"/>
      <c r="CW107" s="91"/>
      <c r="CX107" s="91"/>
      <c r="CY107" s="91"/>
      <c r="CZ107" s="91"/>
      <c r="DA107" s="91"/>
      <c r="DB107" s="91"/>
      <c r="DC107" s="91"/>
      <c r="DD107" s="91"/>
      <c r="DE107" s="91"/>
      <c r="DF107" s="91"/>
      <c r="DG107" s="91"/>
      <c r="DH107" s="91"/>
      <c r="DI107" s="91"/>
      <c r="DJ107" s="91"/>
      <c r="DK107" s="91"/>
      <c r="DL107" s="91"/>
      <c r="DM107" s="91"/>
      <c r="DN107" s="91"/>
      <c r="DO107" s="91"/>
      <c r="DP107" s="91"/>
      <c r="DQ107" s="91"/>
      <c r="DR107" s="91"/>
      <c r="DS107" s="91"/>
      <c r="DT107" s="91"/>
      <c r="DU107" s="91"/>
      <c r="DV107" s="91"/>
      <c r="DW107" s="91"/>
      <c r="DX107" s="91"/>
      <c r="DY107" s="91"/>
      <c r="DZ107" s="91"/>
      <c r="EA107" s="91"/>
      <c r="EB107" s="91"/>
      <c r="EC107" s="91"/>
      <c r="ED107" s="91"/>
      <c r="EE107" s="91"/>
      <c r="EF107" s="91"/>
      <c r="EG107" s="91"/>
      <c r="EH107" s="91"/>
      <c r="EI107" s="91"/>
      <c r="EJ107" s="91"/>
      <c r="EK107" s="91"/>
      <c r="EL107" s="91"/>
      <c r="EM107" s="91"/>
      <c r="EN107" s="91"/>
      <c r="EO107" s="91"/>
      <c r="EP107" s="91"/>
      <c r="EQ107" s="91"/>
      <c r="ER107" s="91"/>
      <c r="ES107" s="91"/>
      <c r="ET107" s="91"/>
      <c r="EU107" s="91"/>
      <c r="EV107" s="91"/>
      <c r="EW107" s="91"/>
      <c r="EX107" s="91"/>
      <c r="EY107" s="91"/>
      <c r="EZ107" s="91"/>
      <c r="FA107" s="91"/>
      <c r="FB107" s="91"/>
      <c r="FC107" s="91"/>
      <c r="FD107" s="91"/>
      <c r="FE107" s="91"/>
      <c r="FF107" s="91"/>
      <c r="FG107" s="91"/>
      <c r="FH107" s="91"/>
      <c r="FI107" s="91"/>
      <c r="FJ107" s="91"/>
      <c r="FK107" s="91"/>
      <c r="FL107" s="91"/>
      <c r="FM107" s="91"/>
      <c r="FN107" s="91"/>
      <c r="FO107" s="91"/>
      <c r="FP107" s="91"/>
      <c r="FQ107" s="91"/>
      <c r="FR107" s="91"/>
      <c r="FS107" s="91"/>
      <c r="FT107" s="91"/>
      <c r="FU107" s="91"/>
      <c r="FV107" s="91"/>
      <c r="FW107" s="91"/>
      <c r="FX107" s="91"/>
      <c r="FY107" s="91"/>
      <c r="FZ107" s="91"/>
      <c r="GA107" s="91"/>
      <c r="GB107" s="91"/>
      <c r="GC107" s="91"/>
      <c r="GD107" s="91"/>
      <c r="GE107" s="91"/>
      <c r="GF107" s="91"/>
      <c r="GG107" s="91"/>
      <c r="GH107" s="91"/>
      <c r="GI107" s="91"/>
      <c r="GJ107" s="91"/>
      <c r="GK107" s="91"/>
      <c r="GL107" s="91"/>
      <c r="GM107" s="91"/>
      <c r="GN107" s="91"/>
      <c r="GO107" s="91"/>
      <c r="GP107" s="91"/>
      <c r="GQ107" s="91"/>
      <c r="GR107" s="91"/>
      <c r="GS107" s="91"/>
      <c r="GT107" s="91"/>
      <c r="GU107" s="91"/>
      <c r="GV107" s="91"/>
      <c r="GW107" s="91"/>
      <c r="GX107" s="91"/>
      <c r="GY107" s="91"/>
      <c r="GZ107" s="91"/>
      <c r="HA107" s="91"/>
      <c r="HB107" s="91"/>
      <c r="HC107" s="91"/>
      <c r="HD107" s="91"/>
      <c r="HE107" s="91"/>
      <c r="HF107" s="91"/>
      <c r="HG107" s="91"/>
      <c r="HH107" s="91"/>
      <c r="HI107" s="91"/>
      <c r="HJ107" s="91"/>
      <c r="HK107" s="91"/>
      <c r="HL107" s="91"/>
      <c r="HM107" s="91"/>
      <c r="HN107" s="91"/>
      <c r="HO107" s="91"/>
      <c r="HP107" s="91"/>
      <c r="HQ107" s="91"/>
      <c r="HR107" s="91"/>
      <c r="HS107" s="91"/>
      <c r="HT107" s="91"/>
      <c r="HU107" s="91"/>
      <c r="HV107" s="91"/>
      <c r="HW107" s="91"/>
      <c r="HX107" s="91"/>
      <c r="HY107" s="91"/>
      <c r="HZ107" s="91"/>
      <c r="IA107" s="91"/>
      <c r="IB107" s="91"/>
      <c r="IC107" s="91"/>
      <c r="ID107" s="91"/>
      <c r="IE107" s="91"/>
      <c r="IF107" s="91"/>
      <c r="IG107" s="91"/>
      <c r="IH107" s="91"/>
      <c r="II107" s="91"/>
      <c r="IJ107" s="91"/>
      <c r="IK107" s="91"/>
      <c r="IL107" s="91"/>
      <c r="IM107" s="91"/>
      <c r="IN107" s="91"/>
      <c r="IO107" s="91"/>
    </row>
    <row r="108" spans="3:249" ht="18" x14ac:dyDescent="0.2">
      <c r="C108" s="1"/>
      <c r="D108" s="134"/>
      <c r="E108" s="236"/>
      <c r="F108" s="237"/>
      <c r="G108" s="238"/>
      <c r="H108" s="238"/>
      <c r="I108" s="266">
        <v>1200</v>
      </c>
      <c r="J108" s="43" t="s">
        <v>120</v>
      </c>
      <c r="K108" s="1"/>
      <c r="L108" s="82"/>
      <c r="M108" s="82"/>
      <c r="N108" s="82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91"/>
      <c r="AN108" s="91"/>
      <c r="AO108" s="91"/>
      <c r="AP108" s="91"/>
      <c r="AQ108" s="91"/>
      <c r="AR108" s="91"/>
      <c r="AS108" s="91"/>
      <c r="AT108" s="91"/>
      <c r="AU108" s="91"/>
      <c r="AV108" s="91"/>
      <c r="AW108" s="91"/>
      <c r="AX108" s="91"/>
      <c r="AY108" s="91"/>
      <c r="AZ108" s="91"/>
      <c r="BA108" s="91"/>
      <c r="BB108" s="91"/>
      <c r="BC108" s="91"/>
      <c r="BD108" s="91"/>
      <c r="BE108" s="91"/>
      <c r="BF108" s="91"/>
      <c r="BG108" s="91"/>
      <c r="BH108" s="91"/>
      <c r="BI108" s="91"/>
      <c r="BJ108" s="91"/>
      <c r="BK108" s="91"/>
      <c r="BL108" s="91"/>
      <c r="BM108" s="91"/>
      <c r="BN108" s="91"/>
      <c r="BO108" s="91"/>
      <c r="BP108" s="91"/>
      <c r="BQ108" s="91"/>
      <c r="BR108" s="91"/>
      <c r="BS108" s="91"/>
      <c r="BT108" s="91"/>
      <c r="BU108" s="91"/>
      <c r="BV108" s="91"/>
      <c r="BW108" s="91"/>
      <c r="BX108" s="91"/>
      <c r="BY108" s="91"/>
      <c r="BZ108" s="91"/>
      <c r="CA108" s="91"/>
      <c r="CB108" s="91"/>
      <c r="CC108" s="91"/>
      <c r="CD108" s="91"/>
      <c r="CE108" s="91"/>
      <c r="CF108" s="91"/>
      <c r="CG108" s="91"/>
      <c r="CH108" s="91"/>
      <c r="CI108" s="91"/>
      <c r="CJ108" s="91"/>
      <c r="CK108" s="91"/>
      <c r="CL108" s="91"/>
      <c r="CM108" s="91"/>
      <c r="CN108" s="91"/>
      <c r="CO108" s="91"/>
      <c r="CP108" s="91"/>
      <c r="CQ108" s="91"/>
      <c r="CR108" s="91"/>
      <c r="CS108" s="91"/>
      <c r="CT108" s="91"/>
      <c r="CU108" s="91"/>
      <c r="CV108" s="91"/>
      <c r="CW108" s="91"/>
      <c r="CX108" s="91"/>
      <c r="CY108" s="91"/>
      <c r="CZ108" s="91"/>
      <c r="DA108" s="91"/>
      <c r="DB108" s="91"/>
      <c r="DC108" s="91"/>
      <c r="DD108" s="91"/>
      <c r="DE108" s="91"/>
      <c r="DF108" s="91"/>
      <c r="DG108" s="91"/>
      <c r="DH108" s="91"/>
      <c r="DI108" s="91"/>
      <c r="DJ108" s="91"/>
      <c r="DK108" s="91"/>
      <c r="DL108" s="91"/>
      <c r="DM108" s="91"/>
      <c r="DN108" s="91"/>
      <c r="DO108" s="91"/>
      <c r="DP108" s="91"/>
      <c r="DQ108" s="91"/>
      <c r="DR108" s="91"/>
      <c r="DS108" s="91"/>
      <c r="DT108" s="91"/>
      <c r="DU108" s="91"/>
      <c r="DV108" s="91"/>
      <c r="DW108" s="91"/>
      <c r="DX108" s="91"/>
      <c r="DY108" s="91"/>
      <c r="DZ108" s="91"/>
      <c r="EA108" s="91"/>
      <c r="EB108" s="91"/>
      <c r="EC108" s="91"/>
      <c r="ED108" s="91"/>
      <c r="EE108" s="91"/>
      <c r="EF108" s="91"/>
      <c r="EG108" s="91"/>
      <c r="EH108" s="91"/>
      <c r="EI108" s="91"/>
      <c r="EJ108" s="91"/>
      <c r="EK108" s="91"/>
      <c r="EL108" s="91"/>
      <c r="EM108" s="91"/>
      <c r="EN108" s="91"/>
      <c r="EO108" s="91"/>
      <c r="EP108" s="91"/>
      <c r="EQ108" s="91"/>
      <c r="ER108" s="91"/>
      <c r="ES108" s="91"/>
      <c r="ET108" s="91"/>
      <c r="EU108" s="91"/>
      <c r="EV108" s="91"/>
      <c r="EW108" s="91"/>
      <c r="EX108" s="91"/>
      <c r="EY108" s="91"/>
      <c r="EZ108" s="91"/>
      <c r="FA108" s="91"/>
      <c r="FB108" s="91"/>
      <c r="FC108" s="91"/>
      <c r="FD108" s="91"/>
      <c r="FE108" s="91"/>
      <c r="FF108" s="91"/>
      <c r="FG108" s="91"/>
      <c r="FH108" s="91"/>
      <c r="FI108" s="91"/>
      <c r="FJ108" s="91"/>
      <c r="FK108" s="91"/>
      <c r="FL108" s="91"/>
      <c r="FM108" s="91"/>
      <c r="FN108" s="91"/>
      <c r="FO108" s="91"/>
      <c r="FP108" s="91"/>
      <c r="FQ108" s="91"/>
      <c r="FR108" s="91"/>
      <c r="FS108" s="91"/>
      <c r="FT108" s="91"/>
      <c r="FU108" s="91"/>
      <c r="FV108" s="91"/>
      <c r="FW108" s="91"/>
      <c r="FX108" s="91"/>
      <c r="FY108" s="91"/>
      <c r="FZ108" s="91"/>
      <c r="GA108" s="91"/>
      <c r="GB108" s="91"/>
      <c r="GC108" s="91"/>
      <c r="GD108" s="91"/>
      <c r="GE108" s="91"/>
      <c r="GF108" s="91"/>
      <c r="GG108" s="91"/>
      <c r="GH108" s="91"/>
      <c r="GI108" s="91"/>
      <c r="GJ108" s="91"/>
      <c r="GK108" s="91"/>
      <c r="GL108" s="91"/>
      <c r="GM108" s="91"/>
      <c r="GN108" s="91"/>
      <c r="GO108" s="91"/>
      <c r="GP108" s="91"/>
      <c r="GQ108" s="91"/>
      <c r="GR108" s="91"/>
      <c r="GS108" s="91"/>
      <c r="GT108" s="91"/>
      <c r="GU108" s="91"/>
      <c r="GV108" s="91"/>
      <c r="GW108" s="91"/>
      <c r="GX108" s="91"/>
      <c r="GY108" s="91"/>
      <c r="GZ108" s="91"/>
      <c r="HA108" s="91"/>
      <c r="HB108" s="91"/>
      <c r="HC108" s="91"/>
      <c r="HD108" s="91"/>
      <c r="HE108" s="91"/>
      <c r="HF108" s="91"/>
      <c r="HG108" s="91"/>
      <c r="HH108" s="91"/>
      <c r="HI108" s="91"/>
      <c r="HJ108" s="91"/>
      <c r="HK108" s="91"/>
      <c r="HL108" s="91"/>
      <c r="HM108" s="91"/>
      <c r="HN108" s="91"/>
      <c r="HO108" s="91"/>
      <c r="HP108" s="91"/>
      <c r="HQ108" s="91"/>
      <c r="HR108" s="91"/>
      <c r="HS108" s="91"/>
      <c r="HT108" s="91"/>
      <c r="HU108" s="91"/>
      <c r="HV108" s="91"/>
      <c r="HW108" s="91"/>
      <c r="HX108" s="91"/>
      <c r="HY108" s="91"/>
      <c r="HZ108" s="91"/>
      <c r="IA108" s="91"/>
      <c r="IB108" s="91"/>
      <c r="IC108" s="91"/>
      <c r="ID108" s="91"/>
      <c r="IE108" s="91"/>
      <c r="IF108" s="91"/>
      <c r="IG108" s="91"/>
      <c r="IH108" s="91"/>
      <c r="II108" s="91"/>
      <c r="IJ108" s="91"/>
      <c r="IK108" s="91"/>
      <c r="IL108" s="91"/>
      <c r="IM108" s="91"/>
      <c r="IN108" s="91"/>
      <c r="IO108" s="91"/>
    </row>
    <row r="109" spans="3:249" ht="18" x14ac:dyDescent="0.2">
      <c r="C109" s="1"/>
      <c r="D109" s="134"/>
      <c r="E109" s="228"/>
      <c r="F109" s="229"/>
      <c r="G109" s="230" t="s">
        <v>121</v>
      </c>
      <c r="H109" s="231"/>
      <c r="I109" s="232"/>
      <c r="J109" s="43" t="s">
        <v>122</v>
      </c>
      <c r="K109" s="1"/>
      <c r="L109" s="82"/>
      <c r="M109" s="82"/>
      <c r="N109" s="82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91"/>
      <c r="AN109" s="91"/>
      <c r="AO109" s="91"/>
      <c r="AP109" s="91"/>
      <c r="AQ109" s="91"/>
      <c r="AR109" s="91"/>
      <c r="AS109" s="91"/>
      <c r="AT109" s="91"/>
      <c r="AU109" s="91"/>
      <c r="AV109" s="91"/>
      <c r="AW109" s="91"/>
      <c r="AX109" s="91"/>
      <c r="AY109" s="91"/>
      <c r="AZ109" s="91"/>
      <c r="BA109" s="91"/>
      <c r="BB109" s="91"/>
      <c r="BC109" s="91"/>
      <c r="BD109" s="91"/>
      <c r="BE109" s="91"/>
      <c r="BF109" s="91"/>
      <c r="BG109" s="91"/>
      <c r="BH109" s="91"/>
      <c r="BI109" s="91"/>
      <c r="BJ109" s="91"/>
      <c r="BK109" s="91"/>
      <c r="BL109" s="91"/>
      <c r="BM109" s="91"/>
      <c r="BN109" s="91"/>
      <c r="BO109" s="91"/>
      <c r="BP109" s="91"/>
      <c r="BQ109" s="91"/>
      <c r="BR109" s="91"/>
      <c r="BS109" s="91"/>
      <c r="BT109" s="91"/>
      <c r="BU109" s="91"/>
      <c r="BV109" s="91"/>
      <c r="BW109" s="91"/>
      <c r="BX109" s="91"/>
      <c r="BY109" s="91"/>
      <c r="BZ109" s="91"/>
      <c r="CA109" s="91"/>
      <c r="CB109" s="91"/>
      <c r="CC109" s="91"/>
      <c r="CD109" s="91"/>
      <c r="CE109" s="91"/>
      <c r="CF109" s="91"/>
      <c r="CG109" s="91"/>
      <c r="CH109" s="91"/>
      <c r="CI109" s="91"/>
      <c r="CJ109" s="91"/>
      <c r="CK109" s="91"/>
      <c r="CL109" s="91"/>
      <c r="CM109" s="91"/>
      <c r="CN109" s="91"/>
      <c r="CO109" s="91"/>
      <c r="CP109" s="91"/>
      <c r="CQ109" s="91"/>
      <c r="CR109" s="91"/>
      <c r="CS109" s="91"/>
      <c r="CT109" s="91"/>
      <c r="CU109" s="91"/>
      <c r="CV109" s="91"/>
      <c r="CW109" s="91"/>
      <c r="CX109" s="91"/>
      <c r="CY109" s="91"/>
      <c r="CZ109" s="91"/>
      <c r="DA109" s="91"/>
      <c r="DB109" s="91"/>
      <c r="DC109" s="91"/>
      <c r="DD109" s="91"/>
      <c r="DE109" s="91"/>
      <c r="DF109" s="91"/>
      <c r="DG109" s="91"/>
      <c r="DH109" s="91"/>
      <c r="DI109" s="91"/>
      <c r="DJ109" s="91"/>
      <c r="DK109" s="91"/>
      <c r="DL109" s="91"/>
      <c r="DM109" s="91"/>
      <c r="DN109" s="91"/>
      <c r="DO109" s="91"/>
      <c r="DP109" s="91"/>
      <c r="DQ109" s="91"/>
      <c r="DR109" s="91"/>
      <c r="DS109" s="91"/>
      <c r="DT109" s="91"/>
      <c r="DU109" s="91"/>
      <c r="DV109" s="91"/>
      <c r="DW109" s="91"/>
      <c r="DX109" s="91"/>
      <c r="DY109" s="91"/>
      <c r="DZ109" s="91"/>
      <c r="EA109" s="91"/>
      <c r="EB109" s="91"/>
      <c r="EC109" s="91"/>
      <c r="ED109" s="91"/>
      <c r="EE109" s="91"/>
      <c r="EF109" s="91"/>
      <c r="EG109" s="91"/>
      <c r="EH109" s="91"/>
      <c r="EI109" s="91"/>
      <c r="EJ109" s="91"/>
      <c r="EK109" s="91"/>
      <c r="EL109" s="91"/>
      <c r="EM109" s="91"/>
      <c r="EN109" s="91"/>
      <c r="EO109" s="91"/>
      <c r="EP109" s="91"/>
      <c r="EQ109" s="91"/>
      <c r="ER109" s="91"/>
      <c r="ES109" s="91"/>
      <c r="ET109" s="91"/>
      <c r="EU109" s="91"/>
      <c r="EV109" s="91"/>
      <c r="EW109" s="91"/>
      <c r="EX109" s="91"/>
      <c r="EY109" s="91"/>
      <c r="EZ109" s="91"/>
      <c r="FA109" s="91"/>
      <c r="FB109" s="91"/>
      <c r="FC109" s="91"/>
      <c r="FD109" s="91"/>
      <c r="FE109" s="91"/>
      <c r="FF109" s="91"/>
      <c r="FG109" s="91"/>
      <c r="FH109" s="91"/>
      <c r="FI109" s="91"/>
      <c r="FJ109" s="91"/>
      <c r="FK109" s="91"/>
      <c r="FL109" s="91"/>
      <c r="FM109" s="91"/>
      <c r="FN109" s="91"/>
      <c r="FO109" s="91"/>
      <c r="FP109" s="91"/>
      <c r="FQ109" s="91"/>
      <c r="FR109" s="91"/>
      <c r="FS109" s="91"/>
      <c r="FT109" s="91"/>
      <c r="FU109" s="91"/>
      <c r="FV109" s="91"/>
      <c r="FW109" s="91"/>
      <c r="FX109" s="91"/>
      <c r="FY109" s="91"/>
      <c r="FZ109" s="91"/>
      <c r="GA109" s="91"/>
      <c r="GB109" s="91"/>
      <c r="GC109" s="91"/>
      <c r="GD109" s="91"/>
      <c r="GE109" s="91"/>
      <c r="GF109" s="91"/>
      <c r="GG109" s="91"/>
      <c r="GH109" s="91"/>
      <c r="GI109" s="91"/>
      <c r="GJ109" s="91"/>
      <c r="GK109" s="91"/>
      <c r="GL109" s="91"/>
      <c r="GM109" s="91"/>
      <c r="GN109" s="91"/>
      <c r="GO109" s="91"/>
      <c r="GP109" s="91"/>
      <c r="GQ109" s="91"/>
      <c r="GR109" s="91"/>
      <c r="GS109" s="91"/>
      <c r="GT109" s="91"/>
      <c r="GU109" s="91"/>
      <c r="GV109" s="91"/>
      <c r="GW109" s="91"/>
      <c r="GX109" s="91"/>
      <c r="GY109" s="91"/>
      <c r="GZ109" s="91"/>
      <c r="HA109" s="91"/>
      <c r="HB109" s="91"/>
      <c r="HC109" s="91"/>
      <c r="HD109" s="91"/>
      <c r="HE109" s="91"/>
      <c r="HF109" s="91"/>
      <c r="HG109" s="91"/>
      <c r="HH109" s="91"/>
      <c r="HI109" s="91"/>
      <c r="HJ109" s="91"/>
      <c r="HK109" s="91"/>
      <c r="HL109" s="91"/>
      <c r="HM109" s="91"/>
      <c r="HN109" s="91"/>
      <c r="HO109" s="91"/>
      <c r="HP109" s="91"/>
      <c r="HQ109" s="91"/>
      <c r="HR109" s="91"/>
      <c r="HS109" s="91"/>
      <c r="HT109" s="91"/>
      <c r="HU109" s="91"/>
      <c r="HV109" s="91"/>
      <c r="HW109" s="91"/>
      <c r="HX109" s="91"/>
      <c r="HY109" s="91"/>
      <c r="HZ109" s="91"/>
      <c r="IA109" s="91"/>
      <c r="IB109" s="91"/>
      <c r="IC109" s="91"/>
      <c r="ID109" s="91"/>
      <c r="IE109" s="91"/>
      <c r="IF109" s="91"/>
      <c r="IG109" s="91"/>
      <c r="IH109" s="91"/>
      <c r="II109" s="91"/>
      <c r="IJ109" s="91"/>
      <c r="IK109" s="91"/>
      <c r="IL109" s="91"/>
      <c r="IM109" s="91"/>
      <c r="IN109" s="91"/>
      <c r="IO109" s="91"/>
    </row>
    <row r="110" spans="3:249" ht="16.5" x14ac:dyDescent="0.2">
      <c r="C110" s="1"/>
      <c r="D110" s="134"/>
      <c r="E110" s="233" t="s">
        <v>101</v>
      </c>
      <c r="F110" s="2"/>
      <c r="G110" s="234" t="str">
        <f>+G94</f>
        <v>Ontario - Concrete</v>
      </c>
      <c r="H110" s="234"/>
      <c r="I110" s="235">
        <f>ROUND(+'[1]CMHC '!Q10*1.025*1.025*1.025,-1)</f>
        <v>750</v>
      </c>
      <c r="J110" s="43" t="s">
        <v>102</v>
      </c>
      <c r="K110" s="1"/>
      <c r="L110" s="82"/>
      <c r="M110" s="82"/>
      <c r="N110" s="82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91"/>
      <c r="AN110" s="91"/>
      <c r="AO110" s="91"/>
      <c r="AP110" s="91"/>
      <c r="AQ110" s="91"/>
      <c r="AR110" s="91"/>
      <c r="AS110" s="91"/>
      <c r="AT110" s="91"/>
      <c r="AU110" s="91"/>
      <c r="AV110" s="91"/>
      <c r="AW110" s="91"/>
      <c r="AX110" s="91"/>
      <c r="AY110" s="91"/>
      <c r="AZ110" s="91"/>
      <c r="BA110" s="91"/>
      <c r="BB110" s="91"/>
      <c r="BC110" s="91"/>
      <c r="BD110" s="91"/>
      <c r="BE110" s="91"/>
      <c r="BF110" s="91"/>
      <c r="BG110" s="91"/>
      <c r="BH110" s="91"/>
      <c r="BI110" s="91"/>
      <c r="BJ110" s="91"/>
      <c r="BK110" s="91"/>
      <c r="BL110" s="91"/>
      <c r="BM110" s="91"/>
      <c r="BN110" s="91"/>
      <c r="BO110" s="91"/>
      <c r="BP110" s="91"/>
      <c r="BQ110" s="91"/>
      <c r="BR110" s="91"/>
      <c r="BS110" s="91"/>
      <c r="BT110" s="91"/>
      <c r="BU110" s="91"/>
      <c r="BV110" s="91"/>
      <c r="BW110" s="91"/>
      <c r="BX110" s="91"/>
      <c r="BY110" s="91"/>
      <c r="BZ110" s="91"/>
      <c r="CA110" s="91"/>
      <c r="CB110" s="91"/>
      <c r="CC110" s="91"/>
      <c r="CD110" s="91"/>
      <c r="CE110" s="91"/>
      <c r="CF110" s="91"/>
      <c r="CG110" s="91"/>
      <c r="CH110" s="91"/>
      <c r="CI110" s="91"/>
      <c r="CJ110" s="91"/>
      <c r="CK110" s="91"/>
      <c r="CL110" s="91"/>
      <c r="CM110" s="91"/>
      <c r="CN110" s="91"/>
      <c r="CO110" s="91"/>
      <c r="CP110" s="91"/>
      <c r="CQ110" s="91"/>
      <c r="CR110" s="91"/>
      <c r="CS110" s="91"/>
      <c r="CT110" s="91"/>
      <c r="CU110" s="91"/>
      <c r="CV110" s="91"/>
      <c r="CW110" s="91"/>
      <c r="CX110" s="91"/>
      <c r="CY110" s="91"/>
      <c r="CZ110" s="91"/>
      <c r="DA110" s="91"/>
      <c r="DB110" s="91"/>
      <c r="DC110" s="91"/>
      <c r="DD110" s="91"/>
      <c r="DE110" s="91"/>
      <c r="DF110" s="91"/>
      <c r="DG110" s="91"/>
      <c r="DH110" s="91"/>
      <c r="DI110" s="91"/>
      <c r="DJ110" s="91"/>
      <c r="DK110" s="91"/>
      <c r="DL110" s="91"/>
      <c r="DM110" s="91"/>
      <c r="DN110" s="91"/>
      <c r="DO110" s="91"/>
      <c r="DP110" s="91"/>
      <c r="DQ110" s="91"/>
      <c r="DR110" s="91"/>
      <c r="DS110" s="91"/>
      <c r="DT110" s="91"/>
      <c r="DU110" s="91"/>
      <c r="DV110" s="91"/>
      <c r="DW110" s="91"/>
      <c r="DX110" s="91"/>
      <c r="DY110" s="91"/>
      <c r="DZ110" s="91"/>
      <c r="EA110" s="91"/>
      <c r="EB110" s="91"/>
      <c r="EC110" s="91"/>
      <c r="ED110" s="91"/>
      <c r="EE110" s="91"/>
      <c r="EF110" s="91"/>
      <c r="EG110" s="91"/>
      <c r="EH110" s="91"/>
      <c r="EI110" s="91"/>
      <c r="EJ110" s="91"/>
      <c r="EK110" s="91"/>
      <c r="EL110" s="91"/>
      <c r="EM110" s="91"/>
      <c r="EN110" s="91"/>
      <c r="EO110" s="91"/>
      <c r="EP110" s="91"/>
      <c r="EQ110" s="91"/>
      <c r="ER110" s="91"/>
      <c r="ES110" s="91"/>
      <c r="ET110" s="91"/>
      <c r="EU110" s="91"/>
      <c r="EV110" s="91"/>
      <c r="EW110" s="91"/>
      <c r="EX110" s="91"/>
      <c r="EY110" s="91"/>
      <c r="EZ110" s="91"/>
      <c r="FA110" s="91"/>
      <c r="FB110" s="91"/>
      <c r="FC110" s="91"/>
      <c r="FD110" s="91"/>
      <c r="FE110" s="91"/>
      <c r="FF110" s="91"/>
      <c r="FG110" s="91"/>
      <c r="FH110" s="91"/>
      <c r="FI110" s="91"/>
      <c r="FJ110" s="91"/>
      <c r="FK110" s="91"/>
      <c r="FL110" s="91"/>
      <c r="FM110" s="91"/>
      <c r="FN110" s="91"/>
      <c r="FO110" s="91"/>
      <c r="FP110" s="91"/>
      <c r="FQ110" s="91"/>
      <c r="FR110" s="91"/>
      <c r="FS110" s="91"/>
      <c r="FT110" s="91"/>
      <c r="FU110" s="91"/>
      <c r="FV110" s="91"/>
      <c r="FW110" s="91"/>
      <c r="FX110" s="91"/>
      <c r="FY110" s="91"/>
      <c r="FZ110" s="91"/>
      <c r="GA110" s="91"/>
      <c r="GB110" s="91"/>
      <c r="GC110" s="91"/>
      <c r="GD110" s="91"/>
      <c r="GE110" s="91"/>
      <c r="GF110" s="91"/>
      <c r="GG110" s="91"/>
      <c r="GH110" s="91"/>
      <c r="GI110" s="91"/>
      <c r="GJ110" s="91"/>
      <c r="GK110" s="91"/>
      <c r="GL110" s="91"/>
      <c r="GM110" s="91"/>
      <c r="GN110" s="91"/>
      <c r="GO110" s="91"/>
      <c r="GP110" s="91"/>
      <c r="GQ110" s="91"/>
      <c r="GR110" s="91"/>
      <c r="GS110" s="91"/>
      <c r="GT110" s="91"/>
      <c r="GU110" s="91"/>
      <c r="GV110" s="91"/>
      <c r="GW110" s="91"/>
      <c r="GX110" s="91"/>
      <c r="GY110" s="91"/>
      <c r="GZ110" s="91"/>
      <c r="HA110" s="91"/>
      <c r="HB110" s="91"/>
      <c r="HC110" s="91"/>
      <c r="HD110" s="91"/>
      <c r="HE110" s="91"/>
      <c r="HF110" s="91"/>
      <c r="HG110" s="91"/>
      <c r="HH110" s="91"/>
      <c r="HI110" s="91"/>
      <c r="HJ110" s="91"/>
      <c r="HK110" s="91"/>
      <c r="HL110" s="91"/>
      <c r="HM110" s="91"/>
      <c r="HN110" s="91"/>
      <c r="HO110" s="91"/>
      <c r="HP110" s="91"/>
      <c r="HQ110" s="91"/>
      <c r="HR110" s="91"/>
      <c r="HS110" s="91"/>
      <c r="HT110" s="91"/>
      <c r="HU110" s="91"/>
      <c r="HV110" s="91"/>
      <c r="HW110" s="91"/>
      <c r="HX110" s="91"/>
      <c r="HY110" s="91"/>
      <c r="HZ110" s="91"/>
      <c r="IA110" s="91"/>
      <c r="IB110" s="91"/>
      <c r="IC110" s="91"/>
      <c r="ID110" s="91"/>
      <c r="IE110" s="91"/>
      <c r="IF110" s="91"/>
      <c r="IG110" s="91"/>
      <c r="IH110" s="91"/>
      <c r="II110" s="91"/>
      <c r="IJ110" s="91"/>
      <c r="IK110" s="91"/>
      <c r="IL110" s="91"/>
      <c r="IM110" s="91"/>
      <c r="IN110" s="91"/>
      <c r="IO110" s="91"/>
    </row>
    <row r="111" spans="3:249" ht="18" x14ac:dyDescent="0.2">
      <c r="C111" s="1"/>
      <c r="E111" s="236"/>
      <c r="F111" s="237"/>
      <c r="G111" s="238" t="str">
        <f>+G95</f>
        <v>Ontario - Wood Frame 12 units and more</v>
      </c>
      <c r="H111" s="238"/>
      <c r="I111" s="239">
        <f>ROUND(+'[1]CMHC '!Q9*1.025*1.025*1.025,-1)</f>
        <v>600</v>
      </c>
      <c r="J111" s="43" t="s">
        <v>102</v>
      </c>
      <c r="K111" s="1"/>
      <c r="L111" s="82"/>
      <c r="M111" s="82"/>
      <c r="N111" s="82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1"/>
      <c r="AF111" s="91"/>
      <c r="AG111" s="91"/>
      <c r="AH111" s="91"/>
      <c r="AI111" s="91"/>
      <c r="AJ111" s="91"/>
      <c r="AK111" s="91"/>
      <c r="AL111" s="91"/>
      <c r="AM111" s="91"/>
      <c r="AN111" s="91"/>
      <c r="AO111" s="91"/>
      <c r="AP111" s="91"/>
      <c r="AQ111" s="91"/>
      <c r="AR111" s="91"/>
      <c r="AS111" s="91"/>
      <c r="AT111" s="91"/>
      <c r="AU111" s="91"/>
      <c r="AV111" s="91"/>
      <c r="AW111" s="91"/>
      <c r="AX111" s="91"/>
      <c r="AY111" s="91"/>
      <c r="AZ111" s="91"/>
      <c r="BA111" s="91"/>
      <c r="BB111" s="91"/>
      <c r="BC111" s="91"/>
      <c r="BD111" s="91"/>
      <c r="BE111" s="91"/>
      <c r="BF111" s="91"/>
      <c r="BG111" s="91"/>
      <c r="BH111" s="91"/>
      <c r="BI111" s="91"/>
      <c r="BJ111" s="91"/>
      <c r="BK111" s="91"/>
      <c r="BL111" s="91"/>
      <c r="BM111" s="91"/>
      <c r="BN111" s="91"/>
      <c r="BO111" s="91"/>
      <c r="BP111" s="91"/>
      <c r="BQ111" s="91"/>
      <c r="BR111" s="91"/>
      <c r="BS111" s="91"/>
      <c r="BT111" s="91"/>
      <c r="BU111" s="91"/>
      <c r="BV111" s="91"/>
      <c r="BW111" s="91"/>
      <c r="BX111" s="91"/>
      <c r="BY111" s="91"/>
      <c r="BZ111" s="91"/>
      <c r="CA111" s="91"/>
      <c r="CB111" s="91"/>
      <c r="CC111" s="91"/>
      <c r="CD111" s="91"/>
      <c r="CE111" s="91"/>
      <c r="CF111" s="91"/>
      <c r="CG111" s="91"/>
      <c r="CH111" s="91"/>
      <c r="CI111" s="91"/>
      <c r="CJ111" s="91"/>
      <c r="CK111" s="91"/>
      <c r="CL111" s="91"/>
      <c r="CM111" s="91"/>
      <c r="CN111" s="91"/>
      <c r="CO111" s="91"/>
      <c r="CP111" s="91"/>
      <c r="CQ111" s="91"/>
      <c r="CR111" s="91"/>
      <c r="CS111" s="91"/>
      <c r="CT111" s="91"/>
      <c r="CU111" s="91"/>
      <c r="CV111" s="91"/>
      <c r="CW111" s="91"/>
      <c r="CX111" s="91"/>
      <c r="CY111" s="91"/>
      <c r="CZ111" s="91"/>
      <c r="DA111" s="91"/>
      <c r="DB111" s="91"/>
      <c r="DC111" s="91"/>
      <c r="DD111" s="91"/>
      <c r="DE111" s="91"/>
      <c r="DF111" s="91"/>
      <c r="DG111" s="91"/>
      <c r="DH111" s="91"/>
      <c r="DI111" s="91"/>
      <c r="DJ111" s="91"/>
      <c r="DK111" s="91"/>
      <c r="DL111" s="91"/>
      <c r="DM111" s="91"/>
      <c r="DN111" s="91"/>
      <c r="DO111" s="91"/>
      <c r="DP111" s="91"/>
      <c r="DQ111" s="91"/>
      <c r="DR111" s="91"/>
      <c r="DS111" s="91"/>
      <c r="DT111" s="91"/>
      <c r="DU111" s="91"/>
      <c r="DV111" s="91"/>
      <c r="DW111" s="91"/>
      <c r="DX111" s="91"/>
      <c r="DY111" s="91"/>
      <c r="DZ111" s="91"/>
      <c r="EA111" s="91"/>
      <c r="EB111" s="91"/>
      <c r="EC111" s="91"/>
      <c r="ED111" s="91"/>
      <c r="EE111" s="91"/>
      <c r="EF111" s="91"/>
      <c r="EG111" s="91"/>
      <c r="EH111" s="91"/>
      <c r="EI111" s="91"/>
      <c r="EJ111" s="91"/>
      <c r="EK111" s="91"/>
      <c r="EL111" s="91"/>
      <c r="EM111" s="91"/>
      <c r="EN111" s="91"/>
      <c r="EO111" s="91"/>
      <c r="EP111" s="91"/>
      <c r="EQ111" s="91"/>
      <c r="ER111" s="91"/>
      <c r="ES111" s="91"/>
      <c r="ET111" s="91"/>
      <c r="EU111" s="91"/>
      <c r="EV111" s="91"/>
      <c r="EW111" s="91"/>
      <c r="EX111" s="91"/>
      <c r="EY111" s="91"/>
      <c r="EZ111" s="91"/>
      <c r="FA111" s="91"/>
      <c r="FB111" s="91"/>
      <c r="FC111" s="91"/>
      <c r="FD111" s="91"/>
      <c r="FE111" s="91"/>
      <c r="FF111" s="91"/>
      <c r="FG111" s="91"/>
      <c r="FH111" s="91"/>
      <c r="FI111" s="91"/>
      <c r="FJ111" s="91"/>
      <c r="FK111" s="91"/>
      <c r="FL111" s="91"/>
      <c r="FM111" s="91"/>
      <c r="FN111" s="91"/>
      <c r="FO111" s="91"/>
      <c r="FP111" s="91"/>
      <c r="FQ111" s="91"/>
      <c r="FR111" s="91"/>
      <c r="FS111" s="91"/>
      <c r="FT111" s="91"/>
      <c r="FU111" s="91"/>
      <c r="FV111" s="91"/>
      <c r="FW111" s="91"/>
      <c r="FX111" s="91"/>
      <c r="FY111" s="91"/>
      <c r="FZ111" s="91"/>
      <c r="GA111" s="91"/>
      <c r="GB111" s="91"/>
      <c r="GC111" s="91"/>
      <c r="GD111" s="91"/>
      <c r="GE111" s="91"/>
      <c r="GF111" s="91"/>
      <c r="GG111" s="91"/>
      <c r="GH111" s="91"/>
      <c r="GI111" s="91"/>
      <c r="GJ111" s="91"/>
      <c r="GK111" s="91"/>
      <c r="GL111" s="91"/>
      <c r="GM111" s="91"/>
      <c r="GN111" s="91"/>
      <c r="GO111" s="91"/>
      <c r="GP111" s="91"/>
      <c r="GQ111" s="91"/>
      <c r="GR111" s="91"/>
      <c r="GS111" s="91"/>
      <c r="GT111" s="91"/>
      <c r="GU111" s="91"/>
      <c r="GV111" s="91"/>
      <c r="GW111" s="91"/>
      <c r="GX111" s="91"/>
      <c r="GY111" s="91"/>
      <c r="GZ111" s="91"/>
      <c r="HA111" s="91"/>
      <c r="HB111" s="91"/>
      <c r="HC111" s="91"/>
      <c r="HD111" s="91"/>
      <c r="HE111" s="91"/>
      <c r="HF111" s="91"/>
      <c r="HG111" s="91"/>
      <c r="HH111" s="91"/>
      <c r="HI111" s="91"/>
      <c r="HJ111" s="91"/>
      <c r="HK111" s="91"/>
      <c r="HL111" s="91"/>
      <c r="HM111" s="91"/>
      <c r="HN111" s="91"/>
      <c r="HO111" s="91"/>
      <c r="HP111" s="91"/>
      <c r="HQ111" s="91"/>
      <c r="HR111" s="91"/>
      <c r="HS111" s="91"/>
      <c r="HT111" s="91"/>
      <c r="HU111" s="91"/>
      <c r="HV111" s="91"/>
      <c r="HW111" s="91"/>
      <c r="HX111" s="91"/>
      <c r="HY111" s="91"/>
      <c r="HZ111" s="91"/>
      <c r="IA111" s="91"/>
      <c r="IB111" s="91"/>
      <c r="IC111" s="91"/>
      <c r="ID111" s="91"/>
      <c r="IE111" s="91"/>
      <c r="IF111" s="91"/>
      <c r="IG111" s="91"/>
      <c r="IH111" s="91"/>
      <c r="II111" s="91"/>
      <c r="IJ111" s="91"/>
      <c r="IK111" s="91"/>
      <c r="IL111" s="91"/>
      <c r="IM111" s="91"/>
      <c r="IN111" s="91"/>
      <c r="IO111" s="91"/>
    </row>
    <row r="112" spans="3:249" ht="18" x14ac:dyDescent="0.2">
      <c r="C112" s="1"/>
      <c r="E112" s="131"/>
      <c r="F112" s="2"/>
      <c r="G112" s="43"/>
      <c r="H112" s="43"/>
      <c r="I112" s="235">
        <f>+'[1]Expense Comparison'!H15</f>
        <v>700</v>
      </c>
      <c r="J112" s="241" t="s">
        <v>103</v>
      </c>
      <c r="K112" s="1"/>
      <c r="L112" s="82"/>
      <c r="M112" s="82"/>
      <c r="N112" s="82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  <c r="AG112" s="91"/>
      <c r="AH112" s="91"/>
      <c r="AI112" s="91"/>
      <c r="AJ112" s="91"/>
      <c r="AK112" s="91"/>
      <c r="AL112" s="91"/>
      <c r="AM112" s="91"/>
      <c r="AN112" s="91"/>
      <c r="AO112" s="91"/>
      <c r="AP112" s="91"/>
      <c r="AQ112" s="91"/>
      <c r="AR112" s="91"/>
      <c r="AS112" s="91"/>
      <c r="AT112" s="91"/>
      <c r="AU112" s="91"/>
      <c r="AV112" s="91"/>
      <c r="AW112" s="91"/>
      <c r="AX112" s="91"/>
      <c r="AY112" s="91"/>
      <c r="AZ112" s="91"/>
      <c r="BA112" s="91"/>
      <c r="BB112" s="91"/>
      <c r="BC112" s="91"/>
      <c r="BD112" s="91"/>
      <c r="BE112" s="91"/>
      <c r="BF112" s="91"/>
      <c r="BG112" s="91"/>
      <c r="BH112" s="91"/>
      <c r="BI112" s="91"/>
      <c r="BJ112" s="91"/>
      <c r="BK112" s="91"/>
      <c r="BL112" s="91"/>
      <c r="BM112" s="91"/>
      <c r="BN112" s="91"/>
      <c r="BO112" s="91"/>
      <c r="BP112" s="91"/>
      <c r="BQ112" s="91"/>
      <c r="BR112" s="91"/>
      <c r="BS112" s="91"/>
      <c r="BT112" s="91"/>
      <c r="BU112" s="91"/>
      <c r="BV112" s="91"/>
      <c r="BW112" s="91"/>
      <c r="BX112" s="91"/>
      <c r="BY112" s="91"/>
      <c r="BZ112" s="91"/>
      <c r="CA112" s="91"/>
      <c r="CB112" s="91"/>
      <c r="CC112" s="91"/>
      <c r="CD112" s="91"/>
      <c r="CE112" s="91"/>
      <c r="CF112" s="91"/>
      <c r="CG112" s="91"/>
      <c r="CH112" s="91"/>
      <c r="CI112" s="91"/>
      <c r="CJ112" s="91"/>
      <c r="CK112" s="91"/>
      <c r="CL112" s="91"/>
      <c r="CM112" s="91"/>
      <c r="CN112" s="91"/>
      <c r="CO112" s="91"/>
      <c r="CP112" s="91"/>
      <c r="CQ112" s="91"/>
      <c r="CR112" s="91"/>
      <c r="CS112" s="91"/>
      <c r="CT112" s="91"/>
      <c r="CU112" s="91"/>
      <c r="CV112" s="91"/>
      <c r="CW112" s="91"/>
      <c r="CX112" s="91"/>
      <c r="CY112" s="91"/>
      <c r="CZ112" s="91"/>
      <c r="DA112" s="91"/>
      <c r="DB112" s="91"/>
      <c r="DC112" s="91"/>
      <c r="DD112" s="91"/>
      <c r="DE112" s="91"/>
      <c r="DF112" s="91"/>
      <c r="DG112" s="91"/>
      <c r="DH112" s="91"/>
      <c r="DI112" s="91"/>
      <c r="DJ112" s="91"/>
      <c r="DK112" s="91"/>
      <c r="DL112" s="91"/>
      <c r="DM112" s="91"/>
      <c r="DN112" s="91"/>
      <c r="DO112" s="91"/>
      <c r="DP112" s="91"/>
      <c r="DQ112" s="91"/>
      <c r="DR112" s="91"/>
      <c r="DS112" s="91"/>
      <c r="DT112" s="91"/>
      <c r="DU112" s="91"/>
      <c r="DV112" s="91"/>
      <c r="DW112" s="91"/>
      <c r="DX112" s="91"/>
      <c r="DY112" s="91"/>
      <c r="DZ112" s="91"/>
      <c r="EA112" s="91"/>
      <c r="EB112" s="91"/>
      <c r="EC112" s="91"/>
      <c r="ED112" s="91"/>
      <c r="EE112" s="91"/>
      <c r="EF112" s="91"/>
      <c r="EG112" s="91"/>
      <c r="EH112" s="91"/>
      <c r="EI112" s="91"/>
      <c r="EJ112" s="91"/>
      <c r="EK112" s="91"/>
      <c r="EL112" s="91"/>
      <c r="EM112" s="91"/>
      <c r="EN112" s="91"/>
      <c r="EO112" s="91"/>
      <c r="EP112" s="91"/>
      <c r="EQ112" s="91"/>
      <c r="ER112" s="91"/>
      <c r="ES112" s="91"/>
      <c r="ET112" s="91"/>
      <c r="EU112" s="91"/>
      <c r="EV112" s="91"/>
      <c r="EW112" s="91"/>
      <c r="EX112" s="91"/>
      <c r="EY112" s="91"/>
      <c r="EZ112" s="91"/>
      <c r="FA112" s="91"/>
      <c r="FB112" s="91"/>
      <c r="FC112" s="91"/>
      <c r="FD112" s="91"/>
      <c r="FE112" s="91"/>
      <c r="FF112" s="91"/>
      <c r="FG112" s="91"/>
      <c r="FH112" s="91"/>
      <c r="FI112" s="91"/>
      <c r="FJ112" s="91"/>
      <c r="FK112" s="91"/>
      <c r="FL112" s="91"/>
      <c r="FM112" s="91"/>
      <c r="FN112" s="91"/>
      <c r="FO112" s="91"/>
      <c r="FP112" s="91"/>
      <c r="FQ112" s="91"/>
      <c r="FR112" s="91"/>
      <c r="FS112" s="91"/>
      <c r="FT112" s="91"/>
      <c r="FU112" s="91"/>
      <c r="FV112" s="91"/>
      <c r="FW112" s="91"/>
      <c r="FX112" s="91"/>
      <c r="FY112" s="91"/>
      <c r="FZ112" s="91"/>
      <c r="GA112" s="91"/>
      <c r="GB112" s="91"/>
      <c r="GC112" s="91"/>
      <c r="GD112" s="91"/>
      <c r="GE112" s="91"/>
      <c r="GF112" s="91"/>
      <c r="GG112" s="91"/>
      <c r="GH112" s="91"/>
      <c r="GI112" s="91"/>
      <c r="GJ112" s="91"/>
      <c r="GK112" s="91"/>
      <c r="GL112" s="91"/>
      <c r="GM112" s="91"/>
      <c r="GN112" s="91"/>
      <c r="GO112" s="91"/>
      <c r="GP112" s="91"/>
      <c r="GQ112" s="91"/>
      <c r="GR112" s="91"/>
      <c r="GS112" s="91"/>
      <c r="GT112" s="91"/>
      <c r="GU112" s="91"/>
      <c r="GV112" s="91"/>
      <c r="GW112" s="91"/>
      <c r="GX112" s="91"/>
      <c r="GY112" s="91"/>
      <c r="GZ112" s="91"/>
      <c r="HA112" s="91"/>
      <c r="HB112" s="91"/>
      <c r="HC112" s="91"/>
      <c r="HD112" s="91"/>
      <c r="HE112" s="91"/>
      <c r="HF112" s="91"/>
      <c r="HG112" s="91"/>
      <c r="HH112" s="91"/>
      <c r="HI112" s="91"/>
      <c r="HJ112" s="91"/>
      <c r="HK112" s="91"/>
      <c r="HL112" s="91"/>
      <c r="HM112" s="91"/>
      <c r="HN112" s="91"/>
      <c r="HO112" s="91"/>
      <c r="HP112" s="91"/>
      <c r="HQ112" s="91"/>
      <c r="HR112" s="91"/>
      <c r="HS112" s="91"/>
      <c r="HT112" s="91"/>
      <c r="HU112" s="91"/>
      <c r="HV112" s="91"/>
      <c r="HW112" s="91"/>
      <c r="HX112" s="91"/>
      <c r="HY112" s="91"/>
      <c r="HZ112" s="91"/>
      <c r="IA112" s="91"/>
      <c r="IB112" s="91"/>
      <c r="IC112" s="91"/>
      <c r="ID112" s="91"/>
      <c r="IE112" s="91"/>
      <c r="IF112" s="91"/>
      <c r="IG112" s="91"/>
      <c r="IH112" s="91"/>
      <c r="II112" s="91"/>
      <c r="IJ112" s="91"/>
      <c r="IK112" s="91"/>
      <c r="IL112" s="91"/>
      <c r="IM112" s="91"/>
      <c r="IN112" s="91"/>
      <c r="IO112" s="91"/>
    </row>
    <row r="113" spans="3:249" x14ac:dyDescent="0.2">
      <c r="C113" s="1"/>
      <c r="D113" s="134">
        <v>4</v>
      </c>
      <c r="E113" s="242" t="s">
        <v>123</v>
      </c>
      <c r="F113" s="243"/>
      <c r="G113" s="243"/>
      <c r="H113" s="243"/>
      <c r="I113" s="244"/>
      <c r="J113" s="43"/>
      <c r="K113" s="1"/>
      <c r="L113" s="82"/>
      <c r="M113" s="82"/>
      <c r="N113" s="82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  <c r="AG113" s="91"/>
      <c r="AH113" s="91"/>
      <c r="AI113" s="91"/>
      <c r="AJ113" s="91"/>
      <c r="AK113" s="91"/>
      <c r="AL113" s="91"/>
      <c r="AM113" s="91"/>
      <c r="AN113" s="91"/>
      <c r="AO113" s="91"/>
      <c r="AP113" s="91"/>
      <c r="AQ113" s="91"/>
      <c r="AR113" s="91"/>
      <c r="AS113" s="91"/>
      <c r="AT113" s="91"/>
      <c r="AU113" s="91"/>
      <c r="AV113" s="91"/>
      <c r="AW113" s="91"/>
      <c r="AX113" s="91"/>
      <c r="AY113" s="91"/>
      <c r="AZ113" s="91"/>
      <c r="BA113" s="91"/>
      <c r="BB113" s="91"/>
      <c r="BC113" s="91"/>
      <c r="BD113" s="91"/>
      <c r="BE113" s="91"/>
      <c r="BF113" s="91"/>
      <c r="BG113" s="91"/>
      <c r="BH113" s="91"/>
      <c r="BI113" s="91"/>
      <c r="BJ113" s="91"/>
      <c r="BK113" s="91"/>
      <c r="BL113" s="91"/>
      <c r="BM113" s="91"/>
      <c r="BN113" s="91"/>
      <c r="BO113" s="91"/>
      <c r="BP113" s="91"/>
      <c r="BQ113" s="91"/>
      <c r="BR113" s="91"/>
      <c r="BS113" s="91"/>
      <c r="BT113" s="91"/>
      <c r="BU113" s="91"/>
      <c r="BV113" s="91"/>
      <c r="BW113" s="91"/>
      <c r="BX113" s="91"/>
      <c r="BY113" s="91"/>
      <c r="BZ113" s="91"/>
      <c r="CA113" s="91"/>
      <c r="CB113" s="91"/>
      <c r="CC113" s="91"/>
      <c r="CD113" s="91"/>
      <c r="CE113" s="91"/>
      <c r="CF113" s="91"/>
      <c r="CG113" s="91"/>
      <c r="CH113" s="91"/>
      <c r="CI113" s="91"/>
      <c r="CJ113" s="91"/>
      <c r="CK113" s="91"/>
      <c r="CL113" s="91"/>
      <c r="CM113" s="91"/>
      <c r="CN113" s="91"/>
      <c r="CO113" s="91"/>
      <c r="CP113" s="91"/>
      <c r="CQ113" s="91"/>
      <c r="CR113" s="91"/>
      <c r="CS113" s="91"/>
      <c r="CT113" s="91"/>
      <c r="CU113" s="91"/>
      <c r="CV113" s="91"/>
      <c r="CW113" s="91"/>
      <c r="CX113" s="91"/>
      <c r="CY113" s="91"/>
      <c r="CZ113" s="91"/>
      <c r="DA113" s="91"/>
      <c r="DB113" s="91"/>
      <c r="DC113" s="91"/>
      <c r="DD113" s="91"/>
      <c r="DE113" s="91"/>
      <c r="DF113" s="91"/>
      <c r="DG113" s="91"/>
      <c r="DH113" s="91"/>
      <c r="DI113" s="91"/>
      <c r="DJ113" s="91"/>
      <c r="DK113" s="91"/>
      <c r="DL113" s="91"/>
      <c r="DM113" s="91"/>
      <c r="DN113" s="91"/>
      <c r="DO113" s="91"/>
      <c r="DP113" s="91"/>
      <c r="DQ113" s="91"/>
      <c r="DR113" s="91"/>
      <c r="DS113" s="91"/>
      <c r="DT113" s="91"/>
      <c r="DU113" s="91"/>
      <c r="DV113" s="91"/>
      <c r="DW113" s="91"/>
      <c r="DX113" s="91"/>
      <c r="DY113" s="91"/>
      <c r="DZ113" s="91"/>
      <c r="EA113" s="91"/>
      <c r="EB113" s="91"/>
      <c r="EC113" s="91"/>
      <c r="ED113" s="91"/>
      <c r="EE113" s="91"/>
      <c r="EF113" s="91"/>
      <c r="EG113" s="91"/>
      <c r="EH113" s="91"/>
      <c r="EI113" s="91"/>
      <c r="EJ113" s="91"/>
      <c r="EK113" s="91"/>
      <c r="EL113" s="91"/>
      <c r="EM113" s="91"/>
      <c r="EN113" s="91"/>
      <c r="EO113" s="91"/>
      <c r="EP113" s="91"/>
      <c r="EQ113" s="91"/>
      <c r="ER113" s="91"/>
      <c r="ES113" s="91"/>
      <c r="ET113" s="91"/>
      <c r="EU113" s="91"/>
      <c r="EV113" s="91"/>
      <c r="EW113" s="91"/>
      <c r="EX113" s="91"/>
      <c r="EY113" s="91"/>
      <c r="EZ113" s="91"/>
      <c r="FA113" s="91"/>
      <c r="FB113" s="91"/>
      <c r="FC113" s="91"/>
      <c r="FD113" s="91"/>
      <c r="FE113" s="91"/>
      <c r="FF113" s="91"/>
      <c r="FG113" s="91"/>
      <c r="FH113" s="91"/>
      <c r="FI113" s="91"/>
      <c r="FJ113" s="91"/>
      <c r="FK113" s="91"/>
      <c r="FL113" s="91"/>
      <c r="FM113" s="91"/>
      <c r="FN113" s="91"/>
      <c r="FO113" s="91"/>
      <c r="FP113" s="91"/>
      <c r="FQ113" s="91"/>
      <c r="FR113" s="91"/>
      <c r="FS113" s="91"/>
      <c r="FT113" s="91"/>
      <c r="FU113" s="91"/>
      <c r="FV113" s="91"/>
      <c r="FW113" s="91"/>
      <c r="FX113" s="91"/>
      <c r="FY113" s="91"/>
      <c r="FZ113" s="91"/>
      <c r="GA113" s="91"/>
      <c r="GB113" s="91"/>
      <c r="GC113" s="91"/>
      <c r="GD113" s="91"/>
      <c r="GE113" s="91"/>
      <c r="GF113" s="91"/>
      <c r="GG113" s="91"/>
      <c r="GH113" s="91"/>
      <c r="GI113" s="91"/>
      <c r="GJ113" s="91"/>
      <c r="GK113" s="91"/>
      <c r="GL113" s="91"/>
      <c r="GM113" s="91"/>
      <c r="GN113" s="91"/>
      <c r="GO113" s="91"/>
      <c r="GP113" s="91"/>
      <c r="GQ113" s="91"/>
      <c r="GR113" s="91"/>
      <c r="GS113" s="91"/>
      <c r="GT113" s="91"/>
      <c r="GU113" s="91"/>
      <c r="GV113" s="91"/>
      <c r="GW113" s="91"/>
      <c r="GX113" s="91"/>
      <c r="GY113" s="91"/>
      <c r="GZ113" s="91"/>
      <c r="HA113" s="91"/>
      <c r="HB113" s="91"/>
      <c r="HC113" s="91"/>
      <c r="HD113" s="91"/>
      <c r="HE113" s="91"/>
      <c r="HF113" s="91"/>
      <c r="HG113" s="91"/>
      <c r="HH113" s="91"/>
      <c r="HI113" s="91"/>
      <c r="HJ113" s="91"/>
      <c r="HK113" s="91"/>
      <c r="HL113" s="91"/>
      <c r="HM113" s="91"/>
      <c r="HN113" s="91"/>
      <c r="HO113" s="91"/>
      <c r="HP113" s="91"/>
      <c r="HQ113" s="91"/>
      <c r="HR113" s="91"/>
      <c r="HS113" s="91"/>
      <c r="HT113" s="91"/>
      <c r="HU113" s="91"/>
      <c r="HV113" s="91"/>
      <c r="HW113" s="91"/>
      <c r="HX113" s="91"/>
      <c r="HY113" s="91"/>
      <c r="HZ113" s="91"/>
      <c r="IA113" s="91"/>
      <c r="IB113" s="91"/>
      <c r="IC113" s="91"/>
      <c r="ID113" s="91"/>
      <c r="IE113" s="91"/>
      <c r="IF113" s="91"/>
      <c r="IG113" s="91"/>
      <c r="IH113" s="91"/>
      <c r="II113" s="91"/>
      <c r="IJ113" s="91"/>
      <c r="IK113" s="91"/>
      <c r="IL113" s="91"/>
      <c r="IM113" s="91"/>
      <c r="IN113" s="91"/>
      <c r="IO113" s="91"/>
    </row>
    <row r="114" spans="3:249" x14ac:dyDescent="0.2">
      <c r="C114" s="1"/>
      <c r="E114" s="267" t="s">
        <v>119</v>
      </c>
      <c r="F114" s="268">
        <f>+'[1]Typical Conv.Operating Expenses'!BW99</f>
        <v>300</v>
      </c>
      <c r="G114" s="268">
        <f>+'[1]Typical Conv.Operating Expenses'!BX99</f>
        <v>600</v>
      </c>
      <c r="H114" s="116"/>
      <c r="I114" s="145"/>
      <c r="J114" s="43"/>
      <c r="K114" s="1"/>
      <c r="L114" s="82"/>
      <c r="M114" s="82"/>
      <c r="N114" s="82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  <c r="AG114" s="91"/>
      <c r="AH114" s="91"/>
      <c r="AI114" s="91"/>
      <c r="AJ114" s="91"/>
      <c r="AK114" s="91"/>
      <c r="AL114" s="91"/>
      <c r="AM114" s="91"/>
      <c r="AN114" s="91"/>
      <c r="AO114" s="91"/>
      <c r="AP114" s="91"/>
      <c r="AQ114" s="91"/>
      <c r="AR114" s="91"/>
      <c r="AS114" s="91"/>
      <c r="AT114" s="91"/>
      <c r="AU114" s="91"/>
      <c r="AV114" s="91"/>
      <c r="AW114" s="91"/>
      <c r="AX114" s="91"/>
      <c r="AY114" s="91"/>
      <c r="AZ114" s="91"/>
      <c r="BA114" s="91"/>
      <c r="BB114" s="91"/>
      <c r="BC114" s="91"/>
      <c r="BD114" s="91"/>
      <c r="BE114" s="91"/>
      <c r="BF114" s="91"/>
      <c r="BG114" s="91"/>
      <c r="BH114" s="91"/>
      <c r="BI114" s="91"/>
      <c r="BJ114" s="91"/>
      <c r="BK114" s="91"/>
      <c r="BL114" s="91"/>
      <c r="BM114" s="91"/>
      <c r="BN114" s="91"/>
      <c r="BO114" s="91"/>
      <c r="BP114" s="91"/>
      <c r="BQ114" s="91"/>
      <c r="BR114" s="91"/>
      <c r="BS114" s="91"/>
      <c r="BT114" s="91"/>
      <c r="BU114" s="91"/>
      <c r="BV114" s="91"/>
      <c r="BW114" s="91"/>
      <c r="BX114" s="91"/>
      <c r="BY114" s="91"/>
      <c r="BZ114" s="91"/>
      <c r="CA114" s="91"/>
      <c r="CB114" s="91"/>
      <c r="CC114" s="91"/>
      <c r="CD114" s="91"/>
      <c r="CE114" s="91"/>
      <c r="CF114" s="91"/>
      <c r="CG114" s="91"/>
      <c r="CH114" s="91"/>
      <c r="CI114" s="91"/>
      <c r="CJ114" s="91"/>
      <c r="CK114" s="91"/>
      <c r="CL114" s="91"/>
      <c r="CM114" s="91"/>
      <c r="CN114" s="91"/>
      <c r="CO114" s="91"/>
      <c r="CP114" s="91"/>
      <c r="CQ114" s="91"/>
      <c r="CR114" s="91"/>
      <c r="CS114" s="91"/>
      <c r="CT114" s="91"/>
      <c r="CU114" s="91"/>
      <c r="CV114" s="91"/>
      <c r="CW114" s="91"/>
      <c r="CX114" s="91"/>
      <c r="CY114" s="91"/>
      <c r="CZ114" s="91"/>
      <c r="DA114" s="91"/>
      <c r="DB114" s="91"/>
      <c r="DC114" s="91"/>
      <c r="DD114" s="91"/>
      <c r="DE114" s="91"/>
      <c r="DF114" s="91"/>
      <c r="DG114" s="91"/>
      <c r="DH114" s="91"/>
      <c r="DI114" s="91"/>
      <c r="DJ114" s="91"/>
      <c r="DK114" s="91"/>
      <c r="DL114" s="91"/>
      <c r="DM114" s="91"/>
      <c r="DN114" s="91"/>
      <c r="DO114" s="91"/>
      <c r="DP114" s="91"/>
      <c r="DQ114" s="91"/>
      <c r="DR114" s="91"/>
      <c r="DS114" s="91"/>
      <c r="DT114" s="91"/>
      <c r="DU114" s="91"/>
      <c r="DV114" s="91"/>
      <c r="DW114" s="91"/>
      <c r="DX114" s="91"/>
      <c r="DY114" s="91"/>
      <c r="DZ114" s="91"/>
      <c r="EA114" s="91"/>
      <c r="EB114" s="91"/>
      <c r="EC114" s="91"/>
      <c r="ED114" s="91"/>
      <c r="EE114" s="91"/>
      <c r="EF114" s="91"/>
      <c r="EG114" s="91"/>
      <c r="EH114" s="91"/>
      <c r="EI114" s="91"/>
      <c r="EJ114" s="91"/>
      <c r="EK114" s="91"/>
      <c r="EL114" s="91"/>
      <c r="EM114" s="91"/>
      <c r="EN114" s="91"/>
      <c r="EO114" s="91"/>
      <c r="EP114" s="91"/>
      <c r="EQ114" s="91"/>
      <c r="ER114" s="91"/>
      <c r="ES114" s="91"/>
      <c r="ET114" s="91"/>
      <c r="EU114" s="91"/>
      <c r="EV114" s="91"/>
      <c r="EW114" s="91"/>
      <c r="EX114" s="91"/>
      <c r="EY114" s="91"/>
      <c r="EZ114" s="91"/>
      <c r="FA114" s="91"/>
      <c r="FB114" s="91"/>
      <c r="FC114" s="91"/>
      <c r="FD114" s="91"/>
      <c r="FE114" s="91"/>
      <c r="FF114" s="91"/>
      <c r="FG114" s="91"/>
      <c r="FH114" s="91"/>
      <c r="FI114" s="91"/>
      <c r="FJ114" s="91"/>
      <c r="FK114" s="91"/>
      <c r="FL114" s="91"/>
      <c r="FM114" s="91"/>
      <c r="FN114" s="91"/>
      <c r="FO114" s="91"/>
      <c r="FP114" s="91"/>
      <c r="FQ114" s="91"/>
      <c r="FR114" s="91"/>
      <c r="FS114" s="91"/>
      <c r="FT114" s="91"/>
      <c r="FU114" s="91"/>
      <c r="FV114" s="91"/>
      <c r="FW114" s="91"/>
      <c r="FX114" s="91"/>
      <c r="FY114" s="91"/>
      <c r="FZ114" s="91"/>
      <c r="GA114" s="91"/>
      <c r="GB114" s="91"/>
      <c r="GC114" s="91"/>
      <c r="GD114" s="91"/>
      <c r="GE114" s="91"/>
      <c r="GF114" s="91"/>
      <c r="GG114" s="91"/>
      <c r="GH114" s="91"/>
      <c r="GI114" s="91"/>
      <c r="GJ114" s="91"/>
      <c r="GK114" s="91"/>
      <c r="GL114" s="91"/>
      <c r="GM114" s="91"/>
      <c r="GN114" s="91"/>
      <c r="GO114" s="91"/>
      <c r="GP114" s="91"/>
      <c r="GQ114" s="91"/>
      <c r="GR114" s="91"/>
      <c r="GS114" s="91"/>
      <c r="GT114" s="91"/>
      <c r="GU114" s="91"/>
      <c r="GV114" s="91"/>
      <c r="GW114" s="91"/>
      <c r="GX114" s="91"/>
      <c r="GY114" s="91"/>
      <c r="GZ114" s="91"/>
      <c r="HA114" s="91"/>
      <c r="HB114" s="91"/>
      <c r="HC114" s="91"/>
      <c r="HD114" s="91"/>
      <c r="HE114" s="91"/>
      <c r="HF114" s="91"/>
      <c r="HG114" s="91"/>
      <c r="HH114" s="91"/>
      <c r="HI114" s="91"/>
      <c r="HJ114" s="91"/>
      <c r="HK114" s="91"/>
      <c r="HL114" s="91"/>
      <c r="HM114" s="91"/>
      <c r="HN114" s="91"/>
      <c r="HO114" s="91"/>
      <c r="HP114" s="91"/>
      <c r="HQ114" s="91"/>
      <c r="HR114" s="91"/>
      <c r="HS114" s="91"/>
      <c r="HT114" s="91"/>
      <c r="HU114" s="91"/>
      <c r="HV114" s="91"/>
      <c r="HW114" s="91"/>
      <c r="HX114" s="91"/>
      <c r="HY114" s="91"/>
      <c r="HZ114" s="91"/>
      <c r="IA114" s="91"/>
      <c r="IB114" s="91"/>
      <c r="IC114" s="91"/>
      <c r="ID114" s="91"/>
      <c r="IE114" s="91"/>
      <c r="IF114" s="91"/>
      <c r="IG114" s="91"/>
      <c r="IH114" s="91"/>
      <c r="II114" s="91"/>
      <c r="IJ114" s="91"/>
      <c r="IK114" s="91"/>
      <c r="IL114" s="91"/>
      <c r="IM114" s="91"/>
      <c r="IN114" s="91"/>
      <c r="IO114" s="91"/>
    </row>
    <row r="115" spans="3:249" x14ac:dyDescent="0.2">
      <c r="C115" s="1"/>
      <c r="E115" s="267" t="s">
        <v>124</v>
      </c>
      <c r="F115" s="269">
        <f>+F114*$F$12</f>
        <v>51000</v>
      </c>
      <c r="G115" s="269">
        <f>+G114*$F$12</f>
        <v>102000</v>
      </c>
      <c r="H115" s="116"/>
      <c r="I115" s="145"/>
      <c r="J115" s="43"/>
      <c r="K115" s="1"/>
      <c r="L115" s="82"/>
      <c r="M115" s="82"/>
      <c r="N115" s="82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  <c r="AG115" s="91"/>
      <c r="AH115" s="91"/>
      <c r="AI115" s="91"/>
      <c r="AJ115" s="91"/>
      <c r="AK115" s="91"/>
      <c r="AL115" s="91"/>
      <c r="AM115" s="91"/>
      <c r="AN115" s="91"/>
      <c r="AO115" s="91"/>
      <c r="AP115" s="91"/>
      <c r="AQ115" s="91"/>
      <c r="AR115" s="91"/>
      <c r="AS115" s="91"/>
      <c r="AT115" s="91"/>
      <c r="AU115" s="91"/>
      <c r="AV115" s="91"/>
      <c r="AW115" s="91"/>
      <c r="AX115" s="91"/>
      <c r="AY115" s="91"/>
      <c r="AZ115" s="91"/>
      <c r="BA115" s="91"/>
      <c r="BB115" s="91"/>
      <c r="BC115" s="91"/>
      <c r="BD115" s="91"/>
      <c r="BE115" s="91"/>
      <c r="BF115" s="91"/>
      <c r="BG115" s="91"/>
      <c r="BH115" s="91"/>
      <c r="BI115" s="91"/>
      <c r="BJ115" s="91"/>
      <c r="BK115" s="91"/>
      <c r="BL115" s="91"/>
      <c r="BM115" s="91"/>
      <c r="BN115" s="91"/>
      <c r="BO115" s="91"/>
      <c r="BP115" s="91"/>
      <c r="BQ115" s="91"/>
      <c r="BR115" s="91"/>
      <c r="BS115" s="91"/>
      <c r="BT115" s="91"/>
      <c r="BU115" s="91"/>
      <c r="BV115" s="91"/>
      <c r="BW115" s="91"/>
      <c r="BX115" s="91"/>
      <c r="BY115" s="91"/>
      <c r="BZ115" s="91"/>
      <c r="CA115" s="91"/>
      <c r="CB115" s="91"/>
      <c r="CC115" s="91"/>
      <c r="CD115" s="91"/>
      <c r="CE115" s="91"/>
      <c r="CF115" s="91"/>
      <c r="CG115" s="91"/>
      <c r="CH115" s="91"/>
      <c r="CI115" s="91"/>
      <c r="CJ115" s="91"/>
      <c r="CK115" s="91"/>
      <c r="CL115" s="91"/>
      <c r="CM115" s="91"/>
      <c r="CN115" s="91"/>
      <c r="CO115" s="91"/>
      <c r="CP115" s="91"/>
      <c r="CQ115" s="91"/>
      <c r="CR115" s="91"/>
      <c r="CS115" s="91"/>
      <c r="CT115" s="91"/>
      <c r="CU115" s="91"/>
      <c r="CV115" s="91"/>
      <c r="CW115" s="91"/>
      <c r="CX115" s="91"/>
      <c r="CY115" s="91"/>
      <c r="CZ115" s="91"/>
      <c r="DA115" s="91"/>
      <c r="DB115" s="91"/>
      <c r="DC115" s="91"/>
      <c r="DD115" s="91"/>
      <c r="DE115" s="91"/>
      <c r="DF115" s="91"/>
      <c r="DG115" s="91"/>
      <c r="DH115" s="91"/>
      <c r="DI115" s="91"/>
      <c r="DJ115" s="91"/>
      <c r="DK115" s="91"/>
      <c r="DL115" s="91"/>
      <c r="DM115" s="91"/>
      <c r="DN115" s="91"/>
      <c r="DO115" s="91"/>
      <c r="DP115" s="91"/>
      <c r="DQ115" s="91"/>
      <c r="DR115" s="91"/>
      <c r="DS115" s="91"/>
      <c r="DT115" s="91"/>
      <c r="DU115" s="91"/>
      <c r="DV115" s="91"/>
      <c r="DW115" s="91"/>
      <c r="DX115" s="91"/>
      <c r="DY115" s="91"/>
      <c r="DZ115" s="91"/>
      <c r="EA115" s="91"/>
      <c r="EB115" s="91"/>
      <c r="EC115" s="91"/>
      <c r="ED115" s="91"/>
      <c r="EE115" s="91"/>
      <c r="EF115" s="91"/>
      <c r="EG115" s="91"/>
      <c r="EH115" s="91"/>
      <c r="EI115" s="91"/>
      <c r="EJ115" s="91"/>
      <c r="EK115" s="91"/>
      <c r="EL115" s="91"/>
      <c r="EM115" s="91"/>
      <c r="EN115" s="91"/>
      <c r="EO115" s="91"/>
      <c r="EP115" s="91"/>
      <c r="EQ115" s="91"/>
      <c r="ER115" s="91"/>
      <c r="ES115" s="91"/>
      <c r="ET115" s="91"/>
      <c r="EU115" s="91"/>
      <c r="EV115" s="91"/>
      <c r="EW115" s="91"/>
      <c r="EX115" s="91"/>
      <c r="EY115" s="91"/>
      <c r="EZ115" s="91"/>
      <c r="FA115" s="91"/>
      <c r="FB115" s="91"/>
      <c r="FC115" s="91"/>
      <c r="FD115" s="91"/>
      <c r="FE115" s="91"/>
      <c r="FF115" s="91"/>
      <c r="FG115" s="91"/>
      <c r="FH115" s="91"/>
      <c r="FI115" s="91"/>
      <c r="FJ115" s="91"/>
      <c r="FK115" s="91"/>
      <c r="FL115" s="91"/>
      <c r="FM115" s="91"/>
      <c r="FN115" s="91"/>
      <c r="FO115" s="91"/>
      <c r="FP115" s="91"/>
      <c r="FQ115" s="91"/>
      <c r="FR115" s="91"/>
      <c r="FS115" s="91"/>
      <c r="FT115" s="91"/>
      <c r="FU115" s="91"/>
      <c r="FV115" s="91"/>
      <c r="FW115" s="91"/>
      <c r="FX115" s="91"/>
      <c r="FY115" s="91"/>
      <c r="FZ115" s="91"/>
      <c r="GA115" s="91"/>
      <c r="GB115" s="91"/>
      <c r="GC115" s="91"/>
      <c r="GD115" s="91"/>
      <c r="GE115" s="91"/>
      <c r="GF115" s="91"/>
      <c r="GG115" s="91"/>
      <c r="GH115" s="91"/>
      <c r="GI115" s="91"/>
      <c r="GJ115" s="91"/>
      <c r="GK115" s="91"/>
      <c r="GL115" s="91"/>
      <c r="GM115" s="91"/>
      <c r="GN115" s="91"/>
      <c r="GO115" s="91"/>
      <c r="GP115" s="91"/>
      <c r="GQ115" s="91"/>
      <c r="GR115" s="91"/>
      <c r="GS115" s="91"/>
      <c r="GT115" s="91"/>
      <c r="GU115" s="91"/>
      <c r="GV115" s="91"/>
      <c r="GW115" s="91"/>
      <c r="GX115" s="91"/>
      <c r="GY115" s="91"/>
      <c r="GZ115" s="91"/>
      <c r="HA115" s="91"/>
      <c r="HB115" s="91"/>
      <c r="HC115" s="91"/>
      <c r="HD115" s="91"/>
      <c r="HE115" s="91"/>
      <c r="HF115" s="91"/>
      <c r="HG115" s="91"/>
      <c r="HH115" s="91"/>
      <c r="HI115" s="91"/>
      <c r="HJ115" s="91"/>
      <c r="HK115" s="91"/>
      <c r="HL115" s="91"/>
      <c r="HM115" s="91"/>
      <c r="HN115" s="91"/>
      <c r="HO115" s="91"/>
      <c r="HP115" s="91"/>
      <c r="HQ115" s="91"/>
      <c r="HR115" s="91"/>
      <c r="HS115" s="91"/>
      <c r="HT115" s="91"/>
      <c r="HU115" s="91"/>
      <c r="HV115" s="91"/>
      <c r="HW115" s="91"/>
      <c r="HX115" s="91"/>
      <c r="HY115" s="91"/>
      <c r="HZ115" s="91"/>
      <c r="IA115" s="91"/>
      <c r="IB115" s="91"/>
      <c r="IC115" s="91"/>
      <c r="ID115" s="91"/>
      <c r="IE115" s="91"/>
      <c r="IF115" s="91"/>
      <c r="IG115" s="91"/>
      <c r="IH115" s="91"/>
      <c r="II115" s="91"/>
      <c r="IJ115" s="91"/>
      <c r="IK115" s="91"/>
      <c r="IL115" s="91"/>
      <c r="IM115" s="91"/>
      <c r="IN115" s="91"/>
      <c r="IO115" s="91"/>
    </row>
    <row r="116" spans="3:249" x14ac:dyDescent="0.2">
      <c r="C116" s="1"/>
      <c r="E116" s="150" t="s">
        <v>125</v>
      </c>
      <c r="F116" s="270">
        <v>450</v>
      </c>
      <c r="G116" s="271"/>
      <c r="H116" s="271"/>
      <c r="I116" s="151"/>
      <c r="J116" s="43"/>
      <c r="K116" s="1"/>
      <c r="L116" s="82"/>
      <c r="M116" s="82"/>
      <c r="N116" s="82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1"/>
      <c r="AF116" s="91"/>
      <c r="AG116" s="91"/>
      <c r="AH116" s="91"/>
      <c r="AI116" s="91"/>
      <c r="AJ116" s="91"/>
      <c r="AK116" s="91"/>
      <c r="AL116" s="91"/>
      <c r="AM116" s="91"/>
      <c r="AN116" s="91"/>
      <c r="AO116" s="91"/>
      <c r="AP116" s="91"/>
      <c r="AQ116" s="91"/>
      <c r="AR116" s="91"/>
      <c r="AS116" s="91"/>
      <c r="AT116" s="91"/>
      <c r="AU116" s="91"/>
      <c r="AV116" s="91"/>
      <c r="AW116" s="91"/>
      <c r="AX116" s="91"/>
      <c r="AY116" s="91"/>
      <c r="AZ116" s="91"/>
      <c r="BA116" s="91"/>
      <c r="BB116" s="91"/>
      <c r="BC116" s="91"/>
      <c r="BD116" s="91"/>
      <c r="BE116" s="91"/>
      <c r="BF116" s="91"/>
      <c r="BG116" s="91"/>
      <c r="BH116" s="91"/>
      <c r="BI116" s="91"/>
      <c r="BJ116" s="91"/>
      <c r="BK116" s="91"/>
      <c r="BL116" s="91"/>
      <c r="BM116" s="91"/>
      <c r="BN116" s="91"/>
      <c r="BO116" s="91"/>
      <c r="BP116" s="91"/>
      <c r="BQ116" s="91"/>
      <c r="BR116" s="91"/>
      <c r="BS116" s="91"/>
      <c r="BT116" s="91"/>
      <c r="BU116" s="91"/>
      <c r="BV116" s="91"/>
      <c r="BW116" s="91"/>
      <c r="BX116" s="91"/>
      <c r="BY116" s="91"/>
      <c r="BZ116" s="91"/>
      <c r="CA116" s="91"/>
      <c r="CB116" s="91"/>
      <c r="CC116" s="91"/>
      <c r="CD116" s="91"/>
      <c r="CE116" s="91"/>
      <c r="CF116" s="91"/>
      <c r="CG116" s="91"/>
      <c r="CH116" s="91"/>
      <c r="CI116" s="91"/>
      <c r="CJ116" s="91"/>
      <c r="CK116" s="91"/>
      <c r="CL116" s="91"/>
      <c r="CM116" s="91"/>
      <c r="CN116" s="91"/>
      <c r="CO116" s="91"/>
      <c r="CP116" s="91"/>
      <c r="CQ116" s="91"/>
      <c r="CR116" s="91"/>
      <c r="CS116" s="91"/>
      <c r="CT116" s="91"/>
      <c r="CU116" s="91"/>
      <c r="CV116" s="91"/>
      <c r="CW116" s="91"/>
      <c r="CX116" s="91"/>
      <c r="CY116" s="91"/>
      <c r="CZ116" s="91"/>
      <c r="DA116" s="91"/>
      <c r="DB116" s="91"/>
      <c r="DC116" s="91"/>
      <c r="DD116" s="91"/>
      <c r="DE116" s="91"/>
      <c r="DF116" s="91"/>
      <c r="DG116" s="91"/>
      <c r="DH116" s="91"/>
      <c r="DI116" s="91"/>
      <c r="DJ116" s="91"/>
      <c r="DK116" s="91"/>
      <c r="DL116" s="91"/>
      <c r="DM116" s="91"/>
      <c r="DN116" s="91"/>
      <c r="DO116" s="91"/>
      <c r="DP116" s="91"/>
      <c r="DQ116" s="91"/>
      <c r="DR116" s="91"/>
      <c r="DS116" s="91"/>
      <c r="DT116" s="91"/>
      <c r="DU116" s="91"/>
      <c r="DV116" s="91"/>
      <c r="DW116" s="91"/>
      <c r="DX116" s="91"/>
      <c r="DY116" s="91"/>
      <c r="DZ116" s="91"/>
      <c r="EA116" s="91"/>
      <c r="EB116" s="91"/>
      <c r="EC116" s="91"/>
      <c r="ED116" s="91"/>
      <c r="EE116" s="91"/>
      <c r="EF116" s="91"/>
      <c r="EG116" s="91"/>
      <c r="EH116" s="91"/>
      <c r="EI116" s="91"/>
      <c r="EJ116" s="91"/>
      <c r="EK116" s="91"/>
      <c r="EL116" s="91"/>
      <c r="EM116" s="91"/>
      <c r="EN116" s="91"/>
      <c r="EO116" s="91"/>
      <c r="EP116" s="91"/>
      <c r="EQ116" s="91"/>
      <c r="ER116" s="91"/>
      <c r="ES116" s="91"/>
      <c r="ET116" s="91"/>
      <c r="EU116" s="91"/>
      <c r="EV116" s="91"/>
      <c r="EW116" s="91"/>
      <c r="EX116" s="91"/>
      <c r="EY116" s="91"/>
      <c r="EZ116" s="91"/>
      <c r="FA116" s="91"/>
      <c r="FB116" s="91"/>
      <c r="FC116" s="91"/>
      <c r="FD116" s="91"/>
      <c r="FE116" s="91"/>
      <c r="FF116" s="91"/>
      <c r="FG116" s="91"/>
      <c r="FH116" s="91"/>
      <c r="FI116" s="91"/>
      <c r="FJ116" s="91"/>
      <c r="FK116" s="91"/>
      <c r="FL116" s="91"/>
      <c r="FM116" s="91"/>
      <c r="FN116" s="91"/>
      <c r="FO116" s="91"/>
      <c r="FP116" s="91"/>
      <c r="FQ116" s="91"/>
      <c r="FR116" s="91"/>
      <c r="FS116" s="91"/>
      <c r="FT116" s="91"/>
      <c r="FU116" s="91"/>
      <c r="FV116" s="91"/>
      <c r="FW116" s="91"/>
      <c r="FX116" s="91"/>
      <c r="FY116" s="91"/>
      <c r="FZ116" s="91"/>
      <c r="GA116" s="91"/>
      <c r="GB116" s="91"/>
      <c r="GC116" s="91"/>
      <c r="GD116" s="91"/>
      <c r="GE116" s="91"/>
      <c r="GF116" s="91"/>
      <c r="GG116" s="91"/>
      <c r="GH116" s="91"/>
      <c r="GI116" s="91"/>
      <c r="GJ116" s="91"/>
      <c r="GK116" s="91"/>
      <c r="GL116" s="91"/>
      <c r="GM116" s="91"/>
      <c r="GN116" s="91"/>
      <c r="GO116" s="91"/>
      <c r="GP116" s="91"/>
      <c r="GQ116" s="91"/>
      <c r="GR116" s="91"/>
      <c r="GS116" s="91"/>
      <c r="GT116" s="91"/>
      <c r="GU116" s="91"/>
      <c r="GV116" s="91"/>
      <c r="GW116" s="91"/>
      <c r="GX116" s="91"/>
      <c r="GY116" s="91"/>
      <c r="GZ116" s="91"/>
      <c r="HA116" s="91"/>
      <c r="HB116" s="91"/>
      <c r="HC116" s="91"/>
      <c r="HD116" s="91"/>
      <c r="HE116" s="91"/>
      <c r="HF116" s="91"/>
      <c r="HG116" s="91"/>
      <c r="HH116" s="91"/>
      <c r="HI116" s="91"/>
      <c r="HJ116" s="91"/>
      <c r="HK116" s="91"/>
      <c r="HL116" s="91"/>
      <c r="HM116" s="91"/>
      <c r="HN116" s="91"/>
      <c r="HO116" s="91"/>
      <c r="HP116" s="91"/>
      <c r="HQ116" s="91"/>
      <c r="HR116" s="91"/>
      <c r="HS116" s="91"/>
      <c r="HT116" s="91"/>
      <c r="HU116" s="91"/>
      <c r="HV116" s="91"/>
      <c r="HW116" s="91"/>
      <c r="HX116" s="91"/>
      <c r="HY116" s="91"/>
      <c r="HZ116" s="91"/>
      <c r="IA116" s="91"/>
      <c r="IB116" s="91"/>
      <c r="IC116" s="91"/>
      <c r="ID116" s="91"/>
      <c r="IE116" s="91"/>
      <c r="IF116" s="91"/>
      <c r="IG116" s="91"/>
      <c r="IH116" s="91"/>
      <c r="II116" s="91"/>
      <c r="IJ116" s="91"/>
      <c r="IK116" s="91"/>
      <c r="IL116" s="91"/>
      <c r="IM116" s="91"/>
      <c r="IN116" s="91"/>
      <c r="IO116" s="91"/>
    </row>
    <row r="117" spans="3:249" x14ac:dyDescent="0.2">
      <c r="C117" s="1"/>
      <c r="F117" s="116"/>
      <c r="G117" s="116"/>
      <c r="H117" s="116"/>
      <c r="I117" s="116"/>
      <c r="J117" s="272" t="s">
        <v>126</v>
      </c>
      <c r="K117" s="273"/>
      <c r="L117" s="274"/>
      <c r="M117" s="275"/>
      <c r="N117" s="82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1"/>
      <c r="AI117" s="91"/>
      <c r="AJ117" s="91"/>
      <c r="AK117" s="91"/>
      <c r="AL117" s="91"/>
      <c r="AM117" s="91"/>
      <c r="AN117" s="91"/>
      <c r="AO117" s="91"/>
      <c r="AP117" s="91"/>
      <c r="AQ117" s="91"/>
      <c r="AR117" s="91"/>
      <c r="AS117" s="91"/>
      <c r="AT117" s="91"/>
      <c r="AU117" s="91"/>
      <c r="AV117" s="91"/>
      <c r="AW117" s="91"/>
      <c r="AX117" s="91"/>
      <c r="AY117" s="91"/>
      <c r="AZ117" s="91"/>
      <c r="BA117" s="91"/>
      <c r="BB117" s="91"/>
      <c r="BC117" s="91"/>
      <c r="BD117" s="91"/>
      <c r="BE117" s="91"/>
      <c r="BF117" s="91"/>
      <c r="BG117" s="91"/>
      <c r="BH117" s="91"/>
      <c r="BI117" s="91"/>
      <c r="BJ117" s="91"/>
      <c r="BK117" s="91"/>
      <c r="BL117" s="91"/>
      <c r="BM117" s="91"/>
      <c r="BN117" s="91"/>
      <c r="BO117" s="91"/>
      <c r="BP117" s="91"/>
      <c r="BQ117" s="91"/>
      <c r="BR117" s="91"/>
      <c r="BS117" s="91"/>
      <c r="BT117" s="91"/>
      <c r="BU117" s="91"/>
      <c r="BV117" s="91"/>
      <c r="BW117" s="91"/>
      <c r="BX117" s="91"/>
      <c r="BY117" s="91"/>
      <c r="BZ117" s="91"/>
      <c r="CA117" s="91"/>
      <c r="CB117" s="91"/>
      <c r="CC117" s="91"/>
      <c r="CD117" s="91"/>
      <c r="CE117" s="91"/>
      <c r="CF117" s="91"/>
      <c r="CG117" s="91"/>
      <c r="CH117" s="91"/>
      <c r="CI117" s="91"/>
      <c r="CJ117" s="91"/>
      <c r="CK117" s="91"/>
      <c r="CL117" s="91"/>
      <c r="CM117" s="91"/>
      <c r="CN117" s="91"/>
      <c r="CO117" s="91"/>
      <c r="CP117" s="91"/>
      <c r="CQ117" s="91"/>
      <c r="CR117" s="91"/>
      <c r="CS117" s="91"/>
      <c r="CT117" s="91"/>
      <c r="CU117" s="91"/>
      <c r="CV117" s="91"/>
      <c r="CW117" s="91"/>
      <c r="CX117" s="91"/>
      <c r="CY117" s="91"/>
      <c r="CZ117" s="91"/>
      <c r="DA117" s="91"/>
      <c r="DB117" s="91"/>
      <c r="DC117" s="91"/>
      <c r="DD117" s="91"/>
      <c r="DE117" s="91"/>
      <c r="DF117" s="91"/>
      <c r="DG117" s="91"/>
      <c r="DH117" s="91"/>
      <c r="DI117" s="91"/>
      <c r="DJ117" s="91"/>
      <c r="DK117" s="91"/>
      <c r="DL117" s="91"/>
      <c r="DM117" s="91"/>
      <c r="DN117" s="91"/>
      <c r="DO117" s="91"/>
      <c r="DP117" s="91"/>
      <c r="DQ117" s="91"/>
      <c r="DR117" s="91"/>
      <c r="DS117" s="91"/>
      <c r="DT117" s="91"/>
      <c r="DU117" s="91"/>
      <c r="DV117" s="91"/>
      <c r="DW117" s="91"/>
      <c r="DX117" s="91"/>
      <c r="DY117" s="91"/>
      <c r="DZ117" s="91"/>
      <c r="EA117" s="91"/>
      <c r="EB117" s="91"/>
      <c r="EC117" s="91"/>
      <c r="ED117" s="91"/>
      <c r="EE117" s="91"/>
      <c r="EF117" s="91"/>
      <c r="EG117" s="91"/>
      <c r="EH117" s="91"/>
      <c r="EI117" s="91"/>
      <c r="EJ117" s="91"/>
      <c r="EK117" s="91"/>
      <c r="EL117" s="91"/>
      <c r="EM117" s="91"/>
      <c r="EN117" s="91"/>
      <c r="EO117" s="91"/>
      <c r="EP117" s="91"/>
      <c r="EQ117" s="91"/>
      <c r="ER117" s="91"/>
      <c r="ES117" s="91"/>
      <c r="ET117" s="91"/>
      <c r="EU117" s="91"/>
      <c r="EV117" s="91"/>
      <c r="EW117" s="91"/>
      <c r="EX117" s="91"/>
      <c r="EY117" s="91"/>
      <c r="EZ117" s="91"/>
      <c r="FA117" s="91"/>
      <c r="FB117" s="91"/>
      <c r="FC117" s="91"/>
      <c r="FD117" s="91"/>
      <c r="FE117" s="91"/>
      <c r="FF117" s="91"/>
      <c r="FG117" s="91"/>
      <c r="FH117" s="91"/>
      <c r="FI117" s="91"/>
      <c r="FJ117" s="91"/>
      <c r="FK117" s="91"/>
      <c r="FL117" s="91"/>
      <c r="FM117" s="91"/>
      <c r="FN117" s="91"/>
      <c r="FO117" s="91"/>
      <c r="FP117" s="91"/>
      <c r="FQ117" s="91"/>
      <c r="FR117" s="91"/>
      <c r="FS117" s="91"/>
      <c r="FT117" s="91"/>
      <c r="FU117" s="91"/>
      <c r="FV117" s="91"/>
      <c r="FW117" s="91"/>
      <c r="FX117" s="91"/>
      <c r="FY117" s="91"/>
      <c r="FZ117" s="91"/>
      <c r="GA117" s="91"/>
      <c r="GB117" s="91"/>
      <c r="GC117" s="91"/>
      <c r="GD117" s="91"/>
      <c r="GE117" s="91"/>
      <c r="GF117" s="91"/>
      <c r="GG117" s="91"/>
      <c r="GH117" s="91"/>
      <c r="GI117" s="91"/>
      <c r="GJ117" s="91"/>
      <c r="GK117" s="91"/>
      <c r="GL117" s="91"/>
      <c r="GM117" s="91"/>
      <c r="GN117" s="91"/>
      <c r="GO117" s="91"/>
      <c r="GP117" s="91"/>
      <c r="GQ117" s="91"/>
      <c r="GR117" s="91"/>
      <c r="GS117" s="91"/>
      <c r="GT117" s="91"/>
      <c r="GU117" s="91"/>
      <c r="GV117" s="91"/>
      <c r="GW117" s="91"/>
      <c r="GX117" s="91"/>
      <c r="GY117" s="91"/>
      <c r="GZ117" s="91"/>
      <c r="HA117" s="91"/>
      <c r="HB117" s="91"/>
      <c r="HC117" s="91"/>
      <c r="HD117" s="91"/>
      <c r="HE117" s="91"/>
      <c r="HF117" s="91"/>
      <c r="HG117" s="91"/>
      <c r="HH117" s="91"/>
      <c r="HI117" s="91"/>
      <c r="HJ117" s="91"/>
      <c r="HK117" s="91"/>
      <c r="HL117" s="91"/>
      <c r="HM117" s="91"/>
      <c r="HN117" s="91"/>
      <c r="HO117" s="91"/>
      <c r="HP117" s="91"/>
      <c r="HQ117" s="91"/>
      <c r="HR117" s="91"/>
      <c r="HS117" s="91"/>
      <c r="HT117" s="91"/>
      <c r="HU117" s="91"/>
      <c r="HV117" s="91"/>
      <c r="HW117" s="91"/>
      <c r="HX117" s="91"/>
      <c r="HY117" s="91"/>
      <c r="HZ117" s="91"/>
      <c r="IA117" s="91"/>
      <c r="IB117" s="91"/>
      <c r="IC117" s="91"/>
      <c r="ID117" s="91"/>
      <c r="IE117" s="91"/>
      <c r="IF117" s="91"/>
      <c r="IG117" s="91"/>
      <c r="IH117" s="91"/>
      <c r="II117" s="91"/>
      <c r="IJ117" s="91"/>
      <c r="IK117" s="91"/>
      <c r="IL117" s="91"/>
      <c r="IM117" s="91"/>
      <c r="IN117" s="91"/>
      <c r="IO117" s="91"/>
    </row>
    <row r="118" spans="3:249" x14ac:dyDescent="0.2">
      <c r="C118" s="1"/>
      <c r="D118" s="134">
        <v>5</v>
      </c>
      <c r="E118" s="242" t="s">
        <v>127</v>
      </c>
      <c r="F118" s="243"/>
      <c r="G118" s="243"/>
      <c r="H118" s="243"/>
      <c r="I118" s="243"/>
      <c r="J118" s="276" t="s">
        <v>128</v>
      </c>
      <c r="K118" s="1"/>
      <c r="L118" s="277">
        <f>+'[1]CMHC '!U9</f>
        <v>0.01</v>
      </c>
      <c r="M118" s="278"/>
      <c r="N118" s="82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1"/>
      <c r="AI118" s="91"/>
      <c r="AJ118" s="91"/>
      <c r="AK118" s="91"/>
      <c r="AL118" s="91"/>
      <c r="AM118" s="91"/>
      <c r="AN118" s="91"/>
      <c r="AO118" s="91"/>
      <c r="AP118" s="91"/>
      <c r="AQ118" s="91"/>
      <c r="AR118" s="91"/>
      <c r="AS118" s="91"/>
      <c r="AT118" s="91"/>
      <c r="AU118" s="91"/>
      <c r="AV118" s="91"/>
      <c r="AW118" s="91"/>
      <c r="AX118" s="91"/>
      <c r="AY118" s="91"/>
      <c r="AZ118" s="91"/>
      <c r="BA118" s="91"/>
      <c r="BB118" s="91"/>
      <c r="BC118" s="91"/>
      <c r="BD118" s="91"/>
      <c r="BE118" s="91"/>
      <c r="BF118" s="91"/>
      <c r="BG118" s="91"/>
      <c r="BH118" s="91"/>
      <c r="BI118" s="91"/>
      <c r="BJ118" s="91"/>
      <c r="BK118" s="91"/>
      <c r="BL118" s="91"/>
      <c r="BM118" s="91"/>
      <c r="BN118" s="91"/>
      <c r="BO118" s="91"/>
      <c r="BP118" s="91"/>
      <c r="BQ118" s="91"/>
      <c r="BR118" s="91"/>
      <c r="BS118" s="91"/>
      <c r="BT118" s="91"/>
      <c r="BU118" s="91"/>
      <c r="BV118" s="91"/>
      <c r="BW118" s="91"/>
      <c r="BX118" s="91"/>
      <c r="BY118" s="91"/>
      <c r="BZ118" s="91"/>
      <c r="CA118" s="91"/>
      <c r="CB118" s="91"/>
      <c r="CC118" s="91"/>
      <c r="CD118" s="91"/>
      <c r="CE118" s="91"/>
      <c r="CF118" s="91"/>
      <c r="CG118" s="91"/>
      <c r="CH118" s="91"/>
      <c r="CI118" s="91"/>
      <c r="CJ118" s="91"/>
      <c r="CK118" s="91"/>
      <c r="CL118" s="91"/>
      <c r="CM118" s="91"/>
      <c r="CN118" s="91"/>
      <c r="CO118" s="91"/>
      <c r="CP118" s="91"/>
      <c r="CQ118" s="91"/>
      <c r="CR118" s="91"/>
      <c r="CS118" s="91"/>
      <c r="CT118" s="91"/>
      <c r="CU118" s="91"/>
      <c r="CV118" s="91"/>
      <c r="CW118" s="91"/>
      <c r="CX118" s="91"/>
      <c r="CY118" s="91"/>
      <c r="CZ118" s="91"/>
      <c r="DA118" s="91"/>
      <c r="DB118" s="91"/>
      <c r="DC118" s="91"/>
      <c r="DD118" s="91"/>
      <c r="DE118" s="91"/>
      <c r="DF118" s="91"/>
      <c r="DG118" s="91"/>
      <c r="DH118" s="91"/>
      <c r="DI118" s="91"/>
      <c r="DJ118" s="91"/>
      <c r="DK118" s="91"/>
      <c r="DL118" s="91"/>
      <c r="DM118" s="91"/>
      <c r="DN118" s="91"/>
      <c r="DO118" s="91"/>
      <c r="DP118" s="91"/>
      <c r="DQ118" s="91"/>
      <c r="DR118" s="91"/>
      <c r="DS118" s="91"/>
      <c r="DT118" s="91"/>
      <c r="DU118" s="91"/>
      <c r="DV118" s="91"/>
      <c r="DW118" s="91"/>
      <c r="DX118" s="91"/>
      <c r="DY118" s="91"/>
      <c r="DZ118" s="91"/>
      <c r="EA118" s="91"/>
      <c r="EB118" s="91"/>
      <c r="EC118" s="91"/>
      <c r="ED118" s="91"/>
      <c r="EE118" s="91"/>
      <c r="EF118" s="91"/>
      <c r="EG118" s="91"/>
      <c r="EH118" s="91"/>
      <c r="EI118" s="91"/>
      <c r="EJ118" s="91"/>
      <c r="EK118" s="91"/>
      <c r="EL118" s="91"/>
      <c r="EM118" s="91"/>
      <c r="EN118" s="91"/>
      <c r="EO118" s="91"/>
      <c r="EP118" s="91"/>
      <c r="EQ118" s="91"/>
      <c r="ER118" s="91"/>
      <c r="ES118" s="91"/>
      <c r="ET118" s="91"/>
      <c r="EU118" s="91"/>
      <c r="EV118" s="91"/>
      <c r="EW118" s="91"/>
      <c r="EX118" s="91"/>
      <c r="EY118" s="91"/>
      <c r="EZ118" s="91"/>
      <c r="FA118" s="91"/>
      <c r="FB118" s="91"/>
      <c r="FC118" s="91"/>
      <c r="FD118" s="91"/>
      <c r="FE118" s="91"/>
      <c r="FF118" s="91"/>
      <c r="FG118" s="91"/>
      <c r="FH118" s="91"/>
      <c r="FI118" s="91"/>
      <c r="FJ118" s="91"/>
      <c r="FK118" s="91"/>
      <c r="FL118" s="91"/>
      <c r="FM118" s="91"/>
      <c r="FN118" s="91"/>
      <c r="FO118" s="91"/>
      <c r="FP118" s="91"/>
      <c r="FQ118" s="91"/>
      <c r="FR118" s="91"/>
      <c r="FS118" s="91"/>
      <c r="FT118" s="91"/>
      <c r="FU118" s="91"/>
      <c r="FV118" s="91"/>
      <c r="FW118" s="91"/>
      <c r="FX118" s="91"/>
      <c r="FY118" s="91"/>
      <c r="FZ118" s="91"/>
      <c r="GA118" s="91"/>
      <c r="GB118" s="91"/>
      <c r="GC118" s="91"/>
      <c r="GD118" s="91"/>
      <c r="GE118" s="91"/>
      <c r="GF118" s="91"/>
      <c r="GG118" s="91"/>
      <c r="GH118" s="91"/>
      <c r="GI118" s="91"/>
      <c r="GJ118" s="91"/>
      <c r="GK118" s="91"/>
      <c r="GL118" s="91"/>
      <c r="GM118" s="91"/>
      <c r="GN118" s="91"/>
      <c r="GO118" s="91"/>
      <c r="GP118" s="91"/>
      <c r="GQ118" s="91"/>
      <c r="GR118" s="91"/>
      <c r="GS118" s="91"/>
      <c r="GT118" s="91"/>
      <c r="GU118" s="91"/>
      <c r="GV118" s="91"/>
      <c r="GW118" s="91"/>
      <c r="GX118" s="91"/>
      <c r="GY118" s="91"/>
      <c r="GZ118" s="91"/>
      <c r="HA118" s="91"/>
      <c r="HB118" s="91"/>
      <c r="HC118" s="91"/>
      <c r="HD118" s="91"/>
      <c r="HE118" s="91"/>
      <c r="HF118" s="91"/>
      <c r="HG118" s="91"/>
      <c r="HH118" s="91"/>
      <c r="HI118" s="91"/>
      <c r="HJ118" s="91"/>
      <c r="HK118" s="91"/>
      <c r="HL118" s="91"/>
      <c r="HM118" s="91"/>
      <c r="HN118" s="91"/>
      <c r="HO118" s="91"/>
      <c r="HP118" s="91"/>
      <c r="HQ118" s="91"/>
      <c r="HR118" s="91"/>
      <c r="HS118" s="91"/>
      <c r="HT118" s="91"/>
      <c r="HU118" s="91"/>
      <c r="HV118" s="91"/>
      <c r="HW118" s="91"/>
      <c r="HX118" s="91"/>
      <c r="HY118" s="91"/>
      <c r="HZ118" s="91"/>
      <c r="IA118" s="91"/>
      <c r="IB118" s="91"/>
      <c r="IC118" s="91"/>
      <c r="ID118" s="91"/>
      <c r="IE118" s="91"/>
      <c r="IF118" s="91"/>
      <c r="IG118" s="91"/>
      <c r="IH118" s="91"/>
      <c r="II118" s="91"/>
      <c r="IJ118" s="91"/>
      <c r="IK118" s="91"/>
      <c r="IL118" s="91"/>
      <c r="IM118" s="91"/>
      <c r="IN118" s="91"/>
      <c r="IO118" s="91"/>
    </row>
    <row r="119" spans="3:249" x14ac:dyDescent="0.2">
      <c r="C119" s="1"/>
      <c r="E119" s="267" t="s">
        <v>119</v>
      </c>
      <c r="F119" s="279">
        <v>100</v>
      </c>
      <c r="G119" s="268">
        <f>+'[1]Typical Conv.Operating Expenses'!BX106</f>
        <v>203</v>
      </c>
      <c r="H119" s="116"/>
      <c r="I119" s="116"/>
      <c r="J119" s="280"/>
      <c r="K119" s="1"/>
      <c r="L119" s="281">
        <f>+K27*L118</f>
        <v>63329.340000000004</v>
      </c>
      <c r="M119" s="282" t="s">
        <v>129</v>
      </c>
      <c r="N119" s="82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  <c r="AH119" s="91"/>
      <c r="AI119" s="91"/>
      <c r="AJ119" s="91"/>
      <c r="AK119" s="91"/>
      <c r="AL119" s="91"/>
      <c r="AM119" s="91"/>
      <c r="AN119" s="91"/>
      <c r="AO119" s="91"/>
      <c r="AP119" s="91"/>
      <c r="AQ119" s="91"/>
      <c r="AR119" s="91"/>
      <c r="AS119" s="91"/>
      <c r="AT119" s="91"/>
      <c r="AU119" s="91"/>
      <c r="AV119" s="91"/>
      <c r="AW119" s="91"/>
      <c r="AX119" s="91"/>
      <c r="AY119" s="91"/>
      <c r="AZ119" s="91"/>
      <c r="BA119" s="91"/>
      <c r="BB119" s="91"/>
      <c r="BC119" s="91"/>
      <c r="BD119" s="91"/>
      <c r="BE119" s="91"/>
      <c r="BF119" s="91"/>
      <c r="BG119" s="91"/>
      <c r="BH119" s="91"/>
      <c r="BI119" s="91"/>
      <c r="BJ119" s="91"/>
      <c r="BK119" s="91"/>
      <c r="BL119" s="91"/>
      <c r="BM119" s="91"/>
      <c r="BN119" s="91"/>
      <c r="BO119" s="91"/>
      <c r="BP119" s="91"/>
      <c r="BQ119" s="91"/>
      <c r="BR119" s="91"/>
      <c r="BS119" s="91"/>
      <c r="BT119" s="91"/>
      <c r="BU119" s="91"/>
      <c r="BV119" s="91"/>
      <c r="BW119" s="91"/>
      <c r="BX119" s="91"/>
      <c r="BY119" s="91"/>
      <c r="BZ119" s="91"/>
      <c r="CA119" s="91"/>
      <c r="CB119" s="91"/>
      <c r="CC119" s="91"/>
      <c r="CD119" s="91"/>
      <c r="CE119" s="91"/>
      <c r="CF119" s="91"/>
      <c r="CG119" s="91"/>
      <c r="CH119" s="91"/>
      <c r="CI119" s="91"/>
      <c r="CJ119" s="91"/>
      <c r="CK119" s="91"/>
      <c r="CL119" s="91"/>
      <c r="CM119" s="91"/>
      <c r="CN119" s="91"/>
      <c r="CO119" s="91"/>
      <c r="CP119" s="91"/>
      <c r="CQ119" s="91"/>
      <c r="CR119" s="91"/>
      <c r="CS119" s="91"/>
      <c r="CT119" s="91"/>
      <c r="CU119" s="91"/>
      <c r="CV119" s="91"/>
      <c r="CW119" s="91"/>
      <c r="CX119" s="91"/>
      <c r="CY119" s="91"/>
      <c r="CZ119" s="91"/>
      <c r="DA119" s="91"/>
      <c r="DB119" s="91"/>
      <c r="DC119" s="91"/>
      <c r="DD119" s="91"/>
      <c r="DE119" s="91"/>
      <c r="DF119" s="91"/>
      <c r="DG119" s="91"/>
      <c r="DH119" s="91"/>
      <c r="DI119" s="91"/>
      <c r="DJ119" s="91"/>
      <c r="DK119" s="91"/>
      <c r="DL119" s="91"/>
      <c r="DM119" s="91"/>
      <c r="DN119" s="91"/>
      <c r="DO119" s="91"/>
      <c r="DP119" s="91"/>
      <c r="DQ119" s="91"/>
      <c r="DR119" s="91"/>
      <c r="DS119" s="91"/>
      <c r="DT119" s="91"/>
      <c r="DU119" s="91"/>
      <c r="DV119" s="91"/>
      <c r="DW119" s="91"/>
      <c r="DX119" s="91"/>
      <c r="DY119" s="91"/>
      <c r="DZ119" s="91"/>
      <c r="EA119" s="91"/>
      <c r="EB119" s="91"/>
      <c r="EC119" s="91"/>
      <c r="ED119" s="91"/>
      <c r="EE119" s="91"/>
      <c r="EF119" s="91"/>
      <c r="EG119" s="91"/>
      <c r="EH119" s="91"/>
      <c r="EI119" s="91"/>
      <c r="EJ119" s="91"/>
      <c r="EK119" s="91"/>
      <c r="EL119" s="91"/>
      <c r="EM119" s="91"/>
      <c r="EN119" s="91"/>
      <c r="EO119" s="91"/>
      <c r="EP119" s="91"/>
      <c r="EQ119" s="91"/>
      <c r="ER119" s="91"/>
      <c r="ES119" s="91"/>
      <c r="ET119" s="91"/>
      <c r="EU119" s="91"/>
      <c r="EV119" s="91"/>
      <c r="EW119" s="91"/>
      <c r="EX119" s="91"/>
      <c r="EY119" s="91"/>
      <c r="EZ119" s="91"/>
      <c r="FA119" s="91"/>
      <c r="FB119" s="91"/>
      <c r="FC119" s="91"/>
      <c r="FD119" s="91"/>
      <c r="FE119" s="91"/>
      <c r="FF119" s="91"/>
      <c r="FG119" s="91"/>
      <c r="FH119" s="91"/>
      <c r="FI119" s="91"/>
      <c r="FJ119" s="91"/>
      <c r="FK119" s="91"/>
      <c r="FL119" s="91"/>
      <c r="FM119" s="91"/>
      <c r="FN119" s="91"/>
      <c r="FO119" s="91"/>
      <c r="FP119" s="91"/>
      <c r="FQ119" s="91"/>
      <c r="FR119" s="91"/>
      <c r="FS119" s="91"/>
      <c r="FT119" s="91"/>
      <c r="FU119" s="91"/>
      <c r="FV119" s="91"/>
      <c r="FW119" s="91"/>
      <c r="FX119" s="91"/>
      <c r="FY119" s="91"/>
      <c r="FZ119" s="91"/>
      <c r="GA119" s="91"/>
      <c r="GB119" s="91"/>
      <c r="GC119" s="91"/>
      <c r="GD119" s="91"/>
      <c r="GE119" s="91"/>
      <c r="GF119" s="91"/>
      <c r="GG119" s="91"/>
      <c r="GH119" s="91"/>
      <c r="GI119" s="91"/>
      <c r="GJ119" s="91"/>
      <c r="GK119" s="91"/>
      <c r="GL119" s="91"/>
      <c r="GM119" s="91"/>
      <c r="GN119" s="91"/>
      <c r="GO119" s="91"/>
      <c r="GP119" s="91"/>
      <c r="GQ119" s="91"/>
      <c r="GR119" s="91"/>
      <c r="GS119" s="91"/>
      <c r="GT119" s="91"/>
      <c r="GU119" s="91"/>
      <c r="GV119" s="91"/>
      <c r="GW119" s="91"/>
      <c r="GX119" s="91"/>
      <c r="GY119" s="91"/>
      <c r="GZ119" s="91"/>
      <c r="HA119" s="91"/>
      <c r="HB119" s="91"/>
      <c r="HC119" s="91"/>
      <c r="HD119" s="91"/>
      <c r="HE119" s="91"/>
      <c r="HF119" s="91"/>
      <c r="HG119" s="91"/>
      <c r="HH119" s="91"/>
      <c r="HI119" s="91"/>
      <c r="HJ119" s="91"/>
      <c r="HK119" s="91"/>
      <c r="HL119" s="91"/>
      <c r="HM119" s="91"/>
      <c r="HN119" s="91"/>
      <c r="HO119" s="91"/>
      <c r="HP119" s="91"/>
      <c r="HQ119" s="91"/>
      <c r="HR119" s="91"/>
      <c r="HS119" s="91"/>
      <c r="HT119" s="91"/>
      <c r="HU119" s="91"/>
      <c r="HV119" s="91"/>
      <c r="HW119" s="91"/>
      <c r="HX119" s="91"/>
      <c r="HY119" s="91"/>
      <c r="HZ119" s="91"/>
      <c r="IA119" s="91"/>
      <c r="IB119" s="91"/>
      <c r="IC119" s="91"/>
      <c r="ID119" s="91"/>
      <c r="IE119" s="91"/>
      <c r="IF119" s="91"/>
      <c r="IG119" s="91"/>
      <c r="IH119" s="91"/>
      <c r="II119" s="91"/>
      <c r="IJ119" s="91"/>
      <c r="IK119" s="91"/>
      <c r="IL119" s="91"/>
      <c r="IM119" s="91"/>
      <c r="IN119" s="91"/>
      <c r="IO119" s="91"/>
    </row>
    <row r="120" spans="3:249" x14ac:dyDescent="0.2">
      <c r="C120" s="1"/>
      <c r="E120" s="267" t="s">
        <v>124</v>
      </c>
      <c r="F120" s="269">
        <f>+F119*$F$12</f>
        <v>17000</v>
      </c>
      <c r="G120" s="269">
        <f>+G119*$F$12</f>
        <v>34510</v>
      </c>
      <c r="H120" s="116"/>
      <c r="I120" s="116"/>
      <c r="J120" s="280"/>
      <c r="K120" s="1"/>
      <c r="L120" s="82"/>
      <c r="M120" s="278"/>
      <c r="N120" s="82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  <c r="AG120" s="91"/>
      <c r="AH120" s="91"/>
      <c r="AI120" s="91"/>
      <c r="AJ120" s="91"/>
      <c r="AK120" s="91"/>
      <c r="AL120" s="91"/>
      <c r="AM120" s="91"/>
      <c r="AN120" s="91"/>
      <c r="AO120" s="91"/>
      <c r="AP120" s="91"/>
      <c r="AQ120" s="91"/>
      <c r="AR120" s="91"/>
      <c r="AS120" s="91"/>
      <c r="AT120" s="91"/>
      <c r="AU120" s="91"/>
      <c r="AV120" s="91"/>
      <c r="AW120" s="91"/>
      <c r="AX120" s="91"/>
      <c r="AY120" s="91"/>
      <c r="AZ120" s="91"/>
      <c r="BA120" s="91"/>
      <c r="BB120" s="91"/>
      <c r="BC120" s="91"/>
      <c r="BD120" s="91"/>
      <c r="BE120" s="91"/>
      <c r="BF120" s="91"/>
      <c r="BG120" s="91"/>
      <c r="BH120" s="91"/>
      <c r="BI120" s="91"/>
      <c r="BJ120" s="91"/>
      <c r="BK120" s="91"/>
      <c r="BL120" s="91"/>
      <c r="BM120" s="91"/>
      <c r="BN120" s="91"/>
      <c r="BO120" s="91"/>
      <c r="BP120" s="91"/>
      <c r="BQ120" s="91"/>
      <c r="BR120" s="91"/>
      <c r="BS120" s="91"/>
      <c r="BT120" s="91"/>
      <c r="BU120" s="91"/>
      <c r="BV120" s="91"/>
      <c r="BW120" s="91"/>
      <c r="BX120" s="91"/>
      <c r="BY120" s="91"/>
      <c r="BZ120" s="91"/>
      <c r="CA120" s="91"/>
      <c r="CB120" s="91"/>
      <c r="CC120" s="91"/>
      <c r="CD120" s="91"/>
      <c r="CE120" s="91"/>
      <c r="CF120" s="91"/>
      <c r="CG120" s="91"/>
      <c r="CH120" s="91"/>
      <c r="CI120" s="91"/>
      <c r="CJ120" s="91"/>
      <c r="CK120" s="91"/>
      <c r="CL120" s="91"/>
      <c r="CM120" s="91"/>
      <c r="CN120" s="91"/>
      <c r="CO120" s="91"/>
      <c r="CP120" s="91"/>
      <c r="CQ120" s="91"/>
      <c r="CR120" s="91"/>
      <c r="CS120" s="91"/>
      <c r="CT120" s="91"/>
      <c r="CU120" s="91"/>
      <c r="CV120" s="91"/>
      <c r="CW120" s="91"/>
      <c r="CX120" s="91"/>
      <c r="CY120" s="91"/>
      <c r="CZ120" s="91"/>
      <c r="DA120" s="91"/>
      <c r="DB120" s="91"/>
      <c r="DC120" s="91"/>
      <c r="DD120" s="91"/>
      <c r="DE120" s="91"/>
      <c r="DF120" s="91"/>
      <c r="DG120" s="91"/>
      <c r="DH120" s="91"/>
      <c r="DI120" s="91"/>
      <c r="DJ120" s="91"/>
      <c r="DK120" s="91"/>
      <c r="DL120" s="91"/>
      <c r="DM120" s="91"/>
      <c r="DN120" s="91"/>
      <c r="DO120" s="91"/>
      <c r="DP120" s="91"/>
      <c r="DQ120" s="91"/>
      <c r="DR120" s="91"/>
      <c r="DS120" s="91"/>
      <c r="DT120" s="91"/>
      <c r="DU120" s="91"/>
      <c r="DV120" s="91"/>
      <c r="DW120" s="91"/>
      <c r="DX120" s="91"/>
      <c r="DY120" s="91"/>
      <c r="DZ120" s="91"/>
      <c r="EA120" s="91"/>
      <c r="EB120" s="91"/>
      <c r="EC120" s="91"/>
      <c r="ED120" s="91"/>
      <c r="EE120" s="91"/>
      <c r="EF120" s="91"/>
      <c r="EG120" s="91"/>
      <c r="EH120" s="91"/>
      <c r="EI120" s="91"/>
      <c r="EJ120" s="91"/>
      <c r="EK120" s="91"/>
      <c r="EL120" s="91"/>
      <c r="EM120" s="91"/>
      <c r="EN120" s="91"/>
      <c r="EO120" s="91"/>
      <c r="EP120" s="91"/>
      <c r="EQ120" s="91"/>
      <c r="ER120" s="91"/>
      <c r="ES120" s="91"/>
      <c r="ET120" s="91"/>
      <c r="EU120" s="91"/>
      <c r="EV120" s="91"/>
      <c r="EW120" s="91"/>
      <c r="EX120" s="91"/>
      <c r="EY120" s="91"/>
      <c r="EZ120" s="91"/>
      <c r="FA120" s="91"/>
      <c r="FB120" s="91"/>
      <c r="FC120" s="91"/>
      <c r="FD120" s="91"/>
      <c r="FE120" s="91"/>
      <c r="FF120" s="91"/>
      <c r="FG120" s="91"/>
      <c r="FH120" s="91"/>
      <c r="FI120" s="91"/>
      <c r="FJ120" s="91"/>
      <c r="FK120" s="91"/>
      <c r="FL120" s="91"/>
      <c r="FM120" s="91"/>
      <c r="FN120" s="91"/>
      <c r="FO120" s="91"/>
      <c r="FP120" s="91"/>
      <c r="FQ120" s="91"/>
      <c r="FR120" s="91"/>
      <c r="FS120" s="91"/>
      <c r="FT120" s="91"/>
      <c r="FU120" s="91"/>
      <c r="FV120" s="91"/>
      <c r="FW120" s="91"/>
      <c r="FX120" s="91"/>
      <c r="FY120" s="91"/>
      <c r="FZ120" s="91"/>
      <c r="GA120" s="91"/>
      <c r="GB120" s="91"/>
      <c r="GC120" s="91"/>
      <c r="GD120" s="91"/>
      <c r="GE120" s="91"/>
      <c r="GF120" s="91"/>
      <c r="GG120" s="91"/>
      <c r="GH120" s="91"/>
      <c r="GI120" s="91"/>
      <c r="GJ120" s="91"/>
      <c r="GK120" s="91"/>
      <c r="GL120" s="91"/>
      <c r="GM120" s="91"/>
      <c r="GN120" s="91"/>
      <c r="GO120" s="91"/>
      <c r="GP120" s="91"/>
      <c r="GQ120" s="91"/>
      <c r="GR120" s="91"/>
      <c r="GS120" s="91"/>
      <c r="GT120" s="91"/>
      <c r="GU120" s="91"/>
      <c r="GV120" s="91"/>
      <c r="GW120" s="91"/>
      <c r="GX120" s="91"/>
      <c r="GY120" s="91"/>
      <c r="GZ120" s="91"/>
      <c r="HA120" s="91"/>
      <c r="HB120" s="91"/>
      <c r="HC120" s="91"/>
      <c r="HD120" s="91"/>
      <c r="HE120" s="91"/>
      <c r="HF120" s="91"/>
      <c r="HG120" s="91"/>
      <c r="HH120" s="91"/>
      <c r="HI120" s="91"/>
      <c r="HJ120" s="91"/>
      <c r="HK120" s="91"/>
      <c r="HL120" s="91"/>
      <c r="HM120" s="91"/>
      <c r="HN120" s="91"/>
      <c r="HO120" s="91"/>
      <c r="HP120" s="91"/>
      <c r="HQ120" s="91"/>
      <c r="HR120" s="91"/>
      <c r="HS120" s="91"/>
      <c r="HT120" s="91"/>
      <c r="HU120" s="91"/>
      <c r="HV120" s="91"/>
      <c r="HW120" s="91"/>
      <c r="HX120" s="91"/>
      <c r="HY120" s="91"/>
      <c r="HZ120" s="91"/>
      <c r="IA120" s="91"/>
      <c r="IB120" s="91"/>
      <c r="IC120" s="91"/>
      <c r="ID120" s="91"/>
      <c r="IE120" s="91"/>
      <c r="IF120" s="91"/>
      <c r="IG120" s="91"/>
      <c r="IH120" s="91"/>
      <c r="II120" s="91"/>
      <c r="IJ120" s="91"/>
      <c r="IK120" s="91"/>
      <c r="IL120" s="91"/>
      <c r="IM120" s="91"/>
      <c r="IN120" s="91"/>
      <c r="IO120" s="91"/>
    </row>
    <row r="121" spans="3:249" x14ac:dyDescent="0.2">
      <c r="C121" s="1"/>
      <c r="E121" s="150" t="s">
        <v>125</v>
      </c>
      <c r="F121" s="270">
        <v>300</v>
      </c>
      <c r="G121" s="271"/>
      <c r="H121" s="271"/>
      <c r="I121" s="271"/>
      <c r="J121" s="280"/>
      <c r="K121" s="1"/>
      <c r="L121" s="283">
        <f>+K34</f>
        <v>51000</v>
      </c>
      <c r="M121" s="275" t="s">
        <v>118</v>
      </c>
      <c r="N121" s="82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1"/>
      <c r="AI121" s="91"/>
      <c r="AJ121" s="91"/>
      <c r="AK121" s="91"/>
      <c r="AL121" s="91"/>
      <c r="AM121" s="91"/>
      <c r="AN121" s="91"/>
      <c r="AO121" s="91"/>
      <c r="AP121" s="91"/>
      <c r="AQ121" s="91"/>
      <c r="AR121" s="91"/>
      <c r="AS121" s="91"/>
      <c r="AT121" s="91"/>
      <c r="AU121" s="91"/>
      <c r="AV121" s="91"/>
      <c r="AW121" s="91"/>
      <c r="AX121" s="91"/>
      <c r="AY121" s="91"/>
      <c r="AZ121" s="91"/>
      <c r="BA121" s="91"/>
      <c r="BB121" s="91"/>
      <c r="BC121" s="91"/>
      <c r="BD121" s="91"/>
      <c r="BE121" s="91"/>
      <c r="BF121" s="91"/>
      <c r="BG121" s="91"/>
      <c r="BH121" s="91"/>
      <c r="BI121" s="91"/>
      <c r="BJ121" s="91"/>
      <c r="BK121" s="91"/>
      <c r="BL121" s="91"/>
      <c r="BM121" s="91"/>
      <c r="BN121" s="91"/>
      <c r="BO121" s="91"/>
      <c r="BP121" s="91"/>
      <c r="BQ121" s="91"/>
      <c r="BR121" s="91"/>
      <c r="BS121" s="91"/>
      <c r="BT121" s="91"/>
      <c r="BU121" s="91"/>
      <c r="BV121" s="91"/>
      <c r="BW121" s="91"/>
      <c r="BX121" s="91"/>
      <c r="BY121" s="91"/>
      <c r="BZ121" s="91"/>
      <c r="CA121" s="91"/>
      <c r="CB121" s="91"/>
      <c r="CC121" s="91"/>
      <c r="CD121" s="91"/>
      <c r="CE121" s="91"/>
      <c r="CF121" s="91"/>
      <c r="CG121" s="91"/>
      <c r="CH121" s="91"/>
      <c r="CI121" s="91"/>
      <c r="CJ121" s="91"/>
      <c r="CK121" s="91"/>
      <c r="CL121" s="91"/>
      <c r="CM121" s="91"/>
      <c r="CN121" s="91"/>
      <c r="CO121" s="91"/>
      <c r="CP121" s="91"/>
      <c r="CQ121" s="91"/>
      <c r="CR121" s="91"/>
      <c r="CS121" s="91"/>
      <c r="CT121" s="91"/>
      <c r="CU121" s="91"/>
      <c r="CV121" s="91"/>
      <c r="CW121" s="91"/>
      <c r="CX121" s="91"/>
      <c r="CY121" s="91"/>
      <c r="CZ121" s="91"/>
      <c r="DA121" s="91"/>
      <c r="DB121" s="91"/>
      <c r="DC121" s="91"/>
      <c r="DD121" s="91"/>
      <c r="DE121" s="91"/>
      <c r="DF121" s="91"/>
      <c r="DG121" s="91"/>
      <c r="DH121" s="91"/>
      <c r="DI121" s="91"/>
      <c r="DJ121" s="91"/>
      <c r="DK121" s="91"/>
      <c r="DL121" s="91"/>
      <c r="DM121" s="91"/>
      <c r="DN121" s="91"/>
      <c r="DO121" s="91"/>
      <c r="DP121" s="91"/>
      <c r="DQ121" s="91"/>
      <c r="DR121" s="91"/>
      <c r="DS121" s="91"/>
      <c r="DT121" s="91"/>
      <c r="DU121" s="91"/>
      <c r="DV121" s="91"/>
      <c r="DW121" s="91"/>
      <c r="DX121" s="91"/>
      <c r="DY121" s="91"/>
      <c r="DZ121" s="91"/>
      <c r="EA121" s="91"/>
      <c r="EB121" s="91"/>
      <c r="EC121" s="91"/>
      <c r="ED121" s="91"/>
      <c r="EE121" s="91"/>
      <c r="EF121" s="91"/>
      <c r="EG121" s="91"/>
      <c r="EH121" s="91"/>
      <c r="EI121" s="91"/>
      <c r="EJ121" s="91"/>
      <c r="EK121" s="91"/>
      <c r="EL121" s="91"/>
      <c r="EM121" s="91"/>
      <c r="EN121" s="91"/>
      <c r="EO121" s="91"/>
      <c r="EP121" s="91"/>
      <c r="EQ121" s="91"/>
      <c r="ER121" s="91"/>
      <c r="ES121" s="91"/>
      <c r="ET121" s="91"/>
      <c r="EU121" s="91"/>
      <c r="EV121" s="91"/>
      <c r="EW121" s="91"/>
      <c r="EX121" s="91"/>
      <c r="EY121" s="91"/>
      <c r="EZ121" s="91"/>
      <c r="FA121" s="91"/>
      <c r="FB121" s="91"/>
      <c r="FC121" s="91"/>
      <c r="FD121" s="91"/>
      <c r="FE121" s="91"/>
      <c r="FF121" s="91"/>
      <c r="FG121" s="91"/>
      <c r="FH121" s="91"/>
      <c r="FI121" s="91"/>
      <c r="FJ121" s="91"/>
      <c r="FK121" s="91"/>
      <c r="FL121" s="91"/>
      <c r="FM121" s="91"/>
      <c r="FN121" s="91"/>
      <c r="FO121" s="91"/>
      <c r="FP121" s="91"/>
      <c r="FQ121" s="91"/>
      <c r="FR121" s="91"/>
      <c r="FS121" s="91"/>
      <c r="FT121" s="91"/>
      <c r="FU121" s="91"/>
      <c r="FV121" s="91"/>
      <c r="FW121" s="91"/>
      <c r="FX121" s="91"/>
      <c r="FY121" s="91"/>
      <c r="FZ121" s="91"/>
      <c r="GA121" s="91"/>
      <c r="GB121" s="91"/>
      <c r="GC121" s="91"/>
      <c r="GD121" s="91"/>
      <c r="GE121" s="91"/>
      <c r="GF121" s="91"/>
      <c r="GG121" s="91"/>
      <c r="GH121" s="91"/>
      <c r="GI121" s="91"/>
      <c r="GJ121" s="91"/>
      <c r="GK121" s="91"/>
      <c r="GL121" s="91"/>
      <c r="GM121" s="91"/>
      <c r="GN121" s="91"/>
      <c r="GO121" s="91"/>
      <c r="GP121" s="91"/>
      <c r="GQ121" s="91"/>
      <c r="GR121" s="91"/>
      <c r="GS121" s="91"/>
      <c r="GT121" s="91"/>
      <c r="GU121" s="91"/>
      <c r="GV121" s="91"/>
      <c r="GW121" s="91"/>
      <c r="GX121" s="91"/>
      <c r="GY121" s="91"/>
      <c r="GZ121" s="91"/>
      <c r="HA121" s="91"/>
      <c r="HB121" s="91"/>
      <c r="HC121" s="91"/>
      <c r="HD121" s="91"/>
      <c r="HE121" s="91"/>
      <c r="HF121" s="91"/>
      <c r="HG121" s="91"/>
      <c r="HH121" s="91"/>
      <c r="HI121" s="91"/>
      <c r="HJ121" s="91"/>
      <c r="HK121" s="91"/>
      <c r="HL121" s="91"/>
      <c r="HM121" s="91"/>
      <c r="HN121" s="91"/>
      <c r="HO121" s="91"/>
      <c r="HP121" s="91"/>
      <c r="HQ121" s="91"/>
      <c r="HR121" s="91"/>
      <c r="HS121" s="91"/>
      <c r="HT121" s="91"/>
      <c r="HU121" s="91"/>
      <c r="HV121" s="91"/>
      <c r="HW121" s="91"/>
      <c r="HX121" s="91"/>
      <c r="HY121" s="91"/>
      <c r="HZ121" s="91"/>
      <c r="IA121" s="91"/>
      <c r="IB121" s="91"/>
      <c r="IC121" s="91"/>
      <c r="ID121" s="91"/>
      <c r="IE121" s="91"/>
      <c r="IF121" s="91"/>
      <c r="IG121" s="91"/>
      <c r="IH121" s="91"/>
      <c r="II121" s="91"/>
      <c r="IJ121" s="91"/>
      <c r="IK121" s="91"/>
      <c r="IL121" s="91"/>
      <c r="IM121" s="91"/>
      <c r="IN121" s="91"/>
      <c r="IO121" s="91"/>
    </row>
    <row r="122" spans="3:249" ht="18" x14ac:dyDescent="0.2">
      <c r="C122" s="1"/>
      <c r="E122" s="131"/>
      <c r="F122" s="2"/>
      <c r="G122" s="43"/>
      <c r="H122" s="43"/>
      <c r="I122" s="43"/>
      <c r="J122" s="280"/>
      <c r="K122" s="1"/>
      <c r="L122" s="284">
        <f>+K35</f>
        <v>42500</v>
      </c>
      <c r="M122" s="278" t="s">
        <v>118</v>
      </c>
      <c r="N122" s="82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1"/>
      <c r="AI122" s="91"/>
      <c r="AJ122" s="91"/>
      <c r="AK122" s="91"/>
      <c r="AL122" s="91"/>
      <c r="AM122" s="91"/>
      <c r="AN122" s="91"/>
      <c r="AO122" s="91"/>
      <c r="AP122" s="91"/>
      <c r="AQ122" s="91"/>
      <c r="AR122" s="91"/>
      <c r="AS122" s="91"/>
      <c r="AT122" s="91"/>
      <c r="AU122" s="91"/>
      <c r="AV122" s="91"/>
      <c r="AW122" s="91"/>
      <c r="AX122" s="91"/>
      <c r="AY122" s="91"/>
      <c r="AZ122" s="91"/>
      <c r="BA122" s="91"/>
      <c r="BB122" s="91"/>
      <c r="BC122" s="91"/>
      <c r="BD122" s="91"/>
      <c r="BE122" s="91"/>
      <c r="BF122" s="91"/>
      <c r="BG122" s="91"/>
      <c r="BH122" s="91"/>
      <c r="BI122" s="91"/>
      <c r="BJ122" s="91"/>
      <c r="BK122" s="91"/>
      <c r="BL122" s="91"/>
      <c r="BM122" s="91"/>
      <c r="BN122" s="91"/>
      <c r="BO122" s="91"/>
      <c r="BP122" s="91"/>
      <c r="BQ122" s="91"/>
      <c r="BR122" s="91"/>
      <c r="BS122" s="91"/>
      <c r="BT122" s="91"/>
      <c r="BU122" s="91"/>
      <c r="BV122" s="91"/>
      <c r="BW122" s="91"/>
      <c r="BX122" s="91"/>
      <c r="BY122" s="91"/>
      <c r="BZ122" s="91"/>
      <c r="CA122" s="91"/>
      <c r="CB122" s="91"/>
      <c r="CC122" s="91"/>
      <c r="CD122" s="91"/>
      <c r="CE122" s="91"/>
      <c r="CF122" s="91"/>
      <c r="CG122" s="91"/>
      <c r="CH122" s="91"/>
      <c r="CI122" s="91"/>
      <c r="CJ122" s="91"/>
      <c r="CK122" s="91"/>
      <c r="CL122" s="91"/>
      <c r="CM122" s="91"/>
      <c r="CN122" s="91"/>
      <c r="CO122" s="91"/>
      <c r="CP122" s="91"/>
      <c r="CQ122" s="91"/>
      <c r="CR122" s="91"/>
      <c r="CS122" s="91"/>
      <c r="CT122" s="91"/>
      <c r="CU122" s="91"/>
      <c r="CV122" s="91"/>
      <c r="CW122" s="91"/>
      <c r="CX122" s="91"/>
      <c r="CY122" s="91"/>
      <c r="CZ122" s="91"/>
      <c r="DA122" s="91"/>
      <c r="DB122" s="91"/>
      <c r="DC122" s="91"/>
      <c r="DD122" s="91"/>
      <c r="DE122" s="91"/>
      <c r="DF122" s="91"/>
      <c r="DG122" s="91"/>
      <c r="DH122" s="91"/>
      <c r="DI122" s="91"/>
      <c r="DJ122" s="91"/>
      <c r="DK122" s="91"/>
      <c r="DL122" s="91"/>
      <c r="DM122" s="91"/>
      <c r="DN122" s="91"/>
      <c r="DO122" s="91"/>
      <c r="DP122" s="91"/>
      <c r="DQ122" s="91"/>
      <c r="DR122" s="91"/>
      <c r="DS122" s="91"/>
      <c r="DT122" s="91"/>
      <c r="DU122" s="91"/>
      <c r="DV122" s="91"/>
      <c r="DW122" s="91"/>
      <c r="DX122" s="91"/>
      <c r="DY122" s="91"/>
      <c r="DZ122" s="91"/>
      <c r="EA122" s="91"/>
      <c r="EB122" s="91"/>
      <c r="EC122" s="91"/>
      <c r="ED122" s="91"/>
      <c r="EE122" s="91"/>
      <c r="EF122" s="91"/>
      <c r="EG122" s="91"/>
      <c r="EH122" s="91"/>
      <c r="EI122" s="91"/>
      <c r="EJ122" s="91"/>
      <c r="EK122" s="91"/>
      <c r="EL122" s="91"/>
      <c r="EM122" s="91"/>
      <c r="EN122" s="91"/>
      <c r="EO122" s="91"/>
      <c r="EP122" s="91"/>
      <c r="EQ122" s="91"/>
      <c r="ER122" s="91"/>
      <c r="ES122" s="91"/>
      <c r="ET122" s="91"/>
      <c r="EU122" s="91"/>
      <c r="EV122" s="91"/>
      <c r="EW122" s="91"/>
      <c r="EX122" s="91"/>
      <c r="EY122" s="91"/>
      <c r="EZ122" s="91"/>
      <c r="FA122" s="91"/>
      <c r="FB122" s="91"/>
      <c r="FC122" s="91"/>
      <c r="FD122" s="91"/>
      <c r="FE122" s="91"/>
      <c r="FF122" s="91"/>
      <c r="FG122" s="91"/>
      <c r="FH122" s="91"/>
      <c r="FI122" s="91"/>
      <c r="FJ122" s="91"/>
      <c r="FK122" s="91"/>
      <c r="FL122" s="91"/>
      <c r="FM122" s="91"/>
      <c r="FN122" s="91"/>
      <c r="FO122" s="91"/>
      <c r="FP122" s="91"/>
      <c r="FQ122" s="91"/>
      <c r="FR122" s="91"/>
      <c r="FS122" s="91"/>
      <c r="FT122" s="91"/>
      <c r="FU122" s="91"/>
      <c r="FV122" s="91"/>
      <c r="FW122" s="91"/>
      <c r="FX122" s="91"/>
      <c r="FY122" s="91"/>
      <c r="FZ122" s="91"/>
      <c r="GA122" s="91"/>
      <c r="GB122" s="91"/>
      <c r="GC122" s="91"/>
      <c r="GD122" s="91"/>
      <c r="GE122" s="91"/>
      <c r="GF122" s="91"/>
      <c r="GG122" s="91"/>
      <c r="GH122" s="91"/>
      <c r="GI122" s="91"/>
      <c r="GJ122" s="91"/>
      <c r="GK122" s="91"/>
      <c r="GL122" s="91"/>
      <c r="GM122" s="91"/>
      <c r="GN122" s="91"/>
      <c r="GO122" s="91"/>
      <c r="GP122" s="91"/>
      <c r="GQ122" s="91"/>
      <c r="GR122" s="91"/>
      <c r="GS122" s="91"/>
      <c r="GT122" s="91"/>
      <c r="GU122" s="91"/>
      <c r="GV122" s="91"/>
      <c r="GW122" s="91"/>
      <c r="GX122" s="91"/>
      <c r="GY122" s="91"/>
      <c r="GZ122" s="91"/>
      <c r="HA122" s="91"/>
      <c r="HB122" s="91"/>
      <c r="HC122" s="91"/>
      <c r="HD122" s="91"/>
      <c r="HE122" s="91"/>
      <c r="HF122" s="91"/>
      <c r="HG122" s="91"/>
      <c r="HH122" s="91"/>
      <c r="HI122" s="91"/>
      <c r="HJ122" s="91"/>
      <c r="HK122" s="91"/>
      <c r="HL122" s="91"/>
      <c r="HM122" s="91"/>
      <c r="HN122" s="91"/>
      <c r="HO122" s="91"/>
      <c r="HP122" s="91"/>
      <c r="HQ122" s="91"/>
      <c r="HR122" s="91"/>
      <c r="HS122" s="91"/>
      <c r="HT122" s="91"/>
      <c r="HU122" s="91"/>
      <c r="HV122" s="91"/>
      <c r="HW122" s="91"/>
      <c r="HX122" s="91"/>
      <c r="HY122" s="91"/>
      <c r="HZ122" s="91"/>
      <c r="IA122" s="91"/>
      <c r="IB122" s="91"/>
      <c r="IC122" s="91"/>
      <c r="ID122" s="91"/>
      <c r="IE122" s="91"/>
      <c r="IF122" s="91"/>
      <c r="IG122" s="91"/>
      <c r="IH122" s="91"/>
      <c r="II122" s="91"/>
      <c r="IJ122" s="91"/>
      <c r="IK122" s="91"/>
      <c r="IL122" s="91"/>
      <c r="IM122" s="91"/>
      <c r="IN122" s="91"/>
      <c r="IO122" s="91"/>
    </row>
    <row r="123" spans="3:249" x14ac:dyDescent="0.2">
      <c r="C123" s="1"/>
      <c r="D123" s="134">
        <v>6</v>
      </c>
      <c r="E123" s="242" t="s">
        <v>130</v>
      </c>
      <c r="F123" s="243"/>
      <c r="G123" s="243"/>
      <c r="H123" s="243"/>
      <c r="I123" s="243"/>
      <c r="J123" s="285"/>
      <c r="K123" s="286"/>
      <c r="L123" s="287">
        <f>SUM(L121:L122)</f>
        <v>93500</v>
      </c>
      <c r="M123" s="282" t="s">
        <v>118</v>
      </c>
      <c r="N123" s="82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1"/>
      <c r="AI123" s="91"/>
      <c r="AJ123" s="91"/>
      <c r="AK123" s="91"/>
      <c r="AL123" s="91"/>
      <c r="AM123" s="91"/>
      <c r="AN123" s="91"/>
      <c r="AO123" s="91"/>
      <c r="AP123" s="91"/>
      <c r="AQ123" s="91"/>
      <c r="AR123" s="91"/>
      <c r="AS123" s="91"/>
      <c r="AT123" s="91"/>
      <c r="AU123" s="91"/>
      <c r="AV123" s="91"/>
      <c r="AW123" s="91"/>
      <c r="AX123" s="91"/>
      <c r="AY123" s="91"/>
      <c r="AZ123" s="91"/>
      <c r="BA123" s="91"/>
      <c r="BB123" s="91"/>
      <c r="BC123" s="91"/>
      <c r="BD123" s="91"/>
      <c r="BE123" s="91"/>
      <c r="BF123" s="91"/>
      <c r="BG123" s="91"/>
      <c r="BH123" s="91"/>
      <c r="BI123" s="91"/>
      <c r="BJ123" s="91"/>
      <c r="BK123" s="91"/>
      <c r="BL123" s="91"/>
      <c r="BM123" s="91"/>
      <c r="BN123" s="91"/>
      <c r="BO123" s="91"/>
      <c r="BP123" s="91"/>
      <c r="BQ123" s="91"/>
      <c r="BR123" s="91"/>
      <c r="BS123" s="91"/>
      <c r="BT123" s="91"/>
      <c r="BU123" s="91"/>
      <c r="BV123" s="91"/>
      <c r="BW123" s="91"/>
      <c r="BX123" s="91"/>
      <c r="BY123" s="91"/>
      <c r="BZ123" s="91"/>
      <c r="CA123" s="91"/>
      <c r="CB123" s="91"/>
      <c r="CC123" s="91"/>
      <c r="CD123" s="91"/>
      <c r="CE123" s="91"/>
      <c r="CF123" s="91"/>
      <c r="CG123" s="91"/>
      <c r="CH123" s="91"/>
      <c r="CI123" s="91"/>
      <c r="CJ123" s="91"/>
      <c r="CK123" s="91"/>
      <c r="CL123" s="91"/>
      <c r="CM123" s="91"/>
      <c r="CN123" s="91"/>
      <c r="CO123" s="91"/>
      <c r="CP123" s="91"/>
      <c r="CQ123" s="91"/>
      <c r="CR123" s="91"/>
      <c r="CS123" s="91"/>
      <c r="CT123" s="91"/>
      <c r="CU123" s="91"/>
      <c r="CV123" s="91"/>
      <c r="CW123" s="91"/>
      <c r="CX123" s="91"/>
      <c r="CY123" s="91"/>
      <c r="CZ123" s="91"/>
      <c r="DA123" s="91"/>
      <c r="DB123" s="91"/>
      <c r="DC123" s="91"/>
      <c r="DD123" s="91"/>
      <c r="DE123" s="91"/>
      <c r="DF123" s="91"/>
      <c r="DG123" s="91"/>
      <c r="DH123" s="91"/>
      <c r="DI123" s="91"/>
      <c r="DJ123" s="91"/>
      <c r="DK123" s="91"/>
      <c r="DL123" s="91"/>
      <c r="DM123" s="91"/>
      <c r="DN123" s="91"/>
      <c r="DO123" s="91"/>
      <c r="DP123" s="91"/>
      <c r="DQ123" s="91"/>
      <c r="DR123" s="91"/>
      <c r="DS123" s="91"/>
      <c r="DT123" s="91"/>
      <c r="DU123" s="91"/>
      <c r="DV123" s="91"/>
      <c r="DW123" s="91"/>
      <c r="DX123" s="91"/>
      <c r="DY123" s="91"/>
      <c r="DZ123" s="91"/>
      <c r="EA123" s="91"/>
      <c r="EB123" s="91"/>
      <c r="EC123" s="91"/>
      <c r="ED123" s="91"/>
      <c r="EE123" s="91"/>
      <c r="EF123" s="91"/>
      <c r="EG123" s="91"/>
      <c r="EH123" s="91"/>
      <c r="EI123" s="91"/>
      <c r="EJ123" s="91"/>
      <c r="EK123" s="91"/>
      <c r="EL123" s="91"/>
      <c r="EM123" s="91"/>
      <c r="EN123" s="91"/>
      <c r="EO123" s="91"/>
      <c r="EP123" s="91"/>
      <c r="EQ123" s="91"/>
      <c r="ER123" s="91"/>
      <c r="ES123" s="91"/>
      <c r="ET123" s="91"/>
      <c r="EU123" s="91"/>
      <c r="EV123" s="91"/>
      <c r="EW123" s="91"/>
      <c r="EX123" s="91"/>
      <c r="EY123" s="91"/>
      <c r="EZ123" s="91"/>
      <c r="FA123" s="91"/>
      <c r="FB123" s="91"/>
      <c r="FC123" s="91"/>
      <c r="FD123" s="91"/>
      <c r="FE123" s="91"/>
      <c r="FF123" s="91"/>
      <c r="FG123" s="91"/>
      <c r="FH123" s="91"/>
      <c r="FI123" s="91"/>
      <c r="FJ123" s="91"/>
      <c r="FK123" s="91"/>
      <c r="FL123" s="91"/>
      <c r="FM123" s="91"/>
      <c r="FN123" s="91"/>
      <c r="FO123" s="91"/>
      <c r="FP123" s="91"/>
      <c r="FQ123" s="91"/>
      <c r="FR123" s="91"/>
      <c r="FS123" s="91"/>
      <c r="FT123" s="91"/>
      <c r="FU123" s="91"/>
      <c r="FV123" s="91"/>
      <c r="FW123" s="91"/>
      <c r="FX123" s="91"/>
      <c r="FY123" s="91"/>
      <c r="FZ123" s="91"/>
      <c r="GA123" s="91"/>
      <c r="GB123" s="91"/>
      <c r="GC123" s="91"/>
      <c r="GD123" s="91"/>
      <c r="GE123" s="91"/>
      <c r="GF123" s="91"/>
      <c r="GG123" s="91"/>
      <c r="GH123" s="91"/>
      <c r="GI123" s="91"/>
      <c r="GJ123" s="91"/>
      <c r="GK123" s="91"/>
      <c r="GL123" s="91"/>
      <c r="GM123" s="91"/>
      <c r="GN123" s="91"/>
      <c r="GO123" s="91"/>
      <c r="GP123" s="91"/>
      <c r="GQ123" s="91"/>
      <c r="GR123" s="91"/>
      <c r="GS123" s="91"/>
      <c r="GT123" s="91"/>
      <c r="GU123" s="91"/>
      <c r="GV123" s="91"/>
      <c r="GW123" s="91"/>
      <c r="GX123" s="91"/>
      <c r="GY123" s="91"/>
      <c r="GZ123" s="91"/>
      <c r="HA123" s="91"/>
      <c r="HB123" s="91"/>
      <c r="HC123" s="91"/>
      <c r="HD123" s="91"/>
      <c r="HE123" s="91"/>
      <c r="HF123" s="91"/>
      <c r="HG123" s="91"/>
      <c r="HH123" s="91"/>
      <c r="HI123" s="91"/>
      <c r="HJ123" s="91"/>
      <c r="HK123" s="91"/>
      <c r="HL123" s="91"/>
      <c r="HM123" s="91"/>
      <c r="HN123" s="91"/>
      <c r="HO123" s="91"/>
      <c r="HP123" s="91"/>
      <c r="HQ123" s="91"/>
      <c r="HR123" s="91"/>
      <c r="HS123" s="91"/>
      <c r="HT123" s="91"/>
      <c r="HU123" s="91"/>
      <c r="HV123" s="91"/>
      <c r="HW123" s="91"/>
      <c r="HX123" s="91"/>
      <c r="HY123" s="91"/>
      <c r="HZ123" s="91"/>
      <c r="IA123" s="91"/>
      <c r="IB123" s="91"/>
      <c r="IC123" s="91"/>
      <c r="ID123" s="91"/>
      <c r="IE123" s="91"/>
      <c r="IF123" s="91"/>
      <c r="IG123" s="91"/>
      <c r="IH123" s="91"/>
      <c r="II123" s="91"/>
      <c r="IJ123" s="91"/>
      <c r="IK123" s="91"/>
      <c r="IL123" s="91"/>
      <c r="IM123" s="91"/>
      <c r="IN123" s="91"/>
      <c r="IO123" s="91"/>
    </row>
    <row r="124" spans="3:249" x14ac:dyDescent="0.2">
      <c r="C124" s="1"/>
      <c r="E124" s="267" t="s">
        <v>119</v>
      </c>
      <c r="F124" s="268">
        <f>+'[1]Typical Conv.Operating Expenses'!BW100</f>
        <v>28.59349593495935</v>
      </c>
      <c r="G124" s="268">
        <f>+'[1]Typical Conv.Operating Expenses'!BX100</f>
        <v>323</v>
      </c>
      <c r="H124" s="116"/>
      <c r="I124" s="145"/>
      <c r="J124" s="43"/>
      <c r="K124" s="1"/>
      <c r="L124" s="82"/>
      <c r="M124" s="82"/>
      <c r="N124" s="82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1"/>
      <c r="AI124" s="91"/>
      <c r="AJ124" s="91"/>
      <c r="AK124" s="91"/>
      <c r="AL124" s="91"/>
      <c r="AM124" s="91"/>
      <c r="AN124" s="91"/>
      <c r="AO124" s="91"/>
      <c r="AP124" s="91"/>
      <c r="AQ124" s="91"/>
      <c r="AR124" s="91"/>
      <c r="AS124" s="91"/>
      <c r="AT124" s="91"/>
      <c r="AU124" s="91"/>
      <c r="AV124" s="91"/>
      <c r="AW124" s="91"/>
      <c r="AX124" s="91"/>
      <c r="AY124" s="91"/>
      <c r="AZ124" s="91"/>
      <c r="BA124" s="91"/>
      <c r="BB124" s="91"/>
      <c r="BC124" s="91"/>
      <c r="BD124" s="91"/>
      <c r="BE124" s="91"/>
      <c r="BF124" s="91"/>
      <c r="BG124" s="91"/>
      <c r="BH124" s="91"/>
      <c r="BI124" s="91"/>
      <c r="BJ124" s="91"/>
      <c r="BK124" s="91"/>
      <c r="BL124" s="91"/>
      <c r="BM124" s="91"/>
      <c r="BN124" s="91"/>
      <c r="BO124" s="91"/>
      <c r="BP124" s="91"/>
      <c r="BQ124" s="91"/>
      <c r="BR124" s="91"/>
      <c r="BS124" s="91"/>
      <c r="BT124" s="91"/>
      <c r="BU124" s="91"/>
      <c r="BV124" s="91"/>
      <c r="BW124" s="91"/>
      <c r="BX124" s="91"/>
      <c r="BY124" s="91"/>
      <c r="BZ124" s="91"/>
      <c r="CA124" s="91"/>
      <c r="CB124" s="91"/>
      <c r="CC124" s="91"/>
      <c r="CD124" s="91"/>
      <c r="CE124" s="91"/>
      <c r="CF124" s="91"/>
      <c r="CG124" s="91"/>
      <c r="CH124" s="91"/>
      <c r="CI124" s="91"/>
      <c r="CJ124" s="91"/>
      <c r="CK124" s="91"/>
      <c r="CL124" s="91"/>
      <c r="CM124" s="91"/>
      <c r="CN124" s="91"/>
      <c r="CO124" s="91"/>
      <c r="CP124" s="91"/>
      <c r="CQ124" s="91"/>
      <c r="CR124" s="91"/>
      <c r="CS124" s="91"/>
      <c r="CT124" s="91"/>
      <c r="CU124" s="91"/>
      <c r="CV124" s="91"/>
      <c r="CW124" s="91"/>
      <c r="CX124" s="91"/>
      <c r="CY124" s="91"/>
      <c r="CZ124" s="91"/>
      <c r="DA124" s="91"/>
      <c r="DB124" s="91"/>
      <c r="DC124" s="91"/>
      <c r="DD124" s="91"/>
      <c r="DE124" s="91"/>
      <c r="DF124" s="91"/>
      <c r="DG124" s="91"/>
      <c r="DH124" s="91"/>
      <c r="DI124" s="91"/>
      <c r="DJ124" s="91"/>
      <c r="DK124" s="91"/>
      <c r="DL124" s="91"/>
      <c r="DM124" s="91"/>
      <c r="DN124" s="91"/>
      <c r="DO124" s="91"/>
      <c r="DP124" s="91"/>
      <c r="DQ124" s="91"/>
      <c r="DR124" s="91"/>
      <c r="DS124" s="91"/>
      <c r="DT124" s="91"/>
      <c r="DU124" s="91"/>
      <c r="DV124" s="91"/>
      <c r="DW124" s="91"/>
      <c r="DX124" s="91"/>
      <c r="DY124" s="91"/>
      <c r="DZ124" s="91"/>
      <c r="EA124" s="91"/>
      <c r="EB124" s="91"/>
      <c r="EC124" s="91"/>
      <c r="ED124" s="91"/>
      <c r="EE124" s="91"/>
      <c r="EF124" s="91"/>
      <c r="EG124" s="91"/>
      <c r="EH124" s="91"/>
      <c r="EI124" s="91"/>
      <c r="EJ124" s="91"/>
      <c r="EK124" s="91"/>
      <c r="EL124" s="91"/>
      <c r="EM124" s="91"/>
      <c r="EN124" s="91"/>
      <c r="EO124" s="91"/>
      <c r="EP124" s="91"/>
      <c r="EQ124" s="91"/>
      <c r="ER124" s="91"/>
      <c r="ES124" s="91"/>
      <c r="ET124" s="91"/>
      <c r="EU124" s="91"/>
      <c r="EV124" s="91"/>
      <c r="EW124" s="91"/>
      <c r="EX124" s="91"/>
      <c r="EY124" s="91"/>
      <c r="EZ124" s="91"/>
      <c r="FA124" s="91"/>
      <c r="FB124" s="91"/>
      <c r="FC124" s="91"/>
      <c r="FD124" s="91"/>
      <c r="FE124" s="91"/>
      <c r="FF124" s="91"/>
      <c r="FG124" s="91"/>
      <c r="FH124" s="91"/>
      <c r="FI124" s="91"/>
      <c r="FJ124" s="91"/>
      <c r="FK124" s="91"/>
      <c r="FL124" s="91"/>
      <c r="FM124" s="91"/>
      <c r="FN124" s="91"/>
      <c r="FO124" s="91"/>
      <c r="FP124" s="91"/>
      <c r="FQ124" s="91"/>
      <c r="FR124" s="91"/>
      <c r="FS124" s="91"/>
      <c r="FT124" s="91"/>
      <c r="FU124" s="91"/>
      <c r="FV124" s="91"/>
      <c r="FW124" s="91"/>
      <c r="FX124" s="91"/>
      <c r="FY124" s="91"/>
      <c r="FZ124" s="91"/>
      <c r="GA124" s="91"/>
      <c r="GB124" s="91"/>
      <c r="GC124" s="91"/>
      <c r="GD124" s="91"/>
      <c r="GE124" s="91"/>
      <c r="GF124" s="91"/>
      <c r="GG124" s="91"/>
      <c r="GH124" s="91"/>
      <c r="GI124" s="91"/>
      <c r="GJ124" s="91"/>
      <c r="GK124" s="91"/>
      <c r="GL124" s="91"/>
      <c r="GM124" s="91"/>
      <c r="GN124" s="91"/>
      <c r="GO124" s="91"/>
      <c r="GP124" s="91"/>
      <c r="GQ124" s="91"/>
      <c r="GR124" s="91"/>
      <c r="GS124" s="91"/>
      <c r="GT124" s="91"/>
      <c r="GU124" s="91"/>
      <c r="GV124" s="91"/>
      <c r="GW124" s="91"/>
      <c r="GX124" s="91"/>
      <c r="GY124" s="91"/>
      <c r="GZ124" s="91"/>
      <c r="HA124" s="91"/>
      <c r="HB124" s="91"/>
      <c r="HC124" s="91"/>
      <c r="HD124" s="91"/>
      <c r="HE124" s="91"/>
      <c r="HF124" s="91"/>
      <c r="HG124" s="91"/>
      <c r="HH124" s="91"/>
      <c r="HI124" s="91"/>
      <c r="HJ124" s="91"/>
      <c r="HK124" s="91"/>
      <c r="HL124" s="91"/>
      <c r="HM124" s="91"/>
      <c r="HN124" s="91"/>
      <c r="HO124" s="91"/>
      <c r="HP124" s="91"/>
      <c r="HQ124" s="91"/>
      <c r="HR124" s="91"/>
      <c r="HS124" s="91"/>
      <c r="HT124" s="91"/>
      <c r="HU124" s="91"/>
      <c r="HV124" s="91"/>
      <c r="HW124" s="91"/>
      <c r="HX124" s="91"/>
      <c r="HY124" s="91"/>
      <c r="HZ124" s="91"/>
      <c r="IA124" s="91"/>
      <c r="IB124" s="91"/>
      <c r="IC124" s="91"/>
      <c r="ID124" s="91"/>
      <c r="IE124" s="91"/>
      <c r="IF124" s="91"/>
      <c r="IG124" s="91"/>
      <c r="IH124" s="91"/>
      <c r="II124" s="91"/>
      <c r="IJ124" s="91"/>
      <c r="IK124" s="91"/>
      <c r="IL124" s="91"/>
      <c r="IM124" s="91"/>
      <c r="IN124" s="91"/>
      <c r="IO124" s="91"/>
    </row>
    <row r="125" spans="3:249" x14ac:dyDescent="0.2">
      <c r="C125" s="1"/>
      <c r="E125" s="267" t="s">
        <v>124</v>
      </c>
      <c r="F125" s="269">
        <f>+F124*$F$12</f>
        <v>4860.8943089430895</v>
      </c>
      <c r="G125" s="269">
        <f>+G124*$F$12</f>
        <v>54910</v>
      </c>
      <c r="H125" s="116"/>
      <c r="I125" s="145"/>
      <c r="J125" s="43"/>
      <c r="K125" s="1"/>
      <c r="L125" s="82"/>
      <c r="M125" s="82"/>
      <c r="N125" s="82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91"/>
      <c r="AI125" s="91"/>
      <c r="AJ125" s="91"/>
      <c r="AK125" s="91"/>
      <c r="AL125" s="91"/>
      <c r="AM125" s="91"/>
      <c r="AN125" s="91"/>
      <c r="AO125" s="91"/>
      <c r="AP125" s="91"/>
      <c r="AQ125" s="91"/>
      <c r="AR125" s="91"/>
      <c r="AS125" s="91"/>
      <c r="AT125" s="91"/>
      <c r="AU125" s="91"/>
      <c r="AV125" s="91"/>
      <c r="AW125" s="91"/>
      <c r="AX125" s="91"/>
      <c r="AY125" s="91"/>
      <c r="AZ125" s="91"/>
      <c r="BA125" s="91"/>
      <c r="BB125" s="91"/>
      <c r="BC125" s="91"/>
      <c r="BD125" s="91"/>
      <c r="BE125" s="91"/>
      <c r="BF125" s="91"/>
      <c r="BG125" s="91"/>
      <c r="BH125" s="91"/>
      <c r="BI125" s="91"/>
      <c r="BJ125" s="91"/>
      <c r="BK125" s="91"/>
      <c r="BL125" s="91"/>
      <c r="BM125" s="91"/>
      <c r="BN125" s="91"/>
      <c r="BO125" s="91"/>
      <c r="BP125" s="91"/>
      <c r="BQ125" s="91"/>
      <c r="BR125" s="91"/>
      <c r="BS125" s="91"/>
      <c r="BT125" s="91"/>
      <c r="BU125" s="91"/>
      <c r="BV125" s="91"/>
      <c r="BW125" s="91"/>
      <c r="BX125" s="91"/>
      <c r="BY125" s="91"/>
      <c r="BZ125" s="91"/>
      <c r="CA125" s="91"/>
      <c r="CB125" s="91"/>
      <c r="CC125" s="91"/>
      <c r="CD125" s="91"/>
      <c r="CE125" s="91"/>
      <c r="CF125" s="91"/>
      <c r="CG125" s="91"/>
      <c r="CH125" s="91"/>
      <c r="CI125" s="91"/>
      <c r="CJ125" s="91"/>
      <c r="CK125" s="91"/>
      <c r="CL125" s="91"/>
      <c r="CM125" s="91"/>
      <c r="CN125" s="91"/>
      <c r="CO125" s="91"/>
      <c r="CP125" s="91"/>
      <c r="CQ125" s="91"/>
      <c r="CR125" s="91"/>
      <c r="CS125" s="91"/>
      <c r="CT125" s="91"/>
      <c r="CU125" s="91"/>
      <c r="CV125" s="91"/>
      <c r="CW125" s="91"/>
      <c r="CX125" s="91"/>
      <c r="CY125" s="91"/>
      <c r="CZ125" s="91"/>
      <c r="DA125" s="91"/>
      <c r="DB125" s="91"/>
      <c r="DC125" s="91"/>
      <c r="DD125" s="91"/>
      <c r="DE125" s="91"/>
      <c r="DF125" s="91"/>
      <c r="DG125" s="91"/>
      <c r="DH125" s="91"/>
      <c r="DI125" s="91"/>
      <c r="DJ125" s="91"/>
      <c r="DK125" s="91"/>
      <c r="DL125" s="91"/>
      <c r="DM125" s="91"/>
      <c r="DN125" s="91"/>
      <c r="DO125" s="91"/>
      <c r="DP125" s="91"/>
      <c r="DQ125" s="91"/>
      <c r="DR125" s="91"/>
      <c r="DS125" s="91"/>
      <c r="DT125" s="91"/>
      <c r="DU125" s="91"/>
      <c r="DV125" s="91"/>
      <c r="DW125" s="91"/>
      <c r="DX125" s="91"/>
      <c r="DY125" s="91"/>
      <c r="DZ125" s="91"/>
      <c r="EA125" s="91"/>
      <c r="EB125" s="91"/>
      <c r="EC125" s="91"/>
      <c r="ED125" s="91"/>
      <c r="EE125" s="91"/>
      <c r="EF125" s="91"/>
      <c r="EG125" s="91"/>
      <c r="EH125" s="91"/>
      <c r="EI125" s="91"/>
      <c r="EJ125" s="91"/>
      <c r="EK125" s="91"/>
      <c r="EL125" s="91"/>
      <c r="EM125" s="91"/>
      <c r="EN125" s="91"/>
      <c r="EO125" s="91"/>
      <c r="EP125" s="91"/>
      <c r="EQ125" s="91"/>
      <c r="ER125" s="91"/>
      <c r="ES125" s="91"/>
      <c r="ET125" s="91"/>
      <c r="EU125" s="91"/>
      <c r="EV125" s="91"/>
      <c r="EW125" s="91"/>
      <c r="EX125" s="91"/>
      <c r="EY125" s="91"/>
      <c r="EZ125" s="91"/>
      <c r="FA125" s="91"/>
      <c r="FB125" s="91"/>
      <c r="FC125" s="91"/>
      <c r="FD125" s="91"/>
      <c r="FE125" s="91"/>
      <c r="FF125" s="91"/>
      <c r="FG125" s="91"/>
      <c r="FH125" s="91"/>
      <c r="FI125" s="91"/>
      <c r="FJ125" s="91"/>
      <c r="FK125" s="91"/>
      <c r="FL125" s="91"/>
      <c r="FM125" s="91"/>
      <c r="FN125" s="91"/>
      <c r="FO125" s="91"/>
      <c r="FP125" s="91"/>
      <c r="FQ125" s="91"/>
      <c r="FR125" s="91"/>
      <c r="FS125" s="91"/>
      <c r="FT125" s="91"/>
      <c r="FU125" s="91"/>
      <c r="FV125" s="91"/>
      <c r="FW125" s="91"/>
      <c r="FX125" s="91"/>
      <c r="FY125" s="91"/>
      <c r="FZ125" s="91"/>
      <c r="GA125" s="91"/>
      <c r="GB125" s="91"/>
      <c r="GC125" s="91"/>
      <c r="GD125" s="91"/>
      <c r="GE125" s="91"/>
      <c r="GF125" s="91"/>
      <c r="GG125" s="91"/>
      <c r="GH125" s="91"/>
      <c r="GI125" s="91"/>
      <c r="GJ125" s="91"/>
      <c r="GK125" s="91"/>
      <c r="GL125" s="91"/>
      <c r="GM125" s="91"/>
      <c r="GN125" s="91"/>
      <c r="GO125" s="91"/>
      <c r="GP125" s="91"/>
      <c r="GQ125" s="91"/>
      <c r="GR125" s="91"/>
      <c r="GS125" s="91"/>
      <c r="GT125" s="91"/>
      <c r="GU125" s="91"/>
      <c r="GV125" s="91"/>
      <c r="GW125" s="91"/>
      <c r="GX125" s="91"/>
      <c r="GY125" s="91"/>
      <c r="GZ125" s="91"/>
      <c r="HA125" s="91"/>
      <c r="HB125" s="91"/>
      <c r="HC125" s="91"/>
      <c r="HD125" s="91"/>
      <c r="HE125" s="91"/>
      <c r="HF125" s="91"/>
      <c r="HG125" s="91"/>
      <c r="HH125" s="91"/>
      <c r="HI125" s="91"/>
      <c r="HJ125" s="91"/>
      <c r="HK125" s="91"/>
      <c r="HL125" s="91"/>
      <c r="HM125" s="91"/>
      <c r="HN125" s="91"/>
      <c r="HO125" s="91"/>
      <c r="HP125" s="91"/>
      <c r="HQ125" s="91"/>
      <c r="HR125" s="91"/>
      <c r="HS125" s="91"/>
      <c r="HT125" s="91"/>
      <c r="HU125" s="91"/>
      <c r="HV125" s="91"/>
      <c r="HW125" s="91"/>
      <c r="HX125" s="91"/>
      <c r="HY125" s="91"/>
      <c r="HZ125" s="91"/>
      <c r="IA125" s="91"/>
      <c r="IB125" s="91"/>
      <c r="IC125" s="91"/>
      <c r="ID125" s="91"/>
      <c r="IE125" s="91"/>
      <c r="IF125" s="91"/>
      <c r="IG125" s="91"/>
      <c r="IH125" s="91"/>
      <c r="II125" s="91"/>
      <c r="IJ125" s="91"/>
      <c r="IK125" s="91"/>
      <c r="IL125" s="91"/>
      <c r="IM125" s="91"/>
      <c r="IN125" s="91"/>
      <c r="IO125" s="91"/>
    </row>
    <row r="126" spans="3:249" x14ac:dyDescent="0.2">
      <c r="C126" s="1"/>
      <c r="E126" s="150" t="s">
        <v>125</v>
      </c>
      <c r="F126" s="270">
        <v>250</v>
      </c>
      <c r="G126" s="271"/>
      <c r="H126" s="271"/>
      <c r="I126" s="151"/>
      <c r="J126" s="43"/>
      <c r="K126" s="1"/>
      <c r="L126" s="82"/>
      <c r="M126" s="82"/>
      <c r="N126" s="82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1"/>
      <c r="AI126" s="91"/>
      <c r="AJ126" s="91"/>
      <c r="AK126" s="91"/>
      <c r="AL126" s="91"/>
      <c r="AM126" s="91"/>
      <c r="AN126" s="91"/>
      <c r="AO126" s="91"/>
      <c r="AP126" s="91"/>
      <c r="AQ126" s="91"/>
      <c r="AR126" s="91"/>
      <c r="AS126" s="91"/>
      <c r="AT126" s="91"/>
      <c r="AU126" s="91"/>
      <c r="AV126" s="91"/>
      <c r="AW126" s="91"/>
      <c r="AX126" s="91"/>
      <c r="AY126" s="91"/>
      <c r="AZ126" s="91"/>
      <c r="BA126" s="91"/>
      <c r="BB126" s="91"/>
      <c r="BC126" s="91"/>
      <c r="BD126" s="91"/>
      <c r="BE126" s="91"/>
      <c r="BF126" s="91"/>
      <c r="BG126" s="91"/>
      <c r="BH126" s="91"/>
      <c r="BI126" s="91"/>
      <c r="BJ126" s="91"/>
      <c r="BK126" s="91"/>
      <c r="BL126" s="91"/>
      <c r="BM126" s="91"/>
      <c r="BN126" s="91"/>
      <c r="BO126" s="91"/>
      <c r="BP126" s="91"/>
      <c r="BQ126" s="91"/>
      <c r="BR126" s="91"/>
      <c r="BS126" s="91"/>
      <c r="BT126" s="91"/>
      <c r="BU126" s="91"/>
      <c r="BV126" s="91"/>
      <c r="BW126" s="91"/>
      <c r="BX126" s="91"/>
      <c r="BY126" s="91"/>
      <c r="BZ126" s="91"/>
      <c r="CA126" s="91"/>
      <c r="CB126" s="91"/>
      <c r="CC126" s="91"/>
      <c r="CD126" s="91"/>
      <c r="CE126" s="91"/>
      <c r="CF126" s="91"/>
      <c r="CG126" s="91"/>
      <c r="CH126" s="91"/>
      <c r="CI126" s="91"/>
      <c r="CJ126" s="91"/>
      <c r="CK126" s="91"/>
      <c r="CL126" s="91"/>
      <c r="CM126" s="91"/>
      <c r="CN126" s="91"/>
      <c r="CO126" s="91"/>
      <c r="CP126" s="91"/>
      <c r="CQ126" s="91"/>
      <c r="CR126" s="91"/>
      <c r="CS126" s="91"/>
      <c r="CT126" s="91"/>
      <c r="CU126" s="91"/>
      <c r="CV126" s="91"/>
      <c r="CW126" s="91"/>
      <c r="CX126" s="91"/>
      <c r="CY126" s="91"/>
      <c r="CZ126" s="91"/>
      <c r="DA126" s="91"/>
      <c r="DB126" s="91"/>
      <c r="DC126" s="91"/>
      <c r="DD126" s="91"/>
      <c r="DE126" s="91"/>
      <c r="DF126" s="91"/>
      <c r="DG126" s="91"/>
      <c r="DH126" s="91"/>
      <c r="DI126" s="91"/>
      <c r="DJ126" s="91"/>
      <c r="DK126" s="91"/>
      <c r="DL126" s="91"/>
      <c r="DM126" s="91"/>
      <c r="DN126" s="91"/>
      <c r="DO126" s="91"/>
      <c r="DP126" s="91"/>
      <c r="DQ126" s="91"/>
      <c r="DR126" s="91"/>
      <c r="DS126" s="91"/>
      <c r="DT126" s="91"/>
      <c r="DU126" s="91"/>
      <c r="DV126" s="91"/>
      <c r="DW126" s="91"/>
      <c r="DX126" s="91"/>
      <c r="DY126" s="91"/>
      <c r="DZ126" s="91"/>
      <c r="EA126" s="91"/>
      <c r="EB126" s="91"/>
      <c r="EC126" s="91"/>
      <c r="ED126" s="91"/>
      <c r="EE126" s="91"/>
      <c r="EF126" s="91"/>
      <c r="EG126" s="91"/>
      <c r="EH126" s="91"/>
      <c r="EI126" s="91"/>
      <c r="EJ126" s="91"/>
      <c r="EK126" s="91"/>
      <c r="EL126" s="91"/>
      <c r="EM126" s="91"/>
      <c r="EN126" s="91"/>
      <c r="EO126" s="91"/>
      <c r="EP126" s="91"/>
      <c r="EQ126" s="91"/>
      <c r="ER126" s="91"/>
      <c r="ES126" s="91"/>
      <c r="ET126" s="91"/>
      <c r="EU126" s="91"/>
      <c r="EV126" s="91"/>
      <c r="EW126" s="91"/>
      <c r="EX126" s="91"/>
      <c r="EY126" s="91"/>
      <c r="EZ126" s="91"/>
      <c r="FA126" s="91"/>
      <c r="FB126" s="91"/>
      <c r="FC126" s="91"/>
      <c r="FD126" s="91"/>
      <c r="FE126" s="91"/>
      <c r="FF126" s="91"/>
      <c r="FG126" s="91"/>
      <c r="FH126" s="91"/>
      <c r="FI126" s="91"/>
      <c r="FJ126" s="91"/>
      <c r="FK126" s="91"/>
      <c r="FL126" s="91"/>
      <c r="FM126" s="91"/>
      <c r="FN126" s="91"/>
      <c r="FO126" s="91"/>
      <c r="FP126" s="91"/>
      <c r="FQ126" s="91"/>
      <c r="FR126" s="91"/>
      <c r="FS126" s="91"/>
      <c r="FT126" s="91"/>
      <c r="FU126" s="91"/>
      <c r="FV126" s="91"/>
      <c r="FW126" s="91"/>
      <c r="FX126" s="91"/>
      <c r="FY126" s="91"/>
      <c r="FZ126" s="91"/>
      <c r="GA126" s="91"/>
      <c r="GB126" s="91"/>
      <c r="GC126" s="91"/>
      <c r="GD126" s="91"/>
      <c r="GE126" s="91"/>
      <c r="GF126" s="91"/>
      <c r="GG126" s="91"/>
      <c r="GH126" s="91"/>
      <c r="GI126" s="91"/>
      <c r="GJ126" s="91"/>
      <c r="GK126" s="91"/>
      <c r="GL126" s="91"/>
      <c r="GM126" s="91"/>
      <c r="GN126" s="91"/>
      <c r="GO126" s="91"/>
      <c r="GP126" s="91"/>
      <c r="GQ126" s="91"/>
      <c r="GR126" s="91"/>
      <c r="GS126" s="91"/>
      <c r="GT126" s="91"/>
      <c r="GU126" s="91"/>
      <c r="GV126" s="91"/>
      <c r="GW126" s="91"/>
      <c r="GX126" s="91"/>
      <c r="GY126" s="91"/>
      <c r="GZ126" s="91"/>
      <c r="HA126" s="91"/>
      <c r="HB126" s="91"/>
      <c r="HC126" s="91"/>
      <c r="HD126" s="91"/>
      <c r="HE126" s="91"/>
      <c r="HF126" s="91"/>
      <c r="HG126" s="91"/>
      <c r="HH126" s="91"/>
      <c r="HI126" s="91"/>
      <c r="HJ126" s="91"/>
      <c r="HK126" s="91"/>
      <c r="HL126" s="91"/>
      <c r="HM126" s="91"/>
      <c r="HN126" s="91"/>
      <c r="HO126" s="91"/>
      <c r="HP126" s="91"/>
      <c r="HQ126" s="91"/>
      <c r="HR126" s="91"/>
      <c r="HS126" s="91"/>
      <c r="HT126" s="91"/>
      <c r="HU126" s="91"/>
      <c r="HV126" s="91"/>
      <c r="HW126" s="91"/>
      <c r="HX126" s="91"/>
      <c r="HY126" s="91"/>
      <c r="HZ126" s="91"/>
      <c r="IA126" s="91"/>
      <c r="IB126" s="91"/>
      <c r="IC126" s="91"/>
      <c r="ID126" s="91"/>
      <c r="IE126" s="91"/>
      <c r="IF126" s="91"/>
      <c r="IG126" s="91"/>
      <c r="IH126" s="91"/>
      <c r="II126" s="91"/>
      <c r="IJ126" s="91"/>
      <c r="IK126" s="91"/>
      <c r="IL126" s="91"/>
      <c r="IM126" s="91"/>
      <c r="IN126" s="91"/>
      <c r="IO126" s="91"/>
    </row>
    <row r="127" spans="3:249" x14ac:dyDescent="0.2">
      <c r="C127" s="1"/>
      <c r="F127" s="116"/>
      <c r="G127" s="116"/>
      <c r="H127" s="116"/>
      <c r="I127" s="116"/>
      <c r="J127" s="43"/>
      <c r="K127" s="1"/>
      <c r="L127" s="82"/>
      <c r="M127" s="82"/>
      <c r="N127" s="82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1"/>
      <c r="AI127" s="91"/>
      <c r="AJ127" s="91"/>
      <c r="AK127" s="91"/>
      <c r="AL127" s="91"/>
      <c r="AM127" s="91"/>
      <c r="AN127" s="91"/>
      <c r="AO127" s="91"/>
      <c r="AP127" s="91"/>
      <c r="AQ127" s="91"/>
      <c r="AR127" s="91"/>
      <c r="AS127" s="91"/>
      <c r="AT127" s="91"/>
      <c r="AU127" s="91"/>
      <c r="AV127" s="91"/>
      <c r="AW127" s="91"/>
      <c r="AX127" s="91"/>
      <c r="AY127" s="91"/>
      <c r="AZ127" s="91"/>
      <c r="BA127" s="91"/>
      <c r="BB127" s="91"/>
      <c r="BC127" s="91"/>
      <c r="BD127" s="91"/>
      <c r="BE127" s="91"/>
      <c r="BF127" s="91"/>
      <c r="BG127" s="91"/>
      <c r="BH127" s="91"/>
      <c r="BI127" s="91"/>
      <c r="BJ127" s="91"/>
      <c r="BK127" s="91"/>
      <c r="BL127" s="91"/>
      <c r="BM127" s="91"/>
      <c r="BN127" s="91"/>
      <c r="BO127" s="91"/>
      <c r="BP127" s="91"/>
      <c r="BQ127" s="91"/>
      <c r="BR127" s="91"/>
      <c r="BS127" s="91"/>
      <c r="BT127" s="91"/>
      <c r="BU127" s="91"/>
      <c r="BV127" s="91"/>
      <c r="BW127" s="91"/>
      <c r="BX127" s="91"/>
      <c r="BY127" s="91"/>
      <c r="BZ127" s="91"/>
      <c r="CA127" s="91"/>
      <c r="CB127" s="91"/>
      <c r="CC127" s="91"/>
      <c r="CD127" s="91"/>
      <c r="CE127" s="91"/>
      <c r="CF127" s="91"/>
      <c r="CG127" s="91"/>
      <c r="CH127" s="91"/>
      <c r="CI127" s="91"/>
      <c r="CJ127" s="91"/>
      <c r="CK127" s="91"/>
      <c r="CL127" s="91"/>
      <c r="CM127" s="91"/>
      <c r="CN127" s="91"/>
      <c r="CO127" s="91"/>
      <c r="CP127" s="91"/>
      <c r="CQ127" s="91"/>
      <c r="CR127" s="91"/>
      <c r="CS127" s="91"/>
      <c r="CT127" s="91"/>
      <c r="CU127" s="91"/>
      <c r="CV127" s="91"/>
      <c r="CW127" s="91"/>
      <c r="CX127" s="91"/>
      <c r="CY127" s="91"/>
      <c r="CZ127" s="91"/>
      <c r="DA127" s="91"/>
      <c r="DB127" s="91"/>
      <c r="DC127" s="91"/>
      <c r="DD127" s="91"/>
      <c r="DE127" s="91"/>
      <c r="DF127" s="91"/>
      <c r="DG127" s="91"/>
      <c r="DH127" s="91"/>
      <c r="DI127" s="91"/>
      <c r="DJ127" s="91"/>
      <c r="DK127" s="91"/>
      <c r="DL127" s="91"/>
      <c r="DM127" s="91"/>
      <c r="DN127" s="91"/>
      <c r="DO127" s="91"/>
      <c r="DP127" s="91"/>
      <c r="DQ127" s="91"/>
      <c r="DR127" s="91"/>
      <c r="DS127" s="91"/>
      <c r="DT127" s="91"/>
      <c r="DU127" s="91"/>
      <c r="DV127" s="91"/>
      <c r="DW127" s="91"/>
      <c r="DX127" s="91"/>
      <c r="DY127" s="91"/>
      <c r="DZ127" s="91"/>
      <c r="EA127" s="91"/>
      <c r="EB127" s="91"/>
      <c r="EC127" s="91"/>
      <c r="ED127" s="91"/>
      <c r="EE127" s="91"/>
      <c r="EF127" s="91"/>
      <c r="EG127" s="91"/>
      <c r="EH127" s="91"/>
      <c r="EI127" s="91"/>
      <c r="EJ127" s="91"/>
      <c r="EK127" s="91"/>
      <c r="EL127" s="91"/>
      <c r="EM127" s="91"/>
      <c r="EN127" s="91"/>
      <c r="EO127" s="91"/>
      <c r="EP127" s="91"/>
      <c r="EQ127" s="91"/>
      <c r="ER127" s="91"/>
      <c r="ES127" s="91"/>
      <c r="ET127" s="91"/>
      <c r="EU127" s="91"/>
      <c r="EV127" s="91"/>
      <c r="EW127" s="91"/>
      <c r="EX127" s="91"/>
      <c r="EY127" s="91"/>
      <c r="EZ127" s="91"/>
      <c r="FA127" s="91"/>
      <c r="FB127" s="91"/>
      <c r="FC127" s="91"/>
      <c r="FD127" s="91"/>
      <c r="FE127" s="91"/>
      <c r="FF127" s="91"/>
      <c r="FG127" s="91"/>
      <c r="FH127" s="91"/>
      <c r="FI127" s="91"/>
      <c r="FJ127" s="91"/>
      <c r="FK127" s="91"/>
      <c r="FL127" s="91"/>
      <c r="FM127" s="91"/>
      <c r="FN127" s="91"/>
      <c r="FO127" s="91"/>
      <c r="FP127" s="91"/>
      <c r="FQ127" s="91"/>
      <c r="FR127" s="91"/>
      <c r="FS127" s="91"/>
      <c r="FT127" s="91"/>
      <c r="FU127" s="91"/>
      <c r="FV127" s="91"/>
      <c r="FW127" s="91"/>
      <c r="FX127" s="91"/>
      <c r="FY127" s="91"/>
      <c r="FZ127" s="91"/>
      <c r="GA127" s="91"/>
      <c r="GB127" s="91"/>
      <c r="GC127" s="91"/>
      <c r="GD127" s="91"/>
      <c r="GE127" s="91"/>
      <c r="GF127" s="91"/>
      <c r="GG127" s="91"/>
      <c r="GH127" s="91"/>
      <c r="GI127" s="91"/>
      <c r="GJ127" s="91"/>
      <c r="GK127" s="91"/>
      <c r="GL127" s="91"/>
      <c r="GM127" s="91"/>
      <c r="GN127" s="91"/>
      <c r="GO127" s="91"/>
      <c r="GP127" s="91"/>
      <c r="GQ127" s="91"/>
      <c r="GR127" s="91"/>
      <c r="GS127" s="91"/>
      <c r="GT127" s="91"/>
      <c r="GU127" s="91"/>
      <c r="GV127" s="91"/>
      <c r="GW127" s="91"/>
      <c r="GX127" s="91"/>
      <c r="GY127" s="91"/>
      <c r="GZ127" s="91"/>
      <c r="HA127" s="91"/>
      <c r="HB127" s="91"/>
      <c r="HC127" s="91"/>
      <c r="HD127" s="91"/>
      <c r="HE127" s="91"/>
      <c r="HF127" s="91"/>
      <c r="HG127" s="91"/>
      <c r="HH127" s="91"/>
      <c r="HI127" s="91"/>
      <c r="HJ127" s="91"/>
      <c r="HK127" s="91"/>
      <c r="HL127" s="91"/>
      <c r="HM127" s="91"/>
      <c r="HN127" s="91"/>
      <c r="HO127" s="91"/>
      <c r="HP127" s="91"/>
      <c r="HQ127" s="91"/>
      <c r="HR127" s="91"/>
      <c r="HS127" s="91"/>
      <c r="HT127" s="91"/>
      <c r="HU127" s="91"/>
      <c r="HV127" s="91"/>
      <c r="HW127" s="91"/>
      <c r="HX127" s="91"/>
      <c r="HY127" s="91"/>
      <c r="HZ127" s="91"/>
      <c r="IA127" s="91"/>
      <c r="IB127" s="91"/>
      <c r="IC127" s="91"/>
      <c r="ID127" s="91"/>
      <c r="IE127" s="91"/>
      <c r="IF127" s="91"/>
      <c r="IG127" s="91"/>
      <c r="IH127" s="91"/>
      <c r="II127" s="91"/>
      <c r="IJ127" s="91"/>
      <c r="IK127" s="91"/>
      <c r="IL127" s="91"/>
      <c r="IM127" s="91"/>
      <c r="IN127" s="91"/>
      <c r="IO127" s="91"/>
    </row>
    <row r="128" spans="3:249" x14ac:dyDescent="0.2">
      <c r="C128" s="1"/>
      <c r="D128" s="134">
        <v>7</v>
      </c>
      <c r="E128" s="242" t="s">
        <v>131</v>
      </c>
      <c r="F128" s="243"/>
      <c r="G128" s="288" t="s">
        <v>132</v>
      </c>
      <c r="H128" s="243" t="s">
        <v>133</v>
      </c>
      <c r="I128" s="244"/>
      <c r="J128" s="43"/>
      <c r="K128" s="1"/>
      <c r="L128" s="82"/>
      <c r="M128" s="82"/>
      <c r="N128" s="82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1"/>
      <c r="AI128" s="91"/>
      <c r="AJ128" s="91"/>
      <c r="AK128" s="91"/>
      <c r="AL128" s="91"/>
      <c r="AM128" s="91"/>
      <c r="AN128" s="91"/>
      <c r="AO128" s="91"/>
      <c r="AP128" s="91"/>
      <c r="AQ128" s="91"/>
      <c r="AR128" s="91"/>
      <c r="AS128" s="91"/>
      <c r="AT128" s="91"/>
      <c r="AU128" s="91"/>
      <c r="AV128" s="91"/>
      <c r="AW128" s="91"/>
      <c r="AX128" s="91"/>
      <c r="AY128" s="91"/>
      <c r="AZ128" s="91"/>
      <c r="BA128" s="91"/>
      <c r="BB128" s="91"/>
      <c r="BC128" s="91"/>
      <c r="BD128" s="91"/>
      <c r="BE128" s="91"/>
      <c r="BF128" s="91"/>
      <c r="BG128" s="91"/>
      <c r="BH128" s="91"/>
      <c r="BI128" s="91"/>
      <c r="BJ128" s="91"/>
      <c r="BK128" s="91"/>
      <c r="BL128" s="91"/>
      <c r="BM128" s="91"/>
      <c r="BN128" s="91"/>
      <c r="BO128" s="91"/>
      <c r="BP128" s="91"/>
      <c r="BQ128" s="91"/>
      <c r="BR128" s="91"/>
      <c r="BS128" s="91"/>
      <c r="BT128" s="91"/>
      <c r="BU128" s="91"/>
      <c r="BV128" s="91"/>
      <c r="BW128" s="91"/>
      <c r="BX128" s="91"/>
      <c r="BY128" s="91"/>
      <c r="BZ128" s="91"/>
      <c r="CA128" s="91"/>
      <c r="CB128" s="91"/>
      <c r="CC128" s="91"/>
      <c r="CD128" s="91"/>
      <c r="CE128" s="91"/>
      <c r="CF128" s="91"/>
      <c r="CG128" s="91"/>
      <c r="CH128" s="91"/>
      <c r="CI128" s="91"/>
      <c r="CJ128" s="91"/>
      <c r="CK128" s="91"/>
      <c r="CL128" s="91"/>
      <c r="CM128" s="91"/>
      <c r="CN128" s="91"/>
      <c r="CO128" s="91"/>
      <c r="CP128" s="91"/>
      <c r="CQ128" s="91"/>
      <c r="CR128" s="91"/>
      <c r="CS128" s="91"/>
      <c r="CT128" s="91"/>
      <c r="CU128" s="91"/>
      <c r="CV128" s="91"/>
      <c r="CW128" s="91"/>
      <c r="CX128" s="91"/>
      <c r="CY128" s="91"/>
      <c r="CZ128" s="91"/>
      <c r="DA128" s="91"/>
      <c r="DB128" s="91"/>
      <c r="DC128" s="91"/>
      <c r="DD128" s="91"/>
      <c r="DE128" s="91"/>
      <c r="DF128" s="91"/>
      <c r="DG128" s="91"/>
      <c r="DH128" s="91"/>
      <c r="DI128" s="91"/>
      <c r="DJ128" s="91"/>
      <c r="DK128" s="91"/>
      <c r="DL128" s="91"/>
      <c r="DM128" s="91"/>
      <c r="DN128" s="91"/>
      <c r="DO128" s="91"/>
      <c r="DP128" s="91"/>
      <c r="DQ128" s="91"/>
      <c r="DR128" s="91"/>
      <c r="DS128" s="91"/>
      <c r="DT128" s="91"/>
      <c r="DU128" s="91"/>
      <c r="DV128" s="91"/>
      <c r="DW128" s="91"/>
      <c r="DX128" s="91"/>
      <c r="DY128" s="91"/>
      <c r="DZ128" s="91"/>
      <c r="EA128" s="91"/>
      <c r="EB128" s="91"/>
      <c r="EC128" s="91"/>
      <c r="ED128" s="91"/>
      <c r="EE128" s="91"/>
      <c r="EF128" s="91"/>
      <c r="EG128" s="91"/>
      <c r="EH128" s="91"/>
      <c r="EI128" s="91"/>
      <c r="EJ128" s="91"/>
      <c r="EK128" s="91"/>
      <c r="EL128" s="91"/>
      <c r="EM128" s="91"/>
      <c r="EN128" s="91"/>
      <c r="EO128" s="91"/>
      <c r="EP128" s="91"/>
      <c r="EQ128" s="91"/>
      <c r="ER128" s="91"/>
      <c r="ES128" s="91"/>
      <c r="ET128" s="91"/>
      <c r="EU128" s="91"/>
      <c r="EV128" s="91"/>
      <c r="EW128" s="91"/>
      <c r="EX128" s="91"/>
      <c r="EY128" s="91"/>
      <c r="EZ128" s="91"/>
      <c r="FA128" s="91"/>
      <c r="FB128" s="91"/>
      <c r="FC128" s="91"/>
      <c r="FD128" s="91"/>
      <c r="FE128" s="91"/>
      <c r="FF128" s="91"/>
      <c r="FG128" s="91"/>
      <c r="FH128" s="91"/>
      <c r="FI128" s="91"/>
      <c r="FJ128" s="91"/>
      <c r="FK128" s="91"/>
      <c r="FL128" s="91"/>
      <c r="FM128" s="91"/>
      <c r="FN128" s="91"/>
      <c r="FO128" s="91"/>
      <c r="FP128" s="91"/>
      <c r="FQ128" s="91"/>
      <c r="FR128" s="91"/>
      <c r="FS128" s="91"/>
      <c r="FT128" s="91"/>
      <c r="FU128" s="91"/>
      <c r="FV128" s="91"/>
      <c r="FW128" s="91"/>
      <c r="FX128" s="91"/>
      <c r="FY128" s="91"/>
      <c r="FZ128" s="91"/>
      <c r="GA128" s="91"/>
      <c r="GB128" s="91"/>
      <c r="GC128" s="91"/>
      <c r="GD128" s="91"/>
      <c r="GE128" s="91"/>
      <c r="GF128" s="91"/>
      <c r="GG128" s="91"/>
      <c r="GH128" s="91"/>
      <c r="GI128" s="91"/>
      <c r="GJ128" s="91"/>
      <c r="GK128" s="91"/>
      <c r="GL128" s="91"/>
      <c r="GM128" s="91"/>
      <c r="GN128" s="91"/>
      <c r="GO128" s="91"/>
      <c r="GP128" s="91"/>
      <c r="GQ128" s="91"/>
      <c r="GR128" s="91"/>
      <c r="GS128" s="91"/>
      <c r="GT128" s="91"/>
      <c r="GU128" s="91"/>
      <c r="GV128" s="91"/>
      <c r="GW128" s="91"/>
      <c r="GX128" s="91"/>
      <c r="GY128" s="91"/>
      <c r="GZ128" s="91"/>
      <c r="HA128" s="91"/>
      <c r="HB128" s="91"/>
      <c r="HC128" s="91"/>
      <c r="HD128" s="91"/>
      <c r="HE128" s="91"/>
      <c r="HF128" s="91"/>
      <c r="HG128" s="91"/>
      <c r="HH128" s="91"/>
      <c r="HI128" s="91"/>
      <c r="HJ128" s="91"/>
      <c r="HK128" s="91"/>
      <c r="HL128" s="91"/>
      <c r="HM128" s="91"/>
      <c r="HN128" s="91"/>
      <c r="HO128" s="91"/>
      <c r="HP128" s="91"/>
      <c r="HQ128" s="91"/>
      <c r="HR128" s="91"/>
      <c r="HS128" s="91"/>
      <c r="HT128" s="91"/>
      <c r="HU128" s="91"/>
      <c r="HV128" s="91"/>
      <c r="HW128" s="91"/>
      <c r="HX128" s="91"/>
      <c r="HY128" s="91"/>
      <c r="HZ128" s="91"/>
      <c r="IA128" s="91"/>
      <c r="IB128" s="91"/>
      <c r="IC128" s="91"/>
      <c r="ID128" s="91"/>
      <c r="IE128" s="91"/>
      <c r="IF128" s="91"/>
      <c r="IG128" s="91"/>
      <c r="IH128" s="91"/>
      <c r="II128" s="91"/>
      <c r="IJ128" s="91"/>
      <c r="IK128" s="91"/>
      <c r="IL128" s="91"/>
      <c r="IM128" s="91"/>
      <c r="IN128" s="91"/>
      <c r="IO128" s="91"/>
    </row>
    <row r="129" spans="1:249" x14ac:dyDescent="0.2">
      <c r="C129" s="1"/>
      <c r="E129" s="289" t="s">
        <v>55</v>
      </c>
      <c r="F129" s="290">
        <f>+H46</f>
        <v>4.4999999999999998E-2</v>
      </c>
      <c r="G129" s="291">
        <f>+I46</f>
        <v>603400</v>
      </c>
      <c r="H129" s="292">
        <v>0.75</v>
      </c>
      <c r="I129" s="293">
        <f>+G129*H129</f>
        <v>452550</v>
      </c>
      <c r="J129" s="294">
        <f>ROUND(+I129,-4)</f>
        <v>450000</v>
      </c>
      <c r="K129" s="295" t="s">
        <v>134</v>
      </c>
      <c r="L129" s="296">
        <f>+H37</f>
        <v>3390</v>
      </c>
      <c r="M129" s="282" t="s">
        <v>78</v>
      </c>
      <c r="N129" s="82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91"/>
      <c r="AI129" s="91"/>
      <c r="AJ129" s="91"/>
      <c r="AK129" s="91"/>
      <c r="AL129" s="91"/>
      <c r="AM129" s="91"/>
      <c r="AN129" s="91"/>
      <c r="AO129" s="91"/>
      <c r="AP129" s="91"/>
      <c r="AQ129" s="91"/>
      <c r="AR129" s="91"/>
      <c r="AS129" s="91"/>
      <c r="AT129" s="91"/>
      <c r="AU129" s="91"/>
      <c r="AV129" s="91"/>
      <c r="AW129" s="91"/>
      <c r="AX129" s="91"/>
      <c r="AY129" s="91"/>
      <c r="AZ129" s="91"/>
      <c r="BA129" s="91"/>
      <c r="BB129" s="91"/>
      <c r="BC129" s="91"/>
      <c r="BD129" s="91"/>
      <c r="BE129" s="91"/>
      <c r="BF129" s="91"/>
      <c r="BG129" s="91"/>
      <c r="BH129" s="91"/>
      <c r="BI129" s="91"/>
      <c r="BJ129" s="91"/>
      <c r="BK129" s="91"/>
      <c r="BL129" s="91"/>
      <c r="BM129" s="91"/>
      <c r="BN129" s="91"/>
      <c r="BO129" s="91"/>
      <c r="BP129" s="91"/>
      <c r="BQ129" s="91"/>
      <c r="BR129" s="91"/>
      <c r="BS129" s="91"/>
      <c r="BT129" s="91"/>
      <c r="BU129" s="91"/>
      <c r="BV129" s="91"/>
      <c r="BW129" s="91"/>
      <c r="BX129" s="91"/>
      <c r="BY129" s="91"/>
      <c r="BZ129" s="91"/>
      <c r="CA129" s="91"/>
      <c r="CB129" s="91"/>
      <c r="CC129" s="91"/>
      <c r="CD129" s="91"/>
      <c r="CE129" s="91"/>
      <c r="CF129" s="91"/>
      <c r="CG129" s="91"/>
      <c r="CH129" s="91"/>
      <c r="CI129" s="91"/>
      <c r="CJ129" s="91"/>
      <c r="CK129" s="91"/>
      <c r="CL129" s="91"/>
      <c r="CM129" s="91"/>
      <c r="CN129" s="91"/>
      <c r="CO129" s="91"/>
      <c r="CP129" s="91"/>
      <c r="CQ129" s="91"/>
      <c r="CR129" s="91"/>
      <c r="CS129" s="91"/>
      <c r="CT129" s="91"/>
      <c r="CU129" s="91"/>
      <c r="CV129" s="91"/>
      <c r="CW129" s="91"/>
      <c r="CX129" s="91"/>
      <c r="CY129" s="91"/>
      <c r="CZ129" s="91"/>
      <c r="DA129" s="91"/>
      <c r="DB129" s="91"/>
      <c r="DC129" s="91"/>
      <c r="DD129" s="91"/>
      <c r="DE129" s="91"/>
      <c r="DF129" s="91"/>
      <c r="DG129" s="91"/>
      <c r="DH129" s="91"/>
      <c r="DI129" s="91"/>
      <c r="DJ129" s="91"/>
      <c r="DK129" s="91"/>
      <c r="DL129" s="91"/>
      <c r="DM129" s="91"/>
      <c r="DN129" s="91"/>
      <c r="DO129" s="91"/>
      <c r="DP129" s="91"/>
      <c r="DQ129" s="91"/>
      <c r="DR129" s="91"/>
      <c r="DS129" s="91"/>
      <c r="DT129" s="91"/>
      <c r="DU129" s="91"/>
      <c r="DV129" s="91"/>
      <c r="DW129" s="91"/>
      <c r="DX129" s="91"/>
      <c r="DY129" s="91"/>
      <c r="DZ129" s="91"/>
      <c r="EA129" s="91"/>
      <c r="EB129" s="91"/>
      <c r="EC129" s="91"/>
      <c r="ED129" s="91"/>
      <c r="EE129" s="91"/>
      <c r="EF129" s="91"/>
      <c r="EG129" s="91"/>
      <c r="EH129" s="91"/>
      <c r="EI129" s="91"/>
      <c r="EJ129" s="91"/>
      <c r="EK129" s="91"/>
      <c r="EL129" s="91"/>
      <c r="EM129" s="91"/>
      <c r="EN129" s="91"/>
      <c r="EO129" s="91"/>
      <c r="EP129" s="91"/>
      <c r="EQ129" s="91"/>
      <c r="ER129" s="91"/>
      <c r="ES129" s="91"/>
      <c r="ET129" s="91"/>
      <c r="EU129" s="91"/>
      <c r="EV129" s="91"/>
      <c r="EW129" s="91"/>
      <c r="EX129" s="91"/>
      <c r="EY129" s="91"/>
      <c r="EZ129" s="91"/>
      <c r="FA129" s="91"/>
      <c r="FB129" s="91"/>
      <c r="FC129" s="91"/>
      <c r="FD129" s="91"/>
      <c r="FE129" s="91"/>
      <c r="FF129" s="91"/>
      <c r="FG129" s="91"/>
      <c r="FH129" s="91"/>
      <c r="FI129" s="91"/>
      <c r="FJ129" s="91"/>
      <c r="FK129" s="91"/>
      <c r="FL129" s="91"/>
      <c r="FM129" s="91"/>
      <c r="FN129" s="91"/>
      <c r="FO129" s="91"/>
      <c r="FP129" s="91"/>
      <c r="FQ129" s="91"/>
      <c r="FR129" s="91"/>
      <c r="FS129" s="91"/>
      <c r="FT129" s="91"/>
      <c r="FU129" s="91"/>
      <c r="FV129" s="91"/>
      <c r="FW129" s="91"/>
      <c r="FX129" s="91"/>
      <c r="FY129" s="91"/>
      <c r="FZ129" s="91"/>
      <c r="GA129" s="91"/>
      <c r="GB129" s="91"/>
      <c r="GC129" s="91"/>
      <c r="GD129" s="91"/>
      <c r="GE129" s="91"/>
      <c r="GF129" s="91"/>
      <c r="GG129" s="91"/>
      <c r="GH129" s="91"/>
      <c r="GI129" s="91"/>
      <c r="GJ129" s="91"/>
      <c r="GK129" s="91"/>
      <c r="GL129" s="91"/>
      <c r="GM129" s="91"/>
      <c r="GN129" s="91"/>
      <c r="GO129" s="91"/>
      <c r="GP129" s="91"/>
      <c r="GQ129" s="91"/>
      <c r="GR129" s="91"/>
      <c r="GS129" s="91"/>
      <c r="GT129" s="91"/>
      <c r="GU129" s="91"/>
      <c r="GV129" s="91"/>
      <c r="GW129" s="91"/>
      <c r="GX129" s="91"/>
      <c r="GY129" s="91"/>
      <c r="GZ129" s="91"/>
      <c r="HA129" s="91"/>
      <c r="HB129" s="91"/>
      <c r="HC129" s="91"/>
      <c r="HD129" s="91"/>
      <c r="HE129" s="91"/>
      <c r="HF129" s="91"/>
      <c r="HG129" s="91"/>
      <c r="HH129" s="91"/>
      <c r="HI129" s="91"/>
      <c r="HJ129" s="91"/>
      <c r="HK129" s="91"/>
      <c r="HL129" s="91"/>
      <c r="HM129" s="91"/>
      <c r="HN129" s="91"/>
      <c r="HO129" s="91"/>
      <c r="HP129" s="91"/>
      <c r="HQ129" s="91"/>
      <c r="HR129" s="91"/>
      <c r="HS129" s="91"/>
      <c r="HT129" s="91"/>
      <c r="HU129" s="91"/>
      <c r="HV129" s="91"/>
      <c r="HW129" s="91"/>
      <c r="HX129" s="91"/>
      <c r="HY129" s="91"/>
      <c r="HZ129" s="91"/>
      <c r="IA129" s="91"/>
      <c r="IB129" s="91"/>
      <c r="IC129" s="91"/>
      <c r="ID129" s="91"/>
      <c r="IE129" s="91"/>
      <c r="IF129" s="91"/>
      <c r="IG129" s="91"/>
      <c r="IH129" s="91"/>
      <c r="II129" s="91"/>
      <c r="IJ129" s="91"/>
      <c r="IK129" s="91"/>
      <c r="IL129" s="91"/>
      <c r="IM129" s="91"/>
      <c r="IN129" s="91"/>
      <c r="IO129" s="91"/>
    </row>
    <row r="130" spans="1:249" ht="18" x14ac:dyDescent="0.2">
      <c r="C130" s="1"/>
      <c r="E130" s="131"/>
      <c r="F130" s="2"/>
      <c r="G130" s="43"/>
      <c r="H130" s="43"/>
      <c r="I130" s="43"/>
      <c r="J130" s="43"/>
      <c r="K130" s="1"/>
      <c r="L130" s="297" t="s">
        <v>96</v>
      </c>
      <c r="M130" s="298" t="s">
        <v>97</v>
      </c>
      <c r="N130" s="82" t="s">
        <v>135</v>
      </c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  <c r="AH130" s="91"/>
      <c r="AI130" s="91"/>
      <c r="AJ130" s="91"/>
      <c r="AK130" s="91"/>
      <c r="AL130" s="91"/>
      <c r="AM130" s="91"/>
      <c r="AN130" s="91"/>
      <c r="AO130" s="91"/>
      <c r="AP130" s="91"/>
      <c r="AQ130" s="91"/>
      <c r="AR130" s="91"/>
      <c r="AS130" s="91"/>
      <c r="AT130" s="91"/>
      <c r="AU130" s="91"/>
      <c r="AV130" s="91"/>
      <c r="AW130" s="91"/>
      <c r="AX130" s="91"/>
      <c r="AY130" s="91"/>
      <c r="AZ130" s="91"/>
      <c r="BA130" s="91"/>
      <c r="BB130" s="91"/>
      <c r="BC130" s="91"/>
      <c r="BD130" s="91"/>
      <c r="BE130" s="91"/>
      <c r="BF130" s="91"/>
      <c r="BG130" s="91"/>
      <c r="BH130" s="91"/>
      <c r="BI130" s="91"/>
      <c r="BJ130" s="91"/>
      <c r="BK130" s="91"/>
      <c r="BL130" s="91"/>
      <c r="BM130" s="91"/>
      <c r="BN130" s="91"/>
      <c r="BO130" s="91"/>
      <c r="BP130" s="91"/>
      <c r="BQ130" s="91"/>
      <c r="BR130" s="91"/>
      <c r="BS130" s="91"/>
      <c r="BT130" s="91"/>
      <c r="BU130" s="91"/>
      <c r="BV130" s="91"/>
      <c r="BW130" s="91"/>
      <c r="BX130" s="91"/>
      <c r="BY130" s="91"/>
      <c r="BZ130" s="91"/>
      <c r="CA130" s="91"/>
      <c r="CB130" s="91"/>
      <c r="CC130" s="91"/>
      <c r="CD130" s="91"/>
      <c r="CE130" s="91"/>
      <c r="CF130" s="91"/>
      <c r="CG130" s="91"/>
      <c r="CH130" s="91"/>
      <c r="CI130" s="91"/>
      <c r="CJ130" s="91"/>
      <c r="CK130" s="91"/>
      <c r="CL130" s="91"/>
      <c r="CM130" s="91"/>
      <c r="CN130" s="91"/>
      <c r="CO130" s="91"/>
      <c r="CP130" s="91"/>
      <c r="CQ130" s="91"/>
      <c r="CR130" s="91"/>
      <c r="CS130" s="91"/>
      <c r="CT130" s="91"/>
      <c r="CU130" s="91"/>
      <c r="CV130" s="91"/>
      <c r="CW130" s="91"/>
      <c r="CX130" s="91"/>
      <c r="CY130" s="91"/>
      <c r="CZ130" s="91"/>
      <c r="DA130" s="91"/>
      <c r="DB130" s="91"/>
      <c r="DC130" s="91"/>
      <c r="DD130" s="91"/>
      <c r="DE130" s="91"/>
      <c r="DF130" s="91"/>
      <c r="DG130" s="91"/>
      <c r="DH130" s="91"/>
      <c r="DI130" s="91"/>
      <c r="DJ130" s="91"/>
      <c r="DK130" s="91"/>
      <c r="DL130" s="91"/>
      <c r="DM130" s="91"/>
      <c r="DN130" s="91"/>
      <c r="DO130" s="91"/>
      <c r="DP130" s="91"/>
      <c r="DQ130" s="91"/>
      <c r="DR130" s="91"/>
      <c r="DS130" s="91"/>
      <c r="DT130" s="91"/>
      <c r="DU130" s="91"/>
      <c r="DV130" s="91"/>
      <c r="DW130" s="91"/>
      <c r="DX130" s="91"/>
      <c r="DY130" s="91"/>
      <c r="DZ130" s="91"/>
      <c r="EA130" s="91"/>
      <c r="EB130" s="91"/>
      <c r="EC130" s="91"/>
      <c r="ED130" s="91"/>
      <c r="EE130" s="91"/>
      <c r="EF130" s="91"/>
      <c r="EG130" s="91"/>
      <c r="EH130" s="91"/>
      <c r="EI130" s="91"/>
      <c r="EJ130" s="91"/>
      <c r="EK130" s="91"/>
      <c r="EL130" s="91"/>
      <c r="EM130" s="91"/>
      <c r="EN130" s="91"/>
      <c r="EO130" s="91"/>
      <c r="EP130" s="91"/>
      <c r="EQ130" s="91"/>
      <c r="ER130" s="91"/>
      <c r="ES130" s="91"/>
      <c r="ET130" s="91"/>
      <c r="EU130" s="91"/>
      <c r="EV130" s="91"/>
      <c r="EW130" s="91"/>
      <c r="EX130" s="91"/>
      <c r="EY130" s="91"/>
      <c r="EZ130" s="91"/>
      <c r="FA130" s="91"/>
      <c r="FB130" s="91"/>
      <c r="FC130" s="91"/>
      <c r="FD130" s="91"/>
      <c r="FE130" s="91"/>
      <c r="FF130" s="91"/>
      <c r="FG130" s="91"/>
      <c r="FH130" s="91"/>
      <c r="FI130" s="91"/>
      <c r="FJ130" s="91"/>
      <c r="FK130" s="91"/>
      <c r="FL130" s="91"/>
      <c r="FM130" s="91"/>
      <c r="FN130" s="91"/>
      <c r="FO130" s="91"/>
      <c r="FP130" s="91"/>
      <c r="FQ130" s="91"/>
      <c r="FR130" s="91"/>
      <c r="FS130" s="91"/>
      <c r="FT130" s="91"/>
      <c r="FU130" s="91"/>
      <c r="FV130" s="91"/>
      <c r="FW130" s="91"/>
      <c r="FX130" s="91"/>
      <c r="FY130" s="91"/>
      <c r="FZ130" s="91"/>
      <c r="GA130" s="91"/>
      <c r="GB130" s="91"/>
      <c r="GC130" s="91"/>
      <c r="GD130" s="91"/>
      <c r="GE130" s="91"/>
      <c r="GF130" s="91"/>
      <c r="GG130" s="91"/>
      <c r="GH130" s="91"/>
      <c r="GI130" s="91"/>
      <c r="GJ130" s="91"/>
      <c r="GK130" s="91"/>
      <c r="GL130" s="91"/>
      <c r="GM130" s="91"/>
      <c r="GN130" s="91"/>
      <c r="GO130" s="91"/>
      <c r="GP130" s="91"/>
      <c r="GQ130" s="91"/>
      <c r="GR130" s="91"/>
      <c r="GS130" s="91"/>
      <c r="GT130" s="91"/>
      <c r="GU130" s="91"/>
      <c r="GV130" s="91"/>
      <c r="GW130" s="91"/>
      <c r="GX130" s="91"/>
      <c r="GY130" s="91"/>
      <c r="GZ130" s="91"/>
      <c r="HA130" s="91"/>
      <c r="HB130" s="91"/>
      <c r="HC130" s="91"/>
      <c r="HD130" s="91"/>
      <c r="HE130" s="91"/>
      <c r="HF130" s="91"/>
      <c r="HG130" s="91"/>
      <c r="HH130" s="91"/>
      <c r="HI130" s="91"/>
      <c r="HJ130" s="91"/>
      <c r="HK130" s="91"/>
      <c r="HL130" s="91"/>
      <c r="HM130" s="91"/>
      <c r="HN130" s="91"/>
      <c r="HO130" s="91"/>
      <c r="HP130" s="91"/>
      <c r="HQ130" s="91"/>
      <c r="HR130" s="91"/>
      <c r="HS130" s="91"/>
      <c r="HT130" s="91"/>
      <c r="HU130" s="91"/>
      <c r="HV130" s="91"/>
      <c r="HW130" s="91"/>
      <c r="HX130" s="91"/>
      <c r="HY130" s="91"/>
      <c r="HZ130" s="91"/>
      <c r="IA130" s="91"/>
      <c r="IB130" s="91"/>
      <c r="IC130" s="91"/>
      <c r="ID130" s="91"/>
      <c r="IE130" s="91"/>
      <c r="IF130" s="91"/>
      <c r="IG130" s="91"/>
      <c r="IH130" s="91"/>
      <c r="II130" s="91"/>
      <c r="IJ130" s="91"/>
      <c r="IK130" s="91"/>
      <c r="IL130" s="91"/>
      <c r="IM130" s="91"/>
      <c r="IN130" s="91"/>
      <c r="IO130" s="91"/>
    </row>
    <row r="131" spans="1:249" x14ac:dyDescent="0.2">
      <c r="C131" s="1"/>
      <c r="D131" s="134">
        <v>8</v>
      </c>
      <c r="E131" s="242" t="s">
        <v>136</v>
      </c>
      <c r="F131" s="299" t="s">
        <v>119</v>
      </c>
      <c r="G131" s="299" t="s">
        <v>137</v>
      </c>
      <c r="H131" s="299" t="s">
        <v>138</v>
      </c>
      <c r="I131" s="300"/>
      <c r="J131" s="43"/>
      <c r="K131" s="1"/>
      <c r="L131" s="301">
        <f>+'[1]Typical Conv.Operating Expenses'!BW97</f>
        <v>1517.8861788617887</v>
      </c>
      <c r="M131" s="302">
        <f>+'[1]Typical Conv.Operating Expenses'!BX97</f>
        <v>4549</v>
      </c>
      <c r="N131" s="303" t="e">
        <f>+'[1]Typical Conv.Operating Expenses'!#REF!</f>
        <v>#REF!</v>
      </c>
      <c r="O131" s="6" t="s">
        <v>139</v>
      </c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  <c r="AH131" s="91"/>
      <c r="AI131" s="91"/>
      <c r="AJ131" s="91"/>
      <c r="AK131" s="91"/>
      <c r="AL131" s="91"/>
      <c r="AM131" s="91"/>
      <c r="AN131" s="91"/>
      <c r="AO131" s="91"/>
      <c r="AP131" s="91"/>
      <c r="AQ131" s="91"/>
      <c r="AR131" s="91"/>
      <c r="AS131" s="91"/>
      <c r="AT131" s="91"/>
      <c r="AU131" s="91"/>
      <c r="AV131" s="91"/>
      <c r="AW131" s="91"/>
      <c r="AX131" s="91"/>
      <c r="AY131" s="91"/>
      <c r="AZ131" s="91"/>
      <c r="BA131" s="91"/>
      <c r="BB131" s="91"/>
      <c r="BC131" s="91"/>
      <c r="BD131" s="91"/>
      <c r="BE131" s="91"/>
      <c r="BF131" s="91"/>
      <c r="BG131" s="91"/>
      <c r="BH131" s="91"/>
      <c r="BI131" s="91"/>
      <c r="BJ131" s="91"/>
      <c r="BK131" s="91"/>
      <c r="BL131" s="91"/>
      <c r="BM131" s="91"/>
      <c r="BN131" s="91"/>
      <c r="BO131" s="91"/>
      <c r="BP131" s="91"/>
      <c r="BQ131" s="91"/>
      <c r="BR131" s="91"/>
      <c r="BS131" s="91"/>
      <c r="BT131" s="91"/>
      <c r="BU131" s="91"/>
      <c r="BV131" s="91"/>
      <c r="BW131" s="91"/>
      <c r="BX131" s="91"/>
      <c r="BY131" s="91"/>
      <c r="BZ131" s="91"/>
      <c r="CA131" s="91"/>
      <c r="CB131" s="91"/>
      <c r="CC131" s="91"/>
      <c r="CD131" s="91"/>
      <c r="CE131" s="91"/>
      <c r="CF131" s="91"/>
      <c r="CG131" s="91"/>
      <c r="CH131" s="91"/>
      <c r="CI131" s="91"/>
      <c r="CJ131" s="91"/>
      <c r="CK131" s="91"/>
      <c r="CL131" s="91"/>
      <c r="CM131" s="91"/>
      <c r="CN131" s="91"/>
      <c r="CO131" s="91"/>
      <c r="CP131" s="91"/>
      <c r="CQ131" s="91"/>
      <c r="CR131" s="91"/>
      <c r="CS131" s="91"/>
      <c r="CT131" s="91"/>
      <c r="CU131" s="91"/>
      <c r="CV131" s="91"/>
      <c r="CW131" s="91"/>
      <c r="CX131" s="91"/>
      <c r="CY131" s="91"/>
      <c r="CZ131" s="91"/>
      <c r="DA131" s="91"/>
      <c r="DB131" s="91"/>
      <c r="DC131" s="91"/>
      <c r="DD131" s="91"/>
      <c r="DE131" s="91"/>
      <c r="DF131" s="91"/>
      <c r="DG131" s="91"/>
      <c r="DH131" s="91"/>
      <c r="DI131" s="91"/>
      <c r="DJ131" s="91"/>
      <c r="DK131" s="91"/>
      <c r="DL131" s="91"/>
      <c r="DM131" s="91"/>
      <c r="DN131" s="91"/>
      <c r="DO131" s="91"/>
      <c r="DP131" s="91"/>
      <c r="DQ131" s="91"/>
      <c r="DR131" s="91"/>
      <c r="DS131" s="91"/>
      <c r="DT131" s="91"/>
      <c r="DU131" s="91"/>
      <c r="DV131" s="91"/>
      <c r="DW131" s="91"/>
      <c r="DX131" s="91"/>
      <c r="DY131" s="91"/>
      <c r="DZ131" s="91"/>
      <c r="EA131" s="91"/>
      <c r="EB131" s="91"/>
      <c r="EC131" s="91"/>
      <c r="ED131" s="91"/>
      <c r="EE131" s="91"/>
      <c r="EF131" s="91"/>
      <c r="EG131" s="91"/>
      <c r="EH131" s="91"/>
      <c r="EI131" s="91"/>
      <c r="EJ131" s="91"/>
      <c r="EK131" s="91"/>
      <c r="EL131" s="91"/>
      <c r="EM131" s="91"/>
      <c r="EN131" s="91"/>
      <c r="EO131" s="91"/>
      <c r="EP131" s="91"/>
      <c r="EQ131" s="91"/>
      <c r="ER131" s="91"/>
      <c r="ES131" s="91"/>
      <c r="ET131" s="91"/>
      <c r="EU131" s="91"/>
      <c r="EV131" s="91"/>
      <c r="EW131" s="91"/>
      <c r="EX131" s="91"/>
      <c r="EY131" s="91"/>
      <c r="EZ131" s="91"/>
      <c r="FA131" s="91"/>
      <c r="FB131" s="91"/>
      <c r="FC131" s="91"/>
      <c r="FD131" s="91"/>
      <c r="FE131" s="91"/>
      <c r="FF131" s="91"/>
      <c r="FG131" s="91"/>
      <c r="FH131" s="91"/>
      <c r="FI131" s="91"/>
      <c r="FJ131" s="91"/>
      <c r="FK131" s="91"/>
      <c r="FL131" s="91"/>
      <c r="FM131" s="91"/>
      <c r="FN131" s="91"/>
      <c r="FO131" s="91"/>
      <c r="FP131" s="91"/>
      <c r="FQ131" s="91"/>
      <c r="FR131" s="91"/>
      <c r="FS131" s="91"/>
      <c r="FT131" s="91"/>
      <c r="FU131" s="91"/>
      <c r="FV131" s="91"/>
      <c r="FW131" s="91"/>
      <c r="FX131" s="91"/>
      <c r="FY131" s="91"/>
      <c r="FZ131" s="91"/>
      <c r="GA131" s="91"/>
      <c r="GB131" s="91"/>
      <c r="GC131" s="91"/>
      <c r="GD131" s="91"/>
      <c r="GE131" s="91"/>
      <c r="GF131" s="91"/>
      <c r="GG131" s="91"/>
      <c r="GH131" s="91"/>
      <c r="GI131" s="91"/>
      <c r="GJ131" s="91"/>
      <c r="GK131" s="91"/>
      <c r="GL131" s="91"/>
      <c r="GM131" s="91"/>
      <c r="GN131" s="91"/>
      <c r="GO131" s="91"/>
      <c r="GP131" s="91"/>
      <c r="GQ131" s="91"/>
      <c r="GR131" s="91"/>
      <c r="GS131" s="91"/>
      <c r="GT131" s="91"/>
      <c r="GU131" s="91"/>
      <c r="GV131" s="91"/>
      <c r="GW131" s="91"/>
      <c r="GX131" s="91"/>
      <c r="GY131" s="91"/>
      <c r="GZ131" s="91"/>
      <c r="HA131" s="91"/>
      <c r="HB131" s="91"/>
      <c r="HC131" s="91"/>
      <c r="HD131" s="91"/>
      <c r="HE131" s="91"/>
      <c r="HF131" s="91"/>
      <c r="HG131" s="91"/>
      <c r="HH131" s="91"/>
      <c r="HI131" s="91"/>
      <c r="HJ131" s="91"/>
      <c r="HK131" s="91"/>
      <c r="HL131" s="91"/>
      <c r="HM131" s="91"/>
      <c r="HN131" s="91"/>
      <c r="HO131" s="91"/>
      <c r="HP131" s="91"/>
      <c r="HQ131" s="91"/>
      <c r="HR131" s="91"/>
      <c r="HS131" s="91"/>
      <c r="HT131" s="91"/>
      <c r="HU131" s="91"/>
      <c r="HV131" s="91"/>
      <c r="HW131" s="91"/>
      <c r="HX131" s="91"/>
      <c r="HY131" s="91"/>
      <c r="HZ131" s="91"/>
      <c r="IA131" s="91"/>
      <c r="IB131" s="91"/>
      <c r="IC131" s="91"/>
      <c r="ID131" s="91"/>
      <c r="IE131" s="91"/>
      <c r="IF131" s="91"/>
      <c r="IG131" s="91"/>
      <c r="IH131" s="91"/>
      <c r="II131" s="91"/>
      <c r="IJ131" s="91"/>
      <c r="IK131" s="91"/>
      <c r="IL131" s="91"/>
      <c r="IM131" s="91"/>
      <c r="IN131" s="91"/>
      <c r="IO131" s="91"/>
    </row>
    <row r="132" spans="1:249" ht="16.5" x14ac:dyDescent="0.2">
      <c r="C132" s="1"/>
      <c r="E132" s="304" t="s">
        <v>140</v>
      </c>
      <c r="F132" s="305">
        <v>75</v>
      </c>
      <c r="G132" s="306">
        <v>5</v>
      </c>
      <c r="H132" s="307">
        <f>+F132*G132*F$12</f>
        <v>63750</v>
      </c>
      <c r="I132" s="308"/>
      <c r="J132" s="43"/>
      <c r="K132" s="1"/>
      <c r="L132" s="82"/>
      <c r="M132" s="82"/>
      <c r="N132" s="303">
        <v>1800</v>
      </c>
      <c r="O132" s="6" t="s">
        <v>141</v>
      </c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  <c r="AG132" s="91"/>
      <c r="AH132" s="91"/>
      <c r="AI132" s="91"/>
      <c r="AJ132" s="91"/>
      <c r="AK132" s="91"/>
      <c r="AL132" s="91"/>
      <c r="AM132" s="91"/>
      <c r="AN132" s="91"/>
      <c r="AO132" s="91"/>
      <c r="AP132" s="91"/>
      <c r="AQ132" s="91"/>
      <c r="AR132" s="91"/>
      <c r="AS132" s="91"/>
      <c r="AT132" s="91"/>
      <c r="AU132" s="91"/>
      <c r="AV132" s="91"/>
      <c r="AW132" s="91"/>
      <c r="AX132" s="91"/>
      <c r="AY132" s="91"/>
      <c r="AZ132" s="91"/>
      <c r="BA132" s="91"/>
      <c r="BB132" s="91"/>
      <c r="BC132" s="91"/>
      <c r="BD132" s="91"/>
      <c r="BE132" s="91"/>
      <c r="BF132" s="91"/>
      <c r="BG132" s="91"/>
      <c r="BH132" s="91"/>
      <c r="BI132" s="91"/>
      <c r="BJ132" s="91"/>
      <c r="BK132" s="91"/>
      <c r="BL132" s="91"/>
      <c r="BM132" s="91"/>
      <c r="BN132" s="91"/>
      <c r="BO132" s="91"/>
      <c r="BP132" s="91"/>
      <c r="BQ132" s="91"/>
      <c r="BR132" s="91"/>
      <c r="BS132" s="91"/>
      <c r="BT132" s="91"/>
      <c r="BU132" s="91"/>
      <c r="BV132" s="91"/>
      <c r="BW132" s="91"/>
      <c r="BX132" s="91"/>
      <c r="BY132" s="91"/>
      <c r="BZ132" s="91"/>
      <c r="CA132" s="91"/>
      <c r="CB132" s="91"/>
      <c r="CC132" s="91"/>
      <c r="CD132" s="91"/>
      <c r="CE132" s="91"/>
      <c r="CF132" s="91"/>
      <c r="CG132" s="91"/>
      <c r="CH132" s="91"/>
      <c r="CI132" s="91"/>
      <c r="CJ132" s="91"/>
      <c r="CK132" s="91"/>
      <c r="CL132" s="91"/>
      <c r="CM132" s="91"/>
      <c r="CN132" s="91"/>
      <c r="CO132" s="91"/>
      <c r="CP132" s="91"/>
      <c r="CQ132" s="91"/>
      <c r="CR132" s="91"/>
      <c r="CS132" s="91"/>
      <c r="CT132" s="91"/>
      <c r="CU132" s="91"/>
      <c r="CV132" s="91"/>
      <c r="CW132" s="91"/>
      <c r="CX132" s="91"/>
      <c r="CY132" s="91"/>
      <c r="CZ132" s="91"/>
      <c r="DA132" s="91"/>
      <c r="DB132" s="91"/>
      <c r="DC132" s="91"/>
      <c r="DD132" s="91"/>
      <c r="DE132" s="91"/>
      <c r="DF132" s="91"/>
      <c r="DG132" s="91"/>
      <c r="DH132" s="91"/>
      <c r="DI132" s="91"/>
      <c r="DJ132" s="91"/>
      <c r="DK132" s="91"/>
      <c r="DL132" s="91"/>
      <c r="DM132" s="91"/>
      <c r="DN132" s="91"/>
      <c r="DO132" s="91"/>
      <c r="DP132" s="91"/>
      <c r="DQ132" s="91"/>
      <c r="DR132" s="91"/>
      <c r="DS132" s="91"/>
      <c r="DT132" s="91"/>
      <c r="DU132" s="91"/>
      <c r="DV132" s="91"/>
      <c r="DW132" s="91"/>
      <c r="DX132" s="91"/>
      <c r="DY132" s="91"/>
      <c r="DZ132" s="91"/>
      <c r="EA132" s="91"/>
      <c r="EB132" s="91"/>
      <c r="EC132" s="91"/>
      <c r="ED132" s="91"/>
      <c r="EE132" s="91"/>
      <c r="EF132" s="91"/>
      <c r="EG132" s="91"/>
      <c r="EH132" s="91"/>
      <c r="EI132" s="91"/>
      <c r="EJ132" s="91"/>
      <c r="EK132" s="91"/>
      <c r="EL132" s="91"/>
      <c r="EM132" s="91"/>
      <c r="EN132" s="91"/>
      <c r="EO132" s="91"/>
      <c r="EP132" s="91"/>
      <c r="EQ132" s="91"/>
      <c r="ER132" s="91"/>
      <c r="ES132" s="91"/>
      <c r="ET132" s="91"/>
      <c r="EU132" s="91"/>
      <c r="EV132" s="91"/>
      <c r="EW132" s="91"/>
      <c r="EX132" s="91"/>
      <c r="EY132" s="91"/>
      <c r="EZ132" s="91"/>
      <c r="FA132" s="91"/>
      <c r="FB132" s="91"/>
      <c r="FC132" s="91"/>
      <c r="FD132" s="91"/>
      <c r="FE132" s="91"/>
      <c r="FF132" s="91"/>
      <c r="FG132" s="91"/>
      <c r="FH132" s="91"/>
      <c r="FI132" s="91"/>
      <c r="FJ132" s="91"/>
      <c r="FK132" s="91"/>
      <c r="FL132" s="91"/>
      <c r="FM132" s="91"/>
      <c r="FN132" s="91"/>
      <c r="FO132" s="91"/>
      <c r="FP132" s="91"/>
      <c r="FQ132" s="91"/>
      <c r="FR132" s="91"/>
      <c r="FS132" s="91"/>
      <c r="FT132" s="91"/>
      <c r="FU132" s="91"/>
      <c r="FV132" s="91"/>
      <c r="FW132" s="91"/>
      <c r="FX132" s="91"/>
      <c r="FY132" s="91"/>
      <c r="FZ132" s="91"/>
      <c r="GA132" s="91"/>
      <c r="GB132" s="91"/>
      <c r="GC132" s="91"/>
      <c r="GD132" s="91"/>
      <c r="GE132" s="91"/>
      <c r="GF132" s="91"/>
      <c r="GG132" s="91"/>
      <c r="GH132" s="91"/>
      <c r="GI132" s="91"/>
      <c r="GJ132" s="91"/>
      <c r="GK132" s="91"/>
      <c r="GL132" s="91"/>
      <c r="GM132" s="91"/>
      <c r="GN132" s="91"/>
      <c r="GO132" s="91"/>
      <c r="GP132" s="91"/>
      <c r="GQ132" s="91"/>
      <c r="GR132" s="91"/>
      <c r="GS132" s="91"/>
      <c r="GT132" s="91"/>
      <c r="GU132" s="91"/>
      <c r="GV132" s="91"/>
      <c r="GW132" s="91"/>
      <c r="GX132" s="91"/>
      <c r="GY132" s="91"/>
      <c r="GZ132" s="91"/>
      <c r="HA132" s="91"/>
      <c r="HB132" s="91"/>
      <c r="HC132" s="91"/>
      <c r="HD132" s="91"/>
      <c r="HE132" s="91"/>
      <c r="HF132" s="91"/>
      <c r="HG132" s="91"/>
      <c r="HH132" s="91"/>
      <c r="HI132" s="91"/>
      <c r="HJ132" s="91"/>
      <c r="HK132" s="91"/>
      <c r="HL132" s="91"/>
      <c r="HM132" s="91"/>
      <c r="HN132" s="91"/>
      <c r="HO132" s="91"/>
      <c r="HP132" s="91"/>
      <c r="HQ132" s="91"/>
      <c r="HR132" s="91"/>
      <c r="HS132" s="91"/>
      <c r="HT132" s="91"/>
      <c r="HU132" s="91"/>
      <c r="HV132" s="91"/>
      <c r="HW132" s="91"/>
      <c r="HX132" s="91"/>
      <c r="HY132" s="91"/>
      <c r="HZ132" s="91"/>
      <c r="IA132" s="91"/>
      <c r="IB132" s="91"/>
      <c r="IC132" s="91"/>
      <c r="ID132" s="91"/>
      <c r="IE132" s="91"/>
      <c r="IF132" s="91"/>
      <c r="IG132" s="91"/>
      <c r="IH132" s="91"/>
      <c r="II132" s="91"/>
      <c r="IJ132" s="91"/>
      <c r="IK132" s="91"/>
      <c r="IL132" s="91"/>
      <c r="IM132" s="91"/>
      <c r="IN132" s="91"/>
      <c r="IO132" s="91"/>
    </row>
    <row r="133" spans="1:249" x14ac:dyDescent="0.2">
      <c r="C133" s="1"/>
      <c r="E133" s="141" t="s">
        <v>142</v>
      </c>
      <c r="F133" s="309">
        <v>200</v>
      </c>
      <c r="G133" s="310">
        <v>1</v>
      </c>
      <c r="H133" s="307">
        <f>+F133*G133*F$12</f>
        <v>34000</v>
      </c>
      <c r="I133" s="311"/>
      <c r="J133" s="43"/>
      <c r="K133" s="1"/>
      <c r="L133" s="82"/>
      <c r="M133" s="82"/>
      <c r="N133" s="82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91"/>
      <c r="AI133" s="91"/>
      <c r="AJ133" s="91"/>
      <c r="AK133" s="91"/>
      <c r="AL133" s="91"/>
      <c r="AM133" s="91"/>
      <c r="AN133" s="91"/>
      <c r="AO133" s="91"/>
      <c r="AP133" s="91"/>
      <c r="AQ133" s="91"/>
      <c r="AR133" s="91"/>
      <c r="AS133" s="91"/>
      <c r="AT133" s="91"/>
      <c r="AU133" s="91"/>
      <c r="AV133" s="91"/>
      <c r="AW133" s="91"/>
      <c r="AX133" s="91"/>
      <c r="AY133" s="91"/>
      <c r="AZ133" s="91"/>
      <c r="BA133" s="91"/>
      <c r="BB133" s="91"/>
      <c r="BC133" s="91"/>
      <c r="BD133" s="91"/>
      <c r="BE133" s="91"/>
      <c r="BF133" s="91"/>
      <c r="BG133" s="91"/>
      <c r="BH133" s="91"/>
      <c r="BI133" s="91"/>
      <c r="BJ133" s="91"/>
      <c r="BK133" s="91"/>
      <c r="BL133" s="91"/>
      <c r="BM133" s="91"/>
      <c r="BN133" s="91"/>
      <c r="BO133" s="91"/>
      <c r="BP133" s="91"/>
      <c r="BQ133" s="91"/>
      <c r="BR133" s="91"/>
      <c r="BS133" s="91"/>
      <c r="BT133" s="91"/>
      <c r="BU133" s="91"/>
      <c r="BV133" s="91"/>
      <c r="BW133" s="91"/>
      <c r="BX133" s="91"/>
      <c r="BY133" s="91"/>
      <c r="BZ133" s="91"/>
      <c r="CA133" s="91"/>
      <c r="CB133" s="91"/>
      <c r="CC133" s="91"/>
      <c r="CD133" s="91"/>
      <c r="CE133" s="91"/>
      <c r="CF133" s="91"/>
      <c r="CG133" s="91"/>
      <c r="CH133" s="91"/>
      <c r="CI133" s="91"/>
      <c r="CJ133" s="91"/>
      <c r="CK133" s="91"/>
      <c r="CL133" s="91"/>
      <c r="CM133" s="91"/>
      <c r="CN133" s="91"/>
      <c r="CO133" s="91"/>
      <c r="CP133" s="91"/>
      <c r="CQ133" s="91"/>
      <c r="CR133" s="91"/>
      <c r="CS133" s="91"/>
      <c r="CT133" s="91"/>
      <c r="CU133" s="91"/>
      <c r="CV133" s="91"/>
      <c r="CW133" s="91"/>
      <c r="CX133" s="91"/>
      <c r="CY133" s="91"/>
      <c r="CZ133" s="91"/>
      <c r="DA133" s="91"/>
      <c r="DB133" s="91"/>
      <c r="DC133" s="91"/>
      <c r="DD133" s="91"/>
      <c r="DE133" s="91"/>
      <c r="DF133" s="91"/>
      <c r="DG133" s="91"/>
      <c r="DH133" s="91"/>
      <c r="DI133" s="91"/>
      <c r="DJ133" s="91"/>
      <c r="DK133" s="91"/>
      <c r="DL133" s="91"/>
      <c r="DM133" s="91"/>
      <c r="DN133" s="91"/>
      <c r="DO133" s="91"/>
      <c r="DP133" s="91"/>
      <c r="DQ133" s="91"/>
      <c r="DR133" s="91"/>
      <c r="DS133" s="91"/>
      <c r="DT133" s="91"/>
      <c r="DU133" s="91"/>
      <c r="DV133" s="91"/>
      <c r="DW133" s="91"/>
      <c r="DX133" s="91"/>
      <c r="DY133" s="91"/>
      <c r="DZ133" s="91"/>
      <c r="EA133" s="91"/>
      <c r="EB133" s="91"/>
      <c r="EC133" s="91"/>
      <c r="ED133" s="91"/>
      <c r="EE133" s="91"/>
      <c r="EF133" s="91"/>
      <c r="EG133" s="91"/>
      <c r="EH133" s="91"/>
      <c r="EI133" s="91"/>
      <c r="EJ133" s="91"/>
      <c r="EK133" s="91"/>
      <c r="EL133" s="91"/>
      <c r="EM133" s="91"/>
      <c r="EN133" s="91"/>
      <c r="EO133" s="91"/>
      <c r="EP133" s="91"/>
      <c r="EQ133" s="91"/>
      <c r="ER133" s="91"/>
      <c r="ES133" s="91"/>
      <c r="ET133" s="91"/>
      <c r="EU133" s="91"/>
      <c r="EV133" s="91"/>
      <c r="EW133" s="91"/>
      <c r="EX133" s="91"/>
      <c r="EY133" s="91"/>
      <c r="EZ133" s="91"/>
      <c r="FA133" s="91"/>
      <c r="FB133" s="91"/>
      <c r="FC133" s="91"/>
      <c r="FD133" s="91"/>
      <c r="FE133" s="91"/>
      <c r="FF133" s="91"/>
      <c r="FG133" s="91"/>
      <c r="FH133" s="91"/>
      <c r="FI133" s="91"/>
      <c r="FJ133" s="91"/>
      <c r="FK133" s="91"/>
      <c r="FL133" s="91"/>
      <c r="FM133" s="91"/>
      <c r="FN133" s="91"/>
      <c r="FO133" s="91"/>
      <c r="FP133" s="91"/>
      <c r="FQ133" s="91"/>
      <c r="FR133" s="91"/>
      <c r="FS133" s="91"/>
      <c r="FT133" s="91"/>
      <c r="FU133" s="91"/>
      <c r="FV133" s="91"/>
      <c r="FW133" s="91"/>
      <c r="FX133" s="91"/>
      <c r="FY133" s="91"/>
      <c r="FZ133" s="91"/>
      <c r="GA133" s="91"/>
      <c r="GB133" s="91"/>
      <c r="GC133" s="91"/>
      <c r="GD133" s="91"/>
      <c r="GE133" s="91"/>
      <c r="GF133" s="91"/>
      <c r="GG133" s="91"/>
      <c r="GH133" s="91"/>
      <c r="GI133" s="91"/>
      <c r="GJ133" s="91"/>
      <c r="GK133" s="91"/>
      <c r="GL133" s="91"/>
      <c r="GM133" s="91"/>
      <c r="GN133" s="91"/>
      <c r="GO133" s="91"/>
      <c r="GP133" s="91"/>
      <c r="GQ133" s="91"/>
      <c r="GR133" s="91"/>
      <c r="GS133" s="91"/>
      <c r="GT133" s="91"/>
      <c r="GU133" s="91"/>
      <c r="GV133" s="91"/>
      <c r="GW133" s="91"/>
      <c r="GX133" s="91"/>
      <c r="GY133" s="91"/>
      <c r="GZ133" s="91"/>
      <c r="HA133" s="91"/>
      <c r="HB133" s="91"/>
      <c r="HC133" s="91"/>
      <c r="HD133" s="91"/>
      <c r="HE133" s="91"/>
      <c r="HF133" s="91"/>
      <c r="HG133" s="91"/>
      <c r="HH133" s="91"/>
      <c r="HI133" s="91"/>
      <c r="HJ133" s="91"/>
      <c r="HK133" s="91"/>
      <c r="HL133" s="91"/>
      <c r="HM133" s="91"/>
      <c r="HN133" s="91"/>
      <c r="HO133" s="91"/>
      <c r="HP133" s="91"/>
      <c r="HQ133" s="91"/>
      <c r="HR133" s="91"/>
      <c r="HS133" s="91"/>
      <c r="HT133" s="91"/>
      <c r="HU133" s="91"/>
      <c r="HV133" s="91"/>
      <c r="HW133" s="91"/>
      <c r="HX133" s="91"/>
      <c r="HY133" s="91"/>
      <c r="HZ133" s="91"/>
      <c r="IA133" s="91"/>
      <c r="IB133" s="91"/>
      <c r="IC133" s="91"/>
      <c r="ID133" s="91"/>
      <c r="IE133" s="91"/>
      <c r="IF133" s="91"/>
      <c r="IG133" s="91"/>
      <c r="IH133" s="91"/>
      <c r="II133" s="91"/>
      <c r="IJ133" s="91"/>
      <c r="IK133" s="91"/>
      <c r="IL133" s="91"/>
      <c r="IM133" s="91"/>
      <c r="IN133" s="91"/>
      <c r="IO133" s="91"/>
    </row>
    <row r="134" spans="1:249" x14ac:dyDescent="0.3">
      <c r="C134" s="1"/>
      <c r="E134" s="304" t="s">
        <v>143</v>
      </c>
      <c r="F134" s="309">
        <v>350</v>
      </c>
      <c r="G134" s="310">
        <v>1</v>
      </c>
      <c r="H134" s="312">
        <f>+F134*G134*12</f>
        <v>4200</v>
      </c>
      <c r="I134" s="311"/>
      <c r="J134" s="43"/>
      <c r="K134" s="1"/>
      <c r="L134" s="313" t="s">
        <v>144</v>
      </c>
      <c r="M134" s="314" t="s">
        <v>145</v>
      </c>
      <c r="N134" s="82" t="s">
        <v>146</v>
      </c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91"/>
      <c r="AH134" s="91"/>
      <c r="AI134" s="91"/>
      <c r="AJ134" s="91"/>
      <c r="AK134" s="91"/>
      <c r="AL134" s="91"/>
      <c r="AM134" s="91"/>
      <c r="AN134" s="91"/>
      <c r="AO134" s="91"/>
      <c r="AP134" s="91"/>
      <c r="AQ134" s="91"/>
      <c r="AR134" s="91"/>
      <c r="AS134" s="91"/>
      <c r="AT134" s="91"/>
      <c r="AU134" s="91"/>
      <c r="AV134" s="91"/>
      <c r="AW134" s="91"/>
      <c r="AX134" s="91"/>
      <c r="AY134" s="91"/>
      <c r="AZ134" s="91"/>
      <c r="BA134" s="91"/>
      <c r="BB134" s="91"/>
      <c r="BC134" s="91"/>
      <c r="BD134" s="91"/>
      <c r="BE134" s="91"/>
      <c r="BF134" s="91"/>
      <c r="BG134" s="91"/>
      <c r="BH134" s="91"/>
      <c r="BI134" s="91"/>
      <c r="BJ134" s="91"/>
      <c r="BK134" s="91"/>
      <c r="BL134" s="91"/>
      <c r="BM134" s="91"/>
      <c r="BN134" s="91"/>
      <c r="BO134" s="91"/>
      <c r="BP134" s="91"/>
      <c r="BQ134" s="91"/>
      <c r="BR134" s="91"/>
      <c r="BS134" s="91"/>
      <c r="BT134" s="91"/>
      <c r="BU134" s="91"/>
      <c r="BV134" s="91"/>
      <c r="BW134" s="91"/>
      <c r="BX134" s="91"/>
      <c r="BY134" s="91"/>
      <c r="BZ134" s="91"/>
      <c r="CA134" s="91"/>
      <c r="CB134" s="91"/>
      <c r="CC134" s="91"/>
      <c r="CD134" s="91"/>
      <c r="CE134" s="91"/>
      <c r="CF134" s="91"/>
      <c r="CG134" s="91"/>
      <c r="CH134" s="91"/>
      <c r="CI134" s="91"/>
      <c r="CJ134" s="91"/>
      <c r="CK134" s="91"/>
      <c r="CL134" s="91"/>
      <c r="CM134" s="91"/>
      <c r="CN134" s="91"/>
      <c r="CO134" s="91"/>
      <c r="CP134" s="91"/>
      <c r="CQ134" s="91"/>
      <c r="CR134" s="91"/>
      <c r="CS134" s="91"/>
      <c r="CT134" s="91"/>
      <c r="CU134" s="91"/>
      <c r="CV134" s="91"/>
      <c r="CW134" s="91"/>
      <c r="CX134" s="91"/>
      <c r="CY134" s="91"/>
      <c r="CZ134" s="91"/>
      <c r="DA134" s="91"/>
      <c r="DB134" s="91"/>
      <c r="DC134" s="91"/>
      <c r="DD134" s="91"/>
      <c r="DE134" s="91"/>
      <c r="DF134" s="91"/>
      <c r="DG134" s="91"/>
      <c r="DH134" s="91"/>
      <c r="DI134" s="91"/>
      <c r="DJ134" s="91"/>
      <c r="DK134" s="91"/>
      <c r="DL134" s="91"/>
      <c r="DM134" s="91"/>
      <c r="DN134" s="91"/>
      <c r="DO134" s="91"/>
      <c r="DP134" s="91"/>
      <c r="DQ134" s="91"/>
      <c r="DR134" s="91"/>
      <c r="DS134" s="91"/>
      <c r="DT134" s="91"/>
      <c r="DU134" s="91"/>
      <c r="DV134" s="91"/>
      <c r="DW134" s="91"/>
      <c r="DX134" s="91"/>
      <c r="DY134" s="91"/>
      <c r="DZ134" s="91"/>
      <c r="EA134" s="91"/>
      <c r="EB134" s="91"/>
      <c r="EC134" s="91"/>
      <c r="ED134" s="91"/>
      <c r="EE134" s="91"/>
      <c r="EF134" s="91"/>
      <c r="EG134" s="91"/>
      <c r="EH134" s="91"/>
      <c r="EI134" s="91"/>
      <c r="EJ134" s="91"/>
      <c r="EK134" s="91"/>
      <c r="EL134" s="91"/>
      <c r="EM134" s="91"/>
      <c r="EN134" s="91"/>
      <c r="EO134" s="91"/>
      <c r="EP134" s="91"/>
      <c r="EQ134" s="91"/>
      <c r="ER134" s="91"/>
      <c r="ES134" s="91"/>
      <c r="ET134" s="91"/>
      <c r="EU134" s="91"/>
      <c r="EV134" s="91"/>
      <c r="EW134" s="91"/>
      <c r="EX134" s="91"/>
      <c r="EY134" s="91"/>
      <c r="EZ134" s="91"/>
      <c r="FA134" s="91"/>
      <c r="FB134" s="91"/>
      <c r="FC134" s="91"/>
      <c r="FD134" s="91"/>
      <c r="FE134" s="91"/>
      <c r="FF134" s="91"/>
      <c r="FG134" s="91"/>
      <c r="FH134" s="91"/>
      <c r="FI134" s="91"/>
      <c r="FJ134" s="91"/>
      <c r="FK134" s="91"/>
      <c r="FL134" s="91"/>
      <c r="FM134" s="91"/>
      <c r="FN134" s="91"/>
      <c r="FO134" s="91"/>
      <c r="FP134" s="91"/>
      <c r="FQ134" s="91"/>
      <c r="FR134" s="91"/>
      <c r="FS134" s="91"/>
      <c r="FT134" s="91"/>
      <c r="FU134" s="91"/>
      <c r="FV134" s="91"/>
      <c r="FW134" s="91"/>
      <c r="FX134" s="91"/>
      <c r="FY134" s="91"/>
      <c r="FZ134" s="91"/>
      <c r="GA134" s="91"/>
      <c r="GB134" s="91"/>
      <c r="GC134" s="91"/>
      <c r="GD134" s="91"/>
      <c r="GE134" s="91"/>
      <c r="GF134" s="91"/>
      <c r="GG134" s="91"/>
      <c r="GH134" s="91"/>
      <c r="GI134" s="91"/>
      <c r="GJ134" s="91"/>
      <c r="GK134" s="91"/>
      <c r="GL134" s="91"/>
      <c r="GM134" s="91"/>
      <c r="GN134" s="91"/>
      <c r="GO134" s="91"/>
      <c r="GP134" s="91"/>
      <c r="GQ134" s="91"/>
      <c r="GR134" s="91"/>
      <c r="GS134" s="91"/>
      <c r="GT134" s="91"/>
      <c r="GU134" s="91"/>
      <c r="GV134" s="91"/>
      <c r="GW134" s="91"/>
      <c r="GX134" s="91"/>
      <c r="GY134" s="91"/>
      <c r="GZ134" s="91"/>
      <c r="HA134" s="91"/>
      <c r="HB134" s="91"/>
      <c r="HC134" s="91"/>
      <c r="HD134" s="91"/>
      <c r="HE134" s="91"/>
      <c r="HF134" s="91"/>
      <c r="HG134" s="91"/>
      <c r="HH134" s="91"/>
      <c r="HI134" s="91"/>
      <c r="HJ134" s="91"/>
      <c r="HK134" s="91"/>
      <c r="HL134" s="91"/>
      <c r="HM134" s="91"/>
      <c r="HN134" s="91"/>
      <c r="HO134" s="91"/>
      <c r="HP134" s="91"/>
      <c r="HQ134" s="91"/>
      <c r="HR134" s="91"/>
      <c r="HS134" s="91"/>
      <c r="HT134" s="91"/>
      <c r="HU134" s="91"/>
      <c r="HV134" s="91"/>
      <c r="HW134" s="91"/>
      <c r="HX134" s="91"/>
      <c r="HY134" s="91"/>
      <c r="HZ134" s="91"/>
      <c r="IA134" s="91"/>
      <c r="IB134" s="91"/>
      <c r="IC134" s="91"/>
      <c r="ID134" s="91"/>
      <c r="IE134" s="91"/>
      <c r="IF134" s="91"/>
      <c r="IG134" s="91"/>
      <c r="IH134" s="91"/>
      <c r="II134" s="91"/>
      <c r="IJ134" s="91"/>
      <c r="IK134" s="91"/>
      <c r="IL134" s="91"/>
      <c r="IM134" s="91"/>
      <c r="IN134" s="91"/>
      <c r="IO134" s="91"/>
    </row>
    <row r="135" spans="1:249" x14ac:dyDescent="0.3">
      <c r="C135" s="1"/>
      <c r="E135" s="315"/>
      <c r="F135" s="316"/>
      <c r="G135" s="238"/>
      <c r="H135" s="317">
        <f>SUM(H132:H134)</f>
        <v>101950</v>
      </c>
      <c r="I135" s="318">
        <f>+H135/K27</f>
        <v>1.6098383466494361E-2</v>
      </c>
      <c r="J135" s="43"/>
      <c r="K135" s="1"/>
      <c r="L135" s="319" t="s">
        <v>147</v>
      </c>
      <c r="M135" s="320">
        <v>2800</v>
      </c>
      <c r="N135" s="82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91"/>
      <c r="AH135" s="91"/>
      <c r="AI135" s="91"/>
      <c r="AJ135" s="91"/>
      <c r="AK135" s="91"/>
      <c r="AL135" s="91"/>
      <c r="AM135" s="91"/>
      <c r="AN135" s="91"/>
      <c r="AO135" s="91"/>
      <c r="AP135" s="91"/>
      <c r="AQ135" s="91"/>
      <c r="AR135" s="91"/>
      <c r="AS135" s="91"/>
      <c r="AT135" s="91"/>
      <c r="AU135" s="91"/>
      <c r="AV135" s="91"/>
      <c r="AW135" s="91"/>
      <c r="AX135" s="91"/>
      <c r="AY135" s="91"/>
      <c r="AZ135" s="91"/>
      <c r="BA135" s="91"/>
      <c r="BB135" s="91"/>
      <c r="BC135" s="91"/>
      <c r="BD135" s="91"/>
      <c r="BE135" s="91"/>
      <c r="BF135" s="91"/>
      <c r="BG135" s="91"/>
      <c r="BH135" s="91"/>
      <c r="BI135" s="91"/>
      <c r="BJ135" s="91"/>
      <c r="BK135" s="91"/>
      <c r="BL135" s="91"/>
      <c r="BM135" s="91"/>
      <c r="BN135" s="91"/>
      <c r="BO135" s="91"/>
      <c r="BP135" s="91"/>
      <c r="BQ135" s="91"/>
      <c r="BR135" s="91"/>
      <c r="BS135" s="91"/>
      <c r="BT135" s="91"/>
      <c r="BU135" s="91"/>
      <c r="BV135" s="91"/>
      <c r="BW135" s="91"/>
      <c r="BX135" s="91"/>
      <c r="BY135" s="91"/>
      <c r="BZ135" s="91"/>
      <c r="CA135" s="91"/>
      <c r="CB135" s="91"/>
      <c r="CC135" s="91"/>
      <c r="CD135" s="91"/>
      <c r="CE135" s="91"/>
      <c r="CF135" s="91"/>
      <c r="CG135" s="91"/>
      <c r="CH135" s="91"/>
      <c r="CI135" s="91"/>
      <c r="CJ135" s="91"/>
      <c r="CK135" s="91"/>
      <c r="CL135" s="91"/>
      <c r="CM135" s="91"/>
      <c r="CN135" s="91"/>
      <c r="CO135" s="91"/>
      <c r="CP135" s="91"/>
      <c r="CQ135" s="91"/>
      <c r="CR135" s="91"/>
      <c r="CS135" s="91"/>
      <c r="CT135" s="91"/>
      <c r="CU135" s="91"/>
      <c r="CV135" s="91"/>
      <c r="CW135" s="91"/>
      <c r="CX135" s="91"/>
      <c r="CY135" s="91"/>
      <c r="CZ135" s="91"/>
      <c r="DA135" s="91"/>
      <c r="DB135" s="91"/>
      <c r="DC135" s="91"/>
      <c r="DD135" s="91"/>
      <c r="DE135" s="91"/>
      <c r="DF135" s="91"/>
      <c r="DG135" s="91"/>
      <c r="DH135" s="91"/>
      <c r="DI135" s="91"/>
      <c r="DJ135" s="91"/>
      <c r="DK135" s="91"/>
      <c r="DL135" s="91"/>
      <c r="DM135" s="91"/>
      <c r="DN135" s="91"/>
      <c r="DO135" s="91"/>
      <c r="DP135" s="91"/>
      <c r="DQ135" s="91"/>
      <c r="DR135" s="91"/>
      <c r="DS135" s="91"/>
      <c r="DT135" s="91"/>
      <c r="DU135" s="91"/>
      <c r="DV135" s="91"/>
      <c r="DW135" s="91"/>
      <c r="DX135" s="91"/>
      <c r="DY135" s="91"/>
      <c r="DZ135" s="91"/>
      <c r="EA135" s="91"/>
      <c r="EB135" s="91"/>
      <c r="EC135" s="91"/>
      <c r="ED135" s="91"/>
      <c r="EE135" s="91"/>
      <c r="EF135" s="91"/>
      <c r="EG135" s="91"/>
      <c r="EH135" s="91"/>
      <c r="EI135" s="91"/>
      <c r="EJ135" s="91"/>
      <c r="EK135" s="91"/>
      <c r="EL135" s="91"/>
      <c r="EM135" s="91"/>
      <c r="EN135" s="91"/>
      <c r="EO135" s="91"/>
      <c r="EP135" s="91"/>
      <c r="EQ135" s="91"/>
      <c r="ER135" s="91"/>
      <c r="ES135" s="91"/>
      <c r="ET135" s="91"/>
      <c r="EU135" s="91"/>
      <c r="EV135" s="91"/>
      <c r="EW135" s="91"/>
      <c r="EX135" s="91"/>
      <c r="EY135" s="91"/>
      <c r="EZ135" s="91"/>
      <c r="FA135" s="91"/>
      <c r="FB135" s="91"/>
      <c r="FC135" s="91"/>
      <c r="FD135" s="91"/>
      <c r="FE135" s="91"/>
      <c r="FF135" s="91"/>
      <c r="FG135" s="91"/>
      <c r="FH135" s="91"/>
      <c r="FI135" s="91"/>
      <c r="FJ135" s="91"/>
      <c r="FK135" s="91"/>
      <c r="FL135" s="91"/>
      <c r="FM135" s="91"/>
      <c r="FN135" s="91"/>
      <c r="FO135" s="91"/>
      <c r="FP135" s="91"/>
      <c r="FQ135" s="91"/>
      <c r="FR135" s="91"/>
      <c r="FS135" s="91"/>
      <c r="FT135" s="91"/>
      <c r="FU135" s="91"/>
      <c r="FV135" s="91"/>
      <c r="FW135" s="91"/>
      <c r="FX135" s="91"/>
      <c r="FY135" s="91"/>
      <c r="FZ135" s="91"/>
      <c r="GA135" s="91"/>
      <c r="GB135" s="91"/>
      <c r="GC135" s="91"/>
      <c r="GD135" s="91"/>
      <c r="GE135" s="91"/>
      <c r="GF135" s="91"/>
      <c r="GG135" s="91"/>
      <c r="GH135" s="91"/>
      <c r="GI135" s="91"/>
      <c r="GJ135" s="91"/>
      <c r="GK135" s="91"/>
      <c r="GL135" s="91"/>
      <c r="GM135" s="91"/>
      <c r="GN135" s="91"/>
      <c r="GO135" s="91"/>
      <c r="GP135" s="91"/>
      <c r="GQ135" s="91"/>
      <c r="GR135" s="91"/>
      <c r="GS135" s="91"/>
      <c r="GT135" s="91"/>
      <c r="GU135" s="91"/>
      <c r="GV135" s="91"/>
      <c r="GW135" s="91"/>
      <c r="GX135" s="91"/>
      <c r="GY135" s="91"/>
      <c r="GZ135" s="91"/>
      <c r="HA135" s="91"/>
      <c r="HB135" s="91"/>
      <c r="HC135" s="91"/>
      <c r="HD135" s="91"/>
      <c r="HE135" s="91"/>
      <c r="HF135" s="91"/>
      <c r="HG135" s="91"/>
      <c r="HH135" s="91"/>
      <c r="HI135" s="91"/>
      <c r="HJ135" s="91"/>
      <c r="HK135" s="91"/>
      <c r="HL135" s="91"/>
      <c r="HM135" s="91"/>
      <c r="HN135" s="91"/>
      <c r="HO135" s="91"/>
      <c r="HP135" s="91"/>
      <c r="HQ135" s="91"/>
      <c r="HR135" s="91"/>
      <c r="HS135" s="91"/>
      <c r="HT135" s="91"/>
      <c r="HU135" s="91"/>
      <c r="HV135" s="91"/>
      <c r="HW135" s="91"/>
      <c r="HX135" s="91"/>
      <c r="HY135" s="91"/>
      <c r="HZ135" s="91"/>
      <c r="IA135" s="91"/>
      <c r="IB135" s="91"/>
      <c r="IC135" s="91"/>
      <c r="ID135" s="91"/>
      <c r="IE135" s="91"/>
      <c r="IF135" s="91"/>
      <c r="IG135" s="91"/>
      <c r="IH135" s="91"/>
      <c r="II135" s="91"/>
      <c r="IJ135" s="91"/>
      <c r="IK135" s="91"/>
      <c r="IL135" s="91"/>
      <c r="IM135" s="91"/>
      <c r="IN135" s="91"/>
      <c r="IO135" s="91"/>
    </row>
    <row r="136" spans="1:249" ht="18" x14ac:dyDescent="0.3">
      <c r="C136" s="1"/>
      <c r="E136" s="321"/>
      <c r="F136" s="322"/>
      <c r="G136" s="323"/>
      <c r="H136" s="323"/>
      <c r="I136" s="324">
        <v>0.02</v>
      </c>
      <c r="J136" s="43" t="s">
        <v>148</v>
      </c>
      <c r="K136" s="1"/>
      <c r="L136" s="319" t="s">
        <v>149</v>
      </c>
      <c r="M136" s="320">
        <v>3200</v>
      </c>
      <c r="N136" s="82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1"/>
      <c r="AE136" s="91"/>
      <c r="AF136" s="91"/>
      <c r="AG136" s="91"/>
      <c r="AH136" s="91"/>
      <c r="AI136" s="91"/>
      <c r="AJ136" s="91"/>
      <c r="AK136" s="91"/>
      <c r="AL136" s="91"/>
      <c r="AM136" s="91"/>
      <c r="AN136" s="91"/>
      <c r="AO136" s="91"/>
      <c r="AP136" s="91"/>
      <c r="AQ136" s="91"/>
      <c r="AR136" s="91"/>
      <c r="AS136" s="91"/>
      <c r="AT136" s="91"/>
      <c r="AU136" s="91"/>
      <c r="AV136" s="91"/>
      <c r="AW136" s="91"/>
      <c r="AX136" s="91"/>
      <c r="AY136" s="91"/>
      <c r="AZ136" s="91"/>
      <c r="BA136" s="91"/>
      <c r="BB136" s="91"/>
      <c r="BC136" s="91"/>
      <c r="BD136" s="91"/>
      <c r="BE136" s="91"/>
      <c r="BF136" s="91"/>
      <c r="BG136" s="91"/>
      <c r="BH136" s="91"/>
      <c r="BI136" s="91"/>
      <c r="BJ136" s="91"/>
      <c r="BK136" s="91"/>
      <c r="BL136" s="91"/>
      <c r="BM136" s="91"/>
      <c r="BN136" s="91"/>
      <c r="BO136" s="91"/>
      <c r="BP136" s="91"/>
      <c r="BQ136" s="91"/>
      <c r="BR136" s="91"/>
      <c r="BS136" s="91"/>
      <c r="BT136" s="91"/>
      <c r="BU136" s="91"/>
      <c r="BV136" s="91"/>
      <c r="BW136" s="91"/>
      <c r="BX136" s="91"/>
      <c r="BY136" s="91"/>
      <c r="BZ136" s="91"/>
      <c r="CA136" s="91"/>
      <c r="CB136" s="91"/>
      <c r="CC136" s="91"/>
      <c r="CD136" s="91"/>
      <c r="CE136" s="91"/>
      <c r="CF136" s="91"/>
      <c r="CG136" s="91"/>
      <c r="CH136" s="91"/>
      <c r="CI136" s="91"/>
      <c r="CJ136" s="91"/>
      <c r="CK136" s="91"/>
      <c r="CL136" s="91"/>
      <c r="CM136" s="91"/>
      <c r="CN136" s="91"/>
      <c r="CO136" s="91"/>
      <c r="CP136" s="91"/>
      <c r="CQ136" s="91"/>
      <c r="CR136" s="91"/>
      <c r="CS136" s="91"/>
      <c r="CT136" s="91"/>
      <c r="CU136" s="91"/>
      <c r="CV136" s="91"/>
      <c r="CW136" s="91"/>
      <c r="CX136" s="91"/>
      <c r="CY136" s="91"/>
      <c r="CZ136" s="91"/>
      <c r="DA136" s="91"/>
      <c r="DB136" s="91"/>
      <c r="DC136" s="91"/>
      <c r="DD136" s="91"/>
      <c r="DE136" s="91"/>
      <c r="DF136" s="91"/>
      <c r="DG136" s="91"/>
      <c r="DH136" s="91"/>
      <c r="DI136" s="91"/>
      <c r="DJ136" s="91"/>
      <c r="DK136" s="91"/>
      <c r="DL136" s="91"/>
      <c r="DM136" s="91"/>
      <c r="DN136" s="91"/>
      <c r="DO136" s="91"/>
      <c r="DP136" s="91"/>
      <c r="DQ136" s="91"/>
      <c r="DR136" s="91"/>
      <c r="DS136" s="91"/>
      <c r="DT136" s="91"/>
      <c r="DU136" s="91"/>
      <c r="DV136" s="91"/>
      <c r="DW136" s="91"/>
      <c r="DX136" s="91"/>
      <c r="DY136" s="91"/>
      <c r="DZ136" s="91"/>
      <c r="EA136" s="91"/>
      <c r="EB136" s="91"/>
      <c r="EC136" s="91"/>
      <c r="ED136" s="91"/>
      <c r="EE136" s="91"/>
      <c r="EF136" s="91"/>
      <c r="EG136" s="91"/>
      <c r="EH136" s="91"/>
      <c r="EI136" s="91"/>
      <c r="EJ136" s="91"/>
      <c r="EK136" s="91"/>
      <c r="EL136" s="91"/>
      <c r="EM136" s="91"/>
      <c r="EN136" s="91"/>
      <c r="EO136" s="91"/>
      <c r="EP136" s="91"/>
      <c r="EQ136" s="91"/>
      <c r="ER136" s="91"/>
      <c r="ES136" s="91"/>
      <c r="ET136" s="91"/>
      <c r="EU136" s="91"/>
      <c r="EV136" s="91"/>
      <c r="EW136" s="91"/>
      <c r="EX136" s="91"/>
      <c r="EY136" s="91"/>
      <c r="EZ136" s="91"/>
      <c r="FA136" s="91"/>
      <c r="FB136" s="91"/>
      <c r="FC136" s="91"/>
      <c r="FD136" s="91"/>
      <c r="FE136" s="91"/>
      <c r="FF136" s="91"/>
      <c r="FG136" s="91"/>
      <c r="FH136" s="91"/>
      <c r="FI136" s="91"/>
      <c r="FJ136" s="91"/>
      <c r="FK136" s="91"/>
      <c r="FL136" s="91"/>
      <c r="FM136" s="91"/>
      <c r="FN136" s="91"/>
      <c r="FO136" s="91"/>
      <c r="FP136" s="91"/>
      <c r="FQ136" s="91"/>
      <c r="FR136" s="91"/>
      <c r="FS136" s="91"/>
      <c r="FT136" s="91"/>
      <c r="FU136" s="91"/>
      <c r="FV136" s="91"/>
      <c r="FW136" s="91"/>
      <c r="FX136" s="91"/>
      <c r="FY136" s="91"/>
      <c r="FZ136" s="91"/>
      <c r="GA136" s="91"/>
      <c r="GB136" s="91"/>
      <c r="GC136" s="91"/>
      <c r="GD136" s="91"/>
      <c r="GE136" s="91"/>
      <c r="GF136" s="91"/>
      <c r="GG136" s="91"/>
      <c r="GH136" s="91"/>
      <c r="GI136" s="91"/>
      <c r="GJ136" s="91"/>
      <c r="GK136" s="91"/>
      <c r="GL136" s="91"/>
      <c r="GM136" s="91"/>
      <c r="GN136" s="91"/>
      <c r="GO136" s="91"/>
      <c r="GP136" s="91"/>
      <c r="GQ136" s="91"/>
      <c r="GR136" s="91"/>
      <c r="GS136" s="91"/>
      <c r="GT136" s="91"/>
      <c r="GU136" s="91"/>
      <c r="GV136" s="91"/>
      <c r="GW136" s="91"/>
      <c r="GX136" s="91"/>
      <c r="GY136" s="91"/>
      <c r="GZ136" s="91"/>
      <c r="HA136" s="91"/>
      <c r="HB136" s="91"/>
      <c r="HC136" s="91"/>
      <c r="HD136" s="91"/>
      <c r="HE136" s="91"/>
      <c r="HF136" s="91"/>
      <c r="HG136" s="91"/>
      <c r="HH136" s="91"/>
      <c r="HI136" s="91"/>
      <c r="HJ136" s="91"/>
      <c r="HK136" s="91"/>
      <c r="HL136" s="91"/>
      <c r="HM136" s="91"/>
      <c r="HN136" s="91"/>
      <c r="HO136" s="91"/>
      <c r="HP136" s="91"/>
      <c r="HQ136" s="91"/>
      <c r="HR136" s="91"/>
      <c r="HS136" s="91"/>
      <c r="HT136" s="91"/>
      <c r="HU136" s="91"/>
      <c r="HV136" s="91"/>
      <c r="HW136" s="91"/>
      <c r="HX136" s="91"/>
      <c r="HY136" s="91"/>
      <c r="HZ136" s="91"/>
      <c r="IA136" s="91"/>
      <c r="IB136" s="91"/>
      <c r="IC136" s="91"/>
      <c r="ID136" s="91"/>
      <c r="IE136" s="91"/>
      <c r="IF136" s="91"/>
      <c r="IG136" s="91"/>
      <c r="IH136" s="91"/>
      <c r="II136" s="91"/>
      <c r="IJ136" s="91"/>
      <c r="IK136" s="91"/>
      <c r="IL136" s="91"/>
      <c r="IM136" s="91"/>
      <c r="IN136" s="91"/>
      <c r="IO136" s="91"/>
    </row>
    <row r="137" spans="1:249" ht="18" x14ac:dyDescent="0.3">
      <c r="C137" s="1"/>
      <c r="E137" s="131"/>
      <c r="F137" s="2"/>
      <c r="G137" s="43"/>
      <c r="H137" s="43"/>
      <c r="I137" s="43"/>
      <c r="J137" s="43"/>
      <c r="K137" s="1"/>
      <c r="L137" s="319" t="s">
        <v>150</v>
      </c>
      <c r="M137" s="320">
        <v>3420</v>
      </c>
      <c r="N137" s="82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91"/>
      <c r="AF137" s="91"/>
      <c r="AG137" s="91"/>
      <c r="AH137" s="91"/>
      <c r="AI137" s="91"/>
      <c r="AJ137" s="91"/>
      <c r="AK137" s="91"/>
      <c r="AL137" s="91"/>
      <c r="AM137" s="91"/>
      <c r="AN137" s="91"/>
      <c r="AO137" s="91"/>
      <c r="AP137" s="91"/>
      <c r="AQ137" s="91"/>
      <c r="AR137" s="91"/>
      <c r="AS137" s="91"/>
      <c r="AT137" s="91"/>
      <c r="AU137" s="91"/>
      <c r="AV137" s="91"/>
      <c r="AW137" s="91"/>
      <c r="AX137" s="91"/>
      <c r="AY137" s="91"/>
      <c r="AZ137" s="91"/>
      <c r="BA137" s="91"/>
      <c r="BB137" s="91"/>
      <c r="BC137" s="91"/>
      <c r="BD137" s="91"/>
      <c r="BE137" s="91"/>
      <c r="BF137" s="91"/>
      <c r="BG137" s="91"/>
      <c r="BH137" s="91"/>
      <c r="BI137" s="91"/>
      <c r="BJ137" s="91"/>
      <c r="BK137" s="91"/>
      <c r="BL137" s="91"/>
      <c r="BM137" s="91"/>
      <c r="BN137" s="91"/>
      <c r="BO137" s="91"/>
      <c r="BP137" s="91"/>
      <c r="BQ137" s="91"/>
      <c r="BR137" s="91"/>
      <c r="BS137" s="91"/>
      <c r="BT137" s="91"/>
      <c r="BU137" s="91"/>
      <c r="BV137" s="91"/>
      <c r="BW137" s="91"/>
      <c r="BX137" s="91"/>
      <c r="BY137" s="91"/>
      <c r="BZ137" s="91"/>
      <c r="CA137" s="91"/>
      <c r="CB137" s="91"/>
      <c r="CC137" s="91"/>
      <c r="CD137" s="91"/>
      <c r="CE137" s="91"/>
      <c r="CF137" s="91"/>
      <c r="CG137" s="91"/>
      <c r="CH137" s="91"/>
      <c r="CI137" s="91"/>
      <c r="CJ137" s="91"/>
      <c r="CK137" s="91"/>
      <c r="CL137" s="91"/>
      <c r="CM137" s="91"/>
      <c r="CN137" s="91"/>
      <c r="CO137" s="91"/>
      <c r="CP137" s="91"/>
      <c r="CQ137" s="91"/>
      <c r="CR137" s="91"/>
      <c r="CS137" s="91"/>
      <c r="CT137" s="91"/>
      <c r="CU137" s="91"/>
      <c r="CV137" s="91"/>
      <c r="CW137" s="91"/>
      <c r="CX137" s="91"/>
      <c r="CY137" s="91"/>
      <c r="CZ137" s="91"/>
      <c r="DA137" s="91"/>
      <c r="DB137" s="91"/>
      <c r="DC137" s="91"/>
      <c r="DD137" s="91"/>
      <c r="DE137" s="91"/>
      <c r="DF137" s="91"/>
      <c r="DG137" s="91"/>
      <c r="DH137" s="91"/>
      <c r="DI137" s="91"/>
      <c r="DJ137" s="91"/>
      <c r="DK137" s="91"/>
      <c r="DL137" s="91"/>
      <c r="DM137" s="91"/>
      <c r="DN137" s="91"/>
      <c r="DO137" s="91"/>
      <c r="DP137" s="91"/>
      <c r="DQ137" s="91"/>
      <c r="DR137" s="91"/>
      <c r="DS137" s="91"/>
      <c r="DT137" s="91"/>
      <c r="DU137" s="91"/>
      <c r="DV137" s="91"/>
      <c r="DW137" s="91"/>
      <c r="DX137" s="91"/>
      <c r="DY137" s="91"/>
      <c r="DZ137" s="91"/>
      <c r="EA137" s="91"/>
      <c r="EB137" s="91"/>
      <c r="EC137" s="91"/>
      <c r="ED137" s="91"/>
      <c r="EE137" s="91"/>
      <c r="EF137" s="91"/>
      <c r="EG137" s="91"/>
      <c r="EH137" s="91"/>
      <c r="EI137" s="91"/>
      <c r="EJ137" s="91"/>
      <c r="EK137" s="91"/>
      <c r="EL137" s="91"/>
      <c r="EM137" s="91"/>
      <c r="EN137" s="91"/>
      <c r="EO137" s="91"/>
      <c r="EP137" s="91"/>
      <c r="EQ137" s="91"/>
      <c r="ER137" s="91"/>
      <c r="ES137" s="91"/>
      <c r="ET137" s="91"/>
      <c r="EU137" s="91"/>
      <c r="EV137" s="91"/>
      <c r="EW137" s="91"/>
      <c r="EX137" s="91"/>
      <c r="EY137" s="91"/>
      <c r="EZ137" s="91"/>
      <c r="FA137" s="91"/>
      <c r="FB137" s="91"/>
      <c r="FC137" s="91"/>
      <c r="FD137" s="91"/>
      <c r="FE137" s="91"/>
      <c r="FF137" s="91"/>
      <c r="FG137" s="91"/>
      <c r="FH137" s="91"/>
      <c r="FI137" s="91"/>
      <c r="FJ137" s="91"/>
      <c r="FK137" s="91"/>
      <c r="FL137" s="91"/>
      <c r="FM137" s="91"/>
      <c r="FN137" s="91"/>
      <c r="FO137" s="91"/>
      <c r="FP137" s="91"/>
      <c r="FQ137" s="91"/>
      <c r="FR137" s="91"/>
      <c r="FS137" s="91"/>
      <c r="FT137" s="91"/>
      <c r="FU137" s="91"/>
      <c r="FV137" s="91"/>
      <c r="FW137" s="91"/>
      <c r="FX137" s="91"/>
      <c r="FY137" s="91"/>
      <c r="FZ137" s="91"/>
      <c r="GA137" s="91"/>
      <c r="GB137" s="91"/>
      <c r="GC137" s="91"/>
      <c r="GD137" s="91"/>
      <c r="GE137" s="91"/>
      <c r="GF137" s="91"/>
      <c r="GG137" s="91"/>
      <c r="GH137" s="91"/>
      <c r="GI137" s="91"/>
      <c r="GJ137" s="91"/>
      <c r="GK137" s="91"/>
      <c r="GL137" s="91"/>
      <c r="GM137" s="91"/>
      <c r="GN137" s="91"/>
      <c r="GO137" s="91"/>
      <c r="GP137" s="91"/>
      <c r="GQ137" s="91"/>
      <c r="GR137" s="91"/>
      <c r="GS137" s="91"/>
      <c r="GT137" s="91"/>
      <c r="GU137" s="91"/>
      <c r="GV137" s="91"/>
      <c r="GW137" s="91"/>
      <c r="GX137" s="91"/>
      <c r="GY137" s="91"/>
      <c r="GZ137" s="91"/>
      <c r="HA137" s="91"/>
      <c r="HB137" s="91"/>
      <c r="HC137" s="91"/>
      <c r="HD137" s="91"/>
      <c r="HE137" s="91"/>
      <c r="HF137" s="91"/>
      <c r="HG137" s="91"/>
      <c r="HH137" s="91"/>
      <c r="HI137" s="91"/>
      <c r="HJ137" s="91"/>
      <c r="HK137" s="91"/>
      <c r="HL137" s="91"/>
      <c r="HM137" s="91"/>
      <c r="HN137" s="91"/>
      <c r="HO137" s="91"/>
      <c r="HP137" s="91"/>
      <c r="HQ137" s="91"/>
      <c r="HR137" s="91"/>
      <c r="HS137" s="91"/>
      <c r="HT137" s="91"/>
      <c r="HU137" s="91"/>
      <c r="HV137" s="91"/>
      <c r="HW137" s="91"/>
      <c r="HX137" s="91"/>
      <c r="HY137" s="91"/>
      <c r="HZ137" s="91"/>
      <c r="IA137" s="91"/>
      <c r="IB137" s="91"/>
      <c r="IC137" s="91"/>
      <c r="ID137" s="91"/>
      <c r="IE137" s="91"/>
      <c r="IF137" s="91"/>
      <c r="IG137" s="91"/>
      <c r="IH137" s="91"/>
      <c r="II137" s="91"/>
      <c r="IJ137" s="91"/>
      <c r="IK137" s="91"/>
      <c r="IL137" s="91"/>
      <c r="IM137" s="91"/>
      <c r="IN137" s="91"/>
      <c r="IO137" s="91"/>
    </row>
    <row r="138" spans="1:249" x14ac:dyDescent="0.3">
      <c r="A138" s="1"/>
      <c r="B138" s="1"/>
      <c r="C138" s="1"/>
      <c r="L138" s="319" t="s">
        <v>151</v>
      </c>
      <c r="M138" s="320">
        <v>3770</v>
      </c>
    </row>
    <row r="139" spans="1:249" x14ac:dyDescent="0.3">
      <c r="A139" s="1"/>
      <c r="B139" s="1"/>
      <c r="C139" s="1"/>
      <c r="L139" s="319" t="s">
        <v>152</v>
      </c>
      <c r="M139" s="320">
        <v>2875</v>
      </c>
    </row>
    <row r="140" spans="1:249" x14ac:dyDescent="0.3">
      <c r="A140" s="1"/>
      <c r="B140" s="1"/>
      <c r="C140" s="1"/>
      <c r="L140" s="319" t="s">
        <v>153</v>
      </c>
      <c r="M140" s="320">
        <v>1775</v>
      </c>
    </row>
    <row r="141" spans="1:249" x14ac:dyDescent="0.3">
      <c r="A141" s="1"/>
      <c r="B141" s="1"/>
      <c r="C141" s="1"/>
      <c r="L141" s="319" t="s">
        <v>154</v>
      </c>
      <c r="M141" s="320">
        <v>2025</v>
      </c>
    </row>
    <row r="142" spans="1:249" x14ac:dyDescent="0.2">
      <c r="A142" s="1"/>
      <c r="B142" s="1"/>
      <c r="C142" s="1"/>
    </row>
    <row r="143" spans="1:249" x14ac:dyDescent="0.2">
      <c r="A143" s="1"/>
      <c r="B143" s="1"/>
      <c r="C143" s="1"/>
      <c r="G143" s="6"/>
      <c r="H143" s="6"/>
      <c r="I143" s="6"/>
      <c r="J143" s="6"/>
    </row>
    <row r="144" spans="1:249" x14ac:dyDescent="0.2">
      <c r="A144" s="1"/>
      <c r="B144" s="1"/>
      <c r="C144" s="1"/>
      <c r="D144" s="6"/>
      <c r="E144" s="6"/>
      <c r="F144" s="6"/>
      <c r="G144" s="6"/>
      <c r="H144" s="6"/>
      <c r="I144" s="6"/>
      <c r="J144" s="6"/>
    </row>
    <row r="145" spans="1:10" x14ac:dyDescent="0.2">
      <c r="A145" s="1"/>
      <c r="B145" s="1"/>
      <c r="C145" s="1"/>
      <c r="D145" s="6"/>
      <c r="E145" s="6"/>
      <c r="F145" s="6"/>
      <c r="G145" s="6"/>
      <c r="H145" s="6"/>
      <c r="I145" s="6"/>
      <c r="J145" s="6"/>
    </row>
    <row r="146" spans="1:10" x14ac:dyDescent="0.2">
      <c r="A146" s="1"/>
      <c r="B146" s="1"/>
      <c r="C146" s="1"/>
      <c r="D146" s="6"/>
      <c r="E146" s="6"/>
      <c r="F146" s="6"/>
      <c r="G146" s="6"/>
      <c r="H146" s="6"/>
      <c r="I146" s="6"/>
      <c r="J146" s="6"/>
    </row>
    <row r="147" spans="1:10" x14ac:dyDescent="0.2">
      <c r="A147" s="1"/>
      <c r="B147" s="1"/>
      <c r="C147" s="1"/>
      <c r="D147" s="6"/>
      <c r="E147" s="6"/>
      <c r="F147" s="6"/>
    </row>
    <row r="148" spans="1:10" x14ac:dyDescent="0.2">
      <c r="A148" s="1"/>
      <c r="B148" s="1"/>
    </row>
    <row r="149" spans="1:10" x14ac:dyDescent="0.2">
      <c r="A149" s="1"/>
      <c r="B149" s="1"/>
    </row>
  </sheetData>
  <mergeCells count="11">
    <mergeCell ref="H74:I74"/>
    <mergeCell ref="F85:G85"/>
    <mergeCell ref="H85:I85"/>
    <mergeCell ref="E2:L2"/>
    <mergeCell ref="G4:G5"/>
    <mergeCell ref="F67:G67"/>
    <mergeCell ref="H67:I67"/>
    <mergeCell ref="J67:K67"/>
    <mergeCell ref="F73:G73"/>
    <mergeCell ref="H73:I73"/>
    <mergeCell ref="J73:K73"/>
  </mergeCells>
  <pageMargins left="1" right="0.53408239700374527" top="1" bottom="1" header="0.5" footer="0.5"/>
  <pageSetup paperSize="3" scale="38" orientation="landscape" horizontalDpi="4294967295" verticalDpi="4294967295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1A Proforma</vt:lpstr>
      <vt:lpstr>'1A Proforma'!Print_Area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</dc:creator>
  <cp:lastModifiedBy>Noor</cp:lastModifiedBy>
  <dcterms:created xsi:type="dcterms:W3CDTF">2026-02-11T17:32:20Z</dcterms:created>
  <dcterms:modified xsi:type="dcterms:W3CDTF">2026-02-11T17:54:47Z</dcterms:modified>
</cp:coreProperties>
</file>