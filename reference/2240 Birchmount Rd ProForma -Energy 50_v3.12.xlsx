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jeffr\Downloads\"/>
    </mc:Choice>
  </mc:AlternateContent>
  <xr:revisionPtr revIDLastSave="0" documentId="13_ncr:1_{C6A95E29-EDE7-4082-9D5C-6EB3380418B7}" xr6:coauthVersionLast="47" xr6:coauthVersionMax="47" xr10:uidLastSave="{00000000-0000-0000-0000-000000000000}"/>
  <bookViews>
    <workbookView xWindow="28680" yWindow="-120" windowWidth="29040" windowHeight="16440" tabRatio="897" activeTab="6" xr2:uid="{00000000-000D-0000-FFFF-FFFF00000000}"/>
  </bookViews>
  <sheets>
    <sheet name="Input CMHC MLI Select" sheetId="16" r:id="rId1"/>
    <sheet name="Rent Roll(MLI Select)" sheetId="18" r:id="rId2"/>
    <sheet name="Rent Roll CMHC" sheetId="19" r:id="rId3"/>
    <sheet name="Proforma Construction" sheetId="6" r:id="rId4"/>
    <sheet name="Rent Roll" sheetId="3" r:id="rId5"/>
    <sheet name="Proforma Purchase Refi" sheetId="21" r:id="rId6"/>
    <sheet name="Budget" sheetId="5" r:id="rId7"/>
    <sheet name="Corporate Guarantor PNW 1" sheetId="20" r:id="rId8"/>
    <sheet name="PNW 1" sheetId="10" r:id="rId9"/>
    <sheet name="PNW 2" sheetId="14" r:id="rId10"/>
    <sheet name="Executive Summary" sheetId="7" r:id="rId11"/>
    <sheet name="Mortgage Details" sheetId="8" r:id="rId12"/>
    <sheet name="Sponsorship" sheetId="9" r:id="rId13"/>
    <sheet name="Proforma summary" sheetId="11" r:id="rId14"/>
    <sheet name="Project economics" sheetId="12" r:id="rId15"/>
    <sheet name="DATA" sheetId="17" r:id="rId16"/>
  </sheets>
  <externalReferences>
    <externalReference r:id="rId17"/>
  </externalReferences>
  <definedNames>
    <definedName name="\p" localSheetId="6">#REF!</definedName>
    <definedName name="\p">#REF!</definedName>
    <definedName name="__IntlFixup" hidden="1">TRUE</definedName>
    <definedName name="__R">#REF!</definedName>
    <definedName name="_Fill" hidden="1">#REF!</definedName>
    <definedName name="_log2" localSheetId="6">#REF!</definedName>
    <definedName name="_log2">#REF!</definedName>
    <definedName name="_log3" localSheetId="6">#REF!</definedName>
    <definedName name="_log3">#REF!</definedName>
    <definedName name="_log4" localSheetId="6">#REF!</definedName>
    <definedName name="_log4">#REF!</definedName>
    <definedName name="_Order1" hidden="1">0</definedName>
    <definedName name="_ph1">#REF!</definedName>
    <definedName name="_ph2">#REF!</definedName>
    <definedName name="_ph3">#REF!</definedName>
    <definedName name="_PH8" localSheetId="6">#REF!</definedName>
    <definedName name="_PH8">#REF!</definedName>
    <definedName name="_PH9" localSheetId="6">#REF!</definedName>
    <definedName name="_PH9">#REF!</definedName>
    <definedName name="_R" localSheetId="6">#REF!</definedName>
    <definedName name="_R">#REF!</definedName>
    <definedName name="_REV1" localSheetId="6">#REF!</definedName>
    <definedName name="_REV1">#REF!</definedName>
    <definedName name="a" localSheetId="6">#REF!</definedName>
    <definedName name="a">#REF!</definedName>
    <definedName name="aa">#REF!</definedName>
    <definedName name="aaa" localSheetId="6" hidden="1">{#N/A,#N/A,FALSE,"Consolidated";#N/A,#N/A,FALSE,"Available Credit";#N/A,#N/A,FALSE,"100% Owned";#N/A,#N/A,FALSE,"Bentall U.S. LLC";#N/A,#N/A,FALSE,"Bentall Properties (U.S.) Ltd.";#N/A,#N/A,FALSE,"Schedule I"}</definedName>
    <definedName name="aaa" localSheetId="3" hidden="1">{#N/A,#N/A,FALSE,"Consolidated";#N/A,#N/A,FALSE,"Available Credit";#N/A,#N/A,FALSE,"100% Owned";#N/A,#N/A,FALSE,"Bentall U.S. LLC";#N/A,#N/A,FALSE,"Bentall Properties (U.S.) Ltd.";#N/A,#N/A,FALSE,"Schedule I"}</definedName>
    <definedName name="aaa" localSheetId="5" hidden="1">{#N/A,#N/A,FALSE,"Consolidated";#N/A,#N/A,FALSE,"Available Credit";#N/A,#N/A,FALSE,"100% Owned";#N/A,#N/A,FALSE,"Bentall U.S. LLC";#N/A,#N/A,FALSE,"Bentall Properties (U.S.) Ltd.";#N/A,#N/A,FALSE,"Schedule I"}</definedName>
    <definedName name="aaa" hidden="1">{#N/A,#N/A,FALSE,"Consolidated";#N/A,#N/A,FALSE,"Available Credit";#N/A,#N/A,FALSE,"100% Owned";#N/A,#N/A,FALSE,"Bentall U.S. LLC";#N/A,#N/A,FALSE,"Bentall Properties (U.S.) Ltd.";#N/A,#N/A,FALSE,"Schedule I"}</definedName>
    <definedName name="aaaa" localSheetId="6" hidden="1">{#N/A,#N/A,FALSE,"Consolidated";#N/A,#N/A,FALSE,"Available Credit";#N/A,#N/A,FALSE,"100% Owned";#N/A,#N/A,FALSE,"Bentall U.S. LLC";#N/A,#N/A,FALSE,"Bentall Properties (U.S.) Ltd.";#N/A,#N/A,FALSE,"Schedule I"}</definedName>
    <definedName name="aaaa" localSheetId="3" hidden="1">{#N/A,#N/A,FALSE,"Consolidated";#N/A,#N/A,FALSE,"Available Credit";#N/A,#N/A,FALSE,"100% Owned";#N/A,#N/A,FALSE,"Bentall U.S. LLC";#N/A,#N/A,FALSE,"Bentall Properties (U.S.) Ltd.";#N/A,#N/A,FALSE,"Schedule I"}</definedName>
    <definedName name="aaaa" localSheetId="5" hidden="1">{#N/A,#N/A,FALSE,"Consolidated";#N/A,#N/A,FALSE,"Available Credit";#N/A,#N/A,FALSE,"100% Owned";#N/A,#N/A,FALSE,"Bentall U.S. LLC";#N/A,#N/A,FALSE,"Bentall Properties (U.S.) Ltd.";#N/A,#N/A,FALSE,"Schedule I"}</definedName>
    <definedName name="aaaa" hidden="1">{#N/A,#N/A,FALSE,"Consolidated";#N/A,#N/A,FALSE,"Available Credit";#N/A,#N/A,FALSE,"100% Owned";#N/A,#N/A,FALSE,"Bentall U.S. LLC";#N/A,#N/A,FALSE,"Bentall Properties (U.S.) Ltd.";#N/A,#N/A,FALSE,"Schedule I"}</definedName>
    <definedName name="aaaaa" localSheetId="6"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aaaaa" localSheetId="3"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aaaaa" localSheetId="5"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aaaaa"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abx">#REF!</definedName>
    <definedName name="AccessDatabase" hidden="1">"J:\Condo\The Bonavista\The Bonavista.mdb"</definedName>
    <definedName name="accessories">#REF!</definedName>
    <definedName name="accr">#REF!</definedName>
    <definedName name="ACont">#REF!</definedName>
    <definedName name="Acont2">#REF!</definedName>
    <definedName name="AcquisitionProforma">#REF!</definedName>
    <definedName name="ad">#REF!</definedName>
    <definedName name="AGENCY_PRICING">#REF!,#REF!,#REF!,#REF!,#REF!,#REF!,#REF!,#REF!,#REF!,#REF!,#REF!,#REF!,#REF!,#REF!,#REF!,#REF!,#REF!,#REF!,#REF!,#REF!,#REF!</definedName>
    <definedName name="AGENCY_PRICING2">#REF!,#REF!,#REF!,#REF!,#REF!,#REF!,#REF!,#REF!,#REF!,#REF!,#REF!,#REF!</definedName>
    <definedName name="Allowances" localSheetId="6">#REF!</definedName>
    <definedName name="Allowances">#REF!</definedName>
    <definedName name="Altcashflow">#REF!</definedName>
    <definedName name="Am_2nd">#REF!</definedName>
    <definedName name="AMORTIZATION">#REF!</definedName>
    <definedName name="Amortization__Yrs" localSheetId="6">#REF!</definedName>
    <definedName name="Amortization__Yrs">#REF!</definedName>
    <definedName name="Analysis">#REF!</definedName>
    <definedName name="AP" localSheetId="6">#REF!</definedName>
    <definedName name="AP">#REF!</definedName>
    <definedName name="AR" localSheetId="6">#REF!</definedName>
    <definedName name="AR">#REF!</definedName>
    <definedName name="artwork">#REF!</definedName>
    <definedName name="as" localSheetId="6" hidden="1">{#N/A,#N/A,FALSE,"Class A";#N/A,#N/A,FALSE,"Class B";#N/A,#N/A,FALSE,"Class C"}</definedName>
    <definedName name="as" localSheetId="3" hidden="1">{#N/A,#N/A,FALSE,"Class A";#N/A,#N/A,FALSE,"Class B";#N/A,#N/A,FALSE,"Class C"}</definedName>
    <definedName name="as" localSheetId="5" hidden="1">{#N/A,#N/A,FALSE,"Class A";#N/A,#N/A,FALSE,"Class B";#N/A,#N/A,FALSE,"Class C"}</definedName>
    <definedName name="as" hidden="1">{#N/A,#N/A,FALSE,"Class A";#N/A,#N/A,FALSE,"Class B";#N/A,#N/A,FALSE,"Class C"}</definedName>
    <definedName name="asaasasa">#REF!</definedName>
    <definedName name="asasd" localSheetId="6" hidden="1">{#N/A,#N/A,FALSE,"Class A";#N/A,#N/A,FALSE,"Class B";#N/A,#N/A,FALSE,"Class C"}</definedName>
    <definedName name="asasd" localSheetId="3" hidden="1">{#N/A,#N/A,FALSE,"Class A";#N/A,#N/A,FALSE,"Class B";#N/A,#N/A,FALSE,"Class C"}</definedName>
    <definedName name="asasd" localSheetId="5" hidden="1">{#N/A,#N/A,FALSE,"Class A";#N/A,#N/A,FALSE,"Class B";#N/A,#N/A,FALSE,"Class C"}</definedName>
    <definedName name="asasd" hidden="1">{#N/A,#N/A,FALSE,"Class A";#N/A,#N/A,FALSE,"Class B";#N/A,#N/A,FALSE,"Class C"}</definedName>
    <definedName name="asbestos">#REF!</definedName>
    <definedName name="asdasd" localSheetId="6"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asdasd" localSheetId="3"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asdasd" localSheetId="5"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asdasd"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asdasda" localSheetId="6" hidden="1">{#N/A,#N/A,FALSE,"Consolidated";#N/A,#N/A,FALSE,"Available Credit";#N/A,#N/A,FALSE,"100% Owned";#N/A,#N/A,FALSE,"Bentall U.S. LLC";#N/A,#N/A,FALSE,"Bentall Properties (U.S.) Ltd.";#N/A,#N/A,FALSE,"Schedule I"}</definedName>
    <definedName name="asdasda" localSheetId="3" hidden="1">{#N/A,#N/A,FALSE,"Consolidated";#N/A,#N/A,FALSE,"Available Credit";#N/A,#N/A,FALSE,"100% Owned";#N/A,#N/A,FALSE,"Bentall U.S. LLC";#N/A,#N/A,FALSE,"Bentall Properties (U.S.) Ltd.";#N/A,#N/A,FALSE,"Schedule I"}</definedName>
    <definedName name="asdasda" localSheetId="5" hidden="1">{#N/A,#N/A,FALSE,"Consolidated";#N/A,#N/A,FALSE,"Available Credit";#N/A,#N/A,FALSE,"100% Owned";#N/A,#N/A,FALSE,"Bentall U.S. LLC";#N/A,#N/A,FALSE,"Bentall Properties (U.S.) Ltd.";#N/A,#N/A,FALSE,"Schedule I"}</definedName>
    <definedName name="asdasda" hidden="1">{#N/A,#N/A,FALSE,"Consolidated";#N/A,#N/A,FALSE,"Available Credit";#N/A,#N/A,FALSE,"100% Owned";#N/A,#N/A,FALSE,"Bentall U.S. LLC";#N/A,#N/A,FALSE,"Bentall Properties (U.S.) Ltd.";#N/A,#N/A,FALSE,"Schedule I"}</definedName>
    <definedName name="asdfasdf" localSheetId="6">#REF!</definedName>
    <definedName name="asdfasdf">#REF!</definedName>
    <definedName name="asSSAs">#REF!</definedName>
    <definedName name="Availability">#REF!</definedName>
    <definedName name="Bank">#REF!</definedName>
    <definedName name="Bankletter">#REF!</definedName>
    <definedName name="bathroom">#REF!</definedName>
    <definedName name="Binder">#REF!</definedName>
    <definedName name="bldgftprnt" localSheetId="6">#REF!</definedName>
    <definedName name="bldgftprnt">#REF!</definedName>
    <definedName name="BORDER" localSheetId="6">#REF!</definedName>
    <definedName name="BORDER">#REF!</definedName>
    <definedName name="BRIDGES12LAND" localSheetId="6">#REF!</definedName>
    <definedName name="BRIDGES12LAND">#REF!</definedName>
    <definedName name="BSF" localSheetId="6">#REF!</definedName>
    <definedName name="BSF">#REF!</definedName>
    <definedName name="budget" localSheetId="6">#REF!</definedName>
    <definedName name="budget">#REF!</definedName>
    <definedName name="BUNITS" localSheetId="6">#REF!</definedName>
    <definedName name="BUNITS">#REF!</definedName>
    <definedName name="Button_1">"CalifornianCasa_UnitDetails_List"</definedName>
    <definedName name="Button_80">"The_Bonavista_UnitDetails_List"</definedName>
    <definedName name="ca">#REF!</definedName>
    <definedName name="CalifornianCasa_UnitDetails_List" localSheetId="6">#REF!</definedName>
    <definedName name="CalifornianCasa_UnitDetails_List">#REF!</definedName>
    <definedName name="carpentry">#REF!</definedName>
    <definedName name="carpet">#REF!</definedName>
    <definedName name="CASH" localSheetId="6">#REF!</definedName>
    <definedName name="CASH">#REF!</definedName>
    <definedName name="Cashflow">#REF!</definedName>
    <definedName name="ceramictile">#REF!</definedName>
    <definedName name="cf">#REF!</definedName>
    <definedName name="CFSTMT" localSheetId="6">#REF!</definedName>
    <definedName name="CFSTMT">#REF!</definedName>
    <definedName name="chart_balance" localSheetId="6">OFFSET(#REF!,2,0,#REF!,1)</definedName>
    <definedName name="chart_balance">OFFSET(#REF!,2,0,#REF!,1)</definedName>
    <definedName name="chart_balance_noextra" localSheetId="6">FV(_xleta.RATE,chart_nper,payment,-loan_amount)</definedName>
    <definedName name="chart_balance_noextra" localSheetId="3">FV(_xleta.RATE,chart_nper,payment,-loan_amount)</definedName>
    <definedName name="chart_balance_noextra" localSheetId="5">FV(_xleta.RATE,chart_nper,payment,-loan_amount)</definedName>
    <definedName name="chart_balance_noextra">FV(_xleta.RATE,chart_nper,payment,-loan_amount)</definedName>
    <definedName name="chart_date" localSheetId="6">OFFSET(#REF!,2,0,#REF!,1)</definedName>
    <definedName name="chart_date">OFFSET(#REF!,2,0,#REF!,1)</definedName>
    <definedName name="chart_nper">ROW(OFFSET(#REF!,0,0,_xleta.NPER,1))</definedName>
    <definedName name="CIQWBGuid" hidden="1">"a611639b-bab1-425e-aaa5-008c326fdfdb"</definedName>
    <definedName name="comm">#REF!</definedName>
    <definedName name="Commission">#REF!</definedName>
    <definedName name="compound_period" localSheetId="6">INDEX({2,12,4,1},MATCH(#REF!,Budget!compound_periods,0))</definedName>
    <definedName name="compound_period" localSheetId="3">INDEX({2,12,4,1},MATCH(#REF!,'Proforma Construction'!compound_periods,0))</definedName>
    <definedName name="compound_period" localSheetId="5">INDEX({2,12,4,1},MATCH(#REF!,'Proforma Purchase Refi'!compound_periods,0))</definedName>
    <definedName name="compound_period">INDEX({2,12,4,1},MATCH(#REF!,compound_periods,0))</definedName>
    <definedName name="compound_periods" localSheetId="6">{"Semi-Annually";"Monthly";"Quarterly";"Annually"}</definedName>
    <definedName name="compound_periods" localSheetId="3">{"Semi-Annually";"Monthly";"Quarterly";"Annually"}</definedName>
    <definedName name="compound_periods" localSheetId="5">{"Semi-Annually";"Monthly";"Quarterly";"Annually"}</definedName>
    <definedName name="compound_periods">{"Semi-Annually";"Monthly";"Quarterly";"Annually"}</definedName>
    <definedName name="Compounding_Frequency" localSheetId="6">#REF!</definedName>
    <definedName name="Compounding_Frequency">#REF!</definedName>
    <definedName name="CON">#REF!</definedName>
    <definedName name="concom">#REF!</definedName>
    <definedName name="Concsealer">#REF!</definedName>
    <definedName name="conper">#REF!</definedName>
    <definedName name="const">#REF!</definedName>
    <definedName name="contingency" localSheetId="6">#REF!</definedName>
    <definedName name="contingency">#REF!</definedName>
    <definedName name="conveyhor">#REF!</definedName>
    <definedName name="cornerguards">#REF!</definedName>
    <definedName name="COST" localSheetId="6">#REF!</definedName>
    <definedName name="COST">#REF!</definedName>
    <definedName name="COST1" localSheetId="6">#REF!</definedName>
    <definedName name="COST1">#REF!</definedName>
    <definedName name="COST2" localSheetId="6">#REF!</definedName>
    <definedName name="COST2">#REF!</definedName>
    <definedName name="COST3" localSheetId="6">#REF!</definedName>
    <definedName name="COST3">#REF!</definedName>
    <definedName name="COST4" localSheetId="6">#REF!</definedName>
    <definedName name="COST4">#REF!</definedName>
    <definedName name="COST5" localSheetId="6">#REF!</definedName>
    <definedName name="COST5">#REF!</definedName>
    <definedName name="COST6" localSheetId="6">#REF!</definedName>
    <definedName name="COST6">#REF!</definedName>
    <definedName name="COST7" localSheetId="6">#REF!</definedName>
    <definedName name="COST7">#REF!</definedName>
    <definedName name="COST8" localSheetId="6">#REF!</definedName>
    <definedName name="COST8">#REF!</definedName>
    <definedName name="COST9" localSheetId="6">#REF!</definedName>
    <definedName name="COST9">#REF!</definedName>
    <definedName name="D">#REF!</definedName>
    <definedName name="data" localSheetId="6">#REF!</definedName>
    <definedName name="data">#REF!</definedName>
    <definedName name="Data.Dump" localSheetId="6" hidden="1">OFFSET(Data.Top.Left,1,0)</definedName>
    <definedName name="Data.Dump" hidden="1">OFFSET(#REF!,1,0)</definedName>
    <definedName name="DATA_01" localSheetId="6">#REF!</definedName>
    <definedName name="DATA_01">#REF!</definedName>
    <definedName name="Data_012" hidden="1">#REF!</definedName>
    <definedName name="DATA_02" localSheetId="6">#REF!</definedName>
    <definedName name="DATA_02">#REF!</definedName>
    <definedName name="DATA_03" localSheetId="6">#REF!</definedName>
    <definedName name="DATA_03">#REF!</definedName>
    <definedName name="DATA_04" hidden="1">#REF!</definedName>
    <definedName name="DATA_05" hidden="1">#REF!</definedName>
    <definedName name="DATA_06" hidden="1">#REF!</definedName>
    <definedName name="DATA_08" hidden="1">#REF!</definedName>
    <definedName name="deposit" localSheetId="6">#REF!</definedName>
    <definedName name="deposit">#REF!</definedName>
    <definedName name="df">#REF!</definedName>
    <definedName name="dfdsa">#REF!</definedName>
    <definedName name="dff">#REF!</definedName>
    <definedName name="dodge">#REF!</definedName>
    <definedName name="doug" localSheetId="6" hidden="1">{#N/A,#N/A,FALSE,"Consolidated";#N/A,#N/A,FALSE,"Available Credit";#N/A,#N/A,FALSE,"100% Owned";#N/A,#N/A,FALSE,"Bentall U.S. LLC";#N/A,#N/A,FALSE,"Bentall Properties (U.S.) Ltd.";#N/A,#N/A,FALSE,"Schedule I"}</definedName>
    <definedName name="doug" localSheetId="3" hidden="1">{#N/A,#N/A,FALSE,"Consolidated";#N/A,#N/A,FALSE,"Available Credit";#N/A,#N/A,FALSE,"100% Owned";#N/A,#N/A,FALSE,"Bentall U.S. LLC";#N/A,#N/A,FALSE,"Bentall Properties (U.S.) Ltd.";#N/A,#N/A,FALSE,"Schedule I"}</definedName>
    <definedName name="doug" localSheetId="5" hidden="1">{#N/A,#N/A,FALSE,"Consolidated";#N/A,#N/A,FALSE,"Available Credit";#N/A,#N/A,FALSE,"100% Owned";#N/A,#N/A,FALSE,"Bentall U.S. LLC";#N/A,#N/A,FALSE,"Bentall Properties (U.S.) Ltd.";#N/A,#N/A,FALSE,"Schedule I"}</definedName>
    <definedName name="doug" hidden="1">{#N/A,#N/A,FALSE,"Consolidated";#N/A,#N/A,FALSE,"Available Credit";#N/A,#N/A,FALSE,"100% Owned";#N/A,#N/A,FALSE,"Bentall U.S. LLC";#N/A,#N/A,FALSE,"Bentall Properties (U.S.) Ltd.";#N/A,#N/A,FALSE,"Schedule I"}</definedName>
    <definedName name="doug2" localSheetId="6" hidden="1">{#N/A,#N/A,FALSE,"Consolidated";#N/A,#N/A,FALSE,"Available Credit";#N/A,#N/A,FALSE,"100% Owned";#N/A,#N/A,FALSE,"Bentall U.S. LLC";#N/A,#N/A,FALSE,"Bentall Properties (U.S.) Ltd.";#N/A,#N/A,FALSE,"Schedule I"}</definedName>
    <definedName name="doug2" localSheetId="3" hidden="1">{#N/A,#N/A,FALSE,"Consolidated";#N/A,#N/A,FALSE,"Available Credit";#N/A,#N/A,FALSE,"100% Owned";#N/A,#N/A,FALSE,"Bentall U.S. LLC";#N/A,#N/A,FALSE,"Bentall Properties (U.S.) Ltd.";#N/A,#N/A,FALSE,"Schedule I"}</definedName>
    <definedName name="doug2" localSheetId="5" hidden="1">{#N/A,#N/A,FALSE,"Consolidated";#N/A,#N/A,FALSE,"Available Credit";#N/A,#N/A,FALSE,"100% Owned";#N/A,#N/A,FALSE,"Bentall U.S. LLC";#N/A,#N/A,FALSE,"Bentall Properties (U.S.) Ltd.";#N/A,#N/A,FALSE,"Schedule I"}</definedName>
    <definedName name="doug2" hidden="1">{#N/A,#N/A,FALSE,"Consolidated";#N/A,#N/A,FALSE,"Available Credit";#N/A,#N/A,FALSE,"100% Owned";#N/A,#N/A,FALSE,"Bentall U.S. LLC";#N/A,#N/A,FALSE,"Bentall Properties (U.S.) Ltd.";#N/A,#N/A,FALSE,"Schedule I"}</definedName>
    <definedName name="draperies">#REF!</definedName>
    <definedName name="dsfa"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dsfa"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dsfa"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dsfa"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duration" localSheetId="6">#REF!</definedName>
    <definedName name="duration">#REF!</definedName>
    <definedName name="e">#REF!</definedName>
    <definedName name="EQUITY" localSheetId="6">#REF!</definedName>
    <definedName name="EQUITY">#REF!</definedName>
    <definedName name="EQUITYRATE">#REF!</definedName>
    <definedName name="EQUITYREQUIREMENT" localSheetId="6">#REF!</definedName>
    <definedName name="EQUITYREQUIREMENT">#REF!</definedName>
    <definedName name="erosion">#REF!</definedName>
    <definedName name="ex">#REF!</definedName>
    <definedName name="EXP" localSheetId="6">#REF!</definedName>
    <definedName name="EXP">#REF!</definedName>
    <definedName name="Expense" localSheetId="6">#REF!</definedName>
    <definedName name="Expense">#REF!</definedName>
    <definedName name="expensee">#REF!</definedName>
    <definedName name="ExRate" localSheetId="6">#REF!</definedName>
    <definedName name="ExRate">#REF!</definedName>
    <definedName name="extra_payment_interval" localSheetId="6">#REF!</definedName>
    <definedName name="extra_payment_interval">#REF!</definedName>
    <definedName name="f">#REF!</definedName>
    <definedName name="FA">#REF!</definedName>
    <definedName name="fadsaf" localSheetId="6" hidden="1">{#N/A,#N/A,FALSE,"Class A";#N/A,#N/A,FALSE,"Class B";#N/A,#N/A,FALSE,"Class C"}</definedName>
    <definedName name="fadsaf" localSheetId="3" hidden="1">{#N/A,#N/A,FALSE,"Class A";#N/A,#N/A,FALSE,"Class B";#N/A,#N/A,FALSE,"Class C"}</definedName>
    <definedName name="fadsaf" localSheetId="5" hidden="1">{#N/A,#N/A,FALSE,"Class A";#N/A,#N/A,FALSE,"Class B";#N/A,#N/A,FALSE,"Class C"}</definedName>
    <definedName name="fadsaf" hidden="1">{#N/A,#N/A,FALSE,"Class A";#N/A,#N/A,FALSE,"Class B";#N/A,#N/A,FALSE,"Class C"}</definedName>
    <definedName name="fasdads" localSheetId="6" hidden="1">{#N/A,#N/A,FALSE,"Class A";#N/A,#N/A,FALSE,"Class B";#N/A,#N/A,FALSE,"Class C"}</definedName>
    <definedName name="fasdads" localSheetId="3" hidden="1">{#N/A,#N/A,FALSE,"Class A";#N/A,#N/A,FALSE,"Class B";#N/A,#N/A,FALSE,"Class C"}</definedName>
    <definedName name="fasdads" localSheetId="5" hidden="1">{#N/A,#N/A,FALSE,"Class A";#N/A,#N/A,FALSE,"Class B";#N/A,#N/A,FALSE,"Class C"}</definedName>
    <definedName name="fasdads" hidden="1">{#N/A,#N/A,FALSE,"Class A";#N/A,#N/A,FALSE,"Class B";#N/A,#N/A,FALSE,"Class C"}</definedName>
    <definedName name="fdsa" localSheetId="6"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fdsa" localSheetId="3"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fdsa" localSheetId="5"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fdsa"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fdss" localSheetId="6" hidden="1">{#N/A,#N/A,FALSE,"Class A";#N/A,#N/A,FALSE,"Class B";#N/A,#N/A,FALSE,"Class C"}</definedName>
    <definedName name="fdss" localSheetId="3" hidden="1">{#N/A,#N/A,FALSE,"Class A";#N/A,#N/A,FALSE,"Class B";#N/A,#N/A,FALSE,"Class C"}</definedName>
    <definedName name="fdss" localSheetId="5" hidden="1">{#N/A,#N/A,FALSE,"Class A";#N/A,#N/A,FALSE,"Class B";#N/A,#N/A,FALSE,"Class C"}</definedName>
    <definedName name="fdss" hidden="1">{#N/A,#N/A,FALSE,"Class A";#N/A,#N/A,FALSE,"Class B";#N/A,#N/A,FALSE,"Class C"}</definedName>
    <definedName name="FE">#REF!</definedName>
    <definedName name="ffff" localSheetId="6"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ffff" localSheetId="3"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ffff" localSheetId="5"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ffff"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finalclean">#REF!</definedName>
    <definedName name="firealarm">#REF!</definedName>
    <definedName name="fireprotection">#REF!</definedName>
    <definedName name="firstdeposit">#REF!</definedName>
    <definedName name="fixtures">#REF!</definedName>
    <definedName name="floorcovering">#REF!</definedName>
    <definedName name="Floorplan">#REF!</definedName>
    <definedName name="fpdate" localSheetId="6">#REF!</definedName>
    <definedName name="fpdate">#REF!</definedName>
    <definedName name="free">#REF!</definedName>
    <definedName name="FreeRent99" localSheetId="6">#REF!</definedName>
    <definedName name="FreeRent99">#REF!</definedName>
    <definedName name="frequency" localSheetId="6">{"Annually";"Semi-Annually";"Quarterly";"Bi-Monthly";"Monthly";"Semi-Monthly";"Bi-Weekly";"Weekly"}</definedName>
    <definedName name="frequency" localSheetId="3">{"Annually";"Semi-Annually";"Quarterly";"Bi-Monthly";"Monthly";"Semi-Monthly";"Bi-Weekly";"Weekly"}</definedName>
    <definedName name="frequency" localSheetId="5">{"Annually";"Semi-Annually";"Quarterly";"Bi-Monthly";"Monthly";"Semi-Monthly";"Bi-Weekly";"Weekly"}</definedName>
    <definedName name="frequency">{"Annually";"Semi-Annually";"Quarterly";"Bi-Monthly";"Monthly";"Semi-Monthly";"Bi-Weekly";"Weekly"}</definedName>
    <definedName name="fsda" localSheetId="6" hidden="1">{#N/A,#N/A,FALSE,"Class A";#N/A,#N/A,FALSE,"Class B";#N/A,#N/A,FALSE,"Class C"}</definedName>
    <definedName name="fsda" localSheetId="3" hidden="1">{#N/A,#N/A,FALSE,"Class A";#N/A,#N/A,FALSE,"Class B";#N/A,#N/A,FALSE,"Class C"}</definedName>
    <definedName name="fsda" localSheetId="5" hidden="1">{#N/A,#N/A,FALSE,"Class A";#N/A,#N/A,FALSE,"Class B";#N/A,#N/A,FALSE,"Class C"}</definedName>
    <definedName name="fsda" hidden="1">{#N/A,#N/A,FALSE,"Class A";#N/A,#N/A,FALSE,"Class B";#N/A,#N/A,FALSE,"Class C"}</definedName>
    <definedName name="fsdfa" localSheetId="6" hidden="1">{#N/A,#N/A,TRUE,"Title Page";#N/A,#N/A,TRUE,"Executive Summary";#N/A,#N/A,TRUE,"Building Areas";#N/A,#N/A,TRUE,"Construction Costs";#N/A,#N/A,TRUE,"Soft Costs";#N/A,#N/A,TRUE,"Finance";#N/A,#N/A,TRUE,"Lease Summary";#N/A,#N/A,TRUE,"Absorption";#N/A,#N/A,TRUE,"Summaries";#N/A,#N/A,TRUE,"Cash Flow"}</definedName>
    <definedName name="fsdfa" localSheetId="3" hidden="1">{#N/A,#N/A,TRUE,"Title Page";#N/A,#N/A,TRUE,"Executive Summary";#N/A,#N/A,TRUE,"Building Areas";#N/A,#N/A,TRUE,"Construction Costs";#N/A,#N/A,TRUE,"Soft Costs";#N/A,#N/A,TRUE,"Finance";#N/A,#N/A,TRUE,"Lease Summary";#N/A,#N/A,TRUE,"Absorption";#N/A,#N/A,TRUE,"Summaries";#N/A,#N/A,TRUE,"Cash Flow"}</definedName>
    <definedName name="fsdfa" localSheetId="5" hidden="1">{#N/A,#N/A,TRUE,"Title Page";#N/A,#N/A,TRUE,"Executive Summary";#N/A,#N/A,TRUE,"Building Areas";#N/A,#N/A,TRUE,"Construction Costs";#N/A,#N/A,TRUE,"Soft Costs";#N/A,#N/A,TRUE,"Finance";#N/A,#N/A,TRUE,"Lease Summary";#N/A,#N/A,TRUE,"Absorption";#N/A,#N/A,TRUE,"Summaries";#N/A,#N/A,TRUE,"Cash Flow"}</definedName>
    <definedName name="fsdfa" hidden="1">{#N/A,#N/A,TRUE,"Title Page";#N/A,#N/A,TRUE,"Executive Summary";#N/A,#N/A,TRUE,"Building Areas";#N/A,#N/A,TRUE,"Construction Costs";#N/A,#N/A,TRUE,"Soft Costs";#N/A,#N/A,TRUE,"Finance";#N/A,#N/A,TRUE,"Lease Summary";#N/A,#N/A,TRUE,"Absorption";#N/A,#N/A,TRUE,"Summaries";#N/A,#N/A,TRUE,"Cash Flow"}</definedName>
    <definedName name="fsdsdfs"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fsdsdfs"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fsdsdfs"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fsdsdfs"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g">#REF!</definedName>
    <definedName name="GarageS">#REF!</definedName>
    <definedName name="GarageS1">#REF!</definedName>
    <definedName name="GarageS2">#REF!</definedName>
    <definedName name="GarageS3">#REF!</definedName>
    <definedName name="GarageS4">#REF!</definedName>
    <definedName name="GarageS5">#REF!</definedName>
    <definedName name="GarageS6">#REF!</definedName>
    <definedName name="GarageS7">#REF!</definedName>
    <definedName name="GAS_INDICATIVES">#REF!,#REF!,#REF!,#REF!,#REF!</definedName>
    <definedName name="GCRENTS" localSheetId="6">#REF!</definedName>
    <definedName name="GCRENTS">#REF!</definedName>
    <definedName name="GCRTS" localSheetId="6">#REF!</definedName>
    <definedName name="GCRTS">#REF!</definedName>
    <definedName name="gfdsgd" localSheetId="6" hidden="1">{#N/A,#N/A,FALSE,"Sum Sheet";#N/A,#N/A,FALSE,"Breakdown ";#N/A,#N/A,FALSE,"GC 1'S";#N/A,#N/A,FALSE,"Concrete";"Rough Carpentry",#N/A,FALSE,"Rough Carpentry";#N/A,#N/A,FALSE,"Demolition"}</definedName>
    <definedName name="gfdsgd" localSheetId="3" hidden="1">{#N/A,#N/A,FALSE,"Sum Sheet";#N/A,#N/A,FALSE,"Breakdown ";#N/A,#N/A,FALSE,"GC 1'S";#N/A,#N/A,FALSE,"Concrete";"Rough Carpentry",#N/A,FALSE,"Rough Carpentry";#N/A,#N/A,FALSE,"Demolition"}</definedName>
    <definedName name="gfdsgd" localSheetId="5" hidden="1">{#N/A,#N/A,FALSE,"Sum Sheet";#N/A,#N/A,FALSE,"Breakdown ";#N/A,#N/A,FALSE,"GC 1'S";#N/A,#N/A,FALSE,"Concrete";"Rough Carpentry",#N/A,FALSE,"Rough Carpentry";#N/A,#N/A,FALSE,"Demolition"}</definedName>
    <definedName name="gfdsgd" hidden="1">{#N/A,#N/A,FALSE,"Sum Sheet";#N/A,#N/A,FALSE,"Breakdown ";#N/A,#N/A,FALSE,"GC 1'S";#N/A,#N/A,FALSE,"Concrete";"Rough Carpentry",#N/A,FALSE,"Rough Carpentry";#N/A,#N/A,FALSE,"Demolition"}</definedName>
    <definedName name="gg" localSheetId="6">#REF!</definedName>
    <definedName name="gg">#REF!</definedName>
    <definedName name="glazing">#REF!</definedName>
    <definedName name="Grade" localSheetId="6">#REF!</definedName>
    <definedName name="Grade">#REF!</definedName>
    <definedName name="GrossRevenue">#REF!</definedName>
    <definedName name="grosssqft" localSheetId="6">#REF!</definedName>
    <definedName name="grosssqft">#REF!</definedName>
    <definedName name="gsdf">#REF!</definedName>
    <definedName name="GST">#REF!</definedName>
    <definedName name="hdhnd">#REF!</definedName>
    <definedName name="holdback">#REF!</definedName>
    <definedName name="HTML_CodePage" hidden="1">1252</definedName>
    <definedName name="HTML_Control" localSheetId="6" hidden="1">{"'Leverage'!$B$2:$M$418"}</definedName>
    <definedName name="HTML_Control" localSheetId="3" hidden="1">{"'Leverage'!$B$2:$M$418"}</definedName>
    <definedName name="HTML_Control" localSheetId="5" hidden="1">{"'Leverage'!$B$2:$M$418"}</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"C:\my documents\lever.htm"</definedName>
    <definedName name="HTML_Title" hidden="1">"leverage"</definedName>
    <definedName name="I_O_Proforma">#REF!</definedName>
    <definedName name="INDICATIVES">#REF!,#REF!,#REF!,#REF!,#REF!,#REF!,#REF!,#REF!,#REF!,#REF!,#REF!,#REF!,#REF!,#REF!,#REF!,#REF!,#REF!,#REF!</definedName>
    <definedName name="INDICATIVES2">#REF!,#REF!,#REF!,#REF!,#REF!,#REF!,#REF!,#REF!,#REF!,#REF!,#REF!,#REF!,#REF!,#REF!,#REF!,#REF!,#REF!</definedName>
    <definedName name="INDICATIVES3">#REF!,#REF!,#REF!,#REF!,#REF!,#REF!,#REF!,#REF!,#REF!,#REF!,#REF!,#REF!,#REF!,#REF!,#REF!,#REF!,#REF!</definedName>
    <definedName name="Infosheet">#REF!</definedName>
    <definedName name="Interest_Rate" localSheetId="6">#REF!</definedName>
    <definedName name="Interest_Rate">#REF!</definedName>
    <definedName name="IntroPrintArea" localSheetId="6">#REF!</definedName>
    <definedName name="IntroPrintArea">#REF!</definedName>
    <definedName name="introprintarea2" hidden="1">#REF!</definedName>
    <definedName name="Inv_Cap" localSheetId="6">#REF!</definedName>
    <definedName name="Inv_Cap">#REF!</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S" localSheetId="6">#REF!</definedName>
    <definedName name="IS">#REF!</definedName>
    <definedName name="iss">#REF!</definedName>
    <definedName name="iwsh">#REF!</definedName>
    <definedName name="J" localSheetId="6">#REF!</definedName>
    <definedName name="J">#REF!</definedName>
    <definedName name="Jane">#REF!</definedName>
    <definedName name="Job">#REF!</definedName>
    <definedName name="k" localSheetId="6">#REF!</definedName>
    <definedName name="k">#REF!</definedName>
    <definedName name="kim" localSheetId="6">#REF!</definedName>
    <definedName name="kim">#REF!</definedName>
    <definedName name="kitchenequip">#REF!</definedName>
    <definedName name="l">#REF!</definedName>
    <definedName name="landscaping">#REF!</definedName>
    <definedName name="landst">#REF!</definedName>
    <definedName name="LDATE" localSheetId="6">#REF!</definedName>
    <definedName name="LDATE">#REF!</definedName>
    <definedName name="lead">#REF!</definedName>
    <definedName name="LEADSHT" localSheetId="6">#REF!</definedName>
    <definedName name="LEADSHT">#REF!</definedName>
    <definedName name="Lease" localSheetId="6">#REF!</definedName>
    <definedName name="Lease">#REF!</definedName>
    <definedName name="LEASEUP">#REF!</definedName>
    <definedName name="LIST">#N/A</definedName>
    <definedName name="loan_amount" localSheetId="6">#REF!</definedName>
    <definedName name="loan_amount">#REF!</definedName>
    <definedName name="LOANDRAW">#REF!</definedName>
    <definedName name="LOANRATE">#REF!</definedName>
    <definedName name="Look1Area" localSheetId="6">#REF!</definedName>
    <definedName name="Look1Area">#REF!</definedName>
    <definedName name="look1area2">#REF!</definedName>
    <definedName name="Look2Area" localSheetId="6">#REF!</definedName>
    <definedName name="Look2Area">#REF!</definedName>
    <definedName name="look2area2">#REF!</definedName>
    <definedName name="Look3Area" localSheetId="6">#REF!</definedName>
    <definedName name="Look3Area">#REF!</definedName>
    <definedName name="look3area3">#REF!</definedName>
    <definedName name="Look4Area" localSheetId="6">#REF!</definedName>
    <definedName name="Look4Area">#REF!</definedName>
    <definedName name="Look5Area" localSheetId="6">#REF!</definedName>
    <definedName name="Look5Area">#REF!</definedName>
    <definedName name="LRBUILDABLE" localSheetId="6">#REF!</definedName>
    <definedName name="LRBUILDABLE">#REF!</definedName>
    <definedName name="LREQUITY" localSheetId="6">#REF!</definedName>
    <definedName name="LREQUITY">#REF!</definedName>
    <definedName name="LRSALEABLE" localSheetId="6">#REF!</definedName>
    <definedName name="LRSALEABLE">#REF!</definedName>
    <definedName name="LRUNITS" localSheetId="6">#REF!</definedName>
    <definedName name="LRUNITS">#REF!</definedName>
    <definedName name="LTVPerm">#REF!</definedName>
    <definedName name="Macro1">#N/A</definedName>
    <definedName name="Macro2">#N/A</definedName>
    <definedName name="markup" localSheetId="6">#REF!</definedName>
    <definedName name="markup">#REF!</definedName>
    <definedName name="metalfab">#REF!</definedName>
    <definedName name="mezz" localSheetId="6">#REF!</definedName>
    <definedName name="mezz">#REF!</definedName>
    <definedName name="MF">#REF!</definedName>
    <definedName name="Mine" localSheetId="6">#REF!</definedName>
    <definedName name="Mine">#REF!</definedName>
    <definedName name="MineCost" localSheetId="6">#REF!</definedName>
    <definedName name="MineCost">#REF!</definedName>
    <definedName name="mm" localSheetId="6" hidden="1">{#N/A,#N/A,FALSE,"Class A";#N/A,#N/A,FALSE,"Class B";#N/A,#N/A,FALSE,"Class C"}</definedName>
    <definedName name="mm" localSheetId="3" hidden="1">{#N/A,#N/A,FALSE,"Class A";#N/A,#N/A,FALSE,"Class B";#N/A,#N/A,FALSE,"Class C"}</definedName>
    <definedName name="mm" localSheetId="5" hidden="1">{#N/A,#N/A,FALSE,"Class A";#N/A,#N/A,FALSE,"Class B";#N/A,#N/A,FALSE,"Class C"}</definedName>
    <definedName name="mm" hidden="1">{#N/A,#N/A,FALSE,"Class A";#N/A,#N/A,FALSE,"Class B";#N/A,#N/A,FALSE,"Class C"}</definedName>
    <definedName name="months_per_period" localSheetId="6">INDEX({12,6,3,2,1,0.5,0.5,0.25},MATCH(#REF!,Budget!frequency,0))</definedName>
    <definedName name="months_per_period" localSheetId="3">INDEX({12,6,3,2,1,0.5,0.5,0.25},MATCH(#REF!,'Proforma Construction'!frequency,0))</definedName>
    <definedName name="months_per_period" localSheetId="5">INDEX({12,6,3,2,1,0.5,0.5,0.25},MATCH(#REF!,'Proforma Purchase Refi'!frequency,0))</definedName>
    <definedName name="months_per_period">INDEX({12,6,3,2,1,0.5,0.5,0.25},MATCH(#REF!,frequency,0))</definedName>
    <definedName name="Mortgage_Type" localSheetId="6">#REF!</definedName>
    <definedName name="Mortgage_Type">#REF!</definedName>
    <definedName name="MORTGAGEPRINCIPAL">#REF!</definedName>
    <definedName name="MORTGAGERATE">#REF!</definedName>
    <definedName name="mr?"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no"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no"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no"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no"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package" localSheetId="6"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 localSheetId="3"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 localSheetId="5"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2" localSheetId="6"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2" localSheetId="3"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2" localSheetId="5"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2"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SADASD"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SADASD"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SADASD"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SADASD"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WRNCOL"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WRNCOL"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WRNCOL"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WRNCOL"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N" localSheetId="6">#REF!</definedName>
    <definedName name="N">#REF!</definedName>
    <definedName name="NA">#REF!</definedName>
    <definedName name="Names">#REF!</definedName>
    <definedName name="netsqft" localSheetId="6">#REF!</definedName>
    <definedName name="netsqft">#REF!</definedName>
    <definedName name="new" localSheetId="6">#REF!</definedName>
    <definedName name="new">#REF!</definedName>
    <definedName name="New_Leases__Sept._1998_to_Dec._1999" localSheetId="6">#REF!</definedName>
    <definedName name="New_Leases__Sept._1998_to_Dec._1999">#REF!</definedName>
    <definedName name="nn" localSheetId="6" hidden="1">{#N/A,#N/A,FALSE,"Class A";#N/A,#N/A,FALSE,"Class B";#N/A,#N/A,FALSE,"Class C"}</definedName>
    <definedName name="nn" localSheetId="3" hidden="1">{#N/A,#N/A,FALSE,"Class A";#N/A,#N/A,FALSE,"Class B";#N/A,#N/A,FALSE,"Class C"}</definedName>
    <definedName name="nn" localSheetId="5" hidden="1">{#N/A,#N/A,FALSE,"Class A";#N/A,#N/A,FALSE,"Class B";#N/A,#N/A,FALSE,"Class C"}</definedName>
    <definedName name="nn" hidden="1">{#N/A,#N/A,FALSE,"Class A";#N/A,#N/A,FALSE,"Class B";#N/A,#N/A,FALSE,"Class C"}</definedName>
    <definedName name="NOI">#REF!</definedName>
    <definedName name="NOICOVERAGE">#REF!</definedName>
    <definedName name="NOPLAT" localSheetId="6">#REF!</definedName>
    <definedName name="NOPLAT">#REF!</definedName>
    <definedName name="nper" localSheetId="6">Budget!term*Budget!periods_per_year</definedName>
    <definedName name="nper" localSheetId="3">term*'Proforma Construction'!periods_per_year</definedName>
    <definedName name="nper" localSheetId="5">term*'Proforma Purchase Refi'!periods_per_year</definedName>
    <definedName name="nper">term*periods_per_year</definedName>
    <definedName name="NUMPHASES">#REF!</definedName>
    <definedName name="NUMUNITS">#REF!</definedName>
    <definedName name="ocst">#REF!</definedName>
    <definedName name="Offline">#REF!</definedName>
    <definedName name="One" localSheetId="6">#REF!</definedName>
    <definedName name="One">#REF!</definedName>
    <definedName name="OPERATINGEXPENSES">#REF!</definedName>
    <definedName name="Orientation">#REF!</definedName>
    <definedName name="oth">#REF!</definedName>
    <definedName name="OTHERASS" localSheetId="6">#REF!</definedName>
    <definedName name="OTHERASS">#REF!</definedName>
    <definedName name="Ownership" localSheetId="6" hidden="1">OFFSET(Data.Top.Left,1,0)</definedName>
    <definedName name="Ownership" hidden="1">OFFSET(#REF!,1,0)</definedName>
    <definedName name="p">#REF!</definedName>
    <definedName name="P_L" localSheetId="6">#REF!</definedName>
    <definedName name="P_L">#REF!</definedName>
    <definedName name="paint">#REF!</definedName>
    <definedName name="Parking">#REF!</definedName>
    <definedName name="payment" localSheetId="6">#REF!</definedName>
    <definedName name="payment">#REF!</definedName>
    <definedName name="payout">#REF!</definedName>
    <definedName name="percentdown" localSheetId="6">#REF!</definedName>
    <definedName name="percentdown">#REF!</definedName>
    <definedName name="periods_per_year" localSheetId="6">INDEX({1,2,4,6,12,24,26,52},MATCH(#REF!,Budget!frequency,0))</definedName>
    <definedName name="periods_per_year" localSheetId="3">INDEX({1,2,4,6,12,24,26,52},MATCH(#REF!,'Proforma Construction'!frequency,0))</definedName>
    <definedName name="periods_per_year" localSheetId="5">INDEX({1,2,4,6,12,24,26,52},MATCH(#REF!,'Proforma Purchase Refi'!frequency,0))</definedName>
    <definedName name="periods_per_year">INDEX({1,2,4,6,12,24,26,52},MATCH(#REF!,frequency,0))</definedName>
    <definedName name="Pivot">"Rollover!$A$1:$G$10"</definedName>
    <definedName name="ppp">#REF!</definedName>
    <definedName name="pr">#REF!</definedName>
    <definedName name="preconcom">#REF!</definedName>
    <definedName name="preconper">#REF!</definedName>
    <definedName name="preconst">#REF!</definedName>
    <definedName name="PRELEASING">#REF!</definedName>
    <definedName name="PREPD" localSheetId="6">#REF!</definedName>
    <definedName name="PREPD">#REF!</definedName>
    <definedName name="presale" localSheetId="6">#REF!</definedName>
    <definedName name="presale">#REF!</definedName>
    <definedName name="presaleper">#REF!</definedName>
    <definedName name="presalest">#REF!</definedName>
    <definedName name="presaletarget" localSheetId="6">#REF!</definedName>
    <definedName name="presaletarget">#REF!</definedName>
    <definedName name="Price" localSheetId="6">#REF!</definedName>
    <definedName name="Price">#REF!</definedName>
    <definedName name="Prime">#REF!</definedName>
    <definedName name="PRINCIPLE" localSheetId="6">#REF!</definedName>
    <definedName name="PRINCIPLE">#REF!</definedName>
    <definedName name="_xlnm.Print_Area" localSheetId="6">Budget!$B$3:$K$75</definedName>
    <definedName name="_xlnm.Print_Area" localSheetId="4">'Rent Roll'!$B$3:$J$192</definedName>
    <definedName name="_xlnm.Print_Area">#REF!</definedName>
    <definedName name="PRINT_AREA_MI" localSheetId="6">#REF!</definedName>
    <definedName name="PRINT_AREA_MI">#REF!</definedName>
    <definedName name="_xlnm.Print_Titles">#N/A</definedName>
    <definedName name="ProcessCost" localSheetId="6">#REF!</definedName>
    <definedName name="ProcessCost">#REF!</definedName>
    <definedName name="Products" localSheetId="6">#REF!</definedName>
    <definedName name="Products">#REF!</definedName>
    <definedName name="Profit" localSheetId="6">#REF!</definedName>
    <definedName name="Profit">#REF!</definedName>
    <definedName name="Query13">#REF!</definedName>
    <definedName name="rate" localSheetId="6">#REF!</definedName>
    <definedName name="rate">#REF!</definedName>
    <definedName name="Rate_1st">#REF!</definedName>
    <definedName name="Rate_2nd">#REF!</definedName>
    <definedName name="re">#REF!</definedName>
    <definedName name="REALEST" localSheetId="6">#REF!</definedName>
    <definedName name="REALEST">#REF!</definedName>
    <definedName name="rent6">#REF!</definedName>
    <definedName name="rentequity" localSheetId="6">#REF!</definedName>
    <definedName name="rentequity">#REF!</definedName>
    <definedName name="rentloan" localSheetId="6">#REF!</definedName>
    <definedName name="rentloan">#REF!</definedName>
    <definedName name="rento">#REF!</definedName>
    <definedName name="RentProjection" localSheetId="6">#REF!</definedName>
    <definedName name="RentProjection">#REF!</definedName>
    <definedName name="Rev" localSheetId="6">#REF!</definedName>
    <definedName name="Rev">#REF!</definedName>
    <definedName name="Revenue" localSheetId="6">#REF!</definedName>
    <definedName name="Revenue">#REF!</definedName>
    <definedName name="RonCont">#REF!</definedName>
    <definedName name="roncont2">#REF!</definedName>
    <definedName name="roughcarp">#REF!</definedName>
    <definedName name="roughcarpentry">#REF!</definedName>
    <definedName name="rrr" localSheetId="6"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rrr" localSheetId="3"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rrr" localSheetId="5"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rrr"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s">#REF!</definedName>
    <definedName name="sa"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sa"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sa"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sa"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sadasd"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sadasd"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sadasd"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sadasd"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salecom">#REF!</definedName>
    <definedName name="saleper">#REF!</definedName>
    <definedName name="Sales">#REF!</definedName>
    <definedName name="sda">#REF!</definedName>
    <definedName name="seconddeposit">#REF!</definedName>
    <definedName name="sept7">#REF!</definedName>
    <definedName name="sheetmetal">#REF!</definedName>
    <definedName name="specceiling">#REF!</definedName>
    <definedName name="Stacked1">#REF!</definedName>
    <definedName name="Stacked2">#REF!</definedName>
    <definedName name="Stacked3">#REF!</definedName>
    <definedName name="Stacked4">#REF!</definedName>
    <definedName name="Stacked5">#REF!</definedName>
    <definedName name="Stacked6">#REF!</definedName>
    <definedName name="Stacked7">#REF!</definedName>
    <definedName name="StackedS1">#REF!</definedName>
    <definedName name="StackedS2">#REF!</definedName>
    <definedName name="StackedS3">#REF!</definedName>
    <definedName name="StackedS4">#REF!</definedName>
    <definedName name="StackedS5">#REF!</definedName>
    <definedName name="StackedS6">#REF!</definedName>
    <definedName name="StackedS7">#REF!</definedName>
    <definedName name="StartDate">#REF!</definedName>
    <definedName name="storeysabove" localSheetId="6">#REF!</definedName>
    <definedName name="storeysabove">#REF!</definedName>
    <definedName name="storeysbelow" localSheetId="6">#REF!</definedName>
    <definedName name="storeysbelow">#REF!</definedName>
    <definedName name="structuralsteel">#REF!</definedName>
    <definedName name="SUMM" localSheetId="6">#REF!</definedName>
    <definedName name="SUMM">#REF!</definedName>
    <definedName name="T" localSheetId="6">#REF!</definedName>
    <definedName name="T">#REF!</definedName>
    <definedName name="TEMPLATE">#REF!</definedName>
    <definedName name="term" localSheetId="6">#REF!</definedName>
    <definedName name="term">#REF!</definedName>
    <definedName name="test" localSheetId="6" hidden="1">{#N/A,#N/A,FALSE,"Consolidated";#N/A,#N/A,FALSE,"Available Credit";#N/A,#N/A,FALSE,"100% Owned";#N/A,#N/A,FALSE,"Bentall U.S. LLC";#N/A,#N/A,FALSE,"Bentall Properties (U.S.) Ltd.";#N/A,#N/A,FALSE,"Schedule I"}</definedName>
    <definedName name="test" localSheetId="3" hidden="1">{#N/A,#N/A,FALSE,"Consolidated";#N/A,#N/A,FALSE,"Available Credit";#N/A,#N/A,FALSE,"100% Owned";#N/A,#N/A,FALSE,"Bentall U.S. LLC";#N/A,#N/A,FALSE,"Bentall Properties (U.S.) Ltd.";#N/A,#N/A,FALSE,"Schedule I"}</definedName>
    <definedName name="test" localSheetId="5" hidden="1">{#N/A,#N/A,FALSE,"Consolidated";#N/A,#N/A,FALSE,"Available Credit";#N/A,#N/A,FALSE,"100% Owned";#N/A,#N/A,FALSE,"Bentall U.S. LLC";#N/A,#N/A,FALSE,"Bentall Properties (U.S.) Ltd.";#N/A,#N/A,FALSE,"Schedule I"}</definedName>
    <definedName name="test" hidden="1">{#N/A,#N/A,FALSE,"Consolidated";#N/A,#N/A,FALSE,"Available Credit";#N/A,#N/A,FALSE,"100% Owned";#N/A,#N/A,FALSE,"Bentall U.S. LLC";#N/A,#N/A,FALSE,"Bentall Properties (U.S.) Ltd.";#N/A,#N/A,FALSE,"Schedule I"}</definedName>
    <definedName name="The_Bonavista_UnitDetails_List" localSheetId="6">#REF!</definedName>
    <definedName name="The_Bonavista_UnitDetails_List">#REF!</definedName>
    <definedName name="THEQUITY">#REF!</definedName>
    <definedName name="thermal">#REF!</definedName>
    <definedName name="THFOOTAGE">#REF!</definedName>
    <definedName name="THUNITS">#REF!</definedName>
    <definedName name="Tonnes" localSheetId="6">#REF!</definedName>
    <definedName name="Tonnes">#REF!</definedName>
    <definedName name="totalBudget" localSheetId="6">#REF!</definedName>
    <definedName name="totalBudget">#REF!</definedName>
    <definedName name="TotalCost" localSheetId="6">#REF!</definedName>
    <definedName name="TotalCost">#REF!</definedName>
    <definedName name="TOTALCOSTINF" localSheetId="6">#REF!</definedName>
    <definedName name="TOTALCOSTINF">#REF!</definedName>
    <definedName name="TownS1">#REF!</definedName>
    <definedName name="TownS2">#REF!</definedName>
    <definedName name="TownS3">#REF!</definedName>
    <definedName name="TownS4">#REF!</definedName>
    <definedName name="TownS5">#REF!</definedName>
    <definedName name="TownS6">#REF!</definedName>
    <definedName name="TownS7">#REF!</definedName>
    <definedName name="tr">#REF!</definedName>
    <definedName name="TRADITIONALEQTYREQUIREMENT">#REF!</definedName>
    <definedName name="trata">#REF!</definedName>
    <definedName name="TRIALBAL" localSheetId="6">#REF!</definedName>
    <definedName name="TRIALBAL">#REF!</definedName>
    <definedName name="Unfurnished." localSheetId="6">#REF!</definedName>
    <definedName name="Unfurnished.">#REF!</definedName>
    <definedName name="Unit">#REF!</definedName>
    <definedName name="units">#REF!</definedName>
    <definedName name="Unittype">#REF!</definedName>
    <definedName name="UPGINF" localSheetId="6">#REF!</definedName>
    <definedName name="UPGINF">#REF!</definedName>
    <definedName name="VACANCY">#REF!</definedName>
    <definedName name="vv" localSheetId="6" hidden="1">{#N/A,#N/A,FALSE,"Class A";#N/A,#N/A,FALSE,"Class B";#N/A,#N/A,FALSE,"Class C"}</definedName>
    <definedName name="vv" localSheetId="3" hidden="1">{#N/A,#N/A,FALSE,"Class A";#N/A,#N/A,FALSE,"Class B";#N/A,#N/A,FALSE,"Class C"}</definedName>
    <definedName name="vv" localSheetId="5" hidden="1">{#N/A,#N/A,FALSE,"Class A";#N/A,#N/A,FALSE,"Class B";#N/A,#N/A,FALSE,"Class C"}</definedName>
    <definedName name="vv" hidden="1">{#N/A,#N/A,FALSE,"Class A";#N/A,#N/A,FALSE,"Class B";#N/A,#N/A,FALSE,"Class C"}</definedName>
    <definedName name="Waiver">#REF!</definedName>
    <definedName name="wetutilities">#REF!</definedName>
    <definedName name="WHAT?" localSheetId="6">#REF!</definedName>
    <definedName name="WHAT?">#REF!</definedName>
    <definedName name="WHAT2" localSheetId="6">#REF!</definedName>
    <definedName name="WHAT2">#REF!</definedName>
    <definedName name="windcovering">#REF!</definedName>
    <definedName name="windowcover">#REF!</definedName>
    <definedName name="wn.all." localSheetId="6" hidden="1">{#N/A,#N/A,FALSE,"Class A";#N/A,#N/A,FALSE,"Class B";#N/A,#N/A,FALSE,"Class C"}</definedName>
    <definedName name="wn.all." localSheetId="3" hidden="1">{#N/A,#N/A,FALSE,"Class A";#N/A,#N/A,FALSE,"Class B";#N/A,#N/A,FALSE,"Class C"}</definedName>
    <definedName name="wn.all." localSheetId="5" hidden="1">{#N/A,#N/A,FALSE,"Class A";#N/A,#N/A,FALSE,"Class B";#N/A,#N/A,FALSE,"Class C"}</definedName>
    <definedName name="wn.all." hidden="1">{#N/A,#N/A,FALSE,"Class A";#N/A,#N/A,FALSE,"Class B";#N/A,#N/A,FALSE,"Class C"}</definedName>
    <definedName name="woodfloor">#REF!</definedName>
    <definedName name="wr.all." localSheetId="6" hidden="1">{#N/A,#N/A,FALSE,"Class A";#N/A,#N/A,FALSE,"Class B";#N/A,#N/A,FALSE,"Class C"}</definedName>
    <definedName name="wr.all." localSheetId="3" hidden="1">{#N/A,#N/A,FALSE,"Class A";#N/A,#N/A,FALSE,"Class B";#N/A,#N/A,FALSE,"Class C"}</definedName>
    <definedName name="wr.all." localSheetId="5" hidden="1">{#N/A,#N/A,FALSE,"Class A";#N/A,#N/A,FALSE,"Class B";#N/A,#N/A,FALSE,"Class C"}</definedName>
    <definedName name="wr.all." hidden="1">{#N/A,#N/A,FALSE,"Class A";#N/A,#N/A,FALSE,"Class B";#N/A,#N/A,FALSE,"Class C"}</definedName>
    <definedName name="wrn.All." localSheetId="6" hidden="1">{#N/A,#N/A,FALSE,"Sum Sheet";#N/A,#N/A,FALSE,"Breakdown ";#N/A,#N/A,FALSE,"GC 1'S";#N/A,#N/A,FALSE,"Concrete";"Rough Carpentry",#N/A,FALSE,"Rough Carpentry";#N/A,#N/A,FALSE,"Demolition"}</definedName>
    <definedName name="wrn.All." localSheetId="3" hidden="1">{#N/A,#N/A,FALSE,"Sum Sheet";#N/A,#N/A,FALSE,"Breakdown ";#N/A,#N/A,FALSE,"GC 1'S";#N/A,#N/A,FALSE,"Concrete";"Rough Carpentry",#N/A,FALSE,"Rough Carpentry";#N/A,#N/A,FALSE,"Demolition"}</definedName>
    <definedName name="wrn.All." localSheetId="5" hidden="1">{#N/A,#N/A,FALSE,"Sum Sheet";#N/A,#N/A,FALSE,"Breakdown ";#N/A,#N/A,FALSE,"GC 1'S";#N/A,#N/A,FALSE,"Concrete";"Rough Carpentry",#N/A,FALSE,"Rough Carpentry";#N/A,#N/A,FALSE,"Demolition"}</definedName>
    <definedName name="wrn.All." hidden="1">{#N/A,#N/A,FALSE,"Sum Sheet";#N/A,#N/A,FALSE,"Breakdown ";#N/A,#N/A,FALSE,"GC 1'S";#N/A,#N/A,FALSE,"Concrete";"Rough Carpentry",#N/A,FALSE,"Rough Carpentry";#N/A,#N/A,FALSE,"Demolition"}</definedName>
    <definedName name="wrn.Breakdown." localSheetId="6" hidden="1">{#N/A,#N/A,FALSE,"Breakdown "}</definedName>
    <definedName name="wrn.Breakdown." localSheetId="3" hidden="1">{#N/A,#N/A,FALSE,"Breakdown "}</definedName>
    <definedName name="wrn.Breakdown." localSheetId="5" hidden="1">{#N/A,#N/A,FALSE,"Breakdown "}</definedName>
    <definedName name="wrn.Breakdown." hidden="1">{#N/A,#N/A,FALSE,"Breakdown "}</definedName>
    <definedName name="wrn.Colonel._.Belcher."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wrn.Colonel._.Belcher."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wrn.Colonel._.Belcher."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wrn.Colonel._.Belcher."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wrn.Concrete." localSheetId="6" hidden="1">{#N/A,#N/A,FALSE,"Concrete"}</definedName>
    <definedName name="wrn.Concrete." localSheetId="3" hidden="1">{#N/A,#N/A,FALSE,"Concrete"}</definedName>
    <definedName name="wrn.Concrete." localSheetId="5" hidden="1">{#N/A,#N/A,FALSE,"Concrete"}</definedName>
    <definedName name="wrn.Concrete." hidden="1">{#N/A,#N/A,FALSE,"Concrete"}</definedName>
    <definedName name="wrn.Demolition." localSheetId="6" hidden="1">{#N/A,#N/A,FALSE,"Demolition"}</definedName>
    <definedName name="wrn.Demolition." localSheetId="3" hidden="1">{#N/A,#N/A,FALSE,"Demolition"}</definedName>
    <definedName name="wrn.Demolition." localSheetId="5" hidden="1">{#N/A,#N/A,FALSE,"Demolition"}</definedName>
    <definedName name="wrn.Demolition." hidden="1">{#N/A,#N/A,FALSE,"Demolition"}</definedName>
    <definedName name="wrn.Details." localSheetId="6" hidden="1">{#N/A,#N/A,FALSE,"Details"}</definedName>
    <definedName name="wrn.Details." localSheetId="3" hidden="1">{#N/A,#N/A,FALSE,"Details"}</definedName>
    <definedName name="wrn.Details." localSheetId="5" hidden="1">{#N/A,#N/A,FALSE,"Details"}</definedName>
    <definedName name="wrn.Details." hidden="1">{#N/A,#N/A,FALSE,"Details"}</definedName>
    <definedName name="wrn.GC._.1s." localSheetId="6" hidden="1">{#N/A,#N/A,FALSE,"GC 1'S"}</definedName>
    <definedName name="wrn.GC._.1s." localSheetId="3" hidden="1">{#N/A,#N/A,FALSE,"GC 1'S"}</definedName>
    <definedName name="wrn.GC._.1s." localSheetId="5" hidden="1">{#N/A,#N/A,FALSE,"GC 1'S"}</definedName>
    <definedName name="wrn.GC._.1s." hidden="1">{#N/A,#N/A,FALSE,"GC 1'S"}</definedName>
    <definedName name="wrn.Main._.Package." localSheetId="6"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wrn.Main._.Package." localSheetId="3"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wrn.Main._.Package." localSheetId="5"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wrn.Main._.Package."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wrn.Package."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LR"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LR"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LR"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LR"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1."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1."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1."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1."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Report." localSheetId="6" hidden="1">{#N/A,#N/A,TRUE,"Title Page";#N/A,#N/A,TRUE,"Executive Summary";#N/A,#N/A,TRUE,"Building Areas";#N/A,#N/A,TRUE,"Construction Costs";#N/A,#N/A,TRUE,"Soft Costs";#N/A,#N/A,TRUE,"Finance";#N/A,#N/A,TRUE,"Lease Summary";#N/A,#N/A,TRUE,"Absorption";#N/A,#N/A,TRUE,"Summaries";#N/A,#N/A,TRUE,"Cash Flow"}</definedName>
    <definedName name="wrn.Report." localSheetId="3" hidden="1">{#N/A,#N/A,TRUE,"Title Page";#N/A,#N/A,TRUE,"Executive Summary";#N/A,#N/A,TRUE,"Building Areas";#N/A,#N/A,TRUE,"Construction Costs";#N/A,#N/A,TRUE,"Soft Costs";#N/A,#N/A,TRUE,"Finance";#N/A,#N/A,TRUE,"Lease Summary";#N/A,#N/A,TRUE,"Absorption";#N/A,#N/A,TRUE,"Summaries";#N/A,#N/A,TRUE,"Cash Flow"}</definedName>
    <definedName name="wrn.Report." localSheetId="5" hidden="1">{#N/A,#N/A,TRUE,"Title Page";#N/A,#N/A,TRUE,"Executive Summary";#N/A,#N/A,TRUE,"Building Areas";#N/A,#N/A,TRUE,"Construction Costs";#N/A,#N/A,TRUE,"Soft Costs";#N/A,#N/A,TRUE,"Finance";#N/A,#N/A,TRUE,"Lease Summary";#N/A,#N/A,TRUE,"Absorption";#N/A,#N/A,TRUE,"Summaries";#N/A,#N/A,TRUE,"Cash Flow"}</definedName>
    <definedName name="wrn.Report." hidden="1">{#N/A,#N/A,TRUE,"Title Page";#N/A,#N/A,TRUE,"Executive Summary";#N/A,#N/A,TRUE,"Building Areas";#N/A,#N/A,TRUE,"Construction Costs";#N/A,#N/A,TRUE,"Soft Costs";#N/A,#N/A,TRUE,"Finance";#N/A,#N/A,TRUE,"Lease Summary";#N/A,#N/A,TRUE,"Absorption";#N/A,#N/A,TRUE,"Summaries";#N/A,#N/A,TRUE,"Cash Flow"}</definedName>
    <definedName name="wrn.Rough._.Carpentry." localSheetId="6" hidden="1">{#N/A,#N/A,FALSE,"Rough Carpentry"}</definedName>
    <definedName name="wrn.Rough._.Carpentry." localSheetId="3" hidden="1">{#N/A,#N/A,FALSE,"Rough Carpentry"}</definedName>
    <definedName name="wrn.Rough._.Carpentry." localSheetId="5" hidden="1">{#N/A,#N/A,FALSE,"Rough Carpentry"}</definedName>
    <definedName name="wrn.Rough._.Carpentry." hidden="1">{#N/A,#N/A,FALSE,"Rough Carpentry"}</definedName>
    <definedName name="wrn.Sum._.Sheet." localSheetId="6" hidden="1">{#N/A,#N/A,FALSE,"Sum Sheet"}</definedName>
    <definedName name="wrn.Sum._.Sheet." localSheetId="3" hidden="1">{#N/A,#N/A,FALSE,"Sum Sheet"}</definedName>
    <definedName name="wrn.Sum._.Sheet." localSheetId="5" hidden="1">{#N/A,#N/A,FALSE,"Sum Sheet"}</definedName>
    <definedName name="wrn.Sum._.Sheet." hidden="1">{#N/A,#N/A,FALSE,"Sum Sheet"}</definedName>
    <definedName name="wtrprfmembrane">#REF!</definedName>
    <definedName name="ww">#REF!</definedName>
    <definedName name="wwha">#REF!</definedName>
    <definedName name="xx" localSheetId="6" hidden="1">{#N/A,#N/A,FALSE,"Class A";#N/A,#N/A,FALSE,"Class B";#N/A,#N/A,FALSE,"Class C"}</definedName>
    <definedName name="xx" localSheetId="3" hidden="1">{#N/A,#N/A,FALSE,"Class A";#N/A,#N/A,FALSE,"Class B";#N/A,#N/A,FALSE,"Class C"}</definedName>
    <definedName name="xx" localSheetId="5" hidden="1">{#N/A,#N/A,FALSE,"Class A";#N/A,#N/A,FALSE,"Class B";#N/A,#N/A,FALSE,"Class C"}</definedName>
    <definedName name="xx" hidden="1">{#N/A,#N/A,FALSE,"Class A";#N/A,#N/A,FALSE,"Class B";#N/A,#N/A,FALSE,"Class C"}</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5" i="5" l="1"/>
  <c r="G67" i="5"/>
  <c r="J15" i="5"/>
  <c r="C74" i="16" l="1"/>
  <c r="F22" i="6"/>
  <c r="F4" i="18"/>
  <c r="J4" i="18"/>
  <c r="L4" i="18"/>
  <c r="M4" i="18"/>
  <c r="N4" i="18"/>
  <c r="O4" i="18"/>
  <c r="P4" i="18"/>
  <c r="T4" i="18"/>
  <c r="U4" i="18"/>
  <c r="V4" i="18"/>
  <c r="W4" i="18"/>
  <c r="X4" i="18"/>
  <c r="Y4" i="18"/>
  <c r="Z4" i="18"/>
  <c r="AA4" i="18"/>
  <c r="AB4" i="18"/>
  <c r="AC4" i="18"/>
  <c r="AD4" i="18"/>
  <c r="AE4" i="18"/>
  <c r="F5" i="18"/>
  <c r="J5" i="18"/>
  <c r="L5" i="18"/>
  <c r="M5" i="18"/>
  <c r="N5" i="18"/>
  <c r="O5" i="18"/>
  <c r="P5" i="18"/>
  <c r="T5" i="18"/>
  <c r="U5" i="18"/>
  <c r="V5" i="18"/>
  <c r="W5" i="18"/>
  <c r="X5" i="18"/>
  <c r="Y5" i="18"/>
  <c r="Z5" i="18"/>
  <c r="AA5" i="18"/>
  <c r="AB5" i="18"/>
  <c r="AC5" i="18"/>
  <c r="AD5" i="18"/>
  <c r="AE5" i="18"/>
  <c r="F6" i="18"/>
  <c r="J6" i="18"/>
  <c r="L6" i="18"/>
  <c r="M6" i="18"/>
  <c r="N6" i="18"/>
  <c r="O6" i="18"/>
  <c r="P6" i="18"/>
  <c r="T6" i="18"/>
  <c r="U6" i="18"/>
  <c r="V6" i="18"/>
  <c r="W6" i="18"/>
  <c r="X6" i="18"/>
  <c r="Y6" i="18"/>
  <c r="Z6" i="18"/>
  <c r="AA6" i="18"/>
  <c r="AB6" i="18"/>
  <c r="AC6" i="18"/>
  <c r="AD6" i="18"/>
  <c r="AE6" i="18"/>
  <c r="F7" i="18"/>
  <c r="J7" i="18"/>
  <c r="L7" i="18"/>
  <c r="M7" i="18"/>
  <c r="N7" i="18"/>
  <c r="O7" i="18"/>
  <c r="P7" i="18"/>
  <c r="T7" i="18"/>
  <c r="U7" i="18"/>
  <c r="V7" i="18"/>
  <c r="W7" i="18"/>
  <c r="X7" i="18"/>
  <c r="Y7" i="18"/>
  <c r="Z7" i="18"/>
  <c r="AA7" i="18"/>
  <c r="AB7" i="18"/>
  <c r="AC7" i="18"/>
  <c r="AD7" i="18"/>
  <c r="AE7" i="18"/>
  <c r="F8" i="18"/>
  <c r="J8" i="18"/>
  <c r="L8" i="18"/>
  <c r="M8" i="18"/>
  <c r="N8" i="18"/>
  <c r="O8" i="18"/>
  <c r="P8" i="18"/>
  <c r="T8" i="18"/>
  <c r="U8" i="18"/>
  <c r="V8" i="18"/>
  <c r="W8" i="18"/>
  <c r="X8" i="18"/>
  <c r="Y8" i="18"/>
  <c r="Z8" i="18"/>
  <c r="AA8" i="18"/>
  <c r="AB8" i="18"/>
  <c r="AC8" i="18"/>
  <c r="AD8" i="18"/>
  <c r="AE8" i="18"/>
  <c r="F9" i="18"/>
  <c r="J9" i="18"/>
  <c r="L9" i="18"/>
  <c r="M9" i="18"/>
  <c r="N9" i="18"/>
  <c r="O9" i="18"/>
  <c r="P9" i="18"/>
  <c r="T9" i="18"/>
  <c r="U9" i="18"/>
  <c r="V9" i="18"/>
  <c r="W9" i="18"/>
  <c r="X9" i="18"/>
  <c r="Y9" i="18"/>
  <c r="Z9" i="18"/>
  <c r="AA9" i="18"/>
  <c r="AB9" i="18"/>
  <c r="AC9" i="18"/>
  <c r="AD9" i="18"/>
  <c r="AE9" i="18"/>
  <c r="F10" i="18"/>
  <c r="J10" i="18"/>
  <c r="L10" i="18"/>
  <c r="M10" i="18"/>
  <c r="N10" i="18"/>
  <c r="O10" i="18"/>
  <c r="P10" i="18"/>
  <c r="T10" i="18"/>
  <c r="U10" i="18"/>
  <c r="V10" i="18"/>
  <c r="W10" i="18"/>
  <c r="X10" i="18"/>
  <c r="Y10" i="18"/>
  <c r="Z10" i="18"/>
  <c r="AA10" i="18"/>
  <c r="AB10" i="18"/>
  <c r="AC10" i="18"/>
  <c r="AD10" i="18"/>
  <c r="AE10" i="18"/>
  <c r="F11" i="18"/>
  <c r="J11" i="18"/>
  <c r="L11" i="18"/>
  <c r="M11" i="18"/>
  <c r="N11" i="18"/>
  <c r="O11" i="18"/>
  <c r="P11" i="18"/>
  <c r="T11" i="18"/>
  <c r="U11" i="18"/>
  <c r="V11" i="18"/>
  <c r="W11" i="18"/>
  <c r="X11" i="18"/>
  <c r="Y11" i="18"/>
  <c r="Z11" i="18"/>
  <c r="AA11" i="18"/>
  <c r="AB11" i="18"/>
  <c r="AC11" i="18"/>
  <c r="AD11" i="18"/>
  <c r="AE11" i="18"/>
  <c r="F12" i="18"/>
  <c r="J12" i="18"/>
  <c r="L12" i="18"/>
  <c r="M12" i="18"/>
  <c r="N12" i="18"/>
  <c r="O12" i="18"/>
  <c r="P12" i="18"/>
  <c r="T12" i="18"/>
  <c r="U12" i="18"/>
  <c r="V12" i="18"/>
  <c r="W12" i="18"/>
  <c r="X12" i="18"/>
  <c r="Y12" i="18"/>
  <c r="Z12" i="18"/>
  <c r="AA12" i="18"/>
  <c r="AB12" i="18"/>
  <c r="AC12" i="18"/>
  <c r="AD12" i="18"/>
  <c r="AE12" i="18"/>
  <c r="F13" i="18"/>
  <c r="J13" i="18"/>
  <c r="L13" i="18"/>
  <c r="M13" i="18"/>
  <c r="N13" i="18"/>
  <c r="O13" i="18"/>
  <c r="P13" i="18"/>
  <c r="T13" i="18"/>
  <c r="U13" i="18"/>
  <c r="V13" i="18"/>
  <c r="W13" i="18"/>
  <c r="X13" i="18"/>
  <c r="Y13" i="18"/>
  <c r="Z13" i="18"/>
  <c r="AA13" i="18"/>
  <c r="AB13" i="18"/>
  <c r="AC13" i="18"/>
  <c r="AD13" i="18"/>
  <c r="AE13" i="18"/>
  <c r="F14" i="18"/>
  <c r="J14" i="18"/>
  <c r="L14" i="18"/>
  <c r="M14" i="18"/>
  <c r="N14" i="18"/>
  <c r="O14" i="18"/>
  <c r="P14" i="18"/>
  <c r="T14" i="18"/>
  <c r="U14" i="18"/>
  <c r="V14" i="18"/>
  <c r="W14" i="18"/>
  <c r="X14" i="18"/>
  <c r="Y14" i="18"/>
  <c r="Z14" i="18"/>
  <c r="AA14" i="18"/>
  <c r="AB14" i="18"/>
  <c r="AC14" i="18"/>
  <c r="AD14" i="18"/>
  <c r="AE14" i="18"/>
  <c r="F15" i="18"/>
  <c r="J15" i="18"/>
  <c r="L15" i="18"/>
  <c r="M15" i="18"/>
  <c r="N15" i="18"/>
  <c r="O15" i="18"/>
  <c r="P15" i="18"/>
  <c r="T15" i="18"/>
  <c r="U15" i="18"/>
  <c r="V15" i="18"/>
  <c r="W15" i="18"/>
  <c r="X15" i="18"/>
  <c r="Y15" i="18"/>
  <c r="Z15" i="18"/>
  <c r="AA15" i="18"/>
  <c r="AB15" i="18"/>
  <c r="AC15" i="18"/>
  <c r="AD15" i="18"/>
  <c r="AE15" i="18"/>
  <c r="F16" i="18"/>
  <c r="J16" i="18"/>
  <c r="L16" i="18"/>
  <c r="M16" i="18"/>
  <c r="N16" i="18"/>
  <c r="O16" i="18"/>
  <c r="P16" i="18"/>
  <c r="T16" i="18"/>
  <c r="U16" i="18"/>
  <c r="V16" i="18"/>
  <c r="W16" i="18"/>
  <c r="X16" i="18"/>
  <c r="Y16" i="18"/>
  <c r="Z16" i="18"/>
  <c r="AA16" i="18"/>
  <c r="AB16" i="18"/>
  <c r="AC16" i="18"/>
  <c r="AD16" i="18"/>
  <c r="AE16" i="18"/>
  <c r="F17" i="18"/>
  <c r="J17" i="18"/>
  <c r="L17" i="18"/>
  <c r="M17" i="18"/>
  <c r="N17" i="18"/>
  <c r="O17" i="18"/>
  <c r="P17" i="18"/>
  <c r="T17" i="18"/>
  <c r="U17" i="18"/>
  <c r="V17" i="18"/>
  <c r="W17" i="18"/>
  <c r="X17" i="18"/>
  <c r="Y17" i="18"/>
  <c r="Z17" i="18"/>
  <c r="AA17" i="18"/>
  <c r="AB17" i="18"/>
  <c r="AC17" i="18"/>
  <c r="AD17" i="18"/>
  <c r="AE17" i="18"/>
  <c r="F18" i="18"/>
  <c r="J18" i="18"/>
  <c r="L18" i="18"/>
  <c r="M18" i="18"/>
  <c r="N18" i="18"/>
  <c r="O18" i="18"/>
  <c r="P18" i="18"/>
  <c r="T18" i="18"/>
  <c r="U18" i="18"/>
  <c r="V18" i="18"/>
  <c r="W18" i="18"/>
  <c r="X18" i="18"/>
  <c r="Y18" i="18"/>
  <c r="Z18" i="18"/>
  <c r="AA18" i="18"/>
  <c r="AB18" i="18"/>
  <c r="AC18" i="18"/>
  <c r="AD18" i="18"/>
  <c r="AE18" i="18"/>
  <c r="F19" i="18"/>
  <c r="J19" i="18"/>
  <c r="L19" i="18"/>
  <c r="M19" i="18"/>
  <c r="N19" i="18"/>
  <c r="O19" i="18"/>
  <c r="P19" i="18"/>
  <c r="T19" i="18"/>
  <c r="U19" i="18"/>
  <c r="V19" i="18"/>
  <c r="W19" i="18"/>
  <c r="X19" i="18"/>
  <c r="Y19" i="18"/>
  <c r="Z19" i="18"/>
  <c r="AA19" i="18"/>
  <c r="AB19" i="18"/>
  <c r="AC19" i="18"/>
  <c r="AD19" i="18"/>
  <c r="AE19" i="18"/>
  <c r="F20" i="18"/>
  <c r="J20" i="18"/>
  <c r="L20" i="18"/>
  <c r="M20" i="18"/>
  <c r="N20" i="18"/>
  <c r="O20" i="18"/>
  <c r="P20" i="18"/>
  <c r="T20" i="18"/>
  <c r="U20" i="18"/>
  <c r="V20" i="18"/>
  <c r="W20" i="18"/>
  <c r="X20" i="18"/>
  <c r="Y20" i="18"/>
  <c r="Z20" i="18"/>
  <c r="AA20" i="18"/>
  <c r="AB20" i="18"/>
  <c r="AC20" i="18"/>
  <c r="AD20" i="18"/>
  <c r="AE20" i="18"/>
  <c r="F21" i="18"/>
  <c r="J21" i="18"/>
  <c r="L21" i="18"/>
  <c r="M21" i="18"/>
  <c r="N21" i="18"/>
  <c r="O21" i="18"/>
  <c r="P21" i="18"/>
  <c r="T21" i="18"/>
  <c r="U21" i="18"/>
  <c r="V21" i="18"/>
  <c r="W21" i="18"/>
  <c r="X21" i="18"/>
  <c r="Y21" i="18"/>
  <c r="Z21" i="18"/>
  <c r="AA21" i="18"/>
  <c r="AB21" i="18"/>
  <c r="AC21" i="18"/>
  <c r="AD21" i="18"/>
  <c r="AE21" i="18"/>
  <c r="F22" i="18"/>
  <c r="J22" i="18"/>
  <c r="L22" i="18"/>
  <c r="M22" i="18"/>
  <c r="N22" i="18"/>
  <c r="O22" i="18"/>
  <c r="P22" i="18"/>
  <c r="T22" i="18"/>
  <c r="U22" i="18"/>
  <c r="V22" i="18"/>
  <c r="W22" i="18"/>
  <c r="X22" i="18"/>
  <c r="Y22" i="18"/>
  <c r="Z22" i="18"/>
  <c r="AA22" i="18"/>
  <c r="AB22" i="18"/>
  <c r="AC22" i="18"/>
  <c r="AD22" i="18"/>
  <c r="AE22" i="18"/>
  <c r="F23" i="18"/>
  <c r="J23" i="18"/>
  <c r="L23" i="18"/>
  <c r="M23" i="18"/>
  <c r="N23" i="18"/>
  <c r="O23" i="18"/>
  <c r="P23" i="18"/>
  <c r="T23" i="18"/>
  <c r="U23" i="18"/>
  <c r="V23" i="18"/>
  <c r="W23" i="18"/>
  <c r="X23" i="18"/>
  <c r="Y23" i="18"/>
  <c r="Z23" i="18"/>
  <c r="AA23" i="18"/>
  <c r="AB23" i="18"/>
  <c r="AC23" i="18"/>
  <c r="AD23" i="18"/>
  <c r="AE23" i="18"/>
  <c r="F24" i="18"/>
  <c r="J24" i="18"/>
  <c r="L24" i="18"/>
  <c r="M24" i="18"/>
  <c r="N24" i="18"/>
  <c r="O24" i="18"/>
  <c r="P24" i="18"/>
  <c r="T24" i="18"/>
  <c r="U24" i="18"/>
  <c r="V24" i="18"/>
  <c r="W24" i="18"/>
  <c r="X24" i="18"/>
  <c r="Y24" i="18"/>
  <c r="Z24" i="18"/>
  <c r="AA24" i="18"/>
  <c r="AB24" i="18"/>
  <c r="AC24" i="18"/>
  <c r="AD24" i="18"/>
  <c r="AE24" i="18"/>
  <c r="F25" i="18"/>
  <c r="J25" i="18"/>
  <c r="L25" i="18"/>
  <c r="M25" i="18"/>
  <c r="N25" i="18"/>
  <c r="O25" i="18"/>
  <c r="P25" i="18"/>
  <c r="T25" i="18"/>
  <c r="U25" i="18"/>
  <c r="V25" i="18"/>
  <c r="W25" i="18"/>
  <c r="X25" i="18"/>
  <c r="Y25" i="18"/>
  <c r="Z25" i="18"/>
  <c r="AA25" i="18"/>
  <c r="AB25" i="18"/>
  <c r="AC25" i="18"/>
  <c r="AD25" i="18"/>
  <c r="AE25" i="18"/>
  <c r="F26" i="18"/>
  <c r="J26" i="18"/>
  <c r="L26" i="18"/>
  <c r="M26" i="18"/>
  <c r="N26" i="18"/>
  <c r="O26" i="18"/>
  <c r="P26" i="18"/>
  <c r="T26" i="18"/>
  <c r="U26" i="18"/>
  <c r="V26" i="18"/>
  <c r="W26" i="18"/>
  <c r="X26" i="18"/>
  <c r="Y26" i="18"/>
  <c r="Z26" i="18"/>
  <c r="AA26" i="18"/>
  <c r="AB26" i="18"/>
  <c r="AC26" i="18"/>
  <c r="AD26" i="18"/>
  <c r="AE26" i="18"/>
  <c r="F27" i="18"/>
  <c r="J27" i="18"/>
  <c r="L27" i="18"/>
  <c r="M27" i="18"/>
  <c r="N27" i="18"/>
  <c r="O27" i="18"/>
  <c r="P27" i="18"/>
  <c r="T27" i="18"/>
  <c r="U27" i="18"/>
  <c r="V27" i="18"/>
  <c r="W27" i="18"/>
  <c r="X27" i="18"/>
  <c r="Y27" i="18"/>
  <c r="Z27" i="18"/>
  <c r="AA27" i="18"/>
  <c r="AB27" i="18"/>
  <c r="AC27" i="18"/>
  <c r="AD27" i="18"/>
  <c r="AE27" i="18"/>
  <c r="F28" i="18"/>
  <c r="J28" i="18"/>
  <c r="L28" i="18"/>
  <c r="M28" i="18"/>
  <c r="N28" i="18"/>
  <c r="O28" i="18"/>
  <c r="P28" i="18"/>
  <c r="T28" i="18"/>
  <c r="U28" i="18"/>
  <c r="V28" i="18"/>
  <c r="W28" i="18"/>
  <c r="X28" i="18"/>
  <c r="Y28" i="18"/>
  <c r="Z28" i="18"/>
  <c r="AA28" i="18"/>
  <c r="AB28" i="18"/>
  <c r="AC28" i="18"/>
  <c r="AD28" i="18"/>
  <c r="AE28" i="18"/>
  <c r="F29" i="18"/>
  <c r="J29" i="18"/>
  <c r="L29" i="18"/>
  <c r="M29" i="18"/>
  <c r="N29" i="18"/>
  <c r="O29" i="18"/>
  <c r="P29" i="18"/>
  <c r="T29" i="18"/>
  <c r="U29" i="18"/>
  <c r="V29" i="18"/>
  <c r="W29" i="18"/>
  <c r="X29" i="18"/>
  <c r="Y29" i="18"/>
  <c r="Z29" i="18"/>
  <c r="AA29" i="18"/>
  <c r="AB29" i="18"/>
  <c r="AC29" i="18"/>
  <c r="AD29" i="18"/>
  <c r="AE29" i="18"/>
  <c r="F30" i="18"/>
  <c r="J30" i="18"/>
  <c r="L30" i="18"/>
  <c r="M30" i="18"/>
  <c r="N30" i="18"/>
  <c r="O30" i="18"/>
  <c r="P30" i="18"/>
  <c r="T30" i="18"/>
  <c r="U30" i="18"/>
  <c r="V30" i="18"/>
  <c r="W30" i="18"/>
  <c r="X30" i="18"/>
  <c r="Y30" i="18"/>
  <c r="Z30" i="18"/>
  <c r="AA30" i="18"/>
  <c r="AB30" i="18"/>
  <c r="AC30" i="18"/>
  <c r="AD30" i="18"/>
  <c r="AE30" i="18"/>
  <c r="F31" i="18"/>
  <c r="J31" i="18"/>
  <c r="L31" i="18"/>
  <c r="M31" i="18"/>
  <c r="N31" i="18"/>
  <c r="O31" i="18"/>
  <c r="P31" i="18"/>
  <c r="T31" i="18"/>
  <c r="U31" i="18"/>
  <c r="V31" i="18"/>
  <c r="W31" i="18"/>
  <c r="X31" i="18"/>
  <c r="Y31" i="18"/>
  <c r="Z31" i="18"/>
  <c r="AA31" i="18"/>
  <c r="AB31" i="18"/>
  <c r="AC31" i="18"/>
  <c r="AD31" i="18"/>
  <c r="AE31" i="18"/>
  <c r="F32" i="18"/>
  <c r="J32" i="18"/>
  <c r="L32" i="18"/>
  <c r="M32" i="18"/>
  <c r="N32" i="18"/>
  <c r="O32" i="18"/>
  <c r="P32" i="18"/>
  <c r="T32" i="18"/>
  <c r="U32" i="18"/>
  <c r="V32" i="18"/>
  <c r="W32" i="18"/>
  <c r="X32" i="18"/>
  <c r="Y32" i="18"/>
  <c r="Z32" i="18"/>
  <c r="AA32" i="18"/>
  <c r="AB32" i="18"/>
  <c r="AC32" i="18"/>
  <c r="AD32" i="18"/>
  <c r="AE32" i="18"/>
  <c r="F33" i="18"/>
  <c r="J33" i="18"/>
  <c r="L33" i="18"/>
  <c r="M33" i="18"/>
  <c r="N33" i="18"/>
  <c r="O33" i="18"/>
  <c r="P33" i="18"/>
  <c r="T33" i="18"/>
  <c r="U33" i="18"/>
  <c r="V33" i="18"/>
  <c r="W33" i="18"/>
  <c r="X33" i="18"/>
  <c r="Y33" i="18"/>
  <c r="Z33" i="18"/>
  <c r="AA33" i="18"/>
  <c r="AB33" i="18"/>
  <c r="AC33" i="18"/>
  <c r="AD33" i="18"/>
  <c r="AE33" i="18"/>
  <c r="F34" i="18"/>
  <c r="J34" i="18"/>
  <c r="L34" i="18"/>
  <c r="M34" i="18"/>
  <c r="N34" i="18"/>
  <c r="O34" i="18"/>
  <c r="P34" i="18"/>
  <c r="T34" i="18"/>
  <c r="U34" i="18"/>
  <c r="V34" i="18"/>
  <c r="W34" i="18"/>
  <c r="X34" i="18"/>
  <c r="Y34" i="18"/>
  <c r="Z34" i="18"/>
  <c r="AA34" i="18"/>
  <c r="AB34" i="18"/>
  <c r="AC34" i="18"/>
  <c r="AD34" i="18"/>
  <c r="AE34" i="18"/>
  <c r="F35" i="18"/>
  <c r="J35" i="18"/>
  <c r="L35" i="18"/>
  <c r="M35" i="18"/>
  <c r="N35" i="18"/>
  <c r="O35" i="18"/>
  <c r="P35" i="18"/>
  <c r="T35" i="18"/>
  <c r="U35" i="18"/>
  <c r="V35" i="18"/>
  <c r="W35" i="18"/>
  <c r="X35" i="18"/>
  <c r="Y35" i="18"/>
  <c r="Z35" i="18"/>
  <c r="AA35" i="18"/>
  <c r="AB35" i="18"/>
  <c r="AC35" i="18"/>
  <c r="AD35" i="18"/>
  <c r="AE35" i="18"/>
  <c r="F36" i="18"/>
  <c r="J36" i="18"/>
  <c r="L36" i="18"/>
  <c r="M36" i="18"/>
  <c r="N36" i="18"/>
  <c r="O36" i="18"/>
  <c r="P36" i="18"/>
  <c r="T36" i="18"/>
  <c r="U36" i="18"/>
  <c r="V36" i="18"/>
  <c r="W36" i="18"/>
  <c r="X36" i="18"/>
  <c r="Y36" i="18"/>
  <c r="Z36" i="18"/>
  <c r="AA36" i="18"/>
  <c r="AB36" i="18"/>
  <c r="AC36" i="18"/>
  <c r="AD36" i="18"/>
  <c r="AE36" i="18"/>
  <c r="F37" i="18"/>
  <c r="J37" i="18"/>
  <c r="L37" i="18"/>
  <c r="M37" i="18"/>
  <c r="N37" i="18"/>
  <c r="O37" i="18"/>
  <c r="P37" i="18"/>
  <c r="T37" i="18"/>
  <c r="U37" i="18"/>
  <c r="V37" i="18"/>
  <c r="W37" i="18"/>
  <c r="X37" i="18"/>
  <c r="Y37" i="18"/>
  <c r="Z37" i="18"/>
  <c r="AA37" i="18"/>
  <c r="AB37" i="18"/>
  <c r="AC37" i="18"/>
  <c r="AD37" i="18"/>
  <c r="AE37" i="18"/>
  <c r="F38" i="18"/>
  <c r="J38" i="18"/>
  <c r="L38" i="18"/>
  <c r="M38" i="18"/>
  <c r="N38" i="18"/>
  <c r="O38" i="18"/>
  <c r="P38" i="18"/>
  <c r="T38" i="18"/>
  <c r="U38" i="18"/>
  <c r="V38" i="18"/>
  <c r="W38" i="18"/>
  <c r="X38" i="18"/>
  <c r="Y38" i="18"/>
  <c r="Z38" i="18"/>
  <c r="AA38" i="18"/>
  <c r="AB38" i="18"/>
  <c r="AC38" i="18"/>
  <c r="AD38" i="18"/>
  <c r="AE38" i="18"/>
  <c r="F39" i="18"/>
  <c r="J39" i="18"/>
  <c r="L39" i="18"/>
  <c r="M39" i="18"/>
  <c r="N39" i="18"/>
  <c r="O39" i="18"/>
  <c r="P39" i="18"/>
  <c r="T39" i="18"/>
  <c r="U39" i="18"/>
  <c r="V39" i="18"/>
  <c r="W39" i="18"/>
  <c r="X39" i="18"/>
  <c r="Y39" i="18"/>
  <c r="Z39" i="18"/>
  <c r="AA39" i="18"/>
  <c r="AB39" i="18"/>
  <c r="AC39" i="18"/>
  <c r="AD39" i="18"/>
  <c r="AE39" i="18"/>
  <c r="F40" i="18"/>
  <c r="J40" i="18"/>
  <c r="L40" i="18"/>
  <c r="M40" i="18"/>
  <c r="N40" i="18"/>
  <c r="O40" i="18"/>
  <c r="P40" i="18"/>
  <c r="T40" i="18"/>
  <c r="U40" i="18"/>
  <c r="V40" i="18"/>
  <c r="W40" i="18"/>
  <c r="X40" i="18"/>
  <c r="Y40" i="18"/>
  <c r="Z40" i="18"/>
  <c r="AA40" i="18"/>
  <c r="AB40" i="18"/>
  <c r="AC40" i="18"/>
  <c r="AD40" i="18"/>
  <c r="AE40" i="18"/>
  <c r="F41" i="18"/>
  <c r="J41" i="18"/>
  <c r="L41" i="18"/>
  <c r="M41" i="18"/>
  <c r="N41" i="18"/>
  <c r="O41" i="18"/>
  <c r="P41" i="18"/>
  <c r="T41" i="18"/>
  <c r="U41" i="18"/>
  <c r="V41" i="18"/>
  <c r="W41" i="18"/>
  <c r="X41" i="18"/>
  <c r="Y41" i="18"/>
  <c r="Z41" i="18"/>
  <c r="AA41" i="18"/>
  <c r="AB41" i="18"/>
  <c r="AC41" i="18"/>
  <c r="AD41" i="18"/>
  <c r="AE41" i="18"/>
  <c r="F42" i="18"/>
  <c r="J42" i="18"/>
  <c r="L42" i="18"/>
  <c r="M42" i="18"/>
  <c r="N42" i="18"/>
  <c r="O42" i="18"/>
  <c r="P42" i="18"/>
  <c r="T42" i="18"/>
  <c r="U42" i="18"/>
  <c r="V42" i="18"/>
  <c r="W42" i="18"/>
  <c r="X42" i="18"/>
  <c r="Y42" i="18"/>
  <c r="Z42" i="18"/>
  <c r="AA42" i="18"/>
  <c r="AB42" i="18"/>
  <c r="AC42" i="18"/>
  <c r="AD42" i="18"/>
  <c r="AE42" i="18"/>
  <c r="F43" i="18"/>
  <c r="J43" i="18"/>
  <c r="L43" i="18"/>
  <c r="M43" i="18"/>
  <c r="N43" i="18"/>
  <c r="O43" i="18"/>
  <c r="P43" i="18"/>
  <c r="T43" i="18"/>
  <c r="U43" i="18"/>
  <c r="V43" i="18"/>
  <c r="W43" i="18"/>
  <c r="X43" i="18"/>
  <c r="Y43" i="18"/>
  <c r="Z43" i="18"/>
  <c r="AA43" i="18"/>
  <c r="AB43" i="18"/>
  <c r="AC43" i="18"/>
  <c r="AD43" i="18"/>
  <c r="AE43" i="18"/>
  <c r="F44" i="18"/>
  <c r="J44" i="18"/>
  <c r="L44" i="18"/>
  <c r="M44" i="18"/>
  <c r="N44" i="18"/>
  <c r="O44" i="18"/>
  <c r="P44" i="18"/>
  <c r="T44" i="18"/>
  <c r="U44" i="18"/>
  <c r="V44" i="18"/>
  <c r="W44" i="18"/>
  <c r="X44" i="18"/>
  <c r="Y44" i="18"/>
  <c r="Z44" i="18"/>
  <c r="AA44" i="18"/>
  <c r="AB44" i="18"/>
  <c r="AC44" i="18"/>
  <c r="AD44" i="18"/>
  <c r="AE44" i="18"/>
  <c r="F45" i="18"/>
  <c r="J45" i="18"/>
  <c r="L45" i="18"/>
  <c r="M45" i="18"/>
  <c r="N45" i="18"/>
  <c r="O45" i="18"/>
  <c r="P45" i="18"/>
  <c r="T45" i="18"/>
  <c r="U45" i="18"/>
  <c r="V45" i="18"/>
  <c r="W45" i="18"/>
  <c r="X45" i="18"/>
  <c r="Y45" i="18"/>
  <c r="Z45" i="18"/>
  <c r="AA45" i="18"/>
  <c r="AB45" i="18"/>
  <c r="AC45" i="18"/>
  <c r="AD45" i="18"/>
  <c r="AE45" i="18"/>
  <c r="F46" i="18"/>
  <c r="J46" i="18"/>
  <c r="L46" i="18"/>
  <c r="M46" i="18"/>
  <c r="N46" i="18"/>
  <c r="O46" i="18"/>
  <c r="P46" i="18"/>
  <c r="T46" i="18"/>
  <c r="U46" i="18"/>
  <c r="V46" i="18"/>
  <c r="W46" i="18"/>
  <c r="X46" i="18"/>
  <c r="Y46" i="18"/>
  <c r="Z46" i="18"/>
  <c r="AA46" i="18"/>
  <c r="AB46" i="18"/>
  <c r="AC46" i="18"/>
  <c r="AD46" i="18"/>
  <c r="AE46" i="18"/>
  <c r="F47" i="18"/>
  <c r="J47" i="18"/>
  <c r="L47" i="18"/>
  <c r="M47" i="18"/>
  <c r="N47" i="18"/>
  <c r="O47" i="18"/>
  <c r="P47" i="18"/>
  <c r="T47" i="18"/>
  <c r="U47" i="18"/>
  <c r="V47" i="18"/>
  <c r="W47" i="18"/>
  <c r="X47" i="18"/>
  <c r="Y47" i="18"/>
  <c r="Z47" i="18"/>
  <c r="AA47" i="18"/>
  <c r="AB47" i="18"/>
  <c r="AC47" i="18"/>
  <c r="AD47" i="18"/>
  <c r="AE47" i="18"/>
  <c r="F48" i="18"/>
  <c r="J48" i="18"/>
  <c r="L48" i="18"/>
  <c r="M48" i="18"/>
  <c r="N48" i="18"/>
  <c r="O48" i="18"/>
  <c r="P48" i="18"/>
  <c r="T48" i="18"/>
  <c r="U48" i="18"/>
  <c r="V48" i="18"/>
  <c r="W48" i="18"/>
  <c r="X48" i="18"/>
  <c r="Y48" i="18"/>
  <c r="Z48" i="18"/>
  <c r="AA48" i="18"/>
  <c r="AB48" i="18"/>
  <c r="AC48" i="18"/>
  <c r="AD48" i="18"/>
  <c r="AE48" i="18"/>
  <c r="F49" i="18"/>
  <c r="J49" i="18"/>
  <c r="L49" i="18"/>
  <c r="M49" i="18"/>
  <c r="N49" i="18"/>
  <c r="O49" i="18"/>
  <c r="P49" i="18"/>
  <c r="T49" i="18"/>
  <c r="U49" i="18"/>
  <c r="V49" i="18"/>
  <c r="W49" i="18"/>
  <c r="X49" i="18"/>
  <c r="Y49" i="18"/>
  <c r="Z49" i="18"/>
  <c r="AA49" i="18"/>
  <c r="AB49" i="18"/>
  <c r="AC49" i="18"/>
  <c r="AD49" i="18"/>
  <c r="AE49" i="18"/>
  <c r="F50" i="18"/>
  <c r="J50" i="18"/>
  <c r="L50" i="18"/>
  <c r="M50" i="18"/>
  <c r="N50" i="18"/>
  <c r="O50" i="18"/>
  <c r="P50" i="18"/>
  <c r="T50" i="18"/>
  <c r="U50" i="18"/>
  <c r="V50" i="18"/>
  <c r="W50" i="18"/>
  <c r="X50" i="18"/>
  <c r="Y50" i="18"/>
  <c r="Z50" i="18"/>
  <c r="AA50" i="18"/>
  <c r="AB50" i="18"/>
  <c r="AC50" i="18"/>
  <c r="AD50" i="18"/>
  <c r="AE50" i="18"/>
  <c r="F51" i="18"/>
  <c r="J51" i="18"/>
  <c r="L51" i="18"/>
  <c r="M51" i="18"/>
  <c r="N51" i="18"/>
  <c r="O51" i="18"/>
  <c r="P51" i="18"/>
  <c r="T51" i="18"/>
  <c r="U51" i="18"/>
  <c r="V51" i="18"/>
  <c r="W51" i="18"/>
  <c r="X51" i="18"/>
  <c r="Y51" i="18"/>
  <c r="Z51" i="18"/>
  <c r="AA51" i="18"/>
  <c r="AB51" i="18"/>
  <c r="AC51" i="18"/>
  <c r="AD51" i="18"/>
  <c r="AE51" i="18"/>
  <c r="F52" i="18"/>
  <c r="J52" i="18"/>
  <c r="L52" i="18"/>
  <c r="M52" i="18"/>
  <c r="N52" i="18"/>
  <c r="O52" i="18"/>
  <c r="P52" i="18"/>
  <c r="T52" i="18"/>
  <c r="U52" i="18"/>
  <c r="V52" i="18"/>
  <c r="W52" i="18"/>
  <c r="X52" i="18"/>
  <c r="Y52" i="18"/>
  <c r="Z52" i="18"/>
  <c r="AA52" i="18"/>
  <c r="AB52" i="18"/>
  <c r="AC52" i="18"/>
  <c r="AD52" i="18"/>
  <c r="AE52" i="18"/>
  <c r="F53" i="18"/>
  <c r="J53" i="18"/>
  <c r="L53" i="18"/>
  <c r="M53" i="18"/>
  <c r="N53" i="18"/>
  <c r="O53" i="18"/>
  <c r="P53" i="18"/>
  <c r="T53" i="18"/>
  <c r="U53" i="18"/>
  <c r="V53" i="18"/>
  <c r="W53" i="18"/>
  <c r="X53" i="18"/>
  <c r="Y53" i="18"/>
  <c r="Z53" i="18"/>
  <c r="AA53" i="18"/>
  <c r="AB53" i="18"/>
  <c r="AC53" i="18"/>
  <c r="AD53" i="18"/>
  <c r="AE53" i="18"/>
  <c r="F54" i="18"/>
  <c r="J54" i="18"/>
  <c r="L54" i="18"/>
  <c r="M54" i="18"/>
  <c r="N54" i="18"/>
  <c r="O54" i="18"/>
  <c r="P54" i="18"/>
  <c r="T54" i="18"/>
  <c r="U54" i="18"/>
  <c r="V54" i="18"/>
  <c r="W54" i="18"/>
  <c r="X54" i="18"/>
  <c r="Y54" i="18"/>
  <c r="Z54" i="18"/>
  <c r="AA54" i="18"/>
  <c r="AB54" i="18"/>
  <c r="AC54" i="18"/>
  <c r="AD54" i="18"/>
  <c r="AE54" i="18"/>
  <c r="F55" i="18"/>
  <c r="J55" i="18"/>
  <c r="L55" i="18"/>
  <c r="M55" i="18"/>
  <c r="N55" i="18"/>
  <c r="O55" i="18"/>
  <c r="P55" i="18"/>
  <c r="T55" i="18"/>
  <c r="U55" i="18"/>
  <c r="V55" i="18"/>
  <c r="W55" i="18"/>
  <c r="X55" i="18"/>
  <c r="Y55" i="18"/>
  <c r="Z55" i="18"/>
  <c r="AA55" i="18"/>
  <c r="AB55" i="18"/>
  <c r="AC55" i="18"/>
  <c r="AD55" i="18"/>
  <c r="AE55" i="18"/>
  <c r="F56" i="18"/>
  <c r="J56" i="18"/>
  <c r="L56" i="18"/>
  <c r="M56" i="18"/>
  <c r="N56" i="18"/>
  <c r="O56" i="18"/>
  <c r="P56" i="18"/>
  <c r="T56" i="18"/>
  <c r="U56" i="18"/>
  <c r="V56" i="18"/>
  <c r="W56" i="18"/>
  <c r="X56" i="18"/>
  <c r="Y56" i="18"/>
  <c r="Z56" i="18"/>
  <c r="AA56" i="18"/>
  <c r="AB56" i="18"/>
  <c r="AC56" i="18"/>
  <c r="AD56" i="18"/>
  <c r="AE56" i="18"/>
  <c r="F57" i="18"/>
  <c r="J57" i="18"/>
  <c r="L57" i="18"/>
  <c r="M57" i="18"/>
  <c r="N57" i="18"/>
  <c r="O57" i="18"/>
  <c r="P57" i="18"/>
  <c r="T57" i="18"/>
  <c r="U57" i="18"/>
  <c r="V57" i="18"/>
  <c r="W57" i="18"/>
  <c r="X57" i="18"/>
  <c r="Y57" i="18"/>
  <c r="Z57" i="18"/>
  <c r="AA57" i="18"/>
  <c r="AB57" i="18"/>
  <c r="AC57" i="18"/>
  <c r="AD57" i="18"/>
  <c r="AE57" i="18"/>
  <c r="F58" i="18"/>
  <c r="J58" i="18"/>
  <c r="L58" i="18"/>
  <c r="M58" i="18"/>
  <c r="N58" i="18"/>
  <c r="O58" i="18"/>
  <c r="P58" i="18"/>
  <c r="T58" i="18"/>
  <c r="U58" i="18"/>
  <c r="V58" i="18"/>
  <c r="W58" i="18"/>
  <c r="X58" i="18"/>
  <c r="Y58" i="18"/>
  <c r="Z58" i="18"/>
  <c r="AA58" i="18"/>
  <c r="AB58" i="18"/>
  <c r="AC58" i="18"/>
  <c r="AD58" i="18"/>
  <c r="AE58" i="18"/>
  <c r="F59" i="18"/>
  <c r="J59" i="18"/>
  <c r="L59" i="18"/>
  <c r="M59" i="18"/>
  <c r="N59" i="18"/>
  <c r="O59" i="18"/>
  <c r="P59" i="18"/>
  <c r="T59" i="18"/>
  <c r="U59" i="18"/>
  <c r="V59" i="18"/>
  <c r="W59" i="18"/>
  <c r="X59" i="18"/>
  <c r="Y59" i="18"/>
  <c r="Z59" i="18"/>
  <c r="AA59" i="18"/>
  <c r="AB59" i="18"/>
  <c r="AC59" i="18"/>
  <c r="AD59" i="18"/>
  <c r="AE59" i="18"/>
  <c r="F60" i="18"/>
  <c r="J60" i="18"/>
  <c r="L60" i="18"/>
  <c r="M60" i="18"/>
  <c r="N60" i="18"/>
  <c r="O60" i="18"/>
  <c r="P60" i="18"/>
  <c r="T60" i="18"/>
  <c r="U60" i="18"/>
  <c r="V60" i="18"/>
  <c r="W60" i="18"/>
  <c r="X60" i="18"/>
  <c r="Y60" i="18"/>
  <c r="Z60" i="18"/>
  <c r="AA60" i="18"/>
  <c r="AB60" i="18"/>
  <c r="AC60" i="18"/>
  <c r="AD60" i="18"/>
  <c r="AE60" i="18"/>
  <c r="F61" i="18"/>
  <c r="J61" i="18"/>
  <c r="L61" i="18"/>
  <c r="M61" i="18"/>
  <c r="N61" i="18"/>
  <c r="O61" i="18"/>
  <c r="P61" i="18"/>
  <c r="T61" i="18"/>
  <c r="U61" i="18"/>
  <c r="V61" i="18"/>
  <c r="W61" i="18"/>
  <c r="X61" i="18"/>
  <c r="Y61" i="18"/>
  <c r="Z61" i="18"/>
  <c r="AA61" i="18"/>
  <c r="AB61" i="18"/>
  <c r="AC61" i="18"/>
  <c r="AD61" i="18"/>
  <c r="AE61" i="18"/>
  <c r="F62" i="18"/>
  <c r="J62" i="18"/>
  <c r="L62" i="18"/>
  <c r="M62" i="18"/>
  <c r="N62" i="18"/>
  <c r="O62" i="18"/>
  <c r="P62" i="18"/>
  <c r="T62" i="18"/>
  <c r="U62" i="18"/>
  <c r="V62" i="18"/>
  <c r="W62" i="18"/>
  <c r="X62" i="18"/>
  <c r="Y62" i="18"/>
  <c r="Z62" i="18"/>
  <c r="AA62" i="18"/>
  <c r="AB62" i="18"/>
  <c r="AC62" i="18"/>
  <c r="AD62" i="18"/>
  <c r="AE62" i="18"/>
  <c r="F63" i="18"/>
  <c r="J63" i="18"/>
  <c r="L63" i="18"/>
  <c r="M63" i="18"/>
  <c r="N63" i="18"/>
  <c r="O63" i="18"/>
  <c r="P63" i="18"/>
  <c r="T63" i="18"/>
  <c r="U63" i="18"/>
  <c r="V63" i="18"/>
  <c r="W63" i="18"/>
  <c r="X63" i="18"/>
  <c r="Y63" i="18"/>
  <c r="Z63" i="18"/>
  <c r="AA63" i="18"/>
  <c r="AB63" i="18"/>
  <c r="AC63" i="18"/>
  <c r="AD63" i="18"/>
  <c r="AE63" i="18"/>
  <c r="F64" i="18"/>
  <c r="J64" i="18"/>
  <c r="L64" i="18"/>
  <c r="M64" i="18"/>
  <c r="N64" i="18"/>
  <c r="O64" i="18"/>
  <c r="P64" i="18"/>
  <c r="T64" i="18"/>
  <c r="U64" i="18"/>
  <c r="V64" i="18"/>
  <c r="W64" i="18"/>
  <c r="X64" i="18"/>
  <c r="Y64" i="18"/>
  <c r="Z64" i="18"/>
  <c r="AA64" i="18"/>
  <c r="AB64" i="18"/>
  <c r="AC64" i="18"/>
  <c r="AD64" i="18"/>
  <c r="AE64" i="18"/>
  <c r="F65" i="18"/>
  <c r="J65" i="18"/>
  <c r="L65" i="18"/>
  <c r="M65" i="18"/>
  <c r="N65" i="18"/>
  <c r="O65" i="18"/>
  <c r="P65" i="18"/>
  <c r="T65" i="18"/>
  <c r="U65" i="18"/>
  <c r="V65" i="18"/>
  <c r="W65" i="18"/>
  <c r="X65" i="18"/>
  <c r="Y65" i="18"/>
  <c r="Z65" i="18"/>
  <c r="AA65" i="18"/>
  <c r="AB65" i="18"/>
  <c r="AC65" i="18"/>
  <c r="AD65" i="18"/>
  <c r="AE65" i="18"/>
  <c r="F66" i="18"/>
  <c r="J66" i="18"/>
  <c r="L66" i="18"/>
  <c r="M66" i="18"/>
  <c r="N66" i="18"/>
  <c r="O66" i="18"/>
  <c r="P66" i="18"/>
  <c r="T66" i="18"/>
  <c r="U66" i="18"/>
  <c r="V66" i="18"/>
  <c r="W66" i="18"/>
  <c r="X66" i="18"/>
  <c r="Y66" i="18"/>
  <c r="Z66" i="18"/>
  <c r="AA66" i="18"/>
  <c r="AB66" i="18"/>
  <c r="AC66" i="18"/>
  <c r="AD66" i="18"/>
  <c r="AE66" i="18"/>
  <c r="F67" i="18"/>
  <c r="J67" i="18"/>
  <c r="L67" i="18"/>
  <c r="M67" i="18"/>
  <c r="N67" i="18"/>
  <c r="O67" i="18"/>
  <c r="P67" i="18"/>
  <c r="T67" i="18"/>
  <c r="U67" i="18"/>
  <c r="V67" i="18"/>
  <c r="W67" i="18"/>
  <c r="X67" i="18"/>
  <c r="Y67" i="18"/>
  <c r="Z67" i="18"/>
  <c r="AA67" i="18"/>
  <c r="AB67" i="18"/>
  <c r="AC67" i="18"/>
  <c r="AD67" i="18"/>
  <c r="AE67" i="18"/>
  <c r="F68" i="18"/>
  <c r="J68" i="18"/>
  <c r="L68" i="18"/>
  <c r="M68" i="18"/>
  <c r="N68" i="18"/>
  <c r="O68" i="18"/>
  <c r="P68" i="18"/>
  <c r="T68" i="18"/>
  <c r="U68" i="18"/>
  <c r="V68" i="18"/>
  <c r="W68" i="18"/>
  <c r="X68" i="18"/>
  <c r="Y68" i="18"/>
  <c r="Z68" i="18"/>
  <c r="AA68" i="18"/>
  <c r="AB68" i="18"/>
  <c r="AC68" i="18"/>
  <c r="AD68" i="18"/>
  <c r="AE68" i="18"/>
  <c r="F69" i="18"/>
  <c r="J69" i="18"/>
  <c r="L69" i="18"/>
  <c r="M69" i="18"/>
  <c r="N69" i="18"/>
  <c r="O69" i="18"/>
  <c r="P69" i="18"/>
  <c r="T69" i="18"/>
  <c r="U69" i="18"/>
  <c r="V69" i="18"/>
  <c r="W69" i="18"/>
  <c r="X69" i="18"/>
  <c r="Y69" i="18"/>
  <c r="Z69" i="18"/>
  <c r="AA69" i="18"/>
  <c r="AB69" i="18"/>
  <c r="AC69" i="18"/>
  <c r="AD69" i="18"/>
  <c r="AE69" i="18"/>
  <c r="F70" i="18"/>
  <c r="J70" i="18"/>
  <c r="L70" i="18"/>
  <c r="M70" i="18"/>
  <c r="N70" i="18"/>
  <c r="O70" i="18"/>
  <c r="P70" i="18"/>
  <c r="T70" i="18"/>
  <c r="U70" i="18"/>
  <c r="V70" i="18"/>
  <c r="W70" i="18"/>
  <c r="X70" i="18"/>
  <c r="Y70" i="18"/>
  <c r="Z70" i="18"/>
  <c r="AA70" i="18"/>
  <c r="AB70" i="18"/>
  <c r="AC70" i="18"/>
  <c r="AD70" i="18"/>
  <c r="AE70" i="18"/>
  <c r="F71" i="18"/>
  <c r="J71" i="18"/>
  <c r="L71" i="18"/>
  <c r="M71" i="18"/>
  <c r="N71" i="18"/>
  <c r="O71" i="18"/>
  <c r="P71" i="18"/>
  <c r="T71" i="18"/>
  <c r="U71" i="18"/>
  <c r="V71" i="18"/>
  <c r="W71" i="18"/>
  <c r="X71" i="18"/>
  <c r="Y71" i="18"/>
  <c r="Z71" i="18"/>
  <c r="AA71" i="18"/>
  <c r="AB71" i="18"/>
  <c r="AC71" i="18"/>
  <c r="AD71" i="18"/>
  <c r="AE71" i="18"/>
  <c r="F72" i="18"/>
  <c r="J72" i="18"/>
  <c r="L72" i="18"/>
  <c r="M72" i="18"/>
  <c r="N72" i="18"/>
  <c r="O72" i="18"/>
  <c r="P72" i="18"/>
  <c r="T72" i="18"/>
  <c r="U72" i="18"/>
  <c r="V72" i="18"/>
  <c r="W72" i="18"/>
  <c r="X72" i="18"/>
  <c r="Y72" i="18"/>
  <c r="Z72" i="18"/>
  <c r="AA72" i="18"/>
  <c r="AB72" i="18"/>
  <c r="AC72" i="18"/>
  <c r="AD72" i="18"/>
  <c r="AE72" i="18"/>
  <c r="F73" i="18"/>
  <c r="J73" i="18"/>
  <c r="L73" i="18"/>
  <c r="M73" i="18"/>
  <c r="N73" i="18"/>
  <c r="O73" i="18"/>
  <c r="P73" i="18"/>
  <c r="T73" i="18"/>
  <c r="U73" i="18"/>
  <c r="V73" i="18"/>
  <c r="W73" i="18"/>
  <c r="X73" i="18"/>
  <c r="Y73" i="18"/>
  <c r="Z73" i="18"/>
  <c r="AA73" i="18"/>
  <c r="AB73" i="18"/>
  <c r="AC73" i="18"/>
  <c r="AD73" i="18"/>
  <c r="AE73" i="18"/>
  <c r="F74" i="18"/>
  <c r="J74" i="18"/>
  <c r="L74" i="18"/>
  <c r="M74" i="18"/>
  <c r="N74" i="18"/>
  <c r="O74" i="18"/>
  <c r="P74" i="18"/>
  <c r="T74" i="18"/>
  <c r="U74" i="18"/>
  <c r="V74" i="18"/>
  <c r="W74" i="18"/>
  <c r="X74" i="18"/>
  <c r="Y74" i="18"/>
  <c r="Z74" i="18"/>
  <c r="AA74" i="18"/>
  <c r="AB74" i="18"/>
  <c r="AC74" i="18"/>
  <c r="AD74" i="18"/>
  <c r="AE74" i="18"/>
  <c r="F75" i="18"/>
  <c r="J75" i="18"/>
  <c r="L75" i="18"/>
  <c r="M75" i="18"/>
  <c r="N75" i="18"/>
  <c r="O75" i="18"/>
  <c r="P75" i="18"/>
  <c r="T75" i="18"/>
  <c r="U75" i="18"/>
  <c r="V75" i="18"/>
  <c r="W75" i="18"/>
  <c r="X75" i="18"/>
  <c r="Y75" i="18"/>
  <c r="Z75" i="18"/>
  <c r="AA75" i="18"/>
  <c r="AB75" i="18"/>
  <c r="AC75" i="18"/>
  <c r="AD75" i="18"/>
  <c r="AE75" i="18"/>
  <c r="F76" i="18"/>
  <c r="J76" i="18"/>
  <c r="L76" i="18"/>
  <c r="M76" i="18"/>
  <c r="N76" i="18"/>
  <c r="O76" i="18"/>
  <c r="P76" i="18"/>
  <c r="T76" i="18"/>
  <c r="U76" i="18"/>
  <c r="V76" i="18"/>
  <c r="W76" i="18"/>
  <c r="X76" i="18"/>
  <c r="Y76" i="18"/>
  <c r="Z76" i="18"/>
  <c r="AA76" i="18"/>
  <c r="AB76" i="18"/>
  <c r="AC76" i="18"/>
  <c r="AD76" i="18"/>
  <c r="AE76" i="18"/>
  <c r="F77" i="18"/>
  <c r="J77" i="18"/>
  <c r="L77" i="18"/>
  <c r="M77" i="18"/>
  <c r="N77" i="18"/>
  <c r="O77" i="18"/>
  <c r="P77" i="18"/>
  <c r="T77" i="18"/>
  <c r="U77" i="18"/>
  <c r="V77" i="18"/>
  <c r="W77" i="18"/>
  <c r="X77" i="18"/>
  <c r="Y77" i="18"/>
  <c r="Z77" i="18"/>
  <c r="AA77" i="18"/>
  <c r="AB77" i="18"/>
  <c r="AC77" i="18"/>
  <c r="AD77" i="18"/>
  <c r="AE77" i="18"/>
  <c r="F78" i="18"/>
  <c r="J78" i="18"/>
  <c r="L78" i="18"/>
  <c r="M78" i="18"/>
  <c r="N78" i="18"/>
  <c r="O78" i="18"/>
  <c r="P78" i="18"/>
  <c r="T78" i="18"/>
  <c r="U78" i="18"/>
  <c r="V78" i="18"/>
  <c r="W78" i="18"/>
  <c r="X78" i="18"/>
  <c r="Y78" i="18"/>
  <c r="Z78" i="18"/>
  <c r="AA78" i="18"/>
  <c r="AB78" i="18"/>
  <c r="AC78" i="18"/>
  <c r="AD78" i="18"/>
  <c r="AE78" i="18"/>
  <c r="F79" i="18"/>
  <c r="J79" i="18"/>
  <c r="L79" i="18"/>
  <c r="M79" i="18"/>
  <c r="N79" i="18"/>
  <c r="O79" i="18"/>
  <c r="P79" i="18"/>
  <c r="T79" i="18"/>
  <c r="U79" i="18"/>
  <c r="V79" i="18"/>
  <c r="W79" i="18"/>
  <c r="X79" i="18"/>
  <c r="Y79" i="18"/>
  <c r="Z79" i="18"/>
  <c r="AA79" i="18"/>
  <c r="AB79" i="18"/>
  <c r="AC79" i="18"/>
  <c r="AD79" i="18"/>
  <c r="AE79" i="18"/>
  <c r="F80" i="18"/>
  <c r="J80" i="18"/>
  <c r="L80" i="18"/>
  <c r="M80" i="18"/>
  <c r="N80" i="18"/>
  <c r="O80" i="18"/>
  <c r="P80" i="18"/>
  <c r="T80" i="18"/>
  <c r="U80" i="18"/>
  <c r="V80" i="18"/>
  <c r="W80" i="18"/>
  <c r="X80" i="18"/>
  <c r="Y80" i="18"/>
  <c r="Z80" i="18"/>
  <c r="AA80" i="18"/>
  <c r="AB80" i="18"/>
  <c r="AC80" i="18"/>
  <c r="AD80" i="18"/>
  <c r="AE80" i="18"/>
  <c r="F81" i="18"/>
  <c r="J81" i="18"/>
  <c r="L81" i="18"/>
  <c r="M81" i="18"/>
  <c r="N81" i="18"/>
  <c r="O81" i="18"/>
  <c r="P81" i="18"/>
  <c r="T81" i="18"/>
  <c r="U81" i="18"/>
  <c r="V81" i="18"/>
  <c r="W81" i="18"/>
  <c r="X81" i="18"/>
  <c r="Y81" i="18"/>
  <c r="Z81" i="18"/>
  <c r="AA81" i="18"/>
  <c r="AB81" i="18"/>
  <c r="AC81" i="18"/>
  <c r="AD81" i="18"/>
  <c r="AE81" i="18"/>
  <c r="F82" i="18"/>
  <c r="J82" i="18"/>
  <c r="L82" i="18"/>
  <c r="M82" i="18"/>
  <c r="N82" i="18"/>
  <c r="O82" i="18"/>
  <c r="P82" i="18"/>
  <c r="T82" i="18"/>
  <c r="U82" i="18"/>
  <c r="V82" i="18"/>
  <c r="W82" i="18"/>
  <c r="X82" i="18"/>
  <c r="Y82" i="18"/>
  <c r="Z82" i="18"/>
  <c r="AA82" i="18"/>
  <c r="AB82" i="18"/>
  <c r="AC82" i="18"/>
  <c r="AD82" i="18"/>
  <c r="AE82" i="18"/>
  <c r="F83" i="18"/>
  <c r="J83" i="18"/>
  <c r="L83" i="18"/>
  <c r="M83" i="18"/>
  <c r="N83" i="18"/>
  <c r="O83" i="18"/>
  <c r="P83" i="18"/>
  <c r="T83" i="18"/>
  <c r="U83" i="18"/>
  <c r="V83" i="18"/>
  <c r="W83" i="18"/>
  <c r="X83" i="18"/>
  <c r="Y83" i="18"/>
  <c r="Z83" i="18"/>
  <c r="AA83" i="18"/>
  <c r="AB83" i="18"/>
  <c r="AC83" i="18"/>
  <c r="AD83" i="18"/>
  <c r="AE83" i="18"/>
  <c r="F84" i="18"/>
  <c r="J84" i="18"/>
  <c r="L84" i="18"/>
  <c r="M84" i="18"/>
  <c r="N84" i="18"/>
  <c r="O84" i="18"/>
  <c r="P84" i="18"/>
  <c r="T84" i="18"/>
  <c r="U84" i="18"/>
  <c r="V84" i="18"/>
  <c r="W84" i="18"/>
  <c r="X84" i="18"/>
  <c r="Y84" i="18"/>
  <c r="Z84" i="18"/>
  <c r="AA84" i="18"/>
  <c r="AB84" i="18"/>
  <c r="AC84" i="18"/>
  <c r="AD84" i="18"/>
  <c r="AE84" i="18"/>
  <c r="F85" i="18"/>
  <c r="J85" i="18"/>
  <c r="L85" i="18"/>
  <c r="M85" i="18"/>
  <c r="N85" i="18"/>
  <c r="O85" i="18"/>
  <c r="P85" i="18"/>
  <c r="T85" i="18"/>
  <c r="U85" i="18"/>
  <c r="V85" i="18"/>
  <c r="W85" i="18"/>
  <c r="X85" i="18"/>
  <c r="Y85" i="18"/>
  <c r="Z85" i="18"/>
  <c r="AA85" i="18"/>
  <c r="AB85" i="18"/>
  <c r="AC85" i="18"/>
  <c r="AD85" i="18"/>
  <c r="AE85" i="18"/>
  <c r="F86" i="18"/>
  <c r="J86" i="18"/>
  <c r="L86" i="18"/>
  <c r="M86" i="18"/>
  <c r="N86" i="18"/>
  <c r="O86" i="18"/>
  <c r="P86" i="18"/>
  <c r="T86" i="18"/>
  <c r="U86" i="18"/>
  <c r="V86" i="18"/>
  <c r="W86" i="18"/>
  <c r="X86" i="18"/>
  <c r="Y86" i="18"/>
  <c r="Z86" i="18"/>
  <c r="AA86" i="18"/>
  <c r="AB86" i="18"/>
  <c r="AC86" i="18"/>
  <c r="AD86" i="18"/>
  <c r="AE86" i="18"/>
  <c r="F87" i="18"/>
  <c r="J87" i="18"/>
  <c r="L87" i="18"/>
  <c r="M87" i="18"/>
  <c r="N87" i="18"/>
  <c r="O87" i="18"/>
  <c r="P87" i="18"/>
  <c r="T87" i="18"/>
  <c r="U87" i="18"/>
  <c r="V87" i="18"/>
  <c r="W87" i="18"/>
  <c r="X87" i="18"/>
  <c r="Y87" i="18"/>
  <c r="Z87" i="18"/>
  <c r="AA87" i="18"/>
  <c r="AB87" i="18"/>
  <c r="AC87" i="18"/>
  <c r="AD87" i="18"/>
  <c r="AE87" i="18"/>
  <c r="F88" i="18"/>
  <c r="J88" i="18"/>
  <c r="L88" i="18"/>
  <c r="M88" i="18"/>
  <c r="N88" i="18"/>
  <c r="O88" i="18"/>
  <c r="P88" i="18"/>
  <c r="T88" i="18"/>
  <c r="U88" i="18"/>
  <c r="V88" i="18"/>
  <c r="W88" i="18"/>
  <c r="X88" i="18"/>
  <c r="Y88" i="18"/>
  <c r="Z88" i="18"/>
  <c r="AA88" i="18"/>
  <c r="AB88" i="18"/>
  <c r="AC88" i="18"/>
  <c r="AD88" i="18"/>
  <c r="AE88" i="18"/>
  <c r="F89" i="18"/>
  <c r="J89" i="18"/>
  <c r="L89" i="18"/>
  <c r="M89" i="18"/>
  <c r="N89" i="18"/>
  <c r="O89" i="18"/>
  <c r="P89" i="18"/>
  <c r="T89" i="18"/>
  <c r="U89" i="18"/>
  <c r="V89" i="18"/>
  <c r="W89" i="18"/>
  <c r="X89" i="18"/>
  <c r="Y89" i="18"/>
  <c r="Z89" i="18"/>
  <c r="AA89" i="18"/>
  <c r="AB89" i="18"/>
  <c r="AC89" i="18"/>
  <c r="AD89" i="18"/>
  <c r="AE89" i="18"/>
  <c r="F90" i="18"/>
  <c r="J90" i="18"/>
  <c r="L90" i="18"/>
  <c r="M90" i="18"/>
  <c r="N90" i="18"/>
  <c r="O90" i="18"/>
  <c r="P90" i="18"/>
  <c r="T90" i="18"/>
  <c r="U90" i="18"/>
  <c r="V90" i="18"/>
  <c r="W90" i="18"/>
  <c r="X90" i="18"/>
  <c r="Y90" i="18"/>
  <c r="Z90" i="18"/>
  <c r="AA90" i="18"/>
  <c r="AB90" i="18"/>
  <c r="AC90" i="18"/>
  <c r="AD90" i="18"/>
  <c r="AE90" i="18"/>
  <c r="F91" i="18"/>
  <c r="J91" i="18"/>
  <c r="L91" i="18"/>
  <c r="M91" i="18"/>
  <c r="N91" i="18"/>
  <c r="O91" i="18"/>
  <c r="P91" i="18"/>
  <c r="T91" i="18"/>
  <c r="U91" i="18"/>
  <c r="V91" i="18"/>
  <c r="W91" i="18"/>
  <c r="X91" i="18"/>
  <c r="Y91" i="18"/>
  <c r="Z91" i="18"/>
  <c r="AA91" i="18"/>
  <c r="AB91" i="18"/>
  <c r="AC91" i="18"/>
  <c r="AD91" i="18"/>
  <c r="AE91" i="18"/>
  <c r="F92" i="18"/>
  <c r="J92" i="18"/>
  <c r="L92" i="18"/>
  <c r="M92" i="18"/>
  <c r="N92" i="18"/>
  <c r="O92" i="18"/>
  <c r="P92" i="18"/>
  <c r="T92" i="18"/>
  <c r="U92" i="18"/>
  <c r="V92" i="18"/>
  <c r="W92" i="18"/>
  <c r="X92" i="18"/>
  <c r="Y92" i="18"/>
  <c r="Z92" i="18"/>
  <c r="AA92" i="18"/>
  <c r="AB92" i="18"/>
  <c r="AC92" i="18"/>
  <c r="AD92" i="18"/>
  <c r="AE92" i="18"/>
  <c r="F93" i="18"/>
  <c r="J93" i="18"/>
  <c r="L93" i="18"/>
  <c r="M93" i="18"/>
  <c r="N93" i="18"/>
  <c r="O93" i="18"/>
  <c r="P93" i="18"/>
  <c r="T93" i="18"/>
  <c r="U93" i="18"/>
  <c r="V93" i="18"/>
  <c r="W93" i="18"/>
  <c r="X93" i="18"/>
  <c r="Y93" i="18"/>
  <c r="Z93" i="18"/>
  <c r="AA93" i="18"/>
  <c r="AB93" i="18"/>
  <c r="AC93" i="18"/>
  <c r="AD93" i="18"/>
  <c r="AE93" i="18"/>
  <c r="F94" i="18"/>
  <c r="J94" i="18"/>
  <c r="L94" i="18"/>
  <c r="M94" i="18"/>
  <c r="N94" i="18"/>
  <c r="O94" i="18"/>
  <c r="P94" i="18"/>
  <c r="T94" i="18"/>
  <c r="U94" i="18"/>
  <c r="V94" i="18"/>
  <c r="W94" i="18"/>
  <c r="X94" i="18"/>
  <c r="Y94" i="18"/>
  <c r="Z94" i="18"/>
  <c r="AA94" i="18"/>
  <c r="AB94" i="18"/>
  <c r="AC94" i="18"/>
  <c r="AD94" i="18"/>
  <c r="AE94" i="18"/>
  <c r="F95" i="18"/>
  <c r="J95" i="18"/>
  <c r="L95" i="18"/>
  <c r="M95" i="18"/>
  <c r="N95" i="18"/>
  <c r="O95" i="18"/>
  <c r="P95" i="18"/>
  <c r="T95" i="18"/>
  <c r="U95" i="18"/>
  <c r="V95" i="18"/>
  <c r="W95" i="18"/>
  <c r="X95" i="18"/>
  <c r="Y95" i="18"/>
  <c r="Z95" i="18"/>
  <c r="AA95" i="18"/>
  <c r="AB95" i="18"/>
  <c r="AC95" i="18"/>
  <c r="AD95" i="18"/>
  <c r="AE95" i="18"/>
  <c r="F96" i="18"/>
  <c r="J96" i="18"/>
  <c r="L96" i="18"/>
  <c r="M96" i="18"/>
  <c r="N96" i="18"/>
  <c r="O96" i="18"/>
  <c r="P96" i="18"/>
  <c r="T96" i="18"/>
  <c r="U96" i="18"/>
  <c r="V96" i="18"/>
  <c r="W96" i="18"/>
  <c r="X96" i="18"/>
  <c r="Y96" i="18"/>
  <c r="Z96" i="18"/>
  <c r="AA96" i="18"/>
  <c r="AB96" i="18"/>
  <c r="AC96" i="18"/>
  <c r="AD96" i="18"/>
  <c r="AE96" i="18"/>
  <c r="F97" i="18"/>
  <c r="J97" i="18"/>
  <c r="L97" i="18"/>
  <c r="M97" i="18"/>
  <c r="N97" i="18"/>
  <c r="O97" i="18"/>
  <c r="P97" i="18"/>
  <c r="T97" i="18"/>
  <c r="U97" i="18"/>
  <c r="V97" i="18"/>
  <c r="W97" i="18"/>
  <c r="X97" i="18"/>
  <c r="Y97" i="18"/>
  <c r="Z97" i="18"/>
  <c r="AA97" i="18"/>
  <c r="AB97" i="18"/>
  <c r="AC97" i="18"/>
  <c r="AD97" i="18"/>
  <c r="AE97" i="18"/>
  <c r="F98" i="18"/>
  <c r="J98" i="18"/>
  <c r="L98" i="18"/>
  <c r="M98" i="18"/>
  <c r="N98" i="18"/>
  <c r="O98" i="18"/>
  <c r="P98" i="18"/>
  <c r="T98" i="18"/>
  <c r="U98" i="18"/>
  <c r="V98" i="18"/>
  <c r="W98" i="18"/>
  <c r="X98" i="18"/>
  <c r="Y98" i="18"/>
  <c r="Z98" i="18"/>
  <c r="AA98" i="18"/>
  <c r="AB98" i="18"/>
  <c r="AC98" i="18"/>
  <c r="AD98" i="18"/>
  <c r="AE98" i="18"/>
  <c r="F99" i="18"/>
  <c r="J99" i="18"/>
  <c r="L99" i="18"/>
  <c r="M99" i="18"/>
  <c r="N99" i="18"/>
  <c r="O99" i="18"/>
  <c r="P99" i="18"/>
  <c r="T99" i="18"/>
  <c r="U99" i="18"/>
  <c r="V99" i="18"/>
  <c r="W99" i="18"/>
  <c r="X99" i="18"/>
  <c r="Y99" i="18"/>
  <c r="Z99" i="18"/>
  <c r="AA99" i="18"/>
  <c r="AB99" i="18"/>
  <c r="AC99" i="18"/>
  <c r="AD99" i="18"/>
  <c r="AE99" i="18"/>
  <c r="F100" i="18"/>
  <c r="J100" i="18"/>
  <c r="L100" i="18"/>
  <c r="M100" i="18"/>
  <c r="N100" i="18"/>
  <c r="O100" i="18"/>
  <c r="P100" i="18"/>
  <c r="T100" i="18"/>
  <c r="U100" i="18"/>
  <c r="V100" i="18"/>
  <c r="W100" i="18"/>
  <c r="X100" i="18"/>
  <c r="Y100" i="18"/>
  <c r="Z100" i="18"/>
  <c r="AA100" i="18"/>
  <c r="AB100" i="18"/>
  <c r="AC100" i="18"/>
  <c r="AD100" i="18"/>
  <c r="AE100" i="18"/>
  <c r="F101" i="18"/>
  <c r="J101" i="18"/>
  <c r="L101" i="18"/>
  <c r="M101" i="18"/>
  <c r="N101" i="18"/>
  <c r="O101" i="18"/>
  <c r="P101" i="18"/>
  <c r="T101" i="18"/>
  <c r="U101" i="18"/>
  <c r="V101" i="18"/>
  <c r="W101" i="18"/>
  <c r="X101" i="18"/>
  <c r="Y101" i="18"/>
  <c r="Z101" i="18"/>
  <c r="AA101" i="18"/>
  <c r="AB101" i="18"/>
  <c r="AC101" i="18"/>
  <c r="AD101" i="18"/>
  <c r="AE101" i="18"/>
  <c r="F102" i="18"/>
  <c r="J102" i="18"/>
  <c r="L102" i="18"/>
  <c r="M102" i="18"/>
  <c r="N102" i="18"/>
  <c r="O102" i="18"/>
  <c r="P102" i="18"/>
  <c r="T102" i="18"/>
  <c r="U102" i="18"/>
  <c r="V102" i="18"/>
  <c r="W102" i="18"/>
  <c r="X102" i="18"/>
  <c r="Y102" i="18"/>
  <c r="Z102" i="18"/>
  <c r="AA102" i="18"/>
  <c r="AB102" i="18"/>
  <c r="AC102" i="18"/>
  <c r="AD102" i="18"/>
  <c r="AE102" i="18"/>
  <c r="F103" i="18"/>
  <c r="J103" i="18"/>
  <c r="L103" i="18"/>
  <c r="M103" i="18"/>
  <c r="N103" i="18"/>
  <c r="O103" i="18"/>
  <c r="P103" i="18"/>
  <c r="T103" i="18"/>
  <c r="U103" i="18"/>
  <c r="V103" i="18"/>
  <c r="W103" i="18"/>
  <c r="X103" i="18"/>
  <c r="Y103" i="18"/>
  <c r="Z103" i="18"/>
  <c r="AA103" i="18"/>
  <c r="AB103" i="18"/>
  <c r="AC103" i="18"/>
  <c r="AD103" i="18"/>
  <c r="AE103" i="18"/>
  <c r="F104" i="18"/>
  <c r="J104" i="18"/>
  <c r="L104" i="18"/>
  <c r="M104" i="18"/>
  <c r="N104" i="18"/>
  <c r="O104" i="18"/>
  <c r="P104" i="18"/>
  <c r="T104" i="18"/>
  <c r="U104" i="18"/>
  <c r="V104" i="18"/>
  <c r="W104" i="18"/>
  <c r="X104" i="18"/>
  <c r="Y104" i="18"/>
  <c r="Z104" i="18"/>
  <c r="AA104" i="18"/>
  <c r="AB104" i="18"/>
  <c r="AC104" i="18"/>
  <c r="AD104" i="18"/>
  <c r="AE104" i="18"/>
  <c r="F105" i="18"/>
  <c r="J105" i="18"/>
  <c r="L105" i="18"/>
  <c r="M105" i="18"/>
  <c r="N105" i="18"/>
  <c r="O105" i="18"/>
  <c r="P105" i="18"/>
  <c r="T105" i="18"/>
  <c r="U105" i="18"/>
  <c r="V105" i="18"/>
  <c r="W105" i="18"/>
  <c r="X105" i="18"/>
  <c r="Y105" i="18"/>
  <c r="Z105" i="18"/>
  <c r="AA105" i="18"/>
  <c r="AB105" i="18"/>
  <c r="AC105" i="18"/>
  <c r="AD105" i="18"/>
  <c r="AE105" i="18"/>
  <c r="F106" i="18"/>
  <c r="J106" i="18"/>
  <c r="L106" i="18"/>
  <c r="M106" i="18"/>
  <c r="N106" i="18"/>
  <c r="O106" i="18"/>
  <c r="P106" i="18"/>
  <c r="T106" i="18"/>
  <c r="U106" i="18"/>
  <c r="V106" i="18"/>
  <c r="W106" i="18"/>
  <c r="X106" i="18"/>
  <c r="Y106" i="18"/>
  <c r="Z106" i="18"/>
  <c r="AA106" i="18"/>
  <c r="AB106" i="18"/>
  <c r="AC106" i="18"/>
  <c r="AD106" i="18"/>
  <c r="AE106" i="18"/>
  <c r="F107" i="18"/>
  <c r="J107" i="18"/>
  <c r="L107" i="18"/>
  <c r="M107" i="18"/>
  <c r="N107" i="18"/>
  <c r="O107" i="18"/>
  <c r="P107" i="18"/>
  <c r="T107" i="18"/>
  <c r="U107" i="18"/>
  <c r="V107" i="18"/>
  <c r="W107" i="18"/>
  <c r="X107" i="18"/>
  <c r="Y107" i="18"/>
  <c r="Z107" i="18"/>
  <c r="AA107" i="18"/>
  <c r="AB107" i="18"/>
  <c r="AC107" i="18"/>
  <c r="AD107" i="18"/>
  <c r="AE107" i="18"/>
  <c r="F108" i="18"/>
  <c r="J108" i="18"/>
  <c r="L108" i="18"/>
  <c r="M108" i="18"/>
  <c r="N108" i="18"/>
  <c r="O108" i="18"/>
  <c r="P108" i="18"/>
  <c r="T108" i="18"/>
  <c r="U108" i="18"/>
  <c r="V108" i="18"/>
  <c r="W108" i="18"/>
  <c r="X108" i="18"/>
  <c r="Y108" i="18"/>
  <c r="Z108" i="18"/>
  <c r="AA108" i="18"/>
  <c r="AB108" i="18"/>
  <c r="AC108" i="18"/>
  <c r="AD108" i="18"/>
  <c r="AE108" i="18"/>
  <c r="F109" i="18"/>
  <c r="J109" i="18"/>
  <c r="L109" i="18"/>
  <c r="M109" i="18"/>
  <c r="N109" i="18"/>
  <c r="O109" i="18"/>
  <c r="P109" i="18"/>
  <c r="T109" i="18"/>
  <c r="U109" i="18"/>
  <c r="V109" i="18"/>
  <c r="W109" i="18"/>
  <c r="X109" i="18"/>
  <c r="Y109" i="18"/>
  <c r="Z109" i="18"/>
  <c r="AA109" i="18"/>
  <c r="AB109" i="18"/>
  <c r="AC109" i="18"/>
  <c r="AD109" i="18"/>
  <c r="AE109" i="18"/>
  <c r="F110" i="18"/>
  <c r="J110" i="18"/>
  <c r="L110" i="18"/>
  <c r="M110" i="18"/>
  <c r="N110" i="18"/>
  <c r="O110" i="18"/>
  <c r="P110" i="18"/>
  <c r="T110" i="18"/>
  <c r="U110" i="18"/>
  <c r="V110" i="18"/>
  <c r="W110" i="18"/>
  <c r="X110" i="18"/>
  <c r="Y110" i="18"/>
  <c r="Z110" i="18"/>
  <c r="AA110" i="18"/>
  <c r="AB110" i="18"/>
  <c r="AC110" i="18"/>
  <c r="AD110" i="18"/>
  <c r="AE110" i="18"/>
  <c r="F111" i="18"/>
  <c r="J111" i="18"/>
  <c r="L111" i="18"/>
  <c r="M111" i="18"/>
  <c r="N111" i="18"/>
  <c r="O111" i="18"/>
  <c r="P111" i="18"/>
  <c r="T111" i="18"/>
  <c r="U111" i="18"/>
  <c r="V111" i="18"/>
  <c r="W111" i="18"/>
  <c r="X111" i="18"/>
  <c r="Y111" i="18"/>
  <c r="Z111" i="18"/>
  <c r="AA111" i="18"/>
  <c r="AB111" i="18"/>
  <c r="AC111" i="18"/>
  <c r="AD111" i="18"/>
  <c r="AE111" i="18"/>
  <c r="F112" i="18"/>
  <c r="J112" i="18"/>
  <c r="L112" i="18"/>
  <c r="M112" i="18"/>
  <c r="N112" i="18"/>
  <c r="O112" i="18"/>
  <c r="P112" i="18"/>
  <c r="T112" i="18"/>
  <c r="U112" i="18"/>
  <c r="V112" i="18"/>
  <c r="W112" i="18"/>
  <c r="X112" i="18"/>
  <c r="Y112" i="18"/>
  <c r="Z112" i="18"/>
  <c r="AA112" i="18"/>
  <c r="AB112" i="18"/>
  <c r="AC112" i="18"/>
  <c r="AD112" i="18"/>
  <c r="AE112" i="18"/>
  <c r="F113" i="18"/>
  <c r="J113" i="18"/>
  <c r="L113" i="18"/>
  <c r="M113" i="18"/>
  <c r="N113" i="18"/>
  <c r="O113" i="18"/>
  <c r="P113" i="18"/>
  <c r="T113" i="18"/>
  <c r="U113" i="18"/>
  <c r="V113" i="18"/>
  <c r="W113" i="18"/>
  <c r="X113" i="18"/>
  <c r="Y113" i="18"/>
  <c r="Z113" i="18"/>
  <c r="AA113" i="18"/>
  <c r="AB113" i="18"/>
  <c r="AC113" i="18"/>
  <c r="AD113" i="18"/>
  <c r="AE113" i="18"/>
  <c r="F114" i="18"/>
  <c r="J114" i="18"/>
  <c r="L114" i="18"/>
  <c r="M114" i="18"/>
  <c r="N114" i="18"/>
  <c r="O114" i="18"/>
  <c r="P114" i="18"/>
  <c r="T114" i="18"/>
  <c r="U114" i="18"/>
  <c r="V114" i="18"/>
  <c r="W114" i="18"/>
  <c r="X114" i="18"/>
  <c r="Y114" i="18"/>
  <c r="Z114" i="18"/>
  <c r="AA114" i="18"/>
  <c r="AB114" i="18"/>
  <c r="AC114" i="18"/>
  <c r="AD114" i="18"/>
  <c r="AE114" i="18"/>
  <c r="F115" i="18"/>
  <c r="J115" i="18"/>
  <c r="L115" i="18"/>
  <c r="M115" i="18"/>
  <c r="N115" i="18"/>
  <c r="O115" i="18"/>
  <c r="P115" i="18"/>
  <c r="T115" i="18"/>
  <c r="U115" i="18"/>
  <c r="V115" i="18"/>
  <c r="W115" i="18"/>
  <c r="X115" i="18"/>
  <c r="Y115" i="18"/>
  <c r="Z115" i="18"/>
  <c r="AA115" i="18"/>
  <c r="AB115" i="18"/>
  <c r="AC115" i="18"/>
  <c r="AD115" i="18"/>
  <c r="AE115" i="18"/>
  <c r="F116" i="18"/>
  <c r="J116" i="18"/>
  <c r="L116" i="18"/>
  <c r="M116" i="18"/>
  <c r="N116" i="18"/>
  <c r="O116" i="18"/>
  <c r="P116" i="18"/>
  <c r="T116" i="18"/>
  <c r="U116" i="18"/>
  <c r="V116" i="18"/>
  <c r="W116" i="18"/>
  <c r="X116" i="18"/>
  <c r="Y116" i="18"/>
  <c r="Z116" i="18"/>
  <c r="AA116" i="18"/>
  <c r="AB116" i="18"/>
  <c r="AC116" i="18"/>
  <c r="AD116" i="18"/>
  <c r="AE116" i="18"/>
  <c r="F117" i="18"/>
  <c r="J117" i="18"/>
  <c r="L117" i="18"/>
  <c r="M117" i="18"/>
  <c r="N117" i="18"/>
  <c r="O117" i="18"/>
  <c r="P117" i="18"/>
  <c r="T117" i="18"/>
  <c r="U117" i="18"/>
  <c r="V117" i="18"/>
  <c r="W117" i="18"/>
  <c r="X117" i="18"/>
  <c r="Y117" i="18"/>
  <c r="Z117" i="18"/>
  <c r="AA117" i="18"/>
  <c r="AB117" i="18"/>
  <c r="AC117" i="18"/>
  <c r="AD117" i="18"/>
  <c r="AE117" i="18"/>
  <c r="F118" i="18"/>
  <c r="J118" i="18"/>
  <c r="L118" i="18"/>
  <c r="M118" i="18"/>
  <c r="N118" i="18"/>
  <c r="O118" i="18"/>
  <c r="P118" i="18"/>
  <c r="T118" i="18"/>
  <c r="U118" i="18"/>
  <c r="V118" i="18"/>
  <c r="W118" i="18"/>
  <c r="X118" i="18"/>
  <c r="Y118" i="18"/>
  <c r="Z118" i="18"/>
  <c r="AA118" i="18"/>
  <c r="AB118" i="18"/>
  <c r="AC118" i="18"/>
  <c r="AD118" i="18"/>
  <c r="AE118" i="18"/>
  <c r="F119" i="18"/>
  <c r="J119" i="18"/>
  <c r="L119" i="18"/>
  <c r="M119" i="18"/>
  <c r="N119" i="18"/>
  <c r="O119" i="18"/>
  <c r="P119" i="18"/>
  <c r="T119" i="18"/>
  <c r="U119" i="18"/>
  <c r="V119" i="18"/>
  <c r="W119" i="18"/>
  <c r="X119" i="18"/>
  <c r="Y119" i="18"/>
  <c r="Z119" i="18"/>
  <c r="AA119" i="18"/>
  <c r="AB119" i="18"/>
  <c r="AC119" i="18"/>
  <c r="AD119" i="18"/>
  <c r="AE119" i="18"/>
  <c r="F120" i="18"/>
  <c r="J120" i="18"/>
  <c r="L120" i="18"/>
  <c r="M120" i="18"/>
  <c r="N120" i="18"/>
  <c r="O120" i="18"/>
  <c r="P120" i="18"/>
  <c r="T120" i="18"/>
  <c r="U120" i="18"/>
  <c r="V120" i="18"/>
  <c r="W120" i="18"/>
  <c r="X120" i="18"/>
  <c r="Y120" i="18"/>
  <c r="Z120" i="18"/>
  <c r="AA120" i="18"/>
  <c r="AB120" i="18"/>
  <c r="AC120" i="18"/>
  <c r="AD120" i="18"/>
  <c r="AE120" i="18"/>
  <c r="F121" i="18"/>
  <c r="J121" i="18"/>
  <c r="L121" i="18"/>
  <c r="M121" i="18"/>
  <c r="N121" i="18"/>
  <c r="O121" i="18"/>
  <c r="P121" i="18"/>
  <c r="T121" i="18"/>
  <c r="U121" i="18"/>
  <c r="V121" i="18"/>
  <c r="W121" i="18"/>
  <c r="X121" i="18"/>
  <c r="Y121" i="18"/>
  <c r="Z121" i="18"/>
  <c r="AA121" i="18"/>
  <c r="AB121" i="18"/>
  <c r="AC121" i="18"/>
  <c r="AD121" i="18"/>
  <c r="AE121" i="18"/>
  <c r="F122" i="18"/>
  <c r="J122" i="18"/>
  <c r="L122" i="18"/>
  <c r="M122" i="18"/>
  <c r="N122" i="18"/>
  <c r="O122" i="18"/>
  <c r="P122" i="18"/>
  <c r="T122" i="18"/>
  <c r="U122" i="18"/>
  <c r="V122" i="18"/>
  <c r="W122" i="18"/>
  <c r="X122" i="18"/>
  <c r="Y122" i="18"/>
  <c r="Z122" i="18"/>
  <c r="AA122" i="18"/>
  <c r="AB122" i="18"/>
  <c r="AC122" i="18"/>
  <c r="AD122" i="18"/>
  <c r="AE122" i="18"/>
  <c r="F123" i="18"/>
  <c r="J123" i="18"/>
  <c r="L123" i="18"/>
  <c r="M123" i="18"/>
  <c r="N123" i="18"/>
  <c r="O123" i="18"/>
  <c r="P123" i="18"/>
  <c r="T123" i="18"/>
  <c r="U123" i="18"/>
  <c r="V123" i="18"/>
  <c r="W123" i="18"/>
  <c r="X123" i="18"/>
  <c r="Y123" i="18"/>
  <c r="Z123" i="18"/>
  <c r="AA123" i="18"/>
  <c r="AB123" i="18"/>
  <c r="AC123" i="18"/>
  <c r="AD123" i="18"/>
  <c r="AE123" i="18"/>
  <c r="F124" i="18"/>
  <c r="J124" i="18"/>
  <c r="L124" i="18"/>
  <c r="M124" i="18"/>
  <c r="N124" i="18"/>
  <c r="O124" i="18"/>
  <c r="P124" i="18"/>
  <c r="T124" i="18"/>
  <c r="U124" i="18"/>
  <c r="V124" i="18"/>
  <c r="W124" i="18"/>
  <c r="X124" i="18"/>
  <c r="Y124" i="18"/>
  <c r="Z124" i="18"/>
  <c r="AA124" i="18"/>
  <c r="AB124" i="18"/>
  <c r="AC124" i="18"/>
  <c r="AD124" i="18"/>
  <c r="AE124" i="18"/>
  <c r="F125" i="18"/>
  <c r="J125" i="18"/>
  <c r="L125" i="18"/>
  <c r="M125" i="18"/>
  <c r="N125" i="18"/>
  <c r="O125" i="18"/>
  <c r="P125" i="18"/>
  <c r="T125" i="18"/>
  <c r="U125" i="18"/>
  <c r="V125" i="18"/>
  <c r="W125" i="18"/>
  <c r="X125" i="18"/>
  <c r="Y125" i="18"/>
  <c r="Z125" i="18"/>
  <c r="AA125" i="18"/>
  <c r="AB125" i="18"/>
  <c r="AC125" i="18"/>
  <c r="AD125" i="18"/>
  <c r="AE125" i="18"/>
  <c r="F126" i="18"/>
  <c r="J126" i="18"/>
  <c r="L126" i="18"/>
  <c r="M126" i="18"/>
  <c r="N126" i="18"/>
  <c r="O126" i="18"/>
  <c r="P126" i="18"/>
  <c r="T126" i="18"/>
  <c r="U126" i="18"/>
  <c r="V126" i="18"/>
  <c r="W126" i="18"/>
  <c r="X126" i="18"/>
  <c r="Y126" i="18"/>
  <c r="Z126" i="18"/>
  <c r="AA126" i="18"/>
  <c r="AB126" i="18"/>
  <c r="AC126" i="18"/>
  <c r="AD126" i="18"/>
  <c r="AE126" i="18"/>
  <c r="F127" i="18"/>
  <c r="J127" i="18"/>
  <c r="L127" i="18"/>
  <c r="M127" i="18"/>
  <c r="N127" i="18"/>
  <c r="O127" i="18"/>
  <c r="P127" i="18"/>
  <c r="T127" i="18"/>
  <c r="U127" i="18"/>
  <c r="V127" i="18"/>
  <c r="W127" i="18"/>
  <c r="X127" i="18"/>
  <c r="Y127" i="18"/>
  <c r="Z127" i="18"/>
  <c r="AA127" i="18"/>
  <c r="AB127" i="18"/>
  <c r="AC127" i="18"/>
  <c r="AD127" i="18"/>
  <c r="AE127" i="18"/>
  <c r="F128" i="18"/>
  <c r="J128" i="18"/>
  <c r="L128" i="18"/>
  <c r="M128" i="18"/>
  <c r="N128" i="18"/>
  <c r="O128" i="18"/>
  <c r="P128" i="18"/>
  <c r="T128" i="18"/>
  <c r="U128" i="18"/>
  <c r="V128" i="18"/>
  <c r="W128" i="18"/>
  <c r="X128" i="18"/>
  <c r="Y128" i="18"/>
  <c r="Z128" i="18"/>
  <c r="AA128" i="18"/>
  <c r="AB128" i="18"/>
  <c r="AC128" i="18"/>
  <c r="AD128" i="18"/>
  <c r="AE128" i="18"/>
  <c r="F129" i="18"/>
  <c r="J129" i="18"/>
  <c r="L129" i="18"/>
  <c r="M129" i="18"/>
  <c r="N129" i="18"/>
  <c r="O129" i="18"/>
  <c r="P129" i="18"/>
  <c r="T129" i="18"/>
  <c r="U129" i="18"/>
  <c r="V129" i="18"/>
  <c r="W129" i="18"/>
  <c r="X129" i="18"/>
  <c r="Y129" i="18"/>
  <c r="Z129" i="18"/>
  <c r="AA129" i="18"/>
  <c r="AB129" i="18"/>
  <c r="AC129" i="18"/>
  <c r="AD129" i="18"/>
  <c r="AE129" i="18"/>
  <c r="F130" i="18"/>
  <c r="J130" i="18"/>
  <c r="L130" i="18"/>
  <c r="M130" i="18"/>
  <c r="N130" i="18"/>
  <c r="O130" i="18"/>
  <c r="P130" i="18"/>
  <c r="T130" i="18"/>
  <c r="U130" i="18"/>
  <c r="V130" i="18"/>
  <c r="W130" i="18"/>
  <c r="X130" i="18"/>
  <c r="Y130" i="18"/>
  <c r="Z130" i="18"/>
  <c r="AA130" i="18"/>
  <c r="AB130" i="18"/>
  <c r="AC130" i="18"/>
  <c r="AD130" i="18"/>
  <c r="AE130" i="18"/>
  <c r="F131" i="18"/>
  <c r="J131" i="18"/>
  <c r="L131" i="18"/>
  <c r="M131" i="18"/>
  <c r="N131" i="18"/>
  <c r="O131" i="18"/>
  <c r="P131" i="18"/>
  <c r="T131" i="18"/>
  <c r="U131" i="18"/>
  <c r="V131" i="18"/>
  <c r="W131" i="18"/>
  <c r="X131" i="18"/>
  <c r="Y131" i="18"/>
  <c r="Z131" i="18"/>
  <c r="AA131" i="18"/>
  <c r="AB131" i="18"/>
  <c r="AC131" i="18"/>
  <c r="AD131" i="18"/>
  <c r="AE131" i="18"/>
  <c r="F132" i="18"/>
  <c r="J132" i="18"/>
  <c r="L132" i="18"/>
  <c r="M132" i="18"/>
  <c r="N132" i="18"/>
  <c r="O132" i="18"/>
  <c r="P132" i="18"/>
  <c r="T132" i="18"/>
  <c r="U132" i="18"/>
  <c r="V132" i="18"/>
  <c r="W132" i="18"/>
  <c r="X132" i="18"/>
  <c r="Y132" i="18"/>
  <c r="Z132" i="18"/>
  <c r="AA132" i="18"/>
  <c r="AB132" i="18"/>
  <c r="AC132" i="18"/>
  <c r="AD132" i="18"/>
  <c r="AE132" i="18"/>
  <c r="F133" i="18"/>
  <c r="J133" i="18"/>
  <c r="L133" i="18"/>
  <c r="M133" i="18"/>
  <c r="N133" i="18"/>
  <c r="O133" i="18"/>
  <c r="P133" i="18"/>
  <c r="T133" i="18"/>
  <c r="U133" i="18"/>
  <c r="V133" i="18"/>
  <c r="W133" i="18"/>
  <c r="X133" i="18"/>
  <c r="Y133" i="18"/>
  <c r="Z133" i="18"/>
  <c r="AA133" i="18"/>
  <c r="AB133" i="18"/>
  <c r="AC133" i="18"/>
  <c r="AD133" i="18"/>
  <c r="AE133" i="18"/>
  <c r="F134" i="18"/>
  <c r="J134" i="18"/>
  <c r="L134" i="18"/>
  <c r="M134" i="18"/>
  <c r="N134" i="18"/>
  <c r="O134" i="18"/>
  <c r="P134" i="18"/>
  <c r="T134" i="18"/>
  <c r="U134" i="18"/>
  <c r="V134" i="18"/>
  <c r="W134" i="18"/>
  <c r="X134" i="18"/>
  <c r="Y134" i="18"/>
  <c r="Z134" i="18"/>
  <c r="AA134" i="18"/>
  <c r="AB134" i="18"/>
  <c r="AC134" i="18"/>
  <c r="AD134" i="18"/>
  <c r="AE134" i="18"/>
  <c r="F135" i="18"/>
  <c r="J135" i="18"/>
  <c r="L135" i="18"/>
  <c r="M135" i="18"/>
  <c r="N135" i="18"/>
  <c r="O135" i="18"/>
  <c r="P135" i="18"/>
  <c r="T135" i="18"/>
  <c r="U135" i="18"/>
  <c r="V135" i="18"/>
  <c r="W135" i="18"/>
  <c r="X135" i="18"/>
  <c r="Y135" i="18"/>
  <c r="Z135" i="18"/>
  <c r="AA135" i="18"/>
  <c r="AB135" i="18"/>
  <c r="AC135" i="18"/>
  <c r="AD135" i="18"/>
  <c r="AE135" i="18"/>
  <c r="F136" i="18"/>
  <c r="J136" i="18"/>
  <c r="L136" i="18"/>
  <c r="M136" i="18"/>
  <c r="N136" i="18"/>
  <c r="O136" i="18"/>
  <c r="P136" i="18"/>
  <c r="T136" i="18"/>
  <c r="U136" i="18"/>
  <c r="V136" i="18"/>
  <c r="W136" i="18"/>
  <c r="X136" i="18"/>
  <c r="Y136" i="18"/>
  <c r="Z136" i="18"/>
  <c r="AA136" i="18"/>
  <c r="AB136" i="18"/>
  <c r="AC136" i="18"/>
  <c r="AD136" i="18"/>
  <c r="AE136" i="18"/>
  <c r="F137" i="18"/>
  <c r="J137" i="18"/>
  <c r="L137" i="18"/>
  <c r="M137" i="18"/>
  <c r="N137" i="18"/>
  <c r="O137" i="18"/>
  <c r="P137" i="18"/>
  <c r="T137" i="18"/>
  <c r="U137" i="18"/>
  <c r="V137" i="18"/>
  <c r="W137" i="18"/>
  <c r="X137" i="18"/>
  <c r="Y137" i="18"/>
  <c r="Z137" i="18"/>
  <c r="AA137" i="18"/>
  <c r="AB137" i="18"/>
  <c r="AC137" i="18"/>
  <c r="AD137" i="18"/>
  <c r="AE137" i="18"/>
  <c r="F138" i="18"/>
  <c r="J138" i="18"/>
  <c r="L138" i="18"/>
  <c r="M138" i="18"/>
  <c r="N138" i="18"/>
  <c r="O138" i="18"/>
  <c r="P138" i="18"/>
  <c r="T138" i="18"/>
  <c r="U138" i="18"/>
  <c r="V138" i="18"/>
  <c r="W138" i="18"/>
  <c r="X138" i="18"/>
  <c r="Y138" i="18"/>
  <c r="Z138" i="18"/>
  <c r="AA138" i="18"/>
  <c r="AB138" i="18"/>
  <c r="AC138" i="18"/>
  <c r="AD138" i="18"/>
  <c r="AE138" i="18"/>
  <c r="F139" i="18"/>
  <c r="J139" i="18"/>
  <c r="L139" i="18"/>
  <c r="M139" i="18"/>
  <c r="N139" i="18"/>
  <c r="O139" i="18"/>
  <c r="P139" i="18"/>
  <c r="T139" i="18"/>
  <c r="U139" i="18"/>
  <c r="V139" i="18"/>
  <c r="W139" i="18"/>
  <c r="X139" i="18"/>
  <c r="Y139" i="18"/>
  <c r="Z139" i="18"/>
  <c r="AA139" i="18"/>
  <c r="AB139" i="18"/>
  <c r="AC139" i="18"/>
  <c r="AD139" i="18"/>
  <c r="AE139" i="18"/>
  <c r="F140" i="18"/>
  <c r="J140" i="18"/>
  <c r="L140" i="18"/>
  <c r="M140" i="18"/>
  <c r="N140" i="18"/>
  <c r="O140" i="18"/>
  <c r="P140" i="18"/>
  <c r="T140" i="18"/>
  <c r="U140" i="18"/>
  <c r="V140" i="18"/>
  <c r="W140" i="18"/>
  <c r="X140" i="18"/>
  <c r="Y140" i="18"/>
  <c r="Z140" i="18"/>
  <c r="AA140" i="18"/>
  <c r="AB140" i="18"/>
  <c r="AC140" i="18"/>
  <c r="AD140" i="18"/>
  <c r="AE140" i="18"/>
  <c r="F141" i="18"/>
  <c r="J141" i="18"/>
  <c r="L141" i="18"/>
  <c r="M141" i="18"/>
  <c r="N141" i="18"/>
  <c r="O141" i="18"/>
  <c r="P141" i="18"/>
  <c r="T141" i="18"/>
  <c r="U141" i="18"/>
  <c r="V141" i="18"/>
  <c r="W141" i="18"/>
  <c r="X141" i="18"/>
  <c r="Y141" i="18"/>
  <c r="Z141" i="18"/>
  <c r="AA141" i="18"/>
  <c r="AB141" i="18"/>
  <c r="AC141" i="18"/>
  <c r="AD141" i="18"/>
  <c r="AE141" i="18"/>
  <c r="F142" i="18"/>
  <c r="J142" i="18"/>
  <c r="L142" i="18"/>
  <c r="M142" i="18"/>
  <c r="N142" i="18"/>
  <c r="O142" i="18"/>
  <c r="P142" i="18"/>
  <c r="T142" i="18"/>
  <c r="U142" i="18"/>
  <c r="V142" i="18"/>
  <c r="W142" i="18"/>
  <c r="X142" i="18"/>
  <c r="Y142" i="18"/>
  <c r="Z142" i="18"/>
  <c r="AA142" i="18"/>
  <c r="AB142" i="18"/>
  <c r="AC142" i="18"/>
  <c r="AD142" i="18"/>
  <c r="AE142" i="18"/>
  <c r="F143" i="18"/>
  <c r="J143" i="18"/>
  <c r="L143" i="18"/>
  <c r="M143" i="18"/>
  <c r="N143" i="18"/>
  <c r="O143" i="18"/>
  <c r="P143" i="18"/>
  <c r="T143" i="18"/>
  <c r="U143" i="18"/>
  <c r="V143" i="18"/>
  <c r="W143" i="18"/>
  <c r="X143" i="18"/>
  <c r="Y143" i="18"/>
  <c r="Z143" i="18"/>
  <c r="AA143" i="18"/>
  <c r="AB143" i="18"/>
  <c r="AC143" i="18"/>
  <c r="AD143" i="18"/>
  <c r="AE143" i="18"/>
  <c r="F144" i="18"/>
  <c r="J144" i="18"/>
  <c r="L144" i="18"/>
  <c r="M144" i="18"/>
  <c r="N144" i="18"/>
  <c r="O144" i="18"/>
  <c r="P144" i="18"/>
  <c r="T144" i="18"/>
  <c r="U144" i="18"/>
  <c r="V144" i="18"/>
  <c r="W144" i="18"/>
  <c r="X144" i="18"/>
  <c r="Y144" i="18"/>
  <c r="Z144" i="18"/>
  <c r="AA144" i="18"/>
  <c r="AB144" i="18"/>
  <c r="AC144" i="18"/>
  <c r="AD144" i="18"/>
  <c r="AE144" i="18"/>
  <c r="F145" i="18"/>
  <c r="J145" i="18"/>
  <c r="L145" i="18"/>
  <c r="M145" i="18"/>
  <c r="N145" i="18"/>
  <c r="O145" i="18"/>
  <c r="P145" i="18"/>
  <c r="T145" i="18"/>
  <c r="U145" i="18"/>
  <c r="V145" i="18"/>
  <c r="W145" i="18"/>
  <c r="X145" i="18"/>
  <c r="Y145" i="18"/>
  <c r="Z145" i="18"/>
  <c r="AA145" i="18"/>
  <c r="AB145" i="18"/>
  <c r="AC145" i="18"/>
  <c r="AD145" i="18"/>
  <c r="AE145" i="18"/>
  <c r="F146" i="18"/>
  <c r="J146" i="18"/>
  <c r="L146" i="18"/>
  <c r="M146" i="18"/>
  <c r="N146" i="18"/>
  <c r="O146" i="18"/>
  <c r="P146" i="18"/>
  <c r="T146" i="18"/>
  <c r="U146" i="18"/>
  <c r="V146" i="18"/>
  <c r="W146" i="18"/>
  <c r="X146" i="18"/>
  <c r="Y146" i="18"/>
  <c r="Z146" i="18"/>
  <c r="AA146" i="18"/>
  <c r="AB146" i="18"/>
  <c r="AC146" i="18"/>
  <c r="AD146" i="18"/>
  <c r="AE146" i="18"/>
  <c r="F147" i="18"/>
  <c r="J147" i="18"/>
  <c r="L147" i="18"/>
  <c r="M147" i="18"/>
  <c r="N147" i="18"/>
  <c r="O147" i="18"/>
  <c r="P147" i="18"/>
  <c r="T147" i="18"/>
  <c r="U147" i="18"/>
  <c r="V147" i="18"/>
  <c r="W147" i="18"/>
  <c r="X147" i="18"/>
  <c r="Y147" i="18"/>
  <c r="Z147" i="18"/>
  <c r="AA147" i="18"/>
  <c r="AB147" i="18"/>
  <c r="AC147" i="18"/>
  <c r="AD147" i="18"/>
  <c r="AE147" i="18"/>
  <c r="F148" i="18"/>
  <c r="J148" i="18"/>
  <c r="L148" i="18"/>
  <c r="M148" i="18"/>
  <c r="N148" i="18"/>
  <c r="O148" i="18"/>
  <c r="P148" i="18"/>
  <c r="T148" i="18"/>
  <c r="U148" i="18"/>
  <c r="V148" i="18"/>
  <c r="W148" i="18"/>
  <c r="X148" i="18"/>
  <c r="Y148" i="18"/>
  <c r="Z148" i="18"/>
  <c r="AA148" i="18"/>
  <c r="AB148" i="18"/>
  <c r="AC148" i="18"/>
  <c r="AD148" i="18"/>
  <c r="AE148" i="18"/>
  <c r="F149" i="18"/>
  <c r="J149" i="18"/>
  <c r="L149" i="18"/>
  <c r="M149" i="18"/>
  <c r="N149" i="18"/>
  <c r="O149" i="18"/>
  <c r="P149" i="18"/>
  <c r="T149" i="18"/>
  <c r="U149" i="18"/>
  <c r="V149" i="18"/>
  <c r="W149" i="18"/>
  <c r="X149" i="18"/>
  <c r="Y149" i="18"/>
  <c r="Z149" i="18"/>
  <c r="AA149" i="18"/>
  <c r="AB149" i="18"/>
  <c r="AC149" i="18"/>
  <c r="AD149" i="18"/>
  <c r="AE149" i="18"/>
  <c r="F150" i="18"/>
  <c r="J150" i="18"/>
  <c r="L150" i="18"/>
  <c r="M150" i="18"/>
  <c r="N150" i="18"/>
  <c r="O150" i="18"/>
  <c r="P150" i="18"/>
  <c r="T150" i="18"/>
  <c r="U150" i="18"/>
  <c r="V150" i="18"/>
  <c r="W150" i="18"/>
  <c r="X150" i="18"/>
  <c r="Y150" i="18"/>
  <c r="Z150" i="18"/>
  <c r="AA150" i="18"/>
  <c r="AB150" i="18"/>
  <c r="AC150" i="18"/>
  <c r="AD150" i="18"/>
  <c r="AE150" i="18"/>
  <c r="F151" i="18"/>
  <c r="J151" i="18"/>
  <c r="L151" i="18"/>
  <c r="M151" i="18"/>
  <c r="N151" i="18"/>
  <c r="O151" i="18"/>
  <c r="P151" i="18"/>
  <c r="T151" i="18"/>
  <c r="U151" i="18"/>
  <c r="V151" i="18"/>
  <c r="W151" i="18"/>
  <c r="X151" i="18"/>
  <c r="Y151" i="18"/>
  <c r="Z151" i="18"/>
  <c r="AA151" i="18"/>
  <c r="AB151" i="18"/>
  <c r="AC151" i="18"/>
  <c r="AD151" i="18"/>
  <c r="AE151" i="18"/>
  <c r="F152" i="18"/>
  <c r="J152" i="18"/>
  <c r="L152" i="18"/>
  <c r="M152" i="18"/>
  <c r="N152" i="18"/>
  <c r="O152" i="18"/>
  <c r="P152" i="18"/>
  <c r="T152" i="18"/>
  <c r="U152" i="18"/>
  <c r="V152" i="18"/>
  <c r="W152" i="18"/>
  <c r="X152" i="18"/>
  <c r="Y152" i="18"/>
  <c r="Z152" i="18"/>
  <c r="AA152" i="18"/>
  <c r="AB152" i="18"/>
  <c r="AC152" i="18"/>
  <c r="AD152" i="18"/>
  <c r="AE152" i="18"/>
  <c r="F153" i="18"/>
  <c r="J153" i="18"/>
  <c r="L153" i="18"/>
  <c r="M153" i="18"/>
  <c r="N153" i="18"/>
  <c r="O153" i="18"/>
  <c r="P153" i="18"/>
  <c r="T153" i="18"/>
  <c r="U153" i="18"/>
  <c r="V153" i="18"/>
  <c r="W153" i="18"/>
  <c r="X153" i="18"/>
  <c r="Y153" i="18"/>
  <c r="Z153" i="18"/>
  <c r="AA153" i="18"/>
  <c r="AB153" i="18"/>
  <c r="AC153" i="18"/>
  <c r="AD153" i="18"/>
  <c r="AE153" i="18"/>
  <c r="F154" i="18"/>
  <c r="J154" i="18"/>
  <c r="L154" i="18"/>
  <c r="M154" i="18"/>
  <c r="N154" i="18"/>
  <c r="O154" i="18"/>
  <c r="P154" i="18"/>
  <c r="T154" i="18"/>
  <c r="U154" i="18"/>
  <c r="V154" i="18"/>
  <c r="W154" i="18"/>
  <c r="X154" i="18"/>
  <c r="Y154" i="18"/>
  <c r="Z154" i="18"/>
  <c r="AA154" i="18"/>
  <c r="AB154" i="18"/>
  <c r="AC154" i="18"/>
  <c r="AD154" i="18"/>
  <c r="AE154" i="18"/>
  <c r="F155" i="18"/>
  <c r="J155" i="18"/>
  <c r="L155" i="18"/>
  <c r="M155" i="18"/>
  <c r="N155" i="18"/>
  <c r="O155" i="18"/>
  <c r="P155" i="18"/>
  <c r="T155" i="18"/>
  <c r="U155" i="18"/>
  <c r="V155" i="18"/>
  <c r="W155" i="18"/>
  <c r="X155" i="18"/>
  <c r="Y155" i="18"/>
  <c r="Z155" i="18"/>
  <c r="AA155" i="18"/>
  <c r="AB155" i="18"/>
  <c r="AC155" i="18"/>
  <c r="AD155" i="18"/>
  <c r="AE155" i="18"/>
  <c r="F156" i="18"/>
  <c r="J156" i="18"/>
  <c r="L156" i="18"/>
  <c r="M156" i="18"/>
  <c r="N156" i="18"/>
  <c r="O156" i="18"/>
  <c r="P156" i="18"/>
  <c r="T156" i="18"/>
  <c r="U156" i="18"/>
  <c r="V156" i="18"/>
  <c r="W156" i="18"/>
  <c r="X156" i="18"/>
  <c r="Y156" i="18"/>
  <c r="Z156" i="18"/>
  <c r="AA156" i="18"/>
  <c r="AB156" i="18"/>
  <c r="AC156" i="18"/>
  <c r="AD156" i="18"/>
  <c r="AE156" i="18"/>
  <c r="F157" i="18"/>
  <c r="J157" i="18"/>
  <c r="L157" i="18"/>
  <c r="M157" i="18"/>
  <c r="N157" i="18"/>
  <c r="O157" i="18"/>
  <c r="P157" i="18"/>
  <c r="T157" i="18"/>
  <c r="U157" i="18"/>
  <c r="V157" i="18"/>
  <c r="W157" i="18"/>
  <c r="X157" i="18"/>
  <c r="Y157" i="18"/>
  <c r="Z157" i="18"/>
  <c r="AA157" i="18"/>
  <c r="AB157" i="18"/>
  <c r="AC157" i="18"/>
  <c r="AD157" i="18"/>
  <c r="AE157" i="18"/>
  <c r="F158" i="18"/>
  <c r="J158" i="18"/>
  <c r="L158" i="18"/>
  <c r="M158" i="18"/>
  <c r="N158" i="18"/>
  <c r="O158" i="18"/>
  <c r="P158" i="18"/>
  <c r="T158" i="18"/>
  <c r="U158" i="18"/>
  <c r="V158" i="18"/>
  <c r="W158" i="18"/>
  <c r="X158" i="18"/>
  <c r="Y158" i="18"/>
  <c r="Z158" i="18"/>
  <c r="AA158" i="18"/>
  <c r="AB158" i="18"/>
  <c r="AC158" i="18"/>
  <c r="AD158" i="18"/>
  <c r="AE158" i="18"/>
  <c r="F159" i="18"/>
  <c r="J159" i="18"/>
  <c r="L159" i="18"/>
  <c r="M159" i="18"/>
  <c r="N159" i="18"/>
  <c r="O159" i="18"/>
  <c r="P159" i="18"/>
  <c r="T159" i="18"/>
  <c r="U159" i="18"/>
  <c r="V159" i="18"/>
  <c r="W159" i="18"/>
  <c r="X159" i="18"/>
  <c r="Y159" i="18"/>
  <c r="Z159" i="18"/>
  <c r="AA159" i="18"/>
  <c r="AB159" i="18"/>
  <c r="AC159" i="18"/>
  <c r="AD159" i="18"/>
  <c r="AE159" i="18"/>
  <c r="F160" i="18"/>
  <c r="J160" i="18"/>
  <c r="L160" i="18"/>
  <c r="M160" i="18"/>
  <c r="N160" i="18"/>
  <c r="O160" i="18"/>
  <c r="P160" i="18"/>
  <c r="T160" i="18"/>
  <c r="U160" i="18"/>
  <c r="V160" i="18"/>
  <c r="W160" i="18"/>
  <c r="X160" i="18"/>
  <c r="Y160" i="18"/>
  <c r="Z160" i="18"/>
  <c r="AA160" i="18"/>
  <c r="AB160" i="18"/>
  <c r="AC160" i="18"/>
  <c r="AD160" i="18"/>
  <c r="AE160" i="18"/>
  <c r="F161" i="18"/>
  <c r="J161" i="18"/>
  <c r="L161" i="18"/>
  <c r="M161" i="18"/>
  <c r="N161" i="18"/>
  <c r="O161" i="18"/>
  <c r="P161" i="18"/>
  <c r="T161" i="18"/>
  <c r="U161" i="18"/>
  <c r="V161" i="18"/>
  <c r="W161" i="18"/>
  <c r="X161" i="18"/>
  <c r="Y161" i="18"/>
  <c r="Z161" i="18"/>
  <c r="AA161" i="18"/>
  <c r="AB161" i="18"/>
  <c r="AC161" i="18"/>
  <c r="AD161" i="18"/>
  <c r="AE161" i="18"/>
  <c r="F162" i="18"/>
  <c r="J162" i="18"/>
  <c r="L162" i="18"/>
  <c r="M162" i="18"/>
  <c r="N162" i="18"/>
  <c r="O162" i="18"/>
  <c r="P162" i="18"/>
  <c r="T162" i="18"/>
  <c r="U162" i="18"/>
  <c r="V162" i="18"/>
  <c r="W162" i="18"/>
  <c r="X162" i="18"/>
  <c r="Y162" i="18"/>
  <c r="Z162" i="18"/>
  <c r="AA162" i="18"/>
  <c r="AB162" i="18"/>
  <c r="AC162" i="18"/>
  <c r="AD162" i="18"/>
  <c r="AE162" i="18"/>
  <c r="F163" i="18"/>
  <c r="J163" i="18"/>
  <c r="L163" i="18"/>
  <c r="M163" i="18"/>
  <c r="N163" i="18"/>
  <c r="O163" i="18"/>
  <c r="P163" i="18"/>
  <c r="T163" i="18"/>
  <c r="U163" i="18"/>
  <c r="V163" i="18"/>
  <c r="W163" i="18"/>
  <c r="X163" i="18"/>
  <c r="Y163" i="18"/>
  <c r="Z163" i="18"/>
  <c r="AA163" i="18"/>
  <c r="AB163" i="18"/>
  <c r="AC163" i="18"/>
  <c r="AD163" i="18"/>
  <c r="AE163" i="18"/>
  <c r="F164" i="18"/>
  <c r="J164" i="18"/>
  <c r="L164" i="18"/>
  <c r="M164" i="18"/>
  <c r="N164" i="18"/>
  <c r="O164" i="18"/>
  <c r="P164" i="18"/>
  <c r="T164" i="18"/>
  <c r="U164" i="18"/>
  <c r="V164" i="18"/>
  <c r="W164" i="18"/>
  <c r="X164" i="18"/>
  <c r="Y164" i="18"/>
  <c r="Z164" i="18"/>
  <c r="AA164" i="18"/>
  <c r="AB164" i="18"/>
  <c r="AC164" i="18"/>
  <c r="AD164" i="18"/>
  <c r="AE164" i="18"/>
  <c r="F165" i="18"/>
  <c r="J165" i="18"/>
  <c r="L165" i="18"/>
  <c r="M165" i="18"/>
  <c r="N165" i="18"/>
  <c r="O165" i="18"/>
  <c r="P165" i="18"/>
  <c r="T165" i="18"/>
  <c r="U165" i="18"/>
  <c r="V165" i="18"/>
  <c r="W165" i="18"/>
  <c r="X165" i="18"/>
  <c r="Y165" i="18"/>
  <c r="Z165" i="18"/>
  <c r="AA165" i="18"/>
  <c r="AB165" i="18"/>
  <c r="AC165" i="18"/>
  <c r="AD165" i="18"/>
  <c r="AE165" i="18"/>
  <c r="F166" i="18"/>
  <c r="J166" i="18"/>
  <c r="L166" i="18"/>
  <c r="M166" i="18"/>
  <c r="N166" i="18"/>
  <c r="O166" i="18"/>
  <c r="P166" i="18"/>
  <c r="T166" i="18"/>
  <c r="U166" i="18"/>
  <c r="V166" i="18"/>
  <c r="W166" i="18"/>
  <c r="X166" i="18"/>
  <c r="Y166" i="18"/>
  <c r="Z166" i="18"/>
  <c r="AA166" i="18"/>
  <c r="AB166" i="18"/>
  <c r="AC166" i="18"/>
  <c r="AD166" i="18"/>
  <c r="AE166" i="18"/>
  <c r="F167" i="18"/>
  <c r="J167" i="18"/>
  <c r="L167" i="18"/>
  <c r="M167" i="18"/>
  <c r="N167" i="18"/>
  <c r="O167" i="18"/>
  <c r="P167" i="18"/>
  <c r="T167" i="18"/>
  <c r="U167" i="18"/>
  <c r="V167" i="18"/>
  <c r="W167" i="18"/>
  <c r="X167" i="18"/>
  <c r="Y167" i="18"/>
  <c r="Z167" i="18"/>
  <c r="AA167" i="18"/>
  <c r="AB167" i="18"/>
  <c r="AC167" i="18"/>
  <c r="AD167" i="18"/>
  <c r="AE167" i="18"/>
  <c r="F168" i="18"/>
  <c r="J168" i="18"/>
  <c r="L168" i="18"/>
  <c r="M168" i="18"/>
  <c r="N168" i="18"/>
  <c r="O168" i="18"/>
  <c r="P168" i="18"/>
  <c r="T168" i="18"/>
  <c r="U168" i="18"/>
  <c r="V168" i="18"/>
  <c r="W168" i="18"/>
  <c r="X168" i="18"/>
  <c r="Y168" i="18"/>
  <c r="Z168" i="18"/>
  <c r="AA168" i="18"/>
  <c r="AB168" i="18"/>
  <c r="AC168" i="18"/>
  <c r="AD168" i="18"/>
  <c r="AE168" i="18"/>
  <c r="F169" i="18"/>
  <c r="J169" i="18"/>
  <c r="L169" i="18"/>
  <c r="M169" i="18"/>
  <c r="N169" i="18"/>
  <c r="O169" i="18"/>
  <c r="P169" i="18"/>
  <c r="T169" i="18"/>
  <c r="U169" i="18"/>
  <c r="V169" i="18"/>
  <c r="W169" i="18"/>
  <c r="X169" i="18"/>
  <c r="Y169" i="18"/>
  <c r="Z169" i="18"/>
  <c r="AA169" i="18"/>
  <c r="AB169" i="18"/>
  <c r="AC169" i="18"/>
  <c r="AD169" i="18"/>
  <c r="AE169" i="18"/>
  <c r="F170" i="18"/>
  <c r="J170" i="18"/>
  <c r="L170" i="18"/>
  <c r="M170" i="18"/>
  <c r="N170" i="18"/>
  <c r="O170" i="18"/>
  <c r="P170" i="18"/>
  <c r="T170" i="18"/>
  <c r="U170" i="18"/>
  <c r="V170" i="18"/>
  <c r="W170" i="18"/>
  <c r="X170" i="18"/>
  <c r="Y170" i="18"/>
  <c r="Z170" i="18"/>
  <c r="AA170" i="18"/>
  <c r="AB170" i="18"/>
  <c r="AC170" i="18"/>
  <c r="AD170" i="18"/>
  <c r="AE170" i="18"/>
  <c r="F171" i="18"/>
  <c r="J171" i="18"/>
  <c r="L171" i="18"/>
  <c r="M171" i="18"/>
  <c r="N171" i="18"/>
  <c r="O171" i="18"/>
  <c r="P171" i="18"/>
  <c r="T171" i="18"/>
  <c r="U171" i="18"/>
  <c r="V171" i="18"/>
  <c r="W171" i="18"/>
  <c r="X171" i="18"/>
  <c r="Y171" i="18"/>
  <c r="Z171" i="18"/>
  <c r="AA171" i="18"/>
  <c r="AB171" i="18"/>
  <c r="AC171" i="18"/>
  <c r="AD171" i="18"/>
  <c r="AE171" i="18"/>
  <c r="F172" i="18"/>
  <c r="J172" i="18"/>
  <c r="L172" i="18"/>
  <c r="M172" i="18"/>
  <c r="N172" i="18"/>
  <c r="O172" i="18"/>
  <c r="P172" i="18"/>
  <c r="T172" i="18"/>
  <c r="U172" i="18"/>
  <c r="V172" i="18"/>
  <c r="W172" i="18"/>
  <c r="X172" i="18"/>
  <c r="Y172" i="18"/>
  <c r="Z172" i="18"/>
  <c r="AA172" i="18"/>
  <c r="AB172" i="18"/>
  <c r="AC172" i="18"/>
  <c r="AD172" i="18"/>
  <c r="AE172" i="18"/>
  <c r="F173" i="18"/>
  <c r="J173" i="18"/>
  <c r="L173" i="18"/>
  <c r="M173" i="18"/>
  <c r="N173" i="18"/>
  <c r="O173" i="18"/>
  <c r="P173" i="18"/>
  <c r="T173" i="18"/>
  <c r="U173" i="18"/>
  <c r="V173" i="18"/>
  <c r="W173" i="18"/>
  <c r="X173" i="18"/>
  <c r="Y173" i="18"/>
  <c r="Z173" i="18"/>
  <c r="AA173" i="18"/>
  <c r="AB173" i="18"/>
  <c r="AC173" i="18"/>
  <c r="AD173" i="18"/>
  <c r="AE173" i="18"/>
  <c r="F174" i="18"/>
  <c r="J174" i="18"/>
  <c r="L174" i="18"/>
  <c r="M174" i="18"/>
  <c r="N174" i="18"/>
  <c r="O174" i="18"/>
  <c r="P174" i="18"/>
  <c r="T174" i="18"/>
  <c r="U174" i="18"/>
  <c r="V174" i="18"/>
  <c r="W174" i="18"/>
  <c r="X174" i="18"/>
  <c r="Y174" i="18"/>
  <c r="Z174" i="18"/>
  <c r="AA174" i="18"/>
  <c r="AB174" i="18"/>
  <c r="AC174" i="18"/>
  <c r="AD174" i="18"/>
  <c r="AE174" i="18"/>
  <c r="F175" i="18"/>
  <c r="J175" i="18"/>
  <c r="L175" i="18"/>
  <c r="M175" i="18"/>
  <c r="N175" i="18"/>
  <c r="O175" i="18"/>
  <c r="P175" i="18"/>
  <c r="T175" i="18"/>
  <c r="U175" i="18"/>
  <c r="V175" i="18"/>
  <c r="W175" i="18"/>
  <c r="X175" i="18"/>
  <c r="Y175" i="18"/>
  <c r="Z175" i="18"/>
  <c r="AA175" i="18"/>
  <c r="AB175" i="18"/>
  <c r="AC175" i="18"/>
  <c r="AD175" i="18"/>
  <c r="AE175" i="18"/>
  <c r="F176" i="18"/>
  <c r="J176" i="18"/>
  <c r="L176" i="18"/>
  <c r="M176" i="18"/>
  <c r="N176" i="18"/>
  <c r="O176" i="18"/>
  <c r="P176" i="18"/>
  <c r="T176" i="18"/>
  <c r="U176" i="18"/>
  <c r="V176" i="18"/>
  <c r="W176" i="18"/>
  <c r="X176" i="18"/>
  <c r="Y176" i="18"/>
  <c r="Z176" i="18"/>
  <c r="AA176" i="18"/>
  <c r="AB176" i="18"/>
  <c r="AC176" i="18"/>
  <c r="AD176" i="18"/>
  <c r="AE176" i="18"/>
  <c r="F177" i="18"/>
  <c r="J177" i="18"/>
  <c r="L177" i="18"/>
  <c r="M177" i="18"/>
  <c r="N177" i="18"/>
  <c r="O177" i="18"/>
  <c r="P177" i="18"/>
  <c r="T177" i="18"/>
  <c r="U177" i="18"/>
  <c r="V177" i="18"/>
  <c r="W177" i="18"/>
  <c r="X177" i="18"/>
  <c r="Y177" i="18"/>
  <c r="Z177" i="18"/>
  <c r="AA177" i="18"/>
  <c r="AB177" i="18"/>
  <c r="AC177" i="18"/>
  <c r="AD177" i="18"/>
  <c r="AE177" i="18"/>
  <c r="F178" i="18"/>
  <c r="J178" i="18"/>
  <c r="L178" i="18"/>
  <c r="M178" i="18"/>
  <c r="N178" i="18"/>
  <c r="O178" i="18"/>
  <c r="P178" i="18"/>
  <c r="T178" i="18"/>
  <c r="U178" i="18"/>
  <c r="V178" i="18"/>
  <c r="W178" i="18"/>
  <c r="X178" i="18"/>
  <c r="Y178" i="18"/>
  <c r="Z178" i="18"/>
  <c r="AA178" i="18"/>
  <c r="AB178" i="18"/>
  <c r="AC178" i="18"/>
  <c r="AD178" i="18"/>
  <c r="AE178"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114" i="18"/>
  <c r="A115" i="18"/>
  <c r="A116" i="18"/>
  <c r="A117" i="18"/>
  <c r="A118" i="18"/>
  <c r="A119" i="18"/>
  <c r="A120" i="18"/>
  <c r="A121" i="18"/>
  <c r="A122" i="18"/>
  <c r="A123" i="18"/>
  <c r="A124" i="18"/>
  <c r="A125" i="18"/>
  <c r="A126" i="18"/>
  <c r="A127" i="18"/>
  <c r="A128" i="18"/>
  <c r="A129" i="18"/>
  <c r="A130" i="18"/>
  <c r="A131" i="18"/>
  <c r="A132" i="18"/>
  <c r="A133" i="18"/>
  <c r="A134" i="18"/>
  <c r="A135" i="18"/>
  <c r="A136" i="18"/>
  <c r="A137" i="18"/>
  <c r="A138" i="18"/>
  <c r="A139" i="18"/>
  <c r="A140" i="18"/>
  <c r="A141" i="18"/>
  <c r="A142" i="18"/>
  <c r="A143" i="18"/>
  <c r="A144" i="18"/>
  <c r="A145" i="18"/>
  <c r="A146" i="18"/>
  <c r="A147" i="18"/>
  <c r="A148" i="18"/>
  <c r="A149" i="18"/>
  <c r="A150" i="18"/>
  <c r="A151" i="18"/>
  <c r="A152" i="18"/>
  <c r="A153" i="18"/>
  <c r="A154" i="18"/>
  <c r="A155" i="18"/>
  <c r="A156" i="18"/>
  <c r="A157" i="18"/>
  <c r="A158" i="18"/>
  <c r="A159" i="18"/>
  <c r="A160" i="18"/>
  <c r="A161" i="18"/>
  <c r="A162" i="18"/>
  <c r="A163" i="18"/>
  <c r="A164" i="18"/>
  <c r="A165" i="18"/>
  <c r="A166" i="18"/>
  <c r="A167" i="18"/>
  <c r="A168" i="18"/>
  <c r="A169" i="18"/>
  <c r="A170" i="18"/>
  <c r="A171" i="18"/>
  <c r="A172" i="18"/>
  <c r="A173" i="18"/>
  <c r="A174" i="18"/>
  <c r="A175" i="18"/>
  <c r="A176" i="18"/>
  <c r="A177" i="18"/>
  <c r="A178" i="18"/>
  <c r="B146" i="18"/>
  <c r="B147" i="18"/>
  <c r="B148" i="18"/>
  <c r="B149" i="18"/>
  <c r="B150" i="18"/>
  <c r="B151" i="18"/>
  <c r="B152" i="18"/>
  <c r="B153" i="18"/>
  <c r="B154" i="18"/>
  <c r="B155" i="18"/>
  <c r="B156" i="18"/>
  <c r="B157" i="18"/>
  <c r="B158" i="18"/>
  <c r="B159" i="18"/>
  <c r="C146" i="18"/>
  <c r="C147" i="18"/>
  <c r="C148" i="18"/>
  <c r="C149" i="18"/>
  <c r="C150" i="18"/>
  <c r="C151" i="18"/>
  <c r="C152" i="18"/>
  <c r="C153" i="18"/>
  <c r="C154" i="18"/>
  <c r="C155" i="18"/>
  <c r="C156" i="18"/>
  <c r="C157" i="18"/>
  <c r="C158" i="18"/>
  <c r="C159" i="18"/>
  <c r="E146" i="18"/>
  <c r="E147" i="18"/>
  <c r="E148" i="18"/>
  <c r="E149" i="18"/>
  <c r="E150" i="18"/>
  <c r="E151" i="18"/>
  <c r="E152" i="18"/>
  <c r="E153" i="18"/>
  <c r="E154" i="18"/>
  <c r="E155" i="18"/>
  <c r="E156" i="18"/>
  <c r="E157" i="18"/>
  <c r="E158" i="18"/>
  <c r="E159" i="18"/>
  <c r="B163" i="18"/>
  <c r="C163" i="18"/>
  <c r="E163" i="18"/>
  <c r="B122" i="18"/>
  <c r="B123" i="18"/>
  <c r="B124" i="18"/>
  <c r="B125" i="18"/>
  <c r="B126" i="18"/>
  <c r="B127" i="18"/>
  <c r="B128" i="18"/>
  <c r="B129" i="18"/>
  <c r="B130" i="18"/>
  <c r="B131" i="18"/>
  <c r="B132" i="18"/>
  <c r="B133" i="18"/>
  <c r="B134" i="18"/>
  <c r="B135" i="18"/>
  <c r="C122" i="18"/>
  <c r="C123" i="18"/>
  <c r="C124" i="18"/>
  <c r="C125" i="18"/>
  <c r="C126" i="18"/>
  <c r="C127" i="18"/>
  <c r="C128" i="18"/>
  <c r="C129" i="18"/>
  <c r="C130" i="18"/>
  <c r="C131" i="18"/>
  <c r="C132" i="18"/>
  <c r="C133" i="18"/>
  <c r="C134" i="18"/>
  <c r="C135" i="18"/>
  <c r="E122" i="18"/>
  <c r="E123" i="18"/>
  <c r="E124" i="18"/>
  <c r="E125" i="18"/>
  <c r="E126" i="18"/>
  <c r="E127" i="18"/>
  <c r="E128" i="18"/>
  <c r="E129" i="18"/>
  <c r="E130" i="18"/>
  <c r="E131" i="18"/>
  <c r="E132" i="18"/>
  <c r="E133" i="18"/>
  <c r="E134" i="18"/>
  <c r="E135" i="18"/>
  <c r="B136" i="18"/>
  <c r="B137" i="18"/>
  <c r="B138" i="18"/>
  <c r="B139" i="18"/>
  <c r="B140" i="18"/>
  <c r="B141" i="18"/>
  <c r="B142" i="18"/>
  <c r="B143" i="18"/>
  <c r="B144" i="18"/>
  <c r="B145" i="18"/>
  <c r="B160" i="18"/>
  <c r="B161" i="18"/>
  <c r="B162" i="18"/>
  <c r="B164" i="18"/>
  <c r="C136" i="18"/>
  <c r="C137" i="18"/>
  <c r="C138" i="18"/>
  <c r="C139" i="18"/>
  <c r="C140" i="18"/>
  <c r="C141" i="18"/>
  <c r="C142" i="18"/>
  <c r="C143" i="18"/>
  <c r="C144" i="18"/>
  <c r="C145" i="18"/>
  <c r="C160" i="18"/>
  <c r="C161" i="18"/>
  <c r="C162" i="18"/>
  <c r="C164" i="18"/>
  <c r="E136" i="18"/>
  <c r="E137" i="18"/>
  <c r="E138" i="18"/>
  <c r="E139" i="18"/>
  <c r="E140" i="18"/>
  <c r="E141" i="18"/>
  <c r="E142" i="18"/>
  <c r="E143" i="18"/>
  <c r="E144" i="18"/>
  <c r="E145" i="18"/>
  <c r="E160" i="18"/>
  <c r="E161" i="18"/>
  <c r="E162" i="18"/>
  <c r="E164" i="18"/>
  <c r="D136" i="3"/>
  <c r="E136" i="3"/>
  <c r="F136" i="3"/>
  <c r="H136" i="3" s="1"/>
  <c r="G136" i="3"/>
  <c r="D137" i="3"/>
  <c r="E137" i="3"/>
  <c r="F137" i="3"/>
  <c r="H137" i="3" s="1"/>
  <c r="G137" i="3"/>
  <c r="D138" i="3"/>
  <c r="E138" i="3"/>
  <c r="F138" i="3"/>
  <c r="G138" i="3"/>
  <c r="H138" i="3"/>
  <c r="D139" i="3"/>
  <c r="E139" i="3"/>
  <c r="F139" i="3"/>
  <c r="G139" i="3"/>
  <c r="H139" i="3" s="1"/>
  <c r="D140" i="3"/>
  <c r="E140" i="3"/>
  <c r="F140" i="3"/>
  <c r="G140" i="3"/>
  <c r="H140" i="3" s="1"/>
  <c r="D141" i="3"/>
  <c r="E141" i="3"/>
  <c r="F141" i="3"/>
  <c r="G141" i="3"/>
  <c r="H141" i="3"/>
  <c r="D142" i="3"/>
  <c r="E142" i="3"/>
  <c r="F142" i="3"/>
  <c r="G142" i="3"/>
  <c r="H142" i="3"/>
  <c r="D143" i="3"/>
  <c r="E143" i="3"/>
  <c r="F143" i="3"/>
  <c r="G143" i="3"/>
  <c r="H143" i="3"/>
  <c r="D144" i="3"/>
  <c r="E144" i="3"/>
  <c r="F144" i="3"/>
  <c r="H144" i="3" s="1"/>
  <c r="G144" i="3"/>
  <c r="D145" i="3"/>
  <c r="E145" i="3"/>
  <c r="F145" i="3"/>
  <c r="H145" i="3" s="1"/>
  <c r="G145" i="3"/>
  <c r="D146" i="3"/>
  <c r="E146" i="3"/>
  <c r="F146" i="3"/>
  <c r="G146" i="3"/>
  <c r="H146" i="3"/>
  <c r="D147" i="3"/>
  <c r="E147" i="3"/>
  <c r="F147" i="3"/>
  <c r="G147" i="3"/>
  <c r="H147" i="3" s="1"/>
  <c r="D148" i="3"/>
  <c r="E148" i="3"/>
  <c r="F148" i="3"/>
  <c r="G148" i="3"/>
  <c r="H148" i="3" s="1"/>
  <c r="D149" i="3"/>
  <c r="E149" i="3"/>
  <c r="F149" i="3"/>
  <c r="G149" i="3"/>
  <c r="H149" i="3"/>
  <c r="D150" i="3"/>
  <c r="E150" i="3"/>
  <c r="F150" i="3"/>
  <c r="G150" i="3"/>
  <c r="H150" i="3"/>
  <c r="D151" i="3"/>
  <c r="E151" i="3"/>
  <c r="F151" i="3"/>
  <c r="G151" i="3"/>
  <c r="H151" i="3"/>
  <c r="D152" i="3"/>
  <c r="E152" i="3"/>
  <c r="F152" i="3"/>
  <c r="H152" i="3" s="1"/>
  <c r="G152" i="3"/>
  <c r="D153" i="3"/>
  <c r="E153" i="3"/>
  <c r="F153" i="3"/>
  <c r="H153" i="3" s="1"/>
  <c r="G153" i="3"/>
  <c r="D154" i="3"/>
  <c r="E154" i="3"/>
  <c r="F154" i="3"/>
  <c r="G154" i="3"/>
  <c r="H154" i="3"/>
  <c r="D155" i="3"/>
  <c r="E155" i="3"/>
  <c r="F155" i="3"/>
  <c r="G155" i="3"/>
  <c r="H155" i="3" s="1"/>
  <c r="D156" i="3"/>
  <c r="E156" i="3"/>
  <c r="F156" i="3"/>
  <c r="G156" i="3"/>
  <c r="H156" i="3" s="1"/>
  <c r="D157" i="3"/>
  <c r="E157" i="3"/>
  <c r="F157" i="3"/>
  <c r="G157" i="3"/>
  <c r="H157" i="3"/>
  <c r="D158" i="3"/>
  <c r="E158" i="3"/>
  <c r="F158" i="3"/>
  <c r="G158" i="3"/>
  <c r="H158" i="3"/>
  <c r="D159" i="3"/>
  <c r="E159" i="3"/>
  <c r="F159" i="3"/>
  <c r="G159" i="3"/>
  <c r="H159" i="3"/>
  <c r="D160" i="3"/>
  <c r="E160" i="3"/>
  <c r="F160" i="3"/>
  <c r="G160" i="3"/>
  <c r="H160" i="3"/>
  <c r="D161" i="3"/>
  <c r="E161" i="3"/>
  <c r="F161" i="3"/>
  <c r="H161" i="3" s="1"/>
  <c r="G161" i="3"/>
  <c r="D162" i="3"/>
  <c r="E162" i="3"/>
  <c r="F162" i="3"/>
  <c r="G162" i="3"/>
  <c r="H162" i="3"/>
  <c r="D163" i="3"/>
  <c r="E163" i="3"/>
  <c r="F163" i="3"/>
  <c r="G163" i="3"/>
  <c r="H163" i="3" s="1"/>
  <c r="D164" i="3"/>
  <c r="E164" i="3"/>
  <c r="F164" i="3"/>
  <c r="G164" i="3"/>
  <c r="H164" i="3" s="1"/>
  <c r="D165" i="3"/>
  <c r="E165" i="3"/>
  <c r="F165" i="3"/>
  <c r="G165" i="3"/>
  <c r="H165" i="3"/>
  <c r="D166" i="3"/>
  <c r="E166" i="3"/>
  <c r="F166" i="3"/>
  <c r="G166" i="3"/>
  <c r="H166" i="3"/>
  <c r="D167" i="3"/>
  <c r="E167" i="3"/>
  <c r="F167" i="3"/>
  <c r="G167" i="3"/>
  <c r="H167" i="3"/>
  <c r="D168" i="3"/>
  <c r="E168" i="3"/>
  <c r="F168" i="3"/>
  <c r="G168" i="3"/>
  <c r="H168" i="3"/>
  <c r="D169" i="3"/>
  <c r="E169" i="3"/>
  <c r="F169" i="3"/>
  <c r="H169" i="3" s="1"/>
  <c r="G169" i="3"/>
  <c r="D170" i="3"/>
  <c r="E170" i="3"/>
  <c r="F170" i="3"/>
  <c r="G170" i="3"/>
  <c r="H170" i="3"/>
  <c r="D171" i="3"/>
  <c r="E171" i="3"/>
  <c r="F171" i="3"/>
  <c r="G171" i="3"/>
  <c r="H171" i="3" s="1"/>
  <c r="D172" i="3"/>
  <c r="E172" i="3"/>
  <c r="F172" i="3"/>
  <c r="G172" i="3"/>
  <c r="H172" i="3" s="1"/>
  <c r="D173" i="3"/>
  <c r="E173" i="3"/>
  <c r="F173" i="3"/>
  <c r="G173" i="3"/>
  <c r="H173" i="3"/>
  <c r="D174" i="3"/>
  <c r="E174" i="3"/>
  <c r="F174" i="3"/>
  <c r="G174" i="3"/>
  <c r="H174" i="3"/>
  <c r="D175" i="3"/>
  <c r="E175" i="3"/>
  <c r="F175" i="3"/>
  <c r="G175" i="3"/>
  <c r="H175" i="3"/>
  <c r="D176" i="3"/>
  <c r="E176" i="3"/>
  <c r="F176" i="3"/>
  <c r="G176" i="3"/>
  <c r="H176" i="3"/>
  <c r="D177" i="3"/>
  <c r="E177" i="3"/>
  <c r="F177" i="3"/>
  <c r="H177" i="3" s="1"/>
  <c r="G177" i="3"/>
  <c r="D178" i="3"/>
  <c r="E178" i="3"/>
  <c r="F178" i="3"/>
  <c r="G178" i="3"/>
  <c r="H178" i="3"/>
  <c r="D179" i="3"/>
  <c r="E179" i="3"/>
  <c r="F179" i="3"/>
  <c r="G179" i="3"/>
  <c r="H179" i="3" s="1"/>
  <c r="D180" i="3"/>
  <c r="E180" i="3"/>
  <c r="F180" i="3"/>
  <c r="G180" i="3"/>
  <c r="H180" i="3" s="1"/>
  <c r="D181" i="3"/>
  <c r="E181" i="3"/>
  <c r="F181" i="3"/>
  <c r="G181" i="3"/>
  <c r="H181" i="3"/>
  <c r="D182" i="3"/>
  <c r="E182" i="3"/>
  <c r="F182" i="3"/>
  <c r="G182" i="3"/>
  <c r="H182" i="3"/>
  <c r="D183" i="3"/>
  <c r="E183" i="3"/>
  <c r="F183" i="3"/>
  <c r="G183" i="3"/>
  <c r="H183" i="3"/>
  <c r="D184" i="3"/>
  <c r="E184" i="3"/>
  <c r="F184" i="3"/>
  <c r="G184" i="3"/>
  <c r="H184" i="3"/>
  <c r="D185" i="3"/>
  <c r="E185" i="3"/>
  <c r="F185" i="3"/>
  <c r="H185" i="3" s="1"/>
  <c r="G185" i="3"/>
  <c r="D186" i="3"/>
  <c r="E186" i="3"/>
  <c r="F186" i="3"/>
  <c r="G186" i="3"/>
  <c r="H186" i="3"/>
  <c r="D187" i="3"/>
  <c r="E187" i="3"/>
  <c r="F187" i="3"/>
  <c r="G187" i="3"/>
  <c r="H187" i="3" s="1"/>
  <c r="D188" i="3"/>
  <c r="E188" i="3"/>
  <c r="F188" i="3"/>
  <c r="G188" i="3"/>
  <c r="H188" i="3" s="1"/>
  <c r="D189" i="3"/>
  <c r="E189" i="3"/>
  <c r="F189" i="3"/>
  <c r="G189" i="3"/>
  <c r="H189" i="3"/>
  <c r="D190" i="3"/>
  <c r="E190" i="3"/>
  <c r="F190" i="3"/>
  <c r="G190" i="3"/>
  <c r="H190" i="3"/>
  <c r="D191" i="3"/>
  <c r="E191" i="3"/>
  <c r="F191" i="3"/>
  <c r="G191" i="3"/>
  <c r="H191" i="3"/>
  <c r="D52" i="3"/>
  <c r="E52" i="3"/>
  <c r="F52" i="3"/>
  <c r="G52" i="3"/>
  <c r="H52" i="3"/>
  <c r="D53" i="3"/>
  <c r="E53" i="3"/>
  <c r="F53" i="3"/>
  <c r="H53" i="3" s="1"/>
  <c r="G53" i="3"/>
  <c r="D54" i="3"/>
  <c r="E54" i="3"/>
  <c r="F54" i="3"/>
  <c r="G54" i="3"/>
  <c r="H54" i="3"/>
  <c r="D55" i="3"/>
  <c r="E55" i="3"/>
  <c r="F55" i="3"/>
  <c r="H55" i="3" s="1"/>
  <c r="G55" i="3"/>
  <c r="D56" i="3"/>
  <c r="E56" i="3"/>
  <c r="F56" i="3"/>
  <c r="G56" i="3"/>
  <c r="H56" i="3" s="1"/>
  <c r="D57" i="3"/>
  <c r="E57" i="3"/>
  <c r="F57" i="3"/>
  <c r="G57" i="3"/>
  <c r="H57" i="3"/>
  <c r="D58" i="3"/>
  <c r="E58" i="3"/>
  <c r="F58" i="3"/>
  <c r="G58" i="3"/>
  <c r="H58" i="3" s="1"/>
  <c r="D59" i="3"/>
  <c r="E59" i="3"/>
  <c r="F59" i="3"/>
  <c r="G59" i="3"/>
  <c r="H59" i="3"/>
  <c r="D60" i="3"/>
  <c r="E60" i="3"/>
  <c r="F60" i="3"/>
  <c r="G60" i="3"/>
  <c r="H60" i="3"/>
  <c r="D61" i="3"/>
  <c r="E61" i="3"/>
  <c r="F61" i="3"/>
  <c r="H61" i="3" s="1"/>
  <c r="G61" i="3"/>
  <c r="D62" i="3"/>
  <c r="E62" i="3"/>
  <c r="F62" i="3"/>
  <c r="G62" i="3"/>
  <c r="H62" i="3"/>
  <c r="D63" i="3"/>
  <c r="E63" i="3"/>
  <c r="F63" i="3"/>
  <c r="H63" i="3" s="1"/>
  <c r="G63" i="3"/>
  <c r="D64" i="3"/>
  <c r="E64" i="3"/>
  <c r="F64" i="3"/>
  <c r="G64" i="3"/>
  <c r="H64" i="3" s="1"/>
  <c r="D65" i="3"/>
  <c r="E65" i="3"/>
  <c r="F65" i="3"/>
  <c r="G65" i="3"/>
  <c r="H65" i="3"/>
  <c r="D66" i="3"/>
  <c r="E66" i="3"/>
  <c r="F66" i="3"/>
  <c r="G66" i="3"/>
  <c r="H66" i="3" s="1"/>
  <c r="D67" i="3"/>
  <c r="E67" i="3"/>
  <c r="F67" i="3"/>
  <c r="G67" i="3"/>
  <c r="H67" i="3"/>
  <c r="D68" i="3"/>
  <c r="E68" i="3"/>
  <c r="F68" i="3"/>
  <c r="G68" i="3"/>
  <c r="H68" i="3"/>
  <c r="D69" i="3"/>
  <c r="E69" i="3"/>
  <c r="F69" i="3"/>
  <c r="H69" i="3" s="1"/>
  <c r="G69" i="3"/>
  <c r="D70" i="3"/>
  <c r="E70" i="3"/>
  <c r="F70" i="3"/>
  <c r="G70" i="3"/>
  <c r="H70" i="3"/>
  <c r="D71" i="3"/>
  <c r="E71" i="3"/>
  <c r="F71" i="3"/>
  <c r="H71" i="3" s="1"/>
  <c r="G71" i="3"/>
  <c r="D72" i="3"/>
  <c r="E72" i="3"/>
  <c r="F72" i="3"/>
  <c r="G72" i="3"/>
  <c r="H72" i="3" s="1"/>
  <c r="D73" i="3"/>
  <c r="E73" i="3"/>
  <c r="F73" i="3"/>
  <c r="G73" i="3"/>
  <c r="H73" i="3"/>
  <c r="D74" i="3"/>
  <c r="E74" i="3"/>
  <c r="F74" i="3"/>
  <c r="G74" i="3"/>
  <c r="H74" i="3" s="1"/>
  <c r="D75" i="3"/>
  <c r="E75" i="3"/>
  <c r="F75" i="3"/>
  <c r="G75" i="3"/>
  <c r="H75" i="3"/>
  <c r="D76" i="3"/>
  <c r="E76" i="3"/>
  <c r="F76" i="3"/>
  <c r="G76" i="3"/>
  <c r="H76" i="3"/>
  <c r="D77" i="3"/>
  <c r="E77" i="3"/>
  <c r="F77" i="3"/>
  <c r="H77" i="3" s="1"/>
  <c r="G77" i="3"/>
  <c r="D78" i="3"/>
  <c r="E78" i="3"/>
  <c r="F78" i="3"/>
  <c r="G78" i="3"/>
  <c r="H78" i="3"/>
  <c r="D79" i="3"/>
  <c r="E79" i="3"/>
  <c r="F79" i="3"/>
  <c r="H79" i="3" s="1"/>
  <c r="G79" i="3"/>
  <c r="D80" i="3"/>
  <c r="E80" i="3"/>
  <c r="F80" i="3"/>
  <c r="G80" i="3"/>
  <c r="H80" i="3" s="1"/>
  <c r="D81" i="3"/>
  <c r="E81" i="3"/>
  <c r="F81" i="3"/>
  <c r="G81" i="3"/>
  <c r="H81" i="3"/>
  <c r="D82" i="3"/>
  <c r="E82" i="3"/>
  <c r="F82" i="3"/>
  <c r="G82" i="3"/>
  <c r="H82" i="3" s="1"/>
  <c r="D83" i="3"/>
  <c r="E83" i="3"/>
  <c r="F83" i="3"/>
  <c r="G83" i="3"/>
  <c r="H83" i="3"/>
  <c r="D84" i="3"/>
  <c r="E84" i="3"/>
  <c r="F84" i="3"/>
  <c r="G84" i="3"/>
  <c r="H84" i="3"/>
  <c r="D85" i="3"/>
  <c r="E85" i="3"/>
  <c r="F85" i="3"/>
  <c r="H85" i="3" s="1"/>
  <c r="G85" i="3"/>
  <c r="D86" i="3"/>
  <c r="E86" i="3"/>
  <c r="F86" i="3"/>
  <c r="G86" i="3"/>
  <c r="H86" i="3"/>
  <c r="D87" i="3"/>
  <c r="E87" i="3"/>
  <c r="F87" i="3"/>
  <c r="H87" i="3" s="1"/>
  <c r="G87" i="3"/>
  <c r="D88" i="3"/>
  <c r="E88" i="3"/>
  <c r="F88" i="3"/>
  <c r="G88" i="3"/>
  <c r="H88" i="3" s="1"/>
  <c r="D89" i="3"/>
  <c r="E89" i="3"/>
  <c r="F89" i="3"/>
  <c r="G89" i="3"/>
  <c r="H89" i="3"/>
  <c r="D90" i="3"/>
  <c r="E90" i="3"/>
  <c r="F90" i="3"/>
  <c r="G90" i="3"/>
  <c r="H90" i="3" s="1"/>
  <c r="D91" i="3"/>
  <c r="E91" i="3"/>
  <c r="F91" i="3"/>
  <c r="G91" i="3"/>
  <c r="H91" i="3"/>
  <c r="D92" i="3"/>
  <c r="E92" i="3"/>
  <c r="F92" i="3"/>
  <c r="G92" i="3"/>
  <c r="H92" i="3"/>
  <c r="D93" i="3"/>
  <c r="E93" i="3"/>
  <c r="F93" i="3"/>
  <c r="H93" i="3" s="1"/>
  <c r="G93" i="3"/>
  <c r="D94" i="3"/>
  <c r="E94" i="3"/>
  <c r="F94" i="3"/>
  <c r="G94" i="3"/>
  <c r="H94" i="3"/>
  <c r="D95" i="3"/>
  <c r="E95" i="3"/>
  <c r="F95" i="3"/>
  <c r="H95" i="3" s="1"/>
  <c r="G95" i="3"/>
  <c r="D96" i="3"/>
  <c r="E96" i="3"/>
  <c r="F96" i="3"/>
  <c r="G96" i="3"/>
  <c r="H96" i="3" s="1"/>
  <c r="D97" i="3"/>
  <c r="E97" i="3"/>
  <c r="F97" i="3"/>
  <c r="G97" i="3"/>
  <c r="H97" i="3"/>
  <c r="D98" i="3"/>
  <c r="E98" i="3"/>
  <c r="F98" i="3"/>
  <c r="G98" i="3"/>
  <c r="H98" i="3" s="1"/>
  <c r="D99" i="3"/>
  <c r="E99" i="3"/>
  <c r="F99" i="3"/>
  <c r="G99" i="3"/>
  <c r="H99" i="3"/>
  <c r="D100" i="3"/>
  <c r="E100" i="3"/>
  <c r="F100" i="3"/>
  <c r="G100" i="3"/>
  <c r="H100" i="3"/>
  <c r="D101" i="3"/>
  <c r="E101" i="3"/>
  <c r="F101" i="3"/>
  <c r="H101" i="3" s="1"/>
  <c r="G101" i="3"/>
  <c r="D102" i="3"/>
  <c r="E102" i="3"/>
  <c r="F102" i="3"/>
  <c r="G102" i="3"/>
  <c r="H102" i="3"/>
  <c r="D103" i="3"/>
  <c r="E103" i="3"/>
  <c r="F103" i="3"/>
  <c r="H103" i="3" s="1"/>
  <c r="G103" i="3"/>
  <c r="D104" i="3"/>
  <c r="E104" i="3"/>
  <c r="F104" i="3"/>
  <c r="G104" i="3"/>
  <c r="H104" i="3" s="1"/>
  <c r="D105" i="3"/>
  <c r="E105" i="3"/>
  <c r="F105" i="3"/>
  <c r="G105" i="3"/>
  <c r="H105" i="3"/>
  <c r="D106" i="3"/>
  <c r="E106" i="3"/>
  <c r="F106" i="3"/>
  <c r="G106" i="3"/>
  <c r="H106" i="3" s="1"/>
  <c r="D107" i="3"/>
  <c r="E107" i="3"/>
  <c r="F107" i="3"/>
  <c r="G107" i="3"/>
  <c r="H107" i="3"/>
  <c r="D108" i="3"/>
  <c r="E108" i="3"/>
  <c r="F108" i="3"/>
  <c r="G108" i="3"/>
  <c r="H108" i="3"/>
  <c r="D109" i="3"/>
  <c r="E109" i="3"/>
  <c r="F109" i="3"/>
  <c r="H109" i="3" s="1"/>
  <c r="G109" i="3"/>
  <c r="D110" i="3"/>
  <c r="E110" i="3"/>
  <c r="F110" i="3"/>
  <c r="G110" i="3"/>
  <c r="H110" i="3"/>
  <c r="D111" i="3"/>
  <c r="E111" i="3"/>
  <c r="F111" i="3"/>
  <c r="H111" i="3" s="1"/>
  <c r="G111" i="3"/>
  <c r="D112" i="3"/>
  <c r="E112" i="3"/>
  <c r="F112" i="3"/>
  <c r="G112" i="3"/>
  <c r="H112" i="3" s="1"/>
  <c r="D113" i="3"/>
  <c r="E113" i="3"/>
  <c r="F113" i="3"/>
  <c r="G113" i="3"/>
  <c r="H113" i="3"/>
  <c r="D114" i="3"/>
  <c r="E114" i="3"/>
  <c r="F114" i="3"/>
  <c r="G114" i="3"/>
  <c r="H114" i="3" s="1"/>
  <c r="D115" i="3"/>
  <c r="E115" i="3"/>
  <c r="F115" i="3"/>
  <c r="G115" i="3"/>
  <c r="H115" i="3"/>
  <c r="D116" i="3"/>
  <c r="E116" i="3"/>
  <c r="F116" i="3"/>
  <c r="G116" i="3"/>
  <c r="H116" i="3"/>
  <c r="D117" i="3"/>
  <c r="E117" i="3"/>
  <c r="F117" i="3"/>
  <c r="H117" i="3" s="1"/>
  <c r="G117" i="3"/>
  <c r="D118" i="3"/>
  <c r="E118" i="3"/>
  <c r="F118" i="3"/>
  <c r="G118" i="3"/>
  <c r="H118" i="3"/>
  <c r="D119" i="3"/>
  <c r="E119" i="3"/>
  <c r="F119" i="3"/>
  <c r="H119" i="3" s="1"/>
  <c r="G119" i="3"/>
  <c r="D120" i="3"/>
  <c r="E120" i="3"/>
  <c r="F120" i="3"/>
  <c r="G120" i="3"/>
  <c r="H120" i="3" s="1"/>
  <c r="D121" i="3"/>
  <c r="E121" i="3"/>
  <c r="F121" i="3"/>
  <c r="G121" i="3"/>
  <c r="H121" i="3"/>
  <c r="D122" i="3"/>
  <c r="E122" i="3"/>
  <c r="F122" i="3"/>
  <c r="G122" i="3"/>
  <c r="H122" i="3" s="1"/>
  <c r="D123" i="3"/>
  <c r="E123" i="3"/>
  <c r="F123" i="3"/>
  <c r="G123" i="3"/>
  <c r="H123" i="3"/>
  <c r="D124" i="3"/>
  <c r="E124" i="3"/>
  <c r="F124" i="3"/>
  <c r="G124" i="3"/>
  <c r="H124" i="3"/>
  <c r="D125" i="3"/>
  <c r="E125" i="3"/>
  <c r="F125" i="3"/>
  <c r="H125" i="3" s="1"/>
  <c r="G125" i="3"/>
  <c r="D126" i="3"/>
  <c r="E126" i="3"/>
  <c r="F126" i="3"/>
  <c r="G126" i="3"/>
  <c r="H126" i="3"/>
  <c r="D127" i="3"/>
  <c r="E127" i="3"/>
  <c r="F127" i="3"/>
  <c r="H127" i="3" s="1"/>
  <c r="G127" i="3"/>
  <c r="D128" i="3"/>
  <c r="E128" i="3"/>
  <c r="F128" i="3"/>
  <c r="G128" i="3"/>
  <c r="H128" i="3" s="1"/>
  <c r="D129" i="3"/>
  <c r="E129" i="3"/>
  <c r="F129" i="3"/>
  <c r="G129" i="3"/>
  <c r="H129" i="3"/>
  <c r="D130" i="3"/>
  <c r="E130" i="3"/>
  <c r="F130" i="3"/>
  <c r="G130" i="3"/>
  <c r="H130" i="3" s="1"/>
  <c r="D131" i="3"/>
  <c r="E131" i="3"/>
  <c r="F131" i="3"/>
  <c r="G131" i="3"/>
  <c r="H131" i="3"/>
  <c r="D132" i="3"/>
  <c r="E132" i="3"/>
  <c r="F132" i="3"/>
  <c r="G132" i="3"/>
  <c r="H132" i="3"/>
  <c r="D133" i="3"/>
  <c r="E133" i="3"/>
  <c r="F133" i="3"/>
  <c r="H133" i="3" s="1"/>
  <c r="G133" i="3"/>
  <c r="D134" i="3"/>
  <c r="E134" i="3"/>
  <c r="F134" i="3"/>
  <c r="G134" i="3"/>
  <c r="H134" i="3"/>
  <c r="D135" i="3"/>
  <c r="E135" i="3"/>
  <c r="F135" i="3"/>
  <c r="H135" i="3" s="1"/>
  <c r="G135" i="3"/>
  <c r="L5" i="19"/>
  <c r="L6" i="19"/>
  <c r="L7" i="19"/>
  <c r="L8" i="19"/>
  <c r="L9" i="19"/>
  <c r="L10" i="19"/>
  <c r="L11" i="19"/>
  <c r="L12" i="19"/>
  <c r="L13" i="19"/>
  <c r="L14" i="19"/>
  <c r="L15" i="19"/>
  <c r="L16" i="19"/>
  <c r="L17" i="19"/>
  <c r="L18" i="19"/>
  <c r="L19" i="19"/>
  <c r="L20" i="19"/>
  <c r="L21" i="19"/>
  <c r="L22" i="19"/>
  <c r="L23" i="19"/>
  <c r="L24" i="19"/>
  <c r="L25" i="19"/>
  <c r="L26" i="19"/>
  <c r="L27" i="19"/>
  <c r="L28" i="19"/>
  <c r="L148" i="19"/>
  <c r="L149" i="19"/>
  <c r="L150" i="19"/>
  <c r="L151" i="19"/>
  <c r="L152" i="19"/>
  <c r="L153" i="19"/>
  <c r="L154" i="19"/>
  <c r="L155" i="19"/>
  <c r="L156" i="19"/>
  <c r="L157" i="19"/>
  <c r="L158" i="19"/>
  <c r="L159" i="19"/>
  <c r="L160" i="19"/>
  <c r="L161" i="19"/>
  <c r="L162" i="19"/>
  <c r="L163" i="19"/>
  <c r="L164" i="19"/>
  <c r="M148" i="19"/>
  <c r="M149" i="19"/>
  <c r="M150" i="19"/>
  <c r="M151" i="19"/>
  <c r="M152" i="19"/>
  <c r="M153" i="19"/>
  <c r="M154" i="19"/>
  <c r="M155" i="19"/>
  <c r="M156" i="19"/>
  <c r="M157" i="19"/>
  <c r="M158" i="19"/>
  <c r="M159" i="19"/>
  <c r="M160" i="19"/>
  <c r="M161" i="19"/>
  <c r="M162" i="19"/>
  <c r="M163" i="19"/>
  <c r="M164" i="19"/>
  <c r="L120" i="19"/>
  <c r="L121" i="19"/>
  <c r="L122" i="19"/>
  <c r="L123" i="19"/>
  <c r="L124" i="19"/>
  <c r="L125" i="19"/>
  <c r="L126" i="19"/>
  <c r="L127" i="19"/>
  <c r="L128" i="19"/>
  <c r="L129" i="19"/>
  <c r="L130" i="19"/>
  <c r="L131" i="19"/>
  <c r="L132" i="19"/>
  <c r="L133" i="19"/>
  <c r="L134" i="19"/>
  <c r="L135" i="19"/>
  <c r="M120" i="19"/>
  <c r="M121" i="19"/>
  <c r="M122" i="19"/>
  <c r="M123" i="19"/>
  <c r="M124" i="19"/>
  <c r="M125" i="19"/>
  <c r="M126" i="19"/>
  <c r="M127" i="19"/>
  <c r="M128" i="19"/>
  <c r="M129" i="19"/>
  <c r="M130" i="19"/>
  <c r="M131" i="19"/>
  <c r="M132" i="19"/>
  <c r="M133" i="19"/>
  <c r="M134" i="19"/>
  <c r="M135" i="19"/>
  <c r="L136" i="19"/>
  <c r="L137" i="19"/>
  <c r="L138" i="19"/>
  <c r="L139" i="19"/>
  <c r="L140" i="19"/>
  <c r="L141" i="19"/>
  <c r="L142" i="19"/>
  <c r="L143" i="19"/>
  <c r="L144" i="19"/>
  <c r="L145" i="19"/>
  <c r="L146" i="19"/>
  <c r="L147" i="19"/>
  <c r="L165" i="19"/>
  <c r="L166" i="19"/>
  <c r="L167" i="19"/>
  <c r="L168" i="19"/>
  <c r="M136" i="19"/>
  <c r="M137" i="19"/>
  <c r="M138" i="19"/>
  <c r="M139" i="19"/>
  <c r="M140" i="19"/>
  <c r="M141" i="19"/>
  <c r="M142" i="19"/>
  <c r="M143" i="19"/>
  <c r="M144" i="19"/>
  <c r="M145" i="19"/>
  <c r="M146" i="19"/>
  <c r="M147" i="19"/>
  <c r="M165" i="19"/>
  <c r="M166" i="19"/>
  <c r="M167" i="19"/>
  <c r="M168" i="19"/>
  <c r="E30" i="6" l="1"/>
  <c r="E28" i="11" l="1"/>
  <c r="K111" i="17"/>
  <c r="G111" i="17"/>
  <c r="C111" i="17"/>
  <c r="B112" i="17" s="1"/>
  <c r="K90" i="17"/>
  <c r="G90" i="17"/>
  <c r="C90"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N42" i="17"/>
  <c r="M42" i="17"/>
  <c r="L42" i="17"/>
  <c r="K42" i="17"/>
  <c r="I42" i="17"/>
  <c r="B42" i="17"/>
  <c r="N41" i="17"/>
  <c r="M41" i="17"/>
  <c r="L41" i="17"/>
  <c r="K41" i="17"/>
  <c r="I41" i="17"/>
  <c r="B41" i="17"/>
  <c r="N40" i="17"/>
  <c r="M40" i="17"/>
  <c r="L40" i="17"/>
  <c r="K40" i="17"/>
  <c r="I40" i="17"/>
  <c r="B40" i="17"/>
  <c r="N39" i="17"/>
  <c r="M39" i="17"/>
  <c r="L39" i="17"/>
  <c r="K39" i="17"/>
  <c r="I39" i="17"/>
  <c r="B39" i="17"/>
  <c r="N38" i="17"/>
  <c r="M38" i="17"/>
  <c r="L38" i="17"/>
  <c r="K38" i="17"/>
  <c r="I38" i="17"/>
  <c r="B38" i="17"/>
  <c r="N37" i="17"/>
  <c r="M37" i="17"/>
  <c r="L37" i="17"/>
  <c r="K37" i="17"/>
  <c r="I37" i="17"/>
  <c r="B37" i="17"/>
  <c r="N36" i="17"/>
  <c r="M36" i="17"/>
  <c r="L36" i="17"/>
  <c r="K36" i="17"/>
  <c r="I36" i="17"/>
  <c r="B36" i="17"/>
  <c r="N35" i="17"/>
  <c r="M35" i="17"/>
  <c r="L35" i="17"/>
  <c r="K35" i="17"/>
  <c r="I35" i="17"/>
  <c r="B35" i="17"/>
  <c r="N34" i="17"/>
  <c r="M34" i="17"/>
  <c r="L34" i="17"/>
  <c r="K34" i="17"/>
  <c r="B34" i="17"/>
  <c r="N33" i="17"/>
  <c r="M33" i="17"/>
  <c r="L33" i="17"/>
  <c r="K33" i="17"/>
  <c r="B33" i="17"/>
  <c r="B32" i="17"/>
  <c r="B31" i="17"/>
  <c r="I30" i="17"/>
  <c r="B30" i="17"/>
  <c r="I29" i="17"/>
  <c r="B29" i="17"/>
  <c r="I28" i="17"/>
  <c r="B28" i="17"/>
  <c r="I27" i="17"/>
  <c r="B27" i="17"/>
  <c r="I26" i="17"/>
  <c r="B26" i="17"/>
  <c r="I25" i="17"/>
  <c r="B25" i="17"/>
  <c r="I24" i="17"/>
  <c r="B24" i="17"/>
  <c r="I23" i="17"/>
  <c r="B23" i="17"/>
  <c r="B22" i="17"/>
  <c r="B21" i="17"/>
  <c r="B20" i="17"/>
  <c r="B19" i="17"/>
  <c r="B18" i="17"/>
  <c r="B17" i="17"/>
  <c r="K16" i="17"/>
  <c r="B16" i="17"/>
  <c r="K15" i="17"/>
  <c r="B15" i="17"/>
  <c r="K14" i="17"/>
  <c r="B14" i="17"/>
  <c r="K13" i="17"/>
  <c r="B13" i="17"/>
  <c r="K12" i="17"/>
  <c r="B12" i="17"/>
  <c r="K11" i="17"/>
  <c r="B11" i="17"/>
  <c r="K10" i="17"/>
  <c r="B10" i="17"/>
  <c r="K9" i="17"/>
  <c r="B9" i="17"/>
  <c r="K8" i="17"/>
  <c r="B8" i="17"/>
  <c r="K7" i="17"/>
  <c r="B7" i="17"/>
  <c r="K6" i="17"/>
  <c r="B6" i="17"/>
  <c r="K5" i="17"/>
  <c r="B5" i="17"/>
  <c r="K4" i="17"/>
  <c r="B4" i="17"/>
  <c r="K3" i="17"/>
  <c r="B3" i="17"/>
  <c r="K2" i="17"/>
  <c r="B2" i="17"/>
  <c r="E29" i="12"/>
  <c r="E28" i="12"/>
  <c r="E27" i="12"/>
  <c r="O15" i="12"/>
  <c r="N15" i="12"/>
  <c r="M15" i="12"/>
  <c r="L15" i="12"/>
  <c r="O14" i="12"/>
  <c r="N14" i="12"/>
  <c r="M14" i="12"/>
  <c r="L14" i="12"/>
  <c r="O13" i="12"/>
  <c r="N13" i="12"/>
  <c r="M13" i="12"/>
  <c r="L13" i="12"/>
  <c r="N12" i="12"/>
  <c r="N11" i="12"/>
  <c r="N10" i="12"/>
  <c r="G10" i="12"/>
  <c r="F10" i="12"/>
  <c r="E10" i="12"/>
  <c r="D10" i="12"/>
  <c r="C10" i="12"/>
  <c r="N9" i="12"/>
  <c r="G9" i="12"/>
  <c r="D9" i="12"/>
  <c r="N8" i="12"/>
  <c r="G8" i="12"/>
  <c r="D8" i="12"/>
  <c r="N7" i="12"/>
  <c r="N6" i="12"/>
  <c r="N5" i="12"/>
  <c r="G5" i="12"/>
  <c r="E5" i="12"/>
  <c r="D5" i="12"/>
  <c r="C5" i="12"/>
  <c r="N4" i="12"/>
  <c r="G4" i="12"/>
  <c r="D4" i="12"/>
  <c r="N3" i="12"/>
  <c r="J3" i="12"/>
  <c r="D3" i="12"/>
  <c r="E77" i="11"/>
  <c r="B77" i="11"/>
  <c r="E75" i="11"/>
  <c r="E74" i="11"/>
  <c r="E73" i="11"/>
  <c r="E72" i="11"/>
  <c r="E71" i="11"/>
  <c r="E70" i="11"/>
  <c r="B70" i="11"/>
  <c r="E69" i="11"/>
  <c r="B69" i="11"/>
  <c r="I68" i="11"/>
  <c r="H68" i="11"/>
  <c r="G68" i="11"/>
  <c r="E68" i="11"/>
  <c r="D68" i="11"/>
  <c r="C68" i="11"/>
  <c r="B68" i="11"/>
  <c r="B67" i="11"/>
  <c r="C58" i="11"/>
  <c r="F48" i="11"/>
  <c r="E48" i="11"/>
  <c r="I52" i="11" s="1"/>
  <c r="G42" i="11"/>
  <c r="E42" i="11"/>
  <c r="B42" i="11"/>
  <c r="G41" i="11"/>
  <c r="E41" i="11"/>
  <c r="B41" i="11"/>
  <c r="E40" i="11"/>
  <c r="B40" i="11"/>
  <c r="E39" i="11"/>
  <c r="B39" i="11"/>
  <c r="E38" i="11"/>
  <c r="B38" i="11"/>
  <c r="E37" i="11"/>
  <c r="B37" i="11"/>
  <c r="I36" i="11"/>
  <c r="E36" i="11"/>
  <c r="B36" i="11"/>
  <c r="I35" i="11"/>
  <c r="E35" i="11"/>
  <c r="B35" i="11"/>
  <c r="I34" i="11"/>
  <c r="E34" i="11"/>
  <c r="B34" i="11"/>
  <c r="B28" i="11"/>
  <c r="E27" i="11"/>
  <c r="B27" i="11"/>
  <c r="E26" i="11"/>
  <c r="I22" i="11"/>
  <c r="I16" i="11"/>
  <c r="H16" i="11"/>
  <c r="B7" i="11"/>
  <c r="B6" i="11"/>
  <c r="B3" i="11"/>
  <c r="C82" i="9"/>
  <c r="B82" i="9"/>
  <c r="B81" i="9"/>
  <c r="C80" i="9"/>
  <c r="B80" i="9"/>
  <c r="D77" i="9"/>
  <c r="D76" i="9"/>
  <c r="B76" i="9"/>
  <c r="B75" i="9"/>
  <c r="B74" i="9"/>
  <c r="B73" i="9"/>
  <c r="B72" i="9"/>
  <c r="D71" i="9"/>
  <c r="B71" i="9"/>
  <c r="D70" i="9"/>
  <c r="B70" i="9"/>
  <c r="D69" i="9"/>
  <c r="B69" i="9"/>
  <c r="B67" i="9"/>
  <c r="B66" i="9"/>
  <c r="D63" i="9"/>
  <c r="D62" i="9"/>
  <c r="B62" i="9"/>
  <c r="B61" i="9"/>
  <c r="B60" i="9"/>
  <c r="B59" i="9"/>
  <c r="B58" i="9"/>
  <c r="D57" i="9"/>
  <c r="B57" i="9"/>
  <c r="D56" i="9"/>
  <c r="B56" i="9"/>
  <c r="D55" i="9"/>
  <c r="B55" i="9"/>
  <c r="B53" i="9"/>
  <c r="B52" i="9"/>
  <c r="D49" i="9"/>
  <c r="D48" i="9"/>
  <c r="B48" i="9"/>
  <c r="B47" i="9"/>
  <c r="B46" i="9"/>
  <c r="B45" i="9"/>
  <c r="B44" i="9"/>
  <c r="D43" i="9"/>
  <c r="B43" i="9"/>
  <c r="D42" i="9"/>
  <c r="B42" i="9"/>
  <c r="D41" i="9"/>
  <c r="B41" i="9"/>
  <c r="B38" i="9" a="1"/>
  <c r="B38" i="9"/>
  <c r="C12" i="9"/>
  <c r="C11" i="9"/>
  <c r="F7" i="9"/>
  <c r="E7" i="9"/>
  <c r="D7" i="9"/>
  <c r="F4" i="9"/>
  <c r="F21" i="8"/>
  <c r="E21" i="8"/>
  <c r="E20" i="8"/>
  <c r="E19" i="8"/>
  <c r="E18" i="8"/>
  <c r="E17" i="8"/>
  <c r="E16" i="8"/>
  <c r="E15" i="8"/>
  <c r="B10" i="8"/>
  <c r="B9" i="8"/>
  <c r="F6" i="8"/>
  <c r="B5" i="8"/>
  <c r="F3" i="8"/>
  <c r="F8" i="7"/>
  <c r="C6" i="7"/>
  <c r="C3" i="7"/>
  <c r="O99" i="14"/>
  <c r="O98" i="14"/>
  <c r="F98" i="14"/>
  <c r="F97" i="14"/>
  <c r="F96" i="14"/>
  <c r="F95" i="14"/>
  <c r="F94" i="14"/>
  <c r="O93" i="14"/>
  <c r="F93" i="14"/>
  <c r="O92" i="14"/>
  <c r="F92" i="14"/>
  <c r="O91" i="14"/>
  <c r="F91" i="14"/>
  <c r="O85" i="14"/>
  <c r="O78" i="14"/>
  <c r="O77" i="14"/>
  <c r="O76" i="14"/>
  <c r="O75" i="14"/>
  <c r="M75" i="14"/>
  <c r="Q74" i="14"/>
  <c r="O74" i="14"/>
  <c r="M74" i="14"/>
  <c r="Q73" i="14"/>
  <c r="O73" i="14"/>
  <c r="M73" i="14"/>
  <c r="Q72" i="14"/>
  <c r="O72" i="14"/>
  <c r="M72" i="14"/>
  <c r="Q71" i="14"/>
  <c r="O71" i="14"/>
  <c r="M71" i="14"/>
  <c r="Q70" i="14"/>
  <c r="O70" i="14"/>
  <c r="M70" i="14"/>
  <c r="Q69" i="14"/>
  <c r="O69" i="14"/>
  <c r="M69" i="14"/>
  <c r="Q68" i="14"/>
  <c r="O68" i="14"/>
  <c r="M68" i="14"/>
  <c r="Q67" i="14"/>
  <c r="O67" i="14"/>
  <c r="M67" i="14"/>
  <c r="Q66" i="14"/>
  <c r="O66" i="14"/>
  <c r="M66" i="14"/>
  <c r="Q65" i="14"/>
  <c r="O65" i="14"/>
  <c r="M65" i="14"/>
  <c r="Q64" i="14"/>
  <c r="O64" i="14"/>
  <c r="M64" i="14"/>
  <c r="Q63" i="14"/>
  <c r="O63" i="14"/>
  <c r="M63" i="14"/>
  <c r="Q62" i="14"/>
  <c r="O62" i="14"/>
  <c r="M62" i="14"/>
  <c r="Q61" i="14"/>
  <c r="O61" i="14"/>
  <c r="M61" i="14"/>
  <c r="Q60" i="14"/>
  <c r="O60" i="14"/>
  <c r="M60" i="14"/>
  <c r="O54" i="14"/>
  <c r="F54" i="14"/>
  <c r="O46" i="14"/>
  <c r="N46" i="14"/>
  <c r="M46" i="14"/>
  <c r="L46" i="14"/>
  <c r="F46" i="14"/>
  <c r="O45" i="14"/>
  <c r="O39" i="14"/>
  <c r="F39" i="14"/>
  <c r="O99" i="10"/>
  <c r="O98" i="10"/>
  <c r="F98" i="10"/>
  <c r="F97" i="10"/>
  <c r="F96" i="10"/>
  <c r="F95" i="10"/>
  <c r="F94" i="10"/>
  <c r="O93" i="10"/>
  <c r="F93" i="10"/>
  <c r="O92" i="10"/>
  <c r="F92" i="10"/>
  <c r="O91" i="10"/>
  <c r="F91" i="10"/>
  <c r="O85" i="10"/>
  <c r="O78" i="10"/>
  <c r="O77" i="10"/>
  <c r="O76" i="10"/>
  <c r="O75" i="10"/>
  <c r="M75" i="10"/>
  <c r="Q74" i="10"/>
  <c r="O74" i="10"/>
  <c r="M74" i="10"/>
  <c r="Q73" i="10"/>
  <c r="O73" i="10"/>
  <c r="M73" i="10"/>
  <c r="Q72" i="10"/>
  <c r="O72" i="10"/>
  <c r="M72" i="10"/>
  <c r="Q71" i="10"/>
  <c r="O71" i="10"/>
  <c r="M71" i="10"/>
  <c r="Q70" i="10"/>
  <c r="O70" i="10"/>
  <c r="M70" i="10"/>
  <c r="Q69" i="10"/>
  <c r="O69" i="10"/>
  <c r="M69" i="10"/>
  <c r="Q68" i="10"/>
  <c r="O68" i="10"/>
  <c r="M68" i="10"/>
  <c r="Q67" i="10"/>
  <c r="O67" i="10"/>
  <c r="M67" i="10"/>
  <c r="Q66" i="10"/>
  <c r="O66" i="10"/>
  <c r="M66" i="10"/>
  <c r="Q65" i="10"/>
  <c r="O65" i="10"/>
  <c r="M65" i="10"/>
  <c r="Q64" i="10"/>
  <c r="O64" i="10"/>
  <c r="M64" i="10"/>
  <c r="Q63" i="10"/>
  <c r="O63" i="10"/>
  <c r="M63" i="10"/>
  <c r="Q62" i="10"/>
  <c r="O62" i="10"/>
  <c r="M62" i="10"/>
  <c r="Q61" i="10"/>
  <c r="O61" i="10"/>
  <c r="M61" i="10"/>
  <c r="Q60" i="10"/>
  <c r="O60" i="10"/>
  <c r="M60" i="10"/>
  <c r="O54" i="10"/>
  <c r="F54" i="10"/>
  <c r="O46" i="10"/>
  <c r="N46" i="10"/>
  <c r="M46" i="10"/>
  <c r="L46" i="10"/>
  <c r="F46" i="10"/>
  <c r="O45" i="10"/>
  <c r="O39" i="10"/>
  <c r="F39" i="10"/>
  <c r="O99" i="20"/>
  <c r="O98" i="20"/>
  <c r="F98" i="20"/>
  <c r="F97" i="20"/>
  <c r="F96" i="20"/>
  <c r="F95" i="20"/>
  <c r="F94" i="20"/>
  <c r="O93" i="20"/>
  <c r="F93" i="20"/>
  <c r="O92" i="20"/>
  <c r="F92" i="20"/>
  <c r="O91" i="20"/>
  <c r="F91" i="20"/>
  <c r="O85" i="20"/>
  <c r="O78" i="20"/>
  <c r="O77" i="20"/>
  <c r="O76" i="20"/>
  <c r="O75" i="20"/>
  <c r="M75" i="20"/>
  <c r="Q74" i="20"/>
  <c r="O74" i="20"/>
  <c r="M74" i="20"/>
  <c r="Q73" i="20"/>
  <c r="O73" i="20"/>
  <c r="M73" i="20"/>
  <c r="Q72" i="20"/>
  <c r="O72" i="20"/>
  <c r="M72" i="20"/>
  <c r="Q71" i="20"/>
  <c r="O71" i="20"/>
  <c r="M71" i="20"/>
  <c r="Q70" i="20"/>
  <c r="O70" i="20"/>
  <c r="M70" i="20"/>
  <c r="Q69" i="20"/>
  <c r="O69" i="20"/>
  <c r="M69" i="20"/>
  <c r="Q68" i="20"/>
  <c r="O68" i="20"/>
  <c r="M68" i="20"/>
  <c r="Q67" i="20"/>
  <c r="O67" i="20"/>
  <c r="M67" i="20"/>
  <c r="Q66" i="20"/>
  <c r="O66" i="20"/>
  <c r="M66" i="20"/>
  <c r="Q65" i="20"/>
  <c r="O65" i="20"/>
  <c r="M65" i="20"/>
  <c r="Q64" i="20"/>
  <c r="O64" i="20"/>
  <c r="M64" i="20"/>
  <c r="Q63" i="20"/>
  <c r="O63" i="20"/>
  <c r="M63" i="20"/>
  <c r="Q62" i="20"/>
  <c r="O62" i="20"/>
  <c r="M62" i="20"/>
  <c r="Q61" i="20"/>
  <c r="O61" i="20"/>
  <c r="M61" i="20"/>
  <c r="Q60" i="20"/>
  <c r="O60" i="20"/>
  <c r="M60" i="20"/>
  <c r="O54" i="20"/>
  <c r="F54" i="20"/>
  <c r="O46" i="20"/>
  <c r="N46" i="20"/>
  <c r="M46" i="20"/>
  <c r="L46" i="20"/>
  <c r="F46" i="20"/>
  <c r="O45" i="20"/>
  <c r="O39" i="20"/>
  <c r="F39" i="20"/>
  <c r="J90" i="5"/>
  <c r="D88" i="5"/>
  <c r="H84" i="5"/>
  <c r="F84" i="5"/>
  <c r="E78" i="6" s="1"/>
  <c r="E76" i="11" s="1"/>
  <c r="C84" i="5"/>
  <c r="H83" i="5"/>
  <c r="F83" i="5"/>
  <c r="D83" i="5"/>
  <c r="C83" i="5"/>
  <c r="H82" i="5"/>
  <c r="F82" i="5"/>
  <c r="C82" i="5"/>
  <c r="F81" i="5"/>
  <c r="H80" i="5"/>
  <c r="G74" i="6" s="1"/>
  <c r="G72" i="11" s="1"/>
  <c r="C79" i="5"/>
  <c r="C78" i="5"/>
  <c r="H77" i="5"/>
  <c r="G71" i="6" s="1"/>
  <c r="G63" i="5"/>
  <c r="H79" i="5" s="1"/>
  <c r="G73" i="6" s="1"/>
  <c r="G49" i="5"/>
  <c r="E65" i="5" s="1"/>
  <c r="E48" i="5"/>
  <c r="G14" i="5"/>
  <c r="C4" i="5"/>
  <c r="G51" i="3"/>
  <c r="F51" i="3"/>
  <c r="D51" i="3"/>
  <c r="G50" i="3"/>
  <c r="F50" i="3"/>
  <c r="D50" i="3"/>
  <c r="G49" i="3"/>
  <c r="H49" i="3" s="1"/>
  <c r="F49" i="3"/>
  <c r="D49" i="3"/>
  <c r="G48" i="3"/>
  <c r="F48" i="3"/>
  <c r="D48" i="3"/>
  <c r="G47" i="3"/>
  <c r="F47" i="3"/>
  <c r="D47" i="3"/>
  <c r="G46" i="3"/>
  <c r="F46" i="3"/>
  <c r="E46" i="3"/>
  <c r="D46" i="3"/>
  <c r="G45" i="3"/>
  <c r="F45" i="3"/>
  <c r="E45" i="3"/>
  <c r="D45" i="3"/>
  <c r="G44" i="3"/>
  <c r="F44" i="3"/>
  <c r="E44" i="3"/>
  <c r="D44" i="3"/>
  <c r="G43" i="3"/>
  <c r="F43" i="3"/>
  <c r="E43" i="3"/>
  <c r="D43" i="3"/>
  <c r="G42" i="3"/>
  <c r="F42" i="3"/>
  <c r="E42" i="3"/>
  <c r="D42" i="3"/>
  <c r="G41" i="3"/>
  <c r="F41" i="3"/>
  <c r="E41" i="3"/>
  <c r="D41" i="3"/>
  <c r="G40" i="3"/>
  <c r="F40" i="3"/>
  <c r="E40" i="3"/>
  <c r="D40" i="3"/>
  <c r="G39" i="3"/>
  <c r="H39" i="3" s="1"/>
  <c r="F39" i="3"/>
  <c r="E39" i="3"/>
  <c r="D39" i="3"/>
  <c r="G38" i="3"/>
  <c r="F38" i="3"/>
  <c r="E38" i="3"/>
  <c r="D38" i="3"/>
  <c r="G37" i="3"/>
  <c r="F37" i="3"/>
  <c r="E37" i="3"/>
  <c r="D37" i="3"/>
  <c r="G36" i="3"/>
  <c r="F36" i="3"/>
  <c r="E36" i="3"/>
  <c r="D36" i="3"/>
  <c r="G35" i="3"/>
  <c r="F35" i="3"/>
  <c r="E35" i="3"/>
  <c r="D35" i="3"/>
  <c r="G34" i="3"/>
  <c r="F34" i="3"/>
  <c r="E34" i="3"/>
  <c r="D34" i="3"/>
  <c r="G33" i="3"/>
  <c r="H33" i="3" s="1"/>
  <c r="F33" i="3"/>
  <c r="E33" i="3"/>
  <c r="D33" i="3"/>
  <c r="G32" i="3"/>
  <c r="F32" i="3"/>
  <c r="E32" i="3"/>
  <c r="D32" i="3"/>
  <c r="G31" i="3"/>
  <c r="F31" i="3"/>
  <c r="E31" i="3"/>
  <c r="D31" i="3"/>
  <c r="G30" i="3"/>
  <c r="F30" i="3"/>
  <c r="E30" i="3"/>
  <c r="D30" i="3"/>
  <c r="G29" i="3"/>
  <c r="F29" i="3"/>
  <c r="E29" i="3"/>
  <c r="D29" i="3"/>
  <c r="G28" i="3"/>
  <c r="H28" i="3" s="1"/>
  <c r="F28" i="3"/>
  <c r="E28" i="3"/>
  <c r="D28" i="3"/>
  <c r="G27" i="3"/>
  <c r="H27" i="3" s="1"/>
  <c r="F27" i="3"/>
  <c r="E27" i="3"/>
  <c r="D27" i="3"/>
  <c r="G26" i="3"/>
  <c r="F26" i="3"/>
  <c r="E26" i="3"/>
  <c r="D26" i="3"/>
  <c r="G25" i="3"/>
  <c r="F25" i="3"/>
  <c r="D25" i="3"/>
  <c r="G24" i="3"/>
  <c r="F24" i="3"/>
  <c r="E24" i="3"/>
  <c r="D24" i="3"/>
  <c r="G23" i="3"/>
  <c r="F23" i="3"/>
  <c r="E23" i="3"/>
  <c r="D23" i="3"/>
  <c r="G22" i="3"/>
  <c r="F22" i="3"/>
  <c r="E22" i="3"/>
  <c r="D22" i="3"/>
  <c r="C60" i="21"/>
  <c r="I57" i="21"/>
  <c r="F50" i="21"/>
  <c r="E50" i="21"/>
  <c r="G44" i="21"/>
  <c r="G43" i="21"/>
  <c r="I38" i="21"/>
  <c r="E38" i="21"/>
  <c r="I37" i="21"/>
  <c r="E37" i="21"/>
  <c r="I36" i="21"/>
  <c r="E36" i="21"/>
  <c r="E31" i="21"/>
  <c r="B31" i="21"/>
  <c r="E30" i="21"/>
  <c r="B30" i="21"/>
  <c r="E29" i="21"/>
  <c r="B29" i="21"/>
  <c r="E28" i="21"/>
  <c r="F22" i="21"/>
  <c r="E22" i="21"/>
  <c r="F21" i="21"/>
  <c r="E21" i="21"/>
  <c r="H21" i="21" s="1"/>
  <c r="I21" i="21" s="1"/>
  <c r="F20" i="21"/>
  <c r="E20" i="21"/>
  <c r="F19" i="21"/>
  <c r="H19" i="21" s="1"/>
  <c r="I19" i="21" s="1"/>
  <c r="E19" i="21"/>
  <c r="F18" i="21"/>
  <c r="E18" i="21"/>
  <c r="B13" i="21"/>
  <c r="B12" i="21"/>
  <c r="B10" i="21"/>
  <c r="B9" i="21"/>
  <c r="B8" i="21"/>
  <c r="B7" i="21"/>
  <c r="B6" i="21"/>
  <c r="B3" i="21"/>
  <c r="G78" i="6"/>
  <c r="G77" i="6"/>
  <c r="E77" i="6"/>
  <c r="G76" i="6"/>
  <c r="F20" i="8" s="1"/>
  <c r="E76" i="6"/>
  <c r="E75" i="6"/>
  <c r="E74" i="6"/>
  <c r="E73" i="6"/>
  <c r="E72" i="6"/>
  <c r="E71" i="6"/>
  <c r="C71" i="6"/>
  <c r="C69" i="11" s="1"/>
  <c r="H22" i="6"/>
  <c r="I22" i="6" s="1"/>
  <c r="H21" i="6"/>
  <c r="I21" i="6" s="1"/>
  <c r="H20" i="6"/>
  <c r="I20" i="6" s="1"/>
  <c r="I19" i="6"/>
  <c r="H19" i="6"/>
  <c r="H18" i="6"/>
  <c r="I18" i="6" s="1"/>
  <c r="B13" i="6"/>
  <c r="B12" i="6"/>
  <c r="B10" i="6"/>
  <c r="B9" i="6"/>
  <c r="C81" i="5" s="1"/>
  <c r="B8" i="6"/>
  <c r="C80" i="5" s="1"/>
  <c r="B7" i="6"/>
  <c r="B6" i="6"/>
  <c r="E200" i="19"/>
  <c r="C200" i="19"/>
  <c r="A200" i="19"/>
  <c r="E199" i="19"/>
  <c r="C199" i="19"/>
  <c r="A199" i="19"/>
  <c r="E198" i="19"/>
  <c r="C198" i="19"/>
  <c r="A198" i="19"/>
  <c r="E197" i="19"/>
  <c r="C197" i="19"/>
  <c r="A197" i="19"/>
  <c r="E196" i="19"/>
  <c r="C196" i="19"/>
  <c r="A196" i="19"/>
  <c r="E195" i="19"/>
  <c r="C195" i="19"/>
  <c r="A195" i="19"/>
  <c r="E194" i="19"/>
  <c r="C194" i="19"/>
  <c r="A194" i="19"/>
  <c r="E193" i="19"/>
  <c r="C193" i="19"/>
  <c r="A193" i="19"/>
  <c r="J187" i="19"/>
  <c r="F187" i="19"/>
  <c r="M184" i="19"/>
  <c r="L184" i="19"/>
  <c r="M183" i="19"/>
  <c r="L183" i="19"/>
  <c r="M182" i="19"/>
  <c r="L182" i="19"/>
  <c r="M181" i="19"/>
  <c r="L181" i="19"/>
  <c r="M180" i="19"/>
  <c r="L180" i="19"/>
  <c r="M179" i="19"/>
  <c r="L179" i="19"/>
  <c r="M178" i="19"/>
  <c r="L178" i="19"/>
  <c r="M177" i="19"/>
  <c r="L177" i="19"/>
  <c r="M176" i="19"/>
  <c r="L176" i="19"/>
  <c r="M175" i="19"/>
  <c r="L175" i="19"/>
  <c r="M174" i="19"/>
  <c r="L174" i="19"/>
  <c r="M173" i="19"/>
  <c r="L173" i="19"/>
  <c r="M172" i="19"/>
  <c r="L172" i="19"/>
  <c r="M171" i="19"/>
  <c r="L171" i="19"/>
  <c r="M170" i="19"/>
  <c r="L170" i="19"/>
  <c r="M169" i="19"/>
  <c r="L169" i="19"/>
  <c r="M119" i="19"/>
  <c r="L119" i="19"/>
  <c r="M118" i="19"/>
  <c r="L118" i="19"/>
  <c r="M117" i="19"/>
  <c r="L117" i="19"/>
  <c r="M116" i="19"/>
  <c r="L116" i="19"/>
  <c r="M115" i="19"/>
  <c r="L115" i="19"/>
  <c r="M114" i="19"/>
  <c r="L114" i="19"/>
  <c r="M113" i="19"/>
  <c r="L113" i="19"/>
  <c r="M112" i="19"/>
  <c r="L112" i="19"/>
  <c r="M111" i="19"/>
  <c r="L111" i="19"/>
  <c r="M110" i="19"/>
  <c r="L110" i="19"/>
  <c r="M109" i="19"/>
  <c r="L109" i="19"/>
  <c r="M108" i="19"/>
  <c r="L108" i="19"/>
  <c r="M107" i="19"/>
  <c r="L107" i="19"/>
  <c r="M106" i="19"/>
  <c r="L106" i="19"/>
  <c r="M105" i="19"/>
  <c r="L105" i="19"/>
  <c r="M104" i="19"/>
  <c r="L104" i="19"/>
  <c r="M103" i="19"/>
  <c r="L103" i="19"/>
  <c r="M102" i="19"/>
  <c r="L102" i="19"/>
  <c r="M101" i="19"/>
  <c r="L101" i="19"/>
  <c r="M100" i="19"/>
  <c r="L100" i="19"/>
  <c r="M99" i="19"/>
  <c r="L99" i="19"/>
  <c r="M98" i="19"/>
  <c r="L98" i="19"/>
  <c r="M97" i="19"/>
  <c r="L97" i="19"/>
  <c r="M96" i="19"/>
  <c r="L96" i="19"/>
  <c r="M95" i="19"/>
  <c r="L95" i="19"/>
  <c r="M94" i="19"/>
  <c r="L94" i="19"/>
  <c r="M93" i="19"/>
  <c r="L93" i="19"/>
  <c r="M92" i="19"/>
  <c r="L92" i="19"/>
  <c r="M91" i="19"/>
  <c r="L91" i="19"/>
  <c r="M90" i="19"/>
  <c r="L90" i="19"/>
  <c r="M89" i="19"/>
  <c r="L89" i="19"/>
  <c r="M88" i="19"/>
  <c r="L88" i="19"/>
  <c r="M87" i="19"/>
  <c r="L87" i="19"/>
  <c r="M86" i="19"/>
  <c r="L86" i="19"/>
  <c r="M85" i="19"/>
  <c r="L85" i="19"/>
  <c r="M84" i="19"/>
  <c r="L84" i="19"/>
  <c r="M83" i="19"/>
  <c r="L83" i="19"/>
  <c r="M82" i="19"/>
  <c r="L82" i="19"/>
  <c r="M81" i="19"/>
  <c r="L81" i="19"/>
  <c r="M80" i="19"/>
  <c r="L80" i="19"/>
  <c r="M79" i="19"/>
  <c r="L79" i="19"/>
  <c r="M78" i="19"/>
  <c r="L78" i="19"/>
  <c r="M77" i="19"/>
  <c r="L77" i="19"/>
  <c r="M76" i="19"/>
  <c r="L76" i="19"/>
  <c r="M75" i="19"/>
  <c r="L75" i="19"/>
  <c r="M74" i="19"/>
  <c r="L74" i="19"/>
  <c r="M73" i="19"/>
  <c r="L73" i="19"/>
  <c r="M72" i="19"/>
  <c r="L72" i="19"/>
  <c r="M71" i="19"/>
  <c r="L71" i="19"/>
  <c r="M70" i="19"/>
  <c r="L70" i="19"/>
  <c r="M69" i="19"/>
  <c r="L69" i="19"/>
  <c r="M68" i="19"/>
  <c r="L68" i="19"/>
  <c r="M67" i="19"/>
  <c r="L67" i="19"/>
  <c r="M66" i="19"/>
  <c r="L66" i="19"/>
  <c r="M65" i="19"/>
  <c r="L65" i="19"/>
  <c r="M64" i="19"/>
  <c r="L64" i="19"/>
  <c r="M63" i="19"/>
  <c r="L63" i="19"/>
  <c r="M62" i="19"/>
  <c r="L62" i="19"/>
  <c r="M61" i="19"/>
  <c r="L61" i="19"/>
  <c r="M60" i="19"/>
  <c r="L60" i="19"/>
  <c r="M59" i="19"/>
  <c r="L59" i="19"/>
  <c r="M58" i="19"/>
  <c r="L58" i="19"/>
  <c r="M57" i="19"/>
  <c r="L57" i="19"/>
  <c r="M56" i="19"/>
  <c r="L56" i="19"/>
  <c r="M55" i="19"/>
  <c r="L55" i="19"/>
  <c r="M54" i="19"/>
  <c r="L54" i="19"/>
  <c r="M53" i="19"/>
  <c r="L53" i="19"/>
  <c r="M52" i="19"/>
  <c r="L52" i="19"/>
  <c r="M51" i="19"/>
  <c r="L51" i="19"/>
  <c r="M50" i="19"/>
  <c r="L50" i="19"/>
  <c r="M49" i="19"/>
  <c r="L49" i="19"/>
  <c r="M48" i="19"/>
  <c r="L48" i="19"/>
  <c r="M47" i="19"/>
  <c r="L47" i="19"/>
  <c r="M46" i="19"/>
  <c r="L46" i="19"/>
  <c r="M45" i="19"/>
  <c r="L45" i="19"/>
  <c r="M44" i="19"/>
  <c r="L44" i="19"/>
  <c r="M43" i="19"/>
  <c r="L43" i="19"/>
  <c r="M42" i="19"/>
  <c r="L42" i="19"/>
  <c r="M41" i="19"/>
  <c r="L41" i="19"/>
  <c r="M40" i="19"/>
  <c r="L40" i="19"/>
  <c r="M39" i="19"/>
  <c r="L39" i="19"/>
  <c r="M38" i="19"/>
  <c r="L38" i="19"/>
  <c r="M37" i="19"/>
  <c r="L37" i="19"/>
  <c r="M36" i="19"/>
  <c r="L36" i="19"/>
  <c r="M35" i="19"/>
  <c r="L35" i="19"/>
  <c r="M34" i="19"/>
  <c r="L34" i="19"/>
  <c r="M33" i="19"/>
  <c r="L33" i="19"/>
  <c r="M32" i="19"/>
  <c r="E51" i="3" s="1"/>
  <c r="L32" i="19"/>
  <c r="M31" i="19"/>
  <c r="E50" i="3" s="1"/>
  <c r="L31" i="19"/>
  <c r="M30" i="19"/>
  <c r="E49" i="3" s="1"/>
  <c r="L30" i="19"/>
  <c r="E48" i="3"/>
  <c r="L29" i="19"/>
  <c r="E47" i="3"/>
  <c r="E25" i="3"/>
  <c r="E178" i="18"/>
  <c r="D178" i="18"/>
  <c r="C178" i="18"/>
  <c r="B178" i="18"/>
  <c r="E177" i="18"/>
  <c r="D177" i="18"/>
  <c r="C177" i="18"/>
  <c r="B177" i="18"/>
  <c r="E176" i="18"/>
  <c r="D176" i="18"/>
  <c r="C176" i="18"/>
  <c r="B176" i="18"/>
  <c r="E175" i="18"/>
  <c r="D175" i="18"/>
  <c r="C175" i="18"/>
  <c r="B175" i="18"/>
  <c r="E174" i="18"/>
  <c r="D174" i="18"/>
  <c r="C174" i="18"/>
  <c r="B174" i="18"/>
  <c r="E173" i="18"/>
  <c r="D173" i="18"/>
  <c r="C173" i="18"/>
  <c r="B173" i="18"/>
  <c r="E172" i="18"/>
  <c r="C172" i="18"/>
  <c r="B172" i="18"/>
  <c r="E171" i="18"/>
  <c r="C171" i="18"/>
  <c r="B171" i="18"/>
  <c r="E170" i="18"/>
  <c r="C170" i="18"/>
  <c r="B170" i="18"/>
  <c r="E169" i="18"/>
  <c r="C169" i="18"/>
  <c r="B169" i="18"/>
  <c r="E168" i="18"/>
  <c r="C168" i="18"/>
  <c r="B168" i="18"/>
  <c r="E167" i="18"/>
  <c r="C167" i="18"/>
  <c r="B167" i="18"/>
  <c r="E166" i="18"/>
  <c r="C166" i="18"/>
  <c r="B166" i="18"/>
  <c r="E165" i="18"/>
  <c r="C165" i="18"/>
  <c r="B165" i="18"/>
  <c r="E121" i="18"/>
  <c r="C121" i="18"/>
  <c r="B121" i="18"/>
  <c r="E120" i="18"/>
  <c r="C120" i="18"/>
  <c r="B120" i="18"/>
  <c r="E119" i="18"/>
  <c r="C119" i="18"/>
  <c r="B119" i="18"/>
  <c r="E118" i="18"/>
  <c r="C118" i="18"/>
  <c r="B118" i="18"/>
  <c r="E117" i="18"/>
  <c r="C117" i="18"/>
  <c r="B117" i="18"/>
  <c r="E116" i="18"/>
  <c r="C116" i="18"/>
  <c r="B116" i="18"/>
  <c r="E115" i="18"/>
  <c r="C115" i="18"/>
  <c r="B115" i="18"/>
  <c r="E114" i="18"/>
  <c r="C114" i="18"/>
  <c r="B114" i="18"/>
  <c r="E113" i="18"/>
  <c r="C113" i="18"/>
  <c r="B113" i="18"/>
  <c r="E112" i="18"/>
  <c r="C112" i="18"/>
  <c r="B112" i="18"/>
  <c r="E111" i="18"/>
  <c r="C111" i="18"/>
  <c r="B111" i="18"/>
  <c r="E110" i="18"/>
  <c r="C110" i="18"/>
  <c r="B110" i="18"/>
  <c r="E109" i="18"/>
  <c r="C109" i="18"/>
  <c r="B109" i="18"/>
  <c r="E108" i="18"/>
  <c r="C108" i="18"/>
  <c r="B108" i="18"/>
  <c r="E107" i="18"/>
  <c r="C107" i="18"/>
  <c r="B107" i="18"/>
  <c r="E106" i="18"/>
  <c r="C106" i="18"/>
  <c r="B106" i="18"/>
  <c r="E105" i="18"/>
  <c r="C105" i="18"/>
  <c r="B105" i="18"/>
  <c r="E104" i="18"/>
  <c r="C104" i="18"/>
  <c r="B104" i="18"/>
  <c r="E103" i="18"/>
  <c r="C103" i="18"/>
  <c r="B103" i="18"/>
  <c r="E102" i="18"/>
  <c r="C102" i="18"/>
  <c r="B102" i="18"/>
  <c r="E101" i="18"/>
  <c r="C101" i="18"/>
  <c r="B101" i="18"/>
  <c r="E100" i="18"/>
  <c r="C100" i="18"/>
  <c r="B100" i="18"/>
  <c r="E99" i="18"/>
  <c r="C99" i="18"/>
  <c r="B99" i="18"/>
  <c r="E98" i="18"/>
  <c r="C98" i="18"/>
  <c r="B98" i="18"/>
  <c r="E97" i="18"/>
  <c r="C97" i="18"/>
  <c r="B97" i="18"/>
  <c r="E96" i="18"/>
  <c r="C96" i="18"/>
  <c r="B96" i="18"/>
  <c r="E95" i="18"/>
  <c r="C95" i="18"/>
  <c r="B95" i="18"/>
  <c r="E94" i="18"/>
  <c r="C94" i="18"/>
  <c r="B94" i="18"/>
  <c r="E93" i="18"/>
  <c r="C93" i="18"/>
  <c r="B93" i="18"/>
  <c r="E92" i="18"/>
  <c r="C92" i="18"/>
  <c r="B92" i="18"/>
  <c r="E91" i="18"/>
  <c r="C91" i="18"/>
  <c r="B91" i="18"/>
  <c r="E90" i="18"/>
  <c r="C90" i="18"/>
  <c r="B90" i="18"/>
  <c r="E89" i="18"/>
  <c r="C89" i="18"/>
  <c r="B89" i="18"/>
  <c r="E88" i="18"/>
  <c r="C88" i="18"/>
  <c r="B88" i="18"/>
  <c r="E87" i="18"/>
  <c r="C87" i="18"/>
  <c r="B87" i="18"/>
  <c r="E86" i="18"/>
  <c r="C86" i="18"/>
  <c r="B86" i="18"/>
  <c r="E85" i="18"/>
  <c r="C85" i="18"/>
  <c r="B85" i="18"/>
  <c r="E84" i="18"/>
  <c r="C84" i="18"/>
  <c r="B84" i="18"/>
  <c r="E83" i="18"/>
  <c r="C83" i="18"/>
  <c r="B83" i="18"/>
  <c r="E82" i="18"/>
  <c r="C82" i="18"/>
  <c r="B82" i="18"/>
  <c r="E81" i="18"/>
  <c r="C81" i="18"/>
  <c r="B81" i="18"/>
  <c r="E80" i="18"/>
  <c r="C80" i="18"/>
  <c r="B80" i="18"/>
  <c r="E79" i="18"/>
  <c r="C79" i="18"/>
  <c r="B79" i="18"/>
  <c r="E78" i="18"/>
  <c r="C78" i="18"/>
  <c r="B78" i="18"/>
  <c r="E77" i="18"/>
  <c r="C77" i="18"/>
  <c r="B77" i="18"/>
  <c r="E76" i="18"/>
  <c r="C76" i="18"/>
  <c r="B76" i="18"/>
  <c r="E75" i="18"/>
  <c r="C75" i="18"/>
  <c r="B75" i="18"/>
  <c r="E74" i="18"/>
  <c r="C74" i="18"/>
  <c r="B74" i="18"/>
  <c r="E73" i="18"/>
  <c r="C73" i="18"/>
  <c r="B73" i="18"/>
  <c r="E72" i="18"/>
  <c r="C72" i="18"/>
  <c r="B72" i="18"/>
  <c r="E71" i="18"/>
  <c r="C71" i="18"/>
  <c r="B71" i="18"/>
  <c r="E70" i="18"/>
  <c r="C70" i="18"/>
  <c r="B70" i="18"/>
  <c r="E69" i="18"/>
  <c r="C69" i="18"/>
  <c r="B69" i="18"/>
  <c r="E68" i="18"/>
  <c r="C68" i="18"/>
  <c r="B68" i="18"/>
  <c r="E67" i="18"/>
  <c r="C67" i="18"/>
  <c r="B67" i="18"/>
  <c r="E66" i="18"/>
  <c r="C66" i="18"/>
  <c r="B66" i="18"/>
  <c r="E65" i="18"/>
  <c r="C65" i="18"/>
  <c r="B65" i="18"/>
  <c r="E64" i="18"/>
  <c r="C64" i="18"/>
  <c r="B64" i="18"/>
  <c r="E63" i="18"/>
  <c r="C63" i="18"/>
  <c r="B63" i="18"/>
  <c r="E62" i="18"/>
  <c r="C62" i="18"/>
  <c r="B62" i="18"/>
  <c r="E61" i="18"/>
  <c r="C61" i="18"/>
  <c r="B61" i="18"/>
  <c r="E60" i="18"/>
  <c r="C60" i="18"/>
  <c r="B60" i="18"/>
  <c r="E59" i="18"/>
  <c r="C59" i="18"/>
  <c r="B59" i="18"/>
  <c r="E58" i="18"/>
  <c r="C58" i="18"/>
  <c r="B58" i="18"/>
  <c r="E57" i="18"/>
  <c r="C57" i="18"/>
  <c r="B57" i="18"/>
  <c r="E56" i="18"/>
  <c r="C56" i="18"/>
  <c r="B56" i="18"/>
  <c r="E55" i="18"/>
  <c r="C55" i="18"/>
  <c r="B55" i="18"/>
  <c r="E54" i="18"/>
  <c r="C54" i="18"/>
  <c r="B54" i="18"/>
  <c r="E53" i="18"/>
  <c r="C53" i="18"/>
  <c r="B53" i="18"/>
  <c r="E52" i="18"/>
  <c r="C52" i="18"/>
  <c r="B52" i="18"/>
  <c r="E51" i="18"/>
  <c r="C51" i="18"/>
  <c r="B51" i="18"/>
  <c r="E50" i="18"/>
  <c r="C50" i="18"/>
  <c r="B50" i="18"/>
  <c r="E49" i="18"/>
  <c r="C49" i="18"/>
  <c r="B49" i="18"/>
  <c r="E48" i="18"/>
  <c r="C48" i="18"/>
  <c r="B48" i="18"/>
  <c r="E47" i="18"/>
  <c r="C47" i="18"/>
  <c r="B47" i="18"/>
  <c r="E46" i="18"/>
  <c r="C46" i="18"/>
  <c r="B46" i="18"/>
  <c r="E45" i="18"/>
  <c r="C45" i="18"/>
  <c r="B45" i="18"/>
  <c r="E44" i="18"/>
  <c r="C44" i="18"/>
  <c r="B44" i="18"/>
  <c r="E43" i="18"/>
  <c r="C43" i="18"/>
  <c r="B43" i="18"/>
  <c r="E42" i="18"/>
  <c r="C42" i="18"/>
  <c r="B42" i="18"/>
  <c r="E41" i="18"/>
  <c r="C41" i="18"/>
  <c r="B41" i="18"/>
  <c r="E40" i="18"/>
  <c r="C40" i="18"/>
  <c r="B40" i="18"/>
  <c r="E39" i="18"/>
  <c r="C39" i="18"/>
  <c r="B39" i="18"/>
  <c r="E38" i="18"/>
  <c r="C38" i="18"/>
  <c r="B38" i="18"/>
  <c r="E37" i="18"/>
  <c r="C37" i="18"/>
  <c r="B37" i="18"/>
  <c r="E36" i="18"/>
  <c r="C36" i="18"/>
  <c r="B36" i="18"/>
  <c r="E35" i="18"/>
  <c r="C35" i="18"/>
  <c r="B35" i="18"/>
  <c r="E34" i="18"/>
  <c r="C34" i="18"/>
  <c r="B34" i="18"/>
  <c r="E33" i="18"/>
  <c r="C33" i="18"/>
  <c r="B33" i="18"/>
  <c r="E32" i="18"/>
  <c r="C32" i="18"/>
  <c r="B32" i="18"/>
  <c r="E31" i="18"/>
  <c r="C31" i="18"/>
  <c r="B31" i="18"/>
  <c r="E30" i="18"/>
  <c r="C30" i="18"/>
  <c r="B30" i="18"/>
  <c r="E29" i="18"/>
  <c r="C29" i="18"/>
  <c r="B29" i="18"/>
  <c r="E28" i="18"/>
  <c r="C28" i="18"/>
  <c r="B28" i="18"/>
  <c r="E7" i="18"/>
  <c r="C7" i="18"/>
  <c r="B7" i="18"/>
  <c r="E6" i="18"/>
  <c r="D6" i="18"/>
  <c r="C6" i="18"/>
  <c r="B6" i="18"/>
  <c r="E5" i="18"/>
  <c r="D5" i="18"/>
  <c r="C5" i="18"/>
  <c r="B5" i="18"/>
  <c r="E4" i="18"/>
  <c r="D4" i="18"/>
  <c r="C4" i="18"/>
  <c r="B4" i="18"/>
  <c r="A4" i="18"/>
  <c r="AE3" i="18"/>
  <c r="AD3" i="18"/>
  <c r="AC3" i="18"/>
  <c r="AB3" i="18"/>
  <c r="AA3" i="18"/>
  <c r="Z3" i="18"/>
  <c r="Y3" i="18"/>
  <c r="X3" i="18"/>
  <c r="W3" i="18"/>
  <c r="V3" i="18"/>
  <c r="U3" i="18"/>
  <c r="T3" i="18"/>
  <c r="P3" i="18"/>
  <c r="O3" i="18"/>
  <c r="N3" i="18"/>
  <c r="M3" i="18"/>
  <c r="L3" i="18"/>
  <c r="J3" i="18"/>
  <c r="F3" i="18"/>
  <c r="E3" i="18"/>
  <c r="D3" i="18"/>
  <c r="C3" i="18"/>
  <c r="B3" i="18"/>
  <c r="A3" i="18"/>
  <c r="F84" i="16"/>
  <c r="D84" i="16"/>
  <c r="E83" i="16"/>
  <c r="D83" i="16"/>
  <c r="D81" i="16"/>
  <c r="F81" i="16" s="1"/>
  <c r="E81" i="16" s="1"/>
  <c r="E80" i="16"/>
  <c r="F80" i="16" s="1"/>
  <c r="E79" i="16"/>
  <c r="G40" i="21" s="1"/>
  <c r="D79" i="16"/>
  <c r="D78" i="16"/>
  <c r="F39" i="21" s="1"/>
  <c r="C71" i="16"/>
  <c r="C70" i="16"/>
  <c r="C69" i="16"/>
  <c r="C63" i="16"/>
  <c r="C62" i="16"/>
  <c r="C58" i="16"/>
  <c r="C57" i="16"/>
  <c r="C56" i="16"/>
  <c r="D48" i="16"/>
  <c r="C44" i="16"/>
  <c r="B44" i="16"/>
  <c r="D37" i="16"/>
  <c r="E20" i="16"/>
  <c r="D20" i="16"/>
  <c r="C20" i="16"/>
  <c r="C12" i="16"/>
  <c r="C11" i="16"/>
  <c r="C10" i="16"/>
  <c r="G74" i="11" l="1"/>
  <c r="F18" i="8"/>
  <c r="G71" i="11"/>
  <c r="F17" i="8"/>
  <c r="H78" i="5"/>
  <c r="G72" i="6" s="1"/>
  <c r="F15" i="8"/>
  <c r="G69" i="11"/>
  <c r="H22" i="21"/>
  <c r="I22" i="21" s="1"/>
  <c r="H20" i="21"/>
  <c r="I20" i="21" s="1"/>
  <c r="I24" i="6"/>
  <c r="H18" i="21"/>
  <c r="I18" i="21" s="1"/>
  <c r="I24" i="21" s="1"/>
  <c r="G13" i="3" a="1"/>
  <c r="G13" i="3" s="1"/>
  <c r="E13" i="3" a="1"/>
  <c r="E13" i="3" s="1"/>
  <c r="D13" i="3" a="1"/>
  <c r="D13" i="3" s="1"/>
  <c r="G16" i="3" a="1"/>
  <c r="G16" i="3" s="1"/>
  <c r="D16" i="3" a="1"/>
  <c r="D16" i="3" s="1"/>
  <c r="D10" i="3" a="1"/>
  <c r="D10" i="3" s="1"/>
  <c r="E11" i="3" a="1"/>
  <c r="E11" i="3" s="1"/>
  <c r="D11" i="3" a="1"/>
  <c r="D11" i="3" s="1"/>
  <c r="D12" i="3" a="1"/>
  <c r="D12" i="3" s="1"/>
  <c r="G9" i="3" a="1"/>
  <c r="G9" i="3" s="1"/>
  <c r="E9" i="3" a="1"/>
  <c r="E9" i="3" s="1"/>
  <c r="E16" i="3" a="1"/>
  <c r="E16" i="3" s="1"/>
  <c r="D9" i="3" a="1"/>
  <c r="D9" i="3" s="1"/>
  <c r="C6" i="11" s="1"/>
  <c r="G12" i="3" a="1"/>
  <c r="G12" i="3" s="1"/>
  <c r="E12" i="3" a="1"/>
  <c r="E12" i="3" s="1"/>
  <c r="G15" i="3" a="1"/>
  <c r="G15" i="3" s="1"/>
  <c r="E15" i="3" a="1"/>
  <c r="E15" i="3" s="1"/>
  <c r="D15" i="3" a="1"/>
  <c r="D15" i="3" s="1"/>
  <c r="G10" i="3" a="1"/>
  <c r="G10" i="3" s="1"/>
  <c r="E10" i="3" a="1"/>
  <c r="E10" i="3" s="1"/>
  <c r="G11" i="3" a="1"/>
  <c r="G11" i="3" s="1"/>
  <c r="F39" i="6"/>
  <c r="F37" i="11" s="1"/>
  <c r="G41" i="21"/>
  <c r="G40" i="6"/>
  <c r="G38" i="11" s="1"/>
  <c r="F42" i="21"/>
  <c r="G41" i="6"/>
  <c r="G39" i="11" s="1"/>
  <c r="F42" i="6"/>
  <c r="F40" i="11" s="1"/>
  <c r="H51" i="3"/>
  <c r="H35" i="3"/>
  <c r="H32" i="3"/>
  <c r="H34" i="3"/>
  <c r="H36" i="3"/>
  <c r="H29" i="3"/>
  <c r="H31" i="3"/>
  <c r="H48" i="3"/>
  <c r="H40" i="3"/>
  <c r="H42" i="3"/>
  <c r="H44" i="3"/>
  <c r="H41" i="3"/>
  <c r="H43" i="3"/>
  <c r="H47" i="3"/>
  <c r="H30" i="3"/>
  <c r="H45" i="3"/>
  <c r="H50" i="3"/>
  <c r="H38" i="3"/>
  <c r="H46" i="3"/>
  <c r="H37" i="3"/>
  <c r="C15" i="16"/>
  <c r="J112" i="17"/>
  <c r="F112" i="17"/>
  <c r="H24" i="3"/>
  <c r="C15" i="8"/>
  <c r="I54" i="6"/>
  <c r="I61" i="6" s="1"/>
  <c r="C14" i="16"/>
  <c r="F82" i="16" s="1"/>
  <c r="D82" i="16" s="1"/>
  <c r="H25" i="3"/>
  <c r="C192" i="18"/>
  <c r="A193" i="18"/>
  <c r="A188" i="18"/>
  <c r="C188" i="18"/>
  <c r="A192" i="18"/>
  <c r="E192" i="18"/>
  <c r="E194" i="18"/>
  <c r="E193" i="18"/>
  <c r="C189" i="18"/>
  <c r="A190" i="18"/>
  <c r="A194" i="18"/>
  <c r="C191" i="18"/>
  <c r="A201" i="19"/>
  <c r="C201" i="19" s="1"/>
  <c r="E188" i="18"/>
  <c r="C190" i="18"/>
  <c r="C187" i="18"/>
  <c r="E190" i="18"/>
  <c r="E187" i="18"/>
  <c r="A191" i="18"/>
  <c r="C193" i="18"/>
  <c r="A189" i="18"/>
  <c r="E191" i="18"/>
  <c r="A187" i="18"/>
  <c r="E189" i="18"/>
  <c r="H26" i="3"/>
  <c r="D198" i="19"/>
  <c r="D193" i="19"/>
  <c r="D197" i="19"/>
  <c r="D200" i="19"/>
  <c r="D195" i="19"/>
  <c r="F188" i="19"/>
  <c r="D196" i="19"/>
  <c r="F181" i="18"/>
  <c r="D199" i="19"/>
  <c r="D194" i="19"/>
  <c r="J181" i="18"/>
  <c r="C194" i="18"/>
  <c r="H23" i="3"/>
  <c r="H22" i="3"/>
  <c r="I59" i="11"/>
  <c r="C71" i="21"/>
  <c r="I54" i="21" s="1"/>
  <c r="J89" i="5"/>
  <c r="J93" i="5" s="1"/>
  <c r="G66" i="5" s="1"/>
  <c r="G70" i="11" l="1"/>
  <c r="F16" i="8"/>
  <c r="E201" i="19"/>
  <c r="D201" i="19" s="1"/>
  <c r="D16" i="16"/>
  <c r="D193" i="18"/>
  <c r="F79" i="16"/>
  <c r="C16" i="16"/>
  <c r="D24" i="16" s="1"/>
  <c r="E52" i="16" s="1"/>
  <c r="B2" i="21" s="1"/>
  <c r="D192" i="18"/>
  <c r="D191" i="18"/>
  <c r="D189" i="18"/>
  <c r="D188" i="18"/>
  <c r="H16" i="3"/>
  <c r="E13" i="6" s="1"/>
  <c r="D194" i="18"/>
  <c r="D187" i="18"/>
  <c r="H13" i="3"/>
  <c r="E10" i="21" s="1"/>
  <c r="D190" i="18"/>
  <c r="C6" i="6"/>
  <c r="H9" i="3"/>
  <c r="E6" i="21" s="1"/>
  <c r="C6" i="21"/>
  <c r="H10" i="3"/>
  <c r="E7" i="21" s="1"/>
  <c r="A195" i="18"/>
  <c r="C195" i="18" s="1"/>
  <c r="F11" i="3"/>
  <c r="F8" i="6" s="1"/>
  <c r="H11" i="3"/>
  <c r="E8" i="6" s="1"/>
  <c r="C7" i="21"/>
  <c r="C7" i="6"/>
  <c r="C7" i="11"/>
  <c r="C12" i="11" s="1"/>
  <c r="C54" i="11" s="1"/>
  <c r="I57" i="11" s="1"/>
  <c r="C9" i="21"/>
  <c r="C9" i="6"/>
  <c r="H12" i="3"/>
  <c r="E9" i="21" s="1"/>
  <c r="C12" i="21"/>
  <c r="C12" i="6"/>
  <c r="C13" i="21"/>
  <c r="C13" i="6"/>
  <c r="F12" i="3"/>
  <c r="C10" i="21"/>
  <c r="C10" i="6"/>
  <c r="H15" i="3"/>
  <c r="E12" i="21" s="1"/>
  <c r="C8" i="21"/>
  <c r="C8" i="6"/>
  <c r="D17" i="3"/>
  <c r="I13" i="3"/>
  <c r="I12" i="3"/>
  <c r="G17" i="3"/>
  <c r="F182" i="18"/>
  <c r="I15" i="3"/>
  <c r="F15" i="3"/>
  <c r="F12" i="21" s="1"/>
  <c r="I11" i="3"/>
  <c r="F13" i="3"/>
  <c r="F10" i="21" s="1"/>
  <c r="F16" i="3"/>
  <c r="I16" i="3"/>
  <c r="I10" i="3"/>
  <c r="F10" i="3"/>
  <c r="F9" i="3"/>
  <c r="E17" i="3"/>
  <c r="I9" i="3"/>
  <c r="G71" i="5"/>
  <c r="H81" i="5"/>
  <c r="I61" i="21"/>
  <c r="F8" i="21" l="1"/>
  <c r="F10" i="6"/>
  <c r="E13" i="21"/>
  <c r="I13" i="21" s="1"/>
  <c r="E7" i="6"/>
  <c r="I7" i="6" s="1"/>
  <c r="E195" i="18"/>
  <c r="D195" i="18" s="1"/>
  <c r="E10" i="6"/>
  <c r="H13" i="6"/>
  <c r="E6" i="6"/>
  <c r="I6" i="6" s="1"/>
  <c r="E6" i="11"/>
  <c r="H6" i="11" s="1"/>
  <c r="E7" i="11"/>
  <c r="I7" i="11" s="1"/>
  <c r="E8" i="21"/>
  <c r="I8" i="21" s="1"/>
  <c r="F12" i="6"/>
  <c r="D84" i="5" s="1"/>
  <c r="I8" i="6"/>
  <c r="H17" i="3"/>
  <c r="H8" i="6"/>
  <c r="E12" i="6"/>
  <c r="H12" i="6" s="1"/>
  <c r="C14" i="6"/>
  <c r="D77" i="5" s="1"/>
  <c r="H71" i="5" s="1"/>
  <c r="C14" i="21"/>
  <c r="I41" i="21" s="1"/>
  <c r="E9" i="6"/>
  <c r="I9" i="6" s="1"/>
  <c r="I13" i="6"/>
  <c r="H13" i="21"/>
  <c r="F9" i="6"/>
  <c r="D81" i="5" s="1"/>
  <c r="F9" i="21"/>
  <c r="G9" i="21" s="1"/>
  <c r="B2" i="6"/>
  <c r="B2" i="11" s="1"/>
  <c r="G12" i="21"/>
  <c r="I6" i="21"/>
  <c r="H6" i="21"/>
  <c r="G10" i="21"/>
  <c r="I9" i="21"/>
  <c r="H9" i="21"/>
  <c r="H10" i="21"/>
  <c r="I10" i="21"/>
  <c r="C72" i="16"/>
  <c r="C64" i="16"/>
  <c r="C75" i="16"/>
  <c r="I7" i="21"/>
  <c r="H7" i="21"/>
  <c r="H12" i="21"/>
  <c r="I12" i="21"/>
  <c r="G8" i="6"/>
  <c r="D80" i="5"/>
  <c r="F7" i="11"/>
  <c r="F7" i="21"/>
  <c r="G7" i="21" s="1"/>
  <c r="F7" i="6"/>
  <c r="I17" i="3"/>
  <c r="F17" i="3"/>
  <c r="F6" i="11"/>
  <c r="F6" i="21"/>
  <c r="F6" i="6"/>
  <c r="F13" i="21"/>
  <c r="F13" i="6"/>
  <c r="G13" i="6" s="1"/>
  <c r="I81" i="5"/>
  <c r="G75" i="6"/>
  <c r="H85" i="5"/>
  <c r="I45" i="5"/>
  <c r="I41" i="5"/>
  <c r="I37" i="5"/>
  <c r="I33" i="5"/>
  <c r="I29" i="5"/>
  <c r="I25" i="5"/>
  <c r="I21" i="5"/>
  <c r="I17" i="5"/>
  <c r="I10" i="5"/>
  <c r="I59" i="5"/>
  <c r="I55" i="5"/>
  <c r="I51" i="5"/>
  <c r="I48" i="5"/>
  <c r="I46" i="5"/>
  <c r="I42" i="5"/>
  <c r="I38" i="5"/>
  <c r="I34" i="5"/>
  <c r="I30" i="5"/>
  <c r="I26" i="5"/>
  <c r="I22" i="5"/>
  <c r="I14" i="5"/>
  <c r="I71" i="5"/>
  <c r="I60" i="5"/>
  <c r="I82" i="5"/>
  <c r="I79" i="5"/>
  <c r="I49" i="5"/>
  <c r="I78" i="5"/>
  <c r="I11" i="5"/>
  <c r="I67" i="5"/>
  <c r="I44" i="5"/>
  <c r="I40" i="5"/>
  <c r="I36" i="5"/>
  <c r="I32" i="5"/>
  <c r="I28" i="5"/>
  <c r="I24" i="5"/>
  <c r="I20" i="5"/>
  <c r="I16" i="5"/>
  <c r="I13" i="5"/>
  <c r="I18" i="5"/>
  <c r="I63" i="5"/>
  <c r="I52" i="5"/>
  <c r="I83" i="5"/>
  <c r="I77" i="5"/>
  <c r="I69" i="5"/>
  <c r="I62" i="5"/>
  <c r="I58" i="5"/>
  <c r="I54" i="5"/>
  <c r="I50" i="5"/>
  <c r="I80" i="5"/>
  <c r="I65" i="5"/>
  <c r="I47" i="5"/>
  <c r="I43" i="5"/>
  <c r="I39" i="5"/>
  <c r="I35" i="5"/>
  <c r="I31" i="5"/>
  <c r="I27" i="5"/>
  <c r="I23" i="5"/>
  <c r="I19" i="5"/>
  <c r="I15" i="5"/>
  <c r="I12" i="5"/>
  <c r="I84" i="5"/>
  <c r="I68" i="5"/>
  <c r="I61" i="5"/>
  <c r="I57" i="5"/>
  <c r="I53" i="5"/>
  <c r="I56" i="5"/>
  <c r="D91" i="5"/>
  <c r="I66" i="5"/>
  <c r="G13" i="21" l="1"/>
  <c r="G10" i="6"/>
  <c r="H7" i="6"/>
  <c r="H10" i="6"/>
  <c r="H7" i="11"/>
  <c r="H12" i="11" s="1"/>
  <c r="C55" i="11" s="1"/>
  <c r="I6" i="11"/>
  <c r="I12" i="11" s="1"/>
  <c r="I24" i="11" s="1"/>
  <c r="I26" i="11" s="1"/>
  <c r="I30" i="11" s="1"/>
  <c r="I10" i="6"/>
  <c r="H8" i="21"/>
  <c r="H14" i="21" s="1"/>
  <c r="C57" i="21" s="1"/>
  <c r="H6" i="6"/>
  <c r="G37" i="6"/>
  <c r="G35" i="11" s="1"/>
  <c r="I43" i="6"/>
  <c r="I43" i="21" s="1"/>
  <c r="E12" i="11"/>
  <c r="E13" i="11" s="1"/>
  <c r="C56" i="21"/>
  <c r="I59" i="21" s="1"/>
  <c r="G38" i="21"/>
  <c r="I40" i="21"/>
  <c r="G7" i="11"/>
  <c r="G36" i="21"/>
  <c r="I40" i="6"/>
  <c r="I38" i="11" s="1"/>
  <c r="E14" i="21"/>
  <c r="E15" i="21" s="1"/>
  <c r="G8" i="21"/>
  <c r="I41" i="6"/>
  <c r="I39" i="11" s="1"/>
  <c r="E14" i="6"/>
  <c r="E15" i="6" s="1"/>
  <c r="I12" i="6"/>
  <c r="G12" i="6"/>
  <c r="I44" i="6"/>
  <c r="I42" i="11" s="1"/>
  <c r="C56" i="6"/>
  <c r="H74" i="6" s="1"/>
  <c r="H72" i="11" s="1"/>
  <c r="G36" i="6"/>
  <c r="G34" i="11" s="1"/>
  <c r="H9" i="6"/>
  <c r="G37" i="21"/>
  <c r="G38" i="6"/>
  <c r="G36" i="11" s="1"/>
  <c r="H49" i="5"/>
  <c r="H63" i="5"/>
  <c r="H14" i="5"/>
  <c r="D90" i="5"/>
  <c r="G9" i="6"/>
  <c r="I14" i="21"/>
  <c r="I26" i="21" s="1"/>
  <c r="C68" i="16"/>
  <c r="F7" i="8"/>
  <c r="G48" i="11"/>
  <c r="I48" i="11" s="1"/>
  <c r="G50" i="21"/>
  <c r="I50" i="21" s="1"/>
  <c r="I50" i="6"/>
  <c r="G6" i="21"/>
  <c r="F14" i="21"/>
  <c r="D79" i="5"/>
  <c r="G7" i="6"/>
  <c r="F12" i="11"/>
  <c r="G6" i="11"/>
  <c r="D78" i="5"/>
  <c r="G6" i="6"/>
  <c r="F14" i="6"/>
  <c r="G73" i="11"/>
  <c r="F19" i="8"/>
  <c r="F22" i="8" s="1"/>
  <c r="G79" i="6"/>
  <c r="I85" i="5"/>
  <c r="I14" i="6" l="1"/>
  <c r="I26" i="6" s="1"/>
  <c r="H72" i="6"/>
  <c r="H70" i="11" s="1"/>
  <c r="I41" i="11"/>
  <c r="I44" i="21"/>
  <c r="H14" i="6"/>
  <c r="C57" i="6" s="1"/>
  <c r="I62" i="21"/>
  <c r="G72" i="21" s="1"/>
  <c r="H72" i="21" s="1"/>
  <c r="H71" i="21"/>
  <c r="H78" i="6"/>
  <c r="C5" i="7"/>
  <c r="H71" i="6"/>
  <c r="H69" i="11" s="1"/>
  <c r="H77" i="6"/>
  <c r="H75" i="6"/>
  <c r="H73" i="11" s="1"/>
  <c r="H73" i="6"/>
  <c r="H71" i="11" s="1"/>
  <c r="I62" i="6"/>
  <c r="F10" i="8" s="1"/>
  <c r="H76" i="6"/>
  <c r="H74" i="11" s="1"/>
  <c r="I59" i="6"/>
  <c r="F9" i="7" s="1"/>
  <c r="D85" i="5"/>
  <c r="J83" i="5" s="1"/>
  <c r="F9" i="8"/>
  <c r="K91" i="17"/>
  <c r="G91" i="17"/>
  <c r="C91" i="17"/>
  <c r="C52" i="11"/>
  <c r="F13" i="11"/>
  <c r="G13" i="11" s="1"/>
  <c r="C54" i="21"/>
  <c r="F15" i="21"/>
  <c r="G15" i="21" s="1"/>
  <c r="C54" i="6"/>
  <c r="C8" i="7"/>
  <c r="F15" i="6"/>
  <c r="F4" i="7"/>
  <c r="I78" i="6"/>
  <c r="G21" i="8" s="1"/>
  <c r="I76" i="6"/>
  <c r="I74" i="6"/>
  <c r="I72" i="6"/>
  <c r="C50" i="6"/>
  <c r="G77" i="11"/>
  <c r="C48" i="11" s="1"/>
  <c r="I55" i="11" s="1"/>
  <c r="C79" i="6"/>
  <c r="I79" i="6"/>
  <c r="I77" i="11" s="1"/>
  <c r="H79" i="6"/>
  <c r="I77" i="6"/>
  <c r="I73" i="6"/>
  <c r="I71" i="6"/>
  <c r="I75" i="6"/>
  <c r="I28" i="6" l="1"/>
  <c r="I28" i="21" s="1"/>
  <c r="I32" i="21" s="1"/>
  <c r="F41" i="21" s="1"/>
  <c r="F78" i="16"/>
  <c r="E78" i="16" s="1"/>
  <c r="D80" i="16"/>
  <c r="C72" i="21"/>
  <c r="J21" i="5"/>
  <c r="J31" i="5"/>
  <c r="J36" i="5"/>
  <c r="J27" i="5"/>
  <c r="J81" i="5"/>
  <c r="J68" i="5"/>
  <c r="J37" i="5"/>
  <c r="J39" i="5"/>
  <c r="J78" i="5"/>
  <c r="J18" i="5"/>
  <c r="J44" i="5"/>
  <c r="J58" i="5"/>
  <c r="J30" i="5"/>
  <c r="J82" i="5"/>
  <c r="J25" i="5"/>
  <c r="J42" i="5"/>
  <c r="J71" i="5"/>
  <c r="J24" i="5"/>
  <c r="J61" i="5"/>
  <c r="J43" i="5"/>
  <c r="I60" i="11"/>
  <c r="J67" i="5"/>
  <c r="J49" i="5"/>
  <c r="J13" i="5"/>
  <c r="J54" i="5"/>
  <c r="J23" i="5"/>
  <c r="J50" i="5"/>
  <c r="J12" i="5"/>
  <c r="J14" i="5"/>
  <c r="J34" i="5"/>
  <c r="J38" i="5"/>
  <c r="J10" i="5"/>
  <c r="J33" i="5"/>
  <c r="J65" i="5"/>
  <c r="J16" i="5"/>
  <c r="J41" i="5"/>
  <c r="J19" i="5"/>
  <c r="J80" i="5"/>
  <c r="J48" i="5"/>
  <c r="J26" i="5"/>
  <c r="J35" i="5"/>
  <c r="J57" i="5"/>
  <c r="J46" i="5"/>
  <c r="J32" i="5"/>
  <c r="J22" i="5"/>
  <c r="J62" i="5"/>
  <c r="J56" i="5"/>
  <c r="J85" i="5"/>
  <c r="D89" i="5"/>
  <c r="J51" i="5"/>
  <c r="J52" i="5"/>
  <c r="J40" i="5"/>
  <c r="J11" i="5"/>
  <c r="J69" i="5"/>
  <c r="J55" i="5"/>
  <c r="J20" i="5"/>
  <c r="J79" i="5"/>
  <c r="J63" i="5"/>
  <c r="J66" i="5"/>
  <c r="J47" i="5"/>
  <c r="J77" i="5"/>
  <c r="J29" i="5"/>
  <c r="J59" i="5"/>
  <c r="J60" i="5"/>
  <c r="J53" i="5"/>
  <c r="J17" i="5"/>
  <c r="J84" i="5"/>
  <c r="J45" i="5"/>
  <c r="J28" i="5"/>
  <c r="F37" i="21"/>
  <c r="F36" i="21"/>
  <c r="F43" i="21"/>
  <c r="F40" i="21"/>
  <c r="F38" i="21"/>
  <c r="I39" i="21"/>
  <c r="C112" i="17"/>
  <c r="C105" i="17"/>
  <c r="K112" i="17"/>
  <c r="K105" i="17"/>
  <c r="G105" i="17"/>
  <c r="G112" i="17"/>
  <c r="C9" i="7"/>
  <c r="G15" i="6"/>
  <c r="C10" i="7" s="1"/>
  <c r="C53" i="11"/>
  <c r="I56" i="11"/>
  <c r="C55" i="21"/>
  <c r="I58" i="21"/>
  <c r="C55" i="6"/>
  <c r="I58" i="6"/>
  <c r="I73" i="11"/>
  <c r="G19" i="8"/>
  <c r="F10" i="7"/>
  <c r="F4" i="8"/>
  <c r="I57" i="6"/>
  <c r="I69" i="11"/>
  <c r="G15" i="8"/>
  <c r="G17" i="8"/>
  <c r="I71" i="11"/>
  <c r="I74" i="11"/>
  <c r="G20" i="8"/>
  <c r="D71" i="6"/>
  <c r="C77" i="11"/>
  <c r="C22" i="8"/>
  <c r="C72" i="6"/>
  <c r="I70" i="11"/>
  <c r="G16" i="8"/>
  <c r="I72" i="11"/>
  <c r="G18" i="8"/>
  <c r="H77" i="11"/>
  <c r="F5" i="7"/>
  <c r="F44" i="21" l="1"/>
  <c r="I42" i="21"/>
  <c r="G42" i="21" s="1"/>
  <c r="I32" i="6"/>
  <c r="B113" i="17"/>
  <c r="C113" i="17" s="1"/>
  <c r="G39" i="21"/>
  <c r="F45" i="21"/>
  <c r="F113" i="17"/>
  <c r="G113" i="17" s="1"/>
  <c r="F114" i="17" s="1"/>
  <c r="G114" i="17" s="1"/>
  <c r="J113" i="17"/>
  <c r="K113" i="17" s="1"/>
  <c r="G22" i="8"/>
  <c r="D15" i="8"/>
  <c r="D69" i="11"/>
  <c r="C16" i="8"/>
  <c r="D72" i="6"/>
  <c r="C70" i="11"/>
  <c r="F41" i="6" l="1"/>
  <c r="F39" i="11" s="1"/>
  <c r="I39" i="6"/>
  <c r="F43" i="6"/>
  <c r="F41" i="11" s="1"/>
  <c r="F38" i="6"/>
  <c r="F36" i="11" s="1"/>
  <c r="F37" i="6"/>
  <c r="F35" i="11" s="1"/>
  <c r="F40" i="6"/>
  <c r="F38" i="11" s="1"/>
  <c r="F44" i="6"/>
  <c r="F42" i="11" s="1"/>
  <c r="F36" i="6"/>
  <c r="I42" i="6"/>
  <c r="I45" i="21"/>
  <c r="I47" i="21" s="1"/>
  <c r="I51" i="21" s="1"/>
  <c r="F115" i="17"/>
  <c r="G115" i="17" s="1"/>
  <c r="F116" i="17" s="1"/>
  <c r="G116" i="17" s="1"/>
  <c r="F117" i="17" s="1"/>
  <c r="G117" i="17" s="1"/>
  <c r="F118" i="17" s="1"/>
  <c r="G118" i="17" s="1"/>
  <c r="J114" i="17"/>
  <c r="K114" i="17" s="1"/>
  <c r="J115" i="17" s="1"/>
  <c r="K115" i="17" s="1"/>
  <c r="J116" i="17" s="1"/>
  <c r="K116" i="17" s="1"/>
  <c r="J117" i="17" s="1"/>
  <c r="K117" i="17" s="1"/>
  <c r="B114" i="17"/>
  <c r="C114" i="17" s="1"/>
  <c r="C58" i="21"/>
  <c r="H50" i="21"/>
  <c r="D16" i="8"/>
  <c r="D22" i="8" s="1"/>
  <c r="D70" i="11"/>
  <c r="D79" i="6"/>
  <c r="D77" i="11" s="1"/>
  <c r="I45" i="6" l="1"/>
  <c r="I47" i="6" s="1"/>
  <c r="G39" i="6"/>
  <c r="G37" i="11" s="1"/>
  <c r="I37" i="11"/>
  <c r="F34" i="11"/>
  <c r="F43" i="11" s="1"/>
  <c r="F45" i="6"/>
  <c r="G42" i="6"/>
  <c r="G40" i="11" s="1"/>
  <c r="I40" i="11"/>
  <c r="C59" i="21"/>
  <c r="C61" i="21"/>
  <c r="B115" i="17"/>
  <c r="C115" i="17" s="1"/>
  <c r="B116" i="17" s="1"/>
  <c r="C116" i="17" s="1"/>
  <c r="B117" i="17" s="1"/>
  <c r="C117" i="17" s="1"/>
  <c r="B118" i="17" s="1"/>
  <c r="C118" i="17" s="1"/>
  <c r="J118" i="17"/>
  <c r="K118" i="17" s="1"/>
  <c r="F119" i="17"/>
  <c r="G119" i="17" s="1"/>
  <c r="I43" i="11" l="1"/>
  <c r="I45" i="11" s="1"/>
  <c r="C58" i="6"/>
  <c r="F3" i="7"/>
  <c r="H50" i="6"/>
  <c r="I51" i="6"/>
  <c r="I55" i="21"/>
  <c r="D50" i="21"/>
  <c r="I56" i="21" s="1"/>
  <c r="C62" i="21"/>
  <c r="F120" i="17"/>
  <c r="G120" i="17" s="1"/>
  <c r="B119" i="17"/>
  <c r="C119" i="17" s="1"/>
  <c r="J119" i="17"/>
  <c r="K119" i="17" s="1"/>
  <c r="F8" i="8" l="1"/>
  <c r="F11" i="7"/>
  <c r="C61" i="6"/>
  <c r="C59" i="6"/>
  <c r="C56" i="11"/>
  <c r="H48" i="11"/>
  <c r="I49" i="11"/>
  <c r="J120" i="17"/>
  <c r="K120" i="17" s="1"/>
  <c r="B120" i="17"/>
  <c r="C120" i="17" s="1"/>
  <c r="F121" i="17"/>
  <c r="G121" i="17" s="1"/>
  <c r="C57" i="11" l="1"/>
  <c r="C59" i="11"/>
  <c r="F6" i="7"/>
  <c r="I55" i="6"/>
  <c r="D50" i="6"/>
  <c r="C62" i="6"/>
  <c r="F7" i="7" s="1"/>
  <c r="F122" i="17"/>
  <c r="G122" i="17" s="1"/>
  <c r="B121" i="17"/>
  <c r="C121" i="17" s="1"/>
  <c r="J121" i="17"/>
  <c r="K121" i="17" s="1"/>
  <c r="F12" i="7" l="1"/>
  <c r="C65" i="16"/>
  <c r="I56" i="6"/>
  <c r="F5" i="8"/>
  <c r="D92" i="5"/>
  <c r="C60" i="11"/>
  <c r="I53" i="11"/>
  <c r="D48" i="11"/>
  <c r="I54" i="11" s="1"/>
  <c r="J122" i="17"/>
  <c r="K122" i="17" s="1"/>
  <c r="B122" i="17"/>
  <c r="C122" i="17" s="1"/>
  <c r="F123" i="17"/>
  <c r="G93" i="17" s="1"/>
  <c r="C66" i="16" l="1" a="1"/>
  <c r="C66" i="16" s="1"/>
  <c r="C67" i="16" a="1"/>
  <c r="C67" i="16" s="1"/>
  <c r="C73" i="16" s="1"/>
  <c r="I64" i="21"/>
  <c r="I65" i="21" s="1"/>
  <c r="I64" i="6"/>
  <c r="I65" i="6" s="1"/>
  <c r="F12" i="8" s="1"/>
  <c r="B123" i="17"/>
  <c r="C93" i="17" s="1"/>
  <c r="J123" i="17"/>
  <c r="K93" i="17" s="1"/>
  <c r="G123" i="17"/>
  <c r="G99" i="17"/>
  <c r="I63" i="6" l="1"/>
  <c r="I63" i="21"/>
  <c r="C75" i="21"/>
  <c r="F124" i="17"/>
  <c r="G124" i="17" s="1"/>
  <c r="K99" i="17"/>
  <c r="K123" i="17"/>
  <c r="C99" i="17"/>
  <c r="C123" i="17"/>
  <c r="G73" i="21" l="1"/>
  <c r="H73" i="21" s="1"/>
  <c r="C73" i="21"/>
  <c r="D73" i="21" s="1"/>
  <c r="I61" i="11"/>
  <c r="I62" i="11" s="1"/>
  <c r="I63" i="11" s="1"/>
  <c r="F11" i="8"/>
  <c r="D71" i="21"/>
  <c r="D72" i="21"/>
  <c r="G75" i="21"/>
  <c r="F125" i="17"/>
  <c r="G125" i="17" s="1"/>
  <c r="J124" i="17"/>
  <c r="B124" i="17"/>
  <c r="I75" i="21" l="1"/>
  <c r="H75" i="21"/>
  <c r="I71" i="21"/>
  <c r="I72" i="21"/>
  <c r="G74" i="21"/>
  <c r="I73" i="21"/>
  <c r="D75" i="21"/>
  <c r="F126" i="17"/>
  <c r="K124" i="17"/>
  <c r="C124" i="17"/>
  <c r="H74" i="21" l="1"/>
  <c r="I74" i="21"/>
  <c r="B125" i="17"/>
  <c r="J125" i="17"/>
  <c r="K125" i="17" s="1"/>
  <c r="G126" i="17"/>
  <c r="F127" i="17" l="1"/>
  <c r="J126" i="17"/>
  <c r="K126" i="17" s="1"/>
  <c r="C125" i="17"/>
  <c r="J127" i="17" l="1"/>
  <c r="B126" i="17"/>
  <c r="G127" i="17"/>
  <c r="F128" i="17" l="1"/>
  <c r="G128" i="17" s="1"/>
  <c r="C126" i="17"/>
  <c r="K127" i="17"/>
  <c r="F129" i="17" l="1"/>
  <c r="G129" i="17" s="1"/>
  <c r="J128" i="17"/>
  <c r="K128" i="17" s="1"/>
  <c r="B127" i="17"/>
  <c r="C127" i="17" s="1"/>
  <c r="J129" i="17" l="1"/>
  <c r="K129" i="17" s="1"/>
  <c r="B128" i="17"/>
  <c r="C128" i="17" s="1"/>
  <c r="F130" i="17"/>
  <c r="G130" i="17" s="1"/>
  <c r="F131" i="17" l="1"/>
  <c r="G131" i="17" s="1"/>
  <c r="B129" i="17"/>
  <c r="C129" i="17" s="1"/>
  <c r="J130" i="17"/>
  <c r="K130" i="17" s="1"/>
  <c r="J131" i="17" l="1"/>
  <c r="K131" i="17" s="1"/>
  <c r="B130" i="17"/>
  <c r="C130" i="17" s="1"/>
  <c r="F132" i="17"/>
  <c r="G132" i="17" s="1"/>
  <c r="B131" i="17" l="1"/>
  <c r="C131" i="17" s="1"/>
  <c r="J132" i="17"/>
  <c r="K132" i="17" s="1"/>
  <c r="F133" i="17"/>
  <c r="G133" i="17" s="1"/>
  <c r="F134" i="17" l="1"/>
  <c r="G134" i="17" s="1"/>
  <c r="J133" i="17"/>
  <c r="K133" i="17" s="1"/>
  <c r="B132" i="17"/>
  <c r="C132" i="17" s="1"/>
  <c r="B133" i="17" l="1"/>
  <c r="C133" i="17" s="1"/>
  <c r="J134" i="17"/>
  <c r="K134" i="17"/>
  <c r="F135" i="17"/>
  <c r="G94" i="17" s="1"/>
  <c r="B134" i="17" l="1"/>
  <c r="C134" i="17" s="1"/>
  <c r="G100" i="17"/>
  <c r="G135" i="17"/>
  <c r="J135" i="17"/>
  <c r="K94" i="17" s="1"/>
  <c r="B135" i="17" l="1"/>
  <c r="C94" i="17" s="1"/>
  <c r="K100" i="17"/>
  <c r="K135" i="17"/>
  <c r="F136" i="17"/>
  <c r="G136" i="17" l="1"/>
  <c r="J136" i="17"/>
  <c r="C100" i="17"/>
  <c r="C135" i="17"/>
  <c r="B136" i="17" l="1"/>
  <c r="K136" i="17"/>
  <c r="F137" i="17"/>
  <c r="G137" i="17" s="1"/>
  <c r="F138" i="17" l="1"/>
  <c r="G138" i="17" s="1"/>
  <c r="J137" i="17"/>
  <c r="C136" i="17"/>
  <c r="F139" i="17" l="1"/>
  <c r="B137" i="17"/>
  <c r="K137" i="17"/>
  <c r="J138" i="17" l="1"/>
  <c r="C137" i="17"/>
  <c r="G139" i="17"/>
  <c r="F140" i="17" l="1"/>
  <c r="G140" i="17" s="1"/>
  <c r="B138" i="17"/>
  <c r="K138" i="17"/>
  <c r="F141" i="17" l="1"/>
  <c r="G141" i="17" s="1"/>
  <c r="J139" i="17"/>
  <c r="K139" i="17" s="1"/>
  <c r="C138" i="17"/>
  <c r="J140" i="17" l="1"/>
  <c r="K140" i="17" s="1"/>
  <c r="B139" i="17"/>
  <c r="C139" i="17" s="1"/>
  <c r="F142" i="17"/>
  <c r="G142" i="17" s="1"/>
  <c r="F143" i="17" l="1"/>
  <c r="G143" i="17" s="1"/>
  <c r="B140" i="17"/>
  <c r="C140" i="17" s="1"/>
  <c r="J141" i="17"/>
  <c r="K141" i="17" s="1"/>
  <c r="J142" i="17" l="1"/>
  <c r="K142" i="17" s="1"/>
  <c r="B141" i="17"/>
  <c r="C141" i="17" s="1"/>
  <c r="F144" i="17"/>
  <c r="G144" i="17" s="1"/>
  <c r="F145" i="17" l="1"/>
  <c r="G145" i="17" s="1"/>
  <c r="B142" i="17"/>
  <c r="C142" i="17" s="1"/>
  <c r="J143" i="17"/>
  <c r="K143" i="17" s="1"/>
  <c r="J144" i="17" l="1"/>
  <c r="K144" i="17" s="1"/>
  <c r="B143" i="17"/>
  <c r="C143" i="17" s="1"/>
  <c r="F146" i="17"/>
  <c r="G146" i="17" s="1"/>
  <c r="F147" i="17" l="1"/>
  <c r="G95" i="17" s="1"/>
  <c r="J145" i="17"/>
  <c r="K145" i="17" s="1"/>
  <c r="B144" i="17"/>
  <c r="C144" i="17" s="1"/>
  <c r="B145" i="17" l="1"/>
  <c r="C145" i="17" s="1"/>
  <c r="J146" i="17"/>
  <c r="K146" i="17" s="1"/>
  <c r="G101" i="17"/>
  <c r="G147" i="17"/>
  <c r="J147" i="17" l="1"/>
  <c r="K95" i="17" s="1"/>
  <c r="B146" i="17"/>
  <c r="C146" i="17" s="1"/>
  <c r="F148" i="17"/>
  <c r="B147" i="17" l="1"/>
  <c r="C95" i="17" s="1"/>
  <c r="G148" i="17"/>
  <c r="K101" i="17"/>
  <c r="K147" i="17"/>
  <c r="J148" i="17" l="1"/>
  <c r="F149" i="17"/>
  <c r="G149" i="17" s="1"/>
  <c r="C101" i="17"/>
  <c r="C147" i="17"/>
  <c r="F150" i="17" l="1"/>
  <c r="G150" i="17" s="1"/>
  <c r="B148" i="17"/>
  <c r="K148" i="17"/>
  <c r="F151" i="17" l="1"/>
  <c r="J149" i="17"/>
  <c r="C148" i="17"/>
  <c r="B149" i="17" l="1"/>
  <c r="K149" i="17"/>
  <c r="G151" i="17"/>
  <c r="F152" i="17" l="1"/>
  <c r="G152" i="17" s="1"/>
  <c r="J150" i="17"/>
  <c r="K150" i="17" s="1"/>
  <c r="C149" i="17"/>
  <c r="F153" i="17" l="1"/>
  <c r="G153" i="17" s="1"/>
  <c r="B150" i="17"/>
  <c r="J151" i="17"/>
  <c r="K151" i="17" s="1"/>
  <c r="J152" i="17" l="1"/>
  <c r="K152" i="17" s="1"/>
  <c r="F154" i="17"/>
  <c r="G154" i="17" s="1"/>
  <c r="C150" i="17"/>
  <c r="F155" i="17" l="1"/>
  <c r="G155" i="17" s="1"/>
  <c r="J153" i="17"/>
  <c r="K153" i="17" s="1"/>
  <c r="B151" i="17"/>
  <c r="C151" i="17" s="1"/>
  <c r="J154" i="17" l="1"/>
  <c r="K154" i="17" s="1"/>
  <c r="F156" i="17"/>
  <c r="G156" i="17" s="1"/>
  <c r="B152" i="17"/>
  <c r="C152" i="17" s="1"/>
  <c r="B153" i="17" l="1"/>
  <c r="C153" i="17" s="1"/>
  <c r="F157" i="17"/>
  <c r="G157" i="17" s="1"/>
  <c r="J155" i="17"/>
  <c r="K155" i="17" s="1"/>
  <c r="J156" i="17" l="1"/>
  <c r="K156" i="17" s="1"/>
  <c r="F158" i="17"/>
  <c r="G158" i="17" s="1"/>
  <c r="B154" i="17"/>
  <c r="C154" i="17" s="1"/>
  <c r="B155" i="17" l="1"/>
  <c r="C155" i="17" s="1"/>
  <c r="F159" i="17"/>
  <c r="G96" i="17" s="1"/>
  <c r="J157" i="17"/>
  <c r="K157" i="17" s="1"/>
  <c r="J158" i="17" l="1"/>
  <c r="K158" i="17" s="1"/>
  <c r="B156" i="17"/>
  <c r="C156" i="17" s="1"/>
  <c r="G102" i="17"/>
  <c r="G159" i="17"/>
  <c r="F160" i="17" l="1"/>
  <c r="B157" i="17"/>
  <c r="C157" i="17" s="1"/>
  <c r="J159" i="17"/>
  <c r="K96" i="17" s="1"/>
  <c r="B158" i="17" l="1"/>
  <c r="C158" i="17" s="1"/>
  <c r="K102" i="17"/>
  <c r="K159" i="17"/>
  <c r="G160" i="17"/>
  <c r="B159" i="17" l="1"/>
  <c r="C96" i="17" s="1"/>
  <c r="F161" i="17"/>
  <c r="G161" i="17" s="1"/>
  <c r="J160" i="17"/>
  <c r="K160" i="17" l="1"/>
  <c r="F162" i="17"/>
  <c r="G162" i="17" s="1"/>
  <c r="C102" i="17"/>
  <c r="C159" i="17"/>
  <c r="F163" i="17" l="1"/>
  <c r="B160" i="17"/>
  <c r="J161" i="17"/>
  <c r="K161" i="17" l="1"/>
  <c r="C160" i="17"/>
  <c r="G163" i="17"/>
  <c r="F164" i="17" l="1"/>
  <c r="G164" i="17" s="1"/>
  <c r="B161" i="17"/>
  <c r="J162" i="17"/>
  <c r="F165" i="17" l="1"/>
  <c r="G165" i="17" s="1"/>
  <c r="K162" i="17"/>
  <c r="C161" i="17"/>
  <c r="F166" i="17" l="1"/>
  <c r="G166" i="17" s="1"/>
  <c r="J163" i="17"/>
  <c r="K163" i="17" s="1"/>
  <c r="B162" i="17"/>
  <c r="J164" i="17" l="1"/>
  <c r="K164" i="17" s="1"/>
  <c r="F167" i="17"/>
  <c r="G167" i="17" s="1"/>
  <c r="C162" i="17"/>
  <c r="F168" i="17" l="1"/>
  <c r="G168" i="17" s="1"/>
  <c r="J165" i="17"/>
  <c r="K165" i="17" s="1"/>
  <c r="B163" i="17"/>
  <c r="C163" i="17" s="1"/>
  <c r="B164" i="17" l="1"/>
  <c r="C164" i="17" s="1"/>
  <c r="J166" i="17"/>
  <c r="K166" i="17" s="1"/>
  <c r="F169" i="17"/>
  <c r="G169" i="17" s="1"/>
  <c r="F170" i="17" l="1"/>
  <c r="G170" i="17" s="1"/>
  <c r="J167" i="17"/>
  <c r="K167" i="17" s="1"/>
  <c r="B165" i="17"/>
  <c r="C165" i="17" s="1"/>
  <c r="B166" i="17" l="1"/>
  <c r="C166" i="17" s="1"/>
  <c r="J168" i="17"/>
  <c r="K168" i="17" s="1"/>
  <c r="F171" i="17"/>
  <c r="G97" i="17" s="1"/>
  <c r="J169" i="17" l="1"/>
  <c r="K169" i="17" s="1"/>
  <c r="B167" i="17"/>
  <c r="C167" i="17" s="1"/>
  <c r="G103" i="17"/>
  <c r="G107" i="17" s="1"/>
  <c r="G106" i="17"/>
  <c r="G108" i="17" s="1"/>
  <c r="G171" i="17"/>
  <c r="J170" i="17" l="1"/>
  <c r="K170" i="17" s="1"/>
  <c r="B168" i="17"/>
  <c r="C168" i="17" s="1"/>
  <c r="B169" i="17" l="1"/>
  <c r="C169" i="17" s="1"/>
  <c r="J171" i="17"/>
  <c r="K97" i="17" s="1"/>
  <c r="B170" i="17" l="1"/>
  <c r="C170" i="17" s="1"/>
  <c r="K103" i="17"/>
  <c r="K107" i="17" s="1"/>
  <c r="K106" i="17"/>
  <c r="K171" i="17"/>
  <c r="K108" i="17" l="1"/>
  <c r="B171" i="17"/>
  <c r="C97" i="17" s="1"/>
  <c r="C103" i="17" l="1"/>
  <c r="C107" i="17" s="1"/>
  <c r="C106" i="17"/>
  <c r="C171" i="17"/>
  <c r="C108" i="1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<sst xmlns="http://schemas.openxmlformats.org/spreadsheetml/2006/main" count="1934" uniqueCount="756">
  <si>
    <t>CMHC MLE SELECT</t>
  </si>
  <si>
    <t xml:space="preserve">TYPE OF FINANCING </t>
  </si>
  <si>
    <t>NEW CONSTRUCTION</t>
  </si>
  <si>
    <t>SHELTER TYPE</t>
  </si>
  <si>
    <t>Standard Rental Housing</t>
  </si>
  <si>
    <t>AFFORDABILITY</t>
  </si>
  <si>
    <t>REGION</t>
  </si>
  <si>
    <t>Urban Center - Toronto</t>
  </si>
  <si>
    <t>LOCATION&amp;TYPE</t>
  </si>
  <si>
    <t>MEDIAN ANNUAL SALARY</t>
  </si>
  <si>
    <t xml:space="preserve">MAX ANNUAL RENT </t>
  </si>
  <si>
    <t xml:space="preserve">MAX MONTHLY RENT </t>
  </si>
  <si>
    <t># UNIT TOTAL</t>
  </si>
  <si>
    <t># UNIT AFFORDABLE</t>
  </si>
  <si>
    <t>UNIT AFFORDABLE %</t>
  </si>
  <si>
    <t>POINTS DISTRIBUTION</t>
  </si>
  <si>
    <t>LEVEL 1</t>
  </si>
  <si>
    <t>LEVEL 2</t>
  </si>
  <si>
    <t>LEVEL 3</t>
  </si>
  <si>
    <t>Points</t>
  </si>
  <si>
    <t>% of Units</t>
  </si>
  <si>
    <t>Commitment</t>
  </si>
  <si>
    <t>10 YEARS</t>
  </si>
  <si>
    <t>TOTAL POINTS - AFFORDABILTY</t>
  </si>
  <si>
    <t>ACCESSIBILITY</t>
  </si>
  <si>
    <t>% UNIT CSA B651-18
or
Universal Design</t>
  </si>
  <si>
    <t>% UNIT CSA B651-18
and
Universal Design</t>
  </si>
  <si>
    <t>N/A</t>
  </si>
  <si>
    <t>15% accessible
85% build. Universale Design</t>
  </si>
  <si>
    <t>Rick Hansen Certification</t>
  </si>
  <si>
    <t>Score 60%-79%</t>
  </si>
  <si>
    <t>80% or more</t>
  </si>
  <si>
    <t>Accesibility Level</t>
  </si>
  <si>
    <t>NONE</t>
  </si>
  <si>
    <t>TOTAL POINTS - ACCESSIBILITY</t>
  </si>
  <si>
    <t>ENERGY EFFICIENCY AND GREENHOUSE GASES REDUCTIONS</t>
  </si>
  <si>
    <t>ENERGY EFFICIENCY</t>
  </si>
  <si>
    <t>TOTAL POINTS - ENERGY EFFICIENCY</t>
  </si>
  <si>
    <t>TOTAL POINTS - MLI SELECT</t>
  </si>
  <si>
    <t>FLEXIBILITIES</t>
  </si>
  <si>
    <t>LTV</t>
  </si>
  <si>
    <t>DCR</t>
  </si>
  <si>
    <t>Amortization</t>
  </si>
  <si>
    <t>Min 50 points</t>
  </si>
  <si>
    <t>Up to 40 years</t>
  </si>
  <si>
    <t>Min 70 points</t>
  </si>
  <si>
    <t>Up to 45 years</t>
  </si>
  <si>
    <t>Min 100 points</t>
  </si>
  <si>
    <t>Up to 50 years</t>
  </si>
  <si>
    <t>Shelter Type</t>
  </si>
  <si>
    <t>Type of Financing</t>
  </si>
  <si>
    <t>MLI Select Point</t>
  </si>
  <si>
    <t>Actual LTV</t>
  </si>
  <si>
    <t>LTV Tier</t>
  </si>
  <si>
    <t>Base Premium</t>
  </si>
  <si>
    <t>Amortization Surcharge</t>
  </si>
  <si>
    <t>Non Resident Space</t>
  </si>
  <si>
    <t>NO</t>
  </si>
  <si>
    <t>Second Mortgage</t>
  </si>
  <si>
    <t>EGI not Met</t>
  </si>
  <si>
    <t>Discount</t>
  </si>
  <si>
    <t>Premium</t>
  </si>
  <si>
    <t>Expenses</t>
  </si>
  <si>
    <t>% of EGI</t>
  </si>
  <si>
    <t>PUPA</t>
  </si>
  <si>
    <t>Management Fee</t>
  </si>
  <si>
    <t>Maintenance</t>
  </si>
  <si>
    <t>Wages &amp; Salaries</t>
  </si>
  <si>
    <t>General &amp; Admin</t>
  </si>
  <si>
    <t>Replacement Reserve</t>
  </si>
  <si>
    <t>Replacement Reserve(Garden suite heat pump)</t>
  </si>
  <si>
    <t>Total Operating Expenses</t>
  </si>
  <si>
    <t>Unit Details (start with Unit #, Rental Rate or Unit Size)</t>
  </si>
  <si>
    <t>Unit Designations?</t>
  </si>
  <si>
    <t>What's included in the unit/rent?</t>
  </si>
  <si>
    <t>Unit Type</t>
  </si>
  <si>
    <t>Residential Stream Source</t>
  </si>
  <si>
    <t>Basement?</t>
  </si>
  <si>
    <t>Unit #</t>
  </si>
  <si>
    <t>Vacant?</t>
  </si>
  <si>
    <t>Rental Rate ($/mth)</t>
  </si>
  <si>
    <t>Monthly Rev. Accepted</t>
  </si>
  <si>
    <t>Annual Rev. Submitted</t>
  </si>
  <si>
    <t>Annual Rev. Accepted</t>
  </si>
  <si>
    <t>Unit Size (sq ft)</t>
  </si>
  <si>
    <t>Floor Area Accepted (SF)</t>
  </si>
  <si>
    <t>Market Unit</t>
  </si>
  <si>
    <t>Affordable Unit</t>
  </si>
  <si>
    <t>Subsidized Unit</t>
  </si>
  <si>
    <t>Care Services</t>
  </si>
  <si>
    <t>Affordable Care</t>
  </si>
  <si>
    <t>Non-Res. Stream Source</t>
  </si>
  <si>
    <t>Business Type</t>
  </si>
  <si>
    <t>Lease Type</t>
  </si>
  <si>
    <t>Bulk Lease Unit</t>
  </si>
  <si>
    <t>Den Included Unit</t>
  </si>
  <si>
    <t>Second Bathroom</t>
  </si>
  <si>
    <t>Heating</t>
  </si>
  <si>
    <t>Electricity</t>
  </si>
  <si>
    <t>Water</t>
  </si>
  <si>
    <t>Washer/Dryer</t>
  </si>
  <si>
    <t>Stove/Fridge</t>
  </si>
  <si>
    <t>Dishwasher</t>
  </si>
  <si>
    <t>Parking</t>
  </si>
  <si>
    <t>Furniture</t>
  </si>
  <si>
    <t>Other</t>
  </si>
  <si>
    <t>Total</t>
  </si>
  <si>
    <t>Total Annually</t>
  </si>
  <si>
    <t>Number</t>
  </si>
  <si>
    <t>Type</t>
  </si>
  <si>
    <t>Avergae SF</t>
  </si>
  <si>
    <t>Average $/SF</t>
  </si>
  <si>
    <t>Average Rent</t>
  </si>
  <si>
    <t>Semi-Private &amp; Ward Beds</t>
  </si>
  <si>
    <t>Private Beds</t>
  </si>
  <si>
    <t>Shelter Beds (NHCF)</t>
  </si>
  <si>
    <t>Bachelor</t>
  </si>
  <si>
    <t>1 Bedrooms</t>
  </si>
  <si>
    <t>2 Bedrooms</t>
  </si>
  <si>
    <t>3 Bedrooms</t>
  </si>
  <si>
    <t>4+ Bedrooms</t>
  </si>
  <si>
    <t>Yes</t>
  </si>
  <si>
    <t>No</t>
  </si>
  <si>
    <t>Suite  Type</t>
  </si>
  <si>
    <t># of Units</t>
  </si>
  <si>
    <t>Avg. Rent</t>
  </si>
  <si>
    <t>Area (SF)</t>
  </si>
  <si>
    <t>Rent/SF</t>
  </si>
  <si>
    <t>Monthly</t>
  </si>
  <si>
    <t>Annual</t>
  </si>
  <si>
    <t>Market Rental Units</t>
  </si>
  <si>
    <t xml:space="preserve"> </t>
  </si>
  <si>
    <t>Affordable Rental Units</t>
  </si>
  <si>
    <t>AVERAGE</t>
  </si>
  <si>
    <t>Add:</t>
  </si>
  <si>
    <t>Per Stalls</t>
  </si>
  <si>
    <t>#</t>
  </si>
  <si>
    <t>Garage Parking Stalls</t>
  </si>
  <si>
    <t>Surface Parking Stalls</t>
  </si>
  <si>
    <t>Storage Income</t>
  </si>
  <si>
    <t>Laundry Income</t>
  </si>
  <si>
    <t>Misc. Income</t>
  </si>
  <si>
    <t>Total Ancillary Income</t>
  </si>
  <si>
    <t>Gross Potential Revenue</t>
  </si>
  <si>
    <t xml:space="preserve">Less: Vacancy </t>
  </si>
  <si>
    <t>of Gross Potential Revenue</t>
  </si>
  <si>
    <t>Appraisal</t>
  </si>
  <si>
    <t>Effective Gross Revenue</t>
  </si>
  <si>
    <t>Operating Expenses</t>
  </si>
  <si>
    <t>Less:</t>
  </si>
  <si>
    <t>Basis</t>
  </si>
  <si>
    <t>Property Taxes</t>
  </si>
  <si>
    <t>Insurance</t>
  </si>
  <si>
    <t>Utilities</t>
  </si>
  <si>
    <t>CMHC Bench</t>
  </si>
  <si>
    <t>Net Operating Income</t>
  </si>
  <si>
    <t>Residential Mortgage</t>
  </si>
  <si>
    <t>Loan to Cost</t>
  </si>
  <si>
    <t>Loan to Value</t>
  </si>
  <si>
    <t>Loan Amount</t>
  </si>
  <si>
    <t>Test Rate</t>
  </si>
  <si>
    <t>DSC</t>
  </si>
  <si>
    <t>Payments</t>
  </si>
  <si>
    <t>First Mortgage</t>
  </si>
  <si>
    <t>Cash Flow After Debt Service</t>
  </si>
  <si>
    <t>Underwriting &amp; Analysis</t>
  </si>
  <si>
    <t>Loan Analysis</t>
  </si>
  <si>
    <t>Net Leasable Square Footage</t>
  </si>
  <si>
    <t>Construction Loan Amount</t>
  </si>
  <si>
    <t>Average Unit Size</t>
  </si>
  <si>
    <t>Estimated Value</t>
  </si>
  <si>
    <t>Number of Units</t>
  </si>
  <si>
    <t>Average Monthly Rent</t>
  </si>
  <si>
    <t>Loan per Net SF</t>
  </si>
  <si>
    <t>Operating Costs per Unit</t>
  </si>
  <si>
    <t>Loan per Suite</t>
  </si>
  <si>
    <t>Capitalization Rate</t>
  </si>
  <si>
    <t>CMHC Fees</t>
  </si>
  <si>
    <t>Estimated Residential Value</t>
  </si>
  <si>
    <t>Net Loan Amount</t>
  </si>
  <si>
    <t>Value per Residential Unit</t>
  </si>
  <si>
    <t>Residential Application Fee</t>
  </si>
  <si>
    <t>Total LTV Premium</t>
  </si>
  <si>
    <t>Total CMHC Fees</t>
  </si>
  <si>
    <t>Gross CMHC Loan</t>
  </si>
  <si>
    <t>Capital Stack</t>
  </si>
  <si>
    <t>Sources</t>
  </si>
  <si>
    <t>Amount</t>
  </si>
  <si>
    <t>%</t>
  </si>
  <si>
    <t>Uses</t>
  </si>
  <si>
    <t>Per Unit</t>
  </si>
  <si>
    <t>Borrower's Equity</t>
  </si>
  <si>
    <t>Total Source</t>
  </si>
  <si>
    <t>Total Uses</t>
  </si>
  <si>
    <t>Term</t>
  </si>
  <si>
    <t>Exiting Debt</t>
  </si>
  <si>
    <t>Application Fee</t>
  </si>
  <si>
    <t>Insurance Premium</t>
  </si>
  <si>
    <t>Equity Takeout</t>
  </si>
  <si>
    <t>Portfolio Statistics</t>
  </si>
  <si>
    <t># of Unit</t>
  </si>
  <si>
    <t>GFA</t>
  </si>
  <si>
    <t>Avg. GFA</t>
  </si>
  <si>
    <t>Total Rent</t>
  </si>
  <si>
    <t>Avg. Rent PSF</t>
  </si>
  <si>
    <t>Market rental Units</t>
  </si>
  <si>
    <t>1 Bedroom</t>
  </si>
  <si>
    <t>2 Bedrooms (Affordable)</t>
  </si>
  <si>
    <t>1 Bedroom (Affordable)</t>
  </si>
  <si>
    <t>Rent Roll (Excl. Utilities)</t>
  </si>
  <si>
    <t>Unit</t>
  </si>
  <si>
    <t>Bedrooms</t>
  </si>
  <si>
    <t>Unit Size</t>
  </si>
  <si>
    <t>Rent</t>
  </si>
  <si>
    <t>Rent PSF</t>
  </si>
  <si>
    <t>Note</t>
  </si>
  <si>
    <t>Construction Budget</t>
  </si>
  <si>
    <t>Line Item</t>
  </si>
  <si>
    <t>% of Total</t>
  </si>
  <si>
    <t>PSF</t>
  </si>
  <si>
    <t>Land Purchase Price</t>
  </si>
  <si>
    <t>Land Transfer Tax</t>
  </si>
  <si>
    <t>Land Closing Cost</t>
  </si>
  <si>
    <t>Land Carrying Cost</t>
  </si>
  <si>
    <t>Total LAND COSTS</t>
  </si>
  <si>
    <t>Grading Plan</t>
  </si>
  <si>
    <t>EPCOR</t>
  </si>
  <si>
    <t xml:space="preserve">Basement Digging </t>
  </si>
  <si>
    <t>Manhole</t>
  </si>
  <si>
    <t xml:space="preserve">Foundation </t>
  </si>
  <si>
    <t>Weeping Tile</t>
  </si>
  <si>
    <t>Backfill</t>
  </si>
  <si>
    <t xml:space="preserve">Framing </t>
  </si>
  <si>
    <t>Basement Pour</t>
  </si>
  <si>
    <t>Stairs</t>
  </si>
  <si>
    <t>Windows &amp; Doors</t>
  </si>
  <si>
    <t>Roofing</t>
  </si>
  <si>
    <t>Plumbing</t>
  </si>
  <si>
    <t>Faucets/Toilets/Showers</t>
  </si>
  <si>
    <t>Electric</t>
  </si>
  <si>
    <t>HVAC</t>
  </si>
  <si>
    <t>Siding</t>
  </si>
  <si>
    <t>Stucco</t>
  </si>
  <si>
    <t>Insulation</t>
  </si>
  <si>
    <t>Drywall</t>
  </si>
  <si>
    <t>Painting</t>
  </si>
  <si>
    <t>Cabinet</t>
  </si>
  <si>
    <t>Countertop</t>
  </si>
  <si>
    <t>Flooring</t>
  </si>
  <si>
    <t>Finishing</t>
  </si>
  <si>
    <t>Grading</t>
  </si>
  <si>
    <t>Landscaping</t>
  </si>
  <si>
    <t>Floating sidewalk/Concrete sidewalk</t>
  </si>
  <si>
    <t>Parking Pad</t>
  </si>
  <si>
    <t>Applicances</t>
  </si>
  <si>
    <t>Misc/Handy Man</t>
  </si>
  <si>
    <t>Cleaning/ General Labour/Disposal</t>
  </si>
  <si>
    <t>Security System/Intercom/Speaker System</t>
  </si>
  <si>
    <t>Contingency</t>
  </si>
  <si>
    <t>of hard costs</t>
  </si>
  <si>
    <t>TOTAL HARD COSTS</t>
  </si>
  <si>
    <t>Professional Fees</t>
  </si>
  <si>
    <t xml:space="preserve">     Engineer</t>
  </si>
  <si>
    <t xml:space="preserve">     Architect</t>
  </si>
  <si>
    <t xml:space="preserve">     Environmental Assessment</t>
  </si>
  <si>
    <t xml:space="preserve">     Lawyer</t>
  </si>
  <si>
    <t xml:space="preserve">     Soil Reports</t>
  </si>
  <si>
    <t xml:space="preserve">     Appraiser</t>
  </si>
  <si>
    <t xml:space="preserve">     Project Monitor - QS</t>
  </si>
  <si>
    <t>Permit application</t>
  </si>
  <si>
    <t>New home Warranty</t>
  </si>
  <si>
    <t>Development Management Fee</t>
  </si>
  <si>
    <t>TOTAL SOFT COSTS</t>
  </si>
  <si>
    <t>Total Contingency</t>
  </si>
  <si>
    <t>of hard and soft costs</t>
  </si>
  <si>
    <t>Interest Reserve</t>
  </si>
  <si>
    <t>Financing Fees</t>
  </si>
  <si>
    <t>GST</t>
  </si>
  <si>
    <t>TOTAL COSTS</t>
  </si>
  <si>
    <t>PROJECT DETAILS</t>
  </si>
  <si>
    <t>BUDGET SUMMARY:</t>
  </si>
  <si>
    <t>Land</t>
  </si>
  <si>
    <t>Hard Costs</t>
  </si>
  <si>
    <t>Soft Costs</t>
  </si>
  <si>
    <t>Total Sq Ft.</t>
  </si>
  <si>
    <t>LOAN DETAILS</t>
  </si>
  <si>
    <t>LOAN DETAILS:</t>
  </si>
  <si>
    <t>Total Loan Amount</t>
  </si>
  <si>
    <t>Loan PSF (NSA)</t>
  </si>
  <si>
    <t>PRIME</t>
  </si>
  <si>
    <t>SPREAD</t>
  </si>
  <si>
    <t>Loan Per Unit</t>
  </si>
  <si>
    <t>Interest Rate (estimated)</t>
  </si>
  <si>
    <t>Term (years)</t>
  </si>
  <si>
    <t>Utilization</t>
  </si>
  <si>
    <t>Estimated Interest Reserve (rounded)</t>
  </si>
  <si>
    <t>PERSONAL NETWORTH</t>
  </si>
  <si>
    <t>General Information</t>
  </si>
  <si>
    <t xml:space="preserve">Full Name with Initial </t>
  </si>
  <si>
    <t>Home Address</t>
  </si>
  <si>
    <t>Date of Birth</t>
  </si>
  <si>
    <t>SIN</t>
  </si>
  <si>
    <t>Phone Number</t>
  </si>
  <si>
    <t>Marital Status</t>
  </si>
  <si>
    <t>Employer</t>
  </si>
  <si>
    <t>Address</t>
  </si>
  <si>
    <t>Position</t>
  </si>
  <si>
    <t>Annual Income</t>
  </si>
  <si>
    <t>Years Employed</t>
  </si>
  <si>
    <t>Spouse Name with Initial</t>
  </si>
  <si>
    <t>Spouse Date of Birth</t>
  </si>
  <si>
    <t>Spouse SIN</t>
  </si>
  <si>
    <t>Spouse Phone Number</t>
  </si>
  <si>
    <t>Number of Dependants</t>
  </si>
  <si>
    <t>Spouse Employer</t>
  </si>
  <si>
    <t>Principal Financial Institution</t>
  </si>
  <si>
    <t>Account Manager</t>
  </si>
  <si>
    <t>x</t>
  </si>
  <si>
    <t>Principal Solicitor</t>
  </si>
  <si>
    <t>Solicitor</t>
  </si>
  <si>
    <t>Have you ever had an asset repossessed?</t>
  </si>
  <si>
    <t>(If YES, please provide additional detailed explanation in a separate page)</t>
  </si>
  <si>
    <t>Are you involved in any claims or lawsuits?</t>
  </si>
  <si>
    <t>(If YES, please provide additional detailed explanationin a separate page)</t>
  </si>
  <si>
    <t>Have you ever declared bankruptcy?</t>
  </si>
  <si>
    <t>Do you owe any back taxes?</t>
  </si>
  <si>
    <t>Section A: Cash / Bank Accounts</t>
  </si>
  <si>
    <t>Section B: Marketable Securities and Other Assets</t>
  </si>
  <si>
    <t>Institution</t>
  </si>
  <si>
    <t>Name on Account</t>
  </si>
  <si>
    <t>Insitution</t>
  </si>
  <si>
    <t>Market Value</t>
  </si>
  <si>
    <r>
      <rPr>
        <b/>
        <sz val="14"/>
        <rFont val="Calibri"/>
        <family val="2"/>
        <scheme val="minor"/>
      </rPr>
      <t>Total</t>
    </r>
    <r>
      <rPr>
        <b/>
        <sz val="14"/>
        <color theme="1" tint="0.34998626667073579"/>
        <rFont val="Calibri"/>
        <family val="2"/>
        <scheme val="minor"/>
      </rPr>
      <t xml:space="preserve"> (Automatically Calculated)</t>
    </r>
  </si>
  <si>
    <t>Section C: Account and Loan Receivables</t>
  </si>
  <si>
    <t>Section D: Automobiles</t>
  </si>
  <si>
    <t>Name of Debtor</t>
  </si>
  <si>
    <t>Payment Amount</t>
  </si>
  <si>
    <t>Maturity</t>
  </si>
  <si>
    <t>Total Amount</t>
  </si>
  <si>
    <t>Make</t>
  </si>
  <si>
    <t>Model</t>
  </si>
  <si>
    <t>Year</t>
  </si>
  <si>
    <t>Loan Outstanding</t>
  </si>
  <si>
    <r>
      <rPr>
        <b/>
        <sz val="14"/>
        <rFont val="Calibri"/>
        <family val="2"/>
        <scheme val="minor"/>
      </rPr>
      <t xml:space="preserve">Total </t>
    </r>
    <r>
      <rPr>
        <b/>
        <sz val="14"/>
        <color theme="1" tint="0.34998626667073579"/>
        <rFont val="Calibri"/>
        <family val="2"/>
        <scheme val="minor"/>
      </rPr>
      <t>(Automatically Calculated)</t>
    </r>
  </si>
  <si>
    <t>Total (Automatically Calculated)</t>
  </si>
  <si>
    <t>Section E: Business Holdings</t>
  </si>
  <si>
    <t>Section F: Other Credit or Liabilities (Excluding mortgages)</t>
  </si>
  <si>
    <t>Name</t>
  </si>
  <si>
    <t>Value</t>
  </si>
  <si>
    <t>% Owned</t>
  </si>
  <si>
    <t>Name of Lender</t>
  </si>
  <si>
    <t>Section G: Real Estate Holdings</t>
  </si>
  <si>
    <t>Property Name and Address</t>
  </si>
  <si>
    <t>Lender</t>
  </si>
  <si>
    <t>Registered Owner</t>
  </si>
  <si>
    <t>Cost</t>
  </si>
  <si>
    <t>Mortgage / 
Liability</t>
  </si>
  <si>
    <r>
      <rPr>
        <b/>
        <sz val="14"/>
        <rFont val="Calibri"/>
        <family val="2"/>
        <scheme val="minor"/>
      </rPr>
      <t xml:space="preserve">Total Equity </t>
    </r>
    <r>
      <rPr>
        <b/>
        <sz val="10"/>
        <rFont val="Calibri"/>
        <family val="2"/>
        <scheme val="minor"/>
      </rPr>
      <t>(Automatically Calculated)</t>
    </r>
  </si>
  <si>
    <r>
      <rPr>
        <b/>
        <sz val="14"/>
        <rFont val="Calibri"/>
        <family val="2"/>
        <scheme val="minor"/>
      </rPr>
      <t xml:space="preserve">Ownership Equity </t>
    </r>
    <r>
      <rPr>
        <b/>
        <sz val="10"/>
        <rFont val="Calibri"/>
        <family val="2"/>
        <scheme val="minor"/>
      </rPr>
      <t>(Automatically Calculated)</t>
    </r>
  </si>
  <si>
    <t>Total Assets (% Owned)</t>
  </si>
  <si>
    <t>Total Liabilities (% Owned)</t>
  </si>
  <si>
    <r>
      <rPr>
        <b/>
        <sz val="14"/>
        <rFont val="Calibri"/>
        <family val="2"/>
        <scheme val="minor"/>
      </rPr>
      <t xml:space="preserve">Total </t>
    </r>
    <r>
      <rPr>
        <b/>
        <sz val="14"/>
        <color theme="1" tint="0.34998626667073579"/>
        <rFont val="Calibri"/>
        <family val="2"/>
        <scheme val="minor"/>
      </rPr>
      <t>(% of Owned Portion, Automatically Calculated)</t>
    </r>
  </si>
  <si>
    <t>Section H: Life Insurance</t>
  </si>
  <si>
    <t>Policy Owner</t>
  </si>
  <si>
    <t>Policy Number</t>
  </si>
  <si>
    <t>Beneficiary</t>
  </si>
  <si>
    <t>Face Value</t>
  </si>
  <si>
    <t>Cash Value</t>
  </si>
  <si>
    <t>Financial Profile (All Numbers in This Section Is Automatically Calculated)</t>
  </si>
  <si>
    <t>Assets</t>
  </si>
  <si>
    <t>Liabilities</t>
  </si>
  <si>
    <t>Section D: Automobile Loans</t>
  </si>
  <si>
    <t>Section B: Marketable Securities</t>
  </si>
  <si>
    <t>Section F: Other Credit or Liabilities</t>
  </si>
  <si>
    <t>Section C: Receivables</t>
  </si>
  <si>
    <t>Section G: Real Estate Liabilities</t>
  </si>
  <si>
    <t>Section G: Real Estate Assets</t>
  </si>
  <si>
    <t xml:space="preserve">Total Assets </t>
  </si>
  <si>
    <t>Total Liabilities</t>
  </si>
  <si>
    <t>Total Personal Net Worth</t>
  </si>
  <si>
    <t>Declaration</t>
  </si>
  <si>
    <t>The undersigned hereby declares that all the information provided herein and on the accompanying statements is to the best of my knowledge true, complete and correct and understand it will be used by  TMG The Mortgage Group Inc. and other Lenders to determine credit worthiness.  The undersigned further consent(s) to  TMG The Mortgage Group Inc. and other Lenders making any enquiries it deems necessary to reach a decision on this application, and consent(s) to the disclosure at any time of any credit information about me/us to any credit reporting agency or to any one with whom I/we have financial relations.</t>
  </si>
  <si>
    <t>Per:</t>
  </si>
  <si>
    <t>Date:</t>
  </si>
  <si>
    <t>Identification Verification</t>
  </si>
  <si>
    <t>Click here to attach a photocopy, scan, or picture of a piece of Government or Province of Canada issued photo identification.  Identification could include, but is not limited to, driver's licences, passports, certificate of indian status cards, permanent resident cards, and firearms licences.</t>
  </si>
  <si>
    <t xml:space="preserve">Click here to attached a photocopy, scan, or picture of a secondary piece of identification.  Indentification could include, but it not limited to birth certificates, provincial or territorial health cards, bank or debit cards, or credit cards. </t>
  </si>
  <si>
    <t>BMO</t>
  </si>
  <si>
    <t>Li Yang LY</t>
  </si>
  <si>
    <t>2128 36th Ave, Vancouver, BC, V6M1L2</t>
  </si>
  <si>
    <t>761-290-584</t>
  </si>
  <si>
    <t>Married</t>
  </si>
  <si>
    <t>self employed</t>
  </si>
  <si>
    <t>Business owner</t>
  </si>
  <si>
    <t>Dongxiang Qi DQ</t>
  </si>
  <si>
    <t>BMO #8925</t>
  </si>
  <si>
    <t>Stocks</t>
  </si>
  <si>
    <t>Property Highlight</t>
  </si>
  <si>
    <t>Financial Highlight</t>
  </si>
  <si>
    <t>NOI</t>
  </si>
  <si>
    <t>Number of Storeys</t>
  </si>
  <si>
    <t>3 Storeys</t>
  </si>
  <si>
    <t>Project Cost</t>
  </si>
  <si>
    <t>Cost per Unit</t>
  </si>
  <si>
    <t>Number of Parking</t>
  </si>
  <si>
    <t>CMHC Value</t>
  </si>
  <si>
    <t>Construction</t>
  </si>
  <si>
    <t>Wood Frame</t>
  </si>
  <si>
    <t>Value/Unit</t>
  </si>
  <si>
    <t>Net Rentable Area(SF)</t>
  </si>
  <si>
    <t>Average Unit Size(SF)</t>
  </si>
  <si>
    <t>Loan/Unit</t>
  </si>
  <si>
    <t>LTC</t>
  </si>
  <si>
    <t>DSCR</t>
  </si>
  <si>
    <t>Type of Loan</t>
  </si>
  <si>
    <t>Loan Details</t>
  </si>
  <si>
    <t>CMHC MLI Select – Construction Financing</t>
  </si>
  <si>
    <t>Borrower</t>
  </si>
  <si>
    <t>Guarantors</t>
  </si>
  <si>
    <t xml:space="preserve">100% Full Joint and Several 
</t>
  </si>
  <si>
    <t xml:space="preserve">personal guarantees as outlined below: </t>
  </si>
  <si>
    <t>Payment</t>
  </si>
  <si>
    <t>We are requesting the guarantee to reduce to 40% limited recourse once the property has reached twelve months of stabilization.</t>
  </si>
  <si>
    <t>Subject Mortgage (Net)</t>
  </si>
  <si>
    <t>Borrower’s Equity</t>
  </si>
  <si>
    <t xml:space="preserve">Total </t>
  </si>
  <si>
    <t>Loan Summary Commentary</t>
  </si>
  <si>
    <t>New CMHC-insured MLI Selec loan application that will be used for the construction of the subject building.</t>
  </si>
  <si>
    <t xml:space="preserve">Under the MLI Select Program, the project qualifies for a total of 100 points as follows: </t>
  </si>
  <si>
    <t>1. the Subject development will operate at 42% better than the NECB – 50 points</t>
  </si>
  <si>
    <t>SPONSORSHIP</t>
  </si>
  <si>
    <t>Corporate Borrower(s)</t>
  </si>
  <si>
    <t>Financials Date</t>
  </si>
  <si>
    <t>Equity</t>
  </si>
  <si>
    <t>Corporate Guarantor(s)</t>
  </si>
  <si>
    <t>Individual Guarantor(s)</t>
  </si>
  <si>
    <t>Recourse Type</t>
  </si>
  <si>
    <t>Joint and Several</t>
  </si>
  <si>
    <t>For</t>
  </si>
  <si>
    <t>Net Worth</t>
  </si>
  <si>
    <t>Beacon</t>
  </si>
  <si>
    <t>Experience</t>
  </si>
  <si>
    <t>Recourse %</t>
  </si>
  <si>
    <t>10 years</t>
  </si>
  <si>
    <t>Corporate Guarantor 1</t>
  </si>
  <si>
    <t>Credit Score</t>
  </si>
  <si>
    <t>PNW Date</t>
  </si>
  <si>
    <t>Cash / Bank Accounts</t>
  </si>
  <si>
    <t>Automobile Loans</t>
  </si>
  <si>
    <t>Marketable Securities</t>
  </si>
  <si>
    <t>Other Credit or Liabilities</t>
  </si>
  <si>
    <t>Receivables</t>
  </si>
  <si>
    <t>Real Estate Liabilities</t>
  </si>
  <si>
    <t>Automobiles</t>
  </si>
  <si>
    <t>Business Holdings</t>
  </si>
  <si>
    <t>Real Estate Assets</t>
  </si>
  <si>
    <t>Life Insurance</t>
  </si>
  <si>
    <t>Personal Guarantor 1</t>
  </si>
  <si>
    <t>Personal Guarantor 2</t>
  </si>
  <si>
    <r>
      <rPr>
        <sz val="10"/>
        <rFont val="Arial"/>
        <family val="2"/>
      </rPr>
      <t>Total</t>
    </r>
    <r>
      <rPr>
        <sz val="10"/>
        <rFont val="Arial"/>
        <family val="2"/>
      </rPr>
      <t xml:space="preserve"> Networth</t>
    </r>
  </si>
  <si>
    <r>
      <rPr>
        <sz val="10"/>
        <rFont val="Arial"/>
        <family val="2"/>
      </rPr>
      <t>Real</t>
    </r>
    <r>
      <rPr>
        <sz val="10"/>
        <rFont val="Arial"/>
        <family val="2"/>
      </rPr>
      <t xml:space="preserve"> estate equity</t>
    </r>
  </si>
  <si>
    <r>
      <rPr>
        <sz val="10"/>
        <rFont val="Arial"/>
        <family val="2"/>
      </rPr>
      <t>Liquid</t>
    </r>
    <r>
      <rPr>
        <sz val="10"/>
        <rFont val="Arial"/>
        <family val="2"/>
      </rPr>
      <t xml:space="preserve"> asset</t>
    </r>
  </si>
  <si>
    <t>Parking Income</t>
  </si>
  <si>
    <t>Laudry Incoem</t>
  </si>
  <si>
    <t>CMHC Vacancy Rate</t>
  </si>
  <si>
    <t>SALES COMPARABLES</t>
  </si>
  <si>
    <t>Vacancy Rate</t>
  </si>
  <si>
    <t xml:space="preserve"># Unit </t>
  </si>
  <si>
    <t>%Mix</t>
  </si>
  <si>
    <t>CMHC Market</t>
  </si>
  <si>
    <t>Subject</t>
  </si>
  <si>
    <t>Variance</t>
  </si>
  <si>
    <t>Index</t>
  </si>
  <si>
    <t>Sale Date</t>
  </si>
  <si>
    <t>Units</t>
  </si>
  <si>
    <t>Price Per Unit</t>
  </si>
  <si>
    <t>Cap Rate</t>
  </si>
  <si>
    <t>3-Bedroom +</t>
  </si>
  <si>
    <t>1-Bedroom</t>
  </si>
  <si>
    <t>332 High Park Ave, Toronto</t>
  </si>
  <si>
    <t>Sep 2023</t>
  </si>
  <si>
    <t>353 Oakwood Ave, Toronto</t>
  </si>
  <si>
    <t>CMHC Average Rate</t>
  </si>
  <si>
    <t>2000-2012 Sheppard Ave W, North York</t>
  </si>
  <si>
    <t>Apr 2024</t>
  </si>
  <si>
    <t>Average Rents</t>
  </si>
  <si>
    <t>#Units</t>
  </si>
  <si>
    <t>9 Highbourne Road, Toronto</t>
  </si>
  <si>
    <t>May 2024</t>
  </si>
  <si>
    <t>3-Storey Suite (3 BD)</t>
  </si>
  <si>
    <t>134 Carlton Street, Toronto</t>
  </si>
  <si>
    <t>Jun 2024</t>
  </si>
  <si>
    <t xml:space="preserve">Basement (1 BD) </t>
  </si>
  <si>
    <t>1640 Lawrence Ave W, North York</t>
  </si>
  <si>
    <t>210 Cosburn Avenue, East York</t>
  </si>
  <si>
    <t>142 Vaughan Road, York</t>
  </si>
  <si>
    <t>Oct 2024</t>
  </si>
  <si>
    <t>19 Hatfield Crescent Etobicoke</t>
  </si>
  <si>
    <t>Dec 2024</t>
  </si>
  <si>
    <t>Average</t>
  </si>
  <si>
    <t>Rental Comparable</t>
  </si>
  <si>
    <t xml:space="preserve">Min </t>
  </si>
  <si>
    <t>Suit Type</t>
  </si>
  <si>
    <t>Rental Rate Pu/Pm</t>
  </si>
  <si>
    <t xml:space="preserve">Max </t>
  </si>
  <si>
    <t>119 Belgravia</t>
  </si>
  <si>
    <t>3-Storey Suits(3 BD)</t>
  </si>
  <si>
    <t>Basement Suits(1 BD)</t>
  </si>
  <si>
    <t>182 Cameron Avenue Unit 1 (1st floor)</t>
  </si>
  <si>
    <t>3 bdrm; 1 bathroom
new unit; 1,259 sqft</t>
  </si>
  <si>
    <t>71 Livingstone Avenue Main Floor</t>
  </si>
  <si>
    <t>3 bdrm+den; 2 bathroom new unit</t>
  </si>
  <si>
    <t>71 Livingstone Avenue Upper Unit (2nd floor)</t>
  </si>
  <si>
    <t>3 bdrm; 2 bathroom new unit</t>
  </si>
  <si>
    <t>15 Ennerdale Road
Unit 101</t>
  </si>
  <si>
    <t>48 Lanark Avenue
2 level Laneway Suite</t>
  </si>
  <si>
    <t>3 bdrm; 2 bathroom new unit, 1,055 sqft</t>
  </si>
  <si>
    <t>53 Eversfield Road
2 level Laneway Suite</t>
  </si>
  <si>
    <t>3 bdrm; 3 bathroom new unit, 1,055 sqft</t>
  </si>
  <si>
    <t>16 Little Boulevard 2 level Garden Suite</t>
  </si>
  <si>
    <t>Confidential, York
2 level Garden Suite</t>
  </si>
  <si>
    <t>1 bdrm + den; 1 bath
new unit, 620 sqft</t>
  </si>
  <si>
    <t>504 Beresford Avenue 2 level Garden Suite</t>
  </si>
  <si>
    <t>1 bdrm; 1 bathroom
new unit, 500-600 sqft</t>
  </si>
  <si>
    <t>3BD Suits</t>
  </si>
  <si>
    <t>Basement Suites</t>
  </si>
  <si>
    <t>Canada</t>
  </si>
  <si>
    <t>Taxes</t>
  </si>
  <si>
    <t xml:space="preserve">Utilities </t>
  </si>
  <si>
    <t>Maintenance and Repair</t>
  </si>
  <si>
    <t>Management</t>
  </si>
  <si>
    <t>Salaries</t>
  </si>
  <si>
    <t>Reserve - Appliance</t>
  </si>
  <si>
    <t>Reserve - Heat pump</t>
  </si>
  <si>
    <t>Reserve - Elevator</t>
  </si>
  <si>
    <t>Others Cost</t>
  </si>
  <si>
    <t>Alberta</t>
  </si>
  <si>
    <t>Atlantic</t>
  </si>
  <si>
    <t>Wood Frame 11 units and less</t>
  </si>
  <si>
    <t>Actual</t>
  </si>
  <si>
    <t>Colombie-Britannique</t>
  </si>
  <si>
    <t>PURCHASE - REFINANCE</t>
  </si>
  <si>
    <t>Wood Frame 12 units and more</t>
  </si>
  <si>
    <t>Ile-du-Prince-Édouard</t>
  </si>
  <si>
    <t>Concrete</t>
  </si>
  <si>
    <t>Manitoba</t>
  </si>
  <si>
    <t>Quebec</t>
  </si>
  <si>
    <t>Nouveau-Brunswick</t>
  </si>
  <si>
    <t>Nouvelle-Écosse</t>
  </si>
  <si>
    <t>20 YEARS</t>
  </si>
  <si>
    <t>Nunavut</t>
  </si>
  <si>
    <t>Ontario</t>
  </si>
  <si>
    <t>Québec</t>
  </si>
  <si>
    <t>Saskatchewan</t>
  </si>
  <si>
    <t>Prairies</t>
  </si>
  <si>
    <t>Terre-Neuve-et-Labrador</t>
  </si>
  <si>
    <t>Territoires du Nord-Ouest</t>
  </si>
  <si>
    <t>Yukon</t>
  </si>
  <si>
    <t>British Columbia</t>
  </si>
  <si>
    <t>2 Bedroom</t>
  </si>
  <si>
    <t>3 Bedroom</t>
  </si>
  <si>
    <t>4 Bedroom +</t>
  </si>
  <si>
    <t>LOAN AMOUNT FROM</t>
  </si>
  <si>
    <t>LOAN AMOUNT TO</t>
  </si>
  <si>
    <t>5 YR SPREAD* - PTC</t>
  </si>
  <si>
    <t>BROKER SPREAD**</t>
  </si>
  <si>
    <t>10 YR SPREAD* - PTC</t>
  </si>
  <si>
    <t>ONLY UPDATED THIS TABLE THAT NEED TO BE UPDATED</t>
  </si>
  <si>
    <t>Owner</t>
  </si>
  <si>
    <t>Abbotsford</t>
  </si>
  <si>
    <t>Tenant</t>
  </si>
  <si>
    <t>Barrie</t>
  </si>
  <si>
    <t>NA</t>
  </si>
  <si>
    <t>Brampton</t>
  </si>
  <si>
    <t>Brantford</t>
  </si>
  <si>
    <t>Burnaby</t>
  </si>
  <si>
    <t>Appliances</t>
  </si>
  <si>
    <t>Calgary</t>
  </si>
  <si>
    <t>Fridge</t>
  </si>
  <si>
    <t>Cape Breton</t>
  </si>
  <si>
    <t>Stove</t>
  </si>
  <si>
    <t>Charlottetown</t>
  </si>
  <si>
    <t>Washer</t>
  </si>
  <si>
    <t>Chilliwack</t>
  </si>
  <si>
    <t>Dryer</t>
  </si>
  <si>
    <t>Cornwall</t>
  </si>
  <si>
    <t>Edmonton</t>
  </si>
  <si>
    <t>Microwave</t>
  </si>
  <si>
    <t>Fredericton</t>
  </si>
  <si>
    <t>Greater Sudbury</t>
  </si>
  <si>
    <t>Guelph</t>
  </si>
  <si>
    <t>Halifax</t>
  </si>
  <si>
    <t>Bed</t>
  </si>
  <si>
    <t>Hamilton</t>
  </si>
  <si>
    <t>Couch</t>
  </si>
  <si>
    <t>Kamloops</t>
  </si>
  <si>
    <t>Desk</t>
  </si>
  <si>
    <t>Kelowna</t>
  </si>
  <si>
    <t>Table</t>
  </si>
  <si>
    <t>Kingston</t>
  </si>
  <si>
    <t>Chairs</t>
  </si>
  <si>
    <t>For open pool the PTC spread is 10bps higher du to cost structure</t>
  </si>
  <si>
    <t>Kitchener</t>
  </si>
  <si>
    <t>Side Tables</t>
  </si>
  <si>
    <t>Minimum loan amount is current 2M$ for PTC</t>
  </si>
  <si>
    <t>Laval</t>
  </si>
  <si>
    <t>TV</t>
  </si>
  <si>
    <t>Hedge cost are not included in the PTC spread</t>
  </si>
  <si>
    <t>Lethbridge</t>
  </si>
  <si>
    <t>Matress</t>
  </si>
  <si>
    <t>London</t>
  </si>
  <si>
    <t xml:space="preserve">Mississauga </t>
  </si>
  <si>
    <t>Moncton</t>
  </si>
  <si>
    <t>Product</t>
  </si>
  <si>
    <t>Construction Financing</t>
  </si>
  <si>
    <t>All other loan purpose</t>
  </si>
  <si>
    <t>Montréal</t>
  </si>
  <si>
    <t>Market rental and MLI Select</t>
  </si>
  <si>
    <t>Nanaimo</t>
  </si>
  <si>
    <t>Oshawa</t>
  </si>
  <si>
    <t>Ottawa - Gatineau (Ontario)</t>
  </si>
  <si>
    <t>Ottawa - Gatineau (Québec)</t>
  </si>
  <si>
    <t>Prince George</t>
  </si>
  <si>
    <t>MLI Select</t>
  </si>
  <si>
    <t>Red Deer</t>
  </si>
  <si>
    <t>&gt;90%</t>
  </si>
  <si>
    <t>Regina</t>
  </si>
  <si>
    <t>RMR Québec</t>
  </si>
  <si>
    <t>All other Shelter Models</t>
  </si>
  <si>
    <t>Rouyn-Noranda</t>
  </si>
  <si>
    <t>Single Room Occupancy</t>
  </si>
  <si>
    <t>Saguenay</t>
  </si>
  <si>
    <t>Student Housing</t>
  </si>
  <si>
    <t>Saint John</t>
  </si>
  <si>
    <t>Retirement Homes</t>
  </si>
  <si>
    <t>Saint-Georges</t>
  </si>
  <si>
    <t>Suppotive Housing</t>
  </si>
  <si>
    <t>Saint-Hyacinthe</t>
  </si>
  <si>
    <t>Saint-Jean-Iberville</t>
  </si>
  <si>
    <t>Sarnia</t>
  </si>
  <si>
    <t>Saskatoon</t>
  </si>
  <si>
    <t>Sault Ste. Marie</t>
  </si>
  <si>
    <t>Sherbrooke</t>
  </si>
  <si>
    <t>Surcharge</t>
  </si>
  <si>
    <t>St John's</t>
  </si>
  <si>
    <t>Extended Amortization</t>
  </si>
  <si>
    <t xml:space="preserve">A 0.25% surcharge applies on the net loan amount for every five years, beyond 
the 25-year standard amortization period.  </t>
  </si>
  <si>
    <t>St. Catharines-Niagara</t>
  </si>
  <si>
    <t xml:space="preserve">A 1.00% surcharge applies on the portion of the loan applicable to the non
residential space. </t>
  </si>
  <si>
    <t>Summerside</t>
  </si>
  <si>
    <t>Second mortgage</t>
  </si>
  <si>
    <t xml:space="preserve">A 0.50% surcharge applies to the outstanding balance of the first mortgage 
loan only.  </t>
  </si>
  <si>
    <t>Surrey</t>
  </si>
  <si>
    <t>EGI Not Met</t>
  </si>
  <si>
    <t xml:space="preserve">A 0.25% surcharge applies on the net loan amount where effective gross 
income is not met at the time of the first advance. This surcharge does not 
apply to construction financing.  </t>
  </si>
  <si>
    <t>Thompson</t>
  </si>
  <si>
    <t>Thunder Bay</t>
  </si>
  <si>
    <t>Toronto</t>
  </si>
  <si>
    <t>Trois-Rivières</t>
  </si>
  <si>
    <t>Val-d’Or</t>
  </si>
  <si>
    <t>Vancouver</t>
  </si>
  <si>
    <t>Victoria</t>
  </si>
  <si>
    <t>Windsor</t>
  </si>
  <si>
    <t>Winnipeg</t>
  </si>
  <si>
    <t>Wood Buffalo</t>
  </si>
  <si>
    <t>MORTAGE CALCULATION - Proforma (CMHC)</t>
  </si>
  <si>
    <t>MORTAGE CALCULATION - Proforma (CMHC MLI SELECT)</t>
  </si>
  <si>
    <t>MORTAGE CALCULATION - Proforma (CONVENTIONAL)</t>
  </si>
  <si>
    <t>INPUTS</t>
  </si>
  <si>
    <t>Monthly Interest Payment</t>
  </si>
  <si>
    <t xml:space="preserve">Monthly Mortgage Payment </t>
  </si>
  <si>
    <t>OUTPUT</t>
  </si>
  <si>
    <t>Sum Interest Payment 1 Years</t>
  </si>
  <si>
    <t>Sum Interest Payment 2 Years</t>
  </si>
  <si>
    <t>Sum Interest Payment 3 Years</t>
  </si>
  <si>
    <t>Sum Interest Payment 4 Years</t>
  </si>
  <si>
    <t>Capital 1 years</t>
  </si>
  <si>
    <t>Capital 2 years</t>
  </si>
  <si>
    <t>Capital 3 years</t>
  </si>
  <si>
    <t>Capital 4 years</t>
  </si>
  <si>
    <t>Capital 5 years</t>
  </si>
  <si>
    <t>Validation</t>
  </si>
  <si>
    <t>Mortage Payment 5 years</t>
  </si>
  <si>
    <t>Sum Interest 5 years</t>
  </si>
  <si>
    <t>Sum Capital  5 years</t>
  </si>
  <si>
    <t>Calcul Diff - Need to be 0</t>
  </si>
  <si>
    <t>Interest</t>
  </si>
  <si>
    <t>Balance</t>
  </si>
  <si>
    <t>SPIM1</t>
  </si>
  <si>
    <t>SPIM2</t>
  </si>
  <si>
    <t>SPIM3</t>
  </si>
  <si>
    <t>SPIM4</t>
  </si>
  <si>
    <t>SPIM5</t>
  </si>
  <si>
    <t>SPIM6</t>
  </si>
  <si>
    <t>SPIM7</t>
  </si>
  <si>
    <t>SPIM8</t>
  </si>
  <si>
    <t>SPIM9</t>
  </si>
  <si>
    <t>SPIM10</t>
  </si>
  <si>
    <t>SPIM11</t>
  </si>
  <si>
    <t>SPIM12</t>
  </si>
  <si>
    <t>SPIM13</t>
  </si>
  <si>
    <t>SPIM14</t>
  </si>
  <si>
    <t>SPIM15</t>
  </si>
  <si>
    <t>SPIM16</t>
  </si>
  <si>
    <t>SPIM17</t>
  </si>
  <si>
    <t>SPIM18</t>
  </si>
  <si>
    <t>SPIM19</t>
  </si>
  <si>
    <t>SPIM20</t>
  </si>
  <si>
    <t>SPIM21</t>
  </si>
  <si>
    <t>SPIM22</t>
  </si>
  <si>
    <t>SPIM23</t>
  </si>
  <si>
    <t>SPIM24</t>
  </si>
  <si>
    <t>SPIM25</t>
  </si>
  <si>
    <t>SPIM26</t>
  </si>
  <si>
    <t>SPIM27</t>
  </si>
  <si>
    <t>SPIM28</t>
  </si>
  <si>
    <t>SPIM29</t>
  </si>
  <si>
    <t>SPIM30</t>
  </si>
  <si>
    <t>SPIM31</t>
  </si>
  <si>
    <t>SPIM32</t>
  </si>
  <si>
    <t>SPIM33</t>
  </si>
  <si>
    <t>SPIM34</t>
  </si>
  <si>
    <t>SPIM35</t>
  </si>
  <si>
    <t>SPIM36</t>
  </si>
  <si>
    <t>SPIM37</t>
  </si>
  <si>
    <t>SPIM38</t>
  </si>
  <si>
    <t>SPIM39</t>
  </si>
  <si>
    <t>SPIM40</t>
  </si>
  <si>
    <t>SPIM41</t>
  </si>
  <si>
    <t>SPIM42</t>
  </si>
  <si>
    <t>SPIM43</t>
  </si>
  <si>
    <t>SPIM44</t>
  </si>
  <si>
    <t>SPIM45</t>
  </si>
  <si>
    <t>SPIM46</t>
  </si>
  <si>
    <t>SPIM47</t>
  </si>
  <si>
    <t>SPIM48</t>
  </si>
  <si>
    <t>SPIM49</t>
  </si>
  <si>
    <t>SPIM50</t>
  </si>
  <si>
    <t>SPIM51</t>
  </si>
  <si>
    <t>SPIM52</t>
  </si>
  <si>
    <t>SPIM53</t>
  </si>
  <si>
    <t>SPIM54</t>
  </si>
  <si>
    <t>SPIM55</t>
  </si>
  <si>
    <t>SPIM56</t>
  </si>
  <si>
    <t>SPIM57</t>
  </si>
  <si>
    <t>SPIM58</t>
  </si>
  <si>
    <t>SPIM59</t>
  </si>
  <si>
    <t>SPIM60</t>
  </si>
  <si>
    <t>2025 CMHC Vacancy Toronto North York ON</t>
  </si>
  <si>
    <t>CMHC 4 Year Average Vacancy, Toronto North York ON</t>
  </si>
  <si>
    <t>2240 Birchmount Rd Scarborough</t>
  </si>
  <si>
    <t>Ontario - Wood Frame 12 units and more</t>
  </si>
  <si>
    <t>commercial vacancy</t>
  </si>
  <si>
    <t>Submeter</t>
  </si>
  <si>
    <t>Common Area</t>
  </si>
  <si>
    <t>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</si>
</sst>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5" formatCode="&quot;$&quot;#,##0;\-&quot;$&quot;#,##0"/>
    <numFmt numFmtId="6" formatCode="&quot;$&quot;#,##0;[Red]\-&quot;$&quot;#,##0"/>
    <numFmt numFmtId="7" formatCode="&quot;$&quot;#,##0.00;\-&quot;$&quot;#,##0.00"/>
    <numFmt numFmtId="44" formatCode="_-&quot;$&quot;* #,##0.00_-;\-&quot;$&quot;* #,##0.00_-;_-&quot;$&quot;* &quot;-&quot;??_-;_-@_-"/>
    <numFmt numFmtId="43" formatCode="_-* #,##0.00_-;\-* #,##0.00_-;_-* &quot;-&quot;??_-;_-@_-"/>
    <numFmt numFmtId="164" formatCode="_ &quot;¥&quot;* #,##0.00_ ;_ &quot;¥&quot;* \-#,##0.00_ ;_ &quot;¥&quot;* &quot;-&quot;??_ ;_ @_ "/>
    <numFmt numFmtId="165" formatCode="_ * #,##0.00_ ;_ * \-#,##0.00_ ;_ * &quot;-&quot;??_ ;_ @_ "/>
    <numFmt numFmtId="166" formatCode="&quot;$&quot;#,##0_);\(&quot;$&quot;#,##0\)"/>
    <numFmt numFmtId="167" formatCode="[$-F800]dddd\,\ mmmm\ dd\,\ yyyy"/>
    <numFmt numFmtId="168" formatCode="##########################0"/>
    <numFmt numFmtId="169" formatCode="0.0%"/>
    <numFmt numFmtId="170" formatCode="0.00000000"/>
    <numFmt numFmtId="171" formatCode="_-&quot;$&quot;* #,##0_-;\-&quot;$&quot;* #,##0_-;_-&quot;$&quot;* &quot;-&quot;??_-;_-@"/>
    <numFmt numFmtId="172" formatCode="_-&quot;$&quot;* #,##0_-;\-&quot;$&quot;* #,##0_-;_-&quot;$&quot;* &quot;-&quot;??_-;_-@_-"/>
    <numFmt numFmtId="173" formatCode="&quot;$&quot;#,##0_);[Red]\(&quot;$&quot;#,##0\)"/>
    <numFmt numFmtId="174" formatCode="&quot;$&quot;#,##0.00_);[Red]\(&quot;$&quot;#,##0.00\)"/>
    <numFmt numFmtId="175" formatCode="_ * #,##0_ ;_ * \-#,##0_ ;_ * &quot;-&quot;??_ ;_ @_ "/>
    <numFmt numFmtId="176" formatCode="&quot;$&quot;#,##0"/>
    <numFmt numFmtId="177" formatCode="[$$-1009]#,##0"/>
    <numFmt numFmtId="178" formatCode="#\ &quot;Years&quot;"/>
    <numFmt numFmtId="179" formatCode="_(&quot;$&quot;* #,##0_);_(&quot;$&quot;* \(#,##0\);_(&quot;$&quot;* &quot;-&quot;??_);_(@_)"/>
    <numFmt numFmtId="180" formatCode="_(&quot;$&quot;* #,##0.00_);_(&quot;$&quot;* \(#,##0.00\);_(&quot;$&quot;* &quot;-&quot;??_);_(@_)"/>
    <numFmt numFmtId="181" formatCode="[$-1009]mmmm\ d\,\ yyyy;@"/>
    <numFmt numFmtId="182" formatCode="&quot;$&quot;#,##0_);\(&quot;$&quot;#,##0\);\-_)"/>
    <numFmt numFmtId="183" formatCode="[$-409]d/mmm/yy;@"/>
    <numFmt numFmtId="184" formatCode="#,##0_);\(#,##0\);\-_)"/>
    <numFmt numFmtId="185" formatCode="&quot;$&quot;#,##0.00_);\(&quot;$&quot;#,##0.00\);\-_)"/>
    <numFmt numFmtId="186" formatCode="&quot;$&quot;#,##0.00_);\(&quot;$&quot;#,##0.00\)"/>
    <numFmt numFmtId="187" formatCode="&quot;$&quot;#,##0.00"/>
    <numFmt numFmtId="188" formatCode="_ * #,##0.00_)\ &quot;$&quot;_ ;_ * \(#,##0.00\)\ &quot;$&quot;_ ;_ * &quot;-&quot;??_)\ &quot;$&quot;_ ;_ @_ "/>
    <numFmt numFmtId="189" formatCode="00&quot; Units&quot;"/>
    <numFmt numFmtId="190" formatCode="0.000%"/>
    <numFmt numFmtId="191" formatCode="0.000"/>
  </numFmts>
  <fonts count="96">
    <font>
      <sz val="10"/>
      <name val="Arial"/>
      <charset val="134"/>
    </font>
    <font>
      <b/>
      <sz val="9.5"/>
      <name val="Arial"/>
      <family val="2"/>
    </font>
    <font>
      <sz val="9.5"/>
      <name val="Arial"/>
      <family val="2"/>
    </font>
    <font>
      <b/>
      <sz val="10"/>
      <color theme="0"/>
      <name val="Arial"/>
      <family val="2"/>
    </font>
    <font>
      <b/>
      <sz val="11"/>
      <color theme="1"/>
      <name val="Calibri"/>
      <family val="2"/>
      <scheme val="minor"/>
    </font>
    <font>
      <sz val="11"/>
      <color rgb="FFFFFFFF"/>
      <name val="Myriad Pro"/>
      <charset val="134"/>
    </font>
    <font>
      <i/>
      <sz val="11"/>
      <color rgb="FF000000"/>
      <name val="Calibri"/>
      <family val="2"/>
    </font>
    <font>
      <sz val="11"/>
      <color rgb="FF000000"/>
      <name val="Calibri"/>
      <family val="2"/>
    </font>
    <font>
      <i/>
      <sz val="11"/>
      <color theme="1"/>
      <name val="Calibri"/>
      <family val="2"/>
    </font>
    <font>
      <sz val="11"/>
      <name val="Calibri"/>
      <family val="2"/>
    </font>
    <font>
      <b/>
      <i/>
      <sz val="11"/>
      <color theme="1"/>
      <name val="Calibri"/>
      <family val="2"/>
    </font>
    <font>
      <b/>
      <sz val="12"/>
      <color rgb="FFFFFFFF"/>
      <name val="Calibri"/>
      <family val="2"/>
    </font>
    <font>
      <b/>
      <sz val="10"/>
      <name val="Calibri"/>
      <family val="2"/>
    </font>
    <font>
      <sz val="10"/>
      <name val="Calibri"/>
      <family val="2"/>
    </font>
    <font>
      <sz val="10"/>
      <color rgb="FF000000"/>
      <name val="Calibri"/>
      <family val="2"/>
    </font>
    <font>
      <b/>
      <sz val="10"/>
      <color rgb="FF000000"/>
      <name val="Calibri"/>
      <family val="2"/>
    </font>
    <font>
      <b/>
      <sz val="12"/>
      <color theme="0"/>
      <name val="Calibri"/>
      <family val="2"/>
    </font>
    <font>
      <b/>
      <sz val="12"/>
      <name val="Calibri"/>
      <family val="2"/>
    </font>
    <font>
      <b/>
      <sz val="9"/>
      <color rgb="FFFFFFFF"/>
      <name val="Arial"/>
      <family val="2"/>
    </font>
    <font>
      <b/>
      <i/>
      <u/>
      <sz val="9"/>
      <name val="Arial"/>
      <family val="2"/>
    </font>
    <font>
      <sz val="9"/>
      <name val="Arial"/>
      <family val="2"/>
    </font>
    <font>
      <sz val="9"/>
      <color rgb="FF0000FF"/>
      <name val="Arial"/>
      <family val="2"/>
    </font>
    <font>
      <sz val="9"/>
      <color rgb="FF000000"/>
      <name val="Arial"/>
      <family val="2"/>
    </font>
    <font>
      <sz val="9"/>
      <color rgb="FFFF0000"/>
      <name val="Arial"/>
      <family val="2"/>
    </font>
    <font>
      <b/>
      <sz val="9"/>
      <name val="Arial"/>
      <family val="2"/>
    </font>
    <font>
      <b/>
      <sz val="9"/>
      <color theme="1"/>
      <name val="Arial"/>
      <family val="2"/>
    </font>
    <font>
      <b/>
      <sz val="9"/>
      <color rgb="FF000000"/>
      <name val="Arial"/>
      <family val="2"/>
    </font>
    <font>
      <u/>
      <sz val="9"/>
      <color rgb="FF000000"/>
      <name val="Arial"/>
      <family val="2"/>
    </font>
    <font>
      <b/>
      <i/>
      <sz val="9"/>
      <name val="Arial"/>
      <family val="2"/>
    </font>
    <font>
      <sz val="9"/>
      <color theme="1"/>
      <name val="Arial"/>
      <family val="2"/>
    </font>
    <font>
      <i/>
      <sz val="9"/>
      <color theme="1"/>
      <name val="Arial"/>
      <family val="2"/>
    </font>
    <font>
      <b/>
      <u/>
      <sz val="9"/>
      <color rgb="FF000000"/>
      <name val="Arial"/>
      <family val="2"/>
    </font>
    <font>
      <b/>
      <sz val="9"/>
      <color theme="0"/>
      <name val="Arial"/>
      <family val="2"/>
    </font>
    <font>
      <b/>
      <sz val="11"/>
      <name val="Calibri"/>
      <family val="2"/>
    </font>
    <font>
      <b/>
      <sz val="10"/>
      <name val="Arial"/>
      <family val="2"/>
    </font>
    <font>
      <b/>
      <sz val="10"/>
      <color theme="0"/>
      <name val="Calibri"/>
      <family val="2"/>
    </font>
    <font>
      <b/>
      <u/>
      <sz val="10"/>
      <color theme="0"/>
      <name val="Calibri"/>
      <family val="2"/>
    </font>
    <font>
      <b/>
      <sz val="10"/>
      <color rgb="FFFFFFFF"/>
      <name val="Calibri"/>
      <family val="2"/>
    </font>
    <font>
      <b/>
      <u/>
      <sz val="10"/>
      <color theme="0"/>
      <name val="Arial"/>
      <family val="2"/>
    </font>
    <font>
      <sz val="11"/>
      <name val="Calibri"/>
      <family val="2"/>
      <scheme val="minor"/>
    </font>
    <font>
      <sz val="22"/>
      <color rgb="FFA4343A"/>
      <name val="Cambria"/>
      <family val="1"/>
      <scheme val="major"/>
    </font>
    <font>
      <b/>
      <sz val="14"/>
      <name val="Calibri"/>
      <family val="2"/>
      <scheme val="minor"/>
    </font>
    <font>
      <sz val="14"/>
      <name val="Calibri"/>
      <family val="2"/>
      <scheme val="minor"/>
    </font>
    <font>
      <i/>
      <sz val="14"/>
      <name val="Calibri"/>
      <family val="2"/>
      <scheme val="minor"/>
    </font>
    <font>
      <sz val="14"/>
      <color theme="0" tint="-0.34998626667073579"/>
      <name val="Calibri"/>
      <family val="2"/>
      <scheme val="minor"/>
    </font>
    <font>
      <sz val="14"/>
      <color rgb="FF000000"/>
      <name val="Calibri"/>
      <family val="2"/>
    </font>
    <font>
      <sz val="14"/>
      <color theme="1"/>
      <name val="Calibri"/>
      <family val="2"/>
      <scheme val="minor"/>
    </font>
    <font>
      <u/>
      <sz val="14"/>
      <color theme="10"/>
      <name val="Arial"/>
      <family val="2"/>
    </font>
    <font>
      <b/>
      <i/>
      <sz val="14"/>
      <name val="Calibri"/>
      <family val="2"/>
      <scheme val="minor"/>
    </font>
    <font>
      <b/>
      <sz val="16"/>
      <name val="Calibri"/>
      <family val="2"/>
      <scheme val="minor"/>
    </font>
    <font>
      <sz val="10"/>
      <color theme="1"/>
      <name val="Calibri"/>
      <family val="2"/>
    </font>
    <font>
      <sz val="10"/>
      <color rgb="FFFF0000"/>
      <name val="Calibri"/>
      <family val="2"/>
    </font>
    <font>
      <b/>
      <i/>
      <sz val="10"/>
      <name val="Calibri"/>
      <family val="2"/>
    </font>
    <font>
      <b/>
      <sz val="11"/>
      <color theme="1"/>
      <name val="Calibri"/>
      <family val="2"/>
    </font>
    <font>
      <sz val="10"/>
      <name val="Calibri"/>
      <family val="2"/>
      <scheme val="minor"/>
    </font>
    <font>
      <sz val="10"/>
      <color rgb="FF002060"/>
      <name val="Calibri"/>
      <family val="2"/>
    </font>
    <font>
      <b/>
      <sz val="10"/>
      <color theme="1"/>
      <name val="Calibri"/>
      <family val="2"/>
    </font>
    <font>
      <b/>
      <sz val="10"/>
      <color rgb="FF002060"/>
      <name val="Calibri"/>
      <family val="2"/>
    </font>
    <font>
      <sz val="10"/>
      <color rgb="FF002060"/>
      <name val="Calibri"/>
      <family val="2"/>
      <scheme val="minor"/>
    </font>
    <font>
      <b/>
      <i/>
      <sz val="10"/>
      <color rgb="FF0070C0"/>
      <name val="Calibri"/>
      <family val="2"/>
    </font>
    <font>
      <i/>
      <sz val="10"/>
      <name val="Calibri"/>
      <family val="2"/>
    </font>
    <font>
      <b/>
      <u/>
      <sz val="9"/>
      <color theme="1"/>
      <name val="Arial"/>
      <family val="2"/>
    </font>
    <font>
      <b/>
      <sz val="8"/>
      <name val="Arial"/>
      <family val="2"/>
    </font>
    <font>
      <sz val="8"/>
      <name val="Arial"/>
      <family val="2"/>
    </font>
    <font>
      <b/>
      <sz val="10"/>
      <color theme="1"/>
      <name val="Arial"/>
      <family val="2"/>
    </font>
    <font>
      <b/>
      <u/>
      <sz val="8"/>
      <name val="Arial"/>
      <family val="2"/>
    </font>
    <font>
      <b/>
      <u val="singleAccounting"/>
      <sz val="8"/>
      <name val="Arial"/>
      <family val="2"/>
    </font>
    <font>
      <sz val="8"/>
      <color theme="1"/>
      <name val="Arial"/>
      <family val="2"/>
    </font>
    <font>
      <b/>
      <sz val="8"/>
      <color theme="1"/>
      <name val="Arial"/>
      <family val="2"/>
    </font>
    <font>
      <b/>
      <sz val="9"/>
      <color theme="3" tint="0.59999389629810485"/>
      <name val="Arial"/>
      <family val="2"/>
    </font>
    <font>
      <u/>
      <sz val="9"/>
      <name val="Arial"/>
      <family val="2"/>
    </font>
    <font>
      <i/>
      <sz val="9"/>
      <color rgb="FF0000FF"/>
      <name val="Arial"/>
      <family val="2"/>
    </font>
    <font>
      <b/>
      <sz val="9"/>
      <color theme="8" tint="0.59999389629810485"/>
      <name val="Arial"/>
      <family val="2"/>
    </font>
    <font>
      <u/>
      <sz val="9"/>
      <color theme="1"/>
      <name val="Arial"/>
      <family val="2"/>
    </font>
    <font>
      <b/>
      <sz val="9"/>
      <color rgb="FF0000FF"/>
      <name val="Arial"/>
      <family val="2"/>
    </font>
    <font>
      <b/>
      <sz val="11"/>
      <color theme="0"/>
      <name val="Calibri"/>
      <family val="2"/>
    </font>
    <font>
      <b/>
      <sz val="11"/>
      <color theme="0"/>
      <name val="Arial"/>
      <family val="2"/>
    </font>
    <font>
      <sz val="10"/>
      <color theme="0"/>
      <name val="Arial"/>
      <family val="2"/>
    </font>
    <font>
      <sz val="11"/>
      <color rgb="FF000000"/>
      <name val="Arial"/>
      <family val="2"/>
    </font>
    <font>
      <i/>
      <sz val="11"/>
      <color rgb="FF000000"/>
      <name val="Arial"/>
      <family val="2"/>
    </font>
    <font>
      <b/>
      <sz val="11"/>
      <color rgb="FFE7BE4B"/>
      <name val="Arial"/>
      <family val="2"/>
    </font>
    <font>
      <b/>
      <sz val="11"/>
      <color theme="0"/>
      <name val="Calibri"/>
      <family val="2"/>
      <scheme val="minor"/>
    </font>
    <font>
      <b/>
      <sz val="12"/>
      <color theme="0"/>
      <name val="Calibri"/>
      <family val="2"/>
      <scheme val="minor"/>
    </font>
    <font>
      <sz val="11"/>
      <color theme="0"/>
      <name val="Calibri"/>
      <family val="2"/>
      <scheme val="minor"/>
    </font>
    <font>
      <b/>
      <sz val="14"/>
      <color theme="0"/>
      <name val="Calibri"/>
      <family val="2"/>
      <scheme val="minor"/>
    </font>
    <font>
      <b/>
      <sz val="14"/>
      <color theme="1"/>
      <name val="Calibri"/>
      <family val="2"/>
      <scheme val="minor"/>
    </font>
    <font>
      <b/>
      <sz val="12"/>
      <color rgb="FF1C2A33"/>
      <name val="Calibri"/>
      <family val="2"/>
      <scheme val="minor"/>
    </font>
    <font>
      <sz val="11"/>
      <color theme="1"/>
      <name val="Calibri"/>
      <family val="2"/>
      <scheme val="minor"/>
    </font>
    <font>
      <u/>
      <sz val="10"/>
      <color theme="10"/>
      <name val="Arial"/>
      <family val="2"/>
    </font>
    <font>
      <u/>
      <sz val="11"/>
      <color theme="10"/>
      <name val="Calibri"/>
      <family val="2"/>
      <scheme val="minor"/>
    </font>
    <font>
      <sz val="12"/>
      <name val="Arial MT"/>
      <charset val="134"/>
    </font>
    <font>
      <sz val="10"/>
      <name val="Helvetica"/>
      <charset val="134"/>
    </font>
    <font>
      <sz val="12"/>
      <color theme="1"/>
      <name val="Calibri"/>
      <family val="2"/>
      <scheme val="minor"/>
    </font>
    <font>
      <b/>
      <sz val="10"/>
      <name val="Calibri"/>
      <family val="2"/>
      <scheme val="minor"/>
    </font>
    <font>
      <b/>
      <sz val="14"/>
      <color theme="1" tint="0.34998626667073579"/>
      <name val="Calibri"/>
      <family val="2"/>
      <scheme val="minor"/>
    </font>
    <font>
      <sz val="10"/>
      <name val="Arial"/>
      <family val="2"/>
    </font>
  </fonts>
  <fills count="40">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4"/>
        <bgColor theme="4"/>
      </patternFill>
    </fill>
    <fill>
      <patternFill patternType="solid">
        <fgColor rgb="FF4472C4"/>
        <bgColor indexed="64"/>
      </patternFill>
    </fill>
    <fill>
      <patternFill patternType="solid">
        <fgColor rgb="FFD8D8D8"/>
        <bgColor rgb="FFD8D8D8"/>
      </patternFill>
    </fill>
    <fill>
      <patternFill patternType="solid">
        <fgColor rgb="FFFFFF00"/>
        <bgColor indexed="64"/>
      </patternFill>
    </fill>
    <fill>
      <patternFill patternType="solid">
        <fgColor theme="3" tint="0.79995117038483843"/>
        <bgColor indexed="64"/>
      </patternFill>
    </fill>
    <fill>
      <patternFill patternType="solid">
        <fgColor rgb="FF92D050"/>
        <bgColor indexed="64"/>
      </patternFill>
    </fill>
    <fill>
      <patternFill patternType="solid">
        <fgColor rgb="FF000000"/>
        <bgColor indexed="64"/>
      </patternFill>
    </fill>
    <fill>
      <patternFill patternType="solid">
        <fgColor theme="1"/>
        <bgColor rgb="FF000000"/>
      </patternFill>
    </fill>
    <fill>
      <patternFill patternType="solid">
        <fgColor theme="0" tint="-0.499984740745262"/>
        <bgColor rgb="FF000000"/>
      </patternFill>
    </fill>
    <fill>
      <patternFill patternType="solid">
        <fgColor rgb="FFFFFFFF"/>
        <bgColor rgb="FF000000"/>
      </patternFill>
    </fill>
    <fill>
      <patternFill patternType="solid">
        <fgColor theme="0"/>
        <bgColor rgb="FF000000"/>
      </patternFill>
    </fill>
    <fill>
      <patternFill patternType="solid">
        <fgColor theme="0" tint="-0.14996795556505021"/>
        <bgColor rgb="FF000000"/>
      </patternFill>
    </fill>
    <fill>
      <patternFill patternType="solid">
        <fgColor rgb="FFD9D9D9"/>
        <bgColor rgb="FF000000"/>
      </patternFill>
    </fill>
    <fill>
      <patternFill patternType="solid">
        <fgColor rgb="FF808080"/>
        <bgColor rgb="FF000000"/>
      </patternFill>
    </fill>
    <fill>
      <patternFill patternType="solid">
        <fgColor rgb="FFFFC4C8"/>
        <bgColor rgb="FF000000"/>
      </patternFill>
    </fill>
    <fill>
      <patternFill patternType="solid">
        <fgColor rgb="FFF2F2F2"/>
        <bgColor rgb="FF000000"/>
      </patternFill>
    </fill>
    <fill>
      <patternFill patternType="solid">
        <fgColor theme="0" tint="-0.34998626667073579"/>
        <bgColor rgb="FF000000"/>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rgb="FFF3F3F3"/>
      </patternFill>
    </fill>
    <fill>
      <patternFill patternType="solid">
        <fgColor theme="0" tint="-0.249977111117893"/>
        <bgColor indexed="64"/>
      </patternFill>
    </fill>
    <fill>
      <patternFill patternType="solid">
        <fgColor theme="8" tint="0.79985961485641044"/>
        <bgColor indexed="64"/>
      </patternFill>
    </fill>
    <fill>
      <patternFill patternType="solid">
        <fgColor theme="9" tint="0.79982909634693444"/>
        <bgColor indexed="64"/>
      </patternFill>
    </fill>
    <fill>
      <patternFill patternType="solid">
        <fgColor theme="9" tint="0.79985961485641044"/>
        <bgColor indexed="64"/>
      </patternFill>
    </fill>
    <fill>
      <patternFill patternType="solid">
        <fgColor theme="1" tint="0.34998626667073579"/>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rgb="FFFF0000"/>
        <bgColor theme="4"/>
      </patternFill>
    </fill>
    <fill>
      <patternFill patternType="solid">
        <fgColor rgb="FF00B050"/>
        <bgColor theme="4"/>
      </patternFill>
    </fill>
    <fill>
      <patternFill patternType="solid">
        <fgColor theme="5"/>
        <bgColor theme="4"/>
      </patternFill>
    </fill>
    <fill>
      <patternFill patternType="solid">
        <fgColor rgb="FF0A1115"/>
        <bgColor indexed="64"/>
      </patternFill>
    </fill>
    <fill>
      <patternFill patternType="solid">
        <fgColor theme="4"/>
        <bgColor indexed="64"/>
      </patternFill>
    </fill>
    <fill>
      <patternFill patternType="solid">
        <fgColor rgb="FF00B050"/>
        <bgColor indexed="64"/>
      </patternFill>
    </fill>
    <fill>
      <patternFill patternType="solid">
        <fgColor theme="5"/>
        <bgColor indexed="64"/>
      </patternFill>
    </fill>
    <fill>
      <patternFill patternType="solid">
        <fgColor theme="0" tint="-0.499984740745262"/>
        <bgColor indexed="64"/>
      </patternFill>
    </fill>
    <fill>
      <patternFill patternType="solid">
        <fgColor theme="0" tint="-0.14996795556505021"/>
        <bgColor indexed="64"/>
      </patternFill>
    </fill>
  </fills>
  <borders count="96">
    <border>
      <left/>
      <right/>
      <top/>
      <bottom/>
      <diagonal/>
    </border>
    <border>
      <left style="thin">
        <color rgb="FFC1C1C1"/>
      </left>
      <right style="thin">
        <color rgb="FFC1C1C1"/>
      </right>
      <top style="thin">
        <color rgb="FFC1C1C1"/>
      </top>
      <bottom style="thin">
        <color rgb="FFC1C1C1"/>
      </bottom>
      <diagonal/>
    </border>
    <border>
      <left/>
      <right/>
      <top/>
      <bottom style="thick">
        <color theme="0"/>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rgb="FFFFFFFF"/>
      </bottom>
      <diagonal/>
    </border>
    <border>
      <left/>
      <right/>
      <top/>
      <bottom style="thin">
        <color rgb="FFFFFFFF"/>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right style="thin">
        <color auto="1"/>
      </right>
      <top/>
      <bottom style="thin">
        <color rgb="FFFFFFFF"/>
      </bottom>
      <diagonal/>
    </border>
    <border>
      <left/>
      <right style="thin">
        <color auto="1"/>
      </right>
      <top style="thin">
        <color rgb="FFFFFFFF"/>
      </top>
      <bottom/>
      <diagonal/>
    </border>
    <border>
      <left style="medium">
        <color auto="1"/>
      </left>
      <right/>
      <top style="medium">
        <color auto="1"/>
      </top>
      <bottom style="medium">
        <color rgb="FF000000"/>
      </bottom>
      <diagonal/>
    </border>
    <border>
      <left/>
      <right/>
      <top style="medium">
        <color auto="1"/>
      </top>
      <bottom style="medium">
        <color rgb="FF000000"/>
      </bottom>
      <diagonal/>
    </border>
    <border>
      <left/>
      <right style="medium">
        <color auto="1"/>
      </right>
      <top style="medium">
        <color auto="1"/>
      </top>
      <bottom style="medium">
        <color rgb="FF000000"/>
      </bottom>
      <diagonal/>
    </border>
    <border>
      <left style="medium">
        <color auto="1"/>
      </left>
      <right/>
      <top style="medium">
        <color rgb="FF000000"/>
      </top>
      <bottom style="medium">
        <color rgb="FF000000"/>
      </bottom>
      <diagonal/>
    </border>
    <border>
      <left/>
      <right style="medium">
        <color auto="1"/>
      </right>
      <top style="medium">
        <color rgb="FF000000"/>
      </top>
      <bottom style="medium">
        <color rgb="FF000000"/>
      </bottom>
      <diagonal/>
    </border>
    <border>
      <left style="medium">
        <color auto="1"/>
      </left>
      <right/>
      <top/>
      <bottom style="medium">
        <color rgb="FF000000"/>
      </bottom>
      <diagonal/>
    </border>
    <border>
      <left/>
      <right/>
      <top/>
      <bottom style="medium">
        <color rgb="FF000000"/>
      </bottom>
      <diagonal/>
    </border>
    <border>
      <left/>
      <right style="medium">
        <color auto="1"/>
      </right>
      <top/>
      <bottom style="medium">
        <color rgb="FF00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right/>
      <top style="medium">
        <color auto="1"/>
      </top>
      <bottom/>
      <diagonal/>
    </border>
    <border>
      <left/>
      <right style="medium">
        <color rgb="FF000000"/>
      </right>
      <top style="medium">
        <color auto="1"/>
      </top>
      <bottom/>
      <diagonal/>
    </border>
    <border>
      <left style="medium">
        <color rgb="FF000000"/>
      </left>
      <right/>
      <top style="medium">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right/>
      <top/>
      <bottom style="thin">
        <color rgb="FF000000"/>
      </bottom>
      <diagonal/>
    </border>
    <border>
      <left/>
      <right/>
      <top style="thin">
        <color rgb="FF000000"/>
      </top>
      <bottom/>
      <diagonal/>
    </border>
    <border>
      <left style="medium">
        <color auto="1"/>
      </left>
      <right/>
      <top style="thin">
        <color auto="1"/>
      </top>
      <bottom style="thin">
        <color auto="1"/>
      </bottom>
      <diagonal/>
    </border>
    <border>
      <left/>
      <right/>
      <top style="thin">
        <color auto="1"/>
      </top>
      <bottom style="medium">
        <color auto="1"/>
      </bottom>
      <diagonal/>
    </border>
    <border>
      <left style="thin">
        <color auto="1"/>
      </left>
      <right/>
      <top style="medium">
        <color auto="1"/>
      </top>
      <bottom style="medium">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style="thin">
        <color auto="1"/>
      </bottom>
      <diagonal/>
    </border>
    <border>
      <left/>
      <right style="medium">
        <color auto="1"/>
      </right>
      <top style="thin">
        <color auto="1"/>
      </top>
      <bottom/>
      <diagonal/>
    </border>
    <border>
      <left/>
      <right style="medium">
        <color auto="1"/>
      </right>
      <top style="thin">
        <color rgb="FF000000"/>
      </top>
      <bottom/>
      <diagonal/>
    </border>
    <border>
      <left/>
      <right style="medium">
        <color auto="1"/>
      </right>
      <top/>
      <bottom style="thin">
        <color rgb="FF000000"/>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thin">
        <color rgb="FF000000"/>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rgb="FF000000"/>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rgb="FF000000"/>
      </left>
      <right/>
      <top/>
      <bottom/>
      <diagonal/>
    </border>
    <border>
      <left style="medium">
        <color auto="1"/>
      </left>
      <right style="medium">
        <color auto="1"/>
      </right>
      <top style="medium">
        <color auto="1"/>
      </top>
      <bottom style="medium">
        <color auto="1"/>
      </bottom>
      <diagonal/>
    </border>
  </borders>
  <cellStyleXfs count="26">
    <xf numFmtId="0" fontId="0" fillId="0" borderId="0"/>
    <xf numFmtId="164" fontId="95" fillId="0" borderId="0" applyFont="0" applyFill="0" applyBorder="0" applyAlignment="0" applyProtection="0">
      <alignment vertical="center"/>
    </xf>
    <xf numFmtId="9" fontId="95" fillId="0" borderId="0" applyFont="0" applyFill="0" applyBorder="0" applyAlignment="0" applyProtection="0">
      <alignment vertical="center"/>
    </xf>
    <xf numFmtId="0" fontId="88" fillId="0" borderId="0" applyNumberFormat="0" applyFill="0" applyBorder="0" applyAlignment="0" applyProtection="0"/>
    <xf numFmtId="165" fontId="95" fillId="0" borderId="0" applyFont="0" applyFill="0" applyBorder="0" applyAlignment="0" applyProtection="0">
      <alignment vertical="center"/>
    </xf>
    <xf numFmtId="43" fontId="87" fillId="0" borderId="0" applyFont="0" applyFill="0" applyBorder="0" applyAlignment="0" applyProtection="0"/>
    <xf numFmtId="44" fontId="87" fillId="0" borderId="0" applyFont="0" applyFill="0" applyBorder="0" applyAlignment="0" applyProtection="0"/>
    <xf numFmtId="44" fontId="95" fillId="0" borderId="0" applyFont="0" applyFill="0" applyBorder="0" applyAlignment="0" applyProtection="0"/>
    <xf numFmtId="0" fontId="89" fillId="0" borderId="0" applyNumberFormat="0" applyFill="0" applyBorder="0" applyAlignment="0" applyProtection="0"/>
    <xf numFmtId="43" fontId="87" fillId="0" borderId="0" applyFont="0" applyFill="0" applyBorder="0" applyAlignment="0" applyProtection="0"/>
    <xf numFmtId="44" fontId="87" fillId="0" borderId="0" applyFont="0" applyFill="0" applyBorder="0" applyAlignment="0" applyProtection="0"/>
    <xf numFmtId="0" fontId="95" fillId="0" borderId="0"/>
    <xf numFmtId="0" fontId="50" fillId="0" borderId="0"/>
    <xf numFmtId="166" fontId="90" fillId="0" borderId="0"/>
    <xf numFmtId="166" fontId="90" fillId="0" borderId="0"/>
    <xf numFmtId="0" fontId="91" fillId="0" borderId="0"/>
    <xf numFmtId="0" fontId="87" fillId="0" borderId="0"/>
    <xf numFmtId="0" fontId="92" fillId="0" borderId="0"/>
    <xf numFmtId="167" fontId="87" fillId="0" borderId="0"/>
    <xf numFmtId="167" fontId="87" fillId="0" borderId="0"/>
    <xf numFmtId="0" fontId="87" fillId="0" borderId="0"/>
    <xf numFmtId="166" fontId="90" fillId="0" borderId="0"/>
    <xf numFmtId="9" fontId="95" fillId="0" borderId="0" applyFont="0" applyFill="0" applyBorder="0" applyAlignment="0" applyProtection="0"/>
    <xf numFmtId="9" fontId="50" fillId="0" borderId="0" applyFont="0" applyFill="0" applyBorder="0" applyAlignment="0" applyProtection="0"/>
    <xf numFmtId="9" fontId="87" fillId="0" borderId="0" applyFont="0" applyFill="0" applyBorder="0" applyAlignment="0" applyProtection="0"/>
    <xf numFmtId="9" fontId="95" fillId="0" borderId="0" applyFont="0" applyFill="0" applyBorder="0" applyAlignment="0" applyProtection="0"/>
  </cellStyleXfs>
  <cellXfs count="1029">
    <xf numFmtId="0" fontId="0" fillId="0" borderId="0" xfId="0"/>
    <xf numFmtId="168" fontId="1" fillId="2" borderId="1" xfId="11" applyNumberFormat="1" applyFont="1" applyFill="1" applyBorder="1" applyAlignment="1">
      <alignment horizontal="left" vertical="center"/>
    </xf>
    <xf numFmtId="44" fontId="0" fillId="3" borderId="0" xfId="0" applyNumberFormat="1" applyFill="1"/>
    <xf numFmtId="168" fontId="2" fillId="2" borderId="1" xfId="0" applyNumberFormat="1" applyFont="1" applyFill="1" applyBorder="1" applyAlignment="1">
      <alignment horizontal="left" vertical="center"/>
    </xf>
    <xf numFmtId="168" fontId="2" fillId="2" borderId="1" xfId="11" applyNumberFormat="1" applyFont="1" applyFill="1" applyBorder="1" applyAlignment="1">
      <alignment horizontal="left" vertical="center"/>
    </xf>
    <xf numFmtId="0" fontId="3" fillId="4" borderId="2" xfId="0" applyFont="1" applyFill="1" applyBorder="1"/>
    <xf numFmtId="0" fontId="4" fillId="0" borderId="0" xfId="0" applyFont="1"/>
    <xf numFmtId="10" fontId="0" fillId="0" borderId="0" xfId="0" applyNumberFormat="1"/>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164" fontId="6" fillId="0" borderId="6" xfId="1" applyFont="1" applyFill="1" applyBorder="1" applyAlignment="1">
      <alignment vertical="center"/>
    </xf>
    <xf numFmtId="164" fontId="0" fillId="0" borderId="7" xfId="1" applyFont="1" applyFill="1" applyBorder="1" applyAlignment="1"/>
    <xf numFmtId="0" fontId="6" fillId="0" borderId="7" xfId="0" applyFont="1" applyBorder="1" applyAlignment="1">
      <alignment vertical="center"/>
    </xf>
    <xf numFmtId="0" fontId="6" fillId="0" borderId="8" xfId="0" applyFont="1" applyBorder="1" applyAlignment="1">
      <alignment vertical="center"/>
    </xf>
    <xf numFmtId="164" fontId="6" fillId="0" borderId="10" xfId="1" applyFont="1" applyFill="1" applyBorder="1" applyAlignment="1">
      <alignment vertical="center"/>
    </xf>
    <xf numFmtId="164" fontId="0" fillId="0" borderId="11" xfId="1" applyFont="1" applyFill="1" applyBorder="1" applyAlignment="1"/>
    <xf numFmtId="0" fontId="6" fillId="0" borderId="11" xfId="0" applyFont="1" applyBorder="1" applyAlignment="1">
      <alignment vertical="center"/>
    </xf>
    <xf numFmtId="0" fontId="6" fillId="0" borderId="12" xfId="0" applyFont="1" applyBorder="1" applyAlignment="1">
      <alignment vertical="center"/>
    </xf>
    <xf numFmtId="0" fontId="7" fillId="0" borderId="11" xfId="0" applyFont="1" applyBorder="1" applyAlignment="1">
      <alignment vertical="center"/>
    </xf>
    <xf numFmtId="0" fontId="7" fillId="0" borderId="12" xfId="0" applyFont="1" applyBorder="1" applyAlignment="1">
      <alignment vertical="center"/>
    </xf>
    <xf numFmtId="164" fontId="6" fillId="0" borderId="13" xfId="1" applyFont="1" applyFill="1" applyBorder="1" applyAlignment="1">
      <alignment vertical="center"/>
    </xf>
    <xf numFmtId="164" fontId="0" fillId="0" borderId="14" xfId="1" applyFont="1" applyFill="1" applyBorder="1" applyAlignment="1"/>
    <xf numFmtId="0" fontId="7" fillId="0" borderId="14" xfId="0" applyFont="1" applyBorder="1" applyAlignment="1">
      <alignment vertical="center"/>
    </xf>
    <xf numFmtId="0" fontId="7" fillId="0" borderId="15" xfId="0" applyFont="1" applyBorder="1" applyAlignment="1">
      <alignment vertical="center"/>
    </xf>
    <xf numFmtId="10" fontId="6" fillId="0" borderId="7" xfId="2" applyNumberFormat="1" applyFont="1" applyFill="1" applyBorder="1" applyAlignment="1">
      <alignment vertical="center"/>
    </xf>
    <xf numFmtId="10" fontId="6" fillId="0" borderId="11" xfId="2" applyNumberFormat="1" applyFont="1" applyFill="1" applyBorder="1" applyAlignment="1">
      <alignment vertical="center"/>
    </xf>
    <xf numFmtId="10" fontId="6" fillId="0" borderId="12" xfId="2" applyNumberFormat="1" applyFont="1" applyFill="1" applyBorder="1" applyAlignment="1">
      <alignment vertical="center"/>
    </xf>
    <xf numFmtId="10" fontId="7" fillId="0" borderId="11" xfId="2" applyNumberFormat="1" applyFont="1" applyFill="1" applyBorder="1" applyAlignment="1">
      <alignment vertical="center"/>
    </xf>
    <xf numFmtId="10" fontId="7" fillId="0" borderId="12" xfId="2" applyNumberFormat="1" applyFont="1" applyFill="1" applyBorder="1" applyAlignment="1">
      <alignment vertical="center"/>
    </xf>
    <xf numFmtId="10" fontId="7" fillId="0" borderId="14" xfId="2" applyNumberFormat="1" applyFont="1" applyFill="1" applyBorder="1" applyAlignment="1">
      <alignment vertical="center"/>
    </xf>
    <xf numFmtId="10" fontId="7" fillId="0" borderId="15" xfId="2" applyNumberFormat="1" applyFont="1" applyFill="1" applyBorder="1" applyAlignment="1">
      <alignment vertical="center"/>
    </xf>
    <xf numFmtId="9" fontId="0" fillId="0" borderId="0" xfId="0" applyNumberFormat="1" applyAlignment="1">
      <alignment horizontal="center" vertical="center"/>
    </xf>
    <xf numFmtId="10" fontId="0" fillId="0" borderId="0" xfId="2" applyNumberFormat="1" applyFont="1" applyAlignment="1"/>
    <xf numFmtId="0" fontId="0" fillId="0" borderId="0" xfId="0" applyAlignment="1">
      <alignment horizontal="center" vertical="center"/>
    </xf>
    <xf numFmtId="169" fontId="0" fillId="0" borderId="0" xfId="0" applyNumberFormat="1"/>
    <xf numFmtId="0" fontId="8" fillId="0" borderId="0" xfId="0" applyFont="1" applyAlignment="1">
      <alignment vertical="center"/>
    </xf>
    <xf numFmtId="170" fontId="8" fillId="0" borderId="0" xfId="0" applyNumberFormat="1" applyFont="1" applyAlignment="1">
      <alignment vertical="center"/>
    </xf>
    <xf numFmtId="171" fontId="8" fillId="0" borderId="0" xfId="0" applyNumberFormat="1" applyFont="1" applyAlignment="1">
      <alignment vertical="center"/>
    </xf>
    <xf numFmtId="171" fontId="0" fillId="0" borderId="0" xfId="0" applyNumberFormat="1"/>
    <xf numFmtId="172" fontId="0" fillId="0" borderId="0" xfId="0" applyNumberFormat="1"/>
    <xf numFmtId="0" fontId="10" fillId="0" borderId="0" xfId="0" applyFont="1" applyAlignment="1">
      <alignment horizontal="center" vertical="center"/>
    </xf>
    <xf numFmtId="0" fontId="0" fillId="0" borderId="0" xfId="0" applyAlignment="1">
      <alignment wrapText="1"/>
    </xf>
    <xf numFmtId="9" fontId="0" fillId="0" borderId="0" xfId="0" applyNumberFormat="1"/>
    <xf numFmtId="0" fontId="12" fillId="0" borderId="20" xfId="0" applyFont="1" applyBorder="1" applyAlignment="1">
      <alignment vertical="center" wrapText="1"/>
    </xf>
    <xf numFmtId="0" fontId="12" fillId="0" borderId="21" xfId="0" applyFont="1" applyBorder="1" applyAlignment="1">
      <alignment vertical="center" wrapText="1"/>
    </xf>
    <xf numFmtId="0" fontId="13" fillId="0" borderId="20" xfId="0" applyFont="1" applyBorder="1" applyAlignment="1">
      <alignment vertical="center" wrapText="1"/>
    </xf>
    <xf numFmtId="0" fontId="13" fillId="0" borderId="21" xfId="0" applyFont="1" applyBorder="1" applyAlignment="1">
      <alignment vertical="center" wrapText="1"/>
    </xf>
    <xf numFmtId="10" fontId="13" fillId="0" borderId="21" xfId="0" applyNumberFormat="1" applyFont="1" applyBorder="1" applyAlignment="1">
      <alignment vertical="center" wrapText="1"/>
    </xf>
    <xf numFmtId="10" fontId="13" fillId="0" borderId="21" xfId="2" applyNumberFormat="1" applyFont="1" applyBorder="1" applyAlignment="1">
      <alignment vertical="center" wrapText="1"/>
    </xf>
    <xf numFmtId="10" fontId="12" fillId="0" borderId="21" xfId="2" applyNumberFormat="1" applyFont="1" applyBorder="1" applyAlignment="1">
      <alignment vertical="center" wrapText="1"/>
    </xf>
    <xf numFmtId="10" fontId="12" fillId="0" borderId="21" xfId="0" applyNumberFormat="1" applyFont="1" applyBorder="1" applyAlignment="1">
      <alignment vertical="center" wrapText="1"/>
    </xf>
    <xf numFmtId="10" fontId="14" fillId="0" borderId="21" xfId="0" applyNumberFormat="1" applyFont="1" applyBorder="1" applyAlignment="1">
      <alignment vertical="center" wrapText="1"/>
    </xf>
    <xf numFmtId="173" fontId="13" fillId="0" borderId="21" xfId="0" applyNumberFormat="1" applyFont="1" applyBorder="1" applyAlignment="1">
      <alignment vertical="center" wrapText="1"/>
    </xf>
    <xf numFmtId="10" fontId="15" fillId="0" borderId="21" xfId="0" applyNumberFormat="1" applyFont="1" applyBorder="1" applyAlignment="1">
      <alignment vertical="center" wrapText="1"/>
    </xf>
    <xf numFmtId="173" fontId="15" fillId="0" borderId="21" xfId="0" applyNumberFormat="1" applyFont="1" applyBorder="1" applyAlignment="1">
      <alignment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0" borderId="20" xfId="0" applyFont="1" applyBorder="1" applyAlignment="1">
      <alignment horizontal="center" vertical="center" wrapText="1"/>
    </xf>
    <xf numFmtId="0" fontId="14" fillId="0" borderId="21" xfId="0" applyFont="1" applyBorder="1" applyAlignment="1">
      <alignment vertical="center" wrapText="1"/>
    </xf>
    <xf numFmtId="174" fontId="14" fillId="0" borderId="21" xfId="0" applyNumberFormat="1" applyFont="1" applyBorder="1" applyAlignment="1">
      <alignment vertical="center" wrapText="1"/>
    </xf>
    <xf numFmtId="174" fontId="13" fillId="0" borderId="21" xfId="0" applyNumberFormat="1" applyFont="1" applyBorder="1" applyAlignment="1">
      <alignment vertical="center" wrapText="1"/>
    </xf>
    <xf numFmtId="174" fontId="15" fillId="0" borderId="21" xfId="0" applyNumberFormat="1" applyFont="1" applyBorder="1" applyAlignment="1">
      <alignment vertical="center" wrapText="1"/>
    </xf>
    <xf numFmtId="0" fontId="17" fillId="10" borderId="18" xfId="0" applyFont="1" applyFill="1" applyBorder="1" applyAlignment="1">
      <alignment vertical="center" wrapText="1"/>
    </xf>
    <xf numFmtId="0" fontId="17" fillId="10" borderId="19" xfId="0" applyFont="1" applyFill="1" applyBorder="1" applyAlignment="1">
      <alignment vertical="center" wrapText="1"/>
    </xf>
    <xf numFmtId="175" fontId="13" fillId="0" borderId="21" xfId="0" applyNumberFormat="1" applyFont="1" applyBorder="1" applyAlignment="1">
      <alignment vertical="center" wrapText="1"/>
    </xf>
    <xf numFmtId="49" fontId="13" fillId="0" borderId="21" xfId="0" applyNumberFormat="1" applyFont="1" applyBorder="1" applyAlignment="1">
      <alignment horizontal="center" vertical="center" wrapText="1"/>
    </xf>
    <xf numFmtId="173" fontId="14" fillId="0" borderId="21" xfId="0" applyNumberFormat="1" applyFont="1" applyBorder="1" applyAlignment="1">
      <alignment vertical="center" wrapText="1"/>
    </xf>
    <xf numFmtId="1" fontId="15" fillId="0" borderId="21" xfId="0" applyNumberFormat="1" applyFont="1" applyBorder="1" applyAlignment="1">
      <alignment vertical="center" wrapText="1"/>
    </xf>
    <xf numFmtId="0" fontId="15" fillId="0" borderId="21" xfId="0" applyFont="1" applyBorder="1" applyAlignment="1">
      <alignment vertical="center" wrapText="1"/>
    </xf>
    <xf numFmtId="0" fontId="95" fillId="0" borderId="0" xfId="11"/>
    <xf numFmtId="0" fontId="18" fillId="12" borderId="25" xfId="11" applyFont="1" applyFill="1" applyBorder="1" applyAlignment="1">
      <alignment horizontal="left" vertical="center"/>
    </xf>
    <xf numFmtId="0" fontId="18" fillId="12" borderId="26" xfId="11" applyFont="1" applyFill="1" applyBorder="1" applyAlignment="1">
      <alignment horizontal="center" vertical="center" wrapText="1"/>
    </xf>
    <xf numFmtId="0" fontId="18" fillId="12" borderId="26" xfId="11" applyFont="1" applyFill="1" applyBorder="1" applyAlignment="1">
      <alignment horizontal="center" vertical="center"/>
    </xf>
    <xf numFmtId="0" fontId="19" fillId="3" borderId="27" xfId="11" applyFont="1" applyFill="1" applyBorder="1" applyAlignment="1">
      <alignment horizontal="left" vertical="center"/>
    </xf>
    <xf numFmtId="0" fontId="18" fillId="3" borderId="0" xfId="11" applyFont="1" applyFill="1" applyAlignment="1">
      <alignment horizontal="center" vertical="center" wrapText="1"/>
    </xf>
    <xf numFmtId="0" fontId="18" fillId="3" borderId="0" xfId="11" applyFont="1" applyFill="1" applyAlignment="1">
      <alignment horizontal="center" vertical="center"/>
    </xf>
    <xf numFmtId="0" fontId="20" fillId="13" borderId="27" xfId="11" applyFont="1" applyFill="1" applyBorder="1" applyAlignment="1">
      <alignment horizontal="left" vertical="center"/>
    </xf>
    <xf numFmtId="0" fontId="21" fillId="13" borderId="0" xfId="11" applyFont="1" applyFill="1" applyAlignment="1">
      <alignment horizontal="center" vertical="center"/>
    </xf>
    <xf numFmtId="173" fontId="21" fillId="13" borderId="0" xfId="11" applyNumberFormat="1" applyFont="1" applyFill="1" applyAlignment="1">
      <alignment horizontal="center" vertical="center" wrapText="1"/>
    </xf>
    <xf numFmtId="3" fontId="21" fillId="13" borderId="0" xfId="11" applyNumberFormat="1" applyFont="1" applyFill="1" applyAlignment="1">
      <alignment horizontal="center" vertical="center" wrapText="1"/>
    </xf>
    <xf numFmtId="174" fontId="22" fillId="13" borderId="0" xfId="11" applyNumberFormat="1" applyFont="1" applyFill="1" applyAlignment="1">
      <alignment horizontal="center" vertical="center"/>
    </xf>
    <xf numFmtId="173" fontId="20" fillId="13" borderId="0" xfId="11" applyNumberFormat="1" applyFont="1" applyFill="1" applyAlignment="1">
      <alignment horizontal="center" vertical="center" wrapText="1"/>
    </xf>
    <xf numFmtId="0" fontId="21" fillId="13" borderId="0" xfId="11" applyFont="1" applyFill="1" applyAlignment="1">
      <alignment horizontal="center" vertical="center" wrapText="1"/>
    </xf>
    <xf numFmtId="0" fontId="19" fillId="14" borderId="27" xfId="11" applyFont="1" applyFill="1" applyBorder="1" applyAlignment="1">
      <alignment horizontal="left" vertical="center"/>
    </xf>
    <xf numFmtId="0" fontId="21" fillId="14" borderId="0" xfId="11" applyFont="1" applyFill="1" applyAlignment="1">
      <alignment horizontal="center" vertical="center"/>
    </xf>
    <xf numFmtId="0" fontId="21" fillId="14" borderId="0" xfId="11" applyFont="1" applyFill="1" applyAlignment="1">
      <alignment horizontal="center" vertical="center" wrapText="1"/>
    </xf>
    <xf numFmtId="0" fontId="22" fillId="14" borderId="0" xfId="11" applyFont="1" applyFill="1" applyAlignment="1">
      <alignment horizontal="center" vertical="center"/>
    </xf>
    <xf numFmtId="0" fontId="20" fillId="14" borderId="0" xfId="11" applyFont="1" applyFill="1" applyAlignment="1">
      <alignment horizontal="center" vertical="center" wrapText="1"/>
    </xf>
    <xf numFmtId="173" fontId="23" fillId="13" borderId="0" xfId="11" applyNumberFormat="1" applyFont="1" applyFill="1" applyAlignment="1">
      <alignment horizontal="center" vertical="center" wrapText="1"/>
    </xf>
    <xf numFmtId="0" fontId="20" fillId="13" borderId="0" xfId="11" applyFont="1" applyFill="1" applyAlignment="1">
      <alignment horizontal="center" vertical="center" wrapText="1"/>
    </xf>
    <xf numFmtId="0" fontId="24" fillId="15" borderId="28" xfId="11" applyFont="1" applyFill="1" applyBorder="1" applyAlignment="1">
      <alignment horizontal="left" vertical="center"/>
    </xf>
    <xf numFmtId="0" fontId="25" fillId="15" borderId="29" xfId="11" applyFont="1" applyFill="1" applyBorder="1" applyAlignment="1">
      <alignment horizontal="center" vertical="center"/>
    </xf>
    <xf numFmtId="0" fontId="21" fillId="15" borderId="29" xfId="11" applyFont="1" applyFill="1" applyBorder="1" applyAlignment="1">
      <alignment horizontal="center" vertical="center"/>
    </xf>
    <xf numFmtId="173" fontId="25" fillId="15" borderId="29" xfId="11" applyNumberFormat="1" applyFont="1" applyFill="1" applyBorder="1" applyAlignment="1">
      <alignment horizontal="center" vertical="center" wrapText="1"/>
    </xf>
    <xf numFmtId="3" fontId="25" fillId="15" borderId="29" xfId="11" applyNumberFormat="1" applyFont="1" applyFill="1" applyBorder="1" applyAlignment="1">
      <alignment horizontal="center" vertical="center" wrapText="1"/>
    </xf>
    <xf numFmtId="174" fontId="22" fillId="15" borderId="29" xfId="11" applyNumberFormat="1" applyFont="1" applyFill="1" applyBorder="1" applyAlignment="1">
      <alignment horizontal="center" vertical="center"/>
    </xf>
    <xf numFmtId="173" fontId="24" fillId="15" borderId="29" xfId="11" applyNumberFormat="1" applyFont="1" applyFill="1" applyBorder="1" applyAlignment="1">
      <alignment horizontal="center" vertical="center" wrapText="1"/>
    </xf>
    <xf numFmtId="3" fontId="25" fillId="15" borderId="26" xfId="11" applyNumberFormat="1" applyFont="1" applyFill="1" applyBorder="1" applyAlignment="1">
      <alignment horizontal="center" vertical="center" wrapText="1"/>
    </xf>
    <xf numFmtId="174" fontId="26" fillId="15" borderId="29" xfId="11" applyNumberFormat="1" applyFont="1" applyFill="1" applyBorder="1" applyAlignment="1">
      <alignment horizontal="center" vertical="center"/>
    </xf>
    <xf numFmtId="0" fontId="20" fillId="15" borderId="29" xfId="11" applyFont="1" applyFill="1" applyBorder="1" applyAlignment="1">
      <alignment horizontal="right" vertical="center" wrapText="1"/>
    </xf>
    <xf numFmtId="0" fontId="21" fillId="13" borderId="26" xfId="11" applyFont="1" applyFill="1" applyBorder="1" applyAlignment="1">
      <alignment horizontal="center" vertical="center" wrapText="1"/>
    </xf>
    <xf numFmtId="0" fontId="20" fillId="13" borderId="0" xfId="11" applyFont="1" applyFill="1" applyAlignment="1">
      <alignment horizontal="right" vertical="center" wrapText="1"/>
    </xf>
    <xf numFmtId="0" fontId="24" fillId="13" borderId="27" xfId="11" applyFont="1" applyFill="1" applyBorder="1" applyAlignment="1">
      <alignment horizontal="left" vertical="center"/>
    </xf>
    <xf numFmtId="174" fontId="27" fillId="13" borderId="0" xfId="11" applyNumberFormat="1" applyFont="1" applyFill="1" applyAlignment="1">
      <alignment horizontal="center" vertical="center"/>
    </xf>
    <xf numFmtId="174" fontId="22" fillId="13" borderId="0" xfId="11" applyNumberFormat="1" applyFont="1" applyFill="1" applyAlignment="1">
      <alignment horizontal="left" vertical="center"/>
    </xf>
    <xf numFmtId="0" fontId="28" fillId="13" borderId="27" xfId="11" applyFont="1" applyFill="1" applyBorder="1" applyAlignment="1">
      <alignment horizontal="left" vertical="center"/>
    </xf>
    <xf numFmtId="0" fontId="24" fillId="13" borderId="28" xfId="11" applyFont="1" applyFill="1" applyBorder="1" applyAlignment="1">
      <alignment horizontal="left" vertical="center"/>
    </xf>
    <xf numFmtId="0" fontId="21" fillId="13" borderId="29" xfId="11" applyFont="1" applyFill="1" applyBorder="1" applyAlignment="1">
      <alignment horizontal="center" vertical="center"/>
    </xf>
    <xf numFmtId="173" fontId="23" fillId="13" borderId="29" xfId="11" applyNumberFormat="1" applyFont="1" applyFill="1" applyBorder="1" applyAlignment="1">
      <alignment horizontal="center" vertical="center" wrapText="1"/>
    </xf>
    <xf numFmtId="0" fontId="21" fillId="13" borderId="29" xfId="11" applyFont="1" applyFill="1" applyBorder="1" applyAlignment="1">
      <alignment horizontal="center" vertical="center" wrapText="1"/>
    </xf>
    <xf numFmtId="174" fontId="22" fillId="13" borderId="29" xfId="11" applyNumberFormat="1" applyFont="1" applyFill="1" applyBorder="1" applyAlignment="1">
      <alignment horizontal="center" vertical="center"/>
    </xf>
    <xf numFmtId="0" fontId="20" fillId="13" borderId="29" xfId="11" applyFont="1" applyFill="1" applyBorder="1" applyAlignment="1">
      <alignment horizontal="right" vertical="center" wrapText="1"/>
    </xf>
    <xf numFmtId="166" fontId="29" fillId="3" borderId="27" xfId="21" applyFont="1" applyFill="1" applyBorder="1"/>
    <xf numFmtId="0" fontId="29" fillId="13" borderId="0" xfId="11" applyFont="1" applyFill="1" applyAlignment="1">
      <alignment horizontal="center" vertical="center"/>
    </xf>
    <xf numFmtId="169" fontId="29" fillId="13" borderId="0" xfId="11" applyNumberFormat="1" applyFont="1" applyFill="1" applyAlignment="1">
      <alignment horizontal="center" vertical="center" wrapText="1"/>
    </xf>
    <xf numFmtId="166" fontId="20" fillId="3" borderId="0" xfId="21" applyFont="1" applyFill="1" applyAlignment="1">
      <alignment horizontal="left"/>
    </xf>
    <xf numFmtId="166" fontId="30" fillId="3" borderId="27" xfId="21" applyFont="1" applyFill="1" applyBorder="1"/>
    <xf numFmtId="169" fontId="23" fillId="13" borderId="0" xfId="2" applyNumberFormat="1" applyFont="1" applyFill="1" applyAlignment="1">
      <alignment horizontal="center" vertical="center" wrapText="1"/>
    </xf>
    <xf numFmtId="0" fontId="24" fillId="3" borderId="28" xfId="11" applyFont="1" applyFill="1" applyBorder="1"/>
    <xf numFmtId="0" fontId="24" fillId="3" borderId="29" xfId="11" applyFont="1" applyFill="1" applyBorder="1"/>
    <xf numFmtId="0" fontId="20" fillId="3" borderId="29" xfId="11" applyFont="1" applyFill="1" applyBorder="1" applyAlignment="1">
      <alignment horizontal="right"/>
    </xf>
    <xf numFmtId="0" fontId="24" fillId="13" borderId="28" xfId="11" applyFont="1" applyFill="1" applyBorder="1"/>
    <xf numFmtId="0" fontId="24" fillId="13" borderId="29" xfId="11" applyFont="1" applyFill="1" applyBorder="1"/>
    <xf numFmtId="0" fontId="20" fillId="13" borderId="29" xfId="11" applyFont="1" applyFill="1" applyBorder="1" applyAlignment="1">
      <alignment horizontal="right"/>
    </xf>
    <xf numFmtId="0" fontId="24" fillId="13" borderId="27" xfId="11" applyFont="1" applyFill="1" applyBorder="1"/>
    <xf numFmtId="0" fontId="24" fillId="13" borderId="0" xfId="11" applyFont="1" applyFill="1"/>
    <xf numFmtId="0" fontId="20" fillId="13" borderId="0" xfId="11" applyFont="1" applyFill="1" applyAlignment="1">
      <alignment horizontal="right"/>
    </xf>
    <xf numFmtId="0" fontId="24" fillId="13" borderId="0" xfId="11" applyFont="1" applyFill="1" applyAlignment="1">
      <alignment horizontal="center"/>
    </xf>
    <xf numFmtId="0" fontId="20" fillId="13" borderId="27" xfId="11" applyFont="1" applyFill="1" applyBorder="1" applyAlignment="1">
      <alignment horizontal="left" indent="1"/>
    </xf>
    <xf numFmtId="0" fontId="20" fillId="13" borderId="0" xfId="11" applyFont="1" applyFill="1"/>
    <xf numFmtId="173" fontId="20" fillId="13" borderId="0" xfId="11" applyNumberFormat="1" applyFont="1" applyFill="1" applyAlignment="1">
      <alignment horizontal="center"/>
    </xf>
    <xf numFmtId="10" fontId="22" fillId="13" borderId="0" xfId="11" applyNumberFormat="1" applyFont="1" applyFill="1" applyAlignment="1">
      <alignment horizontal="center"/>
    </xf>
    <xf numFmtId="173" fontId="22" fillId="13" borderId="0" xfId="11" applyNumberFormat="1" applyFont="1" applyFill="1" applyAlignment="1">
      <alignment horizontal="center"/>
    </xf>
    <xf numFmtId="0" fontId="24" fillId="13" borderId="0" xfId="11" applyFont="1" applyFill="1" applyAlignment="1">
      <alignment horizontal="right"/>
    </xf>
    <xf numFmtId="0" fontId="24" fillId="13" borderId="25" xfId="11" applyFont="1" applyFill="1" applyBorder="1" applyAlignment="1">
      <alignment horizontal="left"/>
    </xf>
    <xf numFmtId="0" fontId="24" fillId="13" borderId="26" xfId="11" applyFont="1" applyFill="1" applyBorder="1" applyAlignment="1">
      <alignment horizontal="left"/>
    </xf>
    <xf numFmtId="0" fontId="20" fillId="13" borderId="26" xfId="11" applyFont="1" applyFill="1" applyBorder="1" applyAlignment="1">
      <alignment horizontal="right"/>
    </xf>
    <xf numFmtId="10" fontId="26" fillId="13" borderId="26" xfId="11" applyNumberFormat="1" applyFont="1" applyFill="1" applyBorder="1" applyAlignment="1">
      <alignment horizontal="center"/>
    </xf>
    <xf numFmtId="173" fontId="26" fillId="13" borderId="26" xfId="11" applyNumberFormat="1" applyFont="1" applyFill="1" applyBorder="1" applyAlignment="1">
      <alignment horizontal="center"/>
    </xf>
    <xf numFmtId="0" fontId="24" fillId="13" borderId="26" xfId="11" applyFont="1" applyFill="1" applyBorder="1" applyAlignment="1">
      <alignment horizontal="right"/>
    </xf>
    <xf numFmtId="0" fontId="20" fillId="13" borderId="27" xfId="11" applyFont="1" applyFill="1" applyBorder="1"/>
    <xf numFmtId="0" fontId="20" fillId="13" borderId="0" xfId="11" applyFont="1" applyFill="1" applyAlignment="1">
      <alignment horizontal="center"/>
    </xf>
    <xf numFmtId="0" fontId="24" fillId="16" borderId="25" xfId="11" applyFont="1" applyFill="1" applyBorder="1"/>
    <xf numFmtId="0" fontId="20" fillId="16" borderId="26" xfId="11" applyFont="1" applyFill="1" applyBorder="1" applyAlignment="1">
      <alignment horizontal="right"/>
    </xf>
    <xf numFmtId="0" fontId="24" fillId="13" borderId="30" xfId="11" applyFont="1" applyFill="1" applyBorder="1"/>
    <xf numFmtId="0" fontId="24" fillId="13" borderId="31" xfId="11" applyFont="1" applyFill="1" applyBorder="1" applyAlignment="1">
      <alignment horizontal="center"/>
    </xf>
    <xf numFmtId="169" fontId="21" fillId="13" borderId="0" xfId="11" applyNumberFormat="1" applyFont="1" applyFill="1" applyAlignment="1">
      <alignment horizontal="center"/>
    </xf>
    <xf numFmtId="10" fontId="21" fillId="13" borderId="0" xfId="11" applyNumberFormat="1" applyFont="1" applyFill="1" applyAlignment="1">
      <alignment horizontal="center"/>
    </xf>
    <xf numFmtId="0" fontId="21" fillId="13" borderId="0" xfId="11" applyFont="1" applyFill="1" applyAlignment="1">
      <alignment horizontal="center"/>
    </xf>
    <xf numFmtId="2" fontId="22" fillId="18" borderId="0" xfId="11" applyNumberFormat="1" applyFont="1" applyFill="1" applyAlignment="1">
      <alignment horizontal="center"/>
    </xf>
    <xf numFmtId="0" fontId="18" fillId="3" borderId="0" xfId="11" applyFont="1" applyFill="1" applyAlignment="1">
      <alignment horizontal="center"/>
    </xf>
    <xf numFmtId="0" fontId="20" fillId="19" borderId="25" xfId="11" applyFont="1" applyFill="1" applyBorder="1" applyAlignment="1">
      <alignment horizontal="left"/>
    </xf>
    <xf numFmtId="175" fontId="22" fillId="19" borderId="34" xfId="4" applyNumberFormat="1" applyFont="1" applyFill="1" applyBorder="1" applyAlignment="1">
      <alignment horizontal="right" vertical="center"/>
    </xf>
    <xf numFmtId="0" fontId="21" fillId="13" borderId="0" xfId="11" applyFont="1" applyFill="1" applyAlignment="1">
      <alignment horizontal="right"/>
    </xf>
    <xf numFmtId="0" fontId="22" fillId="19" borderId="26" xfId="11" applyFont="1" applyFill="1" applyBorder="1" applyAlignment="1">
      <alignment horizontal="right"/>
    </xf>
    <xf numFmtId="0" fontId="20" fillId="19" borderId="26" xfId="11" applyFont="1" applyFill="1" applyBorder="1"/>
    <xf numFmtId="0" fontId="20" fillId="19" borderId="27" xfId="11" applyFont="1" applyFill="1" applyBorder="1" applyAlignment="1">
      <alignment horizontal="left"/>
    </xf>
    <xf numFmtId="0" fontId="22" fillId="13" borderId="0" xfId="11" applyFont="1" applyFill="1" applyAlignment="1">
      <alignment horizontal="right"/>
    </xf>
    <xf numFmtId="0" fontId="24" fillId="13" borderId="0" xfId="11" applyFont="1" applyFill="1" applyAlignment="1">
      <alignment horizontal="left"/>
    </xf>
    <xf numFmtId="0" fontId="22" fillId="19" borderId="0" xfId="11" applyFont="1" applyFill="1" applyAlignment="1">
      <alignment horizontal="right"/>
    </xf>
    <xf numFmtId="0" fontId="20" fillId="19" borderId="0" xfId="11" applyFont="1" applyFill="1"/>
    <xf numFmtId="0" fontId="22" fillId="19" borderId="34" xfId="11" applyFont="1" applyFill="1" applyBorder="1" applyAlignment="1">
      <alignment horizontal="right" vertical="center"/>
    </xf>
    <xf numFmtId="165" fontId="22" fillId="19" borderId="34" xfId="4" applyFont="1" applyFill="1" applyBorder="1" applyAlignment="1">
      <alignment horizontal="right"/>
    </xf>
    <xf numFmtId="0" fontId="20" fillId="19" borderId="0" xfId="11" applyFont="1" applyFill="1" applyAlignment="1">
      <alignment horizontal="left"/>
    </xf>
    <xf numFmtId="0" fontId="20" fillId="19" borderId="32" xfId="11" applyFont="1" applyFill="1" applyBorder="1" applyAlignment="1">
      <alignment horizontal="left"/>
    </xf>
    <xf numFmtId="0" fontId="22" fillId="19" borderId="33" xfId="11" applyFont="1" applyFill="1" applyBorder="1" applyAlignment="1">
      <alignment horizontal="right"/>
    </xf>
    <xf numFmtId="0" fontId="20" fillId="19" borderId="33" xfId="11" applyFont="1" applyFill="1" applyBorder="1" applyAlignment="1">
      <alignment horizontal="left"/>
    </xf>
    <xf numFmtId="10" fontId="21" fillId="19" borderId="34" xfId="11" applyNumberFormat="1" applyFont="1" applyFill="1" applyBorder="1" applyAlignment="1">
      <alignment horizontal="right"/>
    </xf>
    <xf numFmtId="165" fontId="22" fillId="13" borderId="0" xfId="11" applyNumberFormat="1" applyFont="1" applyFill="1" applyAlignment="1">
      <alignment horizontal="right"/>
    </xf>
    <xf numFmtId="0" fontId="20" fillId="19" borderId="26" xfId="11" applyFont="1" applyFill="1" applyBorder="1" applyAlignment="1">
      <alignment horizontal="left"/>
    </xf>
    <xf numFmtId="0" fontId="20" fillId="19" borderId="26" xfId="11" applyFont="1" applyFill="1" applyBorder="1" applyAlignment="1">
      <alignment horizontal="right"/>
    </xf>
    <xf numFmtId="165" fontId="22" fillId="19" borderId="35" xfId="4" applyFont="1" applyFill="1" applyBorder="1" applyAlignment="1">
      <alignment horizontal="right"/>
    </xf>
    <xf numFmtId="0" fontId="20" fillId="19" borderId="0" xfId="11" applyFont="1" applyFill="1" applyAlignment="1">
      <alignment horizontal="right"/>
    </xf>
    <xf numFmtId="0" fontId="20" fillId="13" borderId="27" xfId="11" applyFont="1" applyFill="1" applyBorder="1" applyAlignment="1">
      <alignment horizontal="left"/>
    </xf>
    <xf numFmtId="0" fontId="20" fillId="19" borderId="33" xfId="11" applyFont="1" applyFill="1" applyBorder="1" applyAlignment="1">
      <alignment horizontal="right"/>
    </xf>
    <xf numFmtId="0" fontId="20" fillId="13" borderId="32" xfId="11" applyFont="1" applyFill="1" applyBorder="1" applyAlignment="1">
      <alignment horizontal="left"/>
    </xf>
    <xf numFmtId="0" fontId="22" fillId="13" borderId="33" xfId="11" applyFont="1" applyFill="1" applyBorder="1" applyAlignment="1">
      <alignment horizontal="right"/>
    </xf>
    <xf numFmtId="0" fontId="20" fillId="13" borderId="33" xfId="11" applyFont="1" applyFill="1" applyBorder="1"/>
    <xf numFmtId="0" fontId="20" fillId="13" borderId="33" xfId="11" applyFont="1" applyFill="1" applyBorder="1" applyAlignment="1">
      <alignment horizontal="right"/>
    </xf>
    <xf numFmtId="0" fontId="20" fillId="13" borderId="33" xfId="11" applyFont="1" applyFill="1" applyBorder="1" applyAlignment="1">
      <alignment horizontal="left"/>
    </xf>
    <xf numFmtId="0" fontId="18" fillId="12" borderId="36" xfId="11" applyFont="1" applyFill="1" applyBorder="1" applyAlignment="1">
      <alignment horizontal="center" vertical="center" wrapText="1"/>
    </xf>
    <xf numFmtId="0" fontId="18" fillId="3" borderId="34" xfId="11" applyFont="1" applyFill="1" applyBorder="1" applyAlignment="1">
      <alignment horizontal="center" vertical="center" wrapText="1"/>
    </xf>
    <xf numFmtId="173" fontId="22" fillId="13" borderId="34" xfId="11" applyNumberFormat="1" applyFont="1" applyFill="1" applyBorder="1" applyAlignment="1">
      <alignment horizontal="right" vertical="center" wrapText="1"/>
    </xf>
    <xf numFmtId="0" fontId="22" fillId="14" borderId="34" xfId="11" applyFont="1" applyFill="1" applyBorder="1" applyAlignment="1">
      <alignment horizontal="right" vertical="center" wrapText="1"/>
    </xf>
    <xf numFmtId="173" fontId="26" fillId="15" borderId="37" xfId="11" applyNumberFormat="1" applyFont="1" applyFill="1" applyBorder="1" applyAlignment="1">
      <alignment horizontal="right" vertical="center" wrapText="1"/>
    </xf>
    <xf numFmtId="173" fontId="22" fillId="15" borderId="37" xfId="11" applyNumberFormat="1" applyFont="1" applyFill="1" applyBorder="1" applyAlignment="1">
      <alignment horizontal="right" vertical="center" wrapText="1"/>
    </xf>
    <xf numFmtId="173" fontId="26" fillId="13" borderId="34" xfId="11" applyNumberFormat="1" applyFont="1" applyFill="1" applyBorder="1" applyAlignment="1">
      <alignment horizontal="right" vertical="center" wrapText="1"/>
    </xf>
    <xf numFmtId="173" fontId="26" fillId="13" borderId="37" xfId="11" applyNumberFormat="1" applyFont="1" applyFill="1" applyBorder="1" applyAlignment="1">
      <alignment horizontal="right" vertical="center" wrapText="1"/>
    </xf>
    <xf numFmtId="176" fontId="22" fillId="13" borderId="34" xfId="11" applyNumberFormat="1" applyFont="1" applyFill="1" applyBorder="1" applyAlignment="1">
      <alignment horizontal="right"/>
    </xf>
    <xf numFmtId="0" fontId="24" fillId="13" borderId="37" xfId="11" applyFont="1" applyFill="1" applyBorder="1" applyAlignment="1">
      <alignment horizontal="right"/>
    </xf>
    <xf numFmtId="0" fontId="20" fillId="13" borderId="34" xfId="11" applyFont="1" applyFill="1" applyBorder="1" applyAlignment="1">
      <alignment horizontal="right"/>
    </xf>
    <xf numFmtId="165" fontId="29" fillId="13" borderId="34" xfId="4" applyFont="1" applyFill="1" applyBorder="1" applyAlignment="1">
      <alignment horizontal="right"/>
    </xf>
    <xf numFmtId="165" fontId="26" fillId="13" borderId="36" xfId="4" applyFont="1" applyFill="1" applyBorder="1" applyAlignment="1">
      <alignment horizontal="right"/>
    </xf>
    <xf numFmtId="165" fontId="26" fillId="16" borderId="36" xfId="4" applyFont="1" applyFill="1" applyBorder="1" applyAlignment="1">
      <alignment horizontal="right"/>
    </xf>
    <xf numFmtId="0" fontId="24" fillId="13" borderId="38" xfId="11" applyFont="1" applyFill="1" applyBorder="1" applyAlignment="1">
      <alignment horizontal="right"/>
    </xf>
    <xf numFmtId="177" fontId="22" fillId="3" borderId="39" xfId="11" applyNumberFormat="1" applyFont="1" applyFill="1" applyBorder="1"/>
    <xf numFmtId="173" fontId="26" fillId="13" borderId="34" xfId="11" applyNumberFormat="1" applyFont="1" applyFill="1" applyBorder="1" applyAlignment="1">
      <alignment horizontal="right"/>
    </xf>
    <xf numFmtId="175" fontId="20" fillId="19" borderId="36" xfId="4" applyNumberFormat="1" applyFont="1" applyFill="1" applyBorder="1" applyAlignment="1">
      <alignment horizontal="right"/>
    </xf>
    <xf numFmtId="175" fontId="22" fillId="19" borderId="34" xfId="4" applyNumberFormat="1" applyFont="1" applyFill="1" applyBorder="1" applyAlignment="1">
      <alignment horizontal="right"/>
    </xf>
    <xf numFmtId="9" fontId="20" fillId="19" borderId="34" xfId="11" applyNumberFormat="1" applyFont="1" applyFill="1" applyBorder="1" applyAlignment="1">
      <alignment horizontal="right"/>
    </xf>
    <xf numFmtId="173" fontId="22" fillId="19" borderId="34" xfId="11" applyNumberFormat="1" applyFont="1" applyFill="1" applyBorder="1" applyAlignment="1">
      <alignment horizontal="right"/>
    </xf>
    <xf numFmtId="173" fontId="22" fillId="19" borderId="35" xfId="11" applyNumberFormat="1" applyFont="1" applyFill="1" applyBorder="1" applyAlignment="1">
      <alignment horizontal="right"/>
    </xf>
    <xf numFmtId="173" fontId="20" fillId="19" borderId="36" xfId="11" applyNumberFormat="1" applyFont="1" applyFill="1" applyBorder="1" applyAlignment="1">
      <alignment horizontal="right"/>
    </xf>
    <xf numFmtId="173" fontId="20" fillId="19" borderId="34" xfId="11" applyNumberFormat="1" applyFont="1" applyFill="1" applyBorder="1" applyAlignment="1">
      <alignment horizontal="right"/>
    </xf>
    <xf numFmtId="173" fontId="20" fillId="19" borderId="35" xfId="11" applyNumberFormat="1" applyFont="1" applyFill="1" applyBorder="1" applyAlignment="1">
      <alignment horizontal="right"/>
    </xf>
    <xf numFmtId="165" fontId="0" fillId="0" borderId="0" xfId="4" applyFont="1" applyAlignment="1"/>
    <xf numFmtId="0" fontId="20" fillId="13" borderId="35" xfId="11" applyFont="1" applyFill="1" applyBorder="1" applyAlignment="1">
      <alignment horizontal="right"/>
    </xf>
    <xf numFmtId="0" fontId="20" fillId="13" borderId="0" xfId="11" applyFont="1" applyFill="1" applyAlignment="1">
      <alignment horizontal="left"/>
    </xf>
    <xf numFmtId="0" fontId="18" fillId="20" borderId="25" xfId="11" applyFont="1" applyFill="1" applyBorder="1" applyAlignment="1">
      <alignment horizontal="left" vertical="center"/>
    </xf>
    <xf numFmtId="0" fontId="18" fillId="20" borderId="26" xfId="11" applyFont="1" applyFill="1" applyBorder="1" applyAlignment="1">
      <alignment horizontal="center" vertical="center" wrapText="1"/>
    </xf>
    <xf numFmtId="0" fontId="18" fillId="20" borderId="36" xfId="11" applyFont="1" applyFill="1" applyBorder="1" applyAlignment="1">
      <alignment horizontal="center" vertical="center" wrapText="1"/>
    </xf>
    <xf numFmtId="0" fontId="18" fillId="20" borderId="25" xfId="11" applyFont="1" applyFill="1" applyBorder="1" applyAlignment="1">
      <alignment horizontal="center" vertical="center" wrapText="1"/>
    </xf>
    <xf numFmtId="0" fontId="18" fillId="20" borderId="26" xfId="11" applyFont="1" applyFill="1" applyBorder="1" applyAlignment="1">
      <alignment horizontal="center" vertical="center"/>
    </xf>
    <xf numFmtId="173" fontId="22" fillId="13" borderId="0" xfId="11" applyNumberFormat="1" applyFont="1" applyFill="1" applyAlignment="1">
      <alignment horizontal="right"/>
    </xf>
    <xf numFmtId="10" fontId="22" fillId="13" borderId="34" xfId="22" applyNumberFormat="1" applyFont="1" applyFill="1" applyBorder="1" applyAlignment="1">
      <alignment horizontal="right"/>
    </xf>
    <xf numFmtId="166" fontId="20" fillId="13" borderId="0" xfId="11" applyNumberFormat="1" applyFont="1" applyFill="1" applyAlignment="1">
      <alignment horizontal="left"/>
    </xf>
    <xf numFmtId="166" fontId="20" fillId="13" borderId="0" xfId="11" applyNumberFormat="1" applyFont="1" applyFill="1" applyAlignment="1">
      <alignment horizontal="right"/>
    </xf>
    <xf numFmtId="166" fontId="22" fillId="13" borderId="0" xfId="11" applyNumberFormat="1" applyFont="1" applyFill="1" applyAlignment="1">
      <alignment horizontal="right"/>
    </xf>
    <xf numFmtId="0" fontId="22" fillId="13" borderId="34" xfId="11" applyFont="1" applyFill="1" applyBorder="1" applyAlignment="1">
      <alignment horizontal="right"/>
    </xf>
    <xf numFmtId="0" fontId="20" fillId="14" borderId="27" xfId="11" applyFont="1" applyFill="1" applyBorder="1"/>
    <xf numFmtId="0" fontId="20" fillId="14" borderId="0" xfId="11" applyFont="1" applyFill="1" applyAlignment="1">
      <alignment horizontal="right"/>
    </xf>
    <xf numFmtId="166" fontId="20" fillId="14" borderId="0" xfId="11" applyNumberFormat="1" applyFont="1" applyFill="1" applyAlignment="1">
      <alignment horizontal="left"/>
    </xf>
    <xf numFmtId="166" fontId="20" fillId="14" borderId="0" xfId="11" applyNumberFormat="1" applyFont="1" applyFill="1" applyAlignment="1">
      <alignment horizontal="right"/>
    </xf>
    <xf numFmtId="0" fontId="32" fillId="20" borderId="32" xfId="11" applyFont="1" applyFill="1" applyBorder="1" applyAlignment="1">
      <alignment horizontal="left"/>
    </xf>
    <xf numFmtId="166" fontId="32" fillId="20" borderId="33" xfId="11" applyNumberFormat="1" applyFont="1" applyFill="1" applyBorder="1" applyAlignment="1">
      <alignment horizontal="right"/>
    </xf>
    <xf numFmtId="10" fontId="32" fillId="20" borderId="35" xfId="22" applyNumberFormat="1" applyFont="1" applyFill="1" applyBorder="1" applyAlignment="1">
      <alignment horizontal="right"/>
    </xf>
    <xf numFmtId="0" fontId="32" fillId="20" borderId="32" xfId="11" applyFont="1" applyFill="1" applyBorder="1"/>
    <xf numFmtId="0" fontId="32" fillId="20" borderId="33" xfId="11" applyFont="1" applyFill="1" applyBorder="1" applyAlignment="1">
      <alignment horizontal="right"/>
    </xf>
    <xf numFmtId="166" fontId="32" fillId="20" borderId="33" xfId="11" applyNumberFormat="1" applyFont="1" applyFill="1" applyBorder="1" applyAlignment="1">
      <alignment horizontal="left"/>
    </xf>
    <xf numFmtId="10" fontId="20" fillId="13" borderId="34" xfId="22" applyNumberFormat="1" applyFont="1" applyFill="1" applyBorder="1" applyAlignment="1">
      <alignment horizontal="right"/>
    </xf>
    <xf numFmtId="10" fontId="20" fillId="14" borderId="34" xfId="22" applyNumberFormat="1" applyFont="1" applyFill="1" applyBorder="1" applyAlignment="1">
      <alignment horizontal="right"/>
    </xf>
    <xf numFmtId="0" fontId="11" fillId="10" borderId="40" xfId="0" applyFont="1" applyFill="1" applyBorder="1" applyAlignment="1">
      <alignment vertical="center" wrapText="1"/>
    </xf>
    <xf numFmtId="0" fontId="11" fillId="10" borderId="41" xfId="0" applyFont="1" applyFill="1" applyBorder="1" applyAlignment="1">
      <alignment vertical="center" wrapText="1"/>
    </xf>
    <xf numFmtId="0" fontId="11" fillId="10" borderId="42" xfId="0" applyFont="1" applyFill="1" applyBorder="1" applyAlignment="1">
      <alignment vertical="center" wrapText="1"/>
    </xf>
    <xf numFmtId="0" fontId="33" fillId="0" borderId="43" xfId="0" applyFont="1" applyBorder="1" applyAlignment="1">
      <alignment vertical="center" wrapText="1"/>
    </xf>
    <xf numFmtId="0" fontId="33" fillId="0" borderId="18" xfId="0" applyFont="1" applyBorder="1" applyAlignment="1">
      <alignment vertical="center" wrapText="1"/>
    </xf>
    <xf numFmtId="0" fontId="33" fillId="0" borderId="44" xfId="0" applyFont="1" applyBorder="1" applyAlignment="1">
      <alignment vertical="center" wrapText="1"/>
    </xf>
    <xf numFmtId="0" fontId="12" fillId="0" borderId="45" xfId="0" applyFont="1" applyBorder="1" applyAlignment="1">
      <alignment horizontal="center" vertical="center" wrapText="1"/>
    </xf>
    <xf numFmtId="0" fontId="12" fillId="0" borderId="46" xfId="0" applyFont="1" applyBorder="1" applyAlignment="1">
      <alignment horizontal="center" vertical="center" wrapText="1"/>
    </xf>
    <xf numFmtId="0" fontId="12" fillId="0" borderId="47"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46" xfId="0" applyFont="1" applyBorder="1" applyAlignment="1">
      <alignment horizontal="center" vertical="center" wrapText="1"/>
    </xf>
    <xf numFmtId="15" fontId="13" fillId="0" borderId="46" xfId="0" applyNumberFormat="1" applyFont="1" applyBorder="1" applyAlignment="1">
      <alignment horizontal="center" vertical="center" wrapText="1"/>
    </xf>
    <xf numFmtId="5" fontId="13" fillId="0" borderId="46" xfId="0" applyNumberFormat="1" applyFont="1" applyBorder="1" applyAlignment="1">
      <alignment horizontal="center" vertical="center" wrapText="1"/>
    </xf>
    <xf numFmtId="5" fontId="13" fillId="0" borderId="47" xfId="0" applyNumberFormat="1" applyFont="1" applyBorder="1" applyAlignment="1">
      <alignment horizontal="center" vertical="center" wrapText="1"/>
    </xf>
    <xf numFmtId="0" fontId="12" fillId="0" borderId="43" xfId="0" applyFont="1" applyBorder="1" applyAlignment="1">
      <alignment vertical="center" wrapText="1"/>
    </xf>
    <xf numFmtId="0" fontId="12" fillId="0" borderId="18" xfId="0" applyFont="1" applyBorder="1" applyAlignment="1">
      <alignment vertical="center"/>
    </xf>
    <xf numFmtId="0" fontId="12" fillId="0" borderId="44" xfId="0" applyFont="1" applyBorder="1" applyAlignment="1">
      <alignment vertical="center"/>
    </xf>
    <xf numFmtId="9" fontId="13" fillId="0" borderId="46" xfId="0" applyNumberFormat="1" applyFont="1" applyBorder="1" applyAlignment="1">
      <alignment horizontal="center" vertical="center" wrapText="1"/>
    </xf>
    <xf numFmtId="0" fontId="13" fillId="0" borderId="47" xfId="0" applyFont="1" applyBorder="1" applyAlignment="1">
      <alignment horizontal="center" vertical="center" wrapText="1"/>
    </xf>
    <xf numFmtId="9" fontId="13" fillId="0" borderId="47" xfId="0" applyNumberFormat="1" applyFont="1" applyBorder="1" applyAlignment="1">
      <alignment horizontal="center" vertical="center" wrapText="1"/>
    </xf>
    <xf numFmtId="0" fontId="13" fillId="0" borderId="48" xfId="0" applyFont="1" applyBorder="1" applyAlignment="1">
      <alignment horizontal="center" vertical="center" wrapText="1"/>
    </xf>
    <xf numFmtId="0" fontId="13" fillId="0" borderId="49" xfId="0" applyFont="1" applyBorder="1" applyAlignment="1">
      <alignment horizontal="center" vertical="center" wrapText="1"/>
    </xf>
    <xf numFmtId="0" fontId="14" fillId="0" borderId="49" xfId="0" applyFont="1" applyBorder="1" applyAlignment="1">
      <alignment horizontal="center" vertical="center" wrapText="1"/>
    </xf>
    <xf numFmtId="9" fontId="13" fillId="0" borderId="50" xfId="0" applyNumberFormat="1" applyFont="1" applyBorder="1" applyAlignment="1">
      <alignment horizontal="center" vertical="center" wrapText="1"/>
    </xf>
    <xf numFmtId="0" fontId="34" fillId="21" borderId="11" xfId="0" applyFont="1" applyFill="1" applyBorder="1" applyAlignment="1">
      <alignment horizontal="center" vertical="center"/>
    </xf>
    <xf numFmtId="0" fontId="0" fillId="0" borderId="11" xfId="0" applyBorder="1"/>
    <xf numFmtId="0" fontId="34" fillId="21" borderId="11" xfId="0" applyFont="1" applyFill="1" applyBorder="1" applyAlignment="1">
      <alignment horizontal="center"/>
    </xf>
    <xf numFmtId="0" fontId="34" fillId="0" borderId="11" xfId="0" applyFont="1" applyBorder="1" applyAlignment="1">
      <alignment horizontal="center"/>
    </xf>
    <xf numFmtId="17" fontId="0" fillId="0" borderId="11" xfId="0" applyNumberFormat="1" applyBorder="1" applyAlignment="1">
      <alignment horizontal="center"/>
    </xf>
    <xf numFmtId="0" fontId="34" fillId="0" borderId="11" xfId="0" applyFont="1" applyBorder="1" applyAlignment="1">
      <alignment horizontal="center" vertical="center"/>
    </xf>
    <xf numFmtId="173" fontId="0" fillId="0" borderId="11" xfId="0" applyNumberFormat="1" applyBorder="1"/>
    <xf numFmtId="0" fontId="34" fillId="21" borderId="11" xfId="0" applyFont="1" applyFill="1" applyBorder="1"/>
    <xf numFmtId="173" fontId="34" fillId="21" borderId="11" xfId="0" applyNumberFormat="1" applyFont="1" applyFill="1" applyBorder="1"/>
    <xf numFmtId="0" fontId="34" fillId="0" borderId="11" xfId="0" applyFont="1" applyBorder="1"/>
    <xf numFmtId="0" fontId="0" fillId="0" borderId="0" xfId="0" applyAlignment="1">
      <alignment vertical="center"/>
    </xf>
    <xf numFmtId="173" fontId="0" fillId="0" borderId="0" xfId="0" applyNumberFormat="1"/>
    <xf numFmtId="9" fontId="0" fillId="0" borderId="0" xfId="2" applyFont="1" applyAlignment="1"/>
    <xf numFmtId="0" fontId="13" fillId="0" borderId="0" xfId="0" applyFont="1"/>
    <xf numFmtId="0" fontId="13" fillId="0" borderId="0" xfId="0" applyFont="1" applyAlignment="1">
      <alignment vertical="center"/>
    </xf>
    <xf numFmtId="0" fontId="12" fillId="0" borderId="10" xfId="0" applyFont="1" applyBorder="1" applyAlignment="1">
      <alignment horizontal="left" vertical="center" wrapText="1"/>
    </xf>
    <xf numFmtId="0" fontId="13" fillId="0" borderId="0" xfId="0" applyFont="1" applyAlignment="1">
      <alignment horizontal="left" vertical="center" wrapText="1"/>
    </xf>
    <xf numFmtId="10" fontId="13" fillId="0" borderId="11" xfId="0" applyNumberFormat="1" applyFont="1" applyBorder="1" applyAlignment="1">
      <alignment horizontal="right" vertical="center" wrapText="1"/>
    </xf>
    <xf numFmtId="0" fontId="12" fillId="0" borderId="13" xfId="0" applyFont="1" applyBorder="1" applyAlignment="1">
      <alignment horizontal="left" vertical="center" wrapText="1"/>
    </xf>
    <xf numFmtId="0" fontId="12" fillId="0" borderId="10" xfId="0" applyFont="1" applyBorder="1" applyAlignment="1">
      <alignment vertical="center" wrapText="1"/>
    </xf>
    <xf numFmtId="173" fontId="13" fillId="0" borderId="11" xfId="0" applyNumberFormat="1" applyFont="1" applyBorder="1" applyAlignment="1">
      <alignment horizontal="right" vertical="center" wrapText="1"/>
    </xf>
    <xf numFmtId="0" fontId="13" fillId="0" borderId="11" xfId="0" applyFont="1" applyBorder="1" applyAlignment="1">
      <alignment vertical="center" wrapText="1"/>
    </xf>
    <xf numFmtId="10" fontId="13" fillId="0" borderId="12" xfId="0" applyNumberFormat="1" applyFont="1" applyBorder="1" applyAlignment="1">
      <alignment horizontal="right" vertical="center" wrapText="1"/>
    </xf>
    <xf numFmtId="0" fontId="13" fillId="0" borderId="11" xfId="0" applyFont="1" applyBorder="1" applyAlignment="1">
      <alignment horizontal="right" vertical="center" wrapText="1"/>
    </xf>
    <xf numFmtId="0" fontId="12" fillId="0" borderId="57" xfId="0" applyFont="1" applyBorder="1" applyAlignment="1">
      <alignment vertical="center" wrapText="1"/>
    </xf>
    <xf numFmtId="0" fontId="13" fillId="0" borderId="58" xfId="0" applyFont="1" applyBorder="1" applyAlignment="1">
      <alignment horizontal="right" vertical="center" wrapText="1"/>
    </xf>
    <xf numFmtId="0" fontId="12" fillId="0" borderId="13" xfId="0" applyFont="1" applyBorder="1" applyAlignment="1">
      <alignment vertical="center" wrapText="1"/>
    </xf>
    <xf numFmtId="174" fontId="12" fillId="0" borderId="14" xfId="0" applyNumberFormat="1" applyFont="1" applyBorder="1" applyAlignment="1">
      <alignment horizontal="right" vertical="center" wrapText="1"/>
    </xf>
    <xf numFmtId="9" fontId="12" fillId="0" borderId="14" xfId="0" applyNumberFormat="1" applyFont="1" applyBorder="1" applyAlignment="1">
      <alignment horizontal="right" vertical="center" wrapText="1"/>
    </xf>
    <xf numFmtId="0" fontId="12" fillId="0" borderId="14" xfId="0" applyFont="1" applyBorder="1" applyAlignment="1">
      <alignment vertical="center" wrapText="1"/>
    </xf>
    <xf numFmtId="10" fontId="12" fillId="0" borderId="15" xfId="0" applyNumberFormat="1" applyFont="1" applyBorder="1" applyAlignment="1">
      <alignment horizontal="right" vertical="center" wrapText="1"/>
    </xf>
    <xf numFmtId="0" fontId="37" fillId="3" borderId="9" xfId="0" applyFont="1" applyFill="1" applyBorder="1" applyAlignment="1">
      <alignment horizontal="left" vertical="center" wrapText="1"/>
    </xf>
    <xf numFmtId="0" fontId="37" fillId="3" borderId="0" xfId="0" applyFont="1" applyFill="1" applyAlignment="1">
      <alignment horizontal="left" vertical="center" wrapText="1"/>
    </xf>
    <xf numFmtId="0" fontId="37" fillId="3" borderId="53" xfId="0" applyFont="1" applyFill="1" applyBorder="1" applyAlignment="1">
      <alignment horizontal="left" vertical="center" wrapText="1"/>
    </xf>
    <xf numFmtId="0" fontId="13" fillId="0" borderId="0" xfId="0" applyFont="1" applyAlignment="1">
      <alignment horizontal="left" vertical="center" wrapText="1" readingOrder="1"/>
    </xf>
    <xf numFmtId="0" fontId="38" fillId="22" borderId="59" xfId="0" applyFont="1" applyFill="1" applyBorder="1"/>
    <xf numFmtId="0" fontId="38" fillId="22" borderId="60" xfId="0" applyFont="1" applyFill="1" applyBorder="1"/>
    <xf numFmtId="0" fontId="24" fillId="0" borderId="10" xfId="0" applyFont="1" applyBorder="1" applyAlignment="1">
      <alignment horizontal="left" vertical="center" wrapText="1" readingOrder="1"/>
    </xf>
    <xf numFmtId="0" fontId="20" fillId="0" borderId="12" xfId="0" applyFont="1" applyBorder="1" applyAlignment="1">
      <alignment horizontal="right" vertical="center" wrapText="1" readingOrder="1"/>
    </xf>
    <xf numFmtId="173" fontId="20" fillId="0" borderId="12" xfId="0" applyNumberFormat="1" applyFont="1" applyBorder="1" applyAlignment="1">
      <alignment horizontal="right" vertical="center" wrapText="1" readingOrder="1"/>
    </xf>
    <xf numFmtId="0" fontId="24" fillId="0" borderId="10" xfId="0" applyFont="1" applyBorder="1" applyAlignment="1">
      <alignment horizontal="left" vertical="center" readingOrder="1"/>
    </xf>
    <xf numFmtId="3" fontId="20" fillId="0" borderId="12" xfId="0" applyNumberFormat="1" applyFont="1" applyBorder="1" applyAlignment="1">
      <alignment horizontal="right" vertical="center" wrapText="1" readingOrder="1"/>
    </xf>
    <xf numFmtId="0" fontId="24" fillId="0" borderId="13" xfId="0" applyFont="1" applyBorder="1" applyAlignment="1">
      <alignment horizontal="left" vertical="center" wrapText="1" readingOrder="1"/>
    </xf>
    <xf numFmtId="174" fontId="20" fillId="0" borderId="15" xfId="0" applyNumberFormat="1" applyFont="1" applyBorder="1" applyAlignment="1">
      <alignment horizontal="right" vertical="center" wrapText="1" readingOrder="1"/>
    </xf>
    <xf numFmtId="9" fontId="20" fillId="0" borderId="12" xfId="0" applyNumberFormat="1" applyFont="1" applyBorder="1" applyAlignment="1">
      <alignment horizontal="right" vertical="center" wrapText="1" readingOrder="1"/>
    </xf>
    <xf numFmtId="0" fontId="24" fillId="0" borderId="0" xfId="0" applyFont="1" applyAlignment="1">
      <alignment horizontal="left" vertical="center" wrapText="1" readingOrder="1"/>
    </xf>
    <xf numFmtId="2" fontId="20" fillId="0" borderId="12" xfId="0" applyNumberFormat="1" applyFont="1" applyBorder="1" applyAlignment="1">
      <alignment horizontal="right" vertical="center" wrapText="1" readingOrder="1"/>
    </xf>
    <xf numFmtId="9" fontId="20" fillId="0" borderId="15" xfId="0" applyNumberFormat="1" applyFont="1" applyBorder="1" applyAlignment="1">
      <alignment horizontal="right" vertical="center" wrapText="1" readingOrder="1"/>
    </xf>
    <xf numFmtId="0" fontId="39" fillId="0" borderId="0" xfId="0" applyFont="1"/>
    <xf numFmtId="0" fontId="39" fillId="0" borderId="0" xfId="0" applyFont="1" applyAlignment="1">
      <alignment vertical="center"/>
    </xf>
    <xf numFmtId="0" fontId="39" fillId="0" borderId="0" xfId="0" applyFont="1" applyAlignment="1">
      <alignment horizontal="center"/>
    </xf>
    <xf numFmtId="0" fontId="41" fillId="23" borderId="61" xfId="0" applyFont="1" applyFill="1" applyBorder="1"/>
    <xf numFmtId="0" fontId="41" fillId="23" borderId="62" xfId="0" applyFont="1" applyFill="1" applyBorder="1"/>
    <xf numFmtId="0" fontId="42" fillId="21" borderId="54" xfId="0" applyFont="1" applyFill="1" applyBorder="1"/>
    <xf numFmtId="0" fontId="42" fillId="0" borderId="33" xfId="0" applyFont="1" applyBorder="1" applyAlignment="1">
      <alignment horizontal="left"/>
    </xf>
    <xf numFmtId="0" fontId="42" fillId="21" borderId="0" xfId="0" applyFont="1" applyFill="1"/>
    <xf numFmtId="0" fontId="42" fillId="21" borderId="9" xfId="0" applyFont="1" applyFill="1" applyBorder="1"/>
    <xf numFmtId="0" fontId="42" fillId="21" borderId="66" xfId="0" applyFont="1" applyFill="1" applyBorder="1"/>
    <xf numFmtId="0" fontId="43" fillId="21" borderId="51" xfId="0" applyFont="1" applyFill="1" applyBorder="1"/>
    <xf numFmtId="0" fontId="43" fillId="21" borderId="54" xfId="0" applyFont="1" applyFill="1" applyBorder="1"/>
    <xf numFmtId="0" fontId="42" fillId="0" borderId="9" xfId="0" applyFont="1" applyBorder="1"/>
    <xf numFmtId="0" fontId="42" fillId="0" borderId="0" xfId="0" applyFont="1"/>
    <xf numFmtId="0" fontId="42" fillId="0" borderId="0" xfId="0" applyFont="1" applyAlignment="1">
      <alignment horizontal="center"/>
    </xf>
    <xf numFmtId="0" fontId="42" fillId="0" borderId="67" xfId="0" applyFont="1" applyBorder="1"/>
    <xf numFmtId="0" fontId="42" fillId="0" borderId="29" xfId="0" applyFont="1" applyBorder="1"/>
    <xf numFmtId="0" fontId="42" fillId="0" borderId="29" xfId="0" applyFont="1" applyBorder="1" applyAlignment="1">
      <alignment horizontal="center"/>
    </xf>
    <xf numFmtId="0" fontId="42" fillId="0" borderId="64" xfId="0" applyFont="1" applyBorder="1"/>
    <xf numFmtId="0" fontId="42" fillId="0" borderId="26" xfId="0" applyFont="1" applyBorder="1"/>
    <xf numFmtId="0" fontId="42" fillId="0" borderId="26" xfId="0" applyFont="1" applyBorder="1" applyAlignment="1">
      <alignment horizontal="center"/>
    </xf>
    <xf numFmtId="0" fontId="41" fillId="24" borderId="61" xfId="0" applyFont="1" applyFill="1" applyBorder="1"/>
    <xf numFmtId="0" fontId="41" fillId="24" borderId="62" xfId="0" applyFont="1" applyFill="1" applyBorder="1"/>
    <xf numFmtId="0" fontId="41" fillId="24" borderId="69" xfId="0" applyFont="1" applyFill="1" applyBorder="1"/>
    <xf numFmtId="0" fontId="41" fillId="21" borderId="9" xfId="0" applyFont="1" applyFill="1" applyBorder="1"/>
    <xf numFmtId="0" fontId="41" fillId="21" borderId="0" xfId="0" applyFont="1" applyFill="1"/>
    <xf numFmtId="0" fontId="41" fillId="21" borderId="70" xfId="0" applyFont="1" applyFill="1" applyBorder="1" applyAlignment="1">
      <alignment horizontal="center"/>
    </xf>
    <xf numFmtId="0" fontId="41" fillId="21" borderId="51" xfId="0" applyFont="1" applyFill="1" applyBorder="1"/>
    <xf numFmtId="0" fontId="41" fillId="21" borderId="54" xfId="0" applyFont="1" applyFill="1" applyBorder="1"/>
    <xf numFmtId="0" fontId="41" fillId="21" borderId="54" xfId="0" applyFont="1" applyFill="1" applyBorder="1" applyAlignment="1">
      <alignment horizontal="center"/>
    </xf>
    <xf numFmtId="0" fontId="42" fillId="0" borderId="33" xfId="0" applyFont="1" applyBorder="1"/>
    <xf numFmtId="172" fontId="42" fillId="0" borderId="33" xfId="1" applyNumberFormat="1" applyFont="1" applyFill="1" applyBorder="1" applyAlignment="1"/>
    <xf numFmtId="15" fontId="42" fillId="0" borderId="0" xfId="0" applyNumberFormat="1" applyFont="1" applyAlignment="1">
      <alignment horizontal="center"/>
    </xf>
    <xf numFmtId="172" fontId="42" fillId="0" borderId="29" xfId="1" applyNumberFormat="1" applyFont="1" applyFill="1" applyBorder="1" applyAlignment="1"/>
    <xf numFmtId="0" fontId="41" fillId="24" borderId="75" xfId="0" applyFont="1" applyFill="1" applyBorder="1"/>
    <xf numFmtId="0" fontId="41" fillId="24" borderId="78" xfId="0" applyFont="1" applyFill="1" applyBorder="1"/>
    <xf numFmtId="0" fontId="41" fillId="21" borderId="77" xfId="0" applyFont="1" applyFill="1" applyBorder="1"/>
    <xf numFmtId="10" fontId="42" fillId="0" borderId="0" xfId="2" applyNumberFormat="1" applyFont="1" applyBorder="1" applyAlignment="1">
      <alignment horizontal="center"/>
    </xf>
    <xf numFmtId="10" fontId="42" fillId="0" borderId="29" xfId="2" applyNumberFormat="1" applyFont="1" applyFill="1" applyBorder="1" applyAlignment="1">
      <alignment horizontal="center"/>
    </xf>
    <xf numFmtId="10" fontId="42" fillId="0" borderId="29" xfId="2" applyNumberFormat="1" applyFont="1" applyBorder="1" applyAlignment="1">
      <alignment horizontal="center"/>
    </xf>
    <xf numFmtId="0" fontId="41" fillId="21" borderId="51" xfId="0" applyFont="1" applyFill="1" applyBorder="1" applyAlignment="1">
      <alignment vertical="center"/>
    </xf>
    <xf numFmtId="0" fontId="41" fillId="21" borderId="54" xfId="0" applyFont="1" applyFill="1" applyBorder="1" applyAlignment="1">
      <alignment vertical="center"/>
    </xf>
    <xf numFmtId="0" fontId="41" fillId="21" borderId="54" xfId="0" applyFont="1" applyFill="1" applyBorder="1" applyAlignment="1">
      <alignment horizontal="left" vertical="center" wrapText="1"/>
    </xf>
    <xf numFmtId="0" fontId="41" fillId="21" borderId="54" xfId="0" applyFont="1" applyFill="1" applyBorder="1" applyAlignment="1">
      <alignment horizontal="right" vertical="center" wrapText="1"/>
    </xf>
    <xf numFmtId="0" fontId="42" fillId="3" borderId="29" xfId="0" applyFont="1" applyFill="1" applyBorder="1"/>
    <xf numFmtId="0" fontId="45" fillId="13" borderId="29" xfId="0" applyFont="1" applyFill="1" applyBorder="1" applyAlignment="1">
      <alignment horizontal="left"/>
    </xf>
    <xf numFmtId="169" fontId="46" fillId="3" borderId="29" xfId="2" applyNumberFormat="1" applyFont="1" applyFill="1" applyBorder="1" applyAlignment="1">
      <alignment horizontal="center"/>
    </xf>
    <xf numFmtId="0" fontId="45" fillId="13" borderId="33" xfId="0" applyFont="1" applyFill="1" applyBorder="1" applyAlignment="1">
      <alignment horizontal="left"/>
    </xf>
    <xf numFmtId="0" fontId="41" fillId="23" borderId="79" xfId="0" applyFont="1" applyFill="1" applyBorder="1"/>
    <xf numFmtId="0" fontId="42" fillId="21" borderId="81" xfId="0" applyFont="1" applyFill="1" applyBorder="1"/>
    <xf numFmtId="0" fontId="42" fillId="0" borderId="80" xfId="0" applyFont="1" applyBorder="1"/>
    <xf numFmtId="0" fontId="42" fillId="0" borderId="53" xfId="0" applyFont="1" applyBorder="1"/>
    <xf numFmtId="0" fontId="42" fillId="21" borderId="82" xfId="0" applyFont="1" applyFill="1" applyBorder="1"/>
    <xf numFmtId="0" fontId="43" fillId="21" borderId="52" xfId="0" applyFont="1" applyFill="1" applyBorder="1"/>
    <xf numFmtId="0" fontId="41" fillId="24" borderId="79" xfId="0" applyFont="1" applyFill="1" applyBorder="1"/>
    <xf numFmtId="0" fontId="41" fillId="21" borderId="70" xfId="0" applyFont="1" applyFill="1" applyBorder="1"/>
    <xf numFmtId="0" fontId="42" fillId="0" borderId="29" xfId="0" applyFont="1" applyBorder="1" applyAlignment="1">
      <alignment horizontal="right"/>
    </xf>
    <xf numFmtId="172" fontId="42" fillId="0" borderId="33" xfId="1" applyNumberFormat="1" applyFont="1" applyFill="1" applyBorder="1" applyAlignment="1">
      <alignment horizontal="left"/>
    </xf>
    <xf numFmtId="179" fontId="42" fillId="0" borderId="33" xfId="0" applyNumberFormat="1" applyFont="1" applyBorder="1" applyAlignment="1">
      <alignment horizontal="left"/>
    </xf>
    <xf numFmtId="180" fontId="42" fillId="0" borderId="33" xfId="0" applyNumberFormat="1" applyFont="1" applyBorder="1" applyAlignment="1">
      <alignment horizontal="left"/>
    </xf>
    <xf numFmtId="0" fontId="41" fillId="24" borderId="68" xfId="0" applyFont="1" applyFill="1" applyBorder="1"/>
    <xf numFmtId="172" fontId="41" fillId="24" borderId="26" xfId="1" applyNumberFormat="1" applyFont="1" applyFill="1" applyBorder="1" applyAlignment="1"/>
    <xf numFmtId="15" fontId="42" fillId="0" borderId="33" xfId="0" applyNumberFormat="1" applyFont="1" applyBorder="1"/>
    <xf numFmtId="172" fontId="46" fillId="0" borderId="29" xfId="1" applyNumberFormat="1" applyFont="1" applyFill="1" applyBorder="1" applyAlignment="1">
      <alignment horizontal="right"/>
    </xf>
    <xf numFmtId="15" fontId="39" fillId="0" borderId="0" xfId="0" applyNumberFormat="1" applyFont="1"/>
    <xf numFmtId="0" fontId="39" fillId="0" borderId="9" xfId="0" applyFont="1" applyBorder="1" applyAlignment="1">
      <alignment horizontal="center"/>
    </xf>
    <xf numFmtId="0" fontId="41" fillId="21" borderId="0" xfId="0" applyFont="1" applyFill="1" applyAlignment="1">
      <alignment horizontal="center" vertical="center" wrapText="1"/>
    </xf>
    <xf numFmtId="9" fontId="42" fillId="0" borderId="0" xfId="0" applyNumberFormat="1" applyFont="1" applyAlignment="1">
      <alignment horizontal="center"/>
    </xf>
    <xf numFmtId="172" fontId="42" fillId="0" borderId="0" xfId="0" applyNumberFormat="1" applyFont="1" applyAlignment="1">
      <alignment horizontal="center"/>
    </xf>
    <xf numFmtId="0" fontId="46" fillId="3" borderId="29" xfId="0" applyFont="1" applyFill="1" applyBorder="1" applyAlignment="1">
      <alignment horizontal="left"/>
    </xf>
    <xf numFmtId="0" fontId="41" fillId="23" borderId="48" xfId="0" applyFont="1" applyFill="1" applyBorder="1"/>
    <xf numFmtId="0" fontId="41" fillId="23" borderId="49" xfId="0" applyFont="1" applyFill="1" applyBorder="1"/>
    <xf numFmtId="0" fontId="42" fillId="25" borderId="63" xfId="0" applyFont="1" applyFill="1" applyBorder="1"/>
    <xf numFmtId="0" fontId="42" fillId="25" borderId="33" xfId="0" applyFont="1" applyFill="1" applyBorder="1"/>
    <xf numFmtId="0" fontId="43" fillId="25" borderId="33" xfId="0" applyFont="1" applyFill="1" applyBorder="1"/>
    <xf numFmtId="0" fontId="42" fillId="25" borderId="32" xfId="0" applyFont="1" applyFill="1" applyBorder="1"/>
    <xf numFmtId="0" fontId="42" fillId="25" borderId="29" xfId="0" applyFont="1" applyFill="1" applyBorder="1"/>
    <xf numFmtId="0" fontId="42" fillId="25" borderId="28" xfId="0" applyFont="1" applyFill="1" applyBorder="1"/>
    <xf numFmtId="0" fontId="42" fillId="25" borderId="9" xfId="0" applyFont="1" applyFill="1" applyBorder="1" applyAlignment="1">
      <alignment vertical="top"/>
    </xf>
    <xf numFmtId="0" fontId="42" fillId="25" borderId="0" xfId="0" applyFont="1" applyFill="1" applyAlignment="1">
      <alignment vertical="top"/>
    </xf>
    <xf numFmtId="0" fontId="42" fillId="25" borderId="67" xfId="0" applyFont="1" applyFill="1" applyBorder="1"/>
    <xf numFmtId="0" fontId="41" fillId="23" borderId="59" xfId="0" applyFont="1" applyFill="1" applyBorder="1"/>
    <xf numFmtId="0" fontId="41" fillId="23" borderId="70" xfId="0" applyFont="1" applyFill="1" applyBorder="1"/>
    <xf numFmtId="0" fontId="41" fillId="23" borderId="33" xfId="0" applyFont="1" applyFill="1" applyBorder="1"/>
    <xf numFmtId="0" fontId="42" fillId="3" borderId="9" xfId="0" applyFont="1" applyFill="1" applyBorder="1" applyAlignment="1">
      <alignment horizontal="left" vertical="top" wrapText="1"/>
    </xf>
    <xf numFmtId="0" fontId="42" fillId="3" borderId="0" xfId="0" applyFont="1" applyFill="1" applyAlignment="1">
      <alignment horizontal="left" vertical="top" wrapText="1"/>
    </xf>
    <xf numFmtId="0" fontId="42" fillId="3" borderId="9" xfId="0" applyFont="1" applyFill="1" applyBorder="1"/>
    <xf numFmtId="0" fontId="42" fillId="3" borderId="0" xfId="0" applyFont="1" applyFill="1"/>
    <xf numFmtId="0" fontId="42" fillId="3" borderId="0" xfId="0" applyFont="1" applyFill="1" applyAlignment="1">
      <alignment horizontal="left"/>
    </xf>
    <xf numFmtId="172" fontId="46" fillId="3" borderId="29" xfId="1" applyNumberFormat="1" applyFont="1" applyFill="1" applyBorder="1" applyAlignment="1"/>
    <xf numFmtId="0" fontId="48" fillId="0" borderId="29" xfId="0" applyFont="1" applyBorder="1"/>
    <xf numFmtId="10" fontId="48" fillId="0" borderId="29" xfId="0" applyNumberFormat="1" applyFont="1" applyBorder="1" applyAlignment="1">
      <alignment horizontal="center"/>
    </xf>
    <xf numFmtId="0" fontId="41" fillId="23" borderId="50" xfId="0" applyFont="1" applyFill="1" applyBorder="1"/>
    <xf numFmtId="0" fontId="43" fillId="25" borderId="29" xfId="0" applyFont="1" applyFill="1" applyBorder="1"/>
    <xf numFmtId="0" fontId="41" fillId="23" borderId="80" xfId="0" applyFont="1" applyFill="1" applyBorder="1"/>
    <xf numFmtId="0" fontId="42" fillId="3" borderId="53" xfId="0" applyFont="1" applyFill="1" applyBorder="1" applyAlignment="1">
      <alignment horizontal="left" vertical="top" wrapText="1"/>
    </xf>
    <xf numFmtId="0" fontId="42" fillId="3" borderId="53" xfId="0" applyFont="1" applyFill="1" applyBorder="1"/>
    <xf numFmtId="0" fontId="41" fillId="23" borderId="60" xfId="0" applyFont="1" applyFill="1" applyBorder="1"/>
    <xf numFmtId="9" fontId="41" fillId="0" borderId="0" xfId="0" applyNumberFormat="1" applyFont="1" applyAlignment="1">
      <alignment horizontal="center"/>
    </xf>
    <xf numFmtId="172" fontId="41" fillId="0" borderId="0" xfId="0" applyNumberFormat="1" applyFont="1" applyAlignment="1">
      <alignment horizontal="center"/>
    </xf>
    <xf numFmtId="0" fontId="50" fillId="3" borderId="0" xfId="12" applyFill="1"/>
    <xf numFmtId="0" fontId="51" fillId="0" borderId="0" xfId="12" applyFont="1"/>
    <xf numFmtId="0" fontId="52" fillId="0" borderId="0" xfId="12" applyFont="1"/>
    <xf numFmtId="0" fontId="13" fillId="3" borderId="0" xfId="12" applyFont="1" applyFill="1"/>
    <xf numFmtId="0" fontId="13" fillId="0" borderId="0" xfId="12" applyFont="1"/>
    <xf numFmtId="0" fontId="50" fillId="0" borderId="0" xfId="12"/>
    <xf numFmtId="176" fontId="50" fillId="0" borderId="0" xfId="12" applyNumberFormat="1" applyAlignment="1">
      <alignment horizontal="right"/>
    </xf>
    <xf numFmtId="9" fontId="50" fillId="0" borderId="0" xfId="23" applyFont="1" applyAlignment="1">
      <alignment horizontal="right"/>
    </xf>
    <xf numFmtId="0" fontId="53" fillId="0" borderId="0" xfId="16" applyFont="1" applyAlignment="1">
      <alignment horizontal="left"/>
    </xf>
    <xf numFmtId="0" fontId="50" fillId="3" borderId="25" xfId="12" applyFill="1" applyBorder="1"/>
    <xf numFmtId="0" fontId="50" fillId="3" borderId="26" xfId="12" applyFill="1" applyBorder="1"/>
    <xf numFmtId="176" fontId="50" fillId="3" borderId="26" xfId="12" applyNumberFormat="1" applyFill="1" applyBorder="1" applyAlignment="1">
      <alignment horizontal="right"/>
    </xf>
    <xf numFmtId="0" fontId="35" fillId="28" borderId="28" xfId="12" applyFont="1" applyFill="1" applyBorder="1"/>
    <xf numFmtId="0" fontId="35" fillId="28" borderId="29" xfId="12" applyFont="1" applyFill="1" applyBorder="1"/>
    <xf numFmtId="0" fontId="35" fillId="28" borderId="29" xfId="12" applyFont="1" applyFill="1" applyBorder="1" applyAlignment="1">
      <alignment horizontal="right"/>
    </xf>
    <xf numFmtId="176" fontId="35" fillId="28" borderId="29" xfId="12" applyNumberFormat="1" applyFont="1" applyFill="1" applyBorder="1" applyAlignment="1">
      <alignment horizontal="right"/>
    </xf>
    <xf numFmtId="176" fontId="50" fillId="0" borderId="26" xfId="12" applyNumberFormat="1" applyBorder="1" applyAlignment="1">
      <alignment horizontal="right"/>
    </xf>
    <xf numFmtId="0" fontId="50" fillId="0" borderId="26" xfId="12" applyBorder="1"/>
    <xf numFmtId="166" fontId="54" fillId="3" borderId="27" xfId="14" applyFont="1" applyFill="1" applyBorder="1"/>
    <xf numFmtId="176" fontId="55" fillId="0" borderId="0" xfId="0" applyNumberFormat="1" applyFont="1"/>
    <xf numFmtId="0" fontId="13" fillId="3" borderId="32" xfId="12" applyFont="1" applyFill="1" applyBorder="1"/>
    <xf numFmtId="0" fontId="12" fillId="3" borderId="33" xfId="12" applyFont="1" applyFill="1" applyBorder="1"/>
    <xf numFmtId="169" fontId="12" fillId="3" borderId="33" xfId="12" applyNumberFormat="1" applyFont="1" applyFill="1" applyBorder="1" applyAlignment="1">
      <alignment horizontal="right"/>
    </xf>
    <xf numFmtId="176" fontId="15" fillId="0" borderId="33" xfId="0" applyNumberFormat="1" applyFont="1" applyBorder="1" applyAlignment="1">
      <alignment horizontal="right"/>
    </xf>
    <xf numFmtId="0" fontId="50" fillId="0" borderId="33" xfId="12" applyBorder="1"/>
    <xf numFmtId="166" fontId="56" fillId="29" borderId="32" xfId="13" applyFont="1" applyFill="1" applyBorder="1"/>
    <xf numFmtId="166" fontId="56" fillId="29" borderId="33" xfId="13" applyFont="1" applyFill="1" applyBorder="1"/>
    <xf numFmtId="6" fontId="57" fillId="29" borderId="33" xfId="13" applyNumberFormat="1" applyFont="1" applyFill="1" applyBorder="1"/>
    <xf numFmtId="166" fontId="54" fillId="3" borderId="27" xfId="13" applyFont="1" applyFill="1" applyBorder="1"/>
    <xf numFmtId="0" fontId="13" fillId="3" borderId="0" xfId="12" applyFont="1" applyFill="1" applyAlignment="1">
      <alignment horizontal="left" indent="2"/>
    </xf>
    <xf numFmtId="176" fontId="58" fillId="0" borderId="0" xfId="13" applyNumberFormat="1" applyFont="1"/>
    <xf numFmtId="176" fontId="13" fillId="3" borderId="0" xfId="13" applyNumberFormat="1" applyFont="1" applyFill="1"/>
    <xf numFmtId="0" fontId="13" fillId="0" borderId="27" xfId="0" applyFont="1" applyBorder="1" applyAlignment="1">
      <alignment horizontal="left" vertical="top" wrapText="1"/>
    </xf>
    <xf numFmtId="166" fontId="59" fillId="3" borderId="33" xfId="13" applyFont="1" applyFill="1" applyBorder="1"/>
    <xf numFmtId="169" fontId="59" fillId="3" borderId="33" xfId="12" applyNumberFormat="1" applyFont="1" applyFill="1" applyBorder="1"/>
    <xf numFmtId="0" fontId="59" fillId="3" borderId="33" xfId="12" applyFont="1" applyFill="1" applyBorder="1"/>
    <xf numFmtId="176" fontId="59" fillId="0" borderId="0" xfId="12" applyNumberFormat="1" applyFont="1" applyAlignment="1">
      <alignment horizontal="right"/>
    </xf>
    <xf numFmtId="166" fontId="56" fillId="29" borderId="28" xfId="13" applyFont="1" applyFill="1" applyBorder="1"/>
    <xf numFmtId="166" fontId="56" fillId="29" borderId="29" xfId="13" applyFont="1" applyFill="1" applyBorder="1"/>
    <xf numFmtId="176" fontId="56" fillId="29" borderId="29" xfId="13" applyNumberFormat="1" applyFont="1" applyFill="1" applyBorder="1"/>
    <xf numFmtId="0" fontId="60" fillId="3" borderId="0" xfId="12" applyFont="1" applyFill="1" applyAlignment="1">
      <alignment horizontal="left" indent="2"/>
    </xf>
    <xf numFmtId="176" fontId="60" fillId="3" borderId="0" xfId="13" applyNumberFormat="1" applyFont="1" applyFill="1"/>
    <xf numFmtId="0" fontId="60" fillId="3" borderId="0" xfId="12" applyFont="1" applyFill="1"/>
    <xf numFmtId="0" fontId="59" fillId="3" borderId="27" xfId="12" applyFont="1" applyFill="1" applyBorder="1"/>
    <xf numFmtId="166" fontId="12" fillId="29" borderId="28" xfId="13" applyFont="1" applyFill="1" applyBorder="1"/>
    <xf numFmtId="166" fontId="12" fillId="29" borderId="29" xfId="13" applyFont="1" applyFill="1" applyBorder="1"/>
    <xf numFmtId="176" fontId="12" fillId="29" borderId="29" xfId="13" applyNumberFormat="1" applyFont="1" applyFill="1" applyBorder="1"/>
    <xf numFmtId="0" fontId="13" fillId="3" borderId="27" xfId="12" applyFont="1" applyFill="1" applyBorder="1" applyAlignment="1">
      <alignment horizontal="left" indent="2"/>
    </xf>
    <xf numFmtId="176" fontId="13" fillId="0" borderId="0" xfId="12" applyNumberFormat="1" applyFont="1" applyAlignment="1">
      <alignment horizontal="right"/>
    </xf>
    <xf numFmtId="176" fontId="50" fillId="0" borderId="0" xfId="12" applyNumberFormat="1"/>
    <xf numFmtId="169" fontId="50" fillId="0" borderId="0" xfId="12" applyNumberFormat="1"/>
    <xf numFmtId="9" fontId="50" fillId="3" borderId="26" xfId="23" applyFont="1" applyFill="1" applyBorder="1" applyAlignment="1">
      <alignment horizontal="right"/>
    </xf>
    <xf numFmtId="176" fontId="50" fillId="3" borderId="36" xfId="12" applyNumberFormat="1" applyFill="1" applyBorder="1" applyAlignment="1">
      <alignment horizontal="right"/>
    </xf>
    <xf numFmtId="9" fontId="35" fillId="28" borderId="29" xfId="23" applyFont="1" applyFill="1" applyBorder="1" applyAlignment="1">
      <alignment horizontal="right"/>
    </xf>
    <xf numFmtId="176" fontId="35" fillId="28" borderId="37" xfId="12" applyNumberFormat="1" applyFont="1" applyFill="1" applyBorder="1" applyAlignment="1">
      <alignment horizontal="right"/>
    </xf>
    <xf numFmtId="169" fontId="13" fillId="3" borderId="0" xfId="23" applyNumberFormat="1" applyFont="1" applyFill="1" applyBorder="1" applyAlignment="1">
      <alignment horizontal="right"/>
    </xf>
    <xf numFmtId="176" fontId="13" fillId="3" borderId="34" xfId="12" applyNumberFormat="1" applyFont="1" applyFill="1" applyBorder="1" applyAlignment="1">
      <alignment horizontal="right"/>
    </xf>
    <xf numFmtId="169" fontId="13" fillId="3" borderId="33" xfId="23" applyNumberFormat="1" applyFont="1" applyFill="1" applyBorder="1" applyAlignment="1">
      <alignment horizontal="right"/>
    </xf>
    <xf numFmtId="176" fontId="13" fillId="3" borderId="35" xfId="12" applyNumberFormat="1" applyFont="1" applyFill="1" applyBorder="1" applyAlignment="1">
      <alignment horizontal="right"/>
    </xf>
    <xf numFmtId="169" fontId="56" fillId="29" borderId="33" xfId="13" applyNumberFormat="1" applyFont="1" applyFill="1" applyBorder="1" applyAlignment="1">
      <alignment horizontal="right"/>
    </xf>
    <xf numFmtId="176" fontId="56" fillId="29" borderId="37" xfId="13" applyNumberFormat="1" applyFont="1" applyFill="1" applyBorder="1" applyAlignment="1">
      <alignment horizontal="right"/>
    </xf>
    <xf numFmtId="9" fontId="50" fillId="0" borderId="0" xfId="12" applyNumberFormat="1"/>
    <xf numFmtId="9" fontId="59" fillId="3" borderId="33" xfId="13" applyNumberFormat="1" applyFont="1" applyFill="1" applyBorder="1" applyAlignment="1">
      <alignment horizontal="right"/>
    </xf>
    <xf numFmtId="176" fontId="59" fillId="3" borderId="35" xfId="12" applyNumberFormat="1" applyFont="1" applyFill="1" applyBorder="1" applyAlignment="1">
      <alignment horizontal="right"/>
    </xf>
    <xf numFmtId="0" fontId="51" fillId="3" borderId="0" xfId="12" applyFont="1" applyFill="1"/>
    <xf numFmtId="169" fontId="56" fillId="29" borderId="29" xfId="13" applyNumberFormat="1" applyFont="1" applyFill="1" applyBorder="1" applyAlignment="1">
      <alignment horizontal="right"/>
    </xf>
    <xf numFmtId="169" fontId="13" fillId="3" borderId="0" xfId="23" applyNumberFormat="1" applyFont="1" applyFill="1" applyAlignment="1">
      <alignment horizontal="right"/>
    </xf>
    <xf numFmtId="0" fontId="52" fillId="3" borderId="0" xfId="12" applyFont="1" applyFill="1"/>
    <xf numFmtId="0" fontId="13" fillId="3" borderId="27" xfId="12" applyFont="1" applyFill="1" applyBorder="1"/>
    <xf numFmtId="0" fontId="12" fillId="3" borderId="0" xfId="12" applyFont="1" applyFill="1"/>
    <xf numFmtId="169" fontId="12" fillId="3" borderId="0" xfId="12" applyNumberFormat="1" applyFont="1" applyFill="1" applyAlignment="1">
      <alignment horizontal="right"/>
    </xf>
    <xf numFmtId="176" fontId="15" fillId="0" borderId="0" xfId="0" applyNumberFormat="1" applyFont="1" applyAlignment="1">
      <alignment horizontal="right"/>
    </xf>
    <xf numFmtId="6" fontId="12" fillId="3" borderId="0" xfId="12" applyNumberFormat="1" applyFont="1" applyFill="1"/>
    <xf numFmtId="0" fontId="12" fillId="3" borderId="0" xfId="12" applyFont="1" applyFill="1" applyAlignment="1">
      <alignment horizontal="center"/>
    </xf>
    <xf numFmtId="176" fontId="12" fillId="0" borderId="0" xfId="12" applyNumberFormat="1" applyFont="1" applyAlignment="1">
      <alignment horizontal="right"/>
    </xf>
    <xf numFmtId="10" fontId="12" fillId="0" borderId="0" xfId="23" applyNumberFormat="1" applyFont="1" applyFill="1" applyAlignment="1">
      <alignment horizontal="center"/>
    </xf>
    <xf numFmtId="10" fontId="12" fillId="3" borderId="0" xfId="23" applyNumberFormat="1" applyFont="1" applyFill="1"/>
    <xf numFmtId="6" fontId="12" fillId="3" borderId="0" xfId="23" applyNumberFormat="1" applyFont="1" applyFill="1"/>
    <xf numFmtId="0" fontId="13" fillId="3" borderId="33" xfId="12" applyFont="1" applyFill="1" applyBorder="1"/>
    <xf numFmtId="10" fontId="13" fillId="3" borderId="33" xfId="23" applyNumberFormat="1" applyFont="1" applyFill="1" applyBorder="1"/>
    <xf numFmtId="176" fontId="13" fillId="0" borderId="33" xfId="12" applyNumberFormat="1" applyFont="1" applyBorder="1" applyAlignment="1">
      <alignment horizontal="right"/>
    </xf>
    <xf numFmtId="6" fontId="13" fillId="3" borderId="33" xfId="23" applyNumberFormat="1" applyFont="1" applyFill="1" applyBorder="1"/>
    <xf numFmtId="166" fontId="12" fillId="3" borderId="25" xfId="13" applyFont="1" applyFill="1" applyBorder="1"/>
    <xf numFmtId="166" fontId="12" fillId="3" borderId="26" xfId="13" applyFont="1" applyFill="1" applyBorder="1"/>
    <xf numFmtId="166" fontId="12" fillId="3" borderId="28" xfId="13" applyFont="1" applyFill="1" applyBorder="1" applyAlignment="1">
      <alignment horizontal="center"/>
    </xf>
    <xf numFmtId="166" fontId="12" fillId="3" borderId="37" xfId="13" applyFont="1" applyFill="1" applyBorder="1" applyAlignment="1">
      <alignment horizontal="center"/>
    </xf>
    <xf numFmtId="166" fontId="12" fillId="3" borderId="0" xfId="13" applyFont="1" applyFill="1"/>
    <xf numFmtId="0" fontId="25" fillId="3" borderId="25" xfId="12" applyFont="1" applyFill="1" applyBorder="1"/>
    <xf numFmtId="0" fontId="25" fillId="3" borderId="26" xfId="12" applyFont="1" applyFill="1" applyBorder="1"/>
    <xf numFmtId="166" fontId="56" fillId="0" borderId="25" xfId="13" applyFont="1" applyBorder="1"/>
    <xf numFmtId="166" fontId="56" fillId="0" borderId="36" xfId="13" applyFont="1" applyBorder="1"/>
    <xf numFmtId="166" fontId="56" fillId="3" borderId="0" xfId="13" applyFont="1" applyFill="1"/>
    <xf numFmtId="0" fontId="25" fillId="3" borderId="27" xfId="12" applyFont="1" applyFill="1" applyBorder="1"/>
    <xf numFmtId="0" fontId="25" fillId="3" borderId="0" xfId="12" applyFont="1" applyFill="1"/>
    <xf numFmtId="0" fontId="61" fillId="3" borderId="0" xfId="12" applyFont="1" applyFill="1" applyAlignment="1">
      <alignment horizontal="right"/>
    </xf>
    <xf numFmtId="166" fontId="50" fillId="0" borderId="27" xfId="13" applyFont="1" applyBorder="1"/>
    <xf numFmtId="3" fontId="55" fillId="29" borderId="34" xfId="13" applyNumberFormat="1" applyFont="1" applyFill="1" applyBorder="1"/>
    <xf numFmtId="0" fontId="29" fillId="3" borderId="27" xfId="12" applyFont="1" applyFill="1" applyBorder="1"/>
    <xf numFmtId="0" fontId="29" fillId="3" borderId="0" xfId="12" applyFont="1" applyFill="1"/>
    <xf numFmtId="6" fontId="29" fillId="3" borderId="0" xfId="12" applyNumberFormat="1" applyFont="1" applyFill="1" applyAlignment="1">
      <alignment horizontal="right"/>
    </xf>
    <xf numFmtId="176" fontId="29" fillId="3" borderId="0" xfId="12" applyNumberFormat="1" applyFont="1" applyFill="1"/>
    <xf numFmtId="3" fontId="12" fillId="29" borderId="37" xfId="13" applyNumberFormat="1" applyFont="1" applyFill="1" applyBorder="1"/>
    <xf numFmtId="0" fontId="25" fillId="3" borderId="28" xfId="12" applyFont="1" applyFill="1" applyBorder="1"/>
    <xf numFmtId="0" fontId="25" fillId="3" borderId="29" xfId="12" applyFont="1" applyFill="1" applyBorder="1"/>
    <xf numFmtId="176" fontId="25" fillId="3" borderId="29" xfId="12" applyNumberFormat="1" applyFont="1" applyFill="1" applyBorder="1"/>
    <xf numFmtId="9" fontId="12" fillId="0" borderId="0" xfId="13" applyNumberFormat="1" applyFont="1"/>
    <xf numFmtId="0" fontId="56" fillId="0" borderId="25" xfId="12" applyFont="1" applyBorder="1"/>
    <xf numFmtId="0" fontId="50" fillId="0" borderId="36" xfId="12" applyBorder="1"/>
    <xf numFmtId="166" fontId="12" fillId="3" borderId="29" xfId="13" applyFont="1" applyFill="1" applyBorder="1" applyAlignment="1">
      <alignment horizontal="center"/>
    </xf>
    <xf numFmtId="9" fontId="56" fillId="0" borderId="27" xfId="23" applyFont="1" applyFill="1" applyBorder="1"/>
    <xf numFmtId="176" fontId="12" fillId="29" borderId="34" xfId="12" applyNumberFormat="1" applyFont="1" applyFill="1" applyBorder="1" applyAlignment="1">
      <alignment horizontal="right"/>
    </xf>
    <xf numFmtId="9" fontId="56" fillId="0" borderId="26" xfId="13" applyNumberFormat="1" applyFont="1" applyBorder="1"/>
    <xf numFmtId="9" fontId="13" fillId="0" borderId="27" xfId="23" applyFont="1" applyFill="1" applyBorder="1"/>
    <xf numFmtId="176" fontId="13" fillId="0" borderId="34" xfId="12" applyNumberFormat="1" applyFont="1" applyBorder="1" applyAlignment="1">
      <alignment horizontal="right"/>
    </xf>
    <xf numFmtId="0" fontId="50" fillId="0" borderId="27" xfId="12" applyBorder="1"/>
    <xf numFmtId="9" fontId="50" fillId="0" borderId="0" xfId="23" applyFont="1" applyFill="1" applyBorder="1" applyAlignment="1">
      <alignment horizontal="right"/>
    </xf>
    <xf numFmtId="9" fontId="50" fillId="0" borderId="29" xfId="23" applyFont="1" applyFill="1" applyBorder="1" applyAlignment="1">
      <alignment horizontal="center"/>
    </xf>
    <xf numFmtId="10" fontId="56" fillId="0" borderId="0" xfId="13" applyNumberFormat="1" applyFont="1" applyAlignment="1">
      <alignment horizontal="center"/>
    </xf>
    <xf numFmtId="10" fontId="56" fillId="29" borderId="0" xfId="13" applyNumberFormat="1" applyFont="1" applyFill="1" applyAlignment="1">
      <alignment horizontal="center"/>
    </xf>
    <xf numFmtId="0" fontId="56" fillId="29" borderId="25" xfId="12" applyFont="1" applyFill="1" applyBorder="1"/>
    <xf numFmtId="169" fontId="56" fillId="29" borderId="36" xfId="23" applyNumberFormat="1" applyFont="1" applyFill="1" applyBorder="1" applyAlignment="1">
      <alignment horizontal="right"/>
    </xf>
    <xf numFmtId="0" fontId="56" fillId="29" borderId="27" xfId="12" applyFont="1" applyFill="1" applyBorder="1"/>
    <xf numFmtId="169" fontId="56" fillId="29" borderId="34" xfId="23" applyNumberFormat="1" applyFont="1" applyFill="1" applyBorder="1" applyAlignment="1">
      <alignment horizontal="right"/>
    </xf>
    <xf numFmtId="0" fontId="56" fillId="29" borderId="32" xfId="12" applyFont="1" applyFill="1" applyBorder="1"/>
    <xf numFmtId="169" fontId="56" fillId="29" borderId="35" xfId="12" applyNumberFormat="1" applyFont="1" applyFill="1" applyBorder="1" applyAlignment="1">
      <alignment horizontal="right"/>
    </xf>
    <xf numFmtId="166" fontId="56" fillId="3" borderId="33" xfId="13" applyFont="1" applyFill="1" applyBorder="1"/>
    <xf numFmtId="0" fontId="56" fillId="29" borderId="28" xfId="12" applyFont="1" applyFill="1" applyBorder="1"/>
    <xf numFmtId="9" fontId="56" fillId="29" borderId="29" xfId="23" applyFont="1" applyFill="1" applyBorder="1" applyAlignment="1">
      <alignment horizontal="right"/>
    </xf>
    <xf numFmtId="9" fontId="12" fillId="3" borderId="26" xfId="13" applyNumberFormat="1" applyFont="1" applyFill="1" applyBorder="1"/>
    <xf numFmtId="166" fontId="12" fillId="3" borderId="36" xfId="13" applyFont="1" applyFill="1" applyBorder="1"/>
    <xf numFmtId="9" fontId="25" fillId="3" borderId="26" xfId="12" applyNumberFormat="1" applyFont="1" applyFill="1" applyBorder="1"/>
    <xf numFmtId="0" fontId="25" fillId="3" borderId="36" xfId="12" applyFont="1" applyFill="1" applyBorder="1"/>
    <xf numFmtId="9" fontId="61" fillId="3" borderId="0" xfId="12" applyNumberFormat="1" applyFont="1" applyFill="1" applyAlignment="1">
      <alignment horizontal="right"/>
    </xf>
    <xf numFmtId="0" fontId="61" fillId="3" borderId="34" xfId="12" applyFont="1" applyFill="1" applyBorder="1" applyAlignment="1">
      <alignment horizontal="right"/>
    </xf>
    <xf numFmtId="9" fontId="29" fillId="3" borderId="0" xfId="12" applyNumberFormat="1" applyFont="1" applyFill="1" applyAlignment="1">
      <alignment horizontal="right"/>
    </xf>
    <xf numFmtId="176" fontId="29" fillId="3" borderId="34" xfId="12" applyNumberFormat="1" applyFont="1" applyFill="1" applyBorder="1" applyAlignment="1">
      <alignment horizontal="right"/>
    </xf>
    <xf numFmtId="9" fontId="25" fillId="3" borderId="29" xfId="12" applyNumberFormat="1" applyFont="1" applyFill="1" applyBorder="1" applyAlignment="1">
      <alignment horizontal="right"/>
    </xf>
    <xf numFmtId="176" fontId="25" fillId="3" borderId="37" xfId="12" applyNumberFormat="1" applyFont="1" applyFill="1" applyBorder="1" applyAlignment="1">
      <alignment horizontal="right"/>
    </xf>
    <xf numFmtId="176" fontId="13" fillId="0" borderId="34" xfId="12" applyNumberFormat="1" applyFont="1" applyBorder="1"/>
    <xf numFmtId="176" fontId="50" fillId="0" borderId="34" xfId="12" applyNumberFormat="1" applyBorder="1"/>
    <xf numFmtId="10" fontId="13" fillId="0" borderId="34" xfId="23" applyNumberFormat="1" applyFont="1" applyFill="1" applyBorder="1"/>
    <xf numFmtId="2" fontId="13" fillId="29" borderId="34" xfId="12" applyNumberFormat="1" applyFont="1" applyFill="1" applyBorder="1"/>
    <xf numFmtId="9" fontId="13" fillId="0" borderId="34" xfId="23" applyFont="1" applyFill="1" applyBorder="1"/>
    <xf numFmtId="176" fontId="56" fillId="29" borderId="37" xfId="12" applyNumberFormat="1" applyFont="1" applyFill="1" applyBorder="1"/>
    <xf numFmtId="0" fontId="62" fillId="3" borderId="0" xfId="15" applyFont="1" applyFill="1"/>
    <xf numFmtId="0" fontId="63" fillId="3" borderId="0" xfId="15" applyFont="1" applyFill="1"/>
    <xf numFmtId="182" fontId="63" fillId="3" borderId="0" xfId="15" applyNumberFormat="1" applyFont="1" applyFill="1" applyAlignment="1">
      <alignment horizontal="center"/>
    </xf>
    <xf numFmtId="0" fontId="64" fillId="3" borderId="0" xfId="17" applyFont="1" applyFill="1"/>
    <xf numFmtId="183" fontId="63" fillId="3" borderId="0" xfId="15" applyNumberFormat="1" applyFont="1" applyFill="1" applyAlignment="1">
      <alignment horizontal="left" vertical="center"/>
    </xf>
    <xf numFmtId="0" fontId="63" fillId="3" borderId="0" xfId="15" applyFont="1" applyFill="1" applyAlignment="1">
      <alignment vertical="center"/>
    </xf>
    <xf numFmtId="0" fontId="62" fillId="30" borderId="0" xfId="15" applyFont="1" applyFill="1"/>
    <xf numFmtId="0" fontId="63" fillId="30" borderId="0" xfId="15" applyFont="1" applyFill="1"/>
    <xf numFmtId="0" fontId="65" fillId="3" borderId="0" xfId="15" applyFont="1" applyFill="1"/>
    <xf numFmtId="0" fontId="66" fillId="3" borderId="0" xfId="15" applyFont="1" applyFill="1" applyAlignment="1">
      <alignment horizontal="centerContinuous" wrapText="1"/>
    </xf>
    <xf numFmtId="184" fontId="66" fillId="3" borderId="0" xfId="15" applyNumberFormat="1" applyFont="1" applyFill="1" applyAlignment="1">
      <alignment horizontal="centerContinuous" wrapText="1"/>
    </xf>
    <xf numFmtId="0" fontId="66" fillId="3" borderId="0" xfId="15" applyFont="1" applyFill="1" applyAlignment="1">
      <alignment horizontal="center" wrapText="1"/>
    </xf>
    <xf numFmtId="0" fontId="63" fillId="8" borderId="0" xfId="15" applyFont="1" applyFill="1" applyAlignment="1">
      <alignment horizontal="center" vertical="center"/>
    </xf>
    <xf numFmtId="184" fontId="67" fillId="3" borderId="0" xfId="18" applyNumberFormat="1" applyFont="1" applyFill="1" applyAlignment="1">
      <alignment horizontal="center" vertical="center"/>
    </xf>
    <xf numFmtId="184" fontId="63" fillId="3" borderId="0" xfId="15" applyNumberFormat="1" applyFont="1" applyFill="1" applyAlignment="1">
      <alignment horizontal="center" vertical="center"/>
    </xf>
    <xf numFmtId="182" fontId="63" fillId="3" borderId="0" xfId="15" applyNumberFormat="1" applyFont="1" applyFill="1" applyAlignment="1">
      <alignment horizontal="center" vertical="center"/>
    </xf>
    <xf numFmtId="0" fontId="62" fillId="3" borderId="26" xfId="15" applyFont="1" applyFill="1" applyBorder="1" applyAlignment="1">
      <alignment horizontal="center" vertical="center"/>
    </xf>
    <xf numFmtId="184" fontId="68" fillId="3" borderId="26" xfId="18" applyNumberFormat="1" applyFont="1" applyFill="1" applyBorder="1" applyAlignment="1">
      <alignment horizontal="center" vertical="center"/>
    </xf>
    <xf numFmtId="184" fontId="62" fillId="3" borderId="26" xfId="15" applyNumberFormat="1" applyFont="1" applyFill="1" applyBorder="1" applyAlignment="1">
      <alignment horizontal="center" vertical="center"/>
    </xf>
    <xf numFmtId="182" fontId="62" fillId="3" borderId="26" xfId="15" applyNumberFormat="1" applyFont="1" applyFill="1" applyBorder="1" applyAlignment="1">
      <alignment horizontal="center" vertical="center"/>
    </xf>
    <xf numFmtId="184" fontId="63" fillId="3" borderId="0" xfId="15" applyNumberFormat="1" applyFont="1" applyFill="1"/>
    <xf numFmtId="182" fontId="63" fillId="3" borderId="0" xfId="15" applyNumberFormat="1" applyFont="1" applyFill="1"/>
    <xf numFmtId="182" fontId="66" fillId="3" borderId="0" xfId="15" applyNumberFormat="1" applyFont="1" applyFill="1" applyAlignment="1">
      <alignment horizontal="center" wrapText="1"/>
    </xf>
    <xf numFmtId="0" fontId="63" fillId="3" borderId="0" xfId="15" applyFont="1" applyFill="1" applyAlignment="1">
      <alignment horizontal="center" vertical="center"/>
    </xf>
    <xf numFmtId="0" fontId="67" fillId="3" borderId="0" xfId="18" applyNumberFormat="1" applyFont="1" applyFill="1" applyAlignment="1">
      <alignment horizontal="center" vertical="center"/>
    </xf>
    <xf numFmtId="185" fontId="63" fillId="3" borderId="0" xfId="15" applyNumberFormat="1" applyFont="1" applyFill="1" applyAlignment="1">
      <alignment horizontal="center" vertical="center"/>
    </xf>
    <xf numFmtId="182" fontId="63" fillId="30" borderId="0" xfId="15" applyNumberFormat="1" applyFont="1" applyFill="1" applyAlignment="1">
      <alignment horizontal="center"/>
    </xf>
    <xf numFmtId="185" fontId="62" fillId="3" borderId="26" xfId="15" applyNumberFormat="1" applyFont="1" applyFill="1" applyBorder="1" applyAlignment="1">
      <alignment horizontal="center" vertical="center"/>
    </xf>
    <xf numFmtId="185" fontId="63" fillId="3" borderId="0" xfId="15" applyNumberFormat="1" applyFont="1" applyFill="1" applyAlignment="1">
      <alignment horizontal="center"/>
    </xf>
    <xf numFmtId="182" fontId="62" fillId="3" borderId="0" xfId="15" applyNumberFormat="1" applyFont="1" applyFill="1" applyAlignment="1">
      <alignment horizontal="center" vertical="center"/>
    </xf>
    <xf numFmtId="0" fontId="63" fillId="3" borderId="0" xfId="15" applyFont="1" applyFill="1" applyAlignment="1">
      <alignment horizontal="center"/>
    </xf>
    <xf numFmtId="186" fontId="63" fillId="3" borderId="0" xfId="15" applyNumberFormat="1" applyFont="1" applyFill="1" applyAlignment="1">
      <alignment horizontal="center"/>
    </xf>
    <xf numFmtId="0" fontId="18" fillId="12" borderId="27" xfId="11" applyFont="1" applyFill="1" applyBorder="1" applyAlignment="1">
      <alignment horizontal="left" vertical="center"/>
    </xf>
    <xf numFmtId="0" fontId="18" fillId="12" borderId="0" xfId="11" applyFont="1" applyFill="1" applyAlignment="1">
      <alignment horizontal="center" vertical="center" wrapText="1"/>
    </xf>
    <xf numFmtId="0" fontId="18" fillId="12" borderId="0" xfId="11" applyFont="1" applyFill="1" applyAlignment="1">
      <alignment horizontal="center" vertical="center"/>
    </xf>
    <xf numFmtId="173" fontId="29" fillId="13" borderId="0" xfId="11" applyNumberFormat="1" applyFont="1" applyFill="1" applyAlignment="1">
      <alignment horizontal="center" vertical="center" wrapText="1"/>
    </xf>
    <xf numFmtId="3" fontId="29" fillId="13" borderId="0" xfId="11" applyNumberFormat="1" applyFont="1" applyFill="1" applyAlignment="1">
      <alignment horizontal="center" vertical="center" wrapText="1"/>
    </xf>
    <xf numFmtId="0" fontId="29" fillId="14" borderId="0" xfId="11" applyFont="1" applyFill="1" applyAlignment="1">
      <alignment horizontal="center" vertical="center"/>
    </xf>
    <xf numFmtId="0" fontId="70" fillId="13" borderId="0" xfId="11" applyFont="1" applyFill="1" applyAlignment="1">
      <alignment horizontal="center" vertical="center" wrapText="1"/>
    </xf>
    <xf numFmtId="187" fontId="21" fillId="14" borderId="0" xfId="11" applyNumberFormat="1" applyFont="1" applyFill="1" applyAlignment="1">
      <alignment horizontal="center" vertical="center" wrapText="1"/>
    </xf>
    <xf numFmtId="0" fontId="20" fillId="13" borderId="0" xfId="11" applyFont="1" applyFill="1" applyAlignment="1">
      <alignment horizontal="left" vertical="center"/>
    </xf>
    <xf numFmtId="166" fontId="20" fillId="3" borderId="27" xfId="21" applyFont="1" applyFill="1" applyBorder="1"/>
    <xf numFmtId="169" fontId="21" fillId="13" borderId="0" xfId="11" applyNumberFormat="1" applyFont="1" applyFill="1" applyAlignment="1">
      <alignment horizontal="center" vertical="center" wrapText="1"/>
    </xf>
    <xf numFmtId="166" fontId="71" fillId="3" borderId="27" xfId="21" applyFont="1" applyFill="1" applyBorder="1"/>
    <xf numFmtId="173" fontId="21" fillId="13" borderId="0" xfId="11" applyNumberFormat="1" applyFont="1" applyFill="1" applyAlignment="1">
      <alignment horizontal="center"/>
    </xf>
    <xf numFmtId="10" fontId="29" fillId="13" borderId="0" xfId="11" applyNumberFormat="1" applyFont="1" applyFill="1" applyAlignment="1">
      <alignment horizontal="center"/>
    </xf>
    <xf numFmtId="173" fontId="29" fillId="13" borderId="0" xfId="11" applyNumberFormat="1" applyFont="1" applyFill="1" applyAlignment="1">
      <alignment horizontal="center"/>
    </xf>
    <xf numFmtId="0" fontId="29" fillId="13" borderId="0" xfId="11" applyFont="1" applyFill="1" applyAlignment="1">
      <alignment horizontal="center"/>
    </xf>
    <xf numFmtId="0" fontId="24" fillId="14" borderId="0" xfId="11" applyFont="1" applyFill="1" applyAlignment="1">
      <alignment horizontal="right"/>
    </xf>
    <xf numFmtId="10" fontId="21" fillId="13" borderId="0" xfId="2" applyNumberFormat="1" applyFont="1" applyFill="1" applyAlignment="1">
      <alignment horizontal="center"/>
    </xf>
    <xf numFmtId="0" fontId="22" fillId="19" borderId="34" xfId="4" applyNumberFormat="1" applyFont="1" applyFill="1" applyBorder="1" applyAlignment="1">
      <alignment horizontal="right" vertical="center"/>
    </xf>
    <xf numFmtId="0" fontId="18" fillId="12" borderId="34" xfId="11" applyFont="1" applyFill="1" applyBorder="1" applyAlignment="1">
      <alignment horizontal="center" vertical="center" wrapText="1"/>
    </xf>
    <xf numFmtId="165" fontId="26" fillId="3" borderId="37" xfId="4" applyFont="1" applyFill="1" applyBorder="1" applyAlignment="1">
      <alignment horizontal="right"/>
    </xf>
    <xf numFmtId="165" fontId="21" fillId="13" borderId="34" xfId="4" applyFont="1" applyFill="1" applyBorder="1" applyAlignment="1">
      <alignment horizontal="right"/>
    </xf>
    <xf numFmtId="165" fontId="22" fillId="13" borderId="34" xfId="4" applyFont="1" applyFill="1" applyBorder="1" applyAlignment="1">
      <alignment horizontal="right"/>
    </xf>
    <xf numFmtId="165" fontId="21" fillId="14" borderId="34" xfId="4" applyFont="1" applyFill="1" applyBorder="1" applyAlignment="1">
      <alignment horizontal="right"/>
    </xf>
    <xf numFmtId="173" fontId="29" fillId="19" borderId="34" xfId="11" applyNumberFormat="1" applyFont="1" applyFill="1" applyBorder="1" applyAlignment="1">
      <alignment horizontal="right"/>
    </xf>
    <xf numFmtId="186" fontId="95" fillId="0" borderId="0" xfId="11" applyNumberFormat="1"/>
    <xf numFmtId="9" fontId="95" fillId="0" borderId="0" xfId="11" applyNumberFormat="1"/>
    <xf numFmtId="0" fontId="20" fillId="13" borderId="0" xfId="11" applyFont="1" applyFill="1" applyAlignment="1">
      <alignment horizontal="center" vertical="center"/>
    </xf>
    <xf numFmtId="3" fontId="20" fillId="13" borderId="0" xfId="11" applyNumberFormat="1" applyFont="1" applyFill="1" applyAlignment="1">
      <alignment horizontal="center" vertical="center" wrapText="1"/>
    </xf>
    <xf numFmtId="0" fontId="20" fillId="14" borderId="0" xfId="11" applyFont="1" applyFill="1" applyAlignment="1">
      <alignment horizontal="center" vertical="center"/>
    </xf>
    <xf numFmtId="0" fontId="73" fillId="13" borderId="0" xfId="11" applyFont="1" applyFill="1" applyAlignment="1">
      <alignment horizontal="center" vertical="center" wrapText="1"/>
    </xf>
    <xf numFmtId="176" fontId="21" fillId="14" borderId="0" xfId="11" applyNumberFormat="1" applyFont="1" applyFill="1" applyAlignment="1">
      <alignment horizontal="center" vertical="center" wrapText="1"/>
    </xf>
    <xf numFmtId="169" fontId="71" fillId="3" borderId="0" xfId="22" applyNumberFormat="1" applyFont="1" applyFill="1" applyBorder="1" applyAlignment="1">
      <alignment horizontal="center"/>
    </xf>
    <xf numFmtId="0" fontId="21" fillId="13" borderId="27" xfId="11" applyFont="1" applyFill="1" applyBorder="1" applyAlignment="1">
      <alignment horizontal="left" indent="1"/>
    </xf>
    <xf numFmtId="0" fontId="74" fillId="14" borderId="0" xfId="11" applyFont="1" applyFill="1" applyAlignment="1">
      <alignment horizontal="right"/>
    </xf>
    <xf numFmtId="0" fontId="74" fillId="13" borderId="0" xfId="11" applyFont="1" applyFill="1" applyAlignment="1">
      <alignment horizontal="right"/>
    </xf>
    <xf numFmtId="173" fontId="25" fillId="13" borderId="34" xfId="11" applyNumberFormat="1" applyFont="1" applyFill="1" applyBorder="1" applyAlignment="1">
      <alignment horizontal="right"/>
    </xf>
    <xf numFmtId="187" fontId="20" fillId="13" borderId="0" xfId="1" applyNumberFormat="1" applyFont="1" applyFill="1" applyAlignment="1">
      <alignment horizontal="right"/>
    </xf>
    <xf numFmtId="187" fontId="20" fillId="13" borderId="0" xfId="11" applyNumberFormat="1" applyFont="1" applyFill="1" applyAlignment="1">
      <alignment horizontal="right"/>
    </xf>
    <xf numFmtId="0" fontId="0" fillId="0" borderId="0" xfId="0" applyProtection="1">
      <protection locked="0"/>
    </xf>
    <xf numFmtId="0" fontId="0" fillId="0" borderId="0" xfId="0" applyProtection="1">
      <protection locked="0" hidden="1"/>
    </xf>
    <xf numFmtId="0" fontId="75" fillId="4" borderId="88" xfId="0" applyFont="1" applyFill="1" applyBorder="1" applyAlignment="1">
      <alignment horizontal="center" vertical="center"/>
    </xf>
    <xf numFmtId="0" fontId="75" fillId="4" borderId="89" xfId="0" applyFont="1" applyFill="1" applyBorder="1" applyAlignment="1">
      <alignment horizontal="center" vertical="center"/>
    </xf>
    <xf numFmtId="0" fontId="75" fillId="31" borderId="89" xfId="0" applyFont="1" applyFill="1" applyBorder="1" applyAlignment="1">
      <alignment horizontal="center" vertical="center"/>
    </xf>
    <xf numFmtId="0" fontId="0" fillId="0" borderId="36" xfId="0" applyBorder="1" applyAlignment="1" applyProtection="1">
      <alignment horizontal="center" vertical="center"/>
      <protection locked="0"/>
    </xf>
    <xf numFmtId="0" fontId="0" fillId="0" borderId="58" xfId="0" applyBorder="1" applyAlignment="1" applyProtection="1">
      <alignment horizontal="center" vertical="center"/>
      <protection locked="0"/>
    </xf>
    <xf numFmtId="0" fontId="0" fillId="0" borderId="58" xfId="0" applyBorder="1" applyAlignment="1" applyProtection="1">
      <alignment horizontal="center" vertical="center"/>
      <protection locked="0" hidden="1"/>
    </xf>
    <xf numFmtId="0" fontId="0" fillId="0" borderId="11" xfId="0" applyBorder="1" applyAlignment="1" applyProtection="1">
      <alignment horizontal="center" vertical="center"/>
      <protection hidden="1"/>
    </xf>
    <xf numFmtId="0" fontId="75" fillId="32" borderId="89" xfId="0" applyFont="1" applyFill="1" applyBorder="1" applyAlignment="1">
      <alignment horizontal="center" vertical="center"/>
    </xf>
    <xf numFmtId="0" fontId="75" fillId="33" borderId="89" xfId="0" applyFont="1" applyFill="1" applyBorder="1" applyAlignment="1">
      <alignment horizontal="center" vertical="center"/>
    </xf>
    <xf numFmtId="0" fontId="75" fillId="33" borderId="90" xfId="0" applyFont="1" applyFill="1" applyBorder="1" applyAlignment="1">
      <alignment horizontal="center" vertical="center"/>
    </xf>
    <xf numFmtId="0" fontId="0" fillId="0" borderId="25" xfId="0" applyBorder="1" applyAlignment="1" applyProtection="1">
      <alignment horizontal="center" vertical="center"/>
      <protection locked="0"/>
    </xf>
    <xf numFmtId="0" fontId="76" fillId="34" borderId="51" xfId="0" applyFont="1" applyFill="1" applyBorder="1" applyAlignment="1">
      <alignment horizontal="center"/>
    </xf>
    <xf numFmtId="164" fontId="76" fillId="34" borderId="51" xfId="1" applyFont="1" applyFill="1" applyBorder="1" applyAlignment="1">
      <alignment horizontal="center"/>
    </xf>
    <xf numFmtId="0" fontId="77" fillId="0" borderId="0" xfId="0" applyFont="1" applyProtection="1">
      <protection locked="0" hidden="1"/>
    </xf>
    <xf numFmtId="0" fontId="76" fillId="34" borderId="54" xfId="0" applyFont="1" applyFill="1" applyBorder="1" applyAlignment="1">
      <alignment horizontal="center"/>
    </xf>
    <xf numFmtId="0" fontId="76" fillId="34" borderId="52" xfId="0" applyFont="1" applyFill="1" applyBorder="1" applyAlignment="1">
      <alignment horizontal="center"/>
    </xf>
    <xf numFmtId="0" fontId="78" fillId="3" borderId="11" xfId="16" applyFont="1" applyFill="1" applyBorder="1" applyAlignment="1">
      <alignment horizontal="center"/>
    </xf>
    <xf numFmtId="2" fontId="78" fillId="3" borderId="11" xfId="16" applyNumberFormat="1" applyFont="1" applyFill="1" applyBorder="1" applyAlignment="1">
      <alignment horizontal="center" vertical="center"/>
    </xf>
    <xf numFmtId="0" fontId="78" fillId="3" borderId="11" xfId="16" applyFont="1" applyFill="1" applyBorder="1" applyAlignment="1">
      <alignment horizontal="center" vertical="center"/>
    </xf>
    <xf numFmtId="188" fontId="78" fillId="3" borderId="11" xfId="16" applyNumberFormat="1" applyFont="1" applyFill="1" applyBorder="1" applyAlignment="1">
      <alignment horizontal="center"/>
    </xf>
    <xf numFmtId="0" fontId="78" fillId="3" borderId="58" xfId="16" applyFont="1" applyFill="1" applyBorder="1" applyAlignment="1">
      <alignment horizontal="center"/>
    </xf>
    <xf numFmtId="0" fontId="0" fillId="0" borderId="58" xfId="0" applyBorder="1"/>
    <xf numFmtId="2" fontId="78" fillId="3" borderId="58" xfId="16" applyNumberFormat="1" applyFont="1" applyFill="1" applyBorder="1" applyAlignment="1">
      <alignment horizontal="center" vertical="center"/>
    </xf>
    <xf numFmtId="0" fontId="78" fillId="3" borderId="58" xfId="16" applyFont="1" applyFill="1" applyBorder="1" applyAlignment="1">
      <alignment horizontal="center" vertical="center"/>
    </xf>
    <xf numFmtId="188" fontId="78" fillId="3" borderId="58" xfId="16" applyNumberFormat="1" applyFont="1" applyFill="1" applyBorder="1" applyAlignment="1">
      <alignment horizontal="center"/>
    </xf>
    <xf numFmtId="189" fontId="79" fillId="3" borderId="91" xfId="16" applyNumberFormat="1" applyFont="1" applyFill="1" applyBorder="1" applyAlignment="1">
      <alignment horizontal="center"/>
    </xf>
    <xf numFmtId="189" fontId="79" fillId="3" borderId="92" xfId="16" applyNumberFormat="1" applyFont="1" applyFill="1" applyBorder="1" applyAlignment="1">
      <alignment horizontal="center"/>
    </xf>
    <xf numFmtId="2" fontId="78" fillId="3" borderId="92" xfId="16" applyNumberFormat="1" applyFont="1" applyFill="1" applyBorder="1" applyAlignment="1">
      <alignment horizontal="center" vertical="center"/>
    </xf>
    <xf numFmtId="188" fontId="78" fillId="3" borderId="93" xfId="16" applyNumberFormat="1" applyFont="1" applyFill="1" applyBorder="1" applyAlignment="1">
      <alignment horizontal="center"/>
    </xf>
    <xf numFmtId="180" fontId="0" fillId="0" borderId="0" xfId="0" applyNumberFormat="1" applyProtection="1">
      <protection locked="0"/>
    </xf>
    <xf numFmtId="0" fontId="0" fillId="35" borderId="0" xfId="0" applyFill="1"/>
    <xf numFmtId="0" fontId="0" fillId="36" borderId="0" xfId="0" applyFill="1"/>
    <xf numFmtId="0" fontId="0" fillId="37" borderId="0" xfId="0" applyFill="1"/>
    <xf numFmtId="0" fontId="80" fillId="34" borderId="51" xfId="0" applyFont="1" applyFill="1" applyBorder="1" applyAlignment="1">
      <alignment horizontal="center"/>
    </xf>
    <xf numFmtId="164" fontId="80" fillId="34" borderId="51" xfId="1" applyFont="1" applyFill="1" applyBorder="1" applyAlignment="1">
      <alignment horizontal="center"/>
    </xf>
    <xf numFmtId="0" fontId="80" fillId="34" borderId="54" xfId="0" applyFont="1" applyFill="1" applyBorder="1" applyAlignment="1">
      <alignment horizontal="center"/>
    </xf>
    <xf numFmtId="0" fontId="80" fillId="34" borderId="52" xfId="0" applyFont="1" applyFill="1" applyBorder="1" applyAlignment="1">
      <alignment horizontal="center"/>
    </xf>
    <xf numFmtId="0" fontId="3" fillId="38" borderId="0" xfId="0" applyFont="1" applyFill="1"/>
    <xf numFmtId="0" fontId="0" fillId="8" borderId="0" xfId="0" applyFill="1"/>
    <xf numFmtId="44" fontId="0" fillId="39" borderId="0" xfId="0" applyNumberFormat="1" applyFill="1"/>
    <xf numFmtId="0" fontId="0" fillId="3" borderId="11" xfId="0" applyFill="1" applyBorder="1"/>
    <xf numFmtId="169" fontId="0" fillId="0" borderId="11" xfId="2" applyNumberFormat="1" applyFont="1" applyBorder="1" applyAlignment="1">
      <alignment horizontal="right"/>
    </xf>
    <xf numFmtId="0" fontId="81" fillId="22" borderId="0" xfId="0" applyFont="1" applyFill="1" applyAlignment="1">
      <alignment horizontal="center"/>
    </xf>
    <xf numFmtId="0" fontId="4" fillId="39" borderId="0" xfId="0" applyFont="1" applyFill="1" applyAlignment="1">
      <alignment horizontal="center"/>
    </xf>
    <xf numFmtId="0" fontId="0" fillId="39" borderId="0" xfId="0" applyFill="1" applyAlignment="1">
      <alignment horizontal="center"/>
    </xf>
    <xf numFmtId="0" fontId="4" fillId="24" borderId="0" xfId="0" applyFont="1" applyFill="1" applyAlignment="1">
      <alignment horizontal="center"/>
    </xf>
    <xf numFmtId="9" fontId="0" fillId="24" borderId="0" xfId="0" applyNumberFormat="1" applyFill="1" applyAlignment="1">
      <alignment horizontal="center"/>
    </xf>
    <xf numFmtId="0" fontId="6" fillId="24" borderId="94" xfId="0" applyFont="1" applyFill="1" applyBorder="1" applyAlignment="1">
      <alignment horizontal="center"/>
    </xf>
    <xf numFmtId="0" fontId="4" fillId="0" borderId="95" xfId="0" applyFont="1" applyBorder="1" applyAlignment="1">
      <alignment horizontal="center"/>
    </xf>
    <xf numFmtId="0" fontId="4" fillId="24" borderId="0" xfId="0" applyFont="1" applyFill="1" applyAlignment="1">
      <alignment horizontal="center" wrapText="1"/>
    </xf>
    <xf numFmtId="9" fontId="0" fillId="24" borderId="0" xfId="0" applyNumberFormat="1" applyFill="1" applyAlignment="1">
      <alignment horizontal="center" vertical="center"/>
    </xf>
    <xf numFmtId="0" fontId="4" fillId="39" borderId="0" xfId="0" applyFont="1" applyFill="1" applyAlignment="1">
      <alignment horizontal="center" wrapText="1"/>
    </xf>
    <xf numFmtId="0" fontId="0" fillId="39" borderId="0" xfId="0" applyFill="1" applyAlignment="1">
      <alignment horizontal="center" vertical="center"/>
    </xf>
    <xf numFmtId="0" fontId="0" fillId="39" borderId="0" xfId="0" applyFill="1" applyAlignment="1">
      <alignment horizontal="center" wrapText="1"/>
    </xf>
    <xf numFmtId="0" fontId="0" fillId="8" borderId="0" xfId="0" applyFill="1" applyAlignment="1">
      <alignment horizontal="center"/>
    </xf>
    <xf numFmtId="0" fontId="83" fillId="22" borderId="0" xfId="0" applyFont="1" applyFill="1" applyAlignment="1">
      <alignment horizontal="center"/>
    </xf>
    <xf numFmtId="0" fontId="85" fillId="0" borderId="95" xfId="0" applyFont="1" applyBorder="1" applyAlignment="1">
      <alignment horizontal="center"/>
    </xf>
    <xf numFmtId="0" fontId="86" fillId="0" borderId="0" xfId="0" applyFont="1" applyAlignment="1">
      <alignment horizontal="center"/>
    </xf>
    <xf numFmtId="0" fontId="0" fillId="24" borderId="0" xfId="0" applyFill="1" applyAlignment="1">
      <alignment horizontal="center"/>
    </xf>
    <xf numFmtId="0" fontId="4" fillId="38" borderId="0" xfId="0" applyFont="1" applyFill="1" applyAlignment="1">
      <alignment horizontal="center"/>
    </xf>
    <xf numFmtId="0" fontId="0" fillId="38" borderId="0" xfId="0" applyFill="1" applyAlignment="1">
      <alignment horizontal="center"/>
    </xf>
    <xf numFmtId="9" fontId="0" fillId="0" borderId="0" xfId="2" applyFont="1" applyAlignment="1">
      <alignment horizontal="center" vertical="center"/>
    </xf>
    <xf numFmtId="10" fontId="0" fillId="0" borderId="0" xfId="2" applyNumberFormat="1" applyFont="1" applyAlignment="1">
      <alignment horizontal="center" vertical="center"/>
    </xf>
    <xf numFmtId="190" fontId="0" fillId="0" borderId="0" xfId="0" applyNumberFormat="1" applyAlignment="1">
      <alignment horizontal="center"/>
    </xf>
    <xf numFmtId="0" fontId="34" fillId="0" borderId="28" xfId="0" applyFont="1" applyBorder="1"/>
    <xf numFmtId="0" fontId="34" fillId="0" borderId="29" xfId="0" applyFont="1" applyBorder="1"/>
    <xf numFmtId="0" fontId="24" fillId="13" borderId="29" xfId="11" applyFont="1" applyFill="1" applyBorder="1" applyAlignment="1">
      <alignment horizontal="center"/>
    </xf>
    <xf numFmtId="0" fontId="34" fillId="0" borderId="37" xfId="0" applyFont="1" applyBorder="1"/>
    <xf numFmtId="0" fontId="20" fillId="13" borderId="25" xfId="11" applyFont="1" applyFill="1" applyBorder="1" applyAlignment="1">
      <alignment horizontal="left" indent="1"/>
    </xf>
    <xf numFmtId="10" fontId="21" fillId="13" borderId="26" xfId="11" applyNumberFormat="1" applyFont="1" applyFill="1" applyBorder="1" applyAlignment="1">
      <alignment horizontal="center"/>
    </xf>
    <xf numFmtId="173" fontId="22" fillId="13" borderId="26" xfId="11" applyNumberFormat="1" applyFont="1" applyFill="1" applyBorder="1" applyAlignment="1">
      <alignment horizontal="center"/>
    </xf>
    <xf numFmtId="165" fontId="22" fillId="13" borderId="36" xfId="4" applyFont="1" applyFill="1" applyBorder="1" applyAlignment="1">
      <alignment horizontal="right"/>
    </xf>
    <xf numFmtId="165" fontId="22" fillId="14" borderId="34" xfId="4" applyFont="1" applyFill="1" applyBorder="1" applyAlignment="1">
      <alignment horizontal="right"/>
    </xf>
    <xf numFmtId="0" fontId="24" fillId="13" borderId="28" xfId="11" applyFont="1" applyFill="1" applyBorder="1" applyAlignment="1">
      <alignment horizontal="left"/>
    </xf>
    <xf numFmtId="0" fontId="24" fillId="13" borderId="29" xfId="11" applyFont="1" applyFill="1" applyBorder="1" applyAlignment="1">
      <alignment horizontal="left"/>
    </xf>
    <xf numFmtId="10" fontId="26" fillId="13" borderId="29" xfId="11" applyNumberFormat="1" applyFont="1" applyFill="1" applyBorder="1" applyAlignment="1">
      <alignment horizontal="center"/>
    </xf>
    <xf numFmtId="173" fontId="26" fillId="13" borderId="29" xfId="11" applyNumberFormat="1" applyFont="1" applyFill="1" applyBorder="1" applyAlignment="1">
      <alignment horizontal="center"/>
    </xf>
    <xf numFmtId="165" fontId="26" fillId="13" borderId="37" xfId="4" applyFont="1" applyFill="1" applyBorder="1" applyAlignment="1">
      <alignment horizontal="right"/>
    </xf>
    <xf numFmtId="3" fontId="0" fillId="0" borderId="58" xfId="0" applyNumberFormat="1" applyBorder="1" applyAlignment="1" applyProtection="1">
      <alignment horizontal="center" vertical="center"/>
      <protection locked="0"/>
    </xf>
    <xf numFmtId="191" fontId="22" fillId="18" borderId="0" xfId="11" applyNumberFormat="1" applyFont="1" applyFill="1" applyAlignment="1">
      <alignment horizontal="center"/>
    </xf>
    <xf numFmtId="2" fontId="21" fillId="14" borderId="0" xfId="11" applyNumberFormat="1" applyFont="1" applyFill="1" applyAlignment="1">
      <alignment horizontal="center" vertical="center" wrapText="1"/>
    </xf>
    <xf numFmtId="0" fontId="31" fillId="0" borderId="29" xfId="11" applyFont="1" applyBorder="1" applyAlignment="1">
      <alignment horizontal="center"/>
    </xf>
    <xf numFmtId="0" fontId="31" fillId="0" borderId="37" xfId="11" applyFont="1" applyBorder="1" applyAlignment="1">
      <alignment horizontal="center"/>
    </xf>
    <xf numFmtId="0" fontId="18" fillId="17" borderId="28" xfId="11" applyFont="1" applyFill="1" applyBorder="1" applyAlignment="1">
      <alignment horizontal="center"/>
    </xf>
    <xf numFmtId="0" fontId="18" fillId="17" borderId="29" xfId="11" applyFont="1" applyFill="1" applyBorder="1" applyAlignment="1">
      <alignment horizontal="center"/>
    </xf>
    <xf numFmtId="0" fontId="18" fillId="17" borderId="37" xfId="11" applyFont="1" applyFill="1" applyBorder="1" applyAlignment="1">
      <alignment horizontal="center"/>
    </xf>
    <xf numFmtId="0" fontId="72" fillId="17" borderId="28" xfId="11" applyFont="1" applyFill="1" applyBorder="1" applyAlignment="1">
      <alignment horizontal="center"/>
    </xf>
    <xf numFmtId="0" fontId="72" fillId="17" borderId="29" xfId="11" applyFont="1" applyFill="1" applyBorder="1" applyAlignment="1">
      <alignment horizontal="center"/>
    </xf>
    <xf numFmtId="0" fontId="72" fillId="17" borderId="37" xfId="11" applyFont="1" applyFill="1" applyBorder="1" applyAlignment="1">
      <alignment horizontal="center"/>
    </xf>
    <xf numFmtId="0" fontId="31" fillId="3" borderId="32" xfId="11" applyFont="1" applyFill="1" applyBorder="1" applyAlignment="1">
      <alignment horizontal="center"/>
    </xf>
    <xf numFmtId="0" fontId="31" fillId="3" borderId="33" xfId="11" applyFont="1" applyFill="1" applyBorder="1" applyAlignment="1">
      <alignment horizontal="center"/>
    </xf>
    <xf numFmtId="0" fontId="31" fillId="0" borderId="33" xfId="11" applyFont="1" applyBorder="1" applyAlignment="1">
      <alignment horizontal="center"/>
    </xf>
    <xf numFmtId="0" fontId="31" fillId="0" borderId="35" xfId="11" applyFont="1" applyBorder="1" applyAlignment="1">
      <alignment horizontal="center"/>
    </xf>
    <xf numFmtId="0" fontId="82" fillId="22" borderId="0" xfId="0" applyFont="1" applyFill="1" applyAlignment="1">
      <alignment horizontal="center"/>
    </xf>
    <xf numFmtId="0" fontId="81" fillId="22" borderId="0" xfId="0" applyFont="1" applyFill="1" applyAlignment="1">
      <alignment horizontal="center"/>
    </xf>
    <xf numFmtId="0" fontId="84" fillId="22" borderId="0" xfId="0" applyFont="1" applyFill="1" applyAlignment="1">
      <alignment horizontal="center"/>
    </xf>
    <xf numFmtId="0" fontId="84" fillId="22" borderId="53" xfId="0" applyFont="1" applyFill="1" applyBorder="1" applyAlignment="1">
      <alignment horizontal="center"/>
    </xf>
    <xf numFmtId="0" fontId="3" fillId="22" borderId="0" xfId="0" applyFont="1" applyFill="1" applyAlignment="1">
      <alignment horizontal="center"/>
    </xf>
    <xf numFmtId="0" fontId="81" fillId="22" borderId="53" xfId="0" applyFont="1" applyFill="1" applyBorder="1" applyAlignment="1">
      <alignment horizontal="center"/>
    </xf>
    <xf numFmtId="0" fontId="33" fillId="4" borderId="28" xfId="0" applyFont="1" applyFill="1" applyBorder="1" applyAlignment="1">
      <alignment horizontal="center" vertical="center"/>
    </xf>
    <xf numFmtId="0" fontId="33" fillId="4" borderId="29" xfId="0" applyFont="1" applyFill="1" applyBorder="1" applyAlignment="1">
      <alignment horizontal="center" vertical="center"/>
    </xf>
    <xf numFmtId="0" fontId="33" fillId="4" borderId="37" xfId="0" applyFont="1" applyFill="1" applyBorder="1" applyAlignment="1">
      <alignment horizontal="center" vertical="center"/>
    </xf>
    <xf numFmtId="0" fontId="33" fillId="32" borderId="28" xfId="0" applyFont="1" applyFill="1" applyBorder="1" applyAlignment="1">
      <alignment horizontal="center" vertical="center"/>
    </xf>
    <xf numFmtId="0" fontId="33" fillId="32" borderId="29" xfId="0" applyFont="1" applyFill="1" applyBorder="1" applyAlignment="1">
      <alignment horizontal="center" vertical="center"/>
    </xf>
    <xf numFmtId="0" fontId="33" fillId="32" borderId="37" xfId="0" applyFont="1" applyFill="1" applyBorder="1" applyAlignment="1">
      <alignment horizontal="center" vertical="center"/>
    </xf>
    <xf numFmtId="0" fontId="33" fillId="33" borderId="28" xfId="0" applyFont="1" applyFill="1" applyBorder="1" applyAlignment="1">
      <alignment horizontal="center" vertical="center"/>
    </xf>
    <xf numFmtId="0" fontId="33" fillId="33" borderId="29" xfId="0" applyFont="1" applyFill="1" applyBorder="1" applyAlignment="1">
      <alignment horizontal="center" vertical="center"/>
    </xf>
    <xf numFmtId="0" fontId="33" fillId="33" borderId="37" xfId="0" applyFont="1" applyFill="1" applyBorder="1" applyAlignment="1">
      <alignment horizontal="center" vertical="center"/>
    </xf>
    <xf numFmtId="0" fontId="33" fillId="4" borderId="11" xfId="0" applyFont="1" applyFill="1" applyBorder="1" applyAlignment="1">
      <alignment horizontal="center" vertical="center"/>
    </xf>
    <xf numFmtId="0" fontId="33" fillId="32" borderId="11" xfId="0" applyFont="1" applyFill="1" applyBorder="1" applyAlignment="1">
      <alignment horizontal="center" vertical="center"/>
    </xf>
    <xf numFmtId="0" fontId="33" fillId="33" borderId="11" xfId="0" applyFont="1" applyFill="1" applyBorder="1" applyAlignment="1">
      <alignment horizontal="center" vertical="center"/>
    </xf>
    <xf numFmtId="0" fontId="69" fillId="17" borderId="28" xfId="11" applyFont="1" applyFill="1" applyBorder="1" applyAlignment="1">
      <alignment horizontal="center"/>
    </xf>
    <xf numFmtId="0" fontId="69" fillId="17" borderId="29" xfId="11" applyFont="1" applyFill="1" applyBorder="1" applyAlignment="1">
      <alignment horizontal="center"/>
    </xf>
    <xf numFmtId="0" fontId="69" fillId="17" borderId="37" xfId="11" applyFont="1" applyFill="1" applyBorder="1" applyAlignment="1">
      <alignment horizontal="center"/>
    </xf>
    <xf numFmtId="0" fontId="35" fillId="28" borderId="28" xfId="12" applyFont="1" applyFill="1" applyBorder="1" applyAlignment="1">
      <alignment horizontal="center"/>
    </xf>
    <xf numFmtId="0" fontId="35" fillId="28" borderId="29" xfId="12" applyFont="1" applyFill="1" applyBorder="1" applyAlignment="1">
      <alignment horizontal="center"/>
    </xf>
    <xf numFmtId="0" fontId="35" fillId="28" borderId="37" xfId="12" applyFont="1" applyFill="1" applyBorder="1" applyAlignment="1">
      <alignment horizontal="center"/>
    </xf>
    <xf numFmtId="0" fontId="35" fillId="28" borderId="32" xfId="12" applyFont="1" applyFill="1" applyBorder="1" applyAlignment="1">
      <alignment horizontal="center"/>
    </xf>
    <xf numFmtId="0" fontId="35" fillId="28" borderId="33" xfId="12" applyFont="1" applyFill="1" applyBorder="1" applyAlignment="1">
      <alignment horizontal="center"/>
    </xf>
    <xf numFmtId="0" fontId="35" fillId="28" borderId="35" xfId="12" applyFont="1" applyFill="1" applyBorder="1" applyAlignment="1">
      <alignment horizontal="center"/>
    </xf>
    <xf numFmtId="166" fontId="12" fillId="3" borderId="28" xfId="13" applyFont="1" applyFill="1" applyBorder="1" applyAlignment="1">
      <alignment horizontal="center"/>
    </xf>
    <xf numFmtId="166" fontId="12" fillId="3" borderId="37" xfId="13" applyFont="1" applyFill="1" applyBorder="1" applyAlignment="1">
      <alignment horizontal="center"/>
    </xf>
    <xf numFmtId="181" fontId="42" fillId="3" borderId="33" xfId="0" applyNumberFormat="1" applyFont="1" applyFill="1" applyBorder="1" applyAlignment="1">
      <alignment horizontal="left"/>
    </xf>
    <xf numFmtId="0" fontId="44" fillId="0" borderId="64" xfId="0" applyFont="1" applyBorder="1" applyAlignment="1">
      <alignment horizontal="center" vertical="center" wrapText="1"/>
    </xf>
    <xf numFmtId="0" fontId="44" fillId="0" borderId="26" xfId="0" applyFont="1" applyBorder="1" applyAlignment="1">
      <alignment horizontal="center" vertical="center" wrapText="1"/>
    </xf>
    <xf numFmtId="0" fontId="44" fillId="0" borderId="36" xfId="0" applyFont="1" applyBorder="1" applyAlignment="1">
      <alignment horizontal="center" vertical="center" wrapText="1"/>
    </xf>
    <xf numFmtId="0" fontId="44" fillId="0" borderId="9" xfId="0" applyFont="1" applyBorder="1" applyAlignment="1">
      <alignment horizontal="center" vertical="center" wrapText="1"/>
    </xf>
    <xf numFmtId="0" fontId="44" fillId="0" borderId="0" xfId="0" applyFont="1" applyAlignment="1">
      <alignment horizontal="center" vertical="center" wrapText="1"/>
    </xf>
    <xf numFmtId="0" fontId="44" fillId="0" borderId="34" xfId="0" applyFont="1" applyBorder="1" applyAlignment="1">
      <alignment horizontal="center" vertical="center" wrapText="1"/>
    </xf>
    <xf numFmtId="0" fontId="44" fillId="0" borderId="48" xfId="0" applyFont="1" applyBorder="1" applyAlignment="1">
      <alignment horizontal="center" vertical="center" wrapText="1"/>
    </xf>
    <xf numFmtId="0" fontId="44" fillId="0" borderId="49" xfId="0" applyFont="1" applyBorder="1" applyAlignment="1">
      <alignment horizontal="center" vertical="center" wrapText="1"/>
    </xf>
    <xf numFmtId="0" fontId="44" fillId="0" borderId="86" xfId="0" applyFont="1" applyBorder="1" applyAlignment="1">
      <alignment horizontal="center" vertical="center" wrapText="1"/>
    </xf>
    <xf numFmtId="0" fontId="44" fillId="0" borderId="25" xfId="0" applyFont="1" applyBorder="1" applyAlignment="1">
      <alignment horizontal="center" vertical="center" wrapText="1"/>
    </xf>
    <xf numFmtId="0" fontId="44" fillId="0" borderId="81" xfId="0" applyFont="1" applyBorder="1" applyAlignment="1">
      <alignment horizontal="center" vertical="center" wrapText="1"/>
    </xf>
    <xf numFmtId="0" fontId="44" fillId="0" borderId="27" xfId="0" applyFont="1" applyBorder="1" applyAlignment="1">
      <alignment horizontal="center" vertical="center" wrapText="1"/>
    </xf>
    <xf numFmtId="0" fontId="44" fillId="0" borderId="53" xfId="0" applyFont="1" applyBorder="1" applyAlignment="1">
      <alignment horizontal="center" vertical="center" wrapText="1"/>
    </xf>
    <xf numFmtId="0" fontId="44" fillId="0" borderId="87" xfId="0" applyFont="1" applyBorder="1" applyAlignment="1">
      <alignment horizontal="center" vertical="center" wrapText="1"/>
    </xf>
    <xf numFmtId="0" fontId="44" fillId="0" borderId="50" xfId="0" applyFont="1" applyBorder="1" applyAlignment="1">
      <alignment horizontal="center" vertical="center" wrapText="1"/>
    </xf>
    <xf numFmtId="0" fontId="42" fillId="3" borderId="64" xfId="0" applyFont="1" applyFill="1" applyBorder="1" applyAlignment="1">
      <alignment horizontal="left" vertical="top" wrapText="1"/>
    </xf>
    <xf numFmtId="0" fontId="42" fillId="3" borderId="26" xfId="0" applyFont="1" applyFill="1" applyBorder="1" applyAlignment="1">
      <alignment horizontal="left" vertical="top" wrapText="1"/>
    </xf>
    <xf numFmtId="0" fontId="42" fillId="3" borderId="81" xfId="0" applyFont="1" applyFill="1" applyBorder="1" applyAlignment="1">
      <alignment horizontal="left" vertical="top" wrapText="1"/>
    </xf>
    <xf numFmtId="0" fontId="42" fillId="3" borderId="9" xfId="0" applyFont="1" applyFill="1" applyBorder="1" applyAlignment="1">
      <alignment horizontal="left" vertical="top" wrapText="1"/>
    </xf>
    <xf numFmtId="0" fontId="42" fillId="3" borderId="0" xfId="0" applyFont="1" applyFill="1" applyAlignment="1">
      <alignment horizontal="left" vertical="top" wrapText="1"/>
    </xf>
    <xf numFmtId="0" fontId="42" fillId="3" borderId="53" xfId="0" applyFont="1" applyFill="1" applyBorder="1" applyAlignment="1">
      <alignment horizontal="left" vertical="top" wrapText="1"/>
    </xf>
    <xf numFmtId="0" fontId="42" fillId="3" borderId="0" xfId="0" applyFont="1" applyFill="1" applyAlignment="1">
      <alignment horizontal="center" vertical="top" wrapText="1"/>
    </xf>
    <xf numFmtId="0" fontId="42" fillId="3" borderId="33" xfId="0" applyFont="1" applyFill="1" applyBorder="1" applyAlignment="1">
      <alignment horizontal="center" vertical="top" wrapText="1"/>
    </xf>
    <xf numFmtId="0" fontId="40" fillId="3" borderId="51" xfId="0" applyFont="1" applyFill="1" applyBorder="1" applyAlignment="1">
      <alignment horizontal="left"/>
    </xf>
    <xf numFmtId="0" fontId="40" fillId="3" borderId="54" xfId="0" applyFont="1" applyFill="1" applyBorder="1" applyAlignment="1">
      <alignment horizontal="left"/>
    </xf>
    <xf numFmtId="0" fontId="40" fillId="3" borderId="52" xfId="0" applyFont="1" applyFill="1" applyBorder="1" applyAlignment="1">
      <alignment horizontal="left"/>
    </xf>
    <xf numFmtId="0" fontId="40" fillId="3" borderId="9" xfId="0" applyFont="1" applyFill="1" applyBorder="1" applyAlignment="1">
      <alignment horizontal="left"/>
    </xf>
    <xf numFmtId="0" fontId="40" fillId="3" borderId="0" xfId="0" applyFont="1" applyFill="1" applyAlignment="1">
      <alignment horizontal="left"/>
    </xf>
    <xf numFmtId="0" fontId="40" fillId="3" borderId="53" xfId="0" applyFont="1" applyFill="1" applyBorder="1" applyAlignment="1">
      <alignment horizontal="left"/>
    </xf>
    <xf numFmtId="0" fontId="40" fillId="3" borderId="48" xfId="0" applyFont="1" applyFill="1" applyBorder="1" applyAlignment="1">
      <alignment horizontal="left"/>
    </xf>
    <xf numFmtId="0" fontId="40" fillId="3" borderId="49" xfId="0" applyFont="1" applyFill="1" applyBorder="1" applyAlignment="1">
      <alignment horizontal="left"/>
    </xf>
    <xf numFmtId="0" fontId="40" fillId="3" borderId="50" xfId="0" applyFont="1" applyFill="1" applyBorder="1" applyAlignment="1">
      <alignment horizontal="left"/>
    </xf>
    <xf numFmtId="172" fontId="42" fillId="25" borderId="29" xfId="7" applyNumberFormat="1" applyFont="1" applyFill="1" applyBorder="1" applyAlignment="1">
      <alignment horizontal="center"/>
    </xf>
    <xf numFmtId="172" fontId="42" fillId="25" borderId="37" xfId="7" applyNumberFormat="1" applyFont="1" applyFill="1" applyBorder="1" applyAlignment="1">
      <alignment horizontal="center"/>
    </xf>
    <xf numFmtId="0" fontId="42" fillId="3" borderId="32" xfId="0" applyFont="1" applyFill="1" applyBorder="1" applyAlignment="1">
      <alignment horizontal="center"/>
    </xf>
    <xf numFmtId="0" fontId="42" fillId="3" borderId="33" xfId="0" applyFont="1" applyFill="1" applyBorder="1" applyAlignment="1">
      <alignment horizontal="center"/>
    </xf>
    <xf numFmtId="0" fontId="42" fillId="3" borderId="80" xfId="0" applyFont="1" applyFill="1" applyBorder="1" applyAlignment="1">
      <alignment horizontal="center"/>
    </xf>
    <xf numFmtId="0" fontId="41" fillId="25" borderId="67" xfId="0" applyFont="1" applyFill="1" applyBorder="1" applyAlignment="1">
      <alignment horizontal="left"/>
    </xf>
    <xf numFmtId="0" fontId="41" fillId="25" borderId="29" xfId="0" applyFont="1" applyFill="1" applyBorder="1" applyAlignment="1">
      <alignment horizontal="left"/>
    </xf>
    <xf numFmtId="172" fontId="41" fillId="25" borderId="29" xfId="7" applyNumberFormat="1" applyFont="1" applyFill="1" applyBorder="1" applyAlignment="1">
      <alignment horizontal="center"/>
    </xf>
    <xf numFmtId="172" fontId="41" fillId="25" borderId="37" xfId="7" applyNumberFormat="1" applyFont="1" applyFill="1" applyBorder="1" applyAlignment="1">
      <alignment horizontal="center"/>
    </xf>
    <xf numFmtId="0" fontId="41" fillId="25" borderId="28" xfId="0" applyFont="1" applyFill="1" applyBorder="1" applyAlignment="1">
      <alignment horizontal="left"/>
    </xf>
    <xf numFmtId="172" fontId="41" fillId="25" borderId="84" xfId="7" applyNumberFormat="1" applyFont="1" applyFill="1" applyBorder="1" applyAlignment="1">
      <alignment horizontal="center"/>
    </xf>
    <xf numFmtId="0" fontId="42" fillId="0" borderId="73" xfId="0" applyFont="1" applyBorder="1" applyAlignment="1">
      <alignment horizontal="center"/>
    </xf>
    <xf numFmtId="0" fontId="42" fillId="0" borderId="68" xfId="0" applyFont="1" applyBorder="1" applyAlignment="1">
      <alignment horizontal="center"/>
    </xf>
    <xf numFmtId="0" fontId="42" fillId="0" borderId="74" xfId="0" applyFont="1" applyBorder="1" applyAlignment="1">
      <alignment horizontal="center"/>
    </xf>
    <xf numFmtId="0" fontId="49" fillId="27" borderId="28" xfId="0" applyFont="1" applyFill="1" applyBorder="1" applyAlignment="1">
      <alignment horizontal="left"/>
    </xf>
    <xf numFmtId="0" fontId="49" fillId="27" borderId="29" xfId="0" applyFont="1" applyFill="1" applyBorder="1" applyAlignment="1">
      <alignment horizontal="left"/>
    </xf>
    <xf numFmtId="172" fontId="41" fillId="27" borderId="29" xfId="0" applyNumberFormat="1" applyFont="1" applyFill="1" applyBorder="1" applyAlignment="1">
      <alignment horizontal="center"/>
    </xf>
    <xf numFmtId="172" fontId="41" fillId="27" borderId="84" xfId="0" applyNumberFormat="1" applyFont="1" applyFill="1" applyBorder="1" applyAlignment="1">
      <alignment horizontal="center"/>
    </xf>
    <xf numFmtId="0" fontId="43" fillId="25" borderId="29" xfId="0" applyFont="1" applyFill="1" applyBorder="1" applyAlignment="1">
      <alignment horizontal="center"/>
    </xf>
    <xf numFmtId="172" fontId="42" fillId="25" borderId="84" xfId="7" applyNumberFormat="1" applyFont="1" applyFill="1" applyBorder="1" applyAlignment="1">
      <alignment horizontal="center"/>
    </xf>
    <xf numFmtId="0" fontId="42" fillId="3" borderId="25" xfId="0" applyFont="1" applyFill="1" applyBorder="1" applyAlignment="1">
      <alignment horizontal="center"/>
    </xf>
    <xf numFmtId="0" fontId="42" fillId="3" borderId="26" xfId="0" applyFont="1" applyFill="1" applyBorder="1" applyAlignment="1">
      <alignment horizontal="center"/>
    </xf>
    <xf numFmtId="0" fontId="42" fillId="3" borderId="81" xfId="0" applyFont="1" applyFill="1" applyBorder="1" applyAlignment="1">
      <alignment horizontal="center"/>
    </xf>
    <xf numFmtId="0" fontId="42" fillId="3" borderId="27" xfId="0" applyFont="1" applyFill="1" applyBorder="1" applyAlignment="1">
      <alignment horizontal="center"/>
    </xf>
    <xf numFmtId="0" fontId="42" fillId="3" borderId="0" xfId="0" applyFont="1" applyFill="1" applyAlignment="1">
      <alignment horizontal="center"/>
    </xf>
    <xf numFmtId="0" fontId="42" fillId="3" borderId="53" xfId="0" applyFont="1" applyFill="1" applyBorder="1" applyAlignment="1">
      <alignment horizontal="center"/>
    </xf>
    <xf numFmtId="0" fontId="41" fillId="25" borderId="61" xfId="0" applyFont="1" applyFill="1" applyBorder="1" applyAlignment="1">
      <alignment horizontal="left"/>
    </xf>
    <xf numFmtId="0" fontId="41" fillId="25" borderId="62" xfId="0" applyFont="1" applyFill="1" applyBorder="1" applyAlignment="1">
      <alignment horizontal="left"/>
    </xf>
    <xf numFmtId="172" fontId="41" fillId="25" borderId="62" xfId="1" applyNumberFormat="1" applyFont="1" applyFill="1" applyBorder="1" applyAlignment="1">
      <alignment horizontal="left"/>
    </xf>
    <xf numFmtId="172" fontId="41" fillId="25" borderId="79" xfId="1" applyNumberFormat="1" applyFont="1" applyFill="1" applyBorder="1" applyAlignment="1">
      <alignment horizontal="left"/>
    </xf>
    <xf numFmtId="0" fontId="41" fillId="21" borderId="54" xfId="0" applyFont="1" applyFill="1" applyBorder="1" applyAlignment="1">
      <alignment horizontal="center"/>
    </xf>
    <xf numFmtId="0" fontId="41" fillId="21" borderId="76" xfId="0" applyFont="1" applyFill="1" applyBorder="1" applyAlignment="1">
      <alignment horizontal="center"/>
    </xf>
    <xf numFmtId="0" fontId="41" fillId="21" borderId="52" xfId="0" applyFont="1" applyFill="1" applyBorder="1" applyAlignment="1">
      <alignment horizontal="center"/>
    </xf>
    <xf numFmtId="172" fontId="42" fillId="25" borderId="33" xfId="7" applyNumberFormat="1" applyFont="1" applyFill="1" applyBorder="1" applyAlignment="1">
      <alignment horizontal="center"/>
    </xf>
    <xf numFmtId="172" fontId="42" fillId="25" borderId="35" xfId="7" applyNumberFormat="1" applyFont="1" applyFill="1" applyBorder="1" applyAlignment="1">
      <alignment horizontal="center"/>
    </xf>
    <xf numFmtId="0" fontId="43" fillId="25" borderId="33" xfId="0" applyFont="1" applyFill="1" applyBorder="1" applyAlignment="1">
      <alignment horizontal="center"/>
    </xf>
    <xf numFmtId="172" fontId="42" fillId="25" borderId="80" xfId="7" applyNumberFormat="1" applyFont="1" applyFill="1" applyBorder="1" applyAlignment="1">
      <alignment horizontal="center"/>
    </xf>
    <xf numFmtId="0" fontId="41" fillId="3" borderId="67" xfId="0" applyFont="1" applyFill="1" applyBorder="1" applyAlignment="1">
      <alignment horizontal="left"/>
    </xf>
    <xf numFmtId="0" fontId="41" fillId="3" borderId="29" xfId="0" applyFont="1" applyFill="1" applyBorder="1" applyAlignment="1">
      <alignment horizontal="left"/>
    </xf>
    <xf numFmtId="0" fontId="41" fillId="0" borderId="29" xfId="0" applyFont="1" applyBorder="1" applyAlignment="1">
      <alignment horizontal="left"/>
    </xf>
    <xf numFmtId="172" fontId="41" fillId="0" borderId="29" xfId="1" applyNumberFormat="1" applyFont="1" applyFill="1" applyBorder="1" applyAlignment="1">
      <alignment horizontal="left"/>
    </xf>
    <xf numFmtId="172" fontId="41" fillId="0" borderId="84" xfId="1" applyNumberFormat="1" applyFont="1" applyFill="1" applyBorder="1" applyAlignment="1">
      <alignment horizontal="left"/>
    </xf>
    <xf numFmtId="0" fontId="41" fillId="3" borderId="73" xfId="0" applyFont="1" applyFill="1" applyBorder="1" applyAlignment="1">
      <alignment horizontal="left"/>
    </xf>
    <xf numFmtId="0" fontId="41" fillId="3" borderId="68" xfId="0" applyFont="1" applyFill="1" applyBorder="1" applyAlignment="1">
      <alignment horizontal="left"/>
    </xf>
    <xf numFmtId="0" fontId="41" fillId="0" borderId="68" xfId="0" applyFont="1" applyBorder="1" applyAlignment="1">
      <alignment horizontal="left"/>
    </xf>
    <xf numFmtId="172" fontId="41" fillId="0" borderId="68" xfId="1" applyNumberFormat="1" applyFont="1" applyFill="1" applyBorder="1" applyAlignment="1">
      <alignment horizontal="left"/>
    </xf>
    <xf numFmtId="172" fontId="41" fillId="0" borderId="85" xfId="1" applyNumberFormat="1" applyFont="1" applyFill="1" applyBorder="1" applyAlignment="1">
      <alignment horizontal="left"/>
    </xf>
    <xf numFmtId="0" fontId="41" fillId="3" borderId="63" xfId="0" applyFont="1" applyFill="1" applyBorder="1" applyAlignment="1">
      <alignment horizontal="left"/>
    </xf>
    <xf numFmtId="0" fontId="41" fillId="3" borderId="33" xfId="0" applyFont="1" applyFill="1" applyBorder="1" applyAlignment="1">
      <alignment horizontal="left"/>
    </xf>
    <xf numFmtId="0" fontId="41" fillId="0" borderId="33" xfId="0" applyFont="1" applyBorder="1" applyAlignment="1">
      <alignment horizontal="left"/>
    </xf>
    <xf numFmtId="172" fontId="41" fillId="0" borderId="33" xfId="1" applyNumberFormat="1" applyFont="1" applyFill="1" applyBorder="1" applyAlignment="1">
      <alignment horizontal="left"/>
    </xf>
    <xf numFmtId="172" fontId="41" fillId="0" borderId="80" xfId="1" applyNumberFormat="1" applyFont="1" applyFill="1" applyBorder="1" applyAlignment="1">
      <alignment horizontal="left"/>
    </xf>
    <xf numFmtId="172" fontId="41" fillId="25" borderId="68" xfId="1" applyNumberFormat="1" applyFont="1" applyFill="1" applyBorder="1" applyAlignment="1">
      <alignment horizontal="left"/>
    </xf>
    <xf numFmtId="172" fontId="41" fillId="25" borderId="85" xfId="1" applyNumberFormat="1" applyFont="1" applyFill="1" applyBorder="1" applyAlignment="1">
      <alignment horizontal="left"/>
    </xf>
    <xf numFmtId="0" fontId="41" fillId="21" borderId="51" xfId="0" applyFont="1" applyFill="1" applyBorder="1" applyAlignment="1">
      <alignment horizontal="left"/>
    </xf>
    <xf numFmtId="0" fontId="41" fillId="21" borderId="54" xfId="0" applyFont="1" applyFill="1" applyBorder="1" applyAlignment="1">
      <alignment horizontal="left"/>
    </xf>
    <xf numFmtId="0" fontId="48" fillId="0" borderId="67" xfId="0" applyFont="1" applyBorder="1" applyAlignment="1">
      <alignment horizontal="left"/>
    </xf>
    <xf numFmtId="0" fontId="48" fillId="0" borderId="29" xfId="0" applyFont="1" applyBorder="1" applyAlignment="1">
      <alignment horizontal="left"/>
    </xf>
    <xf numFmtId="172" fontId="48" fillId="0" borderId="29" xfId="1" applyNumberFormat="1" applyFont="1" applyFill="1" applyBorder="1" applyAlignment="1">
      <alignment horizontal="center"/>
    </xf>
    <xf numFmtId="172" fontId="48" fillId="0" borderId="29" xfId="1" applyNumberFormat="1" applyFont="1" applyFill="1" applyBorder="1" applyAlignment="1">
      <alignment horizontal="right"/>
    </xf>
    <xf numFmtId="172" fontId="48" fillId="25" borderId="29" xfId="1" applyNumberFormat="1" applyFont="1" applyFill="1" applyBorder="1" applyAlignment="1">
      <alignment horizontal="right"/>
    </xf>
    <xf numFmtId="172" fontId="48" fillId="25" borderId="84" xfId="1" applyNumberFormat="1" applyFont="1" applyFill="1" applyBorder="1" applyAlignment="1">
      <alignment horizontal="right"/>
    </xf>
    <xf numFmtId="0" fontId="42" fillId="3" borderId="67" xfId="0" applyFont="1" applyFill="1" applyBorder="1" applyAlignment="1">
      <alignment horizontal="left"/>
    </xf>
    <xf numFmtId="0" fontId="42" fillId="3" borderId="29" xfId="0" applyFont="1" applyFill="1" applyBorder="1" applyAlignment="1">
      <alignment horizontal="left"/>
    </xf>
    <xf numFmtId="172" fontId="46" fillId="3" borderId="29" xfId="1" applyNumberFormat="1" applyFont="1" applyFill="1" applyBorder="1" applyAlignment="1">
      <alignment horizontal="center"/>
    </xf>
    <xf numFmtId="172" fontId="42" fillId="25" borderId="29" xfId="0" applyNumberFormat="1" applyFont="1" applyFill="1" applyBorder="1" applyAlignment="1">
      <alignment horizontal="center"/>
    </xf>
    <xf numFmtId="172" fontId="42" fillId="25" borderId="84" xfId="0" applyNumberFormat="1" applyFont="1" applyFill="1" applyBorder="1" applyAlignment="1">
      <alignment horizontal="center"/>
    </xf>
    <xf numFmtId="0" fontId="42" fillId="3" borderId="67" xfId="0" applyFont="1" applyFill="1" applyBorder="1" applyAlignment="1">
      <alignment horizontal="left" vertical="top"/>
    </xf>
    <xf numFmtId="0" fontId="42" fillId="3" borderId="29" xfId="0" applyFont="1" applyFill="1" applyBorder="1" applyAlignment="1">
      <alignment horizontal="left" vertical="top"/>
    </xf>
    <xf numFmtId="172" fontId="46" fillId="3" borderId="29" xfId="1" applyNumberFormat="1" applyFont="1" applyFill="1" applyBorder="1" applyAlignment="1">
      <alignment horizontal="right"/>
    </xf>
    <xf numFmtId="0" fontId="41" fillId="21" borderId="70" xfId="0" applyFont="1" applyFill="1" applyBorder="1" applyAlignment="1">
      <alignment horizontal="right" vertical="center"/>
    </xf>
    <xf numFmtId="0" fontId="41" fillId="21" borderId="70" xfId="0" applyFont="1" applyFill="1" applyBorder="1" applyAlignment="1">
      <alignment horizontal="right" vertical="center" wrapText="1"/>
    </xf>
    <xf numFmtId="0" fontId="41" fillId="21" borderId="60" xfId="0" applyFont="1" applyFill="1" applyBorder="1" applyAlignment="1">
      <alignment horizontal="right" vertical="center" wrapText="1"/>
    </xf>
    <xf numFmtId="0" fontId="42" fillId="0" borderId="67" xfId="0" applyFont="1" applyBorder="1" applyAlignment="1">
      <alignment horizontal="center"/>
    </xf>
    <xf numFmtId="0" fontId="42" fillId="0" borderId="29" xfId="0" applyFont="1" applyBorder="1" applyAlignment="1">
      <alignment horizontal="center"/>
    </xf>
    <xf numFmtId="172" fontId="42" fillId="0" borderId="29" xfId="1" applyNumberFormat="1" applyFont="1" applyFill="1" applyBorder="1" applyAlignment="1">
      <alignment horizontal="center"/>
    </xf>
    <xf numFmtId="172" fontId="42" fillId="0" borderId="37" xfId="1" applyNumberFormat="1" applyFont="1" applyFill="1" applyBorder="1" applyAlignment="1">
      <alignment horizontal="center"/>
    </xf>
    <xf numFmtId="0" fontId="42" fillId="0" borderId="28" xfId="0" applyFont="1" applyBorder="1" applyAlignment="1">
      <alignment horizontal="left"/>
    </xf>
    <xf numFmtId="0" fontId="42" fillId="0" borderId="29" xfId="0" applyFont="1" applyBorder="1" applyAlignment="1">
      <alignment horizontal="left"/>
    </xf>
    <xf numFmtId="172" fontId="42" fillId="0" borderId="29" xfId="1" applyNumberFormat="1" applyFont="1" applyFill="1" applyBorder="1" applyAlignment="1">
      <alignment horizontal="left"/>
    </xf>
    <xf numFmtId="172" fontId="42" fillId="0" borderId="84" xfId="1" applyNumberFormat="1" applyFont="1" applyFill="1" applyBorder="1" applyAlignment="1">
      <alignment horizontal="left"/>
    </xf>
    <xf numFmtId="0" fontId="41" fillId="25" borderId="73" xfId="0" applyFont="1" applyFill="1" applyBorder="1" applyAlignment="1">
      <alignment horizontal="left"/>
    </xf>
    <xf numFmtId="0" fontId="41" fillId="25" borderId="68" xfId="0" applyFont="1" applyFill="1" applyBorder="1" applyAlignment="1">
      <alignment horizontal="left"/>
    </xf>
    <xf numFmtId="172" fontId="41" fillId="25" borderId="68" xfId="7" applyNumberFormat="1" applyFont="1" applyFill="1" applyBorder="1" applyAlignment="1">
      <alignment horizontal="center"/>
    </xf>
    <xf numFmtId="172" fontId="41" fillId="25" borderId="74" xfId="7" applyNumberFormat="1" applyFont="1" applyFill="1" applyBorder="1" applyAlignment="1">
      <alignment horizontal="center"/>
    </xf>
    <xf numFmtId="0" fontId="41" fillId="25" borderId="75" xfId="0" applyFont="1" applyFill="1" applyBorder="1" applyAlignment="1">
      <alignment horizontal="left"/>
    </xf>
    <xf numFmtId="172" fontId="41" fillId="25" borderId="68" xfId="11" applyNumberFormat="1" applyFont="1" applyFill="1" applyBorder="1" applyAlignment="1">
      <alignment horizontal="center"/>
    </xf>
    <xf numFmtId="172" fontId="41" fillId="25" borderId="85" xfId="11" applyNumberFormat="1" applyFont="1" applyFill="1" applyBorder="1" applyAlignment="1">
      <alignment horizontal="center"/>
    </xf>
    <xf numFmtId="0" fontId="42" fillId="0" borderId="63" xfId="0" applyFont="1" applyBorder="1"/>
    <xf numFmtId="0" fontId="42" fillId="0" borderId="33" xfId="0" applyFont="1" applyBorder="1"/>
    <xf numFmtId="172" fontId="42" fillId="0" borderId="33" xfId="1" applyNumberFormat="1" applyFont="1" applyFill="1" applyBorder="1" applyAlignment="1">
      <alignment horizontal="center"/>
    </xf>
    <xf numFmtId="172" fontId="42" fillId="0" borderId="35" xfId="1" applyNumberFormat="1" applyFont="1" applyFill="1" applyBorder="1" applyAlignment="1">
      <alignment horizontal="center"/>
    </xf>
    <xf numFmtId="0" fontId="42" fillId="0" borderId="32" xfId="0" applyFont="1" applyBorder="1" applyAlignment="1">
      <alignment horizontal="left"/>
    </xf>
    <xf numFmtId="0" fontId="42" fillId="0" borderId="33" xfId="0" applyFont="1" applyBorder="1" applyAlignment="1">
      <alignment horizontal="left"/>
    </xf>
    <xf numFmtId="172" fontId="42" fillId="0" borderId="33" xfId="1" applyNumberFormat="1" applyFont="1" applyFill="1" applyBorder="1" applyAlignment="1">
      <alignment horizontal="left"/>
    </xf>
    <xf numFmtId="172" fontId="42" fillId="0" borderId="80" xfId="1" applyNumberFormat="1" applyFont="1" applyFill="1" applyBorder="1" applyAlignment="1">
      <alignment horizontal="left"/>
    </xf>
    <xf numFmtId="0" fontId="42" fillId="0" borderId="67" xfId="0" applyFont="1" applyBorder="1"/>
    <xf numFmtId="0" fontId="42" fillId="0" borderId="29" xfId="0" applyFont="1" applyBorder="1"/>
    <xf numFmtId="172" fontId="42" fillId="26" borderId="29" xfId="1" applyNumberFormat="1" applyFont="1" applyFill="1" applyBorder="1" applyAlignment="1">
      <alignment horizontal="left"/>
    </xf>
    <xf numFmtId="172" fontId="42" fillId="26" borderId="84" xfId="1" applyNumberFormat="1" applyFont="1" applyFill="1" applyBorder="1" applyAlignment="1">
      <alignment horizontal="left"/>
    </xf>
    <xf numFmtId="172" fontId="41" fillId="24" borderId="68" xfId="1" applyNumberFormat="1" applyFont="1" applyFill="1" applyBorder="1" applyAlignment="1">
      <alignment horizontal="center"/>
    </xf>
    <xf numFmtId="172" fontId="41" fillId="24" borderId="68" xfId="7" applyNumberFormat="1" applyFont="1" applyFill="1" applyBorder="1" applyAlignment="1">
      <alignment horizontal="center"/>
    </xf>
    <xf numFmtId="172" fontId="41" fillId="24" borderId="85" xfId="7" applyNumberFormat="1" applyFont="1" applyFill="1" applyBorder="1" applyAlignment="1">
      <alignment horizontal="center"/>
    </xf>
    <xf numFmtId="0" fontId="41" fillId="21" borderId="77" xfId="0" applyFont="1" applyFill="1" applyBorder="1" applyAlignment="1">
      <alignment horizontal="left"/>
    </xf>
    <xf numFmtId="1" fontId="42" fillId="0" borderId="33" xfId="1" applyNumberFormat="1" applyFont="1" applyFill="1" applyBorder="1" applyAlignment="1">
      <alignment horizontal="left"/>
    </xf>
    <xf numFmtId="172" fontId="42" fillId="26" borderId="33" xfId="1" applyNumberFormat="1" applyFont="1" applyFill="1" applyBorder="1" applyAlignment="1">
      <alignment horizontal="left"/>
    </xf>
    <xf numFmtId="172" fontId="42" fillId="26" borderId="80" xfId="1" applyNumberFormat="1" applyFont="1" applyFill="1" applyBorder="1" applyAlignment="1">
      <alignment horizontal="left"/>
    </xf>
    <xf numFmtId="0" fontId="42" fillId="0" borderId="67" xfId="0" applyFont="1" applyBorder="1" applyAlignment="1">
      <alignment horizontal="left"/>
    </xf>
    <xf numFmtId="172" fontId="42" fillId="0" borderId="84" xfId="1" applyNumberFormat="1" applyFont="1" applyFill="1" applyBorder="1" applyAlignment="1">
      <alignment horizontal="center"/>
    </xf>
    <xf numFmtId="172" fontId="41" fillId="25" borderId="85" xfId="7" applyNumberFormat="1" applyFont="1" applyFill="1" applyBorder="1" applyAlignment="1">
      <alignment horizontal="center"/>
    </xf>
    <xf numFmtId="0" fontId="44" fillId="0" borderId="68" xfId="0" applyFont="1" applyBorder="1" applyAlignment="1">
      <alignment horizontal="center"/>
    </xf>
    <xf numFmtId="0" fontId="44" fillId="0" borderId="85" xfId="0" applyFont="1" applyBorder="1" applyAlignment="1">
      <alignment horizontal="center"/>
    </xf>
    <xf numFmtId="0" fontId="41" fillId="21" borderId="70" xfId="0" applyFont="1" applyFill="1" applyBorder="1" applyAlignment="1">
      <alignment horizontal="center"/>
    </xf>
    <xf numFmtId="0" fontId="41" fillId="21" borderId="71" xfId="0" applyFont="1" applyFill="1" applyBorder="1" applyAlignment="1">
      <alignment horizontal="center"/>
    </xf>
    <xf numFmtId="0" fontId="41" fillId="21" borderId="72" xfId="0" applyFont="1" applyFill="1" applyBorder="1" applyAlignment="1">
      <alignment horizontal="left"/>
    </xf>
    <xf numFmtId="0" fontId="41" fillId="21" borderId="70" xfId="0" applyFont="1" applyFill="1" applyBorder="1" applyAlignment="1">
      <alignment horizontal="left"/>
    </xf>
    <xf numFmtId="0" fontId="41" fillId="21" borderId="60" xfId="0" applyFont="1" applyFill="1" applyBorder="1" applyAlignment="1">
      <alignment horizontal="center"/>
    </xf>
    <xf numFmtId="0" fontId="42" fillId="0" borderId="37" xfId="0" applyFont="1" applyBorder="1" applyAlignment="1">
      <alignment horizontal="left"/>
    </xf>
    <xf numFmtId="172" fontId="42" fillId="0" borderId="28" xfId="1" applyNumberFormat="1" applyFont="1" applyFill="1" applyBorder="1" applyAlignment="1">
      <alignment horizontal="center"/>
    </xf>
    <xf numFmtId="0" fontId="42" fillId="21" borderId="66" xfId="0" applyFont="1" applyFill="1" applyBorder="1" applyAlignment="1">
      <alignment horizontal="left"/>
    </xf>
    <xf numFmtId="0" fontId="42" fillId="0" borderId="48" xfId="0" applyFont="1" applyBorder="1" applyAlignment="1">
      <alignment horizontal="left"/>
    </xf>
    <xf numFmtId="0" fontId="42" fillId="0" borderId="49" xfId="0" applyFont="1" applyBorder="1" applyAlignment="1">
      <alignment horizontal="left"/>
    </xf>
    <xf numFmtId="0" fontId="42" fillId="0" borderId="49" xfId="0" applyFont="1" applyBorder="1" applyAlignment="1">
      <alignment horizontal="center"/>
    </xf>
    <xf numFmtId="0" fontId="42" fillId="0" borderId="50" xfId="0" applyFont="1" applyBorder="1" applyAlignment="1">
      <alignment horizontal="center"/>
    </xf>
    <xf numFmtId="0" fontId="44" fillId="0" borderId="33" xfId="0" applyFont="1" applyBorder="1" applyAlignment="1">
      <alignment horizontal="center"/>
    </xf>
    <xf numFmtId="0" fontId="44" fillId="0" borderId="80" xfId="0" applyFont="1" applyBorder="1" applyAlignment="1">
      <alignment horizontal="center"/>
    </xf>
    <xf numFmtId="0" fontId="44" fillId="0" borderId="29" xfId="0" applyFont="1" applyBorder="1" applyAlignment="1">
      <alignment horizontal="center"/>
    </xf>
    <xf numFmtId="0" fontId="44" fillId="0" borderId="84" xfId="0" applyFont="1" applyBorder="1" applyAlignment="1">
      <alignment horizontal="center"/>
    </xf>
    <xf numFmtId="0" fontId="42" fillId="0" borderId="63" xfId="0" applyFont="1" applyBorder="1" applyAlignment="1">
      <alignment horizontal="left"/>
    </xf>
    <xf numFmtId="0" fontId="42" fillId="0" borderId="65" xfId="0" applyFont="1" applyBorder="1" applyAlignment="1">
      <alignment horizontal="left"/>
    </xf>
    <xf numFmtId="172" fontId="42" fillId="0" borderId="0" xfId="1" applyNumberFormat="1" applyFont="1" applyBorder="1" applyAlignment="1">
      <alignment horizontal="center"/>
    </xf>
    <xf numFmtId="0" fontId="42" fillId="0" borderId="0" xfId="0" applyFont="1" applyAlignment="1">
      <alignment horizontal="center"/>
    </xf>
    <xf numFmtId="0" fontId="42" fillId="21" borderId="26" xfId="0" applyFont="1" applyFill="1" applyBorder="1" applyAlignment="1">
      <alignment horizontal="left"/>
    </xf>
    <xf numFmtId="0" fontId="47" fillId="0" borderId="65" xfId="3" applyFont="1" applyBorder="1" applyAlignment="1">
      <alignment horizontal="center"/>
    </xf>
    <xf numFmtId="0" fontId="47" fillId="0" borderId="83" xfId="3" applyFont="1" applyBorder="1" applyAlignment="1">
      <alignment horizontal="center"/>
    </xf>
    <xf numFmtId="0" fontId="42" fillId="21" borderId="64" xfId="0" applyFont="1" applyFill="1" applyBorder="1" applyAlignment="1">
      <alignment horizontal="left"/>
    </xf>
    <xf numFmtId="0" fontId="42" fillId="21" borderId="26" xfId="0" applyFont="1" applyFill="1" applyBorder="1" applyAlignment="1">
      <alignment horizontal="center"/>
    </xf>
    <xf numFmtId="0" fontId="42" fillId="21" borderId="81" xfId="0" applyFont="1" applyFill="1" applyBorder="1" applyAlignment="1">
      <alignment horizontal="center"/>
    </xf>
    <xf numFmtId="15" fontId="42" fillId="0" borderId="33" xfId="0" applyNumberFormat="1" applyFont="1" applyBorder="1" applyAlignment="1">
      <alignment horizontal="left"/>
    </xf>
    <xf numFmtId="0" fontId="42" fillId="0" borderId="33" xfId="0" applyFont="1" applyBorder="1" applyAlignment="1">
      <alignment horizontal="center"/>
    </xf>
    <xf numFmtId="0" fontId="42" fillId="0" borderId="80" xfId="0" applyFont="1" applyBorder="1" applyAlignment="1">
      <alignment horizontal="center"/>
    </xf>
    <xf numFmtId="172" fontId="42" fillId="0" borderId="33" xfId="1" applyNumberFormat="1" applyFont="1" applyBorder="1" applyAlignment="1">
      <alignment horizontal="center"/>
    </xf>
    <xf numFmtId="0" fontId="42" fillId="21" borderId="51" xfId="0" applyFont="1" applyFill="1" applyBorder="1" applyAlignment="1">
      <alignment horizontal="left"/>
    </xf>
    <xf numFmtId="0" fontId="42" fillId="21" borderId="54" xfId="0" applyFont="1" applyFill="1" applyBorder="1" applyAlignment="1">
      <alignment horizontal="left"/>
    </xf>
    <xf numFmtId="0" fontId="42" fillId="21" borderId="54" xfId="0" applyFont="1" applyFill="1" applyBorder="1"/>
    <xf numFmtId="0" fontId="42" fillId="21" borderId="52" xfId="0" applyFont="1" applyFill="1" applyBorder="1" applyAlignment="1">
      <alignment horizontal="left"/>
    </xf>
    <xf numFmtId="0" fontId="42" fillId="0" borderId="80" xfId="0" applyFont="1" applyBorder="1" applyAlignment="1">
      <alignment horizontal="left"/>
    </xf>
    <xf numFmtId="172" fontId="42" fillId="25" borderId="26" xfId="7" applyNumberFormat="1" applyFont="1" applyFill="1" applyBorder="1" applyAlignment="1">
      <alignment horizontal="center"/>
    </xf>
    <xf numFmtId="172" fontId="42" fillId="25" borderId="36" xfId="7" applyNumberFormat="1" applyFont="1" applyFill="1" applyBorder="1" applyAlignment="1">
      <alignment horizontal="center"/>
    </xf>
    <xf numFmtId="172" fontId="42" fillId="25" borderId="0" xfId="7" applyNumberFormat="1" applyFont="1" applyFill="1" applyBorder="1" applyAlignment="1">
      <alignment horizontal="center"/>
    </xf>
    <xf numFmtId="172" fontId="42" fillId="25" borderId="34" xfId="7" applyNumberFormat="1" applyFont="1" applyFill="1" applyBorder="1" applyAlignment="1">
      <alignment horizontal="center"/>
    </xf>
    <xf numFmtId="0" fontId="41" fillId="3" borderId="48" xfId="0" applyFont="1" applyFill="1" applyBorder="1" applyAlignment="1">
      <alignment horizontal="left"/>
    </xf>
    <xf numFmtId="0" fontId="41" fillId="3" borderId="49" xfId="0" applyFont="1" applyFill="1" applyBorder="1" applyAlignment="1">
      <alignment horizontal="left"/>
    </xf>
    <xf numFmtId="0" fontId="41" fillId="0" borderId="49" xfId="0" applyFont="1" applyBorder="1" applyAlignment="1">
      <alignment horizontal="left"/>
    </xf>
    <xf numFmtId="172" fontId="41" fillId="0" borderId="49" xfId="1" applyNumberFormat="1" applyFont="1" applyFill="1" applyBorder="1" applyAlignment="1">
      <alignment horizontal="left"/>
    </xf>
    <xf numFmtId="172" fontId="41" fillId="0" borderId="50" xfId="1" applyNumberFormat="1" applyFont="1" applyFill="1" applyBorder="1" applyAlignment="1">
      <alignment horizontal="left"/>
    </xf>
    <xf numFmtId="0" fontId="41" fillId="0" borderId="0" xfId="0" applyFont="1" applyAlignment="1">
      <alignment horizontal="left"/>
    </xf>
    <xf numFmtId="172" fontId="41" fillId="0" borderId="0" xfId="1" applyNumberFormat="1" applyFont="1" applyFill="1" applyBorder="1" applyAlignment="1">
      <alignment horizontal="left"/>
    </xf>
    <xf numFmtId="0" fontId="41" fillId="21" borderId="54" xfId="0" applyFont="1" applyFill="1" applyBorder="1" applyAlignment="1">
      <alignment horizontal="right" vertical="center"/>
    </xf>
    <xf numFmtId="0" fontId="41" fillId="21" borderId="54" xfId="0" applyFont="1" applyFill="1" applyBorder="1" applyAlignment="1">
      <alignment horizontal="right" vertical="center" wrapText="1"/>
    </xf>
    <xf numFmtId="0" fontId="41" fillId="21" borderId="52" xfId="0" applyFont="1" applyFill="1" applyBorder="1" applyAlignment="1">
      <alignment horizontal="right" vertical="center" wrapText="1"/>
    </xf>
    <xf numFmtId="0" fontId="41" fillId="25" borderId="85" xfId="11" applyFont="1" applyFill="1" applyBorder="1" applyAlignment="1">
      <alignment horizontal="center"/>
    </xf>
    <xf numFmtId="172" fontId="42" fillId="0" borderId="0" xfId="1" applyNumberFormat="1" applyFont="1" applyFill="1" applyBorder="1" applyAlignment="1">
      <alignment horizontal="center"/>
    </xf>
    <xf numFmtId="172" fontId="42" fillId="0" borderId="34" xfId="1" applyNumberFormat="1" applyFont="1" applyFill="1" applyBorder="1" applyAlignment="1">
      <alignment horizontal="center"/>
    </xf>
    <xf numFmtId="0" fontId="41" fillId="21" borderId="0" xfId="0" applyFont="1" applyFill="1" applyAlignment="1">
      <alignment horizontal="center"/>
    </xf>
    <xf numFmtId="172" fontId="42" fillId="0" borderId="26" xfId="1" applyNumberFormat="1" applyFont="1" applyFill="1" applyBorder="1" applyAlignment="1">
      <alignment horizontal="center"/>
    </xf>
    <xf numFmtId="172" fontId="42" fillId="0" borderId="36" xfId="1" applyNumberFormat="1" applyFont="1" applyFill="1" applyBorder="1" applyAlignment="1">
      <alignment horizontal="center"/>
    </xf>
    <xf numFmtId="172" fontId="41" fillId="25" borderId="26" xfId="7" applyNumberFormat="1" applyFont="1" applyFill="1" applyBorder="1" applyAlignment="1">
      <alignment horizontal="center"/>
    </xf>
    <xf numFmtId="172" fontId="41" fillId="25" borderId="36" xfId="7" applyNumberFormat="1" applyFont="1" applyFill="1" applyBorder="1" applyAlignment="1">
      <alignment horizontal="center"/>
    </xf>
    <xf numFmtId="172" fontId="41" fillId="24" borderId="26" xfId="1" applyNumberFormat="1" applyFont="1" applyFill="1" applyBorder="1" applyAlignment="1">
      <alignment horizontal="center"/>
    </xf>
    <xf numFmtId="172" fontId="41" fillId="24" borderId="26" xfId="7" applyNumberFormat="1" applyFont="1" applyFill="1" applyBorder="1" applyAlignment="1">
      <alignment horizontal="center"/>
    </xf>
    <xf numFmtId="172" fontId="41" fillId="24" borderId="81" xfId="7" applyNumberFormat="1" applyFont="1" applyFill="1" applyBorder="1" applyAlignment="1">
      <alignment horizontal="center"/>
    </xf>
    <xf numFmtId="0" fontId="44" fillId="0" borderId="0" xfId="0" applyFont="1" applyAlignment="1">
      <alignment horizontal="center"/>
    </xf>
    <xf numFmtId="0" fontId="44" fillId="0" borderId="53" xfId="0" applyFont="1" applyBorder="1" applyAlignment="1">
      <alignment horizontal="center"/>
    </xf>
    <xf numFmtId="0" fontId="41" fillId="21" borderId="53" xfId="0" applyFont="1" applyFill="1" applyBorder="1" applyAlignment="1">
      <alignment horizontal="center"/>
    </xf>
    <xf numFmtId="0" fontId="42" fillId="0" borderId="11" xfId="0" applyFont="1" applyBorder="1" applyAlignment="1">
      <alignment horizontal="left"/>
    </xf>
    <xf numFmtId="0" fontId="42" fillId="0" borderId="0" xfId="0" applyFont="1" applyAlignment="1">
      <alignment horizontal="left"/>
    </xf>
    <xf numFmtId="0" fontId="42" fillId="0" borderId="83" xfId="0" applyFont="1" applyBorder="1" applyAlignment="1">
      <alignment horizontal="center"/>
    </xf>
    <xf numFmtId="0" fontId="42" fillId="21" borderId="9" xfId="0" applyFont="1" applyFill="1" applyBorder="1" applyAlignment="1">
      <alignment horizontal="left"/>
    </xf>
    <xf numFmtId="0" fontId="42" fillId="21" borderId="0" xfId="0" applyFont="1" applyFill="1" applyAlignment="1">
      <alignment horizontal="left"/>
    </xf>
    <xf numFmtId="0" fontId="42" fillId="21" borderId="0" xfId="0" applyFont="1" applyFill="1" applyAlignment="1">
      <alignment horizontal="center"/>
    </xf>
    <xf numFmtId="0" fontId="42" fillId="21" borderId="53" xfId="0" applyFont="1" applyFill="1" applyBorder="1" applyAlignment="1">
      <alignment horizontal="center"/>
    </xf>
    <xf numFmtId="0" fontId="37" fillId="10" borderId="51" xfId="0" applyFont="1" applyFill="1" applyBorder="1" applyAlignment="1">
      <alignment horizontal="center" vertical="center" wrapText="1"/>
    </xf>
    <xf numFmtId="0" fontId="37" fillId="10" borderId="54" xfId="0" applyFont="1" applyFill="1" applyBorder="1" applyAlignment="1">
      <alignment horizontal="center" vertical="center" wrapText="1"/>
    </xf>
    <xf numFmtId="0" fontId="37" fillId="10" borderId="55" xfId="0" applyFont="1" applyFill="1" applyBorder="1" applyAlignment="1">
      <alignment horizontal="center" vertical="center" wrapText="1"/>
    </xf>
    <xf numFmtId="0" fontId="37" fillId="10" borderId="56" xfId="0" applyFont="1" applyFill="1" applyBorder="1" applyAlignment="1">
      <alignment horizontal="center" vertical="center" wrapText="1"/>
    </xf>
    <xf numFmtId="0" fontId="37" fillId="10" borderId="52" xfId="0" applyFont="1" applyFill="1" applyBorder="1" applyAlignment="1">
      <alignment horizontal="center" vertical="center" wrapText="1"/>
    </xf>
    <xf numFmtId="0" fontId="37" fillId="10" borderId="51" xfId="0" applyFont="1" applyFill="1" applyBorder="1" applyAlignment="1">
      <alignment horizontal="left" vertical="center" wrapText="1"/>
    </xf>
    <xf numFmtId="0" fontId="37" fillId="10" borderId="54" xfId="0" applyFont="1" applyFill="1" applyBorder="1" applyAlignment="1">
      <alignment horizontal="left" vertical="center" wrapText="1"/>
    </xf>
    <xf numFmtId="0" fontId="37" fillId="10" borderId="52" xfId="0" applyFont="1" applyFill="1" applyBorder="1" applyAlignment="1">
      <alignment horizontal="left" vertical="center" wrapText="1"/>
    </xf>
    <xf numFmtId="0" fontId="13" fillId="3" borderId="9"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53" xfId="0" applyFont="1" applyFill="1" applyBorder="1" applyAlignment="1">
      <alignment horizontal="left" vertical="center" wrapText="1"/>
    </xf>
    <xf numFmtId="0" fontId="13" fillId="3" borderId="9" xfId="0" applyFont="1" applyFill="1" applyBorder="1" applyAlignment="1">
      <alignment horizontal="left"/>
    </xf>
    <xf numFmtId="0" fontId="13" fillId="3" borderId="0" xfId="0" applyFont="1" applyFill="1" applyAlignment="1">
      <alignment horizontal="left"/>
    </xf>
    <xf numFmtId="0" fontId="13" fillId="3" borderId="53" xfId="0" applyFont="1" applyFill="1" applyBorder="1" applyAlignment="1">
      <alignment horizontal="left"/>
    </xf>
    <xf numFmtId="0" fontId="13" fillId="3" borderId="9" xfId="0" applyFont="1" applyFill="1" applyBorder="1" applyAlignment="1">
      <alignment horizontal="center"/>
    </xf>
    <xf numFmtId="0" fontId="13" fillId="3" borderId="0" xfId="0" applyFont="1" applyFill="1" applyAlignment="1">
      <alignment horizontal="center"/>
    </xf>
    <xf numFmtId="0" fontId="13" fillId="3" borderId="53" xfId="0" applyFont="1" applyFill="1" applyBorder="1" applyAlignment="1">
      <alignment horizontal="center"/>
    </xf>
    <xf numFmtId="0" fontId="13" fillId="3" borderId="48" xfId="0" applyFont="1" applyFill="1" applyBorder="1" applyAlignment="1">
      <alignment horizontal="center"/>
    </xf>
    <xf numFmtId="0" fontId="13" fillId="3" borderId="49" xfId="0" applyFont="1" applyFill="1" applyBorder="1" applyAlignment="1">
      <alignment horizontal="center"/>
    </xf>
    <xf numFmtId="0" fontId="13" fillId="3" borderId="50" xfId="0" applyFont="1" applyFill="1" applyBorder="1" applyAlignment="1">
      <alignment horizontal="center"/>
    </xf>
    <xf numFmtId="0" fontId="13" fillId="0" borderId="0" xfId="0" applyFont="1" applyAlignment="1">
      <alignment horizontal="left" vertical="center" wrapText="1" readingOrder="1"/>
    </xf>
    <xf numFmtId="0" fontId="35" fillId="22" borderId="9" xfId="0" applyFont="1" applyFill="1" applyBorder="1" applyAlignment="1">
      <alignment horizontal="left" vertical="center"/>
    </xf>
    <xf numFmtId="0" fontId="35" fillId="22" borderId="53" xfId="0" applyFont="1" applyFill="1" applyBorder="1" applyAlignment="1">
      <alignment horizontal="left" vertical="center"/>
    </xf>
    <xf numFmtId="10" fontId="13" fillId="0" borderId="11" xfId="0" applyNumberFormat="1" applyFont="1" applyBorder="1" applyAlignment="1">
      <alignment horizontal="right" vertical="center" wrapText="1"/>
    </xf>
    <xf numFmtId="165" fontId="13" fillId="0" borderId="12" xfId="0" applyNumberFormat="1" applyFont="1" applyBorder="1" applyAlignment="1">
      <alignment horizontal="right" vertical="center" wrapText="1"/>
    </xf>
    <xf numFmtId="0" fontId="13" fillId="3" borderId="9" xfId="0" applyFont="1" applyFill="1" applyBorder="1" applyAlignment="1">
      <alignment horizontal="center" vertical="center" wrapText="1"/>
    </xf>
    <xf numFmtId="0" fontId="13" fillId="3" borderId="53" xfId="0" applyFont="1" applyFill="1" applyBorder="1" applyAlignment="1">
      <alignment horizontal="center" vertical="center" wrapText="1"/>
    </xf>
    <xf numFmtId="178" fontId="13" fillId="0" borderId="11" xfId="0" applyNumberFormat="1" applyFont="1" applyBorder="1" applyAlignment="1">
      <alignment horizontal="right" vertical="center" wrapText="1"/>
    </xf>
    <xf numFmtId="178" fontId="13" fillId="0" borderId="12" xfId="0" applyNumberFormat="1" applyFont="1" applyBorder="1" applyAlignment="1">
      <alignment horizontal="right" vertical="center" wrapText="1"/>
    </xf>
    <xf numFmtId="165" fontId="13" fillId="0" borderId="11" xfId="0" applyNumberFormat="1" applyFont="1" applyBorder="1" applyAlignment="1">
      <alignment horizontal="right" vertical="center" wrapText="1"/>
    </xf>
    <xf numFmtId="7" fontId="13" fillId="0" borderId="11" xfId="0" applyNumberFormat="1" applyFont="1" applyBorder="1" applyAlignment="1">
      <alignment horizontal="right" vertical="center" wrapText="1"/>
    </xf>
    <xf numFmtId="7" fontId="13" fillId="0" borderId="12" xfId="0" applyNumberFormat="1" applyFont="1" applyBorder="1" applyAlignment="1">
      <alignment horizontal="right" vertical="center" wrapText="1"/>
    </xf>
    <xf numFmtId="0" fontId="13" fillId="3" borderId="48" xfId="0" applyFont="1" applyFill="1" applyBorder="1" applyAlignment="1">
      <alignment horizontal="center" vertical="center" wrapText="1"/>
    </xf>
    <xf numFmtId="0" fontId="13" fillId="3" borderId="50" xfId="0" applyFont="1" applyFill="1" applyBorder="1" applyAlignment="1">
      <alignment horizontal="center" vertical="center" wrapText="1"/>
    </xf>
    <xf numFmtId="7" fontId="13" fillId="0" borderId="14" xfId="0" applyNumberFormat="1" applyFont="1" applyBorder="1" applyAlignment="1">
      <alignment horizontal="right" vertical="center" wrapText="1"/>
    </xf>
    <xf numFmtId="7" fontId="13" fillId="0" borderId="15" xfId="0" applyNumberFormat="1" applyFont="1" applyBorder="1" applyAlignment="1">
      <alignment horizontal="right" vertical="center" wrapText="1"/>
    </xf>
    <xf numFmtId="0" fontId="35" fillId="22" borderId="51" xfId="0" applyFont="1" applyFill="1" applyBorder="1" applyAlignment="1">
      <alignment horizontal="left" vertical="center"/>
    </xf>
    <xf numFmtId="0" fontId="35" fillId="22" borderId="52" xfId="0" applyFont="1" applyFill="1" applyBorder="1" applyAlignment="1">
      <alignment horizontal="left" vertical="center"/>
    </xf>
    <xf numFmtId="0" fontId="36" fillId="22" borderId="6" xfId="0" applyFont="1" applyFill="1" applyBorder="1" applyAlignment="1">
      <alignment horizontal="center" vertical="center"/>
    </xf>
    <xf numFmtId="0" fontId="36" fillId="22" borderId="7" xfId="0" applyFont="1" applyFill="1" applyBorder="1" applyAlignment="1">
      <alignment horizontal="center" vertical="center"/>
    </xf>
    <xf numFmtId="0" fontId="36" fillId="22" borderId="8" xfId="0" applyFont="1" applyFill="1" applyBorder="1" applyAlignment="1">
      <alignment horizontal="center" vertical="center"/>
    </xf>
    <xf numFmtId="0" fontId="13" fillId="0" borderId="9" xfId="0" applyFont="1" applyBorder="1" applyAlignment="1">
      <alignment horizontal="left" vertical="center" wrapText="1"/>
    </xf>
    <xf numFmtId="0" fontId="13" fillId="0" borderId="53" xfId="0" applyFont="1" applyBorder="1" applyAlignment="1">
      <alignment horizontal="left" vertical="center" wrapText="1"/>
    </xf>
    <xf numFmtId="9" fontId="13" fillId="0" borderId="11" xfId="2" applyFont="1" applyBorder="1" applyAlignment="1">
      <alignment horizontal="right" vertical="center" wrapText="1"/>
    </xf>
    <xf numFmtId="9" fontId="13" fillId="0" borderId="12" xfId="2" applyFont="1" applyBorder="1" applyAlignment="1">
      <alignment horizontal="right" vertical="center" wrapText="1"/>
    </xf>
    <xf numFmtId="0" fontId="18" fillId="11" borderId="25" xfId="11" applyFont="1" applyFill="1" applyBorder="1" applyAlignment="1">
      <alignment horizontal="center"/>
    </xf>
    <xf numFmtId="0" fontId="18" fillId="11" borderId="26" xfId="11" applyFont="1" applyFill="1" applyBorder="1" applyAlignment="1">
      <alignment horizontal="center"/>
    </xf>
    <xf numFmtId="0" fontId="18" fillId="11" borderId="36" xfId="11" applyFont="1" applyFill="1" applyBorder="1" applyAlignment="1">
      <alignment horizontal="center"/>
    </xf>
    <xf numFmtId="0" fontId="18" fillId="11" borderId="27" xfId="11" applyFont="1" applyFill="1" applyBorder="1" applyAlignment="1">
      <alignment horizontal="center"/>
    </xf>
    <xf numFmtId="0" fontId="18" fillId="11" borderId="0" xfId="11" applyFont="1" applyFill="1" applyAlignment="1">
      <alignment horizontal="center"/>
    </xf>
    <xf numFmtId="0" fontId="18" fillId="11" borderId="34" xfId="11" applyFont="1" applyFill="1" applyBorder="1" applyAlignment="1">
      <alignment horizontal="center"/>
    </xf>
    <xf numFmtId="0" fontId="11" fillId="10" borderId="17" xfId="0" applyFont="1" applyFill="1" applyBorder="1" applyAlignment="1">
      <alignment horizontal="center" vertical="center" wrapText="1"/>
    </xf>
    <xf numFmtId="0" fontId="11" fillId="10" borderId="18" xfId="0" applyFont="1" applyFill="1" applyBorder="1" applyAlignment="1">
      <alignment horizontal="center" vertical="center" wrapText="1"/>
    </xf>
    <xf numFmtId="0" fontId="11" fillId="10" borderId="19" xfId="0" applyFont="1" applyFill="1" applyBorder="1" applyAlignment="1">
      <alignment horizontal="center" vertical="center" wrapText="1"/>
    </xf>
    <xf numFmtId="0" fontId="16" fillId="10" borderId="17" xfId="0" applyFont="1" applyFill="1" applyBorder="1" applyAlignment="1">
      <alignment vertical="center" wrapText="1"/>
    </xf>
    <xf numFmtId="0" fontId="16" fillId="10" borderId="18" xfId="0" applyFont="1" applyFill="1" applyBorder="1" applyAlignment="1">
      <alignment vertical="center" wrapText="1"/>
    </xf>
    <xf numFmtId="0" fontId="11" fillId="10" borderId="17" xfId="0" applyFont="1" applyFill="1" applyBorder="1" applyAlignment="1">
      <alignment vertical="center" wrapText="1"/>
    </xf>
    <xf numFmtId="0" fontId="11" fillId="10" borderId="18" xfId="0" applyFont="1" applyFill="1" applyBorder="1" applyAlignment="1">
      <alignment vertical="center" wrapText="1"/>
    </xf>
    <xf numFmtId="0" fontId="11" fillId="10" borderId="19" xfId="0" applyFont="1" applyFill="1" applyBorder="1" applyAlignment="1">
      <alignment vertical="center" wrapText="1"/>
    </xf>
    <xf numFmtId="0" fontId="12" fillId="0" borderId="22" xfId="0" applyFont="1" applyBorder="1" applyAlignment="1">
      <alignment horizontal="right" vertical="center" wrapText="1"/>
    </xf>
    <xf numFmtId="0" fontId="12" fillId="0" borderId="23" xfId="0" applyFont="1" applyBorder="1" applyAlignment="1">
      <alignment horizontal="right" vertical="center" wrapText="1"/>
    </xf>
    <xf numFmtId="0" fontId="12" fillId="0" borderId="0" xfId="0" applyFont="1" applyAlignment="1">
      <alignment horizontal="right" vertical="center" wrapText="1"/>
    </xf>
    <xf numFmtId="0" fontId="12" fillId="0" borderId="24" xfId="0" applyFont="1" applyBorder="1" applyAlignment="1">
      <alignment horizontal="right" vertical="center" wrapText="1"/>
    </xf>
    <xf numFmtId="0" fontId="0" fillId="0" borderId="9" xfId="0" applyBorder="1" applyAlignment="1">
      <alignment horizontal="center" vertical="center" wrapText="1"/>
    </xf>
    <xf numFmtId="0" fontId="8" fillId="9" borderId="0" xfId="0" applyFont="1"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8" fillId="6" borderId="16" xfId="0" applyFont="1" applyFill="1" applyBorder="1" applyAlignment="1">
      <alignment horizontal="center" vertical="center"/>
    </xf>
    <xf numFmtId="0" fontId="9" fillId="0" borderId="0" xfId="0" applyFont="1"/>
  </cellXfs>
  <cellStyles count="26">
    <cellStyle name="Comma 2" xfId="4" xr:uid="{00000000-0005-0000-0000-000031000000}"/>
    <cellStyle name="Comma 2 2" xfId="5" xr:uid="{00000000-0005-0000-0000-000032000000}"/>
    <cellStyle name="Currency" xfId="1" builtinId="4"/>
    <cellStyle name="Currency 2" xfId="6" xr:uid="{00000000-0005-0000-0000-000033000000}"/>
    <cellStyle name="Currency 3" xfId="7" xr:uid="{00000000-0005-0000-0000-000034000000}"/>
    <cellStyle name="Hyperlink" xfId="3" builtinId="8"/>
    <cellStyle name="Hyperlink 2" xfId="8" xr:uid="{00000000-0005-0000-0000-000035000000}"/>
    <cellStyle name="Milliers 2" xfId="9" xr:uid="{00000000-0005-0000-0000-000036000000}"/>
    <cellStyle name="Monétaire 2" xfId="10" xr:uid="{00000000-0005-0000-0000-000037000000}"/>
    <cellStyle name="Normal" xfId="0" builtinId="0"/>
    <cellStyle name="Normal 2" xfId="11" xr:uid="{00000000-0005-0000-0000-000038000000}"/>
    <cellStyle name="Normal 2 2" xfId="12" xr:uid="{00000000-0005-0000-0000-000039000000}"/>
    <cellStyle name="Normal 2 2 2" xfId="13" xr:uid="{00000000-0005-0000-0000-00003A000000}"/>
    <cellStyle name="Normal 2 2 2 2" xfId="14" xr:uid="{00000000-0005-0000-0000-00003B000000}"/>
    <cellStyle name="Normal 2 3" xfId="15" xr:uid="{00000000-0005-0000-0000-00003C000000}"/>
    <cellStyle name="Normal 3" xfId="16" xr:uid="{00000000-0005-0000-0000-00003D000000}"/>
    <cellStyle name="Normal 4" xfId="17" xr:uid="{00000000-0005-0000-0000-00003E000000}"/>
    <cellStyle name="Normal 4 2" xfId="18" xr:uid="{00000000-0005-0000-0000-00003F000000}"/>
    <cellStyle name="Normal 4 2 2" xfId="19" xr:uid="{00000000-0005-0000-0000-000040000000}"/>
    <cellStyle name="Normal 5" xfId="20" xr:uid="{00000000-0005-0000-0000-000041000000}"/>
    <cellStyle name="Normal_Rental Proforma" xfId="21" xr:uid="{00000000-0005-0000-0000-000042000000}"/>
    <cellStyle name="Percent" xfId="2" builtinId="5"/>
    <cellStyle name="Percent 2" xfId="22" xr:uid="{00000000-0005-0000-0000-000043000000}"/>
    <cellStyle name="Percent 2 2" xfId="23" xr:uid="{00000000-0005-0000-0000-000044000000}"/>
    <cellStyle name="Percent 3" xfId="24" xr:uid="{00000000-0005-0000-0000-000045000000}"/>
    <cellStyle name="Pourcentage 2" xfId="25" xr:uid="{00000000-0005-0000-0000-000046000000}"/>
  </cellStyles>
  <dxfs count="45">
    <dxf>
      <fill>
        <patternFill patternType="solid">
          <bgColor rgb="FFFFC000"/>
        </patternFill>
      </fill>
    </dxf>
    <dxf>
      <fill>
        <patternFill patternType="solid">
          <bgColor rgb="FFFFC000"/>
        </patternFill>
      </fill>
    </dxf>
    <dxf>
      <alignment horizontal="center" vertical="center"/>
      <border>
        <left style="thin">
          <color auto="1"/>
        </left>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numFmt numFmtId="0" formatCode="General"/>
      <alignment horizontal="center" vertical="center"/>
      <border>
        <left style="thin">
          <color auto="1"/>
        </left>
        <right style="thin">
          <color auto="1"/>
        </right>
        <top style="thin">
          <color auto="1"/>
        </top>
        <bottom/>
      </border>
      <protection locked="0"/>
    </dxf>
    <dxf>
      <numFmt numFmtId="0" formatCode="General"/>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right style="thin">
          <color auto="1"/>
        </right>
        <top style="thin">
          <color auto="1"/>
        </top>
        <bottom/>
      </border>
      <protection locked="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0000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53340</xdr:rowOff>
    </xdr:from>
    <xdr:to>
      <xdr:col>15</xdr:col>
      <xdr:colOff>447675</xdr:colOff>
      <xdr:row>27</xdr:row>
      <xdr:rowOff>53340</xdr:rowOff>
    </xdr:to>
    <xdr:sp macro="" textlink="">
      <xdr:nvSpPr>
        <xdr:cNvPr id="2" name="AutoShape 5">
          <a:extLst>
            <a:ext uri="{FF2B5EF4-FFF2-40B4-BE49-F238E27FC236}">
              <a16:creationId xmlns:a16="http://schemas.microsoft.com/office/drawing/2014/main" id="{00000000-0008-0000-0700-000002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3" name="AutoShape 5">
          <a:extLst>
            <a:ext uri="{FF2B5EF4-FFF2-40B4-BE49-F238E27FC236}">
              <a16:creationId xmlns:a16="http://schemas.microsoft.com/office/drawing/2014/main" id="{00000000-0008-0000-0700-000003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4" name="AutoShape 5">
          <a:extLst>
            <a:ext uri="{FF2B5EF4-FFF2-40B4-BE49-F238E27FC236}">
              <a16:creationId xmlns:a16="http://schemas.microsoft.com/office/drawing/2014/main" id="{00000000-0008-0000-0700-000004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5" name="AutoShape 5">
          <a:extLst>
            <a:ext uri="{FF2B5EF4-FFF2-40B4-BE49-F238E27FC236}">
              <a16:creationId xmlns:a16="http://schemas.microsoft.com/office/drawing/2014/main" id="{00000000-0008-0000-0700-000005000000}"/>
            </a:ext>
          </a:extLst>
        </xdr:cNvPr>
        <xdr:cNvSpPr>
          <a:spLocks noChangeArrowheads="1"/>
        </xdr:cNvSpPr>
      </xdr:nvSpPr>
      <xdr:spPr>
        <a:xfrm>
          <a:off x="0" y="2729865"/>
          <a:ext cx="14649450" cy="3114675"/>
        </a:xfrm>
        <a:custGeom>
          <a:avLst/>
          <a:gdLst/>
          <a:ahLst/>
          <a:cxnLst/>
          <a:rect l="0" t="0" r="r" b="b"/>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6" name="AutoShape 5">
          <a:extLst>
            <a:ext uri="{FF2B5EF4-FFF2-40B4-BE49-F238E27FC236}">
              <a16:creationId xmlns:a16="http://schemas.microsoft.com/office/drawing/2014/main" id="{00000000-0008-0000-0700-000006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7" name="AutoShape 5">
          <a:extLst>
            <a:ext uri="{FF2B5EF4-FFF2-40B4-BE49-F238E27FC236}">
              <a16:creationId xmlns:a16="http://schemas.microsoft.com/office/drawing/2014/main" id="{00000000-0008-0000-0700-000007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oneCellAnchor>
    <xdr:from>
      <xdr:col>0</xdr:col>
      <xdr:colOff>12700</xdr:colOff>
      <xdr:row>0</xdr:row>
      <xdr:rowOff>29210</xdr:rowOff>
    </xdr:from>
    <xdr:ext cx="3227524" cy="1805940"/>
    <xdr:pic>
      <xdr:nvPicPr>
        <xdr:cNvPr id="8" name="Picture 10">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a:stretch>
          <a:fillRect/>
        </a:stretch>
      </xdr:blipFill>
      <xdr:spPr>
        <a:xfrm>
          <a:off x="12700" y="29210"/>
          <a:ext cx="3227070" cy="1805940"/>
        </a:xfrm>
        <a:prstGeom prst="rect">
          <a:avLst/>
        </a:prstGeom>
        <a:noFill/>
        <a:ln w="9525">
          <a:noFill/>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0</xdr:rowOff>
    </xdr:from>
    <xdr:to>
      <xdr:col>15</xdr:col>
      <xdr:colOff>447675</xdr:colOff>
      <xdr:row>27</xdr:row>
      <xdr:rowOff>0</xdr:rowOff>
    </xdr:to>
    <xdr:sp macro="" textlink="">
      <xdr:nvSpPr>
        <xdr:cNvPr id="2" name="AutoShape 5">
          <a:extLst>
            <a:ext uri="{FF2B5EF4-FFF2-40B4-BE49-F238E27FC236}">
              <a16:creationId xmlns:a16="http://schemas.microsoft.com/office/drawing/2014/main" id="{00000000-0008-0000-0800-000002000000}"/>
            </a:ext>
          </a:extLst>
        </xdr:cNvPr>
        <xdr:cNvSpPr>
          <a:spLocks noChangeArrowheads="1"/>
        </xdr:cNvSpPr>
      </xdr:nvSpPr>
      <xdr:spPr>
        <a:xfrm>
          <a:off x="0" y="267652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0</xdr:rowOff>
    </xdr:from>
    <xdr:to>
      <xdr:col>15</xdr:col>
      <xdr:colOff>447675</xdr:colOff>
      <xdr:row>27</xdr:row>
      <xdr:rowOff>0</xdr:rowOff>
    </xdr:to>
    <xdr:sp macro="" textlink="">
      <xdr:nvSpPr>
        <xdr:cNvPr id="3" name="AutoShape 5">
          <a:extLst>
            <a:ext uri="{FF2B5EF4-FFF2-40B4-BE49-F238E27FC236}">
              <a16:creationId xmlns:a16="http://schemas.microsoft.com/office/drawing/2014/main" id="{00000000-0008-0000-0800-000003000000}"/>
            </a:ext>
          </a:extLst>
        </xdr:cNvPr>
        <xdr:cNvSpPr>
          <a:spLocks noChangeArrowheads="1"/>
        </xdr:cNvSpPr>
      </xdr:nvSpPr>
      <xdr:spPr>
        <a:xfrm>
          <a:off x="0" y="267652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0</xdr:rowOff>
    </xdr:from>
    <xdr:to>
      <xdr:col>15</xdr:col>
      <xdr:colOff>447675</xdr:colOff>
      <xdr:row>27</xdr:row>
      <xdr:rowOff>0</xdr:rowOff>
    </xdr:to>
    <xdr:sp macro="" textlink="">
      <xdr:nvSpPr>
        <xdr:cNvPr id="4" name="AutoShape 5">
          <a:extLst>
            <a:ext uri="{FF2B5EF4-FFF2-40B4-BE49-F238E27FC236}">
              <a16:creationId xmlns:a16="http://schemas.microsoft.com/office/drawing/2014/main" id="{00000000-0008-0000-0800-000004000000}"/>
            </a:ext>
          </a:extLst>
        </xdr:cNvPr>
        <xdr:cNvSpPr>
          <a:spLocks noChangeArrowheads="1"/>
        </xdr:cNvSpPr>
      </xdr:nvSpPr>
      <xdr:spPr>
        <a:xfrm>
          <a:off x="0" y="267652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0</xdr:rowOff>
    </xdr:from>
    <xdr:to>
      <xdr:col>15</xdr:col>
      <xdr:colOff>447675</xdr:colOff>
      <xdr:row>27</xdr:row>
      <xdr:rowOff>0</xdr:rowOff>
    </xdr:to>
    <xdr:sp macro="" textlink="">
      <xdr:nvSpPr>
        <xdr:cNvPr id="5" name="AutoShape 5">
          <a:extLst>
            <a:ext uri="{FF2B5EF4-FFF2-40B4-BE49-F238E27FC236}">
              <a16:creationId xmlns:a16="http://schemas.microsoft.com/office/drawing/2014/main" id="{00000000-0008-0000-0800-000005000000}"/>
            </a:ext>
          </a:extLst>
        </xdr:cNvPr>
        <xdr:cNvSpPr>
          <a:spLocks noChangeArrowheads="1"/>
        </xdr:cNvSpPr>
      </xdr:nvSpPr>
      <xdr:spPr>
        <a:xfrm>
          <a:off x="0" y="2676525"/>
          <a:ext cx="14649450" cy="3114675"/>
        </a:xfrm>
        <a:custGeom>
          <a:avLst/>
          <a:gdLst/>
          <a:ahLst/>
          <a:cxnLst/>
          <a:rect l="0" t="0" r="r" b="b"/>
          <a:pathLst/>
        </a:custGeom>
        <a:solidFill>
          <a:srgbClr val="FFFFFF"/>
        </a:solidFill>
        <a:ln w="9525">
          <a:solidFill>
            <a:srgbClr val="000000"/>
          </a:solidFill>
          <a:round/>
        </a:ln>
      </xdr:spPr>
    </xdr:sp>
    <xdr:clientData/>
  </xdr:twoCellAnchor>
  <xdr:twoCellAnchor>
    <xdr:from>
      <xdr:col>0</xdr:col>
      <xdr:colOff>0</xdr:colOff>
      <xdr:row>14</xdr:row>
      <xdr:rowOff>0</xdr:rowOff>
    </xdr:from>
    <xdr:to>
      <xdr:col>15</xdr:col>
      <xdr:colOff>447675</xdr:colOff>
      <xdr:row>27</xdr:row>
      <xdr:rowOff>0</xdr:rowOff>
    </xdr:to>
    <xdr:sp macro="" textlink="">
      <xdr:nvSpPr>
        <xdr:cNvPr id="6" name="AutoShape 5">
          <a:extLst>
            <a:ext uri="{FF2B5EF4-FFF2-40B4-BE49-F238E27FC236}">
              <a16:creationId xmlns:a16="http://schemas.microsoft.com/office/drawing/2014/main" id="{00000000-0008-0000-0800-000006000000}"/>
            </a:ext>
          </a:extLst>
        </xdr:cNvPr>
        <xdr:cNvSpPr>
          <a:spLocks noChangeArrowheads="1"/>
        </xdr:cNvSpPr>
      </xdr:nvSpPr>
      <xdr:spPr>
        <a:xfrm>
          <a:off x="0" y="267652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0</xdr:rowOff>
    </xdr:from>
    <xdr:to>
      <xdr:col>15</xdr:col>
      <xdr:colOff>447675</xdr:colOff>
      <xdr:row>27</xdr:row>
      <xdr:rowOff>0</xdr:rowOff>
    </xdr:to>
    <xdr:sp macro="" textlink="">
      <xdr:nvSpPr>
        <xdr:cNvPr id="7" name="AutoShape 5">
          <a:extLst>
            <a:ext uri="{FF2B5EF4-FFF2-40B4-BE49-F238E27FC236}">
              <a16:creationId xmlns:a16="http://schemas.microsoft.com/office/drawing/2014/main" id="{00000000-0008-0000-0800-000007000000}"/>
            </a:ext>
          </a:extLst>
        </xdr:cNvPr>
        <xdr:cNvSpPr>
          <a:spLocks noChangeArrowheads="1"/>
        </xdr:cNvSpPr>
      </xdr:nvSpPr>
      <xdr:spPr>
        <a:xfrm>
          <a:off x="0" y="2676525"/>
          <a:ext cx="14649450" cy="3114675"/>
        </a:xfrm>
        <a:custGeom>
          <a:avLst/>
          <a:gdLst/>
          <a:ahLst/>
          <a:cxnLst/>
          <a:rect l="0" t="0" r="0" b="0"/>
          <a:pathLst/>
        </a:custGeom>
        <a:solidFill>
          <a:srgbClr val="FFFFFF"/>
        </a:solidFill>
        <a:ln w="9525">
          <a:solidFill>
            <a:srgbClr val="000000"/>
          </a:solidFill>
          <a:round/>
        </a:ln>
      </xdr:spPr>
    </xdr:sp>
    <xdr:clientData/>
  </xdr:twoCellAnchor>
  <xdr:twoCellAnchor editAs="oneCell">
    <xdr:from>
      <xdr:col>0</xdr:col>
      <xdr:colOff>12700</xdr:colOff>
      <xdr:row>0</xdr:row>
      <xdr:rowOff>29210</xdr:rowOff>
    </xdr:from>
    <xdr:to>
      <xdr:col>3</xdr:col>
      <xdr:colOff>291284</xdr:colOff>
      <xdr:row>10</xdr:row>
      <xdr:rowOff>6350</xdr:rowOff>
    </xdr:to>
    <xdr:pic>
      <xdr:nvPicPr>
        <xdr:cNvPr id="8" name="Picture 10">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1"/>
        <a:stretch>
          <a:fillRect/>
        </a:stretch>
      </xdr:blipFill>
      <xdr:spPr>
        <a:xfrm>
          <a:off x="12700" y="29210"/>
          <a:ext cx="3145155" cy="1882140"/>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53340</xdr:rowOff>
    </xdr:from>
    <xdr:to>
      <xdr:col>15</xdr:col>
      <xdr:colOff>447675</xdr:colOff>
      <xdr:row>27</xdr:row>
      <xdr:rowOff>53340</xdr:rowOff>
    </xdr:to>
    <xdr:sp macro="" textlink="">
      <xdr:nvSpPr>
        <xdr:cNvPr id="2" name="AutoShape 5">
          <a:extLst>
            <a:ext uri="{FF2B5EF4-FFF2-40B4-BE49-F238E27FC236}">
              <a16:creationId xmlns:a16="http://schemas.microsoft.com/office/drawing/2014/main" id="{00000000-0008-0000-0900-000002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3" name="AutoShape 5">
          <a:extLst>
            <a:ext uri="{FF2B5EF4-FFF2-40B4-BE49-F238E27FC236}">
              <a16:creationId xmlns:a16="http://schemas.microsoft.com/office/drawing/2014/main" id="{00000000-0008-0000-0900-000003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4" name="AutoShape 5">
          <a:extLst>
            <a:ext uri="{FF2B5EF4-FFF2-40B4-BE49-F238E27FC236}">
              <a16:creationId xmlns:a16="http://schemas.microsoft.com/office/drawing/2014/main" id="{00000000-0008-0000-0900-000004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5" name="AutoShape 5">
          <a:extLst>
            <a:ext uri="{FF2B5EF4-FFF2-40B4-BE49-F238E27FC236}">
              <a16:creationId xmlns:a16="http://schemas.microsoft.com/office/drawing/2014/main" id="{00000000-0008-0000-0900-000005000000}"/>
            </a:ext>
          </a:extLst>
        </xdr:cNvPr>
        <xdr:cNvSpPr>
          <a:spLocks noChangeArrowheads="1"/>
        </xdr:cNvSpPr>
      </xdr:nvSpPr>
      <xdr:spPr>
        <a:xfrm>
          <a:off x="0" y="2729865"/>
          <a:ext cx="14649450" cy="3114675"/>
        </a:xfrm>
        <a:custGeom>
          <a:avLst/>
          <a:gdLst/>
          <a:ahLst/>
          <a:cxnLst/>
          <a:rect l="0" t="0" r="r" b="b"/>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6" name="AutoShape 5">
          <a:extLst>
            <a:ext uri="{FF2B5EF4-FFF2-40B4-BE49-F238E27FC236}">
              <a16:creationId xmlns:a16="http://schemas.microsoft.com/office/drawing/2014/main" id="{00000000-0008-0000-0900-000006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7" name="AutoShape 5">
          <a:extLst>
            <a:ext uri="{FF2B5EF4-FFF2-40B4-BE49-F238E27FC236}">
              <a16:creationId xmlns:a16="http://schemas.microsoft.com/office/drawing/2014/main" id="{00000000-0008-0000-0900-000007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oneCellAnchor>
    <xdr:from>
      <xdr:col>0</xdr:col>
      <xdr:colOff>12700</xdr:colOff>
      <xdr:row>0</xdr:row>
      <xdr:rowOff>29210</xdr:rowOff>
    </xdr:from>
    <xdr:ext cx="3227524" cy="1805940"/>
    <xdr:pic>
      <xdr:nvPicPr>
        <xdr:cNvPr id="8" name="Picture 10">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1"/>
        <a:stretch>
          <a:fillRect/>
        </a:stretch>
      </xdr:blipFill>
      <xdr:spPr>
        <a:xfrm>
          <a:off x="12700" y="29210"/>
          <a:ext cx="3227070" cy="1805940"/>
        </a:xfrm>
        <a:prstGeom prst="rect">
          <a:avLst/>
        </a:prstGeom>
        <a:noFill/>
        <a:ln w="9525">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626745</xdr:colOff>
      <xdr:row>13</xdr:row>
      <xdr:rowOff>156210</xdr:rowOff>
    </xdr:from>
    <xdr:to>
      <xdr:col>4</xdr:col>
      <xdr:colOff>661035</xdr:colOff>
      <xdr:row>34</xdr:row>
      <xdr:rowOff>93345</xdr:rowOff>
    </xdr:to>
    <xdr:grpSp>
      <xdr:nvGrpSpPr>
        <xdr:cNvPr id="55" name="组合 54">
          <a:extLst>
            <a:ext uri="{FF2B5EF4-FFF2-40B4-BE49-F238E27FC236}">
              <a16:creationId xmlns:a16="http://schemas.microsoft.com/office/drawing/2014/main" id="{00000000-0008-0000-0C00-000037000000}"/>
            </a:ext>
          </a:extLst>
        </xdr:cNvPr>
        <xdr:cNvGrpSpPr/>
      </xdr:nvGrpSpPr>
      <xdr:grpSpPr>
        <a:xfrm>
          <a:off x="626745" y="2487930"/>
          <a:ext cx="5688330" cy="3457575"/>
          <a:chOff x="1790700" y="2385060"/>
          <a:chExt cx="4411980" cy="3451860"/>
        </a:xfrm>
      </xdr:grpSpPr>
      <xdr:sp macro="" textlink="">
        <xdr:nvSpPr>
          <xdr:cNvPr id="2" name="矩形 1">
            <a:extLst>
              <a:ext uri="{FF2B5EF4-FFF2-40B4-BE49-F238E27FC236}">
                <a16:creationId xmlns:a16="http://schemas.microsoft.com/office/drawing/2014/main" id="{00000000-0008-0000-0C00-000002000000}"/>
              </a:ext>
            </a:extLst>
          </xdr:cNvPr>
          <xdr:cNvSpPr/>
        </xdr:nvSpPr>
        <xdr:spPr>
          <a:xfrm>
            <a:off x="4770120" y="2400300"/>
            <a:ext cx="1158240"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CN" sz="1100" b="1" u="sng"/>
              <a:t>Guarantor</a:t>
            </a:r>
          </a:p>
          <a:p>
            <a:pPr algn="ctr"/>
            <a:r>
              <a:rPr lang="en-US" altLang="zh-CN" sz="1100"/>
              <a:t>100%</a:t>
            </a:r>
            <a:endParaRPr lang="zh-CN" altLang="en-US" sz="1100"/>
          </a:p>
        </xdr:txBody>
      </xdr:sp>
      <xdr:sp macro="" textlink="">
        <xdr:nvSpPr>
          <xdr:cNvPr id="3" name="矩形 2">
            <a:extLst>
              <a:ext uri="{FF2B5EF4-FFF2-40B4-BE49-F238E27FC236}">
                <a16:creationId xmlns:a16="http://schemas.microsoft.com/office/drawing/2014/main" id="{00000000-0008-0000-0C00-000003000000}"/>
              </a:ext>
            </a:extLst>
          </xdr:cNvPr>
          <xdr:cNvSpPr/>
        </xdr:nvSpPr>
        <xdr:spPr>
          <a:xfrm>
            <a:off x="2057400" y="2385060"/>
            <a:ext cx="1158240"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CN" sz="1100" b="1" u="sng"/>
              <a:t>Guarantor</a:t>
            </a:r>
          </a:p>
          <a:p>
            <a:pPr algn="ctr"/>
            <a:r>
              <a:rPr lang="en-US" altLang="zh-CN" sz="1100"/>
              <a:t>100%</a:t>
            </a:r>
            <a:endParaRPr lang="zh-CN" altLang="en-US" sz="1100"/>
          </a:p>
        </xdr:txBody>
      </xdr:sp>
      <xdr:sp macro="" textlink="">
        <xdr:nvSpPr>
          <xdr:cNvPr id="4" name="矩形 3">
            <a:extLst>
              <a:ext uri="{FF2B5EF4-FFF2-40B4-BE49-F238E27FC236}">
                <a16:creationId xmlns:a16="http://schemas.microsoft.com/office/drawing/2014/main" id="{00000000-0008-0000-0C00-000004000000}"/>
              </a:ext>
            </a:extLst>
          </xdr:cNvPr>
          <xdr:cNvSpPr/>
        </xdr:nvSpPr>
        <xdr:spPr>
          <a:xfrm>
            <a:off x="4511040" y="3375660"/>
            <a:ext cx="1691640" cy="4876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altLang="zh-CN" sz="1100"/>
              <a:t>(50%)</a:t>
            </a:r>
            <a:endParaRPr lang="zh-CN" altLang="en-US" sz="1100"/>
          </a:p>
        </xdr:txBody>
      </xdr:sp>
      <xdr:sp macro="" textlink="">
        <xdr:nvSpPr>
          <xdr:cNvPr id="6" name="矩形 5">
            <a:extLst>
              <a:ext uri="{FF2B5EF4-FFF2-40B4-BE49-F238E27FC236}">
                <a16:creationId xmlns:a16="http://schemas.microsoft.com/office/drawing/2014/main" id="{00000000-0008-0000-0C00-000006000000}"/>
              </a:ext>
            </a:extLst>
          </xdr:cNvPr>
          <xdr:cNvSpPr/>
        </xdr:nvSpPr>
        <xdr:spPr>
          <a:xfrm>
            <a:off x="1790700" y="3375660"/>
            <a:ext cx="1691640" cy="4876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lang="en-CA" altLang="zh-CN" sz="900"/>
              <a:t>(50%)</a:t>
            </a:r>
          </a:p>
        </xdr:txBody>
      </xdr:sp>
      <xdr:sp macro="" textlink="">
        <xdr:nvSpPr>
          <xdr:cNvPr id="7" name="矩形 6">
            <a:extLst>
              <a:ext uri="{FF2B5EF4-FFF2-40B4-BE49-F238E27FC236}">
                <a16:creationId xmlns:a16="http://schemas.microsoft.com/office/drawing/2014/main" id="{00000000-0008-0000-0C00-000007000000}"/>
              </a:ext>
            </a:extLst>
          </xdr:cNvPr>
          <xdr:cNvSpPr/>
        </xdr:nvSpPr>
        <xdr:spPr>
          <a:xfrm>
            <a:off x="2887980" y="4290060"/>
            <a:ext cx="2179320" cy="6172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altLang="zh-CN" sz="1100" b="1" i="0" u="sng" baseline="0">
                <a:solidFill>
                  <a:schemeClr val="lt1"/>
                </a:solidFill>
                <a:effectLst/>
                <a:latin typeface="+mn-lt"/>
                <a:ea typeface="+mn-ea"/>
                <a:cs typeface="+mn-cs"/>
              </a:rPr>
              <a:t>Borrower</a:t>
            </a:r>
          </a:p>
          <a:p>
            <a:pPr algn="ctr"/>
            <a:r>
              <a:rPr lang="en-CA" altLang="zh-CN" sz="1100"/>
              <a:t>(100%)</a:t>
            </a:r>
            <a:endParaRPr lang="zh-CN" altLang="en-US" sz="1100"/>
          </a:p>
        </xdr:txBody>
      </xdr:sp>
      <xdr:sp macro="" textlink="">
        <xdr:nvSpPr>
          <xdr:cNvPr id="8" name="矩形 7">
            <a:extLst>
              <a:ext uri="{FF2B5EF4-FFF2-40B4-BE49-F238E27FC236}">
                <a16:creationId xmlns:a16="http://schemas.microsoft.com/office/drawing/2014/main" id="{00000000-0008-0000-0C00-000008000000}"/>
              </a:ext>
            </a:extLst>
          </xdr:cNvPr>
          <xdr:cNvSpPr/>
        </xdr:nvSpPr>
        <xdr:spPr>
          <a:xfrm>
            <a:off x="2887980" y="5349240"/>
            <a:ext cx="2179320" cy="4876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altLang="zh-CN" sz="1100" b="1" i="0" u="sng" baseline="0">
                <a:solidFill>
                  <a:schemeClr val="lt1"/>
                </a:solidFill>
                <a:effectLst/>
                <a:latin typeface="+mn-lt"/>
                <a:ea typeface="+mn-ea"/>
                <a:cs typeface="+mn-cs"/>
              </a:rPr>
              <a:t>The property</a:t>
            </a:r>
          </a:p>
        </xdr:txBody>
      </xdr:sp>
      <xdr:cxnSp macro="">
        <xdr:nvCxnSpPr>
          <xdr:cNvPr id="10" name="直接箭头连接符 9">
            <a:extLst>
              <a:ext uri="{FF2B5EF4-FFF2-40B4-BE49-F238E27FC236}">
                <a16:creationId xmlns:a16="http://schemas.microsoft.com/office/drawing/2014/main" id="{00000000-0008-0000-0C00-00000A000000}"/>
              </a:ext>
            </a:extLst>
          </xdr:cNvPr>
          <xdr:cNvCxnSpPr>
            <a:stCxn id="3" idx="2"/>
            <a:endCxn id="6" idx="0"/>
          </xdr:cNvCxnSpPr>
        </xdr:nvCxnSpPr>
        <xdr:spPr>
          <a:xfrm>
            <a:off x="2636520" y="3032760"/>
            <a:ext cx="0" cy="342900"/>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2" name="直接箭头连接符 11">
            <a:extLst>
              <a:ext uri="{FF2B5EF4-FFF2-40B4-BE49-F238E27FC236}">
                <a16:creationId xmlns:a16="http://schemas.microsoft.com/office/drawing/2014/main" id="{00000000-0008-0000-0C00-00000C000000}"/>
              </a:ext>
            </a:extLst>
          </xdr:cNvPr>
          <xdr:cNvCxnSpPr>
            <a:stCxn id="2" idx="2"/>
            <a:endCxn id="4" idx="0"/>
          </xdr:cNvCxnSpPr>
        </xdr:nvCxnSpPr>
        <xdr:spPr>
          <a:xfrm>
            <a:off x="5349240" y="3048000"/>
            <a:ext cx="7620" cy="327660"/>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肘形连接符 16">
            <a:extLst>
              <a:ext uri="{FF2B5EF4-FFF2-40B4-BE49-F238E27FC236}">
                <a16:creationId xmlns:a16="http://schemas.microsoft.com/office/drawing/2014/main" id="{00000000-0008-0000-0C00-000011000000}"/>
              </a:ext>
            </a:extLst>
          </xdr:cNvPr>
          <xdr:cNvCxnSpPr>
            <a:stCxn id="6" idx="2"/>
            <a:endCxn id="7" idx="0"/>
          </xdr:cNvCxnSpPr>
        </xdr:nvCxnSpPr>
        <xdr:spPr>
          <a:xfrm rot="16200000" flipH="1">
            <a:off x="3093720" y="3406140"/>
            <a:ext cx="426720" cy="1341120"/>
          </a:xfrm>
          <a:prstGeom prst="bentConnector3">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8" name="肘形连接符 17">
            <a:extLst>
              <a:ext uri="{FF2B5EF4-FFF2-40B4-BE49-F238E27FC236}">
                <a16:creationId xmlns:a16="http://schemas.microsoft.com/office/drawing/2014/main" id="{00000000-0008-0000-0C00-000012000000}"/>
              </a:ext>
            </a:extLst>
          </xdr:cNvPr>
          <xdr:cNvCxnSpPr>
            <a:stCxn id="4" idx="2"/>
            <a:endCxn id="7" idx="0"/>
          </xdr:cNvCxnSpPr>
        </xdr:nvCxnSpPr>
        <xdr:spPr>
          <a:xfrm rot="5400000">
            <a:off x="4453890" y="3387090"/>
            <a:ext cx="426720" cy="1379220"/>
          </a:xfrm>
          <a:prstGeom prst="bentConnector3">
            <a:avLst>
              <a:gd name="adj1" fmla="val 50000"/>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1" name="直接箭头连接符 20">
            <a:extLst>
              <a:ext uri="{FF2B5EF4-FFF2-40B4-BE49-F238E27FC236}">
                <a16:creationId xmlns:a16="http://schemas.microsoft.com/office/drawing/2014/main" id="{00000000-0008-0000-0C00-000015000000}"/>
              </a:ext>
            </a:extLst>
          </xdr:cNvPr>
          <xdr:cNvCxnSpPr>
            <a:stCxn id="7" idx="2"/>
            <a:endCxn id="8" idx="0"/>
          </xdr:cNvCxnSpPr>
        </xdr:nvCxnSpPr>
        <xdr:spPr>
          <a:xfrm>
            <a:off x="3977640" y="4907280"/>
            <a:ext cx="0" cy="441960"/>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Joanna%20Zhou%20Dropbox/Joanna%20Zhou%20Team%20Team%20Folder/TMG-Commercial/10.%20Template/0.%20M-commercial/Income%20Proforma%20V1%20MLI%20Select.xlsm" TargetMode="External"/><Relationship Id="rId2" Type="http://schemas.openxmlformats.org/officeDocument/2006/relationships/externalLinkPath" Target="file:///C:\Users\jeffr\Joanna%20Zhou%20Dropbox\Joanna%20Zhou%20Team%20Team%20Folder\TMG-Commercial\10.%20Template\0.%20M-commercial\Income%20Proforma%20V1%20MLI%20Select.xlsm" TargetMode="External"/><Relationship Id="rId1" Type="http://schemas.openxmlformats.org/officeDocument/2006/relationships/externalLinkPath" Target="/Users/jeffr/Joanna%20Zhou%20Dropbox/Joanna%20Zhou%20Team%20Team%20Folder/TMG-Commercial/10.%20Template/0.%20M-commercial/Income%20Proforma%20V1%20MLI%20Selec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NT ROLL (MLI Select)"/>
      <sheetName val="RENT ROLL"/>
      <sheetName val="INPUT - CMCH-MLI Select"/>
      <sheetName val="Proforma (CMHC)"/>
      <sheetName val="INPUTS - PROFORMA"/>
      <sheetName val="Proforma (CMHC MLI SELECT)"/>
      <sheetName val="OLD-Proforma (CMHC MLI SELECT)"/>
      <sheetName val="OLD-Proforma (Conventional)"/>
      <sheetName val="Proforma (CONVENTIONAL)"/>
      <sheetName val="S&amp;U"/>
      <sheetName val="CMHC-COST"/>
      <sheetName val="DATA"/>
    </sheetNames>
    <sheetDataSet>
      <sheetData sheetId="0"/>
      <sheetData sheetId="1"/>
      <sheetData sheetId="2"/>
      <sheetData sheetId="3"/>
      <sheetData sheetId="4">
        <row r="83">
          <cell r="C83">
            <v>43827634.727083318</v>
          </cell>
        </row>
        <row r="97">
          <cell r="C97">
            <v>50652575.402108595</v>
          </cell>
        </row>
        <row r="113">
          <cell r="C113">
            <v>34120729.480274886</v>
          </cell>
        </row>
      </sheetData>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102" displayName="Table102" ref="A2:AE178" totalsRowShown="0">
  <autoFilter ref="A2:AE178" xr:uid="{00000000-0009-0000-0100-000005000000}"/>
  <tableColumns count="31">
    <tableColumn id="1" xr3:uid="{00000000-0010-0000-0000-000001000000}" name="Unit Type" dataDxfId="44">
      <calculatedColumnFormula>IF(Table10[[#This Row],[Unit Type]]=0,"",Table10[[#This Row],[Unit Type]])</calculatedColumnFormula>
    </tableColumn>
    <tableColumn id="2" xr3:uid="{00000000-0010-0000-0000-000002000000}" name="Residential Stream Source" dataDxfId="43">
      <calculatedColumnFormula>IF(Table10[[#This Row],[Residential Stream Source]]=0,"",Table10[[#This Row],[Residential Stream Source]])</calculatedColumnFormula>
    </tableColumn>
    <tableColumn id="31" xr3:uid="{00000000-0010-0000-0000-00001F000000}" name="Basement?">
      <calculatedColumnFormula>IF(Table10[[#This Row],[Basement?]]=0,"",Table10[[#This Row],[Basement?]])</calculatedColumnFormula>
    </tableColumn>
    <tableColumn id="3" xr3:uid="{00000000-0010-0000-0000-000003000000}" name="Unit #" dataDxfId="42">
      <calculatedColumnFormula>IF(Table10[[#This Row],[Unit '#]]=0,"",Table10[[#This Row],[Unit '#]])</calculatedColumnFormula>
    </tableColumn>
    <tableColumn id="4" xr3:uid="{00000000-0010-0000-0000-000004000000}" name="Vacant?" dataDxfId="41">
      <calculatedColumnFormula>IF(Table10[[#This Row],[Vacant?]]=0,"",Table10[[#This Row],[Vacant?]])</calculatedColumnFormula>
    </tableColumn>
    <tableColumn id="5" xr3:uid="{00000000-0010-0000-0000-000005000000}" name="Rental Rate ($/mth)">
      <calculatedColumnFormula>IF(Table10[[#This Row],[Rental Rate ($/mth)]]=0,"",Table10[[#This Row],[Rental Rate ($/mth)]])</calculatedColumnFormula>
    </tableColumn>
    <tableColumn id="6" xr3:uid="{00000000-0010-0000-0000-000006000000}" name="Monthly Rev. Accepted"/>
    <tableColumn id="7" xr3:uid="{00000000-0010-0000-0000-000007000000}" name="Annual Rev. Submitted"/>
    <tableColumn id="8" xr3:uid="{00000000-0010-0000-0000-000008000000}" name="Annual Rev. Accepted"/>
    <tableColumn id="9" xr3:uid="{00000000-0010-0000-0000-000009000000}" name="Unit Size (sq ft)" dataDxfId="40">
      <calculatedColumnFormula>IF(Table10[[#This Row],[Unit Size (sq ft)]]=0,"",Table10[[#This Row],[Unit Size (sq ft)]])</calculatedColumnFormula>
    </tableColumn>
    <tableColumn id="10" xr3:uid="{00000000-0010-0000-0000-00000A000000}" name="Floor Area Accepted (SF)"/>
    <tableColumn id="11" xr3:uid="{00000000-0010-0000-0000-00000B000000}" name="Market Unit" dataDxfId="39">
      <calculatedColumnFormula>Table10[[#This Row],[Market Unit]]</calculatedColumnFormula>
    </tableColumn>
    <tableColumn id="12" xr3:uid="{00000000-0010-0000-0000-00000C000000}" name="Affordable Unit" dataDxfId="38">
      <calculatedColumnFormula>Table10[[#This Row],[Affordable Unit]]</calculatedColumnFormula>
    </tableColumn>
    <tableColumn id="13" xr3:uid="{00000000-0010-0000-0000-00000D000000}" name="Subsidized Unit" dataDxfId="37">
      <calculatedColumnFormula>IF(Table10[[#This Row],[Subsidized Unit]]=0,"",Table10[[#This Row],[Subsidized Unit]])</calculatedColumnFormula>
    </tableColumn>
    <tableColumn id="14" xr3:uid="{00000000-0010-0000-0000-00000E000000}" name="Care Services" dataDxfId="36">
      <calculatedColumnFormula>IF(Table10[[#This Row],[Care Services]]=0,"",Table10[[#This Row],[Care Services]])</calculatedColumnFormula>
    </tableColumn>
    <tableColumn id="15" xr3:uid="{00000000-0010-0000-0000-00000F000000}" name="Affordable Care" dataDxfId="35">
      <calculatedColumnFormula>IF(Table10[[#This Row],[Affordable Care]]=0,"",Table10[[#This Row],[Affordable Care]])</calculatedColumnFormula>
    </tableColumn>
    <tableColumn id="16" xr3:uid="{00000000-0010-0000-0000-000010000000}" name="Non-Res. Stream Source"/>
    <tableColumn id="17" xr3:uid="{00000000-0010-0000-0000-000011000000}" name="Business Type"/>
    <tableColumn id="18" xr3:uid="{00000000-0010-0000-0000-000012000000}" name="Lease Type"/>
    <tableColumn id="19" xr3:uid="{00000000-0010-0000-0000-000013000000}" name="Bulk Lease Unit" dataDxfId="34">
      <calculatedColumnFormula>IF(Table10[[#This Row],[Bulk Lease Unit]]=0,"",Table10[[#This Row],[Bulk Lease Unit]])</calculatedColumnFormula>
    </tableColumn>
    <tableColumn id="20" xr3:uid="{00000000-0010-0000-0000-000014000000}" name="Den Included Unit" dataDxfId="33">
      <calculatedColumnFormula>IF(Table10[[#This Row],[Den Included Unit]]=0,"",Table10[[#This Row],[Den Included Unit]])</calculatedColumnFormula>
    </tableColumn>
    <tableColumn id="21" xr3:uid="{00000000-0010-0000-0000-000015000000}" name="Second Bathroom">
      <calculatedColumnFormula>IF(Table10[[#This Row],[Second Bathroom]]=0,"",Table10[[#This Row],[Second Bathroom]])</calculatedColumnFormula>
    </tableColumn>
    <tableColumn id="22" xr3:uid="{00000000-0010-0000-0000-000016000000}" name="Heating">
      <calculatedColumnFormula>IF(Table10[[#This Row],[Heating]]=0,"",Table10[[#This Row],[Heating]])</calculatedColumnFormula>
    </tableColumn>
    <tableColumn id="23" xr3:uid="{00000000-0010-0000-0000-000017000000}" name="Electricity">
      <calculatedColumnFormula>IF(Table10[[#This Row],[Electricity]]=0,"",Table10[[#This Row],[Electricity]])</calculatedColumnFormula>
    </tableColumn>
    <tableColumn id="24" xr3:uid="{00000000-0010-0000-0000-000018000000}" name="Water">
      <calculatedColumnFormula>IF(Table10[[#This Row],[Water]]=0,"",Table10[[#This Row],[Water]])</calculatedColumnFormula>
    </tableColumn>
    <tableColumn id="25" xr3:uid="{00000000-0010-0000-0000-000019000000}" name="Washer/Dryer">
      <calculatedColumnFormula>IF(Table10[[#This Row],[Washer/Dryer]]=0,"",Table10[[#This Row],[Washer/Dryer]])</calculatedColumnFormula>
    </tableColumn>
    <tableColumn id="26" xr3:uid="{00000000-0010-0000-0000-00001A000000}" name="Stove/Fridge">
      <calculatedColumnFormula>IF(Table10[[#This Row],[Stove/Fridge]]=0,"",Table10[[#This Row],[Stove/Fridge]])</calculatedColumnFormula>
    </tableColumn>
    <tableColumn id="27" xr3:uid="{00000000-0010-0000-0000-00001B000000}" name="Dishwasher">
      <calculatedColumnFormula>IF(Table10[[#This Row],[Dishwasher]]=0,"",Table10[[#This Row],[Dishwasher]])</calculatedColumnFormula>
    </tableColumn>
    <tableColumn id="28" xr3:uid="{00000000-0010-0000-0000-00001C000000}" name="Parking">
      <calculatedColumnFormula>IF(Table10[[#This Row],[Parking]]=0,"",Table10[[#This Row],[Parking]])</calculatedColumnFormula>
    </tableColumn>
    <tableColumn id="29" xr3:uid="{00000000-0010-0000-0000-00001D000000}" name="Furniture">
      <calculatedColumnFormula>IF(Table10[[#This Row],[Furniture]]=0,"",Table10[[#This Row],[Furniture]])</calculatedColumnFormula>
    </tableColumn>
    <tableColumn id="30" xr3:uid="{00000000-0010-0000-0000-00001E000000}" name="Other">
      <calculatedColumnFormula>IF(Table10[[#This Row],[Other]]=0,"",Table10[[#This Row],[Other]])</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10" displayName="Table10" ref="A2:AE184" totalsRowShown="0">
  <autoFilter ref="A2:AE184" xr:uid="{00000000-0009-0000-0100-000006000000}"/>
  <tableColumns count="31">
    <tableColumn id="1" xr3:uid="{00000000-0010-0000-0100-000001000000}" name="Unit Type" dataDxfId="32"/>
    <tableColumn id="2" xr3:uid="{00000000-0010-0000-0100-000002000000}" name="Residential Stream Source" dataDxfId="31"/>
    <tableColumn id="31" xr3:uid="{00000000-0010-0000-0100-00001F000000}" name="Basement?" dataDxfId="30"/>
    <tableColumn id="3" xr3:uid="{00000000-0010-0000-0100-000003000000}" name="Unit #" dataDxfId="29"/>
    <tableColumn id="4" xr3:uid="{00000000-0010-0000-0100-000004000000}" name="Vacant?" dataDxfId="28"/>
    <tableColumn id="5" xr3:uid="{00000000-0010-0000-0100-000005000000}" name="Rental Rate ($/mth)" dataDxfId="27"/>
    <tableColumn id="6" xr3:uid="{00000000-0010-0000-0100-000006000000}" name="Monthly Rev. Accepted" dataDxfId="26"/>
    <tableColumn id="7" xr3:uid="{00000000-0010-0000-0100-000007000000}" name="Annual Rev. Submitted" dataDxfId="25"/>
    <tableColumn id="8" xr3:uid="{00000000-0010-0000-0100-000008000000}" name="Annual Rev. Accepted" dataDxfId="24"/>
    <tableColumn id="9" xr3:uid="{00000000-0010-0000-0100-000009000000}" name="Unit Size (sq ft)" dataDxfId="23"/>
    <tableColumn id="10" xr3:uid="{00000000-0010-0000-0100-00000A000000}" name="Floor Area Accepted (SF)" dataDxfId="22"/>
    <tableColumn id="11" xr3:uid="{00000000-0010-0000-0100-00000B000000}" name="Market Unit" dataDxfId="21">
      <calculatedColumnFormula>IF(Table10[[#This Row],[Rental Rate ($/mth)]]&lt;&gt;"",IF(Table10[[#This Row],[Rental Rate ($/mth)]]&lt;='Input CMHC MLI Select'!$C$12,"No","Yes"),"")</calculatedColumnFormula>
    </tableColumn>
    <tableColumn id="12" xr3:uid="{00000000-0010-0000-0100-00000C000000}" name="Affordable Unit" dataDxfId="20">
      <calculatedColumnFormula>IF(Table10[[#This Row],[Rental Rate ($/mth)]]&lt;&gt;"",IF(Table10[[#This Row],[Rental Rate ($/mth)]]&lt;='Input CMHC MLI Select'!$C$12,"Yes","No"),"")</calculatedColumnFormula>
    </tableColumn>
    <tableColumn id="13" xr3:uid="{00000000-0010-0000-0100-00000D000000}" name="Subsidized Unit" dataDxfId="19"/>
    <tableColumn id="14" xr3:uid="{00000000-0010-0000-0100-00000E000000}" name="Care Services" dataDxfId="18"/>
    <tableColumn id="15" xr3:uid="{00000000-0010-0000-0100-00000F000000}" name="Affordable Care" dataDxfId="17"/>
    <tableColumn id="16" xr3:uid="{00000000-0010-0000-0100-000010000000}" name="Non-Res. Stream Source" dataDxfId="16"/>
    <tableColumn id="17" xr3:uid="{00000000-0010-0000-0100-000011000000}" name="Business Type" dataDxfId="15"/>
    <tableColumn id="18" xr3:uid="{00000000-0010-0000-0100-000012000000}" name="Lease Type" dataDxfId="14"/>
    <tableColumn id="19" xr3:uid="{00000000-0010-0000-0100-000013000000}" name="Bulk Lease Unit" dataDxfId="13"/>
    <tableColumn id="20" xr3:uid="{00000000-0010-0000-0100-000014000000}" name="Den Included Unit" dataDxfId="12"/>
    <tableColumn id="21" xr3:uid="{00000000-0010-0000-0100-000015000000}" name="Second Bathroom" dataDxfId="11"/>
    <tableColumn id="22" xr3:uid="{00000000-0010-0000-0100-000016000000}" name="Heating" dataDxfId="10"/>
    <tableColumn id="23" xr3:uid="{00000000-0010-0000-0100-000017000000}" name="Electricity" dataDxfId="9"/>
    <tableColumn id="24" xr3:uid="{00000000-0010-0000-0100-000018000000}" name="Water" dataDxfId="8"/>
    <tableColumn id="25" xr3:uid="{00000000-0010-0000-0100-000019000000}" name="Washer/Dryer" dataDxfId="7"/>
    <tableColumn id="26" xr3:uid="{00000000-0010-0000-0100-00001A000000}" name="Stove/Fridge" dataDxfId="6"/>
    <tableColumn id="27" xr3:uid="{00000000-0010-0000-0100-00001B000000}" name="Dishwasher" dataDxfId="5"/>
    <tableColumn id="28" xr3:uid="{00000000-0010-0000-0100-00001C000000}" name="Parking" dataDxfId="4"/>
    <tableColumn id="29" xr3:uid="{00000000-0010-0000-0100-00001D000000}" name="Furniture" dataDxfId="3"/>
    <tableColumn id="30" xr3:uid="{00000000-0010-0000-0100-00001E000000}" name="Other" dataDxfId="2"/>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7" displayName="Table17" ref="F15:F20" totalsRowShown="0">
  <autoFilter ref="F15:F20" xr:uid="{00000000-0009-0000-0100-000001000000}"/>
  <tableColumns count="1">
    <tableColumn id="1" xr3:uid="{00000000-0010-0000-0200-000001000000}" name="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8" displayName="Table28" ref="F23:F26" totalsRowShown="0">
  <autoFilter ref="F23:F26" xr:uid="{00000000-0009-0000-0100-000002000000}"/>
  <tableColumns count="1">
    <tableColumn id="1" xr3:uid="{00000000-0010-0000-0300-000001000000}" name="Utilitie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69" displayName="Table69" ref="F29:F35" totalsRowShown="0">
  <autoFilter ref="F29:F35" xr:uid="{00000000-0009-0000-0100-000003000000}"/>
  <tableColumns count="1">
    <tableColumn id="1" xr3:uid="{00000000-0010-0000-0400-000001000000}" name="Appliance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e710" displayName="Table710" ref="F38:F46" totalsRowShown="0">
  <autoFilter ref="F38:F46" xr:uid="{00000000-0009-0000-0100-000004000000}"/>
  <tableColumns count="1">
    <tableColumn id="1" xr3:uid="{00000000-0010-0000-0500-000001000000}" name="Furnitu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84"/>
  <sheetViews>
    <sheetView topLeftCell="A62" zoomScale="99" zoomScaleNormal="99" workbookViewId="0">
      <selection activeCell="G75" sqref="G75"/>
    </sheetView>
  </sheetViews>
  <sheetFormatPr defaultColWidth="9" defaultRowHeight="13.2"/>
  <cols>
    <col min="2" max="2" width="24.33203125" customWidth="1"/>
    <col min="3" max="3" width="22.33203125" customWidth="1"/>
    <col min="4" max="4" width="20.33203125" customWidth="1"/>
    <col min="5" max="5" width="14.88671875" customWidth="1"/>
    <col min="6" max="6" width="21.33203125" customWidth="1"/>
  </cols>
  <sheetData>
    <row r="2" spans="1:7">
      <c r="A2" s="718" t="s">
        <v>0</v>
      </c>
      <c r="B2" s="718"/>
      <c r="C2" s="718"/>
      <c r="D2" s="718"/>
      <c r="E2" s="718"/>
      <c r="F2" s="718"/>
      <c r="G2" s="718"/>
    </row>
    <row r="4" spans="1:7">
      <c r="B4" s="658" t="s">
        <v>1</v>
      </c>
      <c r="C4" s="659" t="s">
        <v>2</v>
      </c>
      <c r="E4" s="658" t="s">
        <v>3</v>
      </c>
      <c r="F4" s="659" t="s">
        <v>4</v>
      </c>
    </row>
    <row r="6" spans="1:7">
      <c r="B6" s="718" t="s">
        <v>5</v>
      </c>
      <c r="C6" s="718"/>
      <c r="D6" s="718"/>
      <c r="E6" s="718"/>
      <c r="F6" s="718"/>
    </row>
    <row r="8" spans="1:7">
      <c r="B8" s="658" t="s">
        <v>6</v>
      </c>
      <c r="C8" s="659" t="s">
        <v>7</v>
      </c>
      <c r="E8" s="658" t="s">
        <v>8</v>
      </c>
      <c r="F8" s="659" t="s">
        <v>751</v>
      </c>
    </row>
    <row r="10" spans="1:7">
      <c r="B10" s="658" t="s">
        <v>9</v>
      </c>
      <c r="C10" s="660">
        <f>VLOOKUP(C8,DATA!B1:C82,2,FALSE)</f>
        <v>53900</v>
      </c>
    </row>
    <row r="11" spans="1:7">
      <c r="B11" s="658" t="s">
        <v>10</v>
      </c>
      <c r="C11" s="660">
        <f>C10*0.3</f>
        <v>16170</v>
      </c>
    </row>
    <row r="12" spans="1:7">
      <c r="B12" s="658" t="s">
        <v>11</v>
      </c>
      <c r="C12" s="660">
        <f>C11/12</f>
        <v>1347.5</v>
      </c>
    </row>
    <row r="14" spans="1:7">
      <c r="B14" s="658" t="s">
        <v>12</v>
      </c>
      <c r="C14" s="661">
        <f>COUNTIFS(Table102[Rental Rate ($/mth)],"&gt;0")</f>
        <v>170</v>
      </c>
    </row>
    <row r="15" spans="1:7">
      <c r="B15" s="658" t="s">
        <v>13</v>
      </c>
      <c r="C15" s="661">
        <f>COUNTIFS(Table102[Market Unit],"No")</f>
        <v>0</v>
      </c>
    </row>
    <row r="16" spans="1:7">
      <c r="B16" s="658" t="s">
        <v>14</v>
      </c>
      <c r="C16" s="662">
        <f>IFERROR(C15/C14,0)</f>
        <v>0</v>
      </c>
      <c r="D16">
        <f>IFERROR(C15/C14,"-")</f>
        <v>0</v>
      </c>
    </row>
    <row r="18" spans="2:6" ht="14.4">
      <c r="B18" s="663" t="s">
        <v>15</v>
      </c>
      <c r="C18" s="663" t="s">
        <v>16</v>
      </c>
      <c r="D18" s="663" t="s">
        <v>17</v>
      </c>
      <c r="E18" s="663" t="s">
        <v>18</v>
      </c>
    </row>
    <row r="19" spans="2:6" ht="14.4">
      <c r="B19" s="664" t="s">
        <v>19</v>
      </c>
      <c r="C19" s="665">
        <v>50</v>
      </c>
      <c r="D19" s="665">
        <v>70</v>
      </c>
      <c r="E19" s="665">
        <v>100</v>
      </c>
    </row>
    <row r="20" spans="2:6" ht="14.4">
      <c r="B20" s="666" t="s">
        <v>20</v>
      </c>
      <c r="C20" s="667">
        <f>IF(C4=DATA!F2,0.1,0.4)</f>
        <v>0.1</v>
      </c>
      <c r="D20" s="667">
        <f>IF(C4=DATA!F2,0.15,0.6)</f>
        <v>0.15</v>
      </c>
      <c r="E20" s="667">
        <f>IF(C4=DATA!F2,0.25,0.8)</f>
        <v>0.25</v>
      </c>
    </row>
    <row r="22" spans="2:6" ht="14.4">
      <c r="B22" s="663" t="s">
        <v>21</v>
      </c>
      <c r="C22" s="668" t="s">
        <v>22</v>
      </c>
    </row>
    <row r="24" spans="2:6" ht="14.4">
      <c r="B24" s="715" t="s">
        <v>23</v>
      </c>
      <c r="C24" s="719"/>
      <c r="D24" s="669">
        <f>IF(C16&lt;C20,0,IF(AND(C16&gt;=C20,C16&lt;D20),C19,IF(AND(C16&gt;=D20,C16&lt;E20),D19,E19)))+IF(C16&lt;=C20,0,IF(C22="10 YEARS",0,30))</f>
        <v>0</v>
      </c>
    </row>
    <row r="27" spans="2:6">
      <c r="B27" s="718" t="s">
        <v>24</v>
      </c>
      <c r="C27" s="718"/>
      <c r="D27" s="718"/>
      <c r="E27" s="718"/>
      <c r="F27" s="718"/>
    </row>
    <row r="29" spans="2:6" ht="14.4">
      <c r="B29" s="663" t="s">
        <v>15</v>
      </c>
      <c r="C29" s="663" t="s">
        <v>16</v>
      </c>
      <c r="D29" s="663" t="s">
        <v>17</v>
      </c>
    </row>
    <row r="30" spans="2:6" ht="14.4">
      <c r="B30" s="664" t="s">
        <v>19</v>
      </c>
      <c r="C30" s="665">
        <v>20</v>
      </c>
      <c r="D30" s="665">
        <v>30</v>
      </c>
    </row>
    <row r="31" spans="2:6" ht="43.2">
      <c r="B31" s="670" t="s">
        <v>25</v>
      </c>
      <c r="C31" s="671">
        <v>0.15</v>
      </c>
      <c r="D31" s="671">
        <v>1</v>
      </c>
    </row>
    <row r="32" spans="2:6" ht="43.2">
      <c r="B32" s="672" t="s">
        <v>26</v>
      </c>
      <c r="C32" s="673" t="s">
        <v>27</v>
      </c>
      <c r="D32" s="674" t="s">
        <v>28</v>
      </c>
    </row>
    <row r="33" spans="2:6" ht="14.4">
      <c r="B33" s="670" t="s">
        <v>29</v>
      </c>
      <c r="C33" s="671" t="s">
        <v>30</v>
      </c>
      <c r="D33" s="671" t="s">
        <v>31</v>
      </c>
    </row>
    <row r="35" spans="2:6" ht="14.4">
      <c r="B35" s="663" t="s">
        <v>32</v>
      </c>
      <c r="C35" s="675" t="s">
        <v>33</v>
      </c>
    </row>
    <row r="37" spans="2:6" ht="14.4">
      <c r="B37" s="715" t="s">
        <v>34</v>
      </c>
      <c r="C37" s="715"/>
      <c r="D37" s="669">
        <f>IF(C35=C29,20,IF(C35=D29,D30,0))</f>
        <v>0</v>
      </c>
    </row>
    <row r="40" spans="2:6" ht="15.6">
      <c r="B40" s="714" t="s">
        <v>35</v>
      </c>
      <c r="C40" s="714"/>
      <c r="D40" s="714"/>
      <c r="E40" s="714"/>
      <c r="F40" s="714"/>
    </row>
    <row r="42" spans="2:6" ht="14.4">
      <c r="B42" s="676" t="s">
        <v>15</v>
      </c>
      <c r="C42" s="676" t="s">
        <v>16</v>
      </c>
      <c r="D42" s="676" t="s">
        <v>17</v>
      </c>
      <c r="E42" s="676" t="s">
        <v>18</v>
      </c>
    </row>
    <row r="43" spans="2:6" ht="14.4">
      <c r="B43" s="664" t="s">
        <v>19</v>
      </c>
      <c r="C43" s="665">
        <v>20</v>
      </c>
      <c r="D43" s="665">
        <v>35</v>
      </c>
      <c r="E43" s="665">
        <v>50</v>
      </c>
    </row>
    <row r="44" spans="2:6" ht="28.8">
      <c r="B44" s="670" t="str">
        <f>IF(C4=DATA!$F$2,"Better Than 2017 NECB/2015 NBC","EE - GHG Reduction over current performance")</f>
        <v>Better Than 2017 NECB/2015 NBC</v>
      </c>
      <c r="C44" s="671">
        <f>IF(C4=DATA!$F$2,0.2,0.15)</f>
        <v>0.2</v>
      </c>
      <c r="D44" s="671">
        <v>0.25</v>
      </c>
      <c r="E44" s="671">
        <v>0.4</v>
      </c>
    </row>
    <row r="46" spans="2:6" ht="14.4">
      <c r="B46" s="663" t="s">
        <v>36</v>
      </c>
      <c r="C46" s="675" t="s">
        <v>18</v>
      </c>
    </row>
    <row r="48" spans="2:6" ht="14.4">
      <c r="B48" s="715" t="s">
        <v>37</v>
      </c>
      <c r="C48" s="715"/>
      <c r="D48" s="669">
        <f>IF(C46=C42,30,IF(C46=D42,D43,IF(C46=E42,E43,0)))</f>
        <v>50</v>
      </c>
    </row>
    <row r="52" spans="2:7" ht="18">
      <c r="B52" s="716" t="s">
        <v>38</v>
      </c>
      <c r="C52" s="716"/>
      <c r="D52" s="717"/>
      <c r="E52" s="677">
        <f>D48+D37+D24</f>
        <v>50</v>
      </c>
    </row>
    <row r="54" spans="2:7" ht="15.6">
      <c r="B54" s="678" t="s">
        <v>39</v>
      </c>
    </row>
    <row r="55" spans="2:7" ht="14.4">
      <c r="B55" s="663" t="s">
        <v>19</v>
      </c>
      <c r="C55" s="663" t="s">
        <v>40</v>
      </c>
      <c r="D55" s="663" t="s">
        <v>41</v>
      </c>
      <c r="E55" s="663" t="s">
        <v>42</v>
      </c>
    </row>
    <row r="56" spans="2:7" ht="14.4">
      <c r="B56" s="664" t="s">
        <v>43</v>
      </c>
      <c r="C56" s="665" t="str">
        <f>IF($C$4=DATA!F$2,"Up to 95%","Up to 85%")</f>
        <v>Up to 95%</v>
      </c>
      <c r="D56" s="665">
        <v>1.1000000000000001</v>
      </c>
      <c r="E56" s="665" t="s">
        <v>44</v>
      </c>
    </row>
    <row r="57" spans="2:7" ht="14.4">
      <c r="B57" s="666" t="s">
        <v>45</v>
      </c>
      <c r="C57" s="679" t="str">
        <f>IF($C$4=DATA!F$2,"Up to 95%","Up to 95%")</f>
        <v>Up to 95%</v>
      </c>
      <c r="D57" s="679">
        <v>1.1000000000000001</v>
      </c>
      <c r="E57" s="679" t="s">
        <v>46</v>
      </c>
    </row>
    <row r="58" spans="2:7" ht="14.4">
      <c r="B58" s="680" t="s">
        <v>47</v>
      </c>
      <c r="C58" s="681" t="str">
        <f>IF($C$4=DATA!F$2,"Up to 95%","Up to 95%")</f>
        <v>Up to 95%</v>
      </c>
      <c r="D58" s="681">
        <v>1.1000000000000001</v>
      </c>
      <c r="E58" s="681" t="s">
        <v>48</v>
      </c>
    </row>
    <row r="62" spans="2:7" ht="14.4">
      <c r="B62" s="663" t="s">
        <v>49</v>
      </c>
      <c r="C62" s="34" t="str">
        <f>IF(F4=DATA!F58,DATA!F58,DATA!I58)</f>
        <v>Standard Rental Housing</v>
      </c>
    </row>
    <row r="63" spans="2:7" ht="14.4">
      <c r="B63" s="663" t="s">
        <v>50</v>
      </c>
      <c r="C63" s="34" t="str">
        <f>C4</f>
        <v>NEW CONSTRUCTION</v>
      </c>
      <c r="D63" s="34"/>
      <c r="F63" s="34"/>
      <c r="G63" s="34"/>
    </row>
    <row r="64" spans="2:7" ht="14.4">
      <c r="B64" s="663" t="s">
        <v>51</v>
      </c>
      <c r="C64" s="34">
        <f>E52</f>
        <v>50</v>
      </c>
      <c r="F64" s="34"/>
    </row>
    <row r="65" spans="2:6" ht="14.4">
      <c r="B65" s="663" t="s">
        <v>52</v>
      </c>
      <c r="C65" s="682">
        <f>'Proforma Construction'!D50</f>
        <v>0.75998331047894063</v>
      </c>
    </row>
    <row r="66" spans="2:6" ht="14.4">
      <c r="B66" s="663" t="s">
        <v>53</v>
      </c>
      <c r="C66" s="682" cm="1">
        <f t="array" ref="C66">_xlfn.IFS(C65&lt;=65%,65%,C65&lt;=70%,70%,C65&lt;=75%,75%,C65&lt;=80%,80%,C65&lt;=85%,85%,C65&lt;=90%,90%,C65&gt;90%,"&gt;90%")</f>
        <v>0.8</v>
      </c>
    </row>
    <row r="67" spans="2:6" ht="14.4">
      <c r="B67" s="663" t="s">
        <v>54</v>
      </c>
      <c r="C67" s="683" cm="1">
        <f t="array" ref="C67">IF(AND(C62="standard rental housing",C63="new construction"),_xlfn.IFS($C$65&lt;=65%,DATA!$K$50,$C$65&lt;=70%,DATA!$K$51,$C$65&lt;=75%,DATA!$K$52,$C$65&lt;=80%,DATA!$K$53,$C$65&lt;=85%,DATA!$K$54,$C$65&lt;=90%,DATA!$K$55,$C$65&gt;90%,DATA!$K$56),IF(AND(C62="standard rental housing",C63="PURCHASE - REFINANCE"),_xlfn.IFS($C$65&lt;=65%,DATA!$L$50,$C$65&lt;=70%,DATA!$L$51,$C$65&lt;=75%,DATA!$L$52,$C$65&lt;=80%,DATA!$L$53,$C$65&lt;=85%,DATA!$L$54,$C$65&lt;=90%,DATA!$L$55,$C$65&gt;90%,DATA!$L$56),IF(AND(C62="all other shelter models",C63="new construction"),_xlfn.IFS($C$65&lt;=65%,DATA!$K$60,$C$65&lt;=70%,DATA!$K$61,$C$65&lt;=75%,DATA!$K$62,$C$65&lt;=80%,DATA!$K$63,$C$65&lt;=85%,DATA!$K$64,$C$65&lt;=90%,DATA!$K$65,$C$65&gt;90%,DATA!$K$66),IF(AND(C62="all other shelter models",C63="PURCHASE - REFINANCE"),_xlfn.IFS($C$65&lt;=65%,DATA!$L$60,$C$65&lt;=70%,DATA!$L$61,$C$65&lt;=75%,DATA!$L$62,$C$65&lt;=80%,DATA!$L$63,$C$65&lt;=85%,DATA!$L$64,$C$65&lt;=90%,DATA!$L$65,$C$65&gt;90%,DATA!$L$66),""))))</f>
        <v>0.05</v>
      </c>
    </row>
    <row r="68" spans="2:6" ht="14.4">
      <c r="B68" s="663" t="s">
        <v>55</v>
      </c>
      <c r="C68" s="683">
        <f>0.25%*('Proforma Construction'!G50-25)/5</f>
        <v>7.4999999999999997E-3</v>
      </c>
    </row>
    <row r="69" spans="2:6" ht="14.4">
      <c r="B69" s="663" t="s">
        <v>56</v>
      </c>
      <c r="C69" s="683">
        <f>IF(D69="yes",1%,0)</f>
        <v>0</v>
      </c>
      <c r="D69" s="659" t="s">
        <v>57</v>
      </c>
    </row>
    <row r="70" spans="2:6" ht="14.4">
      <c r="B70" s="663" t="s">
        <v>58</v>
      </c>
      <c r="C70" s="683">
        <f>IF(D70="yes",1%,0)</f>
        <v>0</v>
      </c>
      <c r="D70" s="659" t="s">
        <v>57</v>
      </c>
    </row>
    <row r="71" spans="2:6" ht="14.4">
      <c r="B71" s="663" t="s">
        <v>59</v>
      </c>
      <c r="C71" s="683">
        <f>IF(AND(D71="yes",C63="purchase - refinance"),1%,0)</f>
        <v>0</v>
      </c>
      <c r="D71" s="659" t="s">
        <v>57</v>
      </c>
    </row>
    <row r="72" spans="2:6" ht="14.4">
      <c r="B72" s="663" t="s">
        <v>60</v>
      </c>
      <c r="C72" s="682">
        <f>IF(E52&lt;50,0,IF(E52&lt;70,10%,IF(E52&lt;100,20%,30%)))</f>
        <v>0.1</v>
      </c>
    </row>
    <row r="73" spans="2:6" ht="14.4">
      <c r="B73" s="663" t="s">
        <v>61</v>
      </c>
      <c r="C73" s="684">
        <f>(C67+C68+C69+C70+C71)*(1-C72)</f>
        <v>5.1750000000000004E-2</v>
      </c>
    </row>
    <row r="74" spans="2:6" ht="14.4">
      <c r="B74" s="663" t="s">
        <v>196</v>
      </c>
      <c r="C74" s="34">
        <f>IF(C4="NEW CONSTRUCTION",
     MIN( 200*MIN(C14,100) + 100*MAX(C14-100,0), 55000),
     IF(C4="PURCHASE - REFINANCE",
        MIN( 150*MIN(C14,100) + 100*MAX(C14-100,0), 50000),
        ""
     )
)</f>
        <v>27000</v>
      </c>
    </row>
    <row r="75" spans="2:6" ht="14.4">
      <c r="B75" s="663" t="s">
        <v>42</v>
      </c>
      <c r="C75" s="34">
        <f>IF(E52&gt;=100,50,IF(E52&gt;=70,45,40))</f>
        <v>40</v>
      </c>
    </row>
    <row r="77" spans="2:6">
      <c r="B77" s="685" t="s">
        <v>62</v>
      </c>
      <c r="C77" s="686"/>
      <c r="D77" s="687" t="s">
        <v>63</v>
      </c>
      <c r="E77" s="687" t="s">
        <v>64</v>
      </c>
      <c r="F77" s="688"/>
    </row>
    <row r="78" spans="2:6">
      <c r="B78" s="689" t="s">
        <v>65</v>
      </c>
      <c r="C78" s="137"/>
      <c r="D78" s="690">
        <f>VLOOKUP($F$8,DATA!$K$2:$U$16,6,FALSE)</f>
        <v>4.2500000000000003E-2</v>
      </c>
      <c r="E78" s="691">
        <f>IFERROR(F78/C14,"-")</f>
        <v>1469.5500000000002</v>
      </c>
      <c r="F78" s="692">
        <f>D78*'Proforma Construction'!I14</f>
        <v>249823.50000000003</v>
      </c>
    </row>
    <row r="79" spans="2:6">
      <c r="B79" s="129" t="s">
        <v>66</v>
      </c>
      <c r="C79" s="127"/>
      <c r="D79" s="132">
        <f>IFERROR(,"-")</f>
        <v>0</v>
      </c>
      <c r="E79" s="592">
        <f>VLOOKUP($F$8,DATA!$K$2:$U$16,5,FALSE)</f>
        <v>830</v>
      </c>
      <c r="F79" s="602">
        <f>E79*C14</f>
        <v>141100</v>
      </c>
    </row>
    <row r="80" spans="2:6">
      <c r="B80" s="129" t="s">
        <v>67</v>
      </c>
      <c r="C80" s="130"/>
      <c r="D80" s="132">
        <f>IFERROR(F80/'Proforma Construction'!I14,"-")</f>
        <v>0</v>
      </c>
      <c r="E80" s="592">
        <f>VLOOKUP($F$8,DATA!$K$2:$U$16,7,FALSE)</f>
        <v>555</v>
      </c>
      <c r="F80" s="602">
        <f>E80*C52</f>
        <v>0</v>
      </c>
    </row>
    <row r="81" spans="2:6">
      <c r="B81" s="129" t="s">
        <v>68</v>
      </c>
      <c r="C81" s="130"/>
      <c r="D81" s="148">
        <f>VLOOKUP($F$8,DATA!$K$2:$U$16,11,FALSE)</f>
        <v>0.01</v>
      </c>
      <c r="E81" s="133" t="str">
        <f>IFERROR(F81/C95,"-")</f>
        <v>-</v>
      </c>
      <c r="F81" s="602">
        <f>D81*I70</f>
        <v>0</v>
      </c>
    </row>
    <row r="82" spans="2:6">
      <c r="B82" s="129" t="s">
        <v>69</v>
      </c>
      <c r="C82" s="130"/>
      <c r="D82" s="132" t="str">
        <f>IFERROR(F82/+I70,"-")</f>
        <v>-</v>
      </c>
      <c r="E82" s="133">
        <v>300</v>
      </c>
      <c r="F82" s="693">
        <f>E82*C14</f>
        <v>51000</v>
      </c>
    </row>
    <row r="83" spans="2:6">
      <c r="B83" s="129" t="s">
        <v>70</v>
      </c>
      <c r="C83" s="130"/>
      <c r="D83" s="132" t="str">
        <f>IFERROR(F83/I70,"-")</f>
        <v>-</v>
      </c>
      <c r="E83" s="133">
        <f>F83/1</f>
        <v>190</v>
      </c>
      <c r="F83" s="602">
        <v>190</v>
      </c>
    </row>
    <row r="84" spans="2:6">
      <c r="B84" s="694" t="s">
        <v>71</v>
      </c>
      <c r="C84" s="695"/>
      <c r="D84" s="696">
        <f>SUM(F74:F77)</f>
        <v>0</v>
      </c>
      <c r="E84" s="697">
        <v>6863</v>
      </c>
      <c r="F84" s="698">
        <f>SUM(I74:I83)</f>
        <v>0</v>
      </c>
    </row>
  </sheetData>
  <protectedRanges>
    <protectedRange sqref="C4 F4 C8 F8 C35 C46 D69:D71" name="Input CMHC"/>
  </protectedRanges>
  <mergeCells count="8">
    <mergeCell ref="B40:F40"/>
    <mergeCell ref="B48:C48"/>
    <mergeCell ref="B52:D52"/>
    <mergeCell ref="A2:G2"/>
    <mergeCell ref="B6:F6"/>
    <mergeCell ref="B24:C24"/>
    <mergeCell ref="B27:F27"/>
    <mergeCell ref="B37:C37"/>
  </mergeCells>
  <conditionalFormatting sqref="B56:E56">
    <cfRule type="expression" dxfId="1" priority="2">
      <formula>IF(AND($E$52&gt;=50,$E$52&lt;70),TRUE,FALSE)</formula>
    </cfRule>
  </conditionalFormatting>
  <conditionalFormatting sqref="B57:E58">
    <cfRule type="expression" dxfId="0" priority="3">
      <formula>IF(AND($E$52&gt;=70,$E$52&lt;100),TRUE,FALSE)</formula>
    </cfRule>
  </conditionalFormatting>
  <dataValidations count="1">
    <dataValidation type="list" allowBlank="1" showInputMessage="1" showErrorMessage="1" sqref="D69:D71" xr:uid="{00000000-0002-0000-0000-000006000000}">
      <formula1>"Yes, NO"</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DATA!$F$2:$F$3</xm:f>
          </x14:formula1>
          <xm:sqref>C4</xm:sqref>
        </x14:dataValidation>
        <x14:dataValidation type="list" allowBlank="1" showInputMessage="1" showErrorMessage="1" xr:uid="{00000000-0002-0000-0000-000001000000}">
          <x14:formula1>
            <xm:f>DATA!$F$58:$F$62</xm:f>
          </x14:formula1>
          <xm:sqref>F4</xm:sqref>
        </x14:dataValidation>
        <x14:dataValidation type="list" allowBlank="1" showInputMessage="1" showErrorMessage="1" xr:uid="{00000000-0002-0000-0000-000002000000}">
          <x14:formula1>
            <xm:f>DATA!$B$1:$B$82</xm:f>
          </x14:formula1>
          <xm:sqref>C8</xm:sqref>
        </x14:dataValidation>
        <x14:dataValidation type="list" allowBlank="1" showInputMessage="1" showErrorMessage="1" xr:uid="{00000000-0002-0000-0000-000003000000}">
          <x14:formula1>
            <xm:f>DATA!$K$2:$K$16</xm:f>
          </x14:formula1>
          <xm:sqref>F8</xm:sqref>
        </x14:dataValidation>
        <x14:dataValidation type="list" allowBlank="1" showInputMessage="1" showErrorMessage="1" xr:uid="{00000000-0002-0000-0000-000004000000}">
          <x14:formula1>
            <xm:f>DATA!$F$9:$F$11</xm:f>
          </x14:formula1>
          <xm:sqref>C35</xm:sqref>
        </x14:dataValidation>
        <x14:dataValidation type="list" allowBlank="1" showInputMessage="1" showErrorMessage="1" xr:uid="{00000000-0002-0000-0000-000005000000}">
          <x14:formula1>
            <xm:f>DATA!$F$9:$F$12</xm:f>
          </x14:formula1>
          <xm:sqref>C46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95"/>
  <sheetViews>
    <sheetView zoomScale="80" zoomScaleNormal="80" workbookViewId="0">
      <selection activeCell="N16" sqref="N16"/>
    </sheetView>
  </sheetViews>
  <sheetFormatPr defaultColWidth="9.109375" defaultRowHeight="13.2"/>
  <cols>
    <col min="1" max="1" width="16.44140625" style="619" customWidth="1"/>
    <col min="2" max="2" width="24" style="619" customWidth="1"/>
    <col min="3" max="3" width="12.6640625" style="619" customWidth="1"/>
    <col min="4" max="4" width="15.44140625" style="619" customWidth="1"/>
    <col min="5" max="5" width="22" style="619" customWidth="1"/>
    <col min="6" max="6" width="23.44140625" style="619" customWidth="1"/>
    <col min="7" max="7" width="26.109375" style="620" hidden="1" customWidth="1"/>
    <col min="8" max="8" width="25.6640625" style="620" hidden="1" customWidth="1"/>
    <col min="9" max="9" width="25.109375" style="620" hidden="1" customWidth="1"/>
    <col min="10" max="10" width="20.44140625" style="619" customWidth="1"/>
    <col min="11" max="11" width="27.6640625" style="620" hidden="1" customWidth="1"/>
    <col min="12" max="12" width="16.109375" style="619" customWidth="1"/>
    <col min="13" max="13" width="20.44140625" style="619" customWidth="1"/>
    <col min="14" max="14" width="21" style="619" customWidth="1"/>
    <col min="15" max="15" width="19.109375" style="619" customWidth="1"/>
    <col min="16" max="16" width="21.109375" style="619" customWidth="1"/>
    <col min="17" max="17" width="27.109375" style="620" hidden="1" customWidth="1"/>
    <col min="18" max="18" width="18.109375" style="620" hidden="1" customWidth="1"/>
    <col min="19" max="19" width="15.109375" style="620" hidden="1" customWidth="1"/>
    <col min="20" max="20" width="21" style="619" customWidth="1"/>
    <col min="21" max="21" width="23.44140625" style="619" customWidth="1"/>
    <col min="22" max="22" width="23.6640625" style="619" customWidth="1"/>
    <col min="23" max="23" width="12.44140625" style="619" customWidth="1"/>
    <col min="24" max="24" width="14.6640625" style="619" customWidth="1"/>
    <col min="25" max="25" width="11.109375" style="619" customWidth="1"/>
    <col min="26" max="26" width="18.44140625" style="619" customWidth="1"/>
    <col min="27" max="27" width="18" style="619" customWidth="1"/>
    <col min="28" max="28" width="16.109375" style="619" customWidth="1"/>
    <col min="29" max="29" width="12.109375" style="619" customWidth="1"/>
    <col min="30" max="30" width="13.6640625" style="619" customWidth="1"/>
    <col min="31" max="31" width="10.6640625" style="619" customWidth="1"/>
    <col min="32" max="16384" width="9.109375" style="619"/>
  </cols>
  <sheetData>
    <row r="1" spans="1:31" customFormat="1" ht="14.4">
      <c r="A1" s="720" t="s">
        <v>72</v>
      </c>
      <c r="B1" s="721"/>
      <c r="C1" s="721"/>
      <c r="D1" s="721"/>
      <c r="E1" s="721"/>
      <c r="F1" s="721"/>
      <c r="G1" s="721"/>
      <c r="H1" s="721"/>
      <c r="I1" s="721"/>
      <c r="J1" s="722"/>
      <c r="K1" s="627"/>
      <c r="L1" s="723" t="s">
        <v>73</v>
      </c>
      <c r="M1" s="724"/>
      <c r="N1" s="724"/>
      <c r="O1" s="724"/>
      <c r="P1" s="725"/>
      <c r="Q1" s="627"/>
      <c r="R1" s="627"/>
      <c r="S1" s="627"/>
      <c r="T1" s="726" t="s">
        <v>74</v>
      </c>
      <c r="U1" s="727"/>
      <c r="V1" s="727"/>
      <c r="W1" s="727"/>
      <c r="X1" s="727"/>
      <c r="Y1" s="727"/>
      <c r="Z1" s="727"/>
      <c r="AA1" s="727"/>
      <c r="AB1" s="727"/>
      <c r="AC1" s="727"/>
      <c r="AD1" s="727"/>
      <c r="AE1" s="728"/>
    </row>
    <row r="2" spans="1:31" customFormat="1">
      <c r="A2" s="651" t="s">
        <v>75</v>
      </c>
      <c r="B2" s="651" t="s">
        <v>76</v>
      </c>
      <c r="C2" s="651" t="s">
        <v>77</v>
      </c>
      <c r="D2" s="651" t="s">
        <v>78</v>
      </c>
      <c r="E2" s="651" t="s">
        <v>79</v>
      </c>
      <c r="F2" s="651" t="s">
        <v>80</v>
      </c>
      <c r="G2" s="651" t="s">
        <v>81</v>
      </c>
      <c r="H2" s="651" t="s">
        <v>82</v>
      </c>
      <c r="I2" s="651" t="s">
        <v>83</v>
      </c>
      <c r="J2" s="651" t="s">
        <v>84</v>
      </c>
      <c r="K2" t="s">
        <v>85</v>
      </c>
      <c r="L2" s="652" t="s">
        <v>86</v>
      </c>
      <c r="M2" s="652" t="s">
        <v>87</v>
      </c>
      <c r="N2" s="652" t="s">
        <v>88</v>
      </c>
      <c r="O2" s="652" t="s">
        <v>89</v>
      </c>
      <c r="P2" s="652" t="s">
        <v>90</v>
      </c>
      <c r="Q2" t="s">
        <v>91</v>
      </c>
      <c r="R2" t="s">
        <v>92</v>
      </c>
      <c r="S2" t="s">
        <v>93</v>
      </c>
      <c r="T2" s="653" t="s">
        <v>94</v>
      </c>
      <c r="U2" s="653" t="s">
        <v>95</v>
      </c>
      <c r="V2" s="653" t="s">
        <v>96</v>
      </c>
      <c r="W2" s="653" t="s">
        <v>97</v>
      </c>
      <c r="X2" s="653" t="s">
        <v>98</v>
      </c>
      <c r="Y2" s="653" t="s">
        <v>99</v>
      </c>
      <c r="Z2" s="653" t="s">
        <v>100</v>
      </c>
      <c r="AA2" s="653" t="s">
        <v>101</v>
      </c>
      <c r="AB2" s="653" t="s">
        <v>102</v>
      </c>
      <c r="AC2" s="653" t="s">
        <v>103</v>
      </c>
      <c r="AD2" s="653" t="s">
        <v>104</v>
      </c>
      <c r="AE2" s="653" t="s">
        <v>105</v>
      </c>
    </row>
    <row r="3" spans="1:31">
      <c r="A3" t="str">
        <f>IF(Table10[[#This Row],[Unit Type]]=0,"",Table10[[#This Row],[Unit Type]])</f>
        <v>1 Bedroom</v>
      </c>
      <c r="B3" t="str">
        <f>IF(Table10[[#This Row],[Residential Stream Source]]=0,"",Table10[[#This Row],[Residential Stream Source]])</f>
        <v/>
      </c>
      <c r="C3" t="str">
        <f>IF(Table10[[#This Row],[Basement?]]=0,"",Table10[[#This Row],[Basement?]])</f>
        <v/>
      </c>
      <c r="D3">
        <f>IF(Table10[[#This Row],[Unit '#]]=0,"",Table10[[#This Row],[Unit '#]])</f>
        <v>1</v>
      </c>
      <c r="E3" t="str">
        <f>IF(Table10[[#This Row],[Vacant?]]=0,"",Table10[[#This Row],[Vacant?]])</f>
        <v>Yes</v>
      </c>
      <c r="F3">
        <f>IF(Table10[[#This Row],[Rental Rate ($/mth)]]=0,"",Table10[[#This Row],[Rental Rate ($/mth)]])</f>
        <v>2490</v>
      </c>
      <c r="G3"/>
      <c r="H3"/>
      <c r="I3"/>
      <c r="J3">
        <f>IF(Table10[[#This Row],[Unit Size (sq ft)]]=0,"",Table10[[#This Row],[Unit Size (sq ft)]])</f>
        <v>624</v>
      </c>
      <c r="K3"/>
      <c r="L3" t="str">
        <f>Table10[[#This Row],[Market Unit]]</f>
        <v>Yes</v>
      </c>
      <c r="M3" t="str">
        <f>Table10[[#This Row],[Affordable Unit]]</f>
        <v>No</v>
      </c>
      <c r="N3" t="str">
        <f>IF(Table10[[#This Row],[Subsidized Unit]]=0,"",Table10[[#This Row],[Subsidized Unit]])</f>
        <v/>
      </c>
      <c r="O3" t="str">
        <f>IF(Table10[[#This Row],[Care Services]]=0,"",Table10[[#This Row],[Care Services]])</f>
        <v/>
      </c>
      <c r="P3" t="str">
        <f>IF(Table10[[#This Row],[Affordable Care]]=0,"",Table10[[#This Row],[Affordable Care]])</f>
        <v/>
      </c>
      <c r="Q3"/>
      <c r="R3"/>
      <c r="S3"/>
      <c r="T3" t="str">
        <f>IF(Table10[[#This Row],[Bulk Lease Unit]]=0,"",Table10[[#This Row],[Bulk Lease Unit]])</f>
        <v/>
      </c>
      <c r="U3" t="str">
        <f>IF(Table10[[#This Row],[Den Included Unit]]=0,"",Table10[[#This Row],[Den Included Unit]])</f>
        <v/>
      </c>
      <c r="V3" t="str">
        <f>IF(Table10[[#This Row],[Second Bathroom]]=0,"",Table10[[#This Row],[Second Bathroom]])</f>
        <v/>
      </c>
      <c r="W3" t="str">
        <f>IF(Table10[[#This Row],[Heating]]=0,"",Table10[[#This Row],[Heating]])</f>
        <v/>
      </c>
      <c r="X3" t="str">
        <f>IF(Table10[[#This Row],[Electricity]]=0,"",Table10[[#This Row],[Electricity]])</f>
        <v/>
      </c>
      <c r="Y3" t="str">
        <f>IF(Table10[[#This Row],[Water]]=0,"",Table10[[#This Row],[Water]])</f>
        <v/>
      </c>
      <c r="Z3" t="str">
        <f>IF(Table10[[#This Row],[Washer/Dryer]]=0,"",Table10[[#This Row],[Washer/Dryer]])</f>
        <v/>
      </c>
      <c r="AA3" t="str">
        <f>IF(Table10[[#This Row],[Stove/Fridge]]=0,"",Table10[[#This Row],[Stove/Fridge]])</f>
        <v/>
      </c>
      <c r="AB3" t="str">
        <f>IF(Table10[[#This Row],[Dishwasher]]=0,"",Table10[[#This Row],[Dishwasher]])</f>
        <v/>
      </c>
      <c r="AC3" t="str">
        <f>IF(Table10[[#This Row],[Parking]]=0,"",Table10[[#This Row],[Parking]])</f>
        <v/>
      </c>
      <c r="AD3" t="str">
        <f>IF(Table10[[#This Row],[Furniture]]=0,"",Table10[[#This Row],[Furniture]])</f>
        <v>No</v>
      </c>
      <c r="AE3" t="str">
        <f>IF(Table10[[#This Row],[Other]]=0,"",Table10[[#This Row],[Other]])</f>
        <v/>
      </c>
    </row>
    <row r="4" spans="1:31">
      <c r="A4" t="str">
        <f>IF(Table10[[#This Row],[Unit Type]]=0,"",Table10[[#This Row],[Unit Type]])</f>
        <v>1 Bedroom</v>
      </c>
      <c r="B4" t="str">
        <f>IF(Table10[[#This Row],[Residential Stream Source]]=0,"",Table10[[#This Row],[Residential Stream Source]])</f>
        <v/>
      </c>
      <c r="C4" t="str">
        <f>IF(Table10[[#This Row],[Basement?]]=0,"",Table10[[#This Row],[Basement?]])</f>
        <v/>
      </c>
      <c r="D4">
        <f>IF(Table10[[#This Row],[Unit '#]]=0,"",Table10[[#This Row],[Unit '#]])</f>
        <v>2</v>
      </c>
      <c r="E4" t="str">
        <f>IF(Table10[[#This Row],[Vacant?]]=0,"",Table10[[#This Row],[Vacant?]])</f>
        <v>Yes</v>
      </c>
      <c r="F4">
        <f>IF(Table10[[#This Row],[Rental Rate ($/mth)]]=0,"",Table10[[#This Row],[Rental Rate ($/mth)]])</f>
        <v>2490</v>
      </c>
      <c r="G4"/>
      <c r="H4"/>
      <c r="I4"/>
      <c r="J4">
        <f>IF(Table10[[#This Row],[Unit Size (sq ft)]]=0,"",Table10[[#This Row],[Unit Size (sq ft)]])</f>
        <v>624</v>
      </c>
      <c r="K4"/>
      <c r="L4" t="str">
        <f>Table10[[#This Row],[Market Unit]]</f>
        <v>Yes</v>
      </c>
      <c r="M4" t="str">
        <f>Table10[[#This Row],[Affordable Unit]]</f>
        <v>No</v>
      </c>
      <c r="N4" t="str">
        <f>IF(Table10[[#This Row],[Subsidized Unit]]=0,"",Table10[[#This Row],[Subsidized Unit]])</f>
        <v/>
      </c>
      <c r="O4" t="str">
        <f>IF(Table10[[#This Row],[Care Services]]=0,"",Table10[[#This Row],[Care Services]])</f>
        <v/>
      </c>
      <c r="P4" t="str">
        <f>IF(Table10[[#This Row],[Affordable Care]]=0,"",Table10[[#This Row],[Affordable Care]])</f>
        <v/>
      </c>
      <c r="Q4"/>
      <c r="R4"/>
      <c r="S4"/>
      <c r="T4" t="str">
        <f>IF(Table10[[#This Row],[Bulk Lease Unit]]=0,"",Table10[[#This Row],[Bulk Lease Unit]])</f>
        <v/>
      </c>
      <c r="U4" t="str">
        <f>IF(Table10[[#This Row],[Den Included Unit]]=0,"",Table10[[#This Row],[Den Included Unit]])</f>
        <v/>
      </c>
      <c r="V4" t="str">
        <f>IF(Table10[[#This Row],[Second Bathroom]]=0,"",Table10[[#This Row],[Second Bathroom]])</f>
        <v/>
      </c>
      <c r="W4" t="str">
        <f>IF(Table10[[#This Row],[Heating]]=0,"",Table10[[#This Row],[Heating]])</f>
        <v/>
      </c>
      <c r="X4" t="str">
        <f>IF(Table10[[#This Row],[Electricity]]=0,"",Table10[[#This Row],[Electricity]])</f>
        <v/>
      </c>
      <c r="Y4" t="str">
        <f>IF(Table10[[#This Row],[Water]]=0,"",Table10[[#This Row],[Water]])</f>
        <v/>
      </c>
      <c r="Z4" t="str">
        <f>IF(Table10[[#This Row],[Washer/Dryer]]=0,"",Table10[[#This Row],[Washer/Dryer]])</f>
        <v/>
      </c>
      <c r="AA4" t="str">
        <f>IF(Table10[[#This Row],[Stove/Fridge]]=0,"",Table10[[#This Row],[Stove/Fridge]])</f>
        <v/>
      </c>
      <c r="AB4" t="str">
        <f>IF(Table10[[#This Row],[Dishwasher]]=0,"",Table10[[#This Row],[Dishwasher]])</f>
        <v/>
      </c>
      <c r="AC4" t="str">
        <f>IF(Table10[[#This Row],[Parking]]=0,"",Table10[[#This Row],[Parking]])</f>
        <v/>
      </c>
      <c r="AD4" t="str">
        <f>IF(Table10[[#This Row],[Furniture]]=0,"",Table10[[#This Row],[Furniture]])</f>
        <v/>
      </c>
      <c r="AE4" t="str">
        <f>IF(Table10[[#This Row],[Other]]=0,"",Table10[[#This Row],[Other]])</f>
        <v/>
      </c>
    </row>
    <row r="5" spans="1:31">
      <c r="A5" t="str">
        <f>IF(Table10[[#This Row],[Unit Type]]=0,"",Table10[[#This Row],[Unit Type]])</f>
        <v>1 Bedroom</v>
      </c>
      <c r="B5" t="str">
        <f>IF(Table10[[#This Row],[Residential Stream Source]]=0,"",Table10[[#This Row],[Residential Stream Source]])</f>
        <v/>
      </c>
      <c r="C5" t="str">
        <f>IF(Table10[[#This Row],[Basement?]]=0,"",Table10[[#This Row],[Basement?]])</f>
        <v/>
      </c>
      <c r="D5">
        <f>IF(Table10[[#This Row],[Unit '#]]=0,"",Table10[[#This Row],[Unit '#]])</f>
        <v>3</v>
      </c>
      <c r="E5" t="str">
        <f>IF(Table10[[#This Row],[Vacant?]]=0,"",Table10[[#This Row],[Vacant?]])</f>
        <v>Yes</v>
      </c>
      <c r="F5">
        <f>IF(Table10[[#This Row],[Rental Rate ($/mth)]]=0,"",Table10[[#This Row],[Rental Rate ($/mth)]])</f>
        <v>2490</v>
      </c>
      <c r="G5"/>
      <c r="H5"/>
      <c r="I5"/>
      <c r="J5">
        <f>IF(Table10[[#This Row],[Unit Size (sq ft)]]=0,"",Table10[[#This Row],[Unit Size (sq ft)]])</f>
        <v>624</v>
      </c>
      <c r="K5"/>
      <c r="L5" t="str">
        <f>Table10[[#This Row],[Market Unit]]</f>
        <v>Yes</v>
      </c>
      <c r="M5" t="str">
        <f>Table10[[#This Row],[Affordable Unit]]</f>
        <v>No</v>
      </c>
      <c r="N5" t="str">
        <f>IF(Table10[[#This Row],[Subsidized Unit]]=0,"",Table10[[#This Row],[Subsidized Unit]])</f>
        <v/>
      </c>
      <c r="O5" t="str">
        <f>IF(Table10[[#This Row],[Care Services]]=0,"",Table10[[#This Row],[Care Services]])</f>
        <v/>
      </c>
      <c r="P5" t="str">
        <f>IF(Table10[[#This Row],[Affordable Care]]=0,"",Table10[[#This Row],[Affordable Care]])</f>
        <v/>
      </c>
      <c r="Q5"/>
      <c r="R5"/>
      <c r="S5"/>
      <c r="T5" t="str">
        <f>IF(Table10[[#This Row],[Bulk Lease Unit]]=0,"",Table10[[#This Row],[Bulk Lease Unit]])</f>
        <v/>
      </c>
      <c r="U5" t="str">
        <f>IF(Table10[[#This Row],[Den Included Unit]]=0,"",Table10[[#This Row],[Den Included Unit]])</f>
        <v/>
      </c>
      <c r="V5" t="str">
        <f>IF(Table10[[#This Row],[Second Bathroom]]=0,"",Table10[[#This Row],[Second Bathroom]])</f>
        <v/>
      </c>
      <c r="W5" t="str">
        <f>IF(Table10[[#This Row],[Heating]]=0,"",Table10[[#This Row],[Heating]])</f>
        <v/>
      </c>
      <c r="X5" t="str">
        <f>IF(Table10[[#This Row],[Electricity]]=0,"",Table10[[#This Row],[Electricity]])</f>
        <v/>
      </c>
      <c r="Y5" t="str">
        <f>IF(Table10[[#This Row],[Water]]=0,"",Table10[[#This Row],[Water]])</f>
        <v/>
      </c>
      <c r="Z5" t="str">
        <f>IF(Table10[[#This Row],[Washer/Dryer]]=0,"",Table10[[#This Row],[Washer/Dryer]])</f>
        <v/>
      </c>
      <c r="AA5" t="str">
        <f>IF(Table10[[#This Row],[Stove/Fridge]]=0,"",Table10[[#This Row],[Stove/Fridge]])</f>
        <v/>
      </c>
      <c r="AB5" t="str">
        <f>IF(Table10[[#This Row],[Dishwasher]]=0,"",Table10[[#This Row],[Dishwasher]])</f>
        <v/>
      </c>
      <c r="AC5" t="str">
        <f>IF(Table10[[#This Row],[Parking]]=0,"",Table10[[#This Row],[Parking]])</f>
        <v/>
      </c>
      <c r="AD5" t="str">
        <f>IF(Table10[[#This Row],[Furniture]]=0,"",Table10[[#This Row],[Furniture]])</f>
        <v/>
      </c>
      <c r="AE5" t="str">
        <f>IF(Table10[[#This Row],[Other]]=0,"",Table10[[#This Row],[Other]])</f>
        <v/>
      </c>
    </row>
    <row r="6" spans="1:31">
      <c r="A6" t="str">
        <f>IF(Table10[[#This Row],[Unit Type]]=0,"",Table10[[#This Row],[Unit Type]])</f>
        <v>1 Bedroom</v>
      </c>
      <c r="B6" t="str">
        <f>IF(Table10[[#This Row],[Residential Stream Source]]=0,"",Table10[[#This Row],[Residential Stream Source]])</f>
        <v/>
      </c>
      <c r="C6" t="str">
        <f>IF(Table10[[#This Row],[Basement?]]=0,"",Table10[[#This Row],[Basement?]])</f>
        <v/>
      </c>
      <c r="D6">
        <f>IF(Table10[[#This Row],[Unit '#]]=0,"",Table10[[#This Row],[Unit '#]])</f>
        <v>4</v>
      </c>
      <c r="E6" t="str">
        <f>IF(Table10[[#This Row],[Vacant?]]=0,"",Table10[[#This Row],[Vacant?]])</f>
        <v>Yes</v>
      </c>
      <c r="F6">
        <f>IF(Table10[[#This Row],[Rental Rate ($/mth)]]=0,"",Table10[[#This Row],[Rental Rate ($/mth)]])</f>
        <v>2490</v>
      </c>
      <c r="G6"/>
      <c r="H6"/>
      <c r="I6"/>
      <c r="J6">
        <f>IF(Table10[[#This Row],[Unit Size (sq ft)]]=0,"",Table10[[#This Row],[Unit Size (sq ft)]])</f>
        <v>624</v>
      </c>
      <c r="K6"/>
      <c r="L6" t="str">
        <f>Table10[[#This Row],[Market Unit]]</f>
        <v>Yes</v>
      </c>
      <c r="M6" t="str">
        <f>Table10[[#This Row],[Affordable Unit]]</f>
        <v>No</v>
      </c>
      <c r="N6" t="str">
        <f>IF(Table10[[#This Row],[Subsidized Unit]]=0,"",Table10[[#This Row],[Subsidized Unit]])</f>
        <v/>
      </c>
      <c r="O6" t="str">
        <f>IF(Table10[[#This Row],[Care Services]]=0,"",Table10[[#This Row],[Care Services]])</f>
        <v/>
      </c>
      <c r="P6" t="str">
        <f>IF(Table10[[#This Row],[Affordable Care]]=0,"",Table10[[#This Row],[Affordable Care]])</f>
        <v/>
      </c>
      <c r="Q6"/>
      <c r="R6"/>
      <c r="S6"/>
      <c r="T6" t="str">
        <f>IF(Table10[[#This Row],[Bulk Lease Unit]]=0,"",Table10[[#This Row],[Bulk Lease Unit]])</f>
        <v/>
      </c>
      <c r="U6" t="str">
        <f>IF(Table10[[#This Row],[Den Included Unit]]=0,"",Table10[[#This Row],[Den Included Unit]])</f>
        <v/>
      </c>
      <c r="V6" t="str">
        <f>IF(Table10[[#This Row],[Second Bathroom]]=0,"",Table10[[#This Row],[Second Bathroom]])</f>
        <v/>
      </c>
      <c r="W6" t="str">
        <f>IF(Table10[[#This Row],[Heating]]=0,"",Table10[[#This Row],[Heating]])</f>
        <v/>
      </c>
      <c r="X6" t="str">
        <f>IF(Table10[[#This Row],[Electricity]]=0,"",Table10[[#This Row],[Electricity]])</f>
        <v/>
      </c>
      <c r="Y6" t="str">
        <f>IF(Table10[[#This Row],[Water]]=0,"",Table10[[#This Row],[Water]])</f>
        <v/>
      </c>
      <c r="Z6" t="str">
        <f>IF(Table10[[#This Row],[Washer/Dryer]]=0,"",Table10[[#This Row],[Washer/Dryer]])</f>
        <v/>
      </c>
      <c r="AA6" t="str">
        <f>IF(Table10[[#This Row],[Stove/Fridge]]=0,"",Table10[[#This Row],[Stove/Fridge]])</f>
        <v/>
      </c>
      <c r="AB6" t="str">
        <f>IF(Table10[[#This Row],[Dishwasher]]=0,"",Table10[[#This Row],[Dishwasher]])</f>
        <v/>
      </c>
      <c r="AC6" t="str">
        <f>IF(Table10[[#This Row],[Parking]]=0,"",Table10[[#This Row],[Parking]])</f>
        <v/>
      </c>
      <c r="AD6" t="str">
        <f>IF(Table10[[#This Row],[Furniture]]=0,"",Table10[[#This Row],[Furniture]])</f>
        <v/>
      </c>
      <c r="AE6" t="str">
        <f>IF(Table10[[#This Row],[Other]]=0,"",Table10[[#This Row],[Other]])</f>
        <v/>
      </c>
    </row>
    <row r="7" spans="1:31">
      <c r="A7" t="str">
        <f>IF(Table10[[#This Row],[Unit Type]]=0,"",Table10[[#This Row],[Unit Type]])</f>
        <v>1 Bedroom</v>
      </c>
      <c r="B7" t="str">
        <f>IF(Table10[[#This Row],[Residential Stream Source]]=0,"",Table10[[#This Row],[Residential Stream Source]])</f>
        <v/>
      </c>
      <c r="C7" t="str">
        <f>IF(Table10[[#This Row],[Basement?]]=0,"",Table10[[#This Row],[Basement?]])</f>
        <v/>
      </c>
      <c r="D7">
        <f>IF(Table10[[#This Row],[Unit '#]]=0,"",Table10[[#This Row],[Unit '#]])</f>
        <v>5</v>
      </c>
      <c r="E7" t="str">
        <f>IF(Table10[[#This Row],[Vacant?]]=0,"",Table10[[#This Row],[Vacant?]])</f>
        <v>Yes</v>
      </c>
      <c r="F7">
        <f>IF(Table10[[#This Row],[Rental Rate ($/mth)]]=0,"",Table10[[#This Row],[Rental Rate ($/mth)]])</f>
        <v>2490</v>
      </c>
      <c r="G7"/>
      <c r="H7"/>
      <c r="I7"/>
      <c r="J7">
        <f>IF(Table10[[#This Row],[Unit Size (sq ft)]]=0,"",Table10[[#This Row],[Unit Size (sq ft)]])</f>
        <v>624</v>
      </c>
      <c r="K7"/>
      <c r="L7" t="str">
        <f>Table10[[#This Row],[Market Unit]]</f>
        <v>Yes</v>
      </c>
      <c r="M7" t="str">
        <f>Table10[[#This Row],[Affordable Unit]]</f>
        <v>No</v>
      </c>
      <c r="N7" t="str">
        <f>IF(Table10[[#This Row],[Subsidized Unit]]=0,"",Table10[[#This Row],[Subsidized Unit]])</f>
        <v/>
      </c>
      <c r="O7" t="str">
        <f>IF(Table10[[#This Row],[Care Services]]=0,"",Table10[[#This Row],[Care Services]])</f>
        <v/>
      </c>
      <c r="P7" t="str">
        <f>IF(Table10[[#This Row],[Affordable Care]]=0,"",Table10[[#This Row],[Affordable Care]])</f>
        <v/>
      </c>
      <c r="Q7"/>
      <c r="R7"/>
      <c r="S7"/>
      <c r="T7" t="str">
        <f>IF(Table10[[#This Row],[Bulk Lease Unit]]=0,"",Table10[[#This Row],[Bulk Lease Unit]])</f>
        <v/>
      </c>
      <c r="U7" t="str">
        <f>IF(Table10[[#This Row],[Den Included Unit]]=0,"",Table10[[#This Row],[Den Included Unit]])</f>
        <v/>
      </c>
      <c r="V7" t="str">
        <f>IF(Table10[[#This Row],[Second Bathroom]]=0,"",Table10[[#This Row],[Second Bathroom]])</f>
        <v/>
      </c>
      <c r="W7" t="str">
        <f>IF(Table10[[#This Row],[Heating]]=0,"",Table10[[#This Row],[Heating]])</f>
        <v/>
      </c>
      <c r="X7" t="str">
        <f>IF(Table10[[#This Row],[Electricity]]=0,"",Table10[[#This Row],[Electricity]])</f>
        <v/>
      </c>
      <c r="Y7" t="str">
        <f>IF(Table10[[#This Row],[Water]]=0,"",Table10[[#This Row],[Water]])</f>
        <v/>
      </c>
      <c r="Z7" t="str">
        <f>IF(Table10[[#This Row],[Washer/Dryer]]=0,"",Table10[[#This Row],[Washer/Dryer]])</f>
        <v/>
      </c>
      <c r="AA7" t="str">
        <f>IF(Table10[[#This Row],[Stove/Fridge]]=0,"",Table10[[#This Row],[Stove/Fridge]])</f>
        <v/>
      </c>
      <c r="AB7" t="str">
        <f>IF(Table10[[#This Row],[Dishwasher]]=0,"",Table10[[#This Row],[Dishwasher]])</f>
        <v/>
      </c>
      <c r="AC7" t="str">
        <f>IF(Table10[[#This Row],[Parking]]=0,"",Table10[[#This Row],[Parking]])</f>
        <v/>
      </c>
      <c r="AD7" t="str">
        <f>IF(Table10[[#This Row],[Furniture]]=0,"",Table10[[#This Row],[Furniture]])</f>
        <v/>
      </c>
      <c r="AE7" t="str">
        <f>IF(Table10[[#This Row],[Other]]=0,"",Table10[[#This Row],[Other]])</f>
        <v/>
      </c>
    </row>
    <row r="8" spans="1:31">
      <c r="A8" t="str">
        <f>IF(Table10[[#This Row],[Unit Type]]=0,"",Table10[[#This Row],[Unit Type]])</f>
        <v>1 Bedroom</v>
      </c>
      <c r="B8"/>
      <c r="C8"/>
      <c r="D8">
        <f>IF(Table10[[#This Row],[Unit '#]]=0,"",Table10[[#This Row],[Unit '#]])</f>
        <v>6</v>
      </c>
      <c r="E8"/>
      <c r="F8">
        <f>IF(Table10[[#This Row],[Rental Rate ($/mth)]]=0,"",Table10[[#This Row],[Rental Rate ($/mth)]])</f>
        <v>2490</v>
      </c>
      <c r="G8"/>
      <c r="H8"/>
      <c r="I8"/>
      <c r="J8">
        <f>IF(Table10[[#This Row],[Unit Size (sq ft)]]=0,"",Table10[[#This Row],[Unit Size (sq ft)]])</f>
        <v>624</v>
      </c>
      <c r="K8"/>
      <c r="L8" t="str">
        <f>Table10[[#This Row],[Market Unit]]</f>
        <v>Yes</v>
      </c>
      <c r="M8" t="str">
        <f>Table10[[#This Row],[Affordable Unit]]</f>
        <v>No</v>
      </c>
      <c r="N8" t="str">
        <f>IF(Table10[[#This Row],[Subsidized Unit]]=0,"",Table10[[#This Row],[Subsidized Unit]])</f>
        <v/>
      </c>
      <c r="O8" t="str">
        <f>IF(Table10[[#This Row],[Care Services]]=0,"",Table10[[#This Row],[Care Services]])</f>
        <v/>
      </c>
      <c r="P8" t="str">
        <f>IF(Table10[[#This Row],[Affordable Care]]=0,"",Table10[[#This Row],[Affordable Care]])</f>
        <v/>
      </c>
      <c r="Q8"/>
      <c r="R8"/>
      <c r="S8"/>
      <c r="T8" t="str">
        <f>IF(Table10[[#This Row],[Bulk Lease Unit]]=0,"",Table10[[#This Row],[Bulk Lease Unit]])</f>
        <v/>
      </c>
      <c r="U8" t="str">
        <f>IF(Table10[[#This Row],[Den Included Unit]]=0,"",Table10[[#This Row],[Den Included Unit]])</f>
        <v/>
      </c>
      <c r="V8" t="str">
        <f>IF(Table10[[#This Row],[Second Bathroom]]=0,"",Table10[[#This Row],[Second Bathroom]])</f>
        <v/>
      </c>
      <c r="W8" t="str">
        <f>IF(Table10[[#This Row],[Heating]]=0,"",Table10[[#This Row],[Heating]])</f>
        <v/>
      </c>
      <c r="X8" t="str">
        <f>IF(Table10[[#This Row],[Electricity]]=0,"",Table10[[#This Row],[Electricity]])</f>
        <v/>
      </c>
      <c r="Y8" t="str">
        <f>IF(Table10[[#This Row],[Water]]=0,"",Table10[[#This Row],[Water]])</f>
        <v/>
      </c>
      <c r="Z8" t="str">
        <f>IF(Table10[[#This Row],[Washer/Dryer]]=0,"",Table10[[#This Row],[Washer/Dryer]])</f>
        <v/>
      </c>
      <c r="AA8" t="str">
        <f>IF(Table10[[#This Row],[Stove/Fridge]]=0,"",Table10[[#This Row],[Stove/Fridge]])</f>
        <v/>
      </c>
      <c r="AB8" t="str">
        <f>IF(Table10[[#This Row],[Dishwasher]]=0,"",Table10[[#This Row],[Dishwasher]])</f>
        <v/>
      </c>
      <c r="AC8" t="str">
        <f>IF(Table10[[#This Row],[Parking]]=0,"",Table10[[#This Row],[Parking]])</f>
        <v/>
      </c>
      <c r="AD8" t="str">
        <f>IF(Table10[[#This Row],[Furniture]]=0,"",Table10[[#This Row],[Furniture]])</f>
        <v/>
      </c>
      <c r="AE8" t="str">
        <f>IF(Table10[[#This Row],[Other]]=0,"",Table10[[#This Row],[Other]])</f>
        <v/>
      </c>
    </row>
    <row r="9" spans="1:31">
      <c r="A9" t="str">
        <f>IF(Table10[[#This Row],[Unit Type]]=0,"",Table10[[#This Row],[Unit Type]])</f>
        <v>1 Bedroom</v>
      </c>
      <c r="B9"/>
      <c r="C9"/>
      <c r="D9">
        <f>IF(Table10[[#This Row],[Unit '#]]=0,"",Table10[[#This Row],[Unit '#]])</f>
        <v>7</v>
      </c>
      <c r="E9"/>
      <c r="F9">
        <f>IF(Table10[[#This Row],[Rental Rate ($/mth)]]=0,"",Table10[[#This Row],[Rental Rate ($/mth)]])</f>
        <v>2490</v>
      </c>
      <c r="G9"/>
      <c r="H9"/>
      <c r="I9"/>
      <c r="J9">
        <f>IF(Table10[[#This Row],[Unit Size (sq ft)]]=0,"",Table10[[#This Row],[Unit Size (sq ft)]])</f>
        <v>624</v>
      </c>
      <c r="K9"/>
      <c r="L9" t="str">
        <f>Table10[[#This Row],[Market Unit]]</f>
        <v>Yes</v>
      </c>
      <c r="M9" t="str">
        <f>Table10[[#This Row],[Affordable Unit]]</f>
        <v>No</v>
      </c>
      <c r="N9" t="str">
        <f>IF(Table10[[#This Row],[Subsidized Unit]]=0,"",Table10[[#This Row],[Subsidized Unit]])</f>
        <v/>
      </c>
      <c r="O9" t="str">
        <f>IF(Table10[[#This Row],[Care Services]]=0,"",Table10[[#This Row],[Care Services]])</f>
        <v/>
      </c>
      <c r="P9" t="str">
        <f>IF(Table10[[#This Row],[Affordable Care]]=0,"",Table10[[#This Row],[Affordable Care]])</f>
        <v/>
      </c>
      <c r="Q9"/>
      <c r="R9"/>
      <c r="S9"/>
      <c r="T9" t="str">
        <f>IF(Table10[[#This Row],[Bulk Lease Unit]]=0,"",Table10[[#This Row],[Bulk Lease Unit]])</f>
        <v/>
      </c>
      <c r="U9" t="str">
        <f>IF(Table10[[#This Row],[Den Included Unit]]=0,"",Table10[[#This Row],[Den Included Unit]])</f>
        <v/>
      </c>
      <c r="V9" t="str">
        <f>IF(Table10[[#This Row],[Second Bathroom]]=0,"",Table10[[#This Row],[Second Bathroom]])</f>
        <v/>
      </c>
      <c r="W9" t="str">
        <f>IF(Table10[[#This Row],[Heating]]=0,"",Table10[[#This Row],[Heating]])</f>
        <v/>
      </c>
      <c r="X9" t="str">
        <f>IF(Table10[[#This Row],[Electricity]]=0,"",Table10[[#This Row],[Electricity]])</f>
        <v/>
      </c>
      <c r="Y9" t="str">
        <f>IF(Table10[[#This Row],[Water]]=0,"",Table10[[#This Row],[Water]])</f>
        <v/>
      </c>
      <c r="Z9" t="str">
        <f>IF(Table10[[#This Row],[Washer/Dryer]]=0,"",Table10[[#This Row],[Washer/Dryer]])</f>
        <v/>
      </c>
      <c r="AA9" t="str">
        <f>IF(Table10[[#This Row],[Stove/Fridge]]=0,"",Table10[[#This Row],[Stove/Fridge]])</f>
        <v/>
      </c>
      <c r="AB9" t="str">
        <f>IF(Table10[[#This Row],[Dishwasher]]=0,"",Table10[[#This Row],[Dishwasher]])</f>
        <v/>
      </c>
      <c r="AC9" t="str">
        <f>IF(Table10[[#This Row],[Parking]]=0,"",Table10[[#This Row],[Parking]])</f>
        <v/>
      </c>
      <c r="AD9" t="str">
        <f>IF(Table10[[#This Row],[Furniture]]=0,"",Table10[[#This Row],[Furniture]])</f>
        <v/>
      </c>
      <c r="AE9" t="str">
        <f>IF(Table10[[#This Row],[Other]]=0,"",Table10[[#This Row],[Other]])</f>
        <v/>
      </c>
    </row>
    <row r="10" spans="1:31">
      <c r="A10" t="str">
        <f>IF(Table10[[#This Row],[Unit Type]]=0,"",Table10[[#This Row],[Unit Type]])</f>
        <v>1 Bedroom</v>
      </c>
      <c r="B10"/>
      <c r="C10"/>
      <c r="D10">
        <f>IF(Table10[[#This Row],[Unit '#]]=0,"",Table10[[#This Row],[Unit '#]])</f>
        <v>8</v>
      </c>
      <c r="E10"/>
      <c r="F10">
        <f>IF(Table10[[#This Row],[Rental Rate ($/mth)]]=0,"",Table10[[#This Row],[Rental Rate ($/mth)]])</f>
        <v>2490</v>
      </c>
      <c r="G10"/>
      <c r="H10"/>
      <c r="I10"/>
      <c r="J10">
        <f>IF(Table10[[#This Row],[Unit Size (sq ft)]]=0,"",Table10[[#This Row],[Unit Size (sq ft)]])</f>
        <v>624</v>
      </c>
      <c r="K10"/>
      <c r="L10" t="str">
        <f>Table10[[#This Row],[Market Unit]]</f>
        <v>Yes</v>
      </c>
      <c r="M10" t="str">
        <f>Table10[[#This Row],[Affordable Unit]]</f>
        <v>No</v>
      </c>
      <c r="N10" t="str">
        <f>IF(Table10[[#This Row],[Subsidized Unit]]=0,"",Table10[[#This Row],[Subsidized Unit]])</f>
        <v/>
      </c>
      <c r="O10" t="str">
        <f>IF(Table10[[#This Row],[Care Services]]=0,"",Table10[[#This Row],[Care Services]])</f>
        <v/>
      </c>
      <c r="P10" t="str">
        <f>IF(Table10[[#This Row],[Affordable Care]]=0,"",Table10[[#This Row],[Affordable Care]])</f>
        <v/>
      </c>
      <c r="Q10"/>
      <c r="R10"/>
      <c r="S10"/>
      <c r="T10" t="str">
        <f>IF(Table10[[#This Row],[Bulk Lease Unit]]=0,"",Table10[[#This Row],[Bulk Lease Unit]])</f>
        <v/>
      </c>
      <c r="U10" t="str">
        <f>IF(Table10[[#This Row],[Den Included Unit]]=0,"",Table10[[#This Row],[Den Included Unit]])</f>
        <v/>
      </c>
      <c r="V10" t="str">
        <f>IF(Table10[[#This Row],[Second Bathroom]]=0,"",Table10[[#This Row],[Second Bathroom]])</f>
        <v/>
      </c>
      <c r="W10" t="str">
        <f>IF(Table10[[#This Row],[Heating]]=0,"",Table10[[#This Row],[Heating]])</f>
        <v/>
      </c>
      <c r="X10" t="str">
        <f>IF(Table10[[#This Row],[Electricity]]=0,"",Table10[[#This Row],[Electricity]])</f>
        <v/>
      </c>
      <c r="Y10" t="str">
        <f>IF(Table10[[#This Row],[Water]]=0,"",Table10[[#This Row],[Water]])</f>
        <v/>
      </c>
      <c r="Z10" t="str">
        <f>IF(Table10[[#This Row],[Washer/Dryer]]=0,"",Table10[[#This Row],[Washer/Dryer]])</f>
        <v/>
      </c>
      <c r="AA10" t="str">
        <f>IF(Table10[[#This Row],[Stove/Fridge]]=0,"",Table10[[#This Row],[Stove/Fridge]])</f>
        <v/>
      </c>
      <c r="AB10" t="str">
        <f>IF(Table10[[#This Row],[Dishwasher]]=0,"",Table10[[#This Row],[Dishwasher]])</f>
        <v/>
      </c>
      <c r="AC10" t="str">
        <f>IF(Table10[[#This Row],[Parking]]=0,"",Table10[[#This Row],[Parking]])</f>
        <v/>
      </c>
      <c r="AD10" t="str">
        <f>IF(Table10[[#This Row],[Furniture]]=0,"",Table10[[#This Row],[Furniture]])</f>
        <v/>
      </c>
      <c r="AE10" t="str">
        <f>IF(Table10[[#This Row],[Other]]=0,"",Table10[[#This Row],[Other]])</f>
        <v/>
      </c>
    </row>
    <row r="11" spans="1:31">
      <c r="A11" t="str">
        <f>IF(Table10[[#This Row],[Unit Type]]=0,"",Table10[[#This Row],[Unit Type]])</f>
        <v>1 Bedroom</v>
      </c>
      <c r="B11"/>
      <c r="C11"/>
      <c r="D11">
        <f>IF(Table10[[#This Row],[Unit '#]]=0,"",Table10[[#This Row],[Unit '#]])</f>
        <v>9</v>
      </c>
      <c r="E11"/>
      <c r="F11">
        <f>IF(Table10[[#This Row],[Rental Rate ($/mth)]]=0,"",Table10[[#This Row],[Rental Rate ($/mth)]])</f>
        <v>2490</v>
      </c>
      <c r="G11"/>
      <c r="H11"/>
      <c r="I11"/>
      <c r="J11">
        <f>IF(Table10[[#This Row],[Unit Size (sq ft)]]=0,"",Table10[[#This Row],[Unit Size (sq ft)]])</f>
        <v>624</v>
      </c>
      <c r="K11"/>
      <c r="L11" t="str">
        <f>Table10[[#This Row],[Market Unit]]</f>
        <v>Yes</v>
      </c>
      <c r="M11" t="str">
        <f>Table10[[#This Row],[Affordable Unit]]</f>
        <v>No</v>
      </c>
      <c r="N11" t="str">
        <f>IF(Table10[[#This Row],[Subsidized Unit]]=0,"",Table10[[#This Row],[Subsidized Unit]])</f>
        <v/>
      </c>
      <c r="O11" t="str">
        <f>IF(Table10[[#This Row],[Care Services]]=0,"",Table10[[#This Row],[Care Services]])</f>
        <v/>
      </c>
      <c r="P11" t="str">
        <f>IF(Table10[[#This Row],[Affordable Care]]=0,"",Table10[[#This Row],[Affordable Care]])</f>
        <v/>
      </c>
      <c r="Q11"/>
      <c r="R11"/>
      <c r="S11"/>
      <c r="T11" t="str">
        <f>IF(Table10[[#This Row],[Bulk Lease Unit]]=0,"",Table10[[#This Row],[Bulk Lease Unit]])</f>
        <v/>
      </c>
      <c r="U11" t="str">
        <f>IF(Table10[[#This Row],[Den Included Unit]]=0,"",Table10[[#This Row],[Den Included Unit]])</f>
        <v/>
      </c>
      <c r="V11" t="str">
        <f>IF(Table10[[#This Row],[Second Bathroom]]=0,"",Table10[[#This Row],[Second Bathroom]])</f>
        <v/>
      </c>
      <c r="W11" t="str">
        <f>IF(Table10[[#This Row],[Heating]]=0,"",Table10[[#This Row],[Heating]])</f>
        <v/>
      </c>
      <c r="X11" t="str">
        <f>IF(Table10[[#This Row],[Electricity]]=0,"",Table10[[#This Row],[Electricity]])</f>
        <v/>
      </c>
      <c r="Y11" t="str">
        <f>IF(Table10[[#This Row],[Water]]=0,"",Table10[[#This Row],[Water]])</f>
        <v/>
      </c>
      <c r="Z11" t="str">
        <f>IF(Table10[[#This Row],[Washer/Dryer]]=0,"",Table10[[#This Row],[Washer/Dryer]])</f>
        <v/>
      </c>
      <c r="AA11" t="str">
        <f>IF(Table10[[#This Row],[Stove/Fridge]]=0,"",Table10[[#This Row],[Stove/Fridge]])</f>
        <v/>
      </c>
      <c r="AB11" t="str">
        <f>IF(Table10[[#This Row],[Dishwasher]]=0,"",Table10[[#This Row],[Dishwasher]])</f>
        <v/>
      </c>
      <c r="AC11" t="str">
        <f>IF(Table10[[#This Row],[Parking]]=0,"",Table10[[#This Row],[Parking]])</f>
        <v/>
      </c>
      <c r="AD11" t="str">
        <f>IF(Table10[[#This Row],[Furniture]]=0,"",Table10[[#This Row],[Furniture]])</f>
        <v/>
      </c>
      <c r="AE11" t="str">
        <f>IF(Table10[[#This Row],[Other]]=0,"",Table10[[#This Row],[Other]])</f>
        <v/>
      </c>
    </row>
    <row r="12" spans="1:31">
      <c r="A12" t="str">
        <f>IF(Table10[[#This Row],[Unit Type]]=0,"",Table10[[#This Row],[Unit Type]])</f>
        <v>1 Bedroom</v>
      </c>
      <c r="B12"/>
      <c r="C12"/>
      <c r="D12">
        <f>IF(Table10[[#This Row],[Unit '#]]=0,"",Table10[[#This Row],[Unit '#]])</f>
        <v>10</v>
      </c>
      <c r="E12"/>
      <c r="F12">
        <f>IF(Table10[[#This Row],[Rental Rate ($/mth)]]=0,"",Table10[[#This Row],[Rental Rate ($/mth)]])</f>
        <v>2490</v>
      </c>
      <c r="G12"/>
      <c r="H12"/>
      <c r="I12"/>
      <c r="J12">
        <f>IF(Table10[[#This Row],[Unit Size (sq ft)]]=0,"",Table10[[#This Row],[Unit Size (sq ft)]])</f>
        <v>624</v>
      </c>
      <c r="K12"/>
      <c r="L12" t="str">
        <f>Table10[[#This Row],[Market Unit]]</f>
        <v>Yes</v>
      </c>
      <c r="M12" t="str">
        <f>Table10[[#This Row],[Affordable Unit]]</f>
        <v>No</v>
      </c>
      <c r="N12" t="str">
        <f>IF(Table10[[#This Row],[Subsidized Unit]]=0,"",Table10[[#This Row],[Subsidized Unit]])</f>
        <v/>
      </c>
      <c r="O12" t="str">
        <f>IF(Table10[[#This Row],[Care Services]]=0,"",Table10[[#This Row],[Care Services]])</f>
        <v/>
      </c>
      <c r="P12" t="str">
        <f>IF(Table10[[#This Row],[Affordable Care]]=0,"",Table10[[#This Row],[Affordable Care]])</f>
        <v/>
      </c>
      <c r="Q12"/>
      <c r="R12"/>
      <c r="S12"/>
      <c r="T12" t="str">
        <f>IF(Table10[[#This Row],[Bulk Lease Unit]]=0,"",Table10[[#This Row],[Bulk Lease Unit]])</f>
        <v/>
      </c>
      <c r="U12" t="str">
        <f>IF(Table10[[#This Row],[Den Included Unit]]=0,"",Table10[[#This Row],[Den Included Unit]])</f>
        <v/>
      </c>
      <c r="V12" t="str">
        <f>IF(Table10[[#This Row],[Second Bathroom]]=0,"",Table10[[#This Row],[Second Bathroom]])</f>
        <v/>
      </c>
      <c r="W12" t="str">
        <f>IF(Table10[[#This Row],[Heating]]=0,"",Table10[[#This Row],[Heating]])</f>
        <v/>
      </c>
      <c r="X12" t="str">
        <f>IF(Table10[[#This Row],[Electricity]]=0,"",Table10[[#This Row],[Electricity]])</f>
        <v/>
      </c>
      <c r="Y12" t="str">
        <f>IF(Table10[[#This Row],[Water]]=0,"",Table10[[#This Row],[Water]])</f>
        <v/>
      </c>
      <c r="Z12" t="str">
        <f>IF(Table10[[#This Row],[Washer/Dryer]]=0,"",Table10[[#This Row],[Washer/Dryer]])</f>
        <v/>
      </c>
      <c r="AA12" t="str">
        <f>IF(Table10[[#This Row],[Stove/Fridge]]=0,"",Table10[[#This Row],[Stove/Fridge]])</f>
        <v/>
      </c>
      <c r="AB12" t="str">
        <f>IF(Table10[[#This Row],[Dishwasher]]=0,"",Table10[[#This Row],[Dishwasher]])</f>
        <v/>
      </c>
      <c r="AC12" t="str">
        <f>IF(Table10[[#This Row],[Parking]]=0,"",Table10[[#This Row],[Parking]])</f>
        <v/>
      </c>
      <c r="AD12" t="str">
        <f>IF(Table10[[#This Row],[Furniture]]=0,"",Table10[[#This Row],[Furniture]])</f>
        <v/>
      </c>
      <c r="AE12" t="str">
        <f>IF(Table10[[#This Row],[Other]]=0,"",Table10[[#This Row],[Other]])</f>
        <v/>
      </c>
    </row>
    <row r="13" spans="1:31">
      <c r="A13" t="str">
        <f>IF(Table10[[#This Row],[Unit Type]]=0,"",Table10[[#This Row],[Unit Type]])</f>
        <v>1 Bedroom</v>
      </c>
      <c r="B13"/>
      <c r="C13"/>
      <c r="D13">
        <f>IF(Table10[[#This Row],[Unit '#]]=0,"",Table10[[#This Row],[Unit '#]])</f>
        <v>11</v>
      </c>
      <c r="E13"/>
      <c r="F13">
        <f>IF(Table10[[#This Row],[Rental Rate ($/mth)]]=0,"",Table10[[#This Row],[Rental Rate ($/mth)]])</f>
        <v>2490</v>
      </c>
      <c r="G13"/>
      <c r="H13"/>
      <c r="I13"/>
      <c r="J13">
        <f>IF(Table10[[#This Row],[Unit Size (sq ft)]]=0,"",Table10[[#This Row],[Unit Size (sq ft)]])</f>
        <v>624</v>
      </c>
      <c r="K13"/>
      <c r="L13" t="str">
        <f>Table10[[#This Row],[Market Unit]]</f>
        <v>Yes</v>
      </c>
      <c r="M13" t="str">
        <f>Table10[[#This Row],[Affordable Unit]]</f>
        <v>No</v>
      </c>
      <c r="N13" t="str">
        <f>IF(Table10[[#This Row],[Subsidized Unit]]=0,"",Table10[[#This Row],[Subsidized Unit]])</f>
        <v/>
      </c>
      <c r="O13" t="str">
        <f>IF(Table10[[#This Row],[Care Services]]=0,"",Table10[[#This Row],[Care Services]])</f>
        <v/>
      </c>
      <c r="P13" t="str">
        <f>IF(Table10[[#This Row],[Affordable Care]]=0,"",Table10[[#This Row],[Affordable Care]])</f>
        <v/>
      </c>
      <c r="Q13"/>
      <c r="R13"/>
      <c r="S13"/>
      <c r="T13" t="str">
        <f>IF(Table10[[#This Row],[Bulk Lease Unit]]=0,"",Table10[[#This Row],[Bulk Lease Unit]])</f>
        <v/>
      </c>
      <c r="U13" t="str">
        <f>IF(Table10[[#This Row],[Den Included Unit]]=0,"",Table10[[#This Row],[Den Included Unit]])</f>
        <v/>
      </c>
      <c r="V13" t="str">
        <f>IF(Table10[[#This Row],[Second Bathroom]]=0,"",Table10[[#This Row],[Second Bathroom]])</f>
        <v/>
      </c>
      <c r="W13" t="str">
        <f>IF(Table10[[#This Row],[Heating]]=0,"",Table10[[#This Row],[Heating]])</f>
        <v/>
      </c>
      <c r="X13" t="str">
        <f>IF(Table10[[#This Row],[Electricity]]=0,"",Table10[[#This Row],[Electricity]])</f>
        <v/>
      </c>
      <c r="Y13" t="str">
        <f>IF(Table10[[#This Row],[Water]]=0,"",Table10[[#This Row],[Water]])</f>
        <v/>
      </c>
      <c r="Z13" t="str">
        <f>IF(Table10[[#This Row],[Washer/Dryer]]=0,"",Table10[[#This Row],[Washer/Dryer]])</f>
        <v/>
      </c>
      <c r="AA13" t="str">
        <f>IF(Table10[[#This Row],[Stove/Fridge]]=0,"",Table10[[#This Row],[Stove/Fridge]])</f>
        <v/>
      </c>
      <c r="AB13" t="str">
        <f>IF(Table10[[#This Row],[Dishwasher]]=0,"",Table10[[#This Row],[Dishwasher]])</f>
        <v/>
      </c>
      <c r="AC13" t="str">
        <f>IF(Table10[[#This Row],[Parking]]=0,"",Table10[[#This Row],[Parking]])</f>
        <v/>
      </c>
      <c r="AD13" t="str">
        <f>IF(Table10[[#This Row],[Furniture]]=0,"",Table10[[#This Row],[Furniture]])</f>
        <v/>
      </c>
      <c r="AE13" t="str">
        <f>IF(Table10[[#This Row],[Other]]=0,"",Table10[[#This Row],[Other]])</f>
        <v/>
      </c>
    </row>
    <row r="14" spans="1:31">
      <c r="A14" t="str">
        <f>IF(Table10[[#This Row],[Unit Type]]=0,"",Table10[[#This Row],[Unit Type]])</f>
        <v>1 Bedroom</v>
      </c>
      <c r="B14"/>
      <c r="C14"/>
      <c r="D14">
        <f>IF(Table10[[#This Row],[Unit '#]]=0,"",Table10[[#This Row],[Unit '#]])</f>
        <v>12</v>
      </c>
      <c r="E14"/>
      <c r="F14">
        <f>IF(Table10[[#This Row],[Rental Rate ($/mth)]]=0,"",Table10[[#This Row],[Rental Rate ($/mth)]])</f>
        <v>2490</v>
      </c>
      <c r="G14"/>
      <c r="H14"/>
      <c r="I14"/>
      <c r="J14">
        <f>IF(Table10[[#This Row],[Unit Size (sq ft)]]=0,"",Table10[[#This Row],[Unit Size (sq ft)]])</f>
        <v>624</v>
      </c>
      <c r="K14"/>
      <c r="L14" t="str">
        <f>Table10[[#This Row],[Market Unit]]</f>
        <v>Yes</v>
      </c>
      <c r="M14" t="str">
        <f>Table10[[#This Row],[Affordable Unit]]</f>
        <v>No</v>
      </c>
      <c r="N14" t="str">
        <f>IF(Table10[[#This Row],[Subsidized Unit]]=0,"",Table10[[#This Row],[Subsidized Unit]])</f>
        <v/>
      </c>
      <c r="O14" t="str">
        <f>IF(Table10[[#This Row],[Care Services]]=0,"",Table10[[#This Row],[Care Services]])</f>
        <v/>
      </c>
      <c r="P14" t="str">
        <f>IF(Table10[[#This Row],[Affordable Care]]=0,"",Table10[[#This Row],[Affordable Care]])</f>
        <v/>
      </c>
      <c r="Q14"/>
      <c r="R14"/>
      <c r="S14"/>
      <c r="T14" t="str">
        <f>IF(Table10[[#This Row],[Bulk Lease Unit]]=0,"",Table10[[#This Row],[Bulk Lease Unit]])</f>
        <v/>
      </c>
      <c r="U14" t="str">
        <f>IF(Table10[[#This Row],[Den Included Unit]]=0,"",Table10[[#This Row],[Den Included Unit]])</f>
        <v/>
      </c>
      <c r="V14" t="str">
        <f>IF(Table10[[#This Row],[Second Bathroom]]=0,"",Table10[[#This Row],[Second Bathroom]])</f>
        <v/>
      </c>
      <c r="W14" t="str">
        <f>IF(Table10[[#This Row],[Heating]]=0,"",Table10[[#This Row],[Heating]])</f>
        <v/>
      </c>
      <c r="X14" t="str">
        <f>IF(Table10[[#This Row],[Electricity]]=0,"",Table10[[#This Row],[Electricity]])</f>
        <v/>
      </c>
      <c r="Y14" t="str">
        <f>IF(Table10[[#This Row],[Water]]=0,"",Table10[[#This Row],[Water]])</f>
        <v/>
      </c>
      <c r="Z14" t="str">
        <f>IF(Table10[[#This Row],[Washer/Dryer]]=0,"",Table10[[#This Row],[Washer/Dryer]])</f>
        <v/>
      </c>
      <c r="AA14" t="str">
        <f>IF(Table10[[#This Row],[Stove/Fridge]]=0,"",Table10[[#This Row],[Stove/Fridge]])</f>
        <v/>
      </c>
      <c r="AB14" t="str">
        <f>IF(Table10[[#This Row],[Dishwasher]]=0,"",Table10[[#This Row],[Dishwasher]])</f>
        <v/>
      </c>
      <c r="AC14" t="str">
        <f>IF(Table10[[#This Row],[Parking]]=0,"",Table10[[#This Row],[Parking]])</f>
        <v/>
      </c>
      <c r="AD14" t="str">
        <f>IF(Table10[[#This Row],[Furniture]]=0,"",Table10[[#This Row],[Furniture]])</f>
        <v/>
      </c>
      <c r="AE14" t="str">
        <f>IF(Table10[[#This Row],[Other]]=0,"",Table10[[#This Row],[Other]])</f>
        <v/>
      </c>
    </row>
    <row r="15" spans="1:31">
      <c r="A15" t="str">
        <f>IF(Table10[[#This Row],[Unit Type]]=0,"",Table10[[#This Row],[Unit Type]])</f>
        <v>1 Bedroom</v>
      </c>
      <c r="B15"/>
      <c r="C15"/>
      <c r="D15">
        <f>IF(Table10[[#This Row],[Unit '#]]=0,"",Table10[[#This Row],[Unit '#]])</f>
        <v>13</v>
      </c>
      <c r="E15"/>
      <c r="F15">
        <f>IF(Table10[[#This Row],[Rental Rate ($/mth)]]=0,"",Table10[[#This Row],[Rental Rate ($/mth)]])</f>
        <v>2490</v>
      </c>
      <c r="G15"/>
      <c r="H15"/>
      <c r="I15"/>
      <c r="J15">
        <f>IF(Table10[[#This Row],[Unit Size (sq ft)]]=0,"",Table10[[#This Row],[Unit Size (sq ft)]])</f>
        <v>624</v>
      </c>
      <c r="K15"/>
      <c r="L15" t="str">
        <f>Table10[[#This Row],[Market Unit]]</f>
        <v>Yes</v>
      </c>
      <c r="M15" t="str">
        <f>Table10[[#This Row],[Affordable Unit]]</f>
        <v>No</v>
      </c>
      <c r="N15" t="str">
        <f>IF(Table10[[#This Row],[Subsidized Unit]]=0,"",Table10[[#This Row],[Subsidized Unit]])</f>
        <v/>
      </c>
      <c r="O15" t="str">
        <f>IF(Table10[[#This Row],[Care Services]]=0,"",Table10[[#This Row],[Care Services]])</f>
        <v/>
      </c>
      <c r="P15" t="str">
        <f>IF(Table10[[#This Row],[Affordable Care]]=0,"",Table10[[#This Row],[Affordable Care]])</f>
        <v/>
      </c>
      <c r="Q15"/>
      <c r="R15"/>
      <c r="S15"/>
      <c r="T15" t="str">
        <f>IF(Table10[[#This Row],[Bulk Lease Unit]]=0,"",Table10[[#This Row],[Bulk Lease Unit]])</f>
        <v/>
      </c>
      <c r="U15" t="str">
        <f>IF(Table10[[#This Row],[Den Included Unit]]=0,"",Table10[[#This Row],[Den Included Unit]])</f>
        <v/>
      </c>
      <c r="V15" t="str">
        <f>IF(Table10[[#This Row],[Second Bathroom]]=0,"",Table10[[#This Row],[Second Bathroom]])</f>
        <v/>
      </c>
      <c r="W15" t="str">
        <f>IF(Table10[[#This Row],[Heating]]=0,"",Table10[[#This Row],[Heating]])</f>
        <v/>
      </c>
      <c r="X15" t="str">
        <f>IF(Table10[[#This Row],[Electricity]]=0,"",Table10[[#This Row],[Electricity]])</f>
        <v/>
      </c>
      <c r="Y15" t="str">
        <f>IF(Table10[[#This Row],[Water]]=0,"",Table10[[#This Row],[Water]])</f>
        <v/>
      </c>
      <c r="Z15" t="str">
        <f>IF(Table10[[#This Row],[Washer/Dryer]]=0,"",Table10[[#This Row],[Washer/Dryer]])</f>
        <v/>
      </c>
      <c r="AA15" t="str">
        <f>IF(Table10[[#This Row],[Stove/Fridge]]=0,"",Table10[[#This Row],[Stove/Fridge]])</f>
        <v/>
      </c>
      <c r="AB15" t="str">
        <f>IF(Table10[[#This Row],[Dishwasher]]=0,"",Table10[[#This Row],[Dishwasher]])</f>
        <v/>
      </c>
      <c r="AC15" t="str">
        <f>IF(Table10[[#This Row],[Parking]]=0,"",Table10[[#This Row],[Parking]])</f>
        <v/>
      </c>
      <c r="AD15" t="str">
        <f>IF(Table10[[#This Row],[Furniture]]=0,"",Table10[[#This Row],[Furniture]])</f>
        <v/>
      </c>
      <c r="AE15" t="str">
        <f>IF(Table10[[#This Row],[Other]]=0,"",Table10[[#This Row],[Other]])</f>
        <v/>
      </c>
    </row>
    <row r="16" spans="1:31">
      <c r="A16" t="str">
        <f>IF(Table10[[#This Row],[Unit Type]]=0,"",Table10[[#This Row],[Unit Type]])</f>
        <v>1 Bedroom</v>
      </c>
      <c r="B16"/>
      <c r="C16"/>
      <c r="D16">
        <f>IF(Table10[[#This Row],[Unit '#]]=0,"",Table10[[#This Row],[Unit '#]])</f>
        <v>14</v>
      </c>
      <c r="E16"/>
      <c r="F16">
        <f>IF(Table10[[#This Row],[Rental Rate ($/mth)]]=0,"",Table10[[#This Row],[Rental Rate ($/mth)]])</f>
        <v>2490</v>
      </c>
      <c r="G16"/>
      <c r="H16"/>
      <c r="I16"/>
      <c r="J16">
        <f>IF(Table10[[#This Row],[Unit Size (sq ft)]]=0,"",Table10[[#This Row],[Unit Size (sq ft)]])</f>
        <v>624</v>
      </c>
      <c r="K16"/>
      <c r="L16" t="str">
        <f>Table10[[#This Row],[Market Unit]]</f>
        <v>Yes</v>
      </c>
      <c r="M16" t="str">
        <f>Table10[[#This Row],[Affordable Unit]]</f>
        <v>No</v>
      </c>
      <c r="N16" t="str">
        <f>IF(Table10[[#This Row],[Subsidized Unit]]=0,"",Table10[[#This Row],[Subsidized Unit]])</f>
        <v/>
      </c>
      <c r="O16" t="str">
        <f>IF(Table10[[#This Row],[Care Services]]=0,"",Table10[[#This Row],[Care Services]])</f>
        <v/>
      </c>
      <c r="P16" t="str">
        <f>IF(Table10[[#This Row],[Affordable Care]]=0,"",Table10[[#This Row],[Affordable Care]])</f>
        <v/>
      </c>
      <c r="Q16"/>
      <c r="R16"/>
      <c r="S16"/>
      <c r="T16" t="str">
        <f>IF(Table10[[#This Row],[Bulk Lease Unit]]=0,"",Table10[[#This Row],[Bulk Lease Unit]])</f>
        <v/>
      </c>
      <c r="U16" t="str">
        <f>IF(Table10[[#This Row],[Den Included Unit]]=0,"",Table10[[#This Row],[Den Included Unit]])</f>
        <v/>
      </c>
      <c r="V16" t="str">
        <f>IF(Table10[[#This Row],[Second Bathroom]]=0,"",Table10[[#This Row],[Second Bathroom]])</f>
        <v/>
      </c>
      <c r="W16" t="str">
        <f>IF(Table10[[#This Row],[Heating]]=0,"",Table10[[#This Row],[Heating]])</f>
        <v/>
      </c>
      <c r="X16" t="str">
        <f>IF(Table10[[#This Row],[Electricity]]=0,"",Table10[[#This Row],[Electricity]])</f>
        <v/>
      </c>
      <c r="Y16" t="str">
        <f>IF(Table10[[#This Row],[Water]]=0,"",Table10[[#This Row],[Water]])</f>
        <v/>
      </c>
      <c r="Z16" t="str">
        <f>IF(Table10[[#This Row],[Washer/Dryer]]=0,"",Table10[[#This Row],[Washer/Dryer]])</f>
        <v/>
      </c>
      <c r="AA16" t="str">
        <f>IF(Table10[[#This Row],[Stove/Fridge]]=0,"",Table10[[#This Row],[Stove/Fridge]])</f>
        <v/>
      </c>
      <c r="AB16" t="str">
        <f>IF(Table10[[#This Row],[Dishwasher]]=0,"",Table10[[#This Row],[Dishwasher]])</f>
        <v/>
      </c>
      <c r="AC16" t="str">
        <f>IF(Table10[[#This Row],[Parking]]=0,"",Table10[[#This Row],[Parking]])</f>
        <v/>
      </c>
      <c r="AD16" t="str">
        <f>IF(Table10[[#This Row],[Furniture]]=0,"",Table10[[#This Row],[Furniture]])</f>
        <v/>
      </c>
      <c r="AE16" t="str">
        <f>IF(Table10[[#This Row],[Other]]=0,"",Table10[[#This Row],[Other]])</f>
        <v/>
      </c>
    </row>
    <row r="17" spans="1:31">
      <c r="A17" t="str">
        <f>IF(Table10[[#This Row],[Unit Type]]=0,"",Table10[[#This Row],[Unit Type]])</f>
        <v>1 Bedroom</v>
      </c>
      <c r="B17"/>
      <c r="C17"/>
      <c r="D17">
        <f>IF(Table10[[#This Row],[Unit '#]]=0,"",Table10[[#This Row],[Unit '#]])</f>
        <v>15</v>
      </c>
      <c r="E17"/>
      <c r="F17">
        <f>IF(Table10[[#This Row],[Rental Rate ($/mth)]]=0,"",Table10[[#This Row],[Rental Rate ($/mth)]])</f>
        <v>2490</v>
      </c>
      <c r="G17"/>
      <c r="H17"/>
      <c r="I17"/>
      <c r="J17">
        <f>IF(Table10[[#This Row],[Unit Size (sq ft)]]=0,"",Table10[[#This Row],[Unit Size (sq ft)]])</f>
        <v>624</v>
      </c>
      <c r="K17"/>
      <c r="L17" t="str">
        <f>Table10[[#This Row],[Market Unit]]</f>
        <v>Yes</v>
      </c>
      <c r="M17" t="str">
        <f>Table10[[#This Row],[Affordable Unit]]</f>
        <v>No</v>
      </c>
      <c r="N17" t="str">
        <f>IF(Table10[[#This Row],[Subsidized Unit]]=0,"",Table10[[#This Row],[Subsidized Unit]])</f>
        <v/>
      </c>
      <c r="O17" t="str">
        <f>IF(Table10[[#This Row],[Care Services]]=0,"",Table10[[#This Row],[Care Services]])</f>
        <v/>
      </c>
      <c r="P17" t="str">
        <f>IF(Table10[[#This Row],[Affordable Care]]=0,"",Table10[[#This Row],[Affordable Care]])</f>
        <v/>
      </c>
      <c r="Q17"/>
      <c r="R17"/>
      <c r="S17"/>
      <c r="T17" t="str">
        <f>IF(Table10[[#This Row],[Bulk Lease Unit]]=0,"",Table10[[#This Row],[Bulk Lease Unit]])</f>
        <v/>
      </c>
      <c r="U17" t="str">
        <f>IF(Table10[[#This Row],[Den Included Unit]]=0,"",Table10[[#This Row],[Den Included Unit]])</f>
        <v/>
      </c>
      <c r="V17" t="str">
        <f>IF(Table10[[#This Row],[Second Bathroom]]=0,"",Table10[[#This Row],[Second Bathroom]])</f>
        <v/>
      </c>
      <c r="W17" t="str">
        <f>IF(Table10[[#This Row],[Heating]]=0,"",Table10[[#This Row],[Heating]])</f>
        <v/>
      </c>
      <c r="X17" t="str">
        <f>IF(Table10[[#This Row],[Electricity]]=0,"",Table10[[#This Row],[Electricity]])</f>
        <v/>
      </c>
      <c r="Y17" t="str">
        <f>IF(Table10[[#This Row],[Water]]=0,"",Table10[[#This Row],[Water]])</f>
        <v/>
      </c>
      <c r="Z17" t="str">
        <f>IF(Table10[[#This Row],[Washer/Dryer]]=0,"",Table10[[#This Row],[Washer/Dryer]])</f>
        <v/>
      </c>
      <c r="AA17" t="str">
        <f>IF(Table10[[#This Row],[Stove/Fridge]]=0,"",Table10[[#This Row],[Stove/Fridge]])</f>
        <v/>
      </c>
      <c r="AB17" t="str">
        <f>IF(Table10[[#This Row],[Dishwasher]]=0,"",Table10[[#This Row],[Dishwasher]])</f>
        <v/>
      </c>
      <c r="AC17" t="str">
        <f>IF(Table10[[#This Row],[Parking]]=0,"",Table10[[#This Row],[Parking]])</f>
        <v/>
      </c>
      <c r="AD17" t="str">
        <f>IF(Table10[[#This Row],[Furniture]]=0,"",Table10[[#This Row],[Furniture]])</f>
        <v/>
      </c>
      <c r="AE17" t="str">
        <f>IF(Table10[[#This Row],[Other]]=0,"",Table10[[#This Row],[Other]])</f>
        <v/>
      </c>
    </row>
    <row r="18" spans="1:31">
      <c r="A18" t="str">
        <f>IF(Table10[[#This Row],[Unit Type]]=0,"",Table10[[#This Row],[Unit Type]])</f>
        <v>1 Bedroom</v>
      </c>
      <c r="B18"/>
      <c r="C18"/>
      <c r="D18">
        <f>IF(Table10[[#This Row],[Unit '#]]=0,"",Table10[[#This Row],[Unit '#]])</f>
        <v>16</v>
      </c>
      <c r="E18"/>
      <c r="F18">
        <f>IF(Table10[[#This Row],[Rental Rate ($/mth)]]=0,"",Table10[[#This Row],[Rental Rate ($/mth)]])</f>
        <v>2490</v>
      </c>
      <c r="G18"/>
      <c r="H18"/>
      <c r="I18"/>
      <c r="J18">
        <f>IF(Table10[[#This Row],[Unit Size (sq ft)]]=0,"",Table10[[#This Row],[Unit Size (sq ft)]])</f>
        <v>624</v>
      </c>
      <c r="K18"/>
      <c r="L18" t="str">
        <f>Table10[[#This Row],[Market Unit]]</f>
        <v>Yes</v>
      </c>
      <c r="M18" t="str">
        <f>Table10[[#This Row],[Affordable Unit]]</f>
        <v>No</v>
      </c>
      <c r="N18" t="str">
        <f>IF(Table10[[#This Row],[Subsidized Unit]]=0,"",Table10[[#This Row],[Subsidized Unit]])</f>
        <v/>
      </c>
      <c r="O18" t="str">
        <f>IF(Table10[[#This Row],[Care Services]]=0,"",Table10[[#This Row],[Care Services]])</f>
        <v/>
      </c>
      <c r="P18" t="str">
        <f>IF(Table10[[#This Row],[Affordable Care]]=0,"",Table10[[#This Row],[Affordable Care]])</f>
        <v/>
      </c>
      <c r="Q18"/>
      <c r="R18"/>
      <c r="S18"/>
      <c r="T18" t="str">
        <f>IF(Table10[[#This Row],[Bulk Lease Unit]]=0,"",Table10[[#This Row],[Bulk Lease Unit]])</f>
        <v/>
      </c>
      <c r="U18" t="str">
        <f>IF(Table10[[#This Row],[Den Included Unit]]=0,"",Table10[[#This Row],[Den Included Unit]])</f>
        <v/>
      </c>
      <c r="V18" t="str">
        <f>IF(Table10[[#This Row],[Second Bathroom]]=0,"",Table10[[#This Row],[Second Bathroom]])</f>
        <v/>
      </c>
      <c r="W18" t="str">
        <f>IF(Table10[[#This Row],[Heating]]=0,"",Table10[[#This Row],[Heating]])</f>
        <v/>
      </c>
      <c r="X18" t="str">
        <f>IF(Table10[[#This Row],[Electricity]]=0,"",Table10[[#This Row],[Electricity]])</f>
        <v/>
      </c>
      <c r="Y18" t="str">
        <f>IF(Table10[[#This Row],[Water]]=0,"",Table10[[#This Row],[Water]])</f>
        <v/>
      </c>
      <c r="Z18" t="str">
        <f>IF(Table10[[#This Row],[Washer/Dryer]]=0,"",Table10[[#This Row],[Washer/Dryer]])</f>
        <v/>
      </c>
      <c r="AA18" t="str">
        <f>IF(Table10[[#This Row],[Stove/Fridge]]=0,"",Table10[[#This Row],[Stove/Fridge]])</f>
        <v/>
      </c>
      <c r="AB18" t="str">
        <f>IF(Table10[[#This Row],[Dishwasher]]=0,"",Table10[[#This Row],[Dishwasher]])</f>
        <v/>
      </c>
      <c r="AC18" t="str">
        <f>IF(Table10[[#This Row],[Parking]]=0,"",Table10[[#This Row],[Parking]])</f>
        <v/>
      </c>
      <c r="AD18" t="str">
        <f>IF(Table10[[#This Row],[Furniture]]=0,"",Table10[[#This Row],[Furniture]])</f>
        <v/>
      </c>
      <c r="AE18" t="str">
        <f>IF(Table10[[#This Row],[Other]]=0,"",Table10[[#This Row],[Other]])</f>
        <v/>
      </c>
    </row>
    <row r="19" spans="1:31">
      <c r="A19" t="str">
        <f>IF(Table10[[#This Row],[Unit Type]]=0,"",Table10[[#This Row],[Unit Type]])</f>
        <v>1 Bedroom</v>
      </c>
      <c r="B19"/>
      <c r="C19"/>
      <c r="D19">
        <f>IF(Table10[[#This Row],[Unit '#]]=0,"",Table10[[#This Row],[Unit '#]])</f>
        <v>17</v>
      </c>
      <c r="E19"/>
      <c r="F19">
        <f>IF(Table10[[#This Row],[Rental Rate ($/mth)]]=0,"",Table10[[#This Row],[Rental Rate ($/mth)]])</f>
        <v>2490</v>
      </c>
      <c r="G19"/>
      <c r="H19"/>
      <c r="I19"/>
      <c r="J19">
        <f>IF(Table10[[#This Row],[Unit Size (sq ft)]]=0,"",Table10[[#This Row],[Unit Size (sq ft)]])</f>
        <v>624</v>
      </c>
      <c r="K19"/>
      <c r="L19" t="str">
        <f>Table10[[#This Row],[Market Unit]]</f>
        <v>Yes</v>
      </c>
      <c r="M19" t="str">
        <f>Table10[[#This Row],[Affordable Unit]]</f>
        <v>No</v>
      </c>
      <c r="N19" t="str">
        <f>IF(Table10[[#This Row],[Subsidized Unit]]=0,"",Table10[[#This Row],[Subsidized Unit]])</f>
        <v/>
      </c>
      <c r="O19" t="str">
        <f>IF(Table10[[#This Row],[Care Services]]=0,"",Table10[[#This Row],[Care Services]])</f>
        <v/>
      </c>
      <c r="P19" t="str">
        <f>IF(Table10[[#This Row],[Affordable Care]]=0,"",Table10[[#This Row],[Affordable Care]])</f>
        <v/>
      </c>
      <c r="Q19"/>
      <c r="R19"/>
      <c r="S19"/>
      <c r="T19" t="str">
        <f>IF(Table10[[#This Row],[Bulk Lease Unit]]=0,"",Table10[[#This Row],[Bulk Lease Unit]])</f>
        <v/>
      </c>
      <c r="U19" t="str">
        <f>IF(Table10[[#This Row],[Den Included Unit]]=0,"",Table10[[#This Row],[Den Included Unit]])</f>
        <v/>
      </c>
      <c r="V19" t="str">
        <f>IF(Table10[[#This Row],[Second Bathroom]]=0,"",Table10[[#This Row],[Second Bathroom]])</f>
        <v/>
      </c>
      <c r="W19" t="str">
        <f>IF(Table10[[#This Row],[Heating]]=0,"",Table10[[#This Row],[Heating]])</f>
        <v/>
      </c>
      <c r="X19" t="str">
        <f>IF(Table10[[#This Row],[Electricity]]=0,"",Table10[[#This Row],[Electricity]])</f>
        <v/>
      </c>
      <c r="Y19" t="str">
        <f>IF(Table10[[#This Row],[Water]]=0,"",Table10[[#This Row],[Water]])</f>
        <v/>
      </c>
      <c r="Z19" t="str">
        <f>IF(Table10[[#This Row],[Washer/Dryer]]=0,"",Table10[[#This Row],[Washer/Dryer]])</f>
        <v/>
      </c>
      <c r="AA19" t="str">
        <f>IF(Table10[[#This Row],[Stove/Fridge]]=0,"",Table10[[#This Row],[Stove/Fridge]])</f>
        <v/>
      </c>
      <c r="AB19" t="str">
        <f>IF(Table10[[#This Row],[Dishwasher]]=0,"",Table10[[#This Row],[Dishwasher]])</f>
        <v/>
      </c>
      <c r="AC19" t="str">
        <f>IF(Table10[[#This Row],[Parking]]=0,"",Table10[[#This Row],[Parking]])</f>
        <v/>
      </c>
      <c r="AD19" t="str">
        <f>IF(Table10[[#This Row],[Furniture]]=0,"",Table10[[#This Row],[Furniture]])</f>
        <v/>
      </c>
      <c r="AE19" t="str">
        <f>IF(Table10[[#This Row],[Other]]=0,"",Table10[[#This Row],[Other]])</f>
        <v/>
      </c>
    </row>
    <row r="20" spans="1:31">
      <c r="A20" t="str">
        <f>IF(Table10[[#This Row],[Unit Type]]=0,"",Table10[[#This Row],[Unit Type]])</f>
        <v>1 Bedroom</v>
      </c>
      <c r="B20"/>
      <c r="C20"/>
      <c r="D20">
        <f>IF(Table10[[#This Row],[Unit '#]]=0,"",Table10[[#This Row],[Unit '#]])</f>
        <v>18</v>
      </c>
      <c r="E20"/>
      <c r="F20">
        <f>IF(Table10[[#This Row],[Rental Rate ($/mth)]]=0,"",Table10[[#This Row],[Rental Rate ($/mth)]])</f>
        <v>2490</v>
      </c>
      <c r="G20"/>
      <c r="H20"/>
      <c r="I20"/>
      <c r="J20">
        <f>IF(Table10[[#This Row],[Unit Size (sq ft)]]=0,"",Table10[[#This Row],[Unit Size (sq ft)]])</f>
        <v>624</v>
      </c>
      <c r="K20"/>
      <c r="L20" t="str">
        <f>Table10[[#This Row],[Market Unit]]</f>
        <v>Yes</v>
      </c>
      <c r="M20" t="str">
        <f>Table10[[#This Row],[Affordable Unit]]</f>
        <v>No</v>
      </c>
      <c r="N20" t="str">
        <f>IF(Table10[[#This Row],[Subsidized Unit]]=0,"",Table10[[#This Row],[Subsidized Unit]])</f>
        <v/>
      </c>
      <c r="O20" t="str">
        <f>IF(Table10[[#This Row],[Care Services]]=0,"",Table10[[#This Row],[Care Services]])</f>
        <v/>
      </c>
      <c r="P20" t="str">
        <f>IF(Table10[[#This Row],[Affordable Care]]=0,"",Table10[[#This Row],[Affordable Care]])</f>
        <v/>
      </c>
      <c r="Q20"/>
      <c r="R20"/>
      <c r="S20"/>
      <c r="T20" t="str">
        <f>IF(Table10[[#This Row],[Bulk Lease Unit]]=0,"",Table10[[#This Row],[Bulk Lease Unit]])</f>
        <v/>
      </c>
      <c r="U20" t="str">
        <f>IF(Table10[[#This Row],[Den Included Unit]]=0,"",Table10[[#This Row],[Den Included Unit]])</f>
        <v/>
      </c>
      <c r="V20" t="str">
        <f>IF(Table10[[#This Row],[Second Bathroom]]=0,"",Table10[[#This Row],[Second Bathroom]])</f>
        <v/>
      </c>
      <c r="W20" t="str">
        <f>IF(Table10[[#This Row],[Heating]]=0,"",Table10[[#This Row],[Heating]])</f>
        <v/>
      </c>
      <c r="X20" t="str">
        <f>IF(Table10[[#This Row],[Electricity]]=0,"",Table10[[#This Row],[Electricity]])</f>
        <v/>
      </c>
      <c r="Y20" t="str">
        <f>IF(Table10[[#This Row],[Water]]=0,"",Table10[[#This Row],[Water]])</f>
        <v/>
      </c>
      <c r="Z20" t="str">
        <f>IF(Table10[[#This Row],[Washer/Dryer]]=0,"",Table10[[#This Row],[Washer/Dryer]])</f>
        <v/>
      </c>
      <c r="AA20" t="str">
        <f>IF(Table10[[#This Row],[Stove/Fridge]]=0,"",Table10[[#This Row],[Stove/Fridge]])</f>
        <v/>
      </c>
      <c r="AB20" t="str">
        <f>IF(Table10[[#This Row],[Dishwasher]]=0,"",Table10[[#This Row],[Dishwasher]])</f>
        <v/>
      </c>
      <c r="AC20" t="str">
        <f>IF(Table10[[#This Row],[Parking]]=0,"",Table10[[#This Row],[Parking]])</f>
        <v/>
      </c>
      <c r="AD20" t="str">
        <f>IF(Table10[[#This Row],[Furniture]]=0,"",Table10[[#This Row],[Furniture]])</f>
        <v/>
      </c>
      <c r="AE20" t="str">
        <f>IF(Table10[[#This Row],[Other]]=0,"",Table10[[#This Row],[Other]])</f>
        <v/>
      </c>
    </row>
    <row r="21" spans="1:31">
      <c r="A21" t="str">
        <f>IF(Table10[[#This Row],[Unit Type]]=0,"",Table10[[#This Row],[Unit Type]])</f>
        <v>1 Bedroom</v>
      </c>
      <c r="B21"/>
      <c r="C21"/>
      <c r="D21">
        <f>IF(Table10[[#This Row],[Unit '#]]=0,"",Table10[[#This Row],[Unit '#]])</f>
        <v>19</v>
      </c>
      <c r="E21"/>
      <c r="F21">
        <f>IF(Table10[[#This Row],[Rental Rate ($/mth)]]=0,"",Table10[[#This Row],[Rental Rate ($/mth)]])</f>
        <v>2490</v>
      </c>
      <c r="G21"/>
      <c r="H21"/>
      <c r="I21"/>
      <c r="J21">
        <f>IF(Table10[[#This Row],[Unit Size (sq ft)]]=0,"",Table10[[#This Row],[Unit Size (sq ft)]])</f>
        <v>624</v>
      </c>
      <c r="K21"/>
      <c r="L21" t="str">
        <f>Table10[[#This Row],[Market Unit]]</f>
        <v>Yes</v>
      </c>
      <c r="M21" t="str">
        <f>Table10[[#This Row],[Affordable Unit]]</f>
        <v>No</v>
      </c>
      <c r="N21" t="str">
        <f>IF(Table10[[#This Row],[Subsidized Unit]]=0,"",Table10[[#This Row],[Subsidized Unit]])</f>
        <v/>
      </c>
      <c r="O21" t="str">
        <f>IF(Table10[[#This Row],[Care Services]]=0,"",Table10[[#This Row],[Care Services]])</f>
        <v/>
      </c>
      <c r="P21" t="str">
        <f>IF(Table10[[#This Row],[Affordable Care]]=0,"",Table10[[#This Row],[Affordable Care]])</f>
        <v/>
      </c>
      <c r="Q21"/>
      <c r="R21"/>
      <c r="S21"/>
      <c r="T21" t="str">
        <f>IF(Table10[[#This Row],[Bulk Lease Unit]]=0,"",Table10[[#This Row],[Bulk Lease Unit]])</f>
        <v/>
      </c>
      <c r="U21" t="str">
        <f>IF(Table10[[#This Row],[Den Included Unit]]=0,"",Table10[[#This Row],[Den Included Unit]])</f>
        <v/>
      </c>
      <c r="V21" t="str">
        <f>IF(Table10[[#This Row],[Second Bathroom]]=0,"",Table10[[#This Row],[Second Bathroom]])</f>
        <v/>
      </c>
      <c r="W21" t="str">
        <f>IF(Table10[[#This Row],[Heating]]=0,"",Table10[[#This Row],[Heating]])</f>
        <v/>
      </c>
      <c r="X21" t="str">
        <f>IF(Table10[[#This Row],[Electricity]]=0,"",Table10[[#This Row],[Electricity]])</f>
        <v/>
      </c>
      <c r="Y21" t="str">
        <f>IF(Table10[[#This Row],[Water]]=0,"",Table10[[#This Row],[Water]])</f>
        <v/>
      </c>
      <c r="Z21" t="str">
        <f>IF(Table10[[#This Row],[Washer/Dryer]]=0,"",Table10[[#This Row],[Washer/Dryer]])</f>
        <v/>
      </c>
      <c r="AA21" t="str">
        <f>IF(Table10[[#This Row],[Stove/Fridge]]=0,"",Table10[[#This Row],[Stove/Fridge]])</f>
        <v/>
      </c>
      <c r="AB21" t="str">
        <f>IF(Table10[[#This Row],[Dishwasher]]=0,"",Table10[[#This Row],[Dishwasher]])</f>
        <v/>
      </c>
      <c r="AC21" t="str">
        <f>IF(Table10[[#This Row],[Parking]]=0,"",Table10[[#This Row],[Parking]])</f>
        <v/>
      </c>
      <c r="AD21" t="str">
        <f>IF(Table10[[#This Row],[Furniture]]=0,"",Table10[[#This Row],[Furniture]])</f>
        <v/>
      </c>
      <c r="AE21" t="str">
        <f>IF(Table10[[#This Row],[Other]]=0,"",Table10[[#This Row],[Other]])</f>
        <v/>
      </c>
    </row>
    <row r="22" spans="1:31">
      <c r="A22" t="str">
        <f>IF(Table10[[#This Row],[Unit Type]]=0,"",Table10[[#This Row],[Unit Type]])</f>
        <v>1 Bedroom</v>
      </c>
      <c r="B22"/>
      <c r="C22"/>
      <c r="D22">
        <f>IF(Table10[[#This Row],[Unit '#]]=0,"",Table10[[#This Row],[Unit '#]])</f>
        <v>20</v>
      </c>
      <c r="E22"/>
      <c r="F22">
        <f>IF(Table10[[#This Row],[Rental Rate ($/mth)]]=0,"",Table10[[#This Row],[Rental Rate ($/mth)]])</f>
        <v>2490</v>
      </c>
      <c r="G22"/>
      <c r="H22"/>
      <c r="I22"/>
      <c r="J22">
        <f>IF(Table10[[#This Row],[Unit Size (sq ft)]]=0,"",Table10[[#This Row],[Unit Size (sq ft)]])</f>
        <v>624</v>
      </c>
      <c r="K22"/>
      <c r="L22" t="str">
        <f>Table10[[#This Row],[Market Unit]]</f>
        <v>Yes</v>
      </c>
      <c r="M22" t="str">
        <f>Table10[[#This Row],[Affordable Unit]]</f>
        <v>No</v>
      </c>
      <c r="N22" t="str">
        <f>IF(Table10[[#This Row],[Subsidized Unit]]=0,"",Table10[[#This Row],[Subsidized Unit]])</f>
        <v/>
      </c>
      <c r="O22" t="str">
        <f>IF(Table10[[#This Row],[Care Services]]=0,"",Table10[[#This Row],[Care Services]])</f>
        <v/>
      </c>
      <c r="P22" t="str">
        <f>IF(Table10[[#This Row],[Affordable Care]]=0,"",Table10[[#This Row],[Affordable Care]])</f>
        <v/>
      </c>
      <c r="Q22"/>
      <c r="R22"/>
      <c r="S22"/>
      <c r="T22" t="str">
        <f>IF(Table10[[#This Row],[Bulk Lease Unit]]=0,"",Table10[[#This Row],[Bulk Lease Unit]])</f>
        <v/>
      </c>
      <c r="U22" t="str">
        <f>IF(Table10[[#This Row],[Den Included Unit]]=0,"",Table10[[#This Row],[Den Included Unit]])</f>
        <v/>
      </c>
      <c r="V22" t="str">
        <f>IF(Table10[[#This Row],[Second Bathroom]]=0,"",Table10[[#This Row],[Second Bathroom]])</f>
        <v/>
      </c>
      <c r="W22" t="str">
        <f>IF(Table10[[#This Row],[Heating]]=0,"",Table10[[#This Row],[Heating]])</f>
        <v/>
      </c>
      <c r="X22" t="str">
        <f>IF(Table10[[#This Row],[Electricity]]=0,"",Table10[[#This Row],[Electricity]])</f>
        <v/>
      </c>
      <c r="Y22" t="str">
        <f>IF(Table10[[#This Row],[Water]]=0,"",Table10[[#This Row],[Water]])</f>
        <v/>
      </c>
      <c r="Z22" t="str">
        <f>IF(Table10[[#This Row],[Washer/Dryer]]=0,"",Table10[[#This Row],[Washer/Dryer]])</f>
        <v/>
      </c>
      <c r="AA22" t="str">
        <f>IF(Table10[[#This Row],[Stove/Fridge]]=0,"",Table10[[#This Row],[Stove/Fridge]])</f>
        <v/>
      </c>
      <c r="AB22" t="str">
        <f>IF(Table10[[#This Row],[Dishwasher]]=0,"",Table10[[#This Row],[Dishwasher]])</f>
        <v/>
      </c>
      <c r="AC22" t="str">
        <f>IF(Table10[[#This Row],[Parking]]=0,"",Table10[[#This Row],[Parking]])</f>
        <v/>
      </c>
      <c r="AD22" t="str">
        <f>IF(Table10[[#This Row],[Furniture]]=0,"",Table10[[#This Row],[Furniture]])</f>
        <v/>
      </c>
      <c r="AE22" t="str">
        <f>IF(Table10[[#This Row],[Other]]=0,"",Table10[[#This Row],[Other]])</f>
        <v/>
      </c>
    </row>
    <row r="23" spans="1:31">
      <c r="A23" t="str">
        <f>IF(Table10[[#This Row],[Unit Type]]=0,"",Table10[[#This Row],[Unit Type]])</f>
        <v>1 Bedroom</v>
      </c>
      <c r="B23"/>
      <c r="C23"/>
      <c r="D23">
        <f>IF(Table10[[#This Row],[Unit '#]]=0,"",Table10[[#This Row],[Unit '#]])</f>
        <v>21</v>
      </c>
      <c r="E23"/>
      <c r="F23">
        <f>IF(Table10[[#This Row],[Rental Rate ($/mth)]]=0,"",Table10[[#This Row],[Rental Rate ($/mth)]])</f>
        <v>2490</v>
      </c>
      <c r="G23"/>
      <c r="H23"/>
      <c r="I23"/>
      <c r="J23">
        <f>IF(Table10[[#This Row],[Unit Size (sq ft)]]=0,"",Table10[[#This Row],[Unit Size (sq ft)]])</f>
        <v>624</v>
      </c>
      <c r="K23"/>
      <c r="L23" t="str">
        <f>Table10[[#This Row],[Market Unit]]</f>
        <v>Yes</v>
      </c>
      <c r="M23" t="str">
        <f>Table10[[#This Row],[Affordable Unit]]</f>
        <v>No</v>
      </c>
      <c r="N23" t="str">
        <f>IF(Table10[[#This Row],[Subsidized Unit]]=0,"",Table10[[#This Row],[Subsidized Unit]])</f>
        <v/>
      </c>
      <c r="O23" t="str">
        <f>IF(Table10[[#This Row],[Care Services]]=0,"",Table10[[#This Row],[Care Services]])</f>
        <v/>
      </c>
      <c r="P23" t="str">
        <f>IF(Table10[[#This Row],[Affordable Care]]=0,"",Table10[[#This Row],[Affordable Care]])</f>
        <v/>
      </c>
      <c r="Q23"/>
      <c r="R23"/>
      <c r="S23"/>
      <c r="T23" t="str">
        <f>IF(Table10[[#This Row],[Bulk Lease Unit]]=0,"",Table10[[#This Row],[Bulk Lease Unit]])</f>
        <v/>
      </c>
      <c r="U23" t="str">
        <f>IF(Table10[[#This Row],[Den Included Unit]]=0,"",Table10[[#This Row],[Den Included Unit]])</f>
        <v/>
      </c>
      <c r="V23" t="str">
        <f>IF(Table10[[#This Row],[Second Bathroom]]=0,"",Table10[[#This Row],[Second Bathroom]])</f>
        <v/>
      </c>
      <c r="W23" t="str">
        <f>IF(Table10[[#This Row],[Heating]]=0,"",Table10[[#This Row],[Heating]])</f>
        <v/>
      </c>
      <c r="X23" t="str">
        <f>IF(Table10[[#This Row],[Electricity]]=0,"",Table10[[#This Row],[Electricity]])</f>
        <v/>
      </c>
      <c r="Y23" t="str">
        <f>IF(Table10[[#This Row],[Water]]=0,"",Table10[[#This Row],[Water]])</f>
        <v/>
      </c>
      <c r="Z23" t="str">
        <f>IF(Table10[[#This Row],[Washer/Dryer]]=0,"",Table10[[#This Row],[Washer/Dryer]])</f>
        <v/>
      </c>
      <c r="AA23" t="str">
        <f>IF(Table10[[#This Row],[Stove/Fridge]]=0,"",Table10[[#This Row],[Stove/Fridge]])</f>
        <v/>
      </c>
      <c r="AB23" t="str">
        <f>IF(Table10[[#This Row],[Dishwasher]]=0,"",Table10[[#This Row],[Dishwasher]])</f>
        <v/>
      </c>
      <c r="AC23" t="str">
        <f>IF(Table10[[#This Row],[Parking]]=0,"",Table10[[#This Row],[Parking]])</f>
        <v/>
      </c>
      <c r="AD23" t="str">
        <f>IF(Table10[[#This Row],[Furniture]]=0,"",Table10[[#This Row],[Furniture]])</f>
        <v/>
      </c>
      <c r="AE23" t="str">
        <f>IF(Table10[[#This Row],[Other]]=0,"",Table10[[#This Row],[Other]])</f>
        <v/>
      </c>
    </row>
    <row r="24" spans="1:31">
      <c r="A24" t="str">
        <f>IF(Table10[[#This Row],[Unit Type]]=0,"",Table10[[#This Row],[Unit Type]])</f>
        <v>1 Bedroom</v>
      </c>
      <c r="B24"/>
      <c r="C24"/>
      <c r="D24">
        <f>IF(Table10[[#This Row],[Unit '#]]=0,"",Table10[[#This Row],[Unit '#]])</f>
        <v>22</v>
      </c>
      <c r="E24"/>
      <c r="F24">
        <f>IF(Table10[[#This Row],[Rental Rate ($/mth)]]=0,"",Table10[[#This Row],[Rental Rate ($/mth)]])</f>
        <v>2490</v>
      </c>
      <c r="G24"/>
      <c r="H24"/>
      <c r="I24"/>
      <c r="J24">
        <f>IF(Table10[[#This Row],[Unit Size (sq ft)]]=0,"",Table10[[#This Row],[Unit Size (sq ft)]])</f>
        <v>624</v>
      </c>
      <c r="K24"/>
      <c r="L24" t="str">
        <f>Table10[[#This Row],[Market Unit]]</f>
        <v>Yes</v>
      </c>
      <c r="M24" t="str">
        <f>Table10[[#This Row],[Affordable Unit]]</f>
        <v>No</v>
      </c>
      <c r="N24" t="str">
        <f>IF(Table10[[#This Row],[Subsidized Unit]]=0,"",Table10[[#This Row],[Subsidized Unit]])</f>
        <v/>
      </c>
      <c r="O24" t="str">
        <f>IF(Table10[[#This Row],[Care Services]]=0,"",Table10[[#This Row],[Care Services]])</f>
        <v/>
      </c>
      <c r="P24" t="str">
        <f>IF(Table10[[#This Row],[Affordable Care]]=0,"",Table10[[#This Row],[Affordable Care]])</f>
        <v/>
      </c>
      <c r="Q24"/>
      <c r="R24"/>
      <c r="S24"/>
      <c r="T24" t="str">
        <f>IF(Table10[[#This Row],[Bulk Lease Unit]]=0,"",Table10[[#This Row],[Bulk Lease Unit]])</f>
        <v/>
      </c>
      <c r="U24" t="str">
        <f>IF(Table10[[#This Row],[Den Included Unit]]=0,"",Table10[[#This Row],[Den Included Unit]])</f>
        <v/>
      </c>
      <c r="V24" t="str">
        <f>IF(Table10[[#This Row],[Second Bathroom]]=0,"",Table10[[#This Row],[Second Bathroom]])</f>
        <v/>
      </c>
      <c r="W24" t="str">
        <f>IF(Table10[[#This Row],[Heating]]=0,"",Table10[[#This Row],[Heating]])</f>
        <v/>
      </c>
      <c r="X24" t="str">
        <f>IF(Table10[[#This Row],[Electricity]]=0,"",Table10[[#This Row],[Electricity]])</f>
        <v/>
      </c>
      <c r="Y24" t="str">
        <f>IF(Table10[[#This Row],[Water]]=0,"",Table10[[#This Row],[Water]])</f>
        <v/>
      </c>
      <c r="Z24" t="str">
        <f>IF(Table10[[#This Row],[Washer/Dryer]]=0,"",Table10[[#This Row],[Washer/Dryer]])</f>
        <v/>
      </c>
      <c r="AA24" t="str">
        <f>IF(Table10[[#This Row],[Stove/Fridge]]=0,"",Table10[[#This Row],[Stove/Fridge]])</f>
        <v/>
      </c>
      <c r="AB24" t="str">
        <f>IF(Table10[[#This Row],[Dishwasher]]=0,"",Table10[[#This Row],[Dishwasher]])</f>
        <v/>
      </c>
      <c r="AC24" t="str">
        <f>IF(Table10[[#This Row],[Parking]]=0,"",Table10[[#This Row],[Parking]])</f>
        <v/>
      </c>
      <c r="AD24" t="str">
        <f>IF(Table10[[#This Row],[Furniture]]=0,"",Table10[[#This Row],[Furniture]])</f>
        <v/>
      </c>
      <c r="AE24" t="str">
        <f>IF(Table10[[#This Row],[Other]]=0,"",Table10[[#This Row],[Other]])</f>
        <v/>
      </c>
    </row>
    <row r="25" spans="1:31">
      <c r="A25" t="str">
        <f>IF(Table10[[#This Row],[Unit Type]]=0,"",Table10[[#This Row],[Unit Type]])</f>
        <v>1 Bedroom</v>
      </c>
      <c r="B25"/>
      <c r="C25"/>
      <c r="D25">
        <f>IF(Table10[[#This Row],[Unit '#]]=0,"",Table10[[#This Row],[Unit '#]])</f>
        <v>23</v>
      </c>
      <c r="E25"/>
      <c r="F25">
        <f>IF(Table10[[#This Row],[Rental Rate ($/mth)]]=0,"",Table10[[#This Row],[Rental Rate ($/mth)]])</f>
        <v>2490</v>
      </c>
      <c r="G25"/>
      <c r="H25"/>
      <c r="I25"/>
      <c r="J25">
        <f>IF(Table10[[#This Row],[Unit Size (sq ft)]]=0,"",Table10[[#This Row],[Unit Size (sq ft)]])</f>
        <v>624</v>
      </c>
      <c r="K25"/>
      <c r="L25" t="str">
        <f>Table10[[#This Row],[Market Unit]]</f>
        <v>Yes</v>
      </c>
      <c r="M25" t="str">
        <f>Table10[[#This Row],[Affordable Unit]]</f>
        <v>No</v>
      </c>
      <c r="N25" t="str">
        <f>IF(Table10[[#This Row],[Subsidized Unit]]=0,"",Table10[[#This Row],[Subsidized Unit]])</f>
        <v/>
      </c>
      <c r="O25" t="str">
        <f>IF(Table10[[#This Row],[Care Services]]=0,"",Table10[[#This Row],[Care Services]])</f>
        <v/>
      </c>
      <c r="P25" t="str">
        <f>IF(Table10[[#This Row],[Affordable Care]]=0,"",Table10[[#This Row],[Affordable Care]])</f>
        <v/>
      </c>
      <c r="Q25"/>
      <c r="R25"/>
      <c r="S25"/>
      <c r="T25" t="str">
        <f>IF(Table10[[#This Row],[Bulk Lease Unit]]=0,"",Table10[[#This Row],[Bulk Lease Unit]])</f>
        <v/>
      </c>
      <c r="U25" t="str">
        <f>IF(Table10[[#This Row],[Den Included Unit]]=0,"",Table10[[#This Row],[Den Included Unit]])</f>
        <v/>
      </c>
      <c r="V25" t="str">
        <f>IF(Table10[[#This Row],[Second Bathroom]]=0,"",Table10[[#This Row],[Second Bathroom]])</f>
        <v/>
      </c>
      <c r="W25" t="str">
        <f>IF(Table10[[#This Row],[Heating]]=0,"",Table10[[#This Row],[Heating]])</f>
        <v/>
      </c>
      <c r="X25" t="str">
        <f>IF(Table10[[#This Row],[Electricity]]=0,"",Table10[[#This Row],[Electricity]])</f>
        <v/>
      </c>
      <c r="Y25" t="str">
        <f>IF(Table10[[#This Row],[Water]]=0,"",Table10[[#This Row],[Water]])</f>
        <v/>
      </c>
      <c r="Z25" t="str">
        <f>IF(Table10[[#This Row],[Washer/Dryer]]=0,"",Table10[[#This Row],[Washer/Dryer]])</f>
        <v/>
      </c>
      <c r="AA25" t="str">
        <f>IF(Table10[[#This Row],[Stove/Fridge]]=0,"",Table10[[#This Row],[Stove/Fridge]])</f>
        <v/>
      </c>
      <c r="AB25" t="str">
        <f>IF(Table10[[#This Row],[Dishwasher]]=0,"",Table10[[#This Row],[Dishwasher]])</f>
        <v/>
      </c>
      <c r="AC25" t="str">
        <f>IF(Table10[[#This Row],[Parking]]=0,"",Table10[[#This Row],[Parking]])</f>
        <v/>
      </c>
      <c r="AD25" t="str">
        <f>IF(Table10[[#This Row],[Furniture]]=0,"",Table10[[#This Row],[Furniture]])</f>
        <v/>
      </c>
      <c r="AE25" t="str">
        <f>IF(Table10[[#This Row],[Other]]=0,"",Table10[[#This Row],[Other]])</f>
        <v/>
      </c>
    </row>
    <row r="26" spans="1:31">
      <c r="A26" t="str">
        <f>IF(Table10[[#This Row],[Unit Type]]=0,"",Table10[[#This Row],[Unit Type]])</f>
        <v>1 Bedroom</v>
      </c>
      <c r="B26"/>
      <c r="C26"/>
      <c r="D26">
        <f>IF(Table10[[#This Row],[Unit '#]]=0,"",Table10[[#This Row],[Unit '#]])</f>
        <v>24</v>
      </c>
      <c r="E26"/>
      <c r="F26">
        <f>IF(Table10[[#This Row],[Rental Rate ($/mth)]]=0,"",Table10[[#This Row],[Rental Rate ($/mth)]])</f>
        <v>2490</v>
      </c>
      <c r="G26"/>
      <c r="H26"/>
      <c r="I26"/>
      <c r="J26">
        <f>IF(Table10[[#This Row],[Unit Size (sq ft)]]=0,"",Table10[[#This Row],[Unit Size (sq ft)]])</f>
        <v>624</v>
      </c>
      <c r="K26"/>
      <c r="L26" t="str">
        <f>Table10[[#This Row],[Market Unit]]</f>
        <v>Yes</v>
      </c>
      <c r="M26" t="str">
        <f>Table10[[#This Row],[Affordable Unit]]</f>
        <v>No</v>
      </c>
      <c r="N26" t="str">
        <f>IF(Table10[[#This Row],[Subsidized Unit]]=0,"",Table10[[#This Row],[Subsidized Unit]])</f>
        <v/>
      </c>
      <c r="O26" t="str">
        <f>IF(Table10[[#This Row],[Care Services]]=0,"",Table10[[#This Row],[Care Services]])</f>
        <v/>
      </c>
      <c r="P26" t="str">
        <f>IF(Table10[[#This Row],[Affordable Care]]=0,"",Table10[[#This Row],[Affordable Care]])</f>
        <v/>
      </c>
      <c r="Q26"/>
      <c r="R26"/>
      <c r="S26"/>
      <c r="T26" t="str">
        <f>IF(Table10[[#This Row],[Bulk Lease Unit]]=0,"",Table10[[#This Row],[Bulk Lease Unit]])</f>
        <v/>
      </c>
      <c r="U26" t="str">
        <f>IF(Table10[[#This Row],[Den Included Unit]]=0,"",Table10[[#This Row],[Den Included Unit]])</f>
        <v/>
      </c>
      <c r="V26" t="str">
        <f>IF(Table10[[#This Row],[Second Bathroom]]=0,"",Table10[[#This Row],[Second Bathroom]])</f>
        <v/>
      </c>
      <c r="W26" t="str">
        <f>IF(Table10[[#This Row],[Heating]]=0,"",Table10[[#This Row],[Heating]])</f>
        <v/>
      </c>
      <c r="X26" t="str">
        <f>IF(Table10[[#This Row],[Electricity]]=0,"",Table10[[#This Row],[Electricity]])</f>
        <v/>
      </c>
      <c r="Y26" t="str">
        <f>IF(Table10[[#This Row],[Water]]=0,"",Table10[[#This Row],[Water]])</f>
        <v/>
      </c>
      <c r="Z26" t="str">
        <f>IF(Table10[[#This Row],[Washer/Dryer]]=0,"",Table10[[#This Row],[Washer/Dryer]])</f>
        <v/>
      </c>
      <c r="AA26" t="str">
        <f>IF(Table10[[#This Row],[Stove/Fridge]]=0,"",Table10[[#This Row],[Stove/Fridge]])</f>
        <v/>
      </c>
      <c r="AB26" t="str">
        <f>IF(Table10[[#This Row],[Dishwasher]]=0,"",Table10[[#This Row],[Dishwasher]])</f>
        <v/>
      </c>
      <c r="AC26" t="str">
        <f>IF(Table10[[#This Row],[Parking]]=0,"",Table10[[#This Row],[Parking]])</f>
        <v/>
      </c>
      <c r="AD26" t="str">
        <f>IF(Table10[[#This Row],[Furniture]]=0,"",Table10[[#This Row],[Furniture]])</f>
        <v/>
      </c>
      <c r="AE26" t="str">
        <f>IF(Table10[[#This Row],[Other]]=0,"",Table10[[#This Row],[Other]])</f>
        <v/>
      </c>
    </row>
    <row r="27" spans="1:31">
      <c r="A27" t="str">
        <f>IF(Table10[[#This Row],[Unit Type]]=0,"",Table10[[#This Row],[Unit Type]])</f>
        <v>1 Bedroom</v>
      </c>
      <c r="B27"/>
      <c r="C27"/>
      <c r="D27">
        <f>IF(Table10[[#This Row],[Unit '#]]=0,"",Table10[[#This Row],[Unit '#]])</f>
        <v>25</v>
      </c>
      <c r="E27"/>
      <c r="F27">
        <f>IF(Table10[[#This Row],[Rental Rate ($/mth)]]=0,"",Table10[[#This Row],[Rental Rate ($/mth)]])</f>
        <v>2490</v>
      </c>
      <c r="G27"/>
      <c r="H27"/>
      <c r="I27"/>
      <c r="J27">
        <f>IF(Table10[[#This Row],[Unit Size (sq ft)]]=0,"",Table10[[#This Row],[Unit Size (sq ft)]])</f>
        <v>624</v>
      </c>
      <c r="K27"/>
      <c r="L27" t="str">
        <f>Table10[[#This Row],[Market Unit]]</f>
        <v>Yes</v>
      </c>
      <c r="M27" t="str">
        <f>Table10[[#This Row],[Affordable Unit]]</f>
        <v>No</v>
      </c>
      <c r="N27" t="str">
        <f>IF(Table10[[#This Row],[Subsidized Unit]]=0,"",Table10[[#This Row],[Subsidized Unit]])</f>
        <v/>
      </c>
      <c r="O27" t="str">
        <f>IF(Table10[[#This Row],[Care Services]]=0,"",Table10[[#This Row],[Care Services]])</f>
        <v/>
      </c>
      <c r="P27" t="str">
        <f>IF(Table10[[#This Row],[Affordable Care]]=0,"",Table10[[#This Row],[Affordable Care]])</f>
        <v/>
      </c>
      <c r="Q27"/>
      <c r="R27"/>
      <c r="S27"/>
      <c r="T27" t="str">
        <f>IF(Table10[[#This Row],[Bulk Lease Unit]]=0,"",Table10[[#This Row],[Bulk Lease Unit]])</f>
        <v/>
      </c>
      <c r="U27" t="str">
        <f>IF(Table10[[#This Row],[Den Included Unit]]=0,"",Table10[[#This Row],[Den Included Unit]])</f>
        <v/>
      </c>
      <c r="V27" t="str">
        <f>IF(Table10[[#This Row],[Second Bathroom]]=0,"",Table10[[#This Row],[Second Bathroom]])</f>
        <v/>
      </c>
      <c r="W27" t="str">
        <f>IF(Table10[[#This Row],[Heating]]=0,"",Table10[[#This Row],[Heating]])</f>
        <v/>
      </c>
      <c r="X27" t="str">
        <f>IF(Table10[[#This Row],[Electricity]]=0,"",Table10[[#This Row],[Electricity]])</f>
        <v/>
      </c>
      <c r="Y27" t="str">
        <f>IF(Table10[[#This Row],[Water]]=0,"",Table10[[#This Row],[Water]])</f>
        <v/>
      </c>
      <c r="Z27" t="str">
        <f>IF(Table10[[#This Row],[Washer/Dryer]]=0,"",Table10[[#This Row],[Washer/Dryer]])</f>
        <v/>
      </c>
      <c r="AA27" t="str">
        <f>IF(Table10[[#This Row],[Stove/Fridge]]=0,"",Table10[[#This Row],[Stove/Fridge]])</f>
        <v/>
      </c>
      <c r="AB27" t="str">
        <f>IF(Table10[[#This Row],[Dishwasher]]=0,"",Table10[[#This Row],[Dishwasher]])</f>
        <v/>
      </c>
      <c r="AC27" t="str">
        <f>IF(Table10[[#This Row],[Parking]]=0,"",Table10[[#This Row],[Parking]])</f>
        <v/>
      </c>
      <c r="AD27" t="str">
        <f>IF(Table10[[#This Row],[Furniture]]=0,"",Table10[[#This Row],[Furniture]])</f>
        <v/>
      </c>
      <c r="AE27" t="str">
        <f>IF(Table10[[#This Row],[Other]]=0,"",Table10[[#This Row],[Other]])</f>
        <v/>
      </c>
    </row>
    <row r="28" spans="1:31">
      <c r="A28" t="str">
        <f>IF(Table10[[#This Row],[Unit Type]]=0,"",Table10[[#This Row],[Unit Type]])</f>
        <v>1 Bedroom</v>
      </c>
      <c r="B28" t="str">
        <f>IF(Table10[[#This Row],[Residential Stream Source]]=0,"",Table10[[#This Row],[Residential Stream Source]])</f>
        <v/>
      </c>
      <c r="C28" t="str">
        <f>IF(Table10[[#This Row],[Basement?]]=0,"",Table10[[#This Row],[Basement?]])</f>
        <v/>
      </c>
      <c r="D28">
        <f>IF(Table10[[#This Row],[Unit '#]]=0,"",Table10[[#This Row],[Unit '#]])</f>
        <v>26</v>
      </c>
      <c r="E28" t="str">
        <f>IF(Table10[[#This Row],[Vacant?]]=0,"",Table10[[#This Row],[Vacant?]])</f>
        <v/>
      </c>
      <c r="F28">
        <f>IF(Table10[[#This Row],[Rental Rate ($/mth)]]=0,"",Table10[[#This Row],[Rental Rate ($/mth)]])</f>
        <v>2490</v>
      </c>
      <c r="G28"/>
      <c r="H28"/>
      <c r="I28"/>
      <c r="J28">
        <f>IF(Table10[[#This Row],[Unit Size (sq ft)]]=0,"",Table10[[#This Row],[Unit Size (sq ft)]])</f>
        <v>624</v>
      </c>
      <c r="K28"/>
      <c r="L28" t="str">
        <f>Table10[[#This Row],[Market Unit]]</f>
        <v>Yes</v>
      </c>
      <c r="M28" t="str">
        <f>Table10[[#This Row],[Affordable Unit]]</f>
        <v>No</v>
      </c>
      <c r="N28" t="str">
        <f>IF(Table10[[#This Row],[Subsidized Unit]]=0,"",Table10[[#This Row],[Subsidized Unit]])</f>
        <v/>
      </c>
      <c r="O28" t="str">
        <f>IF(Table10[[#This Row],[Care Services]]=0,"",Table10[[#This Row],[Care Services]])</f>
        <v/>
      </c>
      <c r="P28" t="str">
        <f>IF(Table10[[#This Row],[Affordable Care]]=0,"",Table10[[#This Row],[Affordable Care]])</f>
        <v/>
      </c>
      <c r="Q28"/>
      <c r="R28"/>
      <c r="S28"/>
      <c r="T28" t="str">
        <f>IF(Table10[[#This Row],[Bulk Lease Unit]]=0,"",Table10[[#This Row],[Bulk Lease Unit]])</f>
        <v/>
      </c>
      <c r="U28" t="str">
        <f>IF(Table10[[#This Row],[Den Included Unit]]=0,"",Table10[[#This Row],[Den Included Unit]])</f>
        <v/>
      </c>
      <c r="V28" t="str">
        <f>IF(Table10[[#This Row],[Second Bathroom]]=0,"",Table10[[#This Row],[Second Bathroom]])</f>
        <v/>
      </c>
      <c r="W28" t="str">
        <f>IF(Table10[[#This Row],[Heating]]=0,"",Table10[[#This Row],[Heating]])</f>
        <v/>
      </c>
      <c r="X28" t="str">
        <f>IF(Table10[[#This Row],[Electricity]]=0,"",Table10[[#This Row],[Electricity]])</f>
        <v/>
      </c>
      <c r="Y28" t="str">
        <f>IF(Table10[[#This Row],[Water]]=0,"",Table10[[#This Row],[Water]])</f>
        <v/>
      </c>
      <c r="Z28" t="str">
        <f>IF(Table10[[#This Row],[Washer/Dryer]]=0,"",Table10[[#This Row],[Washer/Dryer]])</f>
        <v/>
      </c>
      <c r="AA28" t="str">
        <f>IF(Table10[[#This Row],[Stove/Fridge]]=0,"",Table10[[#This Row],[Stove/Fridge]])</f>
        <v/>
      </c>
      <c r="AB28" t="str">
        <f>IF(Table10[[#This Row],[Dishwasher]]=0,"",Table10[[#This Row],[Dishwasher]])</f>
        <v/>
      </c>
      <c r="AC28" t="str">
        <f>IF(Table10[[#This Row],[Parking]]=0,"",Table10[[#This Row],[Parking]])</f>
        <v/>
      </c>
      <c r="AD28" t="str">
        <f>IF(Table10[[#This Row],[Furniture]]=0,"",Table10[[#This Row],[Furniture]])</f>
        <v/>
      </c>
      <c r="AE28" t="str">
        <f>IF(Table10[[#This Row],[Other]]=0,"",Table10[[#This Row],[Other]])</f>
        <v/>
      </c>
    </row>
    <row r="29" spans="1:31">
      <c r="A29" t="str">
        <f>IF(Table10[[#This Row],[Unit Type]]=0,"",Table10[[#This Row],[Unit Type]])</f>
        <v>1 Bedroom</v>
      </c>
      <c r="B29" t="str">
        <f>IF(Table10[[#This Row],[Residential Stream Source]]=0,"",Table10[[#This Row],[Residential Stream Source]])</f>
        <v/>
      </c>
      <c r="C29" t="str">
        <f>IF(Table10[[#This Row],[Basement?]]=0,"",Table10[[#This Row],[Basement?]])</f>
        <v/>
      </c>
      <c r="D29">
        <f>IF(Table10[[#This Row],[Unit '#]]=0,"",Table10[[#This Row],[Unit '#]])</f>
        <v>27</v>
      </c>
      <c r="E29" t="str">
        <f>IF(Table10[[#This Row],[Vacant?]]=0,"",Table10[[#This Row],[Vacant?]])</f>
        <v/>
      </c>
      <c r="F29">
        <f>IF(Table10[[#This Row],[Rental Rate ($/mth)]]=0,"",Table10[[#This Row],[Rental Rate ($/mth)]])</f>
        <v>2490</v>
      </c>
      <c r="G29"/>
      <c r="H29"/>
      <c r="I29"/>
      <c r="J29">
        <f>IF(Table10[[#This Row],[Unit Size (sq ft)]]=0,"",Table10[[#This Row],[Unit Size (sq ft)]])</f>
        <v>624</v>
      </c>
      <c r="K29"/>
      <c r="L29" t="str">
        <f>Table10[[#This Row],[Market Unit]]</f>
        <v>Yes</v>
      </c>
      <c r="M29" t="str">
        <f>Table10[[#This Row],[Affordable Unit]]</f>
        <v>No</v>
      </c>
      <c r="N29" t="str">
        <f>IF(Table10[[#This Row],[Subsidized Unit]]=0,"",Table10[[#This Row],[Subsidized Unit]])</f>
        <v/>
      </c>
      <c r="O29" t="str">
        <f>IF(Table10[[#This Row],[Care Services]]=0,"",Table10[[#This Row],[Care Services]])</f>
        <v/>
      </c>
      <c r="P29" t="str">
        <f>IF(Table10[[#This Row],[Affordable Care]]=0,"",Table10[[#This Row],[Affordable Care]])</f>
        <v/>
      </c>
      <c r="Q29"/>
      <c r="R29"/>
      <c r="S29"/>
      <c r="T29" t="str">
        <f>IF(Table10[[#This Row],[Bulk Lease Unit]]=0,"",Table10[[#This Row],[Bulk Lease Unit]])</f>
        <v/>
      </c>
      <c r="U29" t="str">
        <f>IF(Table10[[#This Row],[Den Included Unit]]=0,"",Table10[[#This Row],[Den Included Unit]])</f>
        <v/>
      </c>
      <c r="V29" t="str">
        <f>IF(Table10[[#This Row],[Second Bathroom]]=0,"",Table10[[#This Row],[Second Bathroom]])</f>
        <v/>
      </c>
      <c r="W29" t="str">
        <f>IF(Table10[[#This Row],[Heating]]=0,"",Table10[[#This Row],[Heating]])</f>
        <v/>
      </c>
      <c r="X29" t="str">
        <f>IF(Table10[[#This Row],[Electricity]]=0,"",Table10[[#This Row],[Electricity]])</f>
        <v/>
      </c>
      <c r="Y29" t="str">
        <f>IF(Table10[[#This Row],[Water]]=0,"",Table10[[#This Row],[Water]])</f>
        <v/>
      </c>
      <c r="Z29" t="str">
        <f>IF(Table10[[#This Row],[Washer/Dryer]]=0,"",Table10[[#This Row],[Washer/Dryer]])</f>
        <v/>
      </c>
      <c r="AA29" t="str">
        <f>IF(Table10[[#This Row],[Stove/Fridge]]=0,"",Table10[[#This Row],[Stove/Fridge]])</f>
        <v/>
      </c>
      <c r="AB29" t="str">
        <f>IF(Table10[[#This Row],[Dishwasher]]=0,"",Table10[[#This Row],[Dishwasher]])</f>
        <v/>
      </c>
      <c r="AC29" t="str">
        <f>IF(Table10[[#This Row],[Parking]]=0,"",Table10[[#This Row],[Parking]])</f>
        <v/>
      </c>
      <c r="AD29" t="str">
        <f>IF(Table10[[#This Row],[Furniture]]=0,"",Table10[[#This Row],[Furniture]])</f>
        <v/>
      </c>
      <c r="AE29" t="str">
        <f>IF(Table10[[#This Row],[Other]]=0,"",Table10[[#This Row],[Other]])</f>
        <v/>
      </c>
    </row>
    <row r="30" spans="1:31">
      <c r="A30" t="str">
        <f>IF(Table10[[#This Row],[Unit Type]]=0,"",Table10[[#This Row],[Unit Type]])</f>
        <v>1 Bedroom</v>
      </c>
      <c r="B30" t="str">
        <f>IF(Table10[[#This Row],[Residential Stream Source]]=0,"",Table10[[#This Row],[Residential Stream Source]])</f>
        <v/>
      </c>
      <c r="C30" t="str">
        <f>IF(Table10[[#This Row],[Basement?]]=0,"",Table10[[#This Row],[Basement?]])</f>
        <v/>
      </c>
      <c r="D30">
        <f>IF(Table10[[#This Row],[Unit '#]]=0,"",Table10[[#This Row],[Unit '#]])</f>
        <v>28</v>
      </c>
      <c r="E30" t="str">
        <f>IF(Table10[[#This Row],[Vacant?]]=0,"",Table10[[#This Row],[Vacant?]])</f>
        <v/>
      </c>
      <c r="F30">
        <f>IF(Table10[[#This Row],[Rental Rate ($/mth)]]=0,"",Table10[[#This Row],[Rental Rate ($/mth)]])</f>
        <v>2490</v>
      </c>
      <c r="G30"/>
      <c r="H30"/>
      <c r="I30"/>
      <c r="J30">
        <f>IF(Table10[[#This Row],[Unit Size (sq ft)]]=0,"",Table10[[#This Row],[Unit Size (sq ft)]])</f>
        <v>624</v>
      </c>
      <c r="K30"/>
      <c r="L30" t="str">
        <f>Table10[[#This Row],[Market Unit]]</f>
        <v>Yes</v>
      </c>
      <c r="M30" t="str">
        <f>Table10[[#This Row],[Affordable Unit]]</f>
        <v>No</v>
      </c>
      <c r="N30" t="str">
        <f>IF(Table10[[#This Row],[Subsidized Unit]]=0,"",Table10[[#This Row],[Subsidized Unit]])</f>
        <v/>
      </c>
      <c r="O30" t="str">
        <f>IF(Table10[[#This Row],[Care Services]]=0,"",Table10[[#This Row],[Care Services]])</f>
        <v/>
      </c>
      <c r="P30" t="str">
        <f>IF(Table10[[#This Row],[Affordable Care]]=0,"",Table10[[#This Row],[Affordable Care]])</f>
        <v/>
      </c>
      <c r="Q30"/>
      <c r="R30"/>
      <c r="S30"/>
      <c r="T30" t="str">
        <f>IF(Table10[[#This Row],[Bulk Lease Unit]]=0,"",Table10[[#This Row],[Bulk Lease Unit]])</f>
        <v/>
      </c>
      <c r="U30" t="str">
        <f>IF(Table10[[#This Row],[Den Included Unit]]=0,"",Table10[[#This Row],[Den Included Unit]])</f>
        <v/>
      </c>
      <c r="V30" t="str">
        <f>IF(Table10[[#This Row],[Second Bathroom]]=0,"",Table10[[#This Row],[Second Bathroom]])</f>
        <v/>
      </c>
      <c r="W30" t="str">
        <f>IF(Table10[[#This Row],[Heating]]=0,"",Table10[[#This Row],[Heating]])</f>
        <v/>
      </c>
      <c r="X30" t="str">
        <f>IF(Table10[[#This Row],[Electricity]]=0,"",Table10[[#This Row],[Electricity]])</f>
        <v/>
      </c>
      <c r="Y30" t="str">
        <f>IF(Table10[[#This Row],[Water]]=0,"",Table10[[#This Row],[Water]])</f>
        <v/>
      </c>
      <c r="Z30" t="str">
        <f>IF(Table10[[#This Row],[Washer/Dryer]]=0,"",Table10[[#This Row],[Washer/Dryer]])</f>
        <v/>
      </c>
      <c r="AA30" t="str">
        <f>IF(Table10[[#This Row],[Stove/Fridge]]=0,"",Table10[[#This Row],[Stove/Fridge]])</f>
        <v/>
      </c>
      <c r="AB30" t="str">
        <f>IF(Table10[[#This Row],[Dishwasher]]=0,"",Table10[[#This Row],[Dishwasher]])</f>
        <v/>
      </c>
      <c r="AC30" t="str">
        <f>IF(Table10[[#This Row],[Parking]]=0,"",Table10[[#This Row],[Parking]])</f>
        <v/>
      </c>
      <c r="AD30" t="str">
        <f>IF(Table10[[#This Row],[Furniture]]=0,"",Table10[[#This Row],[Furniture]])</f>
        <v/>
      </c>
      <c r="AE30" t="str">
        <f>IF(Table10[[#This Row],[Other]]=0,"",Table10[[#This Row],[Other]])</f>
        <v/>
      </c>
    </row>
    <row r="31" spans="1:31">
      <c r="A31" t="str">
        <f>IF(Table10[[#This Row],[Unit Type]]=0,"",Table10[[#This Row],[Unit Type]])</f>
        <v>1 Bedroom</v>
      </c>
      <c r="B31" t="str">
        <f>IF(Table10[[#This Row],[Residential Stream Source]]=0,"",Table10[[#This Row],[Residential Stream Source]])</f>
        <v/>
      </c>
      <c r="C31" t="str">
        <f>IF(Table10[[#This Row],[Basement?]]=0,"",Table10[[#This Row],[Basement?]])</f>
        <v/>
      </c>
      <c r="D31">
        <f>IF(Table10[[#This Row],[Unit '#]]=0,"",Table10[[#This Row],[Unit '#]])</f>
        <v>29</v>
      </c>
      <c r="E31" t="str">
        <f>IF(Table10[[#This Row],[Vacant?]]=0,"",Table10[[#This Row],[Vacant?]])</f>
        <v/>
      </c>
      <c r="F31">
        <f>IF(Table10[[#This Row],[Rental Rate ($/mth)]]=0,"",Table10[[#This Row],[Rental Rate ($/mth)]])</f>
        <v>2490</v>
      </c>
      <c r="G31"/>
      <c r="H31"/>
      <c r="I31"/>
      <c r="J31">
        <f>IF(Table10[[#This Row],[Unit Size (sq ft)]]=0,"",Table10[[#This Row],[Unit Size (sq ft)]])</f>
        <v>624</v>
      </c>
      <c r="K31"/>
      <c r="L31" t="str">
        <f>Table10[[#This Row],[Market Unit]]</f>
        <v>Yes</v>
      </c>
      <c r="M31" t="str">
        <f>Table10[[#This Row],[Affordable Unit]]</f>
        <v>No</v>
      </c>
      <c r="N31" t="str">
        <f>IF(Table10[[#This Row],[Subsidized Unit]]=0,"",Table10[[#This Row],[Subsidized Unit]])</f>
        <v/>
      </c>
      <c r="O31" t="str">
        <f>IF(Table10[[#This Row],[Care Services]]=0,"",Table10[[#This Row],[Care Services]])</f>
        <v/>
      </c>
      <c r="P31" t="str">
        <f>IF(Table10[[#This Row],[Affordable Care]]=0,"",Table10[[#This Row],[Affordable Care]])</f>
        <v/>
      </c>
      <c r="Q31"/>
      <c r="R31"/>
      <c r="S31"/>
      <c r="T31" t="str">
        <f>IF(Table10[[#This Row],[Bulk Lease Unit]]=0,"",Table10[[#This Row],[Bulk Lease Unit]])</f>
        <v/>
      </c>
      <c r="U31" t="str">
        <f>IF(Table10[[#This Row],[Den Included Unit]]=0,"",Table10[[#This Row],[Den Included Unit]])</f>
        <v/>
      </c>
      <c r="V31" t="str">
        <f>IF(Table10[[#This Row],[Second Bathroom]]=0,"",Table10[[#This Row],[Second Bathroom]])</f>
        <v/>
      </c>
      <c r="W31" t="str">
        <f>IF(Table10[[#This Row],[Heating]]=0,"",Table10[[#This Row],[Heating]])</f>
        <v/>
      </c>
      <c r="X31" t="str">
        <f>IF(Table10[[#This Row],[Electricity]]=0,"",Table10[[#This Row],[Electricity]])</f>
        <v/>
      </c>
      <c r="Y31" t="str">
        <f>IF(Table10[[#This Row],[Water]]=0,"",Table10[[#This Row],[Water]])</f>
        <v/>
      </c>
      <c r="Z31" t="str">
        <f>IF(Table10[[#This Row],[Washer/Dryer]]=0,"",Table10[[#This Row],[Washer/Dryer]])</f>
        <v/>
      </c>
      <c r="AA31" t="str">
        <f>IF(Table10[[#This Row],[Stove/Fridge]]=0,"",Table10[[#This Row],[Stove/Fridge]])</f>
        <v/>
      </c>
      <c r="AB31" t="str">
        <f>IF(Table10[[#This Row],[Dishwasher]]=0,"",Table10[[#This Row],[Dishwasher]])</f>
        <v/>
      </c>
      <c r="AC31" t="str">
        <f>IF(Table10[[#This Row],[Parking]]=0,"",Table10[[#This Row],[Parking]])</f>
        <v/>
      </c>
      <c r="AD31" t="str">
        <f>IF(Table10[[#This Row],[Furniture]]=0,"",Table10[[#This Row],[Furniture]])</f>
        <v/>
      </c>
      <c r="AE31" t="str">
        <f>IF(Table10[[#This Row],[Other]]=0,"",Table10[[#This Row],[Other]])</f>
        <v/>
      </c>
    </row>
    <row r="32" spans="1:31">
      <c r="A32" t="str">
        <f>IF(Table10[[#This Row],[Unit Type]]=0,"",Table10[[#This Row],[Unit Type]])</f>
        <v>1 Bedroom</v>
      </c>
      <c r="B32" t="str">
        <f>IF(Table10[[#This Row],[Residential Stream Source]]=0,"",Table10[[#This Row],[Residential Stream Source]])</f>
        <v/>
      </c>
      <c r="C32" t="str">
        <f>IF(Table10[[#This Row],[Basement?]]=0,"",Table10[[#This Row],[Basement?]])</f>
        <v/>
      </c>
      <c r="D32">
        <f>IF(Table10[[#This Row],[Unit '#]]=0,"",Table10[[#This Row],[Unit '#]])</f>
        <v>30</v>
      </c>
      <c r="E32" t="str">
        <f>IF(Table10[[#This Row],[Vacant?]]=0,"",Table10[[#This Row],[Vacant?]])</f>
        <v/>
      </c>
      <c r="F32">
        <f>IF(Table10[[#This Row],[Rental Rate ($/mth)]]=0,"",Table10[[#This Row],[Rental Rate ($/mth)]])</f>
        <v>2490</v>
      </c>
      <c r="G32"/>
      <c r="H32"/>
      <c r="I32"/>
      <c r="J32">
        <f>IF(Table10[[#This Row],[Unit Size (sq ft)]]=0,"",Table10[[#This Row],[Unit Size (sq ft)]])</f>
        <v>624</v>
      </c>
      <c r="K32"/>
      <c r="L32" t="str">
        <f>Table10[[#This Row],[Market Unit]]</f>
        <v>Yes</v>
      </c>
      <c r="M32" t="str">
        <f>Table10[[#This Row],[Affordable Unit]]</f>
        <v>No</v>
      </c>
      <c r="N32" t="str">
        <f>IF(Table10[[#This Row],[Subsidized Unit]]=0,"",Table10[[#This Row],[Subsidized Unit]])</f>
        <v/>
      </c>
      <c r="O32" t="str">
        <f>IF(Table10[[#This Row],[Care Services]]=0,"",Table10[[#This Row],[Care Services]])</f>
        <v/>
      </c>
      <c r="P32" t="str">
        <f>IF(Table10[[#This Row],[Affordable Care]]=0,"",Table10[[#This Row],[Affordable Care]])</f>
        <v/>
      </c>
      <c r="Q32"/>
      <c r="R32"/>
      <c r="S32"/>
      <c r="T32" t="str">
        <f>IF(Table10[[#This Row],[Bulk Lease Unit]]=0,"",Table10[[#This Row],[Bulk Lease Unit]])</f>
        <v/>
      </c>
      <c r="U32" t="str">
        <f>IF(Table10[[#This Row],[Den Included Unit]]=0,"",Table10[[#This Row],[Den Included Unit]])</f>
        <v/>
      </c>
      <c r="V32" t="str">
        <f>IF(Table10[[#This Row],[Second Bathroom]]=0,"",Table10[[#This Row],[Second Bathroom]])</f>
        <v/>
      </c>
      <c r="W32" t="str">
        <f>IF(Table10[[#This Row],[Heating]]=0,"",Table10[[#This Row],[Heating]])</f>
        <v/>
      </c>
      <c r="X32" t="str">
        <f>IF(Table10[[#This Row],[Electricity]]=0,"",Table10[[#This Row],[Electricity]])</f>
        <v/>
      </c>
      <c r="Y32" t="str">
        <f>IF(Table10[[#This Row],[Water]]=0,"",Table10[[#This Row],[Water]])</f>
        <v/>
      </c>
      <c r="Z32" t="str">
        <f>IF(Table10[[#This Row],[Washer/Dryer]]=0,"",Table10[[#This Row],[Washer/Dryer]])</f>
        <v/>
      </c>
      <c r="AA32" t="str">
        <f>IF(Table10[[#This Row],[Stove/Fridge]]=0,"",Table10[[#This Row],[Stove/Fridge]])</f>
        <v/>
      </c>
      <c r="AB32" t="str">
        <f>IF(Table10[[#This Row],[Dishwasher]]=0,"",Table10[[#This Row],[Dishwasher]])</f>
        <v/>
      </c>
      <c r="AC32" t="str">
        <f>IF(Table10[[#This Row],[Parking]]=0,"",Table10[[#This Row],[Parking]])</f>
        <v/>
      </c>
      <c r="AD32" t="str">
        <f>IF(Table10[[#This Row],[Furniture]]=0,"",Table10[[#This Row],[Furniture]])</f>
        <v/>
      </c>
      <c r="AE32" t="str">
        <f>IF(Table10[[#This Row],[Other]]=0,"",Table10[[#This Row],[Other]])</f>
        <v/>
      </c>
    </row>
    <row r="33" spans="1:31">
      <c r="A33" t="str">
        <f>IF(Table10[[#This Row],[Unit Type]]=0,"",Table10[[#This Row],[Unit Type]])</f>
        <v>1 Bedroom</v>
      </c>
      <c r="B33" t="str">
        <f>IF(Table10[[#This Row],[Residential Stream Source]]=0,"",Table10[[#This Row],[Residential Stream Source]])</f>
        <v/>
      </c>
      <c r="C33" t="str">
        <f>IF(Table10[[#This Row],[Basement?]]=0,"",Table10[[#This Row],[Basement?]])</f>
        <v/>
      </c>
      <c r="D33">
        <f>IF(Table10[[#This Row],[Unit '#]]=0,"",Table10[[#This Row],[Unit '#]])</f>
        <v>31</v>
      </c>
      <c r="E33" t="str">
        <f>IF(Table10[[#This Row],[Vacant?]]=0,"",Table10[[#This Row],[Vacant?]])</f>
        <v/>
      </c>
      <c r="F33">
        <f>IF(Table10[[#This Row],[Rental Rate ($/mth)]]=0,"",Table10[[#This Row],[Rental Rate ($/mth)]])</f>
        <v>2490</v>
      </c>
      <c r="G33"/>
      <c r="H33"/>
      <c r="I33"/>
      <c r="J33">
        <f>IF(Table10[[#This Row],[Unit Size (sq ft)]]=0,"",Table10[[#This Row],[Unit Size (sq ft)]])</f>
        <v>624</v>
      </c>
      <c r="K33"/>
      <c r="L33" t="str">
        <f>Table10[[#This Row],[Market Unit]]</f>
        <v>Yes</v>
      </c>
      <c r="M33" t="str">
        <f>Table10[[#This Row],[Affordable Unit]]</f>
        <v>No</v>
      </c>
      <c r="N33" t="str">
        <f>IF(Table10[[#This Row],[Subsidized Unit]]=0,"",Table10[[#This Row],[Subsidized Unit]])</f>
        <v/>
      </c>
      <c r="O33" t="str">
        <f>IF(Table10[[#This Row],[Care Services]]=0,"",Table10[[#This Row],[Care Services]])</f>
        <v/>
      </c>
      <c r="P33" t="str">
        <f>IF(Table10[[#This Row],[Affordable Care]]=0,"",Table10[[#This Row],[Affordable Care]])</f>
        <v/>
      </c>
      <c r="Q33"/>
      <c r="R33"/>
      <c r="S33"/>
      <c r="T33" t="str">
        <f>IF(Table10[[#This Row],[Bulk Lease Unit]]=0,"",Table10[[#This Row],[Bulk Lease Unit]])</f>
        <v/>
      </c>
      <c r="U33" t="str">
        <f>IF(Table10[[#This Row],[Den Included Unit]]=0,"",Table10[[#This Row],[Den Included Unit]])</f>
        <v/>
      </c>
      <c r="V33" t="str">
        <f>IF(Table10[[#This Row],[Second Bathroom]]=0,"",Table10[[#This Row],[Second Bathroom]])</f>
        <v/>
      </c>
      <c r="W33" t="str">
        <f>IF(Table10[[#This Row],[Heating]]=0,"",Table10[[#This Row],[Heating]])</f>
        <v/>
      </c>
      <c r="X33" t="str">
        <f>IF(Table10[[#This Row],[Electricity]]=0,"",Table10[[#This Row],[Electricity]])</f>
        <v/>
      </c>
      <c r="Y33" t="str">
        <f>IF(Table10[[#This Row],[Water]]=0,"",Table10[[#This Row],[Water]])</f>
        <v/>
      </c>
      <c r="Z33" t="str">
        <f>IF(Table10[[#This Row],[Washer/Dryer]]=0,"",Table10[[#This Row],[Washer/Dryer]])</f>
        <v/>
      </c>
      <c r="AA33" t="str">
        <f>IF(Table10[[#This Row],[Stove/Fridge]]=0,"",Table10[[#This Row],[Stove/Fridge]])</f>
        <v/>
      </c>
      <c r="AB33" t="str">
        <f>IF(Table10[[#This Row],[Dishwasher]]=0,"",Table10[[#This Row],[Dishwasher]])</f>
        <v/>
      </c>
      <c r="AC33" t="str">
        <f>IF(Table10[[#This Row],[Parking]]=0,"",Table10[[#This Row],[Parking]])</f>
        <v/>
      </c>
      <c r="AD33" t="str">
        <f>IF(Table10[[#This Row],[Furniture]]=0,"",Table10[[#This Row],[Furniture]])</f>
        <v/>
      </c>
      <c r="AE33" t="str">
        <f>IF(Table10[[#This Row],[Other]]=0,"",Table10[[#This Row],[Other]])</f>
        <v/>
      </c>
    </row>
    <row r="34" spans="1:31">
      <c r="A34" t="str">
        <f>IF(Table10[[#This Row],[Unit Type]]=0,"",Table10[[#This Row],[Unit Type]])</f>
        <v>1 Bedroom</v>
      </c>
      <c r="B34" t="str">
        <f>IF(Table10[[#This Row],[Residential Stream Source]]=0,"",Table10[[#This Row],[Residential Stream Source]])</f>
        <v/>
      </c>
      <c r="C34" t="str">
        <f>IF(Table10[[#This Row],[Basement?]]=0,"",Table10[[#This Row],[Basement?]])</f>
        <v/>
      </c>
      <c r="D34">
        <f>IF(Table10[[#This Row],[Unit '#]]=0,"",Table10[[#This Row],[Unit '#]])</f>
        <v>32</v>
      </c>
      <c r="E34" t="str">
        <f>IF(Table10[[#This Row],[Vacant?]]=0,"",Table10[[#This Row],[Vacant?]])</f>
        <v/>
      </c>
      <c r="F34">
        <f>IF(Table10[[#This Row],[Rental Rate ($/mth)]]=0,"",Table10[[#This Row],[Rental Rate ($/mth)]])</f>
        <v>2490</v>
      </c>
      <c r="G34"/>
      <c r="H34"/>
      <c r="I34"/>
      <c r="J34">
        <f>IF(Table10[[#This Row],[Unit Size (sq ft)]]=0,"",Table10[[#This Row],[Unit Size (sq ft)]])</f>
        <v>624</v>
      </c>
      <c r="K34"/>
      <c r="L34" t="str">
        <f>Table10[[#This Row],[Market Unit]]</f>
        <v>Yes</v>
      </c>
      <c r="M34" t="str">
        <f>Table10[[#This Row],[Affordable Unit]]</f>
        <v>No</v>
      </c>
      <c r="N34" t="str">
        <f>IF(Table10[[#This Row],[Subsidized Unit]]=0,"",Table10[[#This Row],[Subsidized Unit]])</f>
        <v/>
      </c>
      <c r="O34" t="str">
        <f>IF(Table10[[#This Row],[Care Services]]=0,"",Table10[[#This Row],[Care Services]])</f>
        <v/>
      </c>
      <c r="P34" t="str">
        <f>IF(Table10[[#This Row],[Affordable Care]]=0,"",Table10[[#This Row],[Affordable Care]])</f>
        <v/>
      </c>
      <c r="Q34"/>
      <c r="R34"/>
      <c r="S34"/>
      <c r="T34" t="str">
        <f>IF(Table10[[#This Row],[Bulk Lease Unit]]=0,"",Table10[[#This Row],[Bulk Lease Unit]])</f>
        <v/>
      </c>
      <c r="U34" t="str">
        <f>IF(Table10[[#This Row],[Den Included Unit]]=0,"",Table10[[#This Row],[Den Included Unit]])</f>
        <v/>
      </c>
      <c r="V34" t="str">
        <f>IF(Table10[[#This Row],[Second Bathroom]]=0,"",Table10[[#This Row],[Second Bathroom]])</f>
        <v/>
      </c>
      <c r="W34" t="str">
        <f>IF(Table10[[#This Row],[Heating]]=0,"",Table10[[#This Row],[Heating]])</f>
        <v/>
      </c>
      <c r="X34" t="str">
        <f>IF(Table10[[#This Row],[Electricity]]=0,"",Table10[[#This Row],[Electricity]])</f>
        <v/>
      </c>
      <c r="Y34" t="str">
        <f>IF(Table10[[#This Row],[Water]]=0,"",Table10[[#This Row],[Water]])</f>
        <v/>
      </c>
      <c r="Z34" t="str">
        <f>IF(Table10[[#This Row],[Washer/Dryer]]=0,"",Table10[[#This Row],[Washer/Dryer]])</f>
        <v/>
      </c>
      <c r="AA34" t="str">
        <f>IF(Table10[[#This Row],[Stove/Fridge]]=0,"",Table10[[#This Row],[Stove/Fridge]])</f>
        <v/>
      </c>
      <c r="AB34" t="str">
        <f>IF(Table10[[#This Row],[Dishwasher]]=0,"",Table10[[#This Row],[Dishwasher]])</f>
        <v/>
      </c>
      <c r="AC34" t="str">
        <f>IF(Table10[[#This Row],[Parking]]=0,"",Table10[[#This Row],[Parking]])</f>
        <v/>
      </c>
      <c r="AD34" t="str">
        <f>IF(Table10[[#This Row],[Furniture]]=0,"",Table10[[#This Row],[Furniture]])</f>
        <v/>
      </c>
      <c r="AE34" t="str">
        <f>IF(Table10[[#This Row],[Other]]=0,"",Table10[[#This Row],[Other]])</f>
        <v/>
      </c>
    </row>
    <row r="35" spans="1:31">
      <c r="A35" t="str">
        <f>IF(Table10[[#This Row],[Unit Type]]=0,"",Table10[[#This Row],[Unit Type]])</f>
        <v>1 Bedroom</v>
      </c>
      <c r="B35" t="str">
        <f>IF(Table10[[#This Row],[Residential Stream Source]]=0,"",Table10[[#This Row],[Residential Stream Source]])</f>
        <v/>
      </c>
      <c r="C35" t="str">
        <f>IF(Table10[[#This Row],[Basement?]]=0,"",Table10[[#This Row],[Basement?]])</f>
        <v/>
      </c>
      <c r="D35">
        <f>IF(Table10[[#This Row],[Unit '#]]=0,"",Table10[[#This Row],[Unit '#]])</f>
        <v>33</v>
      </c>
      <c r="E35" t="str">
        <f>IF(Table10[[#This Row],[Vacant?]]=0,"",Table10[[#This Row],[Vacant?]])</f>
        <v/>
      </c>
      <c r="F35">
        <f>IF(Table10[[#This Row],[Rental Rate ($/mth)]]=0,"",Table10[[#This Row],[Rental Rate ($/mth)]])</f>
        <v>2490</v>
      </c>
      <c r="G35"/>
      <c r="H35"/>
      <c r="I35"/>
      <c r="J35">
        <f>IF(Table10[[#This Row],[Unit Size (sq ft)]]=0,"",Table10[[#This Row],[Unit Size (sq ft)]])</f>
        <v>624</v>
      </c>
      <c r="K35"/>
      <c r="L35" t="str">
        <f>Table10[[#This Row],[Market Unit]]</f>
        <v>Yes</v>
      </c>
      <c r="M35" t="str">
        <f>Table10[[#This Row],[Affordable Unit]]</f>
        <v>No</v>
      </c>
      <c r="N35" t="str">
        <f>IF(Table10[[#This Row],[Subsidized Unit]]=0,"",Table10[[#This Row],[Subsidized Unit]])</f>
        <v/>
      </c>
      <c r="O35" t="str">
        <f>IF(Table10[[#This Row],[Care Services]]=0,"",Table10[[#This Row],[Care Services]])</f>
        <v/>
      </c>
      <c r="P35" t="str">
        <f>IF(Table10[[#This Row],[Affordable Care]]=0,"",Table10[[#This Row],[Affordable Care]])</f>
        <v/>
      </c>
      <c r="Q35"/>
      <c r="R35"/>
      <c r="S35"/>
      <c r="T35" t="str">
        <f>IF(Table10[[#This Row],[Bulk Lease Unit]]=0,"",Table10[[#This Row],[Bulk Lease Unit]])</f>
        <v/>
      </c>
      <c r="U35" t="str">
        <f>IF(Table10[[#This Row],[Den Included Unit]]=0,"",Table10[[#This Row],[Den Included Unit]])</f>
        <v/>
      </c>
      <c r="V35" t="str">
        <f>IF(Table10[[#This Row],[Second Bathroom]]=0,"",Table10[[#This Row],[Second Bathroom]])</f>
        <v/>
      </c>
      <c r="W35" t="str">
        <f>IF(Table10[[#This Row],[Heating]]=0,"",Table10[[#This Row],[Heating]])</f>
        <v/>
      </c>
      <c r="X35" t="str">
        <f>IF(Table10[[#This Row],[Electricity]]=0,"",Table10[[#This Row],[Electricity]])</f>
        <v/>
      </c>
      <c r="Y35" t="str">
        <f>IF(Table10[[#This Row],[Water]]=0,"",Table10[[#This Row],[Water]])</f>
        <v/>
      </c>
      <c r="Z35" t="str">
        <f>IF(Table10[[#This Row],[Washer/Dryer]]=0,"",Table10[[#This Row],[Washer/Dryer]])</f>
        <v/>
      </c>
      <c r="AA35" t="str">
        <f>IF(Table10[[#This Row],[Stove/Fridge]]=0,"",Table10[[#This Row],[Stove/Fridge]])</f>
        <v/>
      </c>
      <c r="AB35" t="str">
        <f>IF(Table10[[#This Row],[Dishwasher]]=0,"",Table10[[#This Row],[Dishwasher]])</f>
        <v/>
      </c>
      <c r="AC35" t="str">
        <f>IF(Table10[[#This Row],[Parking]]=0,"",Table10[[#This Row],[Parking]])</f>
        <v/>
      </c>
      <c r="AD35" t="str">
        <f>IF(Table10[[#This Row],[Furniture]]=0,"",Table10[[#This Row],[Furniture]])</f>
        <v/>
      </c>
      <c r="AE35" t="str">
        <f>IF(Table10[[#This Row],[Other]]=0,"",Table10[[#This Row],[Other]])</f>
        <v/>
      </c>
    </row>
    <row r="36" spans="1:31">
      <c r="A36" t="str">
        <f>IF(Table10[[#This Row],[Unit Type]]=0,"",Table10[[#This Row],[Unit Type]])</f>
        <v>1 Bedroom</v>
      </c>
      <c r="B36" t="str">
        <f>IF(Table10[[#This Row],[Residential Stream Source]]=0,"",Table10[[#This Row],[Residential Stream Source]])</f>
        <v/>
      </c>
      <c r="C36" t="str">
        <f>IF(Table10[[#This Row],[Basement?]]=0,"",Table10[[#This Row],[Basement?]])</f>
        <v/>
      </c>
      <c r="D36">
        <f>IF(Table10[[#This Row],[Unit '#]]=0,"",Table10[[#This Row],[Unit '#]])</f>
        <v>34</v>
      </c>
      <c r="E36" t="str">
        <f>IF(Table10[[#This Row],[Vacant?]]=0,"",Table10[[#This Row],[Vacant?]])</f>
        <v/>
      </c>
      <c r="F36">
        <f>IF(Table10[[#This Row],[Rental Rate ($/mth)]]=0,"",Table10[[#This Row],[Rental Rate ($/mth)]])</f>
        <v>2490</v>
      </c>
      <c r="G36"/>
      <c r="H36"/>
      <c r="I36"/>
      <c r="J36">
        <f>IF(Table10[[#This Row],[Unit Size (sq ft)]]=0,"",Table10[[#This Row],[Unit Size (sq ft)]])</f>
        <v>624</v>
      </c>
      <c r="K36"/>
      <c r="L36" t="str">
        <f>Table10[[#This Row],[Market Unit]]</f>
        <v>Yes</v>
      </c>
      <c r="M36" t="str">
        <f>Table10[[#This Row],[Affordable Unit]]</f>
        <v>No</v>
      </c>
      <c r="N36" t="str">
        <f>IF(Table10[[#This Row],[Subsidized Unit]]=0,"",Table10[[#This Row],[Subsidized Unit]])</f>
        <v/>
      </c>
      <c r="O36" t="str">
        <f>IF(Table10[[#This Row],[Care Services]]=0,"",Table10[[#This Row],[Care Services]])</f>
        <v/>
      </c>
      <c r="P36" t="str">
        <f>IF(Table10[[#This Row],[Affordable Care]]=0,"",Table10[[#This Row],[Affordable Care]])</f>
        <v/>
      </c>
      <c r="Q36"/>
      <c r="R36"/>
      <c r="S36"/>
      <c r="T36" t="str">
        <f>IF(Table10[[#This Row],[Bulk Lease Unit]]=0,"",Table10[[#This Row],[Bulk Lease Unit]])</f>
        <v/>
      </c>
      <c r="U36" t="str">
        <f>IF(Table10[[#This Row],[Den Included Unit]]=0,"",Table10[[#This Row],[Den Included Unit]])</f>
        <v/>
      </c>
      <c r="V36" t="str">
        <f>IF(Table10[[#This Row],[Second Bathroom]]=0,"",Table10[[#This Row],[Second Bathroom]])</f>
        <v/>
      </c>
      <c r="W36" t="str">
        <f>IF(Table10[[#This Row],[Heating]]=0,"",Table10[[#This Row],[Heating]])</f>
        <v/>
      </c>
      <c r="X36" t="str">
        <f>IF(Table10[[#This Row],[Electricity]]=0,"",Table10[[#This Row],[Electricity]])</f>
        <v/>
      </c>
      <c r="Y36" t="str">
        <f>IF(Table10[[#This Row],[Water]]=0,"",Table10[[#This Row],[Water]])</f>
        <v/>
      </c>
      <c r="Z36" t="str">
        <f>IF(Table10[[#This Row],[Washer/Dryer]]=0,"",Table10[[#This Row],[Washer/Dryer]])</f>
        <v/>
      </c>
      <c r="AA36" t="str">
        <f>IF(Table10[[#This Row],[Stove/Fridge]]=0,"",Table10[[#This Row],[Stove/Fridge]])</f>
        <v/>
      </c>
      <c r="AB36" t="str">
        <f>IF(Table10[[#This Row],[Dishwasher]]=0,"",Table10[[#This Row],[Dishwasher]])</f>
        <v/>
      </c>
      <c r="AC36" t="str">
        <f>IF(Table10[[#This Row],[Parking]]=0,"",Table10[[#This Row],[Parking]])</f>
        <v/>
      </c>
      <c r="AD36" t="str">
        <f>IF(Table10[[#This Row],[Furniture]]=0,"",Table10[[#This Row],[Furniture]])</f>
        <v/>
      </c>
      <c r="AE36" t="str">
        <f>IF(Table10[[#This Row],[Other]]=0,"",Table10[[#This Row],[Other]])</f>
        <v/>
      </c>
    </row>
    <row r="37" spans="1:31">
      <c r="A37" t="str">
        <f>IF(Table10[[#This Row],[Unit Type]]=0,"",Table10[[#This Row],[Unit Type]])</f>
        <v>1 Bedroom</v>
      </c>
      <c r="B37" t="str">
        <f>IF(Table10[[#This Row],[Residential Stream Source]]=0,"",Table10[[#This Row],[Residential Stream Source]])</f>
        <v/>
      </c>
      <c r="C37" t="str">
        <f>IF(Table10[[#This Row],[Basement?]]=0,"",Table10[[#This Row],[Basement?]])</f>
        <v/>
      </c>
      <c r="D37">
        <f>IF(Table10[[#This Row],[Unit '#]]=0,"",Table10[[#This Row],[Unit '#]])</f>
        <v>35</v>
      </c>
      <c r="E37" t="str">
        <f>IF(Table10[[#This Row],[Vacant?]]=0,"",Table10[[#This Row],[Vacant?]])</f>
        <v/>
      </c>
      <c r="F37">
        <f>IF(Table10[[#This Row],[Rental Rate ($/mth)]]=0,"",Table10[[#This Row],[Rental Rate ($/mth)]])</f>
        <v>2490</v>
      </c>
      <c r="G37"/>
      <c r="H37"/>
      <c r="I37"/>
      <c r="J37">
        <f>IF(Table10[[#This Row],[Unit Size (sq ft)]]=0,"",Table10[[#This Row],[Unit Size (sq ft)]])</f>
        <v>624</v>
      </c>
      <c r="K37"/>
      <c r="L37" t="str">
        <f>Table10[[#This Row],[Market Unit]]</f>
        <v>Yes</v>
      </c>
      <c r="M37" t="str">
        <f>Table10[[#This Row],[Affordable Unit]]</f>
        <v>No</v>
      </c>
      <c r="N37" t="str">
        <f>IF(Table10[[#This Row],[Subsidized Unit]]=0,"",Table10[[#This Row],[Subsidized Unit]])</f>
        <v/>
      </c>
      <c r="O37" t="str">
        <f>IF(Table10[[#This Row],[Care Services]]=0,"",Table10[[#This Row],[Care Services]])</f>
        <v/>
      </c>
      <c r="P37" t="str">
        <f>IF(Table10[[#This Row],[Affordable Care]]=0,"",Table10[[#This Row],[Affordable Care]])</f>
        <v/>
      </c>
      <c r="Q37"/>
      <c r="R37"/>
      <c r="S37"/>
      <c r="T37" t="str">
        <f>IF(Table10[[#This Row],[Bulk Lease Unit]]=0,"",Table10[[#This Row],[Bulk Lease Unit]])</f>
        <v/>
      </c>
      <c r="U37" t="str">
        <f>IF(Table10[[#This Row],[Den Included Unit]]=0,"",Table10[[#This Row],[Den Included Unit]])</f>
        <v/>
      </c>
      <c r="V37" t="str">
        <f>IF(Table10[[#This Row],[Second Bathroom]]=0,"",Table10[[#This Row],[Second Bathroom]])</f>
        <v/>
      </c>
      <c r="W37" t="str">
        <f>IF(Table10[[#This Row],[Heating]]=0,"",Table10[[#This Row],[Heating]])</f>
        <v/>
      </c>
      <c r="X37" t="str">
        <f>IF(Table10[[#This Row],[Electricity]]=0,"",Table10[[#This Row],[Electricity]])</f>
        <v/>
      </c>
      <c r="Y37" t="str">
        <f>IF(Table10[[#This Row],[Water]]=0,"",Table10[[#This Row],[Water]])</f>
        <v/>
      </c>
      <c r="Z37" t="str">
        <f>IF(Table10[[#This Row],[Washer/Dryer]]=0,"",Table10[[#This Row],[Washer/Dryer]])</f>
        <v/>
      </c>
      <c r="AA37" t="str">
        <f>IF(Table10[[#This Row],[Stove/Fridge]]=0,"",Table10[[#This Row],[Stove/Fridge]])</f>
        <v/>
      </c>
      <c r="AB37" t="str">
        <f>IF(Table10[[#This Row],[Dishwasher]]=0,"",Table10[[#This Row],[Dishwasher]])</f>
        <v/>
      </c>
      <c r="AC37" t="str">
        <f>IF(Table10[[#This Row],[Parking]]=0,"",Table10[[#This Row],[Parking]])</f>
        <v/>
      </c>
      <c r="AD37" t="str">
        <f>IF(Table10[[#This Row],[Furniture]]=0,"",Table10[[#This Row],[Furniture]])</f>
        <v/>
      </c>
      <c r="AE37" t="str">
        <f>IF(Table10[[#This Row],[Other]]=0,"",Table10[[#This Row],[Other]])</f>
        <v/>
      </c>
    </row>
    <row r="38" spans="1:31">
      <c r="A38" t="str">
        <f>IF(Table10[[#This Row],[Unit Type]]=0,"",Table10[[#This Row],[Unit Type]])</f>
        <v>1 Bedroom</v>
      </c>
      <c r="B38" t="str">
        <f>IF(Table10[[#This Row],[Residential Stream Source]]=0,"",Table10[[#This Row],[Residential Stream Source]])</f>
        <v/>
      </c>
      <c r="C38" t="str">
        <f>IF(Table10[[#This Row],[Basement?]]=0,"",Table10[[#This Row],[Basement?]])</f>
        <v/>
      </c>
      <c r="D38">
        <f>IF(Table10[[#This Row],[Unit '#]]=0,"",Table10[[#This Row],[Unit '#]])</f>
        <v>36</v>
      </c>
      <c r="E38" t="str">
        <f>IF(Table10[[#This Row],[Vacant?]]=0,"",Table10[[#This Row],[Vacant?]])</f>
        <v/>
      </c>
      <c r="F38">
        <f>IF(Table10[[#This Row],[Rental Rate ($/mth)]]=0,"",Table10[[#This Row],[Rental Rate ($/mth)]])</f>
        <v>2490</v>
      </c>
      <c r="G38"/>
      <c r="H38"/>
      <c r="I38"/>
      <c r="J38">
        <f>IF(Table10[[#This Row],[Unit Size (sq ft)]]=0,"",Table10[[#This Row],[Unit Size (sq ft)]])</f>
        <v>624</v>
      </c>
      <c r="K38"/>
      <c r="L38" t="str">
        <f>Table10[[#This Row],[Market Unit]]</f>
        <v>Yes</v>
      </c>
      <c r="M38" t="str">
        <f>Table10[[#This Row],[Affordable Unit]]</f>
        <v>No</v>
      </c>
      <c r="N38" t="str">
        <f>IF(Table10[[#This Row],[Subsidized Unit]]=0,"",Table10[[#This Row],[Subsidized Unit]])</f>
        <v/>
      </c>
      <c r="O38" t="str">
        <f>IF(Table10[[#This Row],[Care Services]]=0,"",Table10[[#This Row],[Care Services]])</f>
        <v/>
      </c>
      <c r="P38" t="str">
        <f>IF(Table10[[#This Row],[Affordable Care]]=0,"",Table10[[#This Row],[Affordable Care]])</f>
        <v/>
      </c>
      <c r="Q38"/>
      <c r="R38"/>
      <c r="S38"/>
      <c r="T38" t="str">
        <f>IF(Table10[[#This Row],[Bulk Lease Unit]]=0,"",Table10[[#This Row],[Bulk Lease Unit]])</f>
        <v/>
      </c>
      <c r="U38" t="str">
        <f>IF(Table10[[#This Row],[Den Included Unit]]=0,"",Table10[[#This Row],[Den Included Unit]])</f>
        <v/>
      </c>
      <c r="V38" t="str">
        <f>IF(Table10[[#This Row],[Second Bathroom]]=0,"",Table10[[#This Row],[Second Bathroom]])</f>
        <v/>
      </c>
      <c r="W38" t="str">
        <f>IF(Table10[[#This Row],[Heating]]=0,"",Table10[[#This Row],[Heating]])</f>
        <v/>
      </c>
      <c r="X38" t="str">
        <f>IF(Table10[[#This Row],[Electricity]]=0,"",Table10[[#This Row],[Electricity]])</f>
        <v/>
      </c>
      <c r="Y38" t="str">
        <f>IF(Table10[[#This Row],[Water]]=0,"",Table10[[#This Row],[Water]])</f>
        <v/>
      </c>
      <c r="Z38" t="str">
        <f>IF(Table10[[#This Row],[Washer/Dryer]]=0,"",Table10[[#This Row],[Washer/Dryer]])</f>
        <v/>
      </c>
      <c r="AA38" t="str">
        <f>IF(Table10[[#This Row],[Stove/Fridge]]=0,"",Table10[[#This Row],[Stove/Fridge]])</f>
        <v/>
      </c>
      <c r="AB38" t="str">
        <f>IF(Table10[[#This Row],[Dishwasher]]=0,"",Table10[[#This Row],[Dishwasher]])</f>
        <v/>
      </c>
      <c r="AC38" t="str">
        <f>IF(Table10[[#This Row],[Parking]]=0,"",Table10[[#This Row],[Parking]])</f>
        <v/>
      </c>
      <c r="AD38" t="str">
        <f>IF(Table10[[#This Row],[Furniture]]=0,"",Table10[[#This Row],[Furniture]])</f>
        <v/>
      </c>
      <c r="AE38" t="str">
        <f>IF(Table10[[#This Row],[Other]]=0,"",Table10[[#This Row],[Other]])</f>
        <v/>
      </c>
    </row>
    <row r="39" spans="1:31">
      <c r="A39" t="str">
        <f>IF(Table10[[#This Row],[Unit Type]]=0,"",Table10[[#This Row],[Unit Type]])</f>
        <v>1 Bedroom</v>
      </c>
      <c r="B39" t="str">
        <f>IF(Table10[[#This Row],[Residential Stream Source]]=0,"",Table10[[#This Row],[Residential Stream Source]])</f>
        <v/>
      </c>
      <c r="C39" t="str">
        <f>IF(Table10[[#This Row],[Basement?]]=0,"",Table10[[#This Row],[Basement?]])</f>
        <v/>
      </c>
      <c r="D39">
        <f>IF(Table10[[#This Row],[Unit '#]]=0,"",Table10[[#This Row],[Unit '#]])</f>
        <v>37</v>
      </c>
      <c r="E39" t="str">
        <f>IF(Table10[[#This Row],[Vacant?]]=0,"",Table10[[#This Row],[Vacant?]])</f>
        <v/>
      </c>
      <c r="F39">
        <f>IF(Table10[[#This Row],[Rental Rate ($/mth)]]=0,"",Table10[[#This Row],[Rental Rate ($/mth)]])</f>
        <v>2490</v>
      </c>
      <c r="G39"/>
      <c r="H39"/>
      <c r="I39"/>
      <c r="J39">
        <f>IF(Table10[[#This Row],[Unit Size (sq ft)]]=0,"",Table10[[#This Row],[Unit Size (sq ft)]])</f>
        <v>624</v>
      </c>
      <c r="K39"/>
      <c r="L39" t="str">
        <f>Table10[[#This Row],[Market Unit]]</f>
        <v>Yes</v>
      </c>
      <c r="M39" t="str">
        <f>Table10[[#This Row],[Affordable Unit]]</f>
        <v>No</v>
      </c>
      <c r="N39" t="str">
        <f>IF(Table10[[#This Row],[Subsidized Unit]]=0,"",Table10[[#This Row],[Subsidized Unit]])</f>
        <v/>
      </c>
      <c r="O39" t="str">
        <f>IF(Table10[[#This Row],[Care Services]]=0,"",Table10[[#This Row],[Care Services]])</f>
        <v/>
      </c>
      <c r="P39" t="str">
        <f>IF(Table10[[#This Row],[Affordable Care]]=0,"",Table10[[#This Row],[Affordable Care]])</f>
        <v/>
      </c>
      <c r="Q39"/>
      <c r="R39"/>
      <c r="S39"/>
      <c r="T39" t="str">
        <f>IF(Table10[[#This Row],[Bulk Lease Unit]]=0,"",Table10[[#This Row],[Bulk Lease Unit]])</f>
        <v/>
      </c>
      <c r="U39" t="str">
        <f>IF(Table10[[#This Row],[Den Included Unit]]=0,"",Table10[[#This Row],[Den Included Unit]])</f>
        <v/>
      </c>
      <c r="V39" t="str">
        <f>IF(Table10[[#This Row],[Second Bathroom]]=0,"",Table10[[#This Row],[Second Bathroom]])</f>
        <v/>
      </c>
      <c r="W39" t="str">
        <f>IF(Table10[[#This Row],[Heating]]=0,"",Table10[[#This Row],[Heating]])</f>
        <v/>
      </c>
      <c r="X39" t="str">
        <f>IF(Table10[[#This Row],[Electricity]]=0,"",Table10[[#This Row],[Electricity]])</f>
        <v/>
      </c>
      <c r="Y39" t="str">
        <f>IF(Table10[[#This Row],[Water]]=0,"",Table10[[#This Row],[Water]])</f>
        <v/>
      </c>
      <c r="Z39" t="str">
        <f>IF(Table10[[#This Row],[Washer/Dryer]]=0,"",Table10[[#This Row],[Washer/Dryer]])</f>
        <v/>
      </c>
      <c r="AA39" t="str">
        <f>IF(Table10[[#This Row],[Stove/Fridge]]=0,"",Table10[[#This Row],[Stove/Fridge]])</f>
        <v/>
      </c>
      <c r="AB39" t="str">
        <f>IF(Table10[[#This Row],[Dishwasher]]=0,"",Table10[[#This Row],[Dishwasher]])</f>
        <v/>
      </c>
      <c r="AC39" t="str">
        <f>IF(Table10[[#This Row],[Parking]]=0,"",Table10[[#This Row],[Parking]])</f>
        <v/>
      </c>
      <c r="AD39" t="str">
        <f>IF(Table10[[#This Row],[Furniture]]=0,"",Table10[[#This Row],[Furniture]])</f>
        <v/>
      </c>
      <c r="AE39" t="str">
        <f>IF(Table10[[#This Row],[Other]]=0,"",Table10[[#This Row],[Other]])</f>
        <v/>
      </c>
    </row>
    <row r="40" spans="1:31">
      <c r="A40" t="str">
        <f>IF(Table10[[#This Row],[Unit Type]]=0,"",Table10[[#This Row],[Unit Type]])</f>
        <v>1 Bedroom</v>
      </c>
      <c r="B40" t="str">
        <f>IF(Table10[[#This Row],[Residential Stream Source]]=0,"",Table10[[#This Row],[Residential Stream Source]])</f>
        <v/>
      </c>
      <c r="C40" t="str">
        <f>IF(Table10[[#This Row],[Basement?]]=0,"",Table10[[#This Row],[Basement?]])</f>
        <v/>
      </c>
      <c r="D40">
        <f>IF(Table10[[#This Row],[Unit '#]]=0,"",Table10[[#This Row],[Unit '#]])</f>
        <v>38</v>
      </c>
      <c r="E40" t="str">
        <f>IF(Table10[[#This Row],[Vacant?]]=0,"",Table10[[#This Row],[Vacant?]])</f>
        <v/>
      </c>
      <c r="F40">
        <f>IF(Table10[[#This Row],[Rental Rate ($/mth)]]=0,"",Table10[[#This Row],[Rental Rate ($/mth)]])</f>
        <v>2490</v>
      </c>
      <c r="G40"/>
      <c r="H40"/>
      <c r="I40"/>
      <c r="J40">
        <f>IF(Table10[[#This Row],[Unit Size (sq ft)]]=0,"",Table10[[#This Row],[Unit Size (sq ft)]])</f>
        <v>624</v>
      </c>
      <c r="K40"/>
      <c r="L40" t="str">
        <f>Table10[[#This Row],[Market Unit]]</f>
        <v>Yes</v>
      </c>
      <c r="M40" t="str">
        <f>Table10[[#This Row],[Affordable Unit]]</f>
        <v>No</v>
      </c>
      <c r="N40" t="str">
        <f>IF(Table10[[#This Row],[Subsidized Unit]]=0,"",Table10[[#This Row],[Subsidized Unit]])</f>
        <v/>
      </c>
      <c r="O40" t="str">
        <f>IF(Table10[[#This Row],[Care Services]]=0,"",Table10[[#This Row],[Care Services]])</f>
        <v/>
      </c>
      <c r="P40" t="str">
        <f>IF(Table10[[#This Row],[Affordable Care]]=0,"",Table10[[#This Row],[Affordable Care]])</f>
        <v/>
      </c>
      <c r="Q40"/>
      <c r="R40"/>
      <c r="S40"/>
      <c r="T40" t="str">
        <f>IF(Table10[[#This Row],[Bulk Lease Unit]]=0,"",Table10[[#This Row],[Bulk Lease Unit]])</f>
        <v/>
      </c>
      <c r="U40" t="str">
        <f>IF(Table10[[#This Row],[Den Included Unit]]=0,"",Table10[[#This Row],[Den Included Unit]])</f>
        <v/>
      </c>
      <c r="V40" t="str">
        <f>IF(Table10[[#This Row],[Second Bathroom]]=0,"",Table10[[#This Row],[Second Bathroom]])</f>
        <v/>
      </c>
      <c r="W40" t="str">
        <f>IF(Table10[[#This Row],[Heating]]=0,"",Table10[[#This Row],[Heating]])</f>
        <v/>
      </c>
      <c r="X40" t="str">
        <f>IF(Table10[[#This Row],[Electricity]]=0,"",Table10[[#This Row],[Electricity]])</f>
        <v/>
      </c>
      <c r="Y40" t="str">
        <f>IF(Table10[[#This Row],[Water]]=0,"",Table10[[#This Row],[Water]])</f>
        <v/>
      </c>
      <c r="Z40" t="str">
        <f>IF(Table10[[#This Row],[Washer/Dryer]]=0,"",Table10[[#This Row],[Washer/Dryer]])</f>
        <v/>
      </c>
      <c r="AA40" t="str">
        <f>IF(Table10[[#This Row],[Stove/Fridge]]=0,"",Table10[[#This Row],[Stove/Fridge]])</f>
        <v/>
      </c>
      <c r="AB40" t="str">
        <f>IF(Table10[[#This Row],[Dishwasher]]=0,"",Table10[[#This Row],[Dishwasher]])</f>
        <v/>
      </c>
      <c r="AC40" t="str">
        <f>IF(Table10[[#This Row],[Parking]]=0,"",Table10[[#This Row],[Parking]])</f>
        <v/>
      </c>
      <c r="AD40" t="str">
        <f>IF(Table10[[#This Row],[Furniture]]=0,"",Table10[[#This Row],[Furniture]])</f>
        <v/>
      </c>
      <c r="AE40" t="str">
        <f>IF(Table10[[#This Row],[Other]]=0,"",Table10[[#This Row],[Other]])</f>
        <v/>
      </c>
    </row>
    <row r="41" spans="1:31">
      <c r="A41" t="str">
        <f>IF(Table10[[#This Row],[Unit Type]]=0,"",Table10[[#This Row],[Unit Type]])</f>
        <v>1 Bedroom</v>
      </c>
      <c r="B41" t="str">
        <f>IF(Table10[[#This Row],[Residential Stream Source]]=0,"",Table10[[#This Row],[Residential Stream Source]])</f>
        <v/>
      </c>
      <c r="C41" t="str">
        <f>IF(Table10[[#This Row],[Basement?]]=0,"",Table10[[#This Row],[Basement?]])</f>
        <v/>
      </c>
      <c r="D41">
        <f>IF(Table10[[#This Row],[Unit '#]]=0,"",Table10[[#This Row],[Unit '#]])</f>
        <v>39</v>
      </c>
      <c r="E41" t="str">
        <f>IF(Table10[[#This Row],[Vacant?]]=0,"",Table10[[#This Row],[Vacant?]])</f>
        <v/>
      </c>
      <c r="F41">
        <f>IF(Table10[[#This Row],[Rental Rate ($/mth)]]=0,"",Table10[[#This Row],[Rental Rate ($/mth)]])</f>
        <v>2490</v>
      </c>
      <c r="G41"/>
      <c r="H41"/>
      <c r="I41"/>
      <c r="J41">
        <f>IF(Table10[[#This Row],[Unit Size (sq ft)]]=0,"",Table10[[#This Row],[Unit Size (sq ft)]])</f>
        <v>624</v>
      </c>
      <c r="K41"/>
      <c r="L41" t="str">
        <f>Table10[[#This Row],[Market Unit]]</f>
        <v>Yes</v>
      </c>
      <c r="M41" t="str">
        <f>Table10[[#This Row],[Affordable Unit]]</f>
        <v>No</v>
      </c>
      <c r="N41" t="str">
        <f>IF(Table10[[#This Row],[Subsidized Unit]]=0,"",Table10[[#This Row],[Subsidized Unit]])</f>
        <v/>
      </c>
      <c r="O41" t="str">
        <f>IF(Table10[[#This Row],[Care Services]]=0,"",Table10[[#This Row],[Care Services]])</f>
        <v/>
      </c>
      <c r="P41" t="str">
        <f>IF(Table10[[#This Row],[Affordable Care]]=0,"",Table10[[#This Row],[Affordable Care]])</f>
        <v/>
      </c>
      <c r="Q41"/>
      <c r="R41"/>
      <c r="S41"/>
      <c r="T41" t="str">
        <f>IF(Table10[[#This Row],[Bulk Lease Unit]]=0,"",Table10[[#This Row],[Bulk Lease Unit]])</f>
        <v/>
      </c>
      <c r="U41" t="str">
        <f>IF(Table10[[#This Row],[Den Included Unit]]=0,"",Table10[[#This Row],[Den Included Unit]])</f>
        <v/>
      </c>
      <c r="V41" t="str">
        <f>IF(Table10[[#This Row],[Second Bathroom]]=0,"",Table10[[#This Row],[Second Bathroom]])</f>
        <v/>
      </c>
      <c r="W41" t="str">
        <f>IF(Table10[[#This Row],[Heating]]=0,"",Table10[[#This Row],[Heating]])</f>
        <v/>
      </c>
      <c r="X41" t="str">
        <f>IF(Table10[[#This Row],[Electricity]]=0,"",Table10[[#This Row],[Electricity]])</f>
        <v/>
      </c>
      <c r="Y41" t="str">
        <f>IF(Table10[[#This Row],[Water]]=0,"",Table10[[#This Row],[Water]])</f>
        <v/>
      </c>
      <c r="Z41" t="str">
        <f>IF(Table10[[#This Row],[Washer/Dryer]]=0,"",Table10[[#This Row],[Washer/Dryer]])</f>
        <v/>
      </c>
      <c r="AA41" t="str">
        <f>IF(Table10[[#This Row],[Stove/Fridge]]=0,"",Table10[[#This Row],[Stove/Fridge]])</f>
        <v/>
      </c>
      <c r="AB41" t="str">
        <f>IF(Table10[[#This Row],[Dishwasher]]=0,"",Table10[[#This Row],[Dishwasher]])</f>
        <v/>
      </c>
      <c r="AC41" t="str">
        <f>IF(Table10[[#This Row],[Parking]]=0,"",Table10[[#This Row],[Parking]])</f>
        <v/>
      </c>
      <c r="AD41" t="str">
        <f>IF(Table10[[#This Row],[Furniture]]=0,"",Table10[[#This Row],[Furniture]])</f>
        <v/>
      </c>
      <c r="AE41" t="str">
        <f>IF(Table10[[#This Row],[Other]]=0,"",Table10[[#This Row],[Other]])</f>
        <v/>
      </c>
    </row>
    <row r="42" spans="1:31">
      <c r="A42" t="str">
        <f>IF(Table10[[#This Row],[Unit Type]]=0,"",Table10[[#This Row],[Unit Type]])</f>
        <v>1 Bedroom</v>
      </c>
      <c r="B42" t="str">
        <f>IF(Table10[[#This Row],[Residential Stream Source]]=0,"",Table10[[#This Row],[Residential Stream Source]])</f>
        <v/>
      </c>
      <c r="C42" t="str">
        <f>IF(Table10[[#This Row],[Basement?]]=0,"",Table10[[#This Row],[Basement?]])</f>
        <v/>
      </c>
      <c r="D42">
        <f>IF(Table10[[#This Row],[Unit '#]]=0,"",Table10[[#This Row],[Unit '#]])</f>
        <v>40</v>
      </c>
      <c r="E42" t="str">
        <f>IF(Table10[[#This Row],[Vacant?]]=0,"",Table10[[#This Row],[Vacant?]])</f>
        <v/>
      </c>
      <c r="F42">
        <f>IF(Table10[[#This Row],[Rental Rate ($/mth)]]=0,"",Table10[[#This Row],[Rental Rate ($/mth)]])</f>
        <v>2490</v>
      </c>
      <c r="G42"/>
      <c r="H42"/>
      <c r="I42"/>
      <c r="J42">
        <f>IF(Table10[[#This Row],[Unit Size (sq ft)]]=0,"",Table10[[#This Row],[Unit Size (sq ft)]])</f>
        <v>624</v>
      </c>
      <c r="K42"/>
      <c r="L42" t="str">
        <f>Table10[[#This Row],[Market Unit]]</f>
        <v>Yes</v>
      </c>
      <c r="M42" t="str">
        <f>Table10[[#This Row],[Affordable Unit]]</f>
        <v>No</v>
      </c>
      <c r="N42" t="str">
        <f>IF(Table10[[#This Row],[Subsidized Unit]]=0,"",Table10[[#This Row],[Subsidized Unit]])</f>
        <v/>
      </c>
      <c r="O42" t="str">
        <f>IF(Table10[[#This Row],[Care Services]]=0,"",Table10[[#This Row],[Care Services]])</f>
        <v/>
      </c>
      <c r="P42" t="str">
        <f>IF(Table10[[#This Row],[Affordable Care]]=0,"",Table10[[#This Row],[Affordable Care]])</f>
        <v/>
      </c>
      <c r="Q42"/>
      <c r="R42"/>
      <c r="S42"/>
      <c r="T42" t="str">
        <f>IF(Table10[[#This Row],[Bulk Lease Unit]]=0,"",Table10[[#This Row],[Bulk Lease Unit]])</f>
        <v/>
      </c>
      <c r="U42" t="str">
        <f>IF(Table10[[#This Row],[Den Included Unit]]=0,"",Table10[[#This Row],[Den Included Unit]])</f>
        <v/>
      </c>
      <c r="V42" t="str">
        <f>IF(Table10[[#This Row],[Second Bathroom]]=0,"",Table10[[#This Row],[Second Bathroom]])</f>
        <v/>
      </c>
      <c r="W42" t="str">
        <f>IF(Table10[[#This Row],[Heating]]=0,"",Table10[[#This Row],[Heating]])</f>
        <v/>
      </c>
      <c r="X42" t="str">
        <f>IF(Table10[[#This Row],[Electricity]]=0,"",Table10[[#This Row],[Electricity]])</f>
        <v/>
      </c>
      <c r="Y42" t="str">
        <f>IF(Table10[[#This Row],[Water]]=0,"",Table10[[#This Row],[Water]])</f>
        <v/>
      </c>
      <c r="Z42" t="str">
        <f>IF(Table10[[#This Row],[Washer/Dryer]]=0,"",Table10[[#This Row],[Washer/Dryer]])</f>
        <v/>
      </c>
      <c r="AA42" t="str">
        <f>IF(Table10[[#This Row],[Stove/Fridge]]=0,"",Table10[[#This Row],[Stove/Fridge]])</f>
        <v/>
      </c>
      <c r="AB42" t="str">
        <f>IF(Table10[[#This Row],[Dishwasher]]=0,"",Table10[[#This Row],[Dishwasher]])</f>
        <v/>
      </c>
      <c r="AC42" t="str">
        <f>IF(Table10[[#This Row],[Parking]]=0,"",Table10[[#This Row],[Parking]])</f>
        <v/>
      </c>
      <c r="AD42" t="str">
        <f>IF(Table10[[#This Row],[Furniture]]=0,"",Table10[[#This Row],[Furniture]])</f>
        <v/>
      </c>
      <c r="AE42" t="str">
        <f>IF(Table10[[#This Row],[Other]]=0,"",Table10[[#This Row],[Other]])</f>
        <v/>
      </c>
    </row>
    <row r="43" spans="1:31">
      <c r="A43" t="str">
        <f>IF(Table10[[#This Row],[Unit Type]]=0,"",Table10[[#This Row],[Unit Type]])</f>
        <v>1 Bedroom</v>
      </c>
      <c r="B43" t="str">
        <f>IF(Table10[[#This Row],[Residential Stream Source]]=0,"",Table10[[#This Row],[Residential Stream Source]])</f>
        <v/>
      </c>
      <c r="C43" t="str">
        <f>IF(Table10[[#This Row],[Basement?]]=0,"",Table10[[#This Row],[Basement?]])</f>
        <v/>
      </c>
      <c r="D43">
        <f>IF(Table10[[#This Row],[Unit '#]]=0,"",Table10[[#This Row],[Unit '#]])</f>
        <v>41</v>
      </c>
      <c r="E43" t="str">
        <f>IF(Table10[[#This Row],[Vacant?]]=0,"",Table10[[#This Row],[Vacant?]])</f>
        <v/>
      </c>
      <c r="F43">
        <f>IF(Table10[[#This Row],[Rental Rate ($/mth)]]=0,"",Table10[[#This Row],[Rental Rate ($/mth)]])</f>
        <v>2490</v>
      </c>
      <c r="G43"/>
      <c r="H43"/>
      <c r="I43"/>
      <c r="J43">
        <f>IF(Table10[[#This Row],[Unit Size (sq ft)]]=0,"",Table10[[#This Row],[Unit Size (sq ft)]])</f>
        <v>624</v>
      </c>
      <c r="K43"/>
      <c r="L43" t="str">
        <f>Table10[[#This Row],[Market Unit]]</f>
        <v>Yes</v>
      </c>
      <c r="M43" t="str">
        <f>Table10[[#This Row],[Affordable Unit]]</f>
        <v>No</v>
      </c>
      <c r="N43" t="str">
        <f>IF(Table10[[#This Row],[Subsidized Unit]]=0,"",Table10[[#This Row],[Subsidized Unit]])</f>
        <v/>
      </c>
      <c r="O43" t="str">
        <f>IF(Table10[[#This Row],[Care Services]]=0,"",Table10[[#This Row],[Care Services]])</f>
        <v/>
      </c>
      <c r="P43" t="str">
        <f>IF(Table10[[#This Row],[Affordable Care]]=0,"",Table10[[#This Row],[Affordable Care]])</f>
        <v/>
      </c>
      <c r="Q43"/>
      <c r="R43"/>
      <c r="S43"/>
      <c r="T43" t="str">
        <f>IF(Table10[[#This Row],[Bulk Lease Unit]]=0,"",Table10[[#This Row],[Bulk Lease Unit]])</f>
        <v/>
      </c>
      <c r="U43" t="str">
        <f>IF(Table10[[#This Row],[Den Included Unit]]=0,"",Table10[[#This Row],[Den Included Unit]])</f>
        <v/>
      </c>
      <c r="V43" t="str">
        <f>IF(Table10[[#This Row],[Second Bathroom]]=0,"",Table10[[#This Row],[Second Bathroom]])</f>
        <v/>
      </c>
      <c r="W43" t="str">
        <f>IF(Table10[[#This Row],[Heating]]=0,"",Table10[[#This Row],[Heating]])</f>
        <v/>
      </c>
      <c r="X43" t="str">
        <f>IF(Table10[[#This Row],[Electricity]]=0,"",Table10[[#This Row],[Electricity]])</f>
        <v/>
      </c>
      <c r="Y43" t="str">
        <f>IF(Table10[[#This Row],[Water]]=0,"",Table10[[#This Row],[Water]])</f>
        <v/>
      </c>
      <c r="Z43" t="str">
        <f>IF(Table10[[#This Row],[Washer/Dryer]]=0,"",Table10[[#This Row],[Washer/Dryer]])</f>
        <v/>
      </c>
      <c r="AA43" t="str">
        <f>IF(Table10[[#This Row],[Stove/Fridge]]=0,"",Table10[[#This Row],[Stove/Fridge]])</f>
        <v/>
      </c>
      <c r="AB43" t="str">
        <f>IF(Table10[[#This Row],[Dishwasher]]=0,"",Table10[[#This Row],[Dishwasher]])</f>
        <v/>
      </c>
      <c r="AC43" t="str">
        <f>IF(Table10[[#This Row],[Parking]]=0,"",Table10[[#This Row],[Parking]])</f>
        <v/>
      </c>
      <c r="AD43" t="str">
        <f>IF(Table10[[#This Row],[Furniture]]=0,"",Table10[[#This Row],[Furniture]])</f>
        <v/>
      </c>
      <c r="AE43" t="str">
        <f>IF(Table10[[#This Row],[Other]]=0,"",Table10[[#This Row],[Other]])</f>
        <v/>
      </c>
    </row>
    <row r="44" spans="1:31">
      <c r="A44" t="str">
        <f>IF(Table10[[#This Row],[Unit Type]]=0,"",Table10[[#This Row],[Unit Type]])</f>
        <v>1 Bedroom</v>
      </c>
      <c r="B44" t="str">
        <f>IF(Table10[[#This Row],[Residential Stream Source]]=0,"",Table10[[#This Row],[Residential Stream Source]])</f>
        <v/>
      </c>
      <c r="C44" t="str">
        <f>IF(Table10[[#This Row],[Basement?]]=0,"",Table10[[#This Row],[Basement?]])</f>
        <v/>
      </c>
      <c r="D44">
        <f>IF(Table10[[#This Row],[Unit '#]]=0,"",Table10[[#This Row],[Unit '#]])</f>
        <v>42</v>
      </c>
      <c r="E44" t="str">
        <f>IF(Table10[[#This Row],[Vacant?]]=0,"",Table10[[#This Row],[Vacant?]])</f>
        <v/>
      </c>
      <c r="F44">
        <f>IF(Table10[[#This Row],[Rental Rate ($/mth)]]=0,"",Table10[[#This Row],[Rental Rate ($/mth)]])</f>
        <v>2490</v>
      </c>
      <c r="G44"/>
      <c r="H44"/>
      <c r="I44"/>
      <c r="J44">
        <f>IF(Table10[[#This Row],[Unit Size (sq ft)]]=0,"",Table10[[#This Row],[Unit Size (sq ft)]])</f>
        <v>624</v>
      </c>
      <c r="K44"/>
      <c r="L44" t="str">
        <f>Table10[[#This Row],[Market Unit]]</f>
        <v>Yes</v>
      </c>
      <c r="M44" t="str">
        <f>Table10[[#This Row],[Affordable Unit]]</f>
        <v>No</v>
      </c>
      <c r="N44" t="str">
        <f>IF(Table10[[#This Row],[Subsidized Unit]]=0,"",Table10[[#This Row],[Subsidized Unit]])</f>
        <v/>
      </c>
      <c r="O44" t="str">
        <f>IF(Table10[[#This Row],[Care Services]]=0,"",Table10[[#This Row],[Care Services]])</f>
        <v/>
      </c>
      <c r="P44" t="str">
        <f>IF(Table10[[#This Row],[Affordable Care]]=0,"",Table10[[#This Row],[Affordable Care]])</f>
        <v/>
      </c>
      <c r="Q44"/>
      <c r="R44"/>
      <c r="S44"/>
      <c r="T44" t="str">
        <f>IF(Table10[[#This Row],[Bulk Lease Unit]]=0,"",Table10[[#This Row],[Bulk Lease Unit]])</f>
        <v/>
      </c>
      <c r="U44" t="str">
        <f>IF(Table10[[#This Row],[Den Included Unit]]=0,"",Table10[[#This Row],[Den Included Unit]])</f>
        <v/>
      </c>
      <c r="V44" t="str">
        <f>IF(Table10[[#This Row],[Second Bathroom]]=0,"",Table10[[#This Row],[Second Bathroom]])</f>
        <v/>
      </c>
      <c r="W44" t="str">
        <f>IF(Table10[[#This Row],[Heating]]=0,"",Table10[[#This Row],[Heating]])</f>
        <v/>
      </c>
      <c r="X44" t="str">
        <f>IF(Table10[[#This Row],[Electricity]]=0,"",Table10[[#This Row],[Electricity]])</f>
        <v/>
      </c>
      <c r="Y44" t="str">
        <f>IF(Table10[[#This Row],[Water]]=0,"",Table10[[#This Row],[Water]])</f>
        <v/>
      </c>
      <c r="Z44" t="str">
        <f>IF(Table10[[#This Row],[Washer/Dryer]]=0,"",Table10[[#This Row],[Washer/Dryer]])</f>
        <v/>
      </c>
      <c r="AA44" t="str">
        <f>IF(Table10[[#This Row],[Stove/Fridge]]=0,"",Table10[[#This Row],[Stove/Fridge]])</f>
        <v/>
      </c>
      <c r="AB44" t="str">
        <f>IF(Table10[[#This Row],[Dishwasher]]=0,"",Table10[[#This Row],[Dishwasher]])</f>
        <v/>
      </c>
      <c r="AC44" t="str">
        <f>IF(Table10[[#This Row],[Parking]]=0,"",Table10[[#This Row],[Parking]])</f>
        <v/>
      </c>
      <c r="AD44" t="str">
        <f>IF(Table10[[#This Row],[Furniture]]=0,"",Table10[[#This Row],[Furniture]])</f>
        <v/>
      </c>
      <c r="AE44" t="str">
        <f>IF(Table10[[#This Row],[Other]]=0,"",Table10[[#This Row],[Other]])</f>
        <v/>
      </c>
    </row>
    <row r="45" spans="1:31">
      <c r="A45" t="str">
        <f>IF(Table10[[#This Row],[Unit Type]]=0,"",Table10[[#This Row],[Unit Type]])</f>
        <v>1 Bedroom</v>
      </c>
      <c r="B45" t="str">
        <f>IF(Table10[[#This Row],[Residential Stream Source]]=0,"",Table10[[#This Row],[Residential Stream Source]])</f>
        <v/>
      </c>
      <c r="C45" t="str">
        <f>IF(Table10[[#This Row],[Basement?]]=0,"",Table10[[#This Row],[Basement?]])</f>
        <v/>
      </c>
      <c r="D45">
        <f>IF(Table10[[#This Row],[Unit '#]]=0,"",Table10[[#This Row],[Unit '#]])</f>
        <v>43</v>
      </c>
      <c r="E45" t="str">
        <f>IF(Table10[[#This Row],[Vacant?]]=0,"",Table10[[#This Row],[Vacant?]])</f>
        <v/>
      </c>
      <c r="F45">
        <f>IF(Table10[[#This Row],[Rental Rate ($/mth)]]=0,"",Table10[[#This Row],[Rental Rate ($/mth)]])</f>
        <v>2490</v>
      </c>
      <c r="G45"/>
      <c r="H45"/>
      <c r="I45"/>
      <c r="J45">
        <f>IF(Table10[[#This Row],[Unit Size (sq ft)]]=0,"",Table10[[#This Row],[Unit Size (sq ft)]])</f>
        <v>624</v>
      </c>
      <c r="K45"/>
      <c r="L45" t="str">
        <f>Table10[[#This Row],[Market Unit]]</f>
        <v>Yes</v>
      </c>
      <c r="M45" t="str">
        <f>Table10[[#This Row],[Affordable Unit]]</f>
        <v>No</v>
      </c>
      <c r="N45" t="str">
        <f>IF(Table10[[#This Row],[Subsidized Unit]]=0,"",Table10[[#This Row],[Subsidized Unit]])</f>
        <v/>
      </c>
      <c r="O45" t="str">
        <f>IF(Table10[[#This Row],[Care Services]]=0,"",Table10[[#This Row],[Care Services]])</f>
        <v/>
      </c>
      <c r="P45" t="str">
        <f>IF(Table10[[#This Row],[Affordable Care]]=0,"",Table10[[#This Row],[Affordable Care]])</f>
        <v/>
      </c>
      <c r="Q45"/>
      <c r="R45"/>
      <c r="S45"/>
      <c r="T45" t="str">
        <f>IF(Table10[[#This Row],[Bulk Lease Unit]]=0,"",Table10[[#This Row],[Bulk Lease Unit]])</f>
        <v/>
      </c>
      <c r="U45" t="str">
        <f>IF(Table10[[#This Row],[Den Included Unit]]=0,"",Table10[[#This Row],[Den Included Unit]])</f>
        <v/>
      </c>
      <c r="V45" t="str">
        <f>IF(Table10[[#This Row],[Second Bathroom]]=0,"",Table10[[#This Row],[Second Bathroom]])</f>
        <v/>
      </c>
      <c r="W45" t="str">
        <f>IF(Table10[[#This Row],[Heating]]=0,"",Table10[[#This Row],[Heating]])</f>
        <v/>
      </c>
      <c r="X45" t="str">
        <f>IF(Table10[[#This Row],[Electricity]]=0,"",Table10[[#This Row],[Electricity]])</f>
        <v/>
      </c>
      <c r="Y45" t="str">
        <f>IF(Table10[[#This Row],[Water]]=0,"",Table10[[#This Row],[Water]])</f>
        <v/>
      </c>
      <c r="Z45" t="str">
        <f>IF(Table10[[#This Row],[Washer/Dryer]]=0,"",Table10[[#This Row],[Washer/Dryer]])</f>
        <v/>
      </c>
      <c r="AA45" t="str">
        <f>IF(Table10[[#This Row],[Stove/Fridge]]=0,"",Table10[[#This Row],[Stove/Fridge]])</f>
        <v/>
      </c>
      <c r="AB45" t="str">
        <f>IF(Table10[[#This Row],[Dishwasher]]=0,"",Table10[[#This Row],[Dishwasher]])</f>
        <v/>
      </c>
      <c r="AC45" t="str">
        <f>IF(Table10[[#This Row],[Parking]]=0,"",Table10[[#This Row],[Parking]])</f>
        <v/>
      </c>
      <c r="AD45" t="str">
        <f>IF(Table10[[#This Row],[Furniture]]=0,"",Table10[[#This Row],[Furniture]])</f>
        <v/>
      </c>
      <c r="AE45" t="str">
        <f>IF(Table10[[#This Row],[Other]]=0,"",Table10[[#This Row],[Other]])</f>
        <v/>
      </c>
    </row>
    <row r="46" spans="1:31">
      <c r="A46" t="str">
        <f>IF(Table10[[#This Row],[Unit Type]]=0,"",Table10[[#This Row],[Unit Type]])</f>
        <v>1 Bedroom</v>
      </c>
      <c r="B46" t="str">
        <f>IF(Table10[[#This Row],[Residential Stream Source]]=0,"",Table10[[#This Row],[Residential Stream Source]])</f>
        <v/>
      </c>
      <c r="C46" t="str">
        <f>IF(Table10[[#This Row],[Basement?]]=0,"",Table10[[#This Row],[Basement?]])</f>
        <v/>
      </c>
      <c r="D46">
        <f>IF(Table10[[#This Row],[Unit '#]]=0,"",Table10[[#This Row],[Unit '#]])</f>
        <v>44</v>
      </c>
      <c r="E46" t="str">
        <f>IF(Table10[[#This Row],[Vacant?]]=0,"",Table10[[#This Row],[Vacant?]])</f>
        <v/>
      </c>
      <c r="F46">
        <f>IF(Table10[[#This Row],[Rental Rate ($/mth)]]=0,"",Table10[[#This Row],[Rental Rate ($/mth)]])</f>
        <v>2490</v>
      </c>
      <c r="G46"/>
      <c r="H46"/>
      <c r="I46"/>
      <c r="J46">
        <f>IF(Table10[[#This Row],[Unit Size (sq ft)]]=0,"",Table10[[#This Row],[Unit Size (sq ft)]])</f>
        <v>624</v>
      </c>
      <c r="K46"/>
      <c r="L46" t="str">
        <f>Table10[[#This Row],[Market Unit]]</f>
        <v>Yes</v>
      </c>
      <c r="M46" t="str">
        <f>Table10[[#This Row],[Affordable Unit]]</f>
        <v>No</v>
      </c>
      <c r="N46" t="str">
        <f>IF(Table10[[#This Row],[Subsidized Unit]]=0,"",Table10[[#This Row],[Subsidized Unit]])</f>
        <v/>
      </c>
      <c r="O46" t="str">
        <f>IF(Table10[[#This Row],[Care Services]]=0,"",Table10[[#This Row],[Care Services]])</f>
        <v/>
      </c>
      <c r="P46" t="str">
        <f>IF(Table10[[#This Row],[Affordable Care]]=0,"",Table10[[#This Row],[Affordable Care]])</f>
        <v/>
      </c>
      <c r="Q46"/>
      <c r="R46"/>
      <c r="S46"/>
      <c r="T46" t="str">
        <f>IF(Table10[[#This Row],[Bulk Lease Unit]]=0,"",Table10[[#This Row],[Bulk Lease Unit]])</f>
        <v/>
      </c>
      <c r="U46" t="str">
        <f>IF(Table10[[#This Row],[Den Included Unit]]=0,"",Table10[[#This Row],[Den Included Unit]])</f>
        <v/>
      </c>
      <c r="V46" t="str">
        <f>IF(Table10[[#This Row],[Second Bathroom]]=0,"",Table10[[#This Row],[Second Bathroom]])</f>
        <v/>
      </c>
      <c r="W46" t="str">
        <f>IF(Table10[[#This Row],[Heating]]=0,"",Table10[[#This Row],[Heating]])</f>
        <v/>
      </c>
      <c r="X46" t="str">
        <f>IF(Table10[[#This Row],[Electricity]]=0,"",Table10[[#This Row],[Electricity]])</f>
        <v/>
      </c>
      <c r="Y46" t="str">
        <f>IF(Table10[[#This Row],[Water]]=0,"",Table10[[#This Row],[Water]])</f>
        <v/>
      </c>
      <c r="Z46" t="str">
        <f>IF(Table10[[#This Row],[Washer/Dryer]]=0,"",Table10[[#This Row],[Washer/Dryer]])</f>
        <v/>
      </c>
      <c r="AA46" t="str">
        <f>IF(Table10[[#This Row],[Stove/Fridge]]=0,"",Table10[[#This Row],[Stove/Fridge]])</f>
        <v/>
      </c>
      <c r="AB46" t="str">
        <f>IF(Table10[[#This Row],[Dishwasher]]=0,"",Table10[[#This Row],[Dishwasher]])</f>
        <v/>
      </c>
      <c r="AC46" t="str">
        <f>IF(Table10[[#This Row],[Parking]]=0,"",Table10[[#This Row],[Parking]])</f>
        <v/>
      </c>
      <c r="AD46" t="str">
        <f>IF(Table10[[#This Row],[Furniture]]=0,"",Table10[[#This Row],[Furniture]])</f>
        <v/>
      </c>
      <c r="AE46" t="str">
        <f>IF(Table10[[#This Row],[Other]]=0,"",Table10[[#This Row],[Other]])</f>
        <v/>
      </c>
    </row>
    <row r="47" spans="1:31">
      <c r="A47" t="str">
        <f>IF(Table10[[#This Row],[Unit Type]]=0,"",Table10[[#This Row],[Unit Type]])</f>
        <v>1 Bedroom</v>
      </c>
      <c r="B47" t="str">
        <f>IF(Table10[[#This Row],[Residential Stream Source]]=0,"",Table10[[#This Row],[Residential Stream Source]])</f>
        <v/>
      </c>
      <c r="C47" t="str">
        <f>IF(Table10[[#This Row],[Basement?]]=0,"",Table10[[#This Row],[Basement?]])</f>
        <v/>
      </c>
      <c r="D47">
        <f>IF(Table10[[#This Row],[Unit '#]]=0,"",Table10[[#This Row],[Unit '#]])</f>
        <v>45</v>
      </c>
      <c r="E47" t="str">
        <f>IF(Table10[[#This Row],[Vacant?]]=0,"",Table10[[#This Row],[Vacant?]])</f>
        <v/>
      </c>
      <c r="F47">
        <f>IF(Table10[[#This Row],[Rental Rate ($/mth)]]=0,"",Table10[[#This Row],[Rental Rate ($/mth)]])</f>
        <v>2490</v>
      </c>
      <c r="G47"/>
      <c r="H47"/>
      <c r="I47"/>
      <c r="J47">
        <f>IF(Table10[[#This Row],[Unit Size (sq ft)]]=0,"",Table10[[#This Row],[Unit Size (sq ft)]])</f>
        <v>624</v>
      </c>
      <c r="K47"/>
      <c r="L47" t="str">
        <f>Table10[[#This Row],[Market Unit]]</f>
        <v>Yes</v>
      </c>
      <c r="M47" t="str">
        <f>Table10[[#This Row],[Affordable Unit]]</f>
        <v>No</v>
      </c>
      <c r="N47" t="str">
        <f>IF(Table10[[#This Row],[Subsidized Unit]]=0,"",Table10[[#This Row],[Subsidized Unit]])</f>
        <v/>
      </c>
      <c r="O47" t="str">
        <f>IF(Table10[[#This Row],[Care Services]]=0,"",Table10[[#This Row],[Care Services]])</f>
        <v/>
      </c>
      <c r="P47" t="str">
        <f>IF(Table10[[#This Row],[Affordable Care]]=0,"",Table10[[#This Row],[Affordable Care]])</f>
        <v/>
      </c>
      <c r="Q47"/>
      <c r="R47"/>
      <c r="S47"/>
      <c r="T47" t="str">
        <f>IF(Table10[[#This Row],[Bulk Lease Unit]]=0,"",Table10[[#This Row],[Bulk Lease Unit]])</f>
        <v/>
      </c>
      <c r="U47" t="str">
        <f>IF(Table10[[#This Row],[Den Included Unit]]=0,"",Table10[[#This Row],[Den Included Unit]])</f>
        <v/>
      </c>
      <c r="V47" t="str">
        <f>IF(Table10[[#This Row],[Second Bathroom]]=0,"",Table10[[#This Row],[Second Bathroom]])</f>
        <v/>
      </c>
      <c r="W47" t="str">
        <f>IF(Table10[[#This Row],[Heating]]=0,"",Table10[[#This Row],[Heating]])</f>
        <v/>
      </c>
      <c r="X47" t="str">
        <f>IF(Table10[[#This Row],[Electricity]]=0,"",Table10[[#This Row],[Electricity]])</f>
        <v/>
      </c>
      <c r="Y47" t="str">
        <f>IF(Table10[[#This Row],[Water]]=0,"",Table10[[#This Row],[Water]])</f>
        <v/>
      </c>
      <c r="Z47" t="str">
        <f>IF(Table10[[#This Row],[Washer/Dryer]]=0,"",Table10[[#This Row],[Washer/Dryer]])</f>
        <v/>
      </c>
      <c r="AA47" t="str">
        <f>IF(Table10[[#This Row],[Stove/Fridge]]=0,"",Table10[[#This Row],[Stove/Fridge]])</f>
        <v/>
      </c>
      <c r="AB47" t="str">
        <f>IF(Table10[[#This Row],[Dishwasher]]=0,"",Table10[[#This Row],[Dishwasher]])</f>
        <v/>
      </c>
      <c r="AC47" t="str">
        <f>IF(Table10[[#This Row],[Parking]]=0,"",Table10[[#This Row],[Parking]])</f>
        <v/>
      </c>
      <c r="AD47" t="str">
        <f>IF(Table10[[#This Row],[Furniture]]=0,"",Table10[[#This Row],[Furniture]])</f>
        <v/>
      </c>
      <c r="AE47" t="str">
        <f>IF(Table10[[#This Row],[Other]]=0,"",Table10[[#This Row],[Other]])</f>
        <v/>
      </c>
    </row>
    <row r="48" spans="1:31">
      <c r="A48" t="str">
        <f>IF(Table10[[#This Row],[Unit Type]]=0,"",Table10[[#This Row],[Unit Type]])</f>
        <v>1 Bedroom</v>
      </c>
      <c r="B48" t="str">
        <f>IF(Table10[[#This Row],[Residential Stream Source]]=0,"",Table10[[#This Row],[Residential Stream Source]])</f>
        <v/>
      </c>
      <c r="C48" t="str">
        <f>IF(Table10[[#This Row],[Basement?]]=0,"",Table10[[#This Row],[Basement?]])</f>
        <v/>
      </c>
      <c r="D48">
        <f>IF(Table10[[#This Row],[Unit '#]]=0,"",Table10[[#This Row],[Unit '#]])</f>
        <v>46</v>
      </c>
      <c r="E48" t="str">
        <f>IF(Table10[[#This Row],[Vacant?]]=0,"",Table10[[#This Row],[Vacant?]])</f>
        <v/>
      </c>
      <c r="F48">
        <f>IF(Table10[[#This Row],[Rental Rate ($/mth)]]=0,"",Table10[[#This Row],[Rental Rate ($/mth)]])</f>
        <v>2490</v>
      </c>
      <c r="G48"/>
      <c r="H48"/>
      <c r="I48"/>
      <c r="J48">
        <f>IF(Table10[[#This Row],[Unit Size (sq ft)]]=0,"",Table10[[#This Row],[Unit Size (sq ft)]])</f>
        <v>624</v>
      </c>
      <c r="K48"/>
      <c r="L48" t="str">
        <f>Table10[[#This Row],[Market Unit]]</f>
        <v>Yes</v>
      </c>
      <c r="M48" t="str">
        <f>Table10[[#This Row],[Affordable Unit]]</f>
        <v>No</v>
      </c>
      <c r="N48" t="str">
        <f>IF(Table10[[#This Row],[Subsidized Unit]]=0,"",Table10[[#This Row],[Subsidized Unit]])</f>
        <v/>
      </c>
      <c r="O48" t="str">
        <f>IF(Table10[[#This Row],[Care Services]]=0,"",Table10[[#This Row],[Care Services]])</f>
        <v/>
      </c>
      <c r="P48" t="str">
        <f>IF(Table10[[#This Row],[Affordable Care]]=0,"",Table10[[#This Row],[Affordable Care]])</f>
        <v/>
      </c>
      <c r="Q48"/>
      <c r="R48"/>
      <c r="S48"/>
      <c r="T48" t="str">
        <f>IF(Table10[[#This Row],[Bulk Lease Unit]]=0,"",Table10[[#This Row],[Bulk Lease Unit]])</f>
        <v/>
      </c>
      <c r="U48" t="str">
        <f>IF(Table10[[#This Row],[Den Included Unit]]=0,"",Table10[[#This Row],[Den Included Unit]])</f>
        <v/>
      </c>
      <c r="V48" t="str">
        <f>IF(Table10[[#This Row],[Second Bathroom]]=0,"",Table10[[#This Row],[Second Bathroom]])</f>
        <v/>
      </c>
      <c r="W48" t="str">
        <f>IF(Table10[[#This Row],[Heating]]=0,"",Table10[[#This Row],[Heating]])</f>
        <v/>
      </c>
      <c r="X48" t="str">
        <f>IF(Table10[[#This Row],[Electricity]]=0,"",Table10[[#This Row],[Electricity]])</f>
        <v/>
      </c>
      <c r="Y48" t="str">
        <f>IF(Table10[[#This Row],[Water]]=0,"",Table10[[#This Row],[Water]])</f>
        <v/>
      </c>
      <c r="Z48" t="str">
        <f>IF(Table10[[#This Row],[Washer/Dryer]]=0,"",Table10[[#This Row],[Washer/Dryer]])</f>
        <v/>
      </c>
      <c r="AA48" t="str">
        <f>IF(Table10[[#This Row],[Stove/Fridge]]=0,"",Table10[[#This Row],[Stove/Fridge]])</f>
        <v/>
      </c>
      <c r="AB48" t="str">
        <f>IF(Table10[[#This Row],[Dishwasher]]=0,"",Table10[[#This Row],[Dishwasher]])</f>
        <v/>
      </c>
      <c r="AC48" t="str">
        <f>IF(Table10[[#This Row],[Parking]]=0,"",Table10[[#This Row],[Parking]])</f>
        <v/>
      </c>
      <c r="AD48" t="str">
        <f>IF(Table10[[#This Row],[Furniture]]=0,"",Table10[[#This Row],[Furniture]])</f>
        <v/>
      </c>
      <c r="AE48" t="str">
        <f>IF(Table10[[#This Row],[Other]]=0,"",Table10[[#This Row],[Other]])</f>
        <v/>
      </c>
    </row>
    <row r="49" spans="1:31">
      <c r="A49" t="str">
        <f>IF(Table10[[#This Row],[Unit Type]]=0,"",Table10[[#This Row],[Unit Type]])</f>
        <v>1 Bedroom</v>
      </c>
      <c r="B49" t="str">
        <f>IF(Table10[[#This Row],[Residential Stream Source]]=0,"",Table10[[#This Row],[Residential Stream Source]])</f>
        <v/>
      </c>
      <c r="C49" t="str">
        <f>IF(Table10[[#This Row],[Basement?]]=0,"",Table10[[#This Row],[Basement?]])</f>
        <v/>
      </c>
      <c r="D49">
        <f>IF(Table10[[#This Row],[Unit '#]]=0,"",Table10[[#This Row],[Unit '#]])</f>
        <v>47</v>
      </c>
      <c r="E49" t="str">
        <f>IF(Table10[[#This Row],[Vacant?]]=0,"",Table10[[#This Row],[Vacant?]])</f>
        <v/>
      </c>
      <c r="F49">
        <f>IF(Table10[[#This Row],[Rental Rate ($/mth)]]=0,"",Table10[[#This Row],[Rental Rate ($/mth)]])</f>
        <v>2490</v>
      </c>
      <c r="G49"/>
      <c r="H49"/>
      <c r="I49"/>
      <c r="J49">
        <f>IF(Table10[[#This Row],[Unit Size (sq ft)]]=0,"",Table10[[#This Row],[Unit Size (sq ft)]])</f>
        <v>624</v>
      </c>
      <c r="K49"/>
      <c r="L49" t="str">
        <f>Table10[[#This Row],[Market Unit]]</f>
        <v>Yes</v>
      </c>
      <c r="M49" t="str">
        <f>Table10[[#This Row],[Affordable Unit]]</f>
        <v>No</v>
      </c>
      <c r="N49" t="str">
        <f>IF(Table10[[#This Row],[Subsidized Unit]]=0,"",Table10[[#This Row],[Subsidized Unit]])</f>
        <v/>
      </c>
      <c r="O49" t="str">
        <f>IF(Table10[[#This Row],[Care Services]]=0,"",Table10[[#This Row],[Care Services]])</f>
        <v/>
      </c>
      <c r="P49" t="str">
        <f>IF(Table10[[#This Row],[Affordable Care]]=0,"",Table10[[#This Row],[Affordable Care]])</f>
        <v/>
      </c>
      <c r="Q49"/>
      <c r="R49"/>
      <c r="S49"/>
      <c r="T49" t="str">
        <f>IF(Table10[[#This Row],[Bulk Lease Unit]]=0,"",Table10[[#This Row],[Bulk Lease Unit]])</f>
        <v/>
      </c>
      <c r="U49" t="str">
        <f>IF(Table10[[#This Row],[Den Included Unit]]=0,"",Table10[[#This Row],[Den Included Unit]])</f>
        <v/>
      </c>
      <c r="V49" t="str">
        <f>IF(Table10[[#This Row],[Second Bathroom]]=0,"",Table10[[#This Row],[Second Bathroom]])</f>
        <v/>
      </c>
      <c r="W49" t="str">
        <f>IF(Table10[[#This Row],[Heating]]=0,"",Table10[[#This Row],[Heating]])</f>
        <v/>
      </c>
      <c r="X49" t="str">
        <f>IF(Table10[[#This Row],[Electricity]]=0,"",Table10[[#This Row],[Electricity]])</f>
        <v/>
      </c>
      <c r="Y49" t="str">
        <f>IF(Table10[[#This Row],[Water]]=0,"",Table10[[#This Row],[Water]])</f>
        <v/>
      </c>
      <c r="Z49" t="str">
        <f>IF(Table10[[#This Row],[Washer/Dryer]]=0,"",Table10[[#This Row],[Washer/Dryer]])</f>
        <v/>
      </c>
      <c r="AA49" t="str">
        <f>IF(Table10[[#This Row],[Stove/Fridge]]=0,"",Table10[[#This Row],[Stove/Fridge]])</f>
        <v/>
      </c>
      <c r="AB49" t="str">
        <f>IF(Table10[[#This Row],[Dishwasher]]=0,"",Table10[[#This Row],[Dishwasher]])</f>
        <v/>
      </c>
      <c r="AC49" t="str">
        <f>IF(Table10[[#This Row],[Parking]]=0,"",Table10[[#This Row],[Parking]])</f>
        <v/>
      </c>
      <c r="AD49" t="str">
        <f>IF(Table10[[#This Row],[Furniture]]=0,"",Table10[[#This Row],[Furniture]])</f>
        <v/>
      </c>
      <c r="AE49" t="str">
        <f>IF(Table10[[#This Row],[Other]]=0,"",Table10[[#This Row],[Other]])</f>
        <v/>
      </c>
    </row>
    <row r="50" spans="1:31">
      <c r="A50" t="str">
        <f>IF(Table10[[#This Row],[Unit Type]]=0,"",Table10[[#This Row],[Unit Type]])</f>
        <v>1 Bedroom</v>
      </c>
      <c r="B50" t="str">
        <f>IF(Table10[[#This Row],[Residential Stream Source]]=0,"",Table10[[#This Row],[Residential Stream Source]])</f>
        <v/>
      </c>
      <c r="C50" t="str">
        <f>IF(Table10[[#This Row],[Basement?]]=0,"",Table10[[#This Row],[Basement?]])</f>
        <v/>
      </c>
      <c r="D50">
        <f>IF(Table10[[#This Row],[Unit '#]]=0,"",Table10[[#This Row],[Unit '#]])</f>
        <v>48</v>
      </c>
      <c r="E50" t="str">
        <f>IF(Table10[[#This Row],[Vacant?]]=0,"",Table10[[#This Row],[Vacant?]])</f>
        <v/>
      </c>
      <c r="F50">
        <f>IF(Table10[[#This Row],[Rental Rate ($/mth)]]=0,"",Table10[[#This Row],[Rental Rate ($/mth)]])</f>
        <v>2490</v>
      </c>
      <c r="G50"/>
      <c r="H50"/>
      <c r="I50"/>
      <c r="J50">
        <f>IF(Table10[[#This Row],[Unit Size (sq ft)]]=0,"",Table10[[#This Row],[Unit Size (sq ft)]])</f>
        <v>624</v>
      </c>
      <c r="K50"/>
      <c r="L50" t="str">
        <f>Table10[[#This Row],[Market Unit]]</f>
        <v>Yes</v>
      </c>
      <c r="M50" t="str">
        <f>Table10[[#This Row],[Affordable Unit]]</f>
        <v>No</v>
      </c>
      <c r="N50" t="str">
        <f>IF(Table10[[#This Row],[Subsidized Unit]]=0,"",Table10[[#This Row],[Subsidized Unit]])</f>
        <v/>
      </c>
      <c r="O50" t="str">
        <f>IF(Table10[[#This Row],[Care Services]]=0,"",Table10[[#This Row],[Care Services]])</f>
        <v/>
      </c>
      <c r="P50" t="str">
        <f>IF(Table10[[#This Row],[Affordable Care]]=0,"",Table10[[#This Row],[Affordable Care]])</f>
        <v/>
      </c>
      <c r="Q50"/>
      <c r="R50"/>
      <c r="S50"/>
      <c r="T50" t="str">
        <f>IF(Table10[[#This Row],[Bulk Lease Unit]]=0,"",Table10[[#This Row],[Bulk Lease Unit]])</f>
        <v/>
      </c>
      <c r="U50" t="str">
        <f>IF(Table10[[#This Row],[Den Included Unit]]=0,"",Table10[[#This Row],[Den Included Unit]])</f>
        <v/>
      </c>
      <c r="V50" t="str">
        <f>IF(Table10[[#This Row],[Second Bathroom]]=0,"",Table10[[#This Row],[Second Bathroom]])</f>
        <v/>
      </c>
      <c r="W50" t="str">
        <f>IF(Table10[[#This Row],[Heating]]=0,"",Table10[[#This Row],[Heating]])</f>
        <v/>
      </c>
      <c r="X50" t="str">
        <f>IF(Table10[[#This Row],[Electricity]]=0,"",Table10[[#This Row],[Electricity]])</f>
        <v/>
      </c>
      <c r="Y50" t="str">
        <f>IF(Table10[[#This Row],[Water]]=0,"",Table10[[#This Row],[Water]])</f>
        <v/>
      </c>
      <c r="Z50" t="str">
        <f>IF(Table10[[#This Row],[Washer/Dryer]]=0,"",Table10[[#This Row],[Washer/Dryer]])</f>
        <v/>
      </c>
      <c r="AA50" t="str">
        <f>IF(Table10[[#This Row],[Stove/Fridge]]=0,"",Table10[[#This Row],[Stove/Fridge]])</f>
        <v/>
      </c>
      <c r="AB50" t="str">
        <f>IF(Table10[[#This Row],[Dishwasher]]=0,"",Table10[[#This Row],[Dishwasher]])</f>
        <v/>
      </c>
      <c r="AC50" t="str">
        <f>IF(Table10[[#This Row],[Parking]]=0,"",Table10[[#This Row],[Parking]])</f>
        <v/>
      </c>
      <c r="AD50" t="str">
        <f>IF(Table10[[#This Row],[Furniture]]=0,"",Table10[[#This Row],[Furniture]])</f>
        <v/>
      </c>
      <c r="AE50" t="str">
        <f>IF(Table10[[#This Row],[Other]]=0,"",Table10[[#This Row],[Other]])</f>
        <v/>
      </c>
    </row>
    <row r="51" spans="1:31">
      <c r="A51" t="str">
        <f>IF(Table10[[#This Row],[Unit Type]]=0,"",Table10[[#This Row],[Unit Type]])</f>
        <v>1 Bedroom</v>
      </c>
      <c r="B51" t="str">
        <f>IF(Table10[[#This Row],[Residential Stream Source]]=0,"",Table10[[#This Row],[Residential Stream Source]])</f>
        <v/>
      </c>
      <c r="C51" t="str">
        <f>IF(Table10[[#This Row],[Basement?]]=0,"",Table10[[#This Row],[Basement?]])</f>
        <v/>
      </c>
      <c r="D51">
        <f>IF(Table10[[#This Row],[Unit '#]]=0,"",Table10[[#This Row],[Unit '#]])</f>
        <v>49</v>
      </c>
      <c r="E51" t="str">
        <f>IF(Table10[[#This Row],[Vacant?]]=0,"",Table10[[#This Row],[Vacant?]])</f>
        <v/>
      </c>
      <c r="F51">
        <f>IF(Table10[[#This Row],[Rental Rate ($/mth)]]=0,"",Table10[[#This Row],[Rental Rate ($/mth)]])</f>
        <v>2490</v>
      </c>
      <c r="G51"/>
      <c r="H51"/>
      <c r="I51"/>
      <c r="J51">
        <f>IF(Table10[[#This Row],[Unit Size (sq ft)]]=0,"",Table10[[#This Row],[Unit Size (sq ft)]])</f>
        <v>624</v>
      </c>
      <c r="K51"/>
      <c r="L51" t="str">
        <f>Table10[[#This Row],[Market Unit]]</f>
        <v>Yes</v>
      </c>
      <c r="M51" t="str">
        <f>Table10[[#This Row],[Affordable Unit]]</f>
        <v>No</v>
      </c>
      <c r="N51" t="str">
        <f>IF(Table10[[#This Row],[Subsidized Unit]]=0,"",Table10[[#This Row],[Subsidized Unit]])</f>
        <v/>
      </c>
      <c r="O51" t="str">
        <f>IF(Table10[[#This Row],[Care Services]]=0,"",Table10[[#This Row],[Care Services]])</f>
        <v/>
      </c>
      <c r="P51" t="str">
        <f>IF(Table10[[#This Row],[Affordable Care]]=0,"",Table10[[#This Row],[Affordable Care]])</f>
        <v/>
      </c>
      <c r="Q51"/>
      <c r="R51"/>
      <c r="S51"/>
      <c r="T51" t="str">
        <f>IF(Table10[[#This Row],[Bulk Lease Unit]]=0,"",Table10[[#This Row],[Bulk Lease Unit]])</f>
        <v/>
      </c>
      <c r="U51" t="str">
        <f>IF(Table10[[#This Row],[Den Included Unit]]=0,"",Table10[[#This Row],[Den Included Unit]])</f>
        <v/>
      </c>
      <c r="V51" t="str">
        <f>IF(Table10[[#This Row],[Second Bathroom]]=0,"",Table10[[#This Row],[Second Bathroom]])</f>
        <v/>
      </c>
      <c r="W51" t="str">
        <f>IF(Table10[[#This Row],[Heating]]=0,"",Table10[[#This Row],[Heating]])</f>
        <v/>
      </c>
      <c r="X51" t="str">
        <f>IF(Table10[[#This Row],[Electricity]]=0,"",Table10[[#This Row],[Electricity]])</f>
        <v/>
      </c>
      <c r="Y51" t="str">
        <f>IF(Table10[[#This Row],[Water]]=0,"",Table10[[#This Row],[Water]])</f>
        <v/>
      </c>
      <c r="Z51" t="str">
        <f>IF(Table10[[#This Row],[Washer/Dryer]]=0,"",Table10[[#This Row],[Washer/Dryer]])</f>
        <v/>
      </c>
      <c r="AA51" t="str">
        <f>IF(Table10[[#This Row],[Stove/Fridge]]=0,"",Table10[[#This Row],[Stove/Fridge]])</f>
        <v/>
      </c>
      <c r="AB51" t="str">
        <f>IF(Table10[[#This Row],[Dishwasher]]=0,"",Table10[[#This Row],[Dishwasher]])</f>
        <v/>
      </c>
      <c r="AC51" t="str">
        <f>IF(Table10[[#This Row],[Parking]]=0,"",Table10[[#This Row],[Parking]])</f>
        <v/>
      </c>
      <c r="AD51" t="str">
        <f>IF(Table10[[#This Row],[Furniture]]=0,"",Table10[[#This Row],[Furniture]])</f>
        <v/>
      </c>
      <c r="AE51" t="str">
        <f>IF(Table10[[#This Row],[Other]]=0,"",Table10[[#This Row],[Other]])</f>
        <v/>
      </c>
    </row>
    <row r="52" spans="1:31">
      <c r="A52" t="str">
        <f>IF(Table10[[#This Row],[Unit Type]]=0,"",Table10[[#This Row],[Unit Type]])</f>
        <v>1 Bedroom</v>
      </c>
      <c r="B52" t="str">
        <f>IF(Table10[[#This Row],[Residential Stream Source]]=0,"",Table10[[#This Row],[Residential Stream Source]])</f>
        <v/>
      </c>
      <c r="C52" t="str">
        <f>IF(Table10[[#This Row],[Basement?]]=0,"",Table10[[#This Row],[Basement?]])</f>
        <v/>
      </c>
      <c r="D52">
        <f>IF(Table10[[#This Row],[Unit '#]]=0,"",Table10[[#This Row],[Unit '#]])</f>
        <v>50</v>
      </c>
      <c r="E52" t="str">
        <f>IF(Table10[[#This Row],[Vacant?]]=0,"",Table10[[#This Row],[Vacant?]])</f>
        <v/>
      </c>
      <c r="F52">
        <f>IF(Table10[[#This Row],[Rental Rate ($/mth)]]=0,"",Table10[[#This Row],[Rental Rate ($/mth)]])</f>
        <v>2490</v>
      </c>
      <c r="G52"/>
      <c r="H52"/>
      <c r="I52"/>
      <c r="J52">
        <f>IF(Table10[[#This Row],[Unit Size (sq ft)]]=0,"",Table10[[#This Row],[Unit Size (sq ft)]])</f>
        <v>624</v>
      </c>
      <c r="K52"/>
      <c r="L52" t="str">
        <f>Table10[[#This Row],[Market Unit]]</f>
        <v>Yes</v>
      </c>
      <c r="M52" t="str">
        <f>Table10[[#This Row],[Affordable Unit]]</f>
        <v>No</v>
      </c>
      <c r="N52" t="str">
        <f>IF(Table10[[#This Row],[Subsidized Unit]]=0,"",Table10[[#This Row],[Subsidized Unit]])</f>
        <v/>
      </c>
      <c r="O52" t="str">
        <f>IF(Table10[[#This Row],[Care Services]]=0,"",Table10[[#This Row],[Care Services]])</f>
        <v/>
      </c>
      <c r="P52" t="str">
        <f>IF(Table10[[#This Row],[Affordable Care]]=0,"",Table10[[#This Row],[Affordable Care]])</f>
        <v/>
      </c>
      <c r="Q52"/>
      <c r="R52"/>
      <c r="S52"/>
      <c r="T52" t="str">
        <f>IF(Table10[[#This Row],[Bulk Lease Unit]]=0,"",Table10[[#This Row],[Bulk Lease Unit]])</f>
        <v/>
      </c>
      <c r="U52" t="str">
        <f>IF(Table10[[#This Row],[Den Included Unit]]=0,"",Table10[[#This Row],[Den Included Unit]])</f>
        <v/>
      </c>
      <c r="V52" t="str">
        <f>IF(Table10[[#This Row],[Second Bathroom]]=0,"",Table10[[#This Row],[Second Bathroom]])</f>
        <v/>
      </c>
      <c r="W52" t="str">
        <f>IF(Table10[[#This Row],[Heating]]=0,"",Table10[[#This Row],[Heating]])</f>
        <v/>
      </c>
      <c r="X52" t="str">
        <f>IF(Table10[[#This Row],[Electricity]]=0,"",Table10[[#This Row],[Electricity]])</f>
        <v/>
      </c>
      <c r="Y52" t="str">
        <f>IF(Table10[[#This Row],[Water]]=0,"",Table10[[#This Row],[Water]])</f>
        <v/>
      </c>
      <c r="Z52" t="str">
        <f>IF(Table10[[#This Row],[Washer/Dryer]]=0,"",Table10[[#This Row],[Washer/Dryer]])</f>
        <v/>
      </c>
      <c r="AA52" t="str">
        <f>IF(Table10[[#This Row],[Stove/Fridge]]=0,"",Table10[[#This Row],[Stove/Fridge]])</f>
        <v/>
      </c>
      <c r="AB52" t="str">
        <f>IF(Table10[[#This Row],[Dishwasher]]=0,"",Table10[[#This Row],[Dishwasher]])</f>
        <v/>
      </c>
      <c r="AC52" t="str">
        <f>IF(Table10[[#This Row],[Parking]]=0,"",Table10[[#This Row],[Parking]])</f>
        <v/>
      </c>
      <c r="AD52" t="str">
        <f>IF(Table10[[#This Row],[Furniture]]=0,"",Table10[[#This Row],[Furniture]])</f>
        <v/>
      </c>
      <c r="AE52" t="str">
        <f>IF(Table10[[#This Row],[Other]]=0,"",Table10[[#This Row],[Other]])</f>
        <v/>
      </c>
    </row>
    <row r="53" spans="1:31">
      <c r="A53" t="str">
        <f>IF(Table10[[#This Row],[Unit Type]]=0,"",Table10[[#This Row],[Unit Type]])</f>
        <v>1 Bedroom</v>
      </c>
      <c r="B53" t="str">
        <f>IF(Table10[[#This Row],[Residential Stream Source]]=0,"",Table10[[#This Row],[Residential Stream Source]])</f>
        <v/>
      </c>
      <c r="C53" t="str">
        <f>IF(Table10[[#This Row],[Basement?]]=0,"",Table10[[#This Row],[Basement?]])</f>
        <v/>
      </c>
      <c r="D53">
        <f>IF(Table10[[#This Row],[Unit '#]]=0,"",Table10[[#This Row],[Unit '#]])</f>
        <v>51</v>
      </c>
      <c r="E53" t="str">
        <f>IF(Table10[[#This Row],[Vacant?]]=0,"",Table10[[#This Row],[Vacant?]])</f>
        <v/>
      </c>
      <c r="F53">
        <f>IF(Table10[[#This Row],[Rental Rate ($/mth)]]=0,"",Table10[[#This Row],[Rental Rate ($/mth)]])</f>
        <v>2490</v>
      </c>
      <c r="G53"/>
      <c r="H53"/>
      <c r="I53"/>
      <c r="J53">
        <f>IF(Table10[[#This Row],[Unit Size (sq ft)]]=0,"",Table10[[#This Row],[Unit Size (sq ft)]])</f>
        <v>624</v>
      </c>
      <c r="K53"/>
      <c r="L53" t="str">
        <f>Table10[[#This Row],[Market Unit]]</f>
        <v>Yes</v>
      </c>
      <c r="M53" t="str">
        <f>Table10[[#This Row],[Affordable Unit]]</f>
        <v>No</v>
      </c>
      <c r="N53" t="str">
        <f>IF(Table10[[#This Row],[Subsidized Unit]]=0,"",Table10[[#This Row],[Subsidized Unit]])</f>
        <v/>
      </c>
      <c r="O53" t="str">
        <f>IF(Table10[[#This Row],[Care Services]]=0,"",Table10[[#This Row],[Care Services]])</f>
        <v/>
      </c>
      <c r="P53" t="str">
        <f>IF(Table10[[#This Row],[Affordable Care]]=0,"",Table10[[#This Row],[Affordable Care]])</f>
        <v/>
      </c>
      <c r="Q53"/>
      <c r="R53"/>
      <c r="S53"/>
      <c r="T53" t="str">
        <f>IF(Table10[[#This Row],[Bulk Lease Unit]]=0,"",Table10[[#This Row],[Bulk Lease Unit]])</f>
        <v/>
      </c>
      <c r="U53" t="str">
        <f>IF(Table10[[#This Row],[Den Included Unit]]=0,"",Table10[[#This Row],[Den Included Unit]])</f>
        <v/>
      </c>
      <c r="V53" t="str">
        <f>IF(Table10[[#This Row],[Second Bathroom]]=0,"",Table10[[#This Row],[Second Bathroom]])</f>
        <v/>
      </c>
      <c r="W53" t="str">
        <f>IF(Table10[[#This Row],[Heating]]=0,"",Table10[[#This Row],[Heating]])</f>
        <v/>
      </c>
      <c r="X53" t="str">
        <f>IF(Table10[[#This Row],[Electricity]]=0,"",Table10[[#This Row],[Electricity]])</f>
        <v/>
      </c>
      <c r="Y53" t="str">
        <f>IF(Table10[[#This Row],[Water]]=0,"",Table10[[#This Row],[Water]])</f>
        <v/>
      </c>
      <c r="Z53" t="str">
        <f>IF(Table10[[#This Row],[Washer/Dryer]]=0,"",Table10[[#This Row],[Washer/Dryer]])</f>
        <v/>
      </c>
      <c r="AA53" t="str">
        <f>IF(Table10[[#This Row],[Stove/Fridge]]=0,"",Table10[[#This Row],[Stove/Fridge]])</f>
        <v/>
      </c>
      <c r="AB53" t="str">
        <f>IF(Table10[[#This Row],[Dishwasher]]=0,"",Table10[[#This Row],[Dishwasher]])</f>
        <v/>
      </c>
      <c r="AC53" t="str">
        <f>IF(Table10[[#This Row],[Parking]]=0,"",Table10[[#This Row],[Parking]])</f>
        <v/>
      </c>
      <c r="AD53" t="str">
        <f>IF(Table10[[#This Row],[Furniture]]=0,"",Table10[[#This Row],[Furniture]])</f>
        <v/>
      </c>
      <c r="AE53" t="str">
        <f>IF(Table10[[#This Row],[Other]]=0,"",Table10[[#This Row],[Other]])</f>
        <v/>
      </c>
    </row>
    <row r="54" spans="1:31">
      <c r="A54" t="str">
        <f>IF(Table10[[#This Row],[Unit Type]]=0,"",Table10[[#This Row],[Unit Type]])</f>
        <v>1 Bedroom</v>
      </c>
      <c r="B54" t="str">
        <f>IF(Table10[[#This Row],[Residential Stream Source]]=0,"",Table10[[#This Row],[Residential Stream Source]])</f>
        <v/>
      </c>
      <c r="C54" t="str">
        <f>IF(Table10[[#This Row],[Basement?]]=0,"",Table10[[#This Row],[Basement?]])</f>
        <v/>
      </c>
      <c r="D54">
        <f>IF(Table10[[#This Row],[Unit '#]]=0,"",Table10[[#This Row],[Unit '#]])</f>
        <v>52</v>
      </c>
      <c r="E54" t="str">
        <f>IF(Table10[[#This Row],[Vacant?]]=0,"",Table10[[#This Row],[Vacant?]])</f>
        <v/>
      </c>
      <c r="F54">
        <f>IF(Table10[[#This Row],[Rental Rate ($/mth)]]=0,"",Table10[[#This Row],[Rental Rate ($/mth)]])</f>
        <v>2490</v>
      </c>
      <c r="G54"/>
      <c r="H54"/>
      <c r="I54"/>
      <c r="J54">
        <f>IF(Table10[[#This Row],[Unit Size (sq ft)]]=0,"",Table10[[#This Row],[Unit Size (sq ft)]])</f>
        <v>624</v>
      </c>
      <c r="K54"/>
      <c r="L54" t="str">
        <f>Table10[[#This Row],[Market Unit]]</f>
        <v>Yes</v>
      </c>
      <c r="M54" t="str">
        <f>Table10[[#This Row],[Affordable Unit]]</f>
        <v>No</v>
      </c>
      <c r="N54" t="str">
        <f>IF(Table10[[#This Row],[Subsidized Unit]]=0,"",Table10[[#This Row],[Subsidized Unit]])</f>
        <v/>
      </c>
      <c r="O54" t="str">
        <f>IF(Table10[[#This Row],[Care Services]]=0,"",Table10[[#This Row],[Care Services]])</f>
        <v/>
      </c>
      <c r="P54" t="str">
        <f>IF(Table10[[#This Row],[Affordable Care]]=0,"",Table10[[#This Row],[Affordable Care]])</f>
        <v/>
      </c>
      <c r="Q54"/>
      <c r="R54"/>
      <c r="S54"/>
      <c r="T54" t="str">
        <f>IF(Table10[[#This Row],[Bulk Lease Unit]]=0,"",Table10[[#This Row],[Bulk Lease Unit]])</f>
        <v/>
      </c>
      <c r="U54" t="str">
        <f>IF(Table10[[#This Row],[Den Included Unit]]=0,"",Table10[[#This Row],[Den Included Unit]])</f>
        <v/>
      </c>
      <c r="V54" t="str">
        <f>IF(Table10[[#This Row],[Second Bathroom]]=0,"",Table10[[#This Row],[Second Bathroom]])</f>
        <v/>
      </c>
      <c r="W54" t="str">
        <f>IF(Table10[[#This Row],[Heating]]=0,"",Table10[[#This Row],[Heating]])</f>
        <v/>
      </c>
      <c r="X54" t="str">
        <f>IF(Table10[[#This Row],[Electricity]]=0,"",Table10[[#This Row],[Electricity]])</f>
        <v/>
      </c>
      <c r="Y54" t="str">
        <f>IF(Table10[[#This Row],[Water]]=0,"",Table10[[#This Row],[Water]])</f>
        <v/>
      </c>
      <c r="Z54" t="str">
        <f>IF(Table10[[#This Row],[Washer/Dryer]]=0,"",Table10[[#This Row],[Washer/Dryer]])</f>
        <v/>
      </c>
      <c r="AA54" t="str">
        <f>IF(Table10[[#This Row],[Stove/Fridge]]=0,"",Table10[[#This Row],[Stove/Fridge]])</f>
        <v/>
      </c>
      <c r="AB54" t="str">
        <f>IF(Table10[[#This Row],[Dishwasher]]=0,"",Table10[[#This Row],[Dishwasher]])</f>
        <v/>
      </c>
      <c r="AC54" t="str">
        <f>IF(Table10[[#This Row],[Parking]]=0,"",Table10[[#This Row],[Parking]])</f>
        <v/>
      </c>
      <c r="AD54" t="str">
        <f>IF(Table10[[#This Row],[Furniture]]=0,"",Table10[[#This Row],[Furniture]])</f>
        <v/>
      </c>
      <c r="AE54" t="str">
        <f>IF(Table10[[#This Row],[Other]]=0,"",Table10[[#This Row],[Other]])</f>
        <v/>
      </c>
    </row>
    <row r="55" spans="1:31">
      <c r="A55" t="str">
        <f>IF(Table10[[#This Row],[Unit Type]]=0,"",Table10[[#This Row],[Unit Type]])</f>
        <v>1 Bedroom</v>
      </c>
      <c r="B55" t="str">
        <f>IF(Table10[[#This Row],[Residential Stream Source]]=0,"",Table10[[#This Row],[Residential Stream Source]])</f>
        <v/>
      </c>
      <c r="C55" t="str">
        <f>IF(Table10[[#This Row],[Basement?]]=0,"",Table10[[#This Row],[Basement?]])</f>
        <v/>
      </c>
      <c r="D55">
        <f>IF(Table10[[#This Row],[Unit '#]]=0,"",Table10[[#This Row],[Unit '#]])</f>
        <v>53</v>
      </c>
      <c r="E55" t="str">
        <f>IF(Table10[[#This Row],[Vacant?]]=0,"",Table10[[#This Row],[Vacant?]])</f>
        <v/>
      </c>
      <c r="F55">
        <f>IF(Table10[[#This Row],[Rental Rate ($/mth)]]=0,"",Table10[[#This Row],[Rental Rate ($/mth)]])</f>
        <v>2490</v>
      </c>
      <c r="G55"/>
      <c r="H55"/>
      <c r="I55"/>
      <c r="J55">
        <f>IF(Table10[[#This Row],[Unit Size (sq ft)]]=0,"",Table10[[#This Row],[Unit Size (sq ft)]])</f>
        <v>624</v>
      </c>
      <c r="K55"/>
      <c r="L55" t="str">
        <f>Table10[[#This Row],[Market Unit]]</f>
        <v>Yes</v>
      </c>
      <c r="M55" t="str">
        <f>Table10[[#This Row],[Affordable Unit]]</f>
        <v>No</v>
      </c>
      <c r="N55" t="str">
        <f>IF(Table10[[#This Row],[Subsidized Unit]]=0,"",Table10[[#This Row],[Subsidized Unit]])</f>
        <v/>
      </c>
      <c r="O55" t="str">
        <f>IF(Table10[[#This Row],[Care Services]]=0,"",Table10[[#This Row],[Care Services]])</f>
        <v/>
      </c>
      <c r="P55" t="str">
        <f>IF(Table10[[#This Row],[Affordable Care]]=0,"",Table10[[#This Row],[Affordable Care]])</f>
        <v/>
      </c>
      <c r="Q55"/>
      <c r="R55"/>
      <c r="S55"/>
      <c r="T55" t="str">
        <f>IF(Table10[[#This Row],[Bulk Lease Unit]]=0,"",Table10[[#This Row],[Bulk Lease Unit]])</f>
        <v/>
      </c>
      <c r="U55" t="str">
        <f>IF(Table10[[#This Row],[Den Included Unit]]=0,"",Table10[[#This Row],[Den Included Unit]])</f>
        <v/>
      </c>
      <c r="V55" t="str">
        <f>IF(Table10[[#This Row],[Second Bathroom]]=0,"",Table10[[#This Row],[Second Bathroom]])</f>
        <v/>
      </c>
      <c r="W55" t="str">
        <f>IF(Table10[[#This Row],[Heating]]=0,"",Table10[[#This Row],[Heating]])</f>
        <v/>
      </c>
      <c r="X55" t="str">
        <f>IF(Table10[[#This Row],[Electricity]]=0,"",Table10[[#This Row],[Electricity]])</f>
        <v/>
      </c>
      <c r="Y55" t="str">
        <f>IF(Table10[[#This Row],[Water]]=0,"",Table10[[#This Row],[Water]])</f>
        <v/>
      </c>
      <c r="Z55" t="str">
        <f>IF(Table10[[#This Row],[Washer/Dryer]]=0,"",Table10[[#This Row],[Washer/Dryer]])</f>
        <v/>
      </c>
      <c r="AA55" t="str">
        <f>IF(Table10[[#This Row],[Stove/Fridge]]=0,"",Table10[[#This Row],[Stove/Fridge]])</f>
        <v/>
      </c>
      <c r="AB55" t="str">
        <f>IF(Table10[[#This Row],[Dishwasher]]=0,"",Table10[[#This Row],[Dishwasher]])</f>
        <v/>
      </c>
      <c r="AC55" t="str">
        <f>IF(Table10[[#This Row],[Parking]]=0,"",Table10[[#This Row],[Parking]])</f>
        <v/>
      </c>
      <c r="AD55" t="str">
        <f>IF(Table10[[#This Row],[Furniture]]=0,"",Table10[[#This Row],[Furniture]])</f>
        <v/>
      </c>
      <c r="AE55" t="str">
        <f>IF(Table10[[#This Row],[Other]]=0,"",Table10[[#This Row],[Other]])</f>
        <v/>
      </c>
    </row>
    <row r="56" spans="1:31">
      <c r="A56" t="str">
        <f>IF(Table10[[#This Row],[Unit Type]]=0,"",Table10[[#This Row],[Unit Type]])</f>
        <v>1 Bedroom</v>
      </c>
      <c r="B56" t="str">
        <f>IF(Table10[[#This Row],[Residential Stream Source]]=0,"",Table10[[#This Row],[Residential Stream Source]])</f>
        <v/>
      </c>
      <c r="C56" t="str">
        <f>IF(Table10[[#This Row],[Basement?]]=0,"",Table10[[#This Row],[Basement?]])</f>
        <v/>
      </c>
      <c r="D56">
        <f>IF(Table10[[#This Row],[Unit '#]]=0,"",Table10[[#This Row],[Unit '#]])</f>
        <v>54</v>
      </c>
      <c r="E56" t="str">
        <f>IF(Table10[[#This Row],[Vacant?]]=0,"",Table10[[#This Row],[Vacant?]])</f>
        <v/>
      </c>
      <c r="F56">
        <f>IF(Table10[[#This Row],[Rental Rate ($/mth)]]=0,"",Table10[[#This Row],[Rental Rate ($/mth)]])</f>
        <v>2490</v>
      </c>
      <c r="G56"/>
      <c r="H56"/>
      <c r="I56"/>
      <c r="J56">
        <f>IF(Table10[[#This Row],[Unit Size (sq ft)]]=0,"",Table10[[#This Row],[Unit Size (sq ft)]])</f>
        <v>624</v>
      </c>
      <c r="K56"/>
      <c r="L56" t="str">
        <f>Table10[[#This Row],[Market Unit]]</f>
        <v>Yes</v>
      </c>
      <c r="M56" t="str">
        <f>Table10[[#This Row],[Affordable Unit]]</f>
        <v>No</v>
      </c>
      <c r="N56" t="str">
        <f>IF(Table10[[#This Row],[Subsidized Unit]]=0,"",Table10[[#This Row],[Subsidized Unit]])</f>
        <v/>
      </c>
      <c r="O56" t="str">
        <f>IF(Table10[[#This Row],[Care Services]]=0,"",Table10[[#This Row],[Care Services]])</f>
        <v/>
      </c>
      <c r="P56" t="str">
        <f>IF(Table10[[#This Row],[Affordable Care]]=0,"",Table10[[#This Row],[Affordable Care]])</f>
        <v/>
      </c>
      <c r="Q56"/>
      <c r="R56"/>
      <c r="S56"/>
      <c r="T56" t="str">
        <f>IF(Table10[[#This Row],[Bulk Lease Unit]]=0,"",Table10[[#This Row],[Bulk Lease Unit]])</f>
        <v/>
      </c>
      <c r="U56" t="str">
        <f>IF(Table10[[#This Row],[Den Included Unit]]=0,"",Table10[[#This Row],[Den Included Unit]])</f>
        <v/>
      </c>
      <c r="V56" t="str">
        <f>IF(Table10[[#This Row],[Second Bathroom]]=0,"",Table10[[#This Row],[Second Bathroom]])</f>
        <v/>
      </c>
      <c r="W56" t="str">
        <f>IF(Table10[[#This Row],[Heating]]=0,"",Table10[[#This Row],[Heating]])</f>
        <v/>
      </c>
      <c r="X56" t="str">
        <f>IF(Table10[[#This Row],[Electricity]]=0,"",Table10[[#This Row],[Electricity]])</f>
        <v/>
      </c>
      <c r="Y56" t="str">
        <f>IF(Table10[[#This Row],[Water]]=0,"",Table10[[#This Row],[Water]])</f>
        <v/>
      </c>
      <c r="Z56" t="str">
        <f>IF(Table10[[#This Row],[Washer/Dryer]]=0,"",Table10[[#This Row],[Washer/Dryer]])</f>
        <v/>
      </c>
      <c r="AA56" t="str">
        <f>IF(Table10[[#This Row],[Stove/Fridge]]=0,"",Table10[[#This Row],[Stove/Fridge]])</f>
        <v/>
      </c>
      <c r="AB56" t="str">
        <f>IF(Table10[[#This Row],[Dishwasher]]=0,"",Table10[[#This Row],[Dishwasher]])</f>
        <v/>
      </c>
      <c r="AC56" t="str">
        <f>IF(Table10[[#This Row],[Parking]]=0,"",Table10[[#This Row],[Parking]])</f>
        <v/>
      </c>
      <c r="AD56" t="str">
        <f>IF(Table10[[#This Row],[Furniture]]=0,"",Table10[[#This Row],[Furniture]])</f>
        <v/>
      </c>
      <c r="AE56" t="str">
        <f>IF(Table10[[#This Row],[Other]]=0,"",Table10[[#This Row],[Other]])</f>
        <v/>
      </c>
    </row>
    <row r="57" spans="1:31">
      <c r="A57" t="str">
        <f>IF(Table10[[#This Row],[Unit Type]]=0,"",Table10[[#This Row],[Unit Type]])</f>
        <v>1 Bedroom</v>
      </c>
      <c r="B57" t="str">
        <f>IF(Table10[[#This Row],[Residential Stream Source]]=0,"",Table10[[#This Row],[Residential Stream Source]])</f>
        <v/>
      </c>
      <c r="C57" t="str">
        <f>IF(Table10[[#This Row],[Basement?]]=0,"",Table10[[#This Row],[Basement?]])</f>
        <v/>
      </c>
      <c r="D57">
        <f>IF(Table10[[#This Row],[Unit '#]]=0,"",Table10[[#This Row],[Unit '#]])</f>
        <v>55</v>
      </c>
      <c r="E57" t="str">
        <f>IF(Table10[[#This Row],[Vacant?]]=0,"",Table10[[#This Row],[Vacant?]])</f>
        <v/>
      </c>
      <c r="F57">
        <f>IF(Table10[[#This Row],[Rental Rate ($/mth)]]=0,"",Table10[[#This Row],[Rental Rate ($/mth)]])</f>
        <v>2490</v>
      </c>
      <c r="G57"/>
      <c r="H57"/>
      <c r="I57"/>
      <c r="J57">
        <f>IF(Table10[[#This Row],[Unit Size (sq ft)]]=0,"",Table10[[#This Row],[Unit Size (sq ft)]])</f>
        <v>624</v>
      </c>
      <c r="K57"/>
      <c r="L57" t="str">
        <f>Table10[[#This Row],[Market Unit]]</f>
        <v>Yes</v>
      </c>
      <c r="M57" t="str">
        <f>Table10[[#This Row],[Affordable Unit]]</f>
        <v>No</v>
      </c>
      <c r="N57" t="str">
        <f>IF(Table10[[#This Row],[Subsidized Unit]]=0,"",Table10[[#This Row],[Subsidized Unit]])</f>
        <v/>
      </c>
      <c r="O57" t="str">
        <f>IF(Table10[[#This Row],[Care Services]]=0,"",Table10[[#This Row],[Care Services]])</f>
        <v/>
      </c>
      <c r="P57" t="str">
        <f>IF(Table10[[#This Row],[Affordable Care]]=0,"",Table10[[#This Row],[Affordable Care]])</f>
        <v/>
      </c>
      <c r="Q57"/>
      <c r="R57"/>
      <c r="S57"/>
      <c r="T57" t="str">
        <f>IF(Table10[[#This Row],[Bulk Lease Unit]]=0,"",Table10[[#This Row],[Bulk Lease Unit]])</f>
        <v/>
      </c>
      <c r="U57" t="str">
        <f>IF(Table10[[#This Row],[Den Included Unit]]=0,"",Table10[[#This Row],[Den Included Unit]])</f>
        <v/>
      </c>
      <c r="V57" t="str">
        <f>IF(Table10[[#This Row],[Second Bathroom]]=0,"",Table10[[#This Row],[Second Bathroom]])</f>
        <v/>
      </c>
      <c r="W57" t="str">
        <f>IF(Table10[[#This Row],[Heating]]=0,"",Table10[[#This Row],[Heating]])</f>
        <v/>
      </c>
      <c r="X57" t="str">
        <f>IF(Table10[[#This Row],[Electricity]]=0,"",Table10[[#This Row],[Electricity]])</f>
        <v/>
      </c>
      <c r="Y57" t="str">
        <f>IF(Table10[[#This Row],[Water]]=0,"",Table10[[#This Row],[Water]])</f>
        <v/>
      </c>
      <c r="Z57" t="str">
        <f>IF(Table10[[#This Row],[Washer/Dryer]]=0,"",Table10[[#This Row],[Washer/Dryer]])</f>
        <v/>
      </c>
      <c r="AA57" t="str">
        <f>IF(Table10[[#This Row],[Stove/Fridge]]=0,"",Table10[[#This Row],[Stove/Fridge]])</f>
        <v/>
      </c>
      <c r="AB57" t="str">
        <f>IF(Table10[[#This Row],[Dishwasher]]=0,"",Table10[[#This Row],[Dishwasher]])</f>
        <v/>
      </c>
      <c r="AC57" t="str">
        <f>IF(Table10[[#This Row],[Parking]]=0,"",Table10[[#This Row],[Parking]])</f>
        <v/>
      </c>
      <c r="AD57" t="str">
        <f>IF(Table10[[#This Row],[Furniture]]=0,"",Table10[[#This Row],[Furniture]])</f>
        <v/>
      </c>
      <c r="AE57" t="str">
        <f>IF(Table10[[#This Row],[Other]]=0,"",Table10[[#This Row],[Other]])</f>
        <v/>
      </c>
    </row>
    <row r="58" spans="1:31">
      <c r="A58" t="str">
        <f>IF(Table10[[#This Row],[Unit Type]]=0,"",Table10[[#This Row],[Unit Type]])</f>
        <v>1 Bedroom</v>
      </c>
      <c r="B58" t="str">
        <f>IF(Table10[[#This Row],[Residential Stream Source]]=0,"",Table10[[#This Row],[Residential Stream Source]])</f>
        <v/>
      </c>
      <c r="C58" t="str">
        <f>IF(Table10[[#This Row],[Basement?]]=0,"",Table10[[#This Row],[Basement?]])</f>
        <v/>
      </c>
      <c r="D58">
        <f>IF(Table10[[#This Row],[Unit '#]]=0,"",Table10[[#This Row],[Unit '#]])</f>
        <v>56</v>
      </c>
      <c r="E58" t="str">
        <f>IF(Table10[[#This Row],[Vacant?]]=0,"",Table10[[#This Row],[Vacant?]])</f>
        <v/>
      </c>
      <c r="F58">
        <f>IF(Table10[[#This Row],[Rental Rate ($/mth)]]=0,"",Table10[[#This Row],[Rental Rate ($/mth)]])</f>
        <v>2490</v>
      </c>
      <c r="G58"/>
      <c r="H58"/>
      <c r="I58"/>
      <c r="J58">
        <f>IF(Table10[[#This Row],[Unit Size (sq ft)]]=0,"",Table10[[#This Row],[Unit Size (sq ft)]])</f>
        <v>624</v>
      </c>
      <c r="K58"/>
      <c r="L58" t="str">
        <f>Table10[[#This Row],[Market Unit]]</f>
        <v>Yes</v>
      </c>
      <c r="M58" t="str">
        <f>Table10[[#This Row],[Affordable Unit]]</f>
        <v>No</v>
      </c>
      <c r="N58" t="str">
        <f>IF(Table10[[#This Row],[Subsidized Unit]]=0,"",Table10[[#This Row],[Subsidized Unit]])</f>
        <v/>
      </c>
      <c r="O58" t="str">
        <f>IF(Table10[[#This Row],[Care Services]]=0,"",Table10[[#This Row],[Care Services]])</f>
        <v/>
      </c>
      <c r="P58" t="str">
        <f>IF(Table10[[#This Row],[Affordable Care]]=0,"",Table10[[#This Row],[Affordable Care]])</f>
        <v/>
      </c>
      <c r="Q58"/>
      <c r="R58"/>
      <c r="S58"/>
      <c r="T58" t="str">
        <f>IF(Table10[[#This Row],[Bulk Lease Unit]]=0,"",Table10[[#This Row],[Bulk Lease Unit]])</f>
        <v/>
      </c>
      <c r="U58" t="str">
        <f>IF(Table10[[#This Row],[Den Included Unit]]=0,"",Table10[[#This Row],[Den Included Unit]])</f>
        <v/>
      </c>
      <c r="V58" t="str">
        <f>IF(Table10[[#This Row],[Second Bathroom]]=0,"",Table10[[#This Row],[Second Bathroom]])</f>
        <v/>
      </c>
      <c r="W58" t="str">
        <f>IF(Table10[[#This Row],[Heating]]=0,"",Table10[[#This Row],[Heating]])</f>
        <v/>
      </c>
      <c r="X58" t="str">
        <f>IF(Table10[[#This Row],[Electricity]]=0,"",Table10[[#This Row],[Electricity]])</f>
        <v/>
      </c>
      <c r="Y58" t="str">
        <f>IF(Table10[[#This Row],[Water]]=0,"",Table10[[#This Row],[Water]])</f>
        <v/>
      </c>
      <c r="Z58" t="str">
        <f>IF(Table10[[#This Row],[Washer/Dryer]]=0,"",Table10[[#This Row],[Washer/Dryer]])</f>
        <v/>
      </c>
      <c r="AA58" t="str">
        <f>IF(Table10[[#This Row],[Stove/Fridge]]=0,"",Table10[[#This Row],[Stove/Fridge]])</f>
        <v/>
      </c>
      <c r="AB58" t="str">
        <f>IF(Table10[[#This Row],[Dishwasher]]=0,"",Table10[[#This Row],[Dishwasher]])</f>
        <v/>
      </c>
      <c r="AC58" t="str">
        <f>IF(Table10[[#This Row],[Parking]]=0,"",Table10[[#This Row],[Parking]])</f>
        <v/>
      </c>
      <c r="AD58" t="str">
        <f>IF(Table10[[#This Row],[Furniture]]=0,"",Table10[[#This Row],[Furniture]])</f>
        <v/>
      </c>
      <c r="AE58" t="str">
        <f>IF(Table10[[#This Row],[Other]]=0,"",Table10[[#This Row],[Other]])</f>
        <v/>
      </c>
    </row>
    <row r="59" spans="1:31">
      <c r="A59" t="str">
        <f>IF(Table10[[#This Row],[Unit Type]]=0,"",Table10[[#This Row],[Unit Type]])</f>
        <v>1 Bedroom</v>
      </c>
      <c r="B59" t="str">
        <f>IF(Table10[[#This Row],[Residential Stream Source]]=0,"",Table10[[#This Row],[Residential Stream Source]])</f>
        <v/>
      </c>
      <c r="C59" t="str">
        <f>IF(Table10[[#This Row],[Basement?]]=0,"",Table10[[#This Row],[Basement?]])</f>
        <v/>
      </c>
      <c r="D59">
        <f>IF(Table10[[#This Row],[Unit '#]]=0,"",Table10[[#This Row],[Unit '#]])</f>
        <v>57</v>
      </c>
      <c r="E59" t="str">
        <f>IF(Table10[[#This Row],[Vacant?]]=0,"",Table10[[#This Row],[Vacant?]])</f>
        <v/>
      </c>
      <c r="F59">
        <f>IF(Table10[[#This Row],[Rental Rate ($/mth)]]=0,"",Table10[[#This Row],[Rental Rate ($/mth)]])</f>
        <v>2490</v>
      </c>
      <c r="G59"/>
      <c r="H59"/>
      <c r="I59"/>
      <c r="J59">
        <f>IF(Table10[[#This Row],[Unit Size (sq ft)]]=0,"",Table10[[#This Row],[Unit Size (sq ft)]])</f>
        <v>624</v>
      </c>
      <c r="K59"/>
      <c r="L59" t="str">
        <f>Table10[[#This Row],[Market Unit]]</f>
        <v>Yes</v>
      </c>
      <c r="M59" t="str">
        <f>Table10[[#This Row],[Affordable Unit]]</f>
        <v>No</v>
      </c>
      <c r="N59" t="str">
        <f>IF(Table10[[#This Row],[Subsidized Unit]]=0,"",Table10[[#This Row],[Subsidized Unit]])</f>
        <v/>
      </c>
      <c r="O59" t="str">
        <f>IF(Table10[[#This Row],[Care Services]]=0,"",Table10[[#This Row],[Care Services]])</f>
        <v/>
      </c>
      <c r="P59" t="str">
        <f>IF(Table10[[#This Row],[Affordable Care]]=0,"",Table10[[#This Row],[Affordable Care]])</f>
        <v/>
      </c>
      <c r="Q59"/>
      <c r="R59"/>
      <c r="S59"/>
      <c r="T59" t="str">
        <f>IF(Table10[[#This Row],[Bulk Lease Unit]]=0,"",Table10[[#This Row],[Bulk Lease Unit]])</f>
        <v/>
      </c>
      <c r="U59" t="str">
        <f>IF(Table10[[#This Row],[Den Included Unit]]=0,"",Table10[[#This Row],[Den Included Unit]])</f>
        <v/>
      </c>
      <c r="V59" t="str">
        <f>IF(Table10[[#This Row],[Second Bathroom]]=0,"",Table10[[#This Row],[Second Bathroom]])</f>
        <v/>
      </c>
      <c r="W59" t="str">
        <f>IF(Table10[[#This Row],[Heating]]=0,"",Table10[[#This Row],[Heating]])</f>
        <v/>
      </c>
      <c r="X59" t="str">
        <f>IF(Table10[[#This Row],[Electricity]]=0,"",Table10[[#This Row],[Electricity]])</f>
        <v/>
      </c>
      <c r="Y59" t="str">
        <f>IF(Table10[[#This Row],[Water]]=0,"",Table10[[#This Row],[Water]])</f>
        <v/>
      </c>
      <c r="Z59" t="str">
        <f>IF(Table10[[#This Row],[Washer/Dryer]]=0,"",Table10[[#This Row],[Washer/Dryer]])</f>
        <v/>
      </c>
      <c r="AA59" t="str">
        <f>IF(Table10[[#This Row],[Stove/Fridge]]=0,"",Table10[[#This Row],[Stove/Fridge]])</f>
        <v/>
      </c>
      <c r="AB59" t="str">
        <f>IF(Table10[[#This Row],[Dishwasher]]=0,"",Table10[[#This Row],[Dishwasher]])</f>
        <v/>
      </c>
      <c r="AC59" t="str">
        <f>IF(Table10[[#This Row],[Parking]]=0,"",Table10[[#This Row],[Parking]])</f>
        <v/>
      </c>
      <c r="AD59" t="str">
        <f>IF(Table10[[#This Row],[Furniture]]=0,"",Table10[[#This Row],[Furniture]])</f>
        <v/>
      </c>
      <c r="AE59" t="str">
        <f>IF(Table10[[#This Row],[Other]]=0,"",Table10[[#This Row],[Other]])</f>
        <v/>
      </c>
    </row>
    <row r="60" spans="1:31">
      <c r="A60" t="str">
        <f>IF(Table10[[#This Row],[Unit Type]]=0,"",Table10[[#This Row],[Unit Type]])</f>
        <v>1 Bedroom</v>
      </c>
      <c r="B60" t="str">
        <f>IF(Table10[[#This Row],[Residential Stream Source]]=0,"",Table10[[#This Row],[Residential Stream Source]])</f>
        <v/>
      </c>
      <c r="C60" t="str">
        <f>IF(Table10[[#This Row],[Basement?]]=0,"",Table10[[#This Row],[Basement?]])</f>
        <v/>
      </c>
      <c r="D60">
        <f>IF(Table10[[#This Row],[Unit '#]]=0,"",Table10[[#This Row],[Unit '#]])</f>
        <v>58</v>
      </c>
      <c r="E60" t="str">
        <f>IF(Table10[[#This Row],[Vacant?]]=0,"",Table10[[#This Row],[Vacant?]])</f>
        <v/>
      </c>
      <c r="F60">
        <f>IF(Table10[[#This Row],[Rental Rate ($/mth)]]=0,"",Table10[[#This Row],[Rental Rate ($/mth)]])</f>
        <v>2490</v>
      </c>
      <c r="G60"/>
      <c r="H60"/>
      <c r="I60"/>
      <c r="J60">
        <f>IF(Table10[[#This Row],[Unit Size (sq ft)]]=0,"",Table10[[#This Row],[Unit Size (sq ft)]])</f>
        <v>624</v>
      </c>
      <c r="K60"/>
      <c r="L60" t="str">
        <f>Table10[[#This Row],[Market Unit]]</f>
        <v>Yes</v>
      </c>
      <c r="M60" t="str">
        <f>Table10[[#This Row],[Affordable Unit]]</f>
        <v>No</v>
      </c>
      <c r="N60" t="str">
        <f>IF(Table10[[#This Row],[Subsidized Unit]]=0,"",Table10[[#This Row],[Subsidized Unit]])</f>
        <v/>
      </c>
      <c r="O60" t="str">
        <f>IF(Table10[[#This Row],[Care Services]]=0,"",Table10[[#This Row],[Care Services]])</f>
        <v/>
      </c>
      <c r="P60" t="str">
        <f>IF(Table10[[#This Row],[Affordable Care]]=0,"",Table10[[#This Row],[Affordable Care]])</f>
        <v/>
      </c>
      <c r="Q60"/>
      <c r="R60"/>
      <c r="S60"/>
      <c r="T60" t="str">
        <f>IF(Table10[[#This Row],[Bulk Lease Unit]]=0,"",Table10[[#This Row],[Bulk Lease Unit]])</f>
        <v/>
      </c>
      <c r="U60" t="str">
        <f>IF(Table10[[#This Row],[Den Included Unit]]=0,"",Table10[[#This Row],[Den Included Unit]])</f>
        <v/>
      </c>
      <c r="V60" t="str">
        <f>IF(Table10[[#This Row],[Second Bathroom]]=0,"",Table10[[#This Row],[Second Bathroom]])</f>
        <v/>
      </c>
      <c r="W60" t="str">
        <f>IF(Table10[[#This Row],[Heating]]=0,"",Table10[[#This Row],[Heating]])</f>
        <v/>
      </c>
      <c r="X60" t="str">
        <f>IF(Table10[[#This Row],[Electricity]]=0,"",Table10[[#This Row],[Electricity]])</f>
        <v/>
      </c>
      <c r="Y60" t="str">
        <f>IF(Table10[[#This Row],[Water]]=0,"",Table10[[#This Row],[Water]])</f>
        <v/>
      </c>
      <c r="Z60" t="str">
        <f>IF(Table10[[#This Row],[Washer/Dryer]]=0,"",Table10[[#This Row],[Washer/Dryer]])</f>
        <v/>
      </c>
      <c r="AA60" t="str">
        <f>IF(Table10[[#This Row],[Stove/Fridge]]=0,"",Table10[[#This Row],[Stove/Fridge]])</f>
        <v/>
      </c>
      <c r="AB60" t="str">
        <f>IF(Table10[[#This Row],[Dishwasher]]=0,"",Table10[[#This Row],[Dishwasher]])</f>
        <v/>
      </c>
      <c r="AC60" t="str">
        <f>IF(Table10[[#This Row],[Parking]]=0,"",Table10[[#This Row],[Parking]])</f>
        <v/>
      </c>
      <c r="AD60" t="str">
        <f>IF(Table10[[#This Row],[Furniture]]=0,"",Table10[[#This Row],[Furniture]])</f>
        <v/>
      </c>
      <c r="AE60" t="str">
        <f>IF(Table10[[#This Row],[Other]]=0,"",Table10[[#This Row],[Other]])</f>
        <v/>
      </c>
    </row>
    <row r="61" spans="1:31">
      <c r="A61" t="str">
        <f>IF(Table10[[#This Row],[Unit Type]]=0,"",Table10[[#This Row],[Unit Type]])</f>
        <v>1 Bedroom</v>
      </c>
      <c r="B61" t="str">
        <f>IF(Table10[[#This Row],[Residential Stream Source]]=0,"",Table10[[#This Row],[Residential Stream Source]])</f>
        <v/>
      </c>
      <c r="C61" t="str">
        <f>IF(Table10[[#This Row],[Basement?]]=0,"",Table10[[#This Row],[Basement?]])</f>
        <v/>
      </c>
      <c r="D61">
        <f>IF(Table10[[#This Row],[Unit '#]]=0,"",Table10[[#This Row],[Unit '#]])</f>
        <v>59</v>
      </c>
      <c r="E61" t="str">
        <f>IF(Table10[[#This Row],[Vacant?]]=0,"",Table10[[#This Row],[Vacant?]])</f>
        <v/>
      </c>
      <c r="F61">
        <f>IF(Table10[[#This Row],[Rental Rate ($/mth)]]=0,"",Table10[[#This Row],[Rental Rate ($/mth)]])</f>
        <v>2490</v>
      </c>
      <c r="G61"/>
      <c r="H61"/>
      <c r="I61"/>
      <c r="J61">
        <f>IF(Table10[[#This Row],[Unit Size (sq ft)]]=0,"",Table10[[#This Row],[Unit Size (sq ft)]])</f>
        <v>624</v>
      </c>
      <c r="K61"/>
      <c r="L61" t="str">
        <f>Table10[[#This Row],[Market Unit]]</f>
        <v>Yes</v>
      </c>
      <c r="M61" t="str">
        <f>Table10[[#This Row],[Affordable Unit]]</f>
        <v>No</v>
      </c>
      <c r="N61" t="str">
        <f>IF(Table10[[#This Row],[Subsidized Unit]]=0,"",Table10[[#This Row],[Subsidized Unit]])</f>
        <v/>
      </c>
      <c r="O61" t="str">
        <f>IF(Table10[[#This Row],[Care Services]]=0,"",Table10[[#This Row],[Care Services]])</f>
        <v/>
      </c>
      <c r="P61" t="str">
        <f>IF(Table10[[#This Row],[Affordable Care]]=0,"",Table10[[#This Row],[Affordable Care]])</f>
        <v/>
      </c>
      <c r="Q61"/>
      <c r="R61"/>
      <c r="S61"/>
      <c r="T61" t="str">
        <f>IF(Table10[[#This Row],[Bulk Lease Unit]]=0,"",Table10[[#This Row],[Bulk Lease Unit]])</f>
        <v/>
      </c>
      <c r="U61" t="str">
        <f>IF(Table10[[#This Row],[Den Included Unit]]=0,"",Table10[[#This Row],[Den Included Unit]])</f>
        <v/>
      </c>
      <c r="V61" t="str">
        <f>IF(Table10[[#This Row],[Second Bathroom]]=0,"",Table10[[#This Row],[Second Bathroom]])</f>
        <v/>
      </c>
      <c r="W61" t="str">
        <f>IF(Table10[[#This Row],[Heating]]=0,"",Table10[[#This Row],[Heating]])</f>
        <v/>
      </c>
      <c r="X61" t="str">
        <f>IF(Table10[[#This Row],[Electricity]]=0,"",Table10[[#This Row],[Electricity]])</f>
        <v/>
      </c>
      <c r="Y61" t="str">
        <f>IF(Table10[[#This Row],[Water]]=0,"",Table10[[#This Row],[Water]])</f>
        <v/>
      </c>
      <c r="Z61" t="str">
        <f>IF(Table10[[#This Row],[Washer/Dryer]]=0,"",Table10[[#This Row],[Washer/Dryer]])</f>
        <v/>
      </c>
      <c r="AA61" t="str">
        <f>IF(Table10[[#This Row],[Stove/Fridge]]=0,"",Table10[[#This Row],[Stove/Fridge]])</f>
        <v/>
      </c>
      <c r="AB61" t="str">
        <f>IF(Table10[[#This Row],[Dishwasher]]=0,"",Table10[[#This Row],[Dishwasher]])</f>
        <v/>
      </c>
      <c r="AC61" t="str">
        <f>IF(Table10[[#This Row],[Parking]]=0,"",Table10[[#This Row],[Parking]])</f>
        <v/>
      </c>
      <c r="AD61" t="str">
        <f>IF(Table10[[#This Row],[Furniture]]=0,"",Table10[[#This Row],[Furniture]])</f>
        <v/>
      </c>
      <c r="AE61" t="str">
        <f>IF(Table10[[#This Row],[Other]]=0,"",Table10[[#This Row],[Other]])</f>
        <v/>
      </c>
    </row>
    <row r="62" spans="1:31">
      <c r="A62" t="str">
        <f>IF(Table10[[#This Row],[Unit Type]]=0,"",Table10[[#This Row],[Unit Type]])</f>
        <v>1 Bedroom</v>
      </c>
      <c r="B62" t="str">
        <f>IF(Table10[[#This Row],[Residential Stream Source]]=0,"",Table10[[#This Row],[Residential Stream Source]])</f>
        <v/>
      </c>
      <c r="C62" t="str">
        <f>IF(Table10[[#This Row],[Basement?]]=0,"",Table10[[#This Row],[Basement?]])</f>
        <v/>
      </c>
      <c r="D62">
        <f>IF(Table10[[#This Row],[Unit '#]]=0,"",Table10[[#This Row],[Unit '#]])</f>
        <v>60</v>
      </c>
      <c r="E62" t="str">
        <f>IF(Table10[[#This Row],[Vacant?]]=0,"",Table10[[#This Row],[Vacant?]])</f>
        <v/>
      </c>
      <c r="F62">
        <f>IF(Table10[[#This Row],[Rental Rate ($/mth)]]=0,"",Table10[[#This Row],[Rental Rate ($/mth)]])</f>
        <v>2490</v>
      </c>
      <c r="G62"/>
      <c r="H62"/>
      <c r="I62"/>
      <c r="J62">
        <f>IF(Table10[[#This Row],[Unit Size (sq ft)]]=0,"",Table10[[#This Row],[Unit Size (sq ft)]])</f>
        <v>624</v>
      </c>
      <c r="K62"/>
      <c r="L62" t="str">
        <f>Table10[[#This Row],[Market Unit]]</f>
        <v>Yes</v>
      </c>
      <c r="M62" t="str">
        <f>Table10[[#This Row],[Affordable Unit]]</f>
        <v>No</v>
      </c>
      <c r="N62" t="str">
        <f>IF(Table10[[#This Row],[Subsidized Unit]]=0,"",Table10[[#This Row],[Subsidized Unit]])</f>
        <v/>
      </c>
      <c r="O62" t="str">
        <f>IF(Table10[[#This Row],[Care Services]]=0,"",Table10[[#This Row],[Care Services]])</f>
        <v/>
      </c>
      <c r="P62" t="str">
        <f>IF(Table10[[#This Row],[Affordable Care]]=0,"",Table10[[#This Row],[Affordable Care]])</f>
        <v/>
      </c>
      <c r="Q62"/>
      <c r="R62"/>
      <c r="S62"/>
      <c r="T62" t="str">
        <f>IF(Table10[[#This Row],[Bulk Lease Unit]]=0,"",Table10[[#This Row],[Bulk Lease Unit]])</f>
        <v/>
      </c>
      <c r="U62" t="str">
        <f>IF(Table10[[#This Row],[Den Included Unit]]=0,"",Table10[[#This Row],[Den Included Unit]])</f>
        <v/>
      </c>
      <c r="V62" t="str">
        <f>IF(Table10[[#This Row],[Second Bathroom]]=0,"",Table10[[#This Row],[Second Bathroom]])</f>
        <v/>
      </c>
      <c r="W62" t="str">
        <f>IF(Table10[[#This Row],[Heating]]=0,"",Table10[[#This Row],[Heating]])</f>
        <v/>
      </c>
      <c r="X62" t="str">
        <f>IF(Table10[[#This Row],[Electricity]]=0,"",Table10[[#This Row],[Electricity]])</f>
        <v/>
      </c>
      <c r="Y62" t="str">
        <f>IF(Table10[[#This Row],[Water]]=0,"",Table10[[#This Row],[Water]])</f>
        <v/>
      </c>
      <c r="Z62" t="str">
        <f>IF(Table10[[#This Row],[Washer/Dryer]]=0,"",Table10[[#This Row],[Washer/Dryer]])</f>
        <v/>
      </c>
      <c r="AA62" t="str">
        <f>IF(Table10[[#This Row],[Stove/Fridge]]=0,"",Table10[[#This Row],[Stove/Fridge]])</f>
        <v/>
      </c>
      <c r="AB62" t="str">
        <f>IF(Table10[[#This Row],[Dishwasher]]=0,"",Table10[[#This Row],[Dishwasher]])</f>
        <v/>
      </c>
      <c r="AC62" t="str">
        <f>IF(Table10[[#This Row],[Parking]]=0,"",Table10[[#This Row],[Parking]])</f>
        <v/>
      </c>
      <c r="AD62" t="str">
        <f>IF(Table10[[#This Row],[Furniture]]=0,"",Table10[[#This Row],[Furniture]])</f>
        <v/>
      </c>
      <c r="AE62" t="str">
        <f>IF(Table10[[#This Row],[Other]]=0,"",Table10[[#This Row],[Other]])</f>
        <v/>
      </c>
    </row>
    <row r="63" spans="1:31">
      <c r="A63" t="str">
        <f>IF(Table10[[#This Row],[Unit Type]]=0,"",Table10[[#This Row],[Unit Type]])</f>
        <v>1 Bedroom</v>
      </c>
      <c r="B63" t="str">
        <f>IF(Table10[[#This Row],[Residential Stream Source]]=0,"",Table10[[#This Row],[Residential Stream Source]])</f>
        <v/>
      </c>
      <c r="C63" t="str">
        <f>IF(Table10[[#This Row],[Basement?]]=0,"",Table10[[#This Row],[Basement?]])</f>
        <v/>
      </c>
      <c r="D63">
        <f>IF(Table10[[#This Row],[Unit '#]]=0,"",Table10[[#This Row],[Unit '#]])</f>
        <v>61</v>
      </c>
      <c r="E63" t="str">
        <f>IF(Table10[[#This Row],[Vacant?]]=0,"",Table10[[#This Row],[Vacant?]])</f>
        <v/>
      </c>
      <c r="F63">
        <f>IF(Table10[[#This Row],[Rental Rate ($/mth)]]=0,"",Table10[[#This Row],[Rental Rate ($/mth)]])</f>
        <v>2490</v>
      </c>
      <c r="G63"/>
      <c r="H63"/>
      <c r="I63"/>
      <c r="J63">
        <f>IF(Table10[[#This Row],[Unit Size (sq ft)]]=0,"",Table10[[#This Row],[Unit Size (sq ft)]])</f>
        <v>624</v>
      </c>
      <c r="K63"/>
      <c r="L63" t="str">
        <f>Table10[[#This Row],[Market Unit]]</f>
        <v>Yes</v>
      </c>
      <c r="M63" t="str">
        <f>Table10[[#This Row],[Affordable Unit]]</f>
        <v>No</v>
      </c>
      <c r="N63" t="str">
        <f>IF(Table10[[#This Row],[Subsidized Unit]]=0,"",Table10[[#This Row],[Subsidized Unit]])</f>
        <v/>
      </c>
      <c r="O63" t="str">
        <f>IF(Table10[[#This Row],[Care Services]]=0,"",Table10[[#This Row],[Care Services]])</f>
        <v/>
      </c>
      <c r="P63" t="str">
        <f>IF(Table10[[#This Row],[Affordable Care]]=0,"",Table10[[#This Row],[Affordable Care]])</f>
        <v/>
      </c>
      <c r="Q63"/>
      <c r="R63"/>
      <c r="S63"/>
      <c r="T63" t="str">
        <f>IF(Table10[[#This Row],[Bulk Lease Unit]]=0,"",Table10[[#This Row],[Bulk Lease Unit]])</f>
        <v/>
      </c>
      <c r="U63" t="str">
        <f>IF(Table10[[#This Row],[Den Included Unit]]=0,"",Table10[[#This Row],[Den Included Unit]])</f>
        <v/>
      </c>
      <c r="V63" t="str">
        <f>IF(Table10[[#This Row],[Second Bathroom]]=0,"",Table10[[#This Row],[Second Bathroom]])</f>
        <v/>
      </c>
      <c r="W63" t="str">
        <f>IF(Table10[[#This Row],[Heating]]=0,"",Table10[[#This Row],[Heating]])</f>
        <v/>
      </c>
      <c r="X63" t="str">
        <f>IF(Table10[[#This Row],[Electricity]]=0,"",Table10[[#This Row],[Electricity]])</f>
        <v/>
      </c>
      <c r="Y63" t="str">
        <f>IF(Table10[[#This Row],[Water]]=0,"",Table10[[#This Row],[Water]])</f>
        <v/>
      </c>
      <c r="Z63" t="str">
        <f>IF(Table10[[#This Row],[Washer/Dryer]]=0,"",Table10[[#This Row],[Washer/Dryer]])</f>
        <v/>
      </c>
      <c r="AA63" t="str">
        <f>IF(Table10[[#This Row],[Stove/Fridge]]=0,"",Table10[[#This Row],[Stove/Fridge]])</f>
        <v/>
      </c>
      <c r="AB63" t="str">
        <f>IF(Table10[[#This Row],[Dishwasher]]=0,"",Table10[[#This Row],[Dishwasher]])</f>
        <v/>
      </c>
      <c r="AC63" t="str">
        <f>IF(Table10[[#This Row],[Parking]]=0,"",Table10[[#This Row],[Parking]])</f>
        <v/>
      </c>
      <c r="AD63" t="str">
        <f>IF(Table10[[#This Row],[Furniture]]=0,"",Table10[[#This Row],[Furniture]])</f>
        <v/>
      </c>
      <c r="AE63" t="str">
        <f>IF(Table10[[#This Row],[Other]]=0,"",Table10[[#This Row],[Other]])</f>
        <v/>
      </c>
    </row>
    <row r="64" spans="1:31">
      <c r="A64" t="str">
        <f>IF(Table10[[#This Row],[Unit Type]]=0,"",Table10[[#This Row],[Unit Type]])</f>
        <v>1 Bedroom</v>
      </c>
      <c r="B64" t="str">
        <f>IF(Table10[[#This Row],[Residential Stream Source]]=0,"",Table10[[#This Row],[Residential Stream Source]])</f>
        <v/>
      </c>
      <c r="C64" t="str">
        <f>IF(Table10[[#This Row],[Basement?]]=0,"",Table10[[#This Row],[Basement?]])</f>
        <v/>
      </c>
      <c r="D64">
        <f>IF(Table10[[#This Row],[Unit '#]]=0,"",Table10[[#This Row],[Unit '#]])</f>
        <v>62</v>
      </c>
      <c r="E64" t="str">
        <f>IF(Table10[[#This Row],[Vacant?]]=0,"",Table10[[#This Row],[Vacant?]])</f>
        <v/>
      </c>
      <c r="F64">
        <f>IF(Table10[[#This Row],[Rental Rate ($/mth)]]=0,"",Table10[[#This Row],[Rental Rate ($/mth)]])</f>
        <v>2490</v>
      </c>
      <c r="G64"/>
      <c r="H64"/>
      <c r="I64"/>
      <c r="J64">
        <f>IF(Table10[[#This Row],[Unit Size (sq ft)]]=0,"",Table10[[#This Row],[Unit Size (sq ft)]])</f>
        <v>624</v>
      </c>
      <c r="K64"/>
      <c r="L64" t="str">
        <f>Table10[[#This Row],[Market Unit]]</f>
        <v>Yes</v>
      </c>
      <c r="M64" t="str">
        <f>Table10[[#This Row],[Affordable Unit]]</f>
        <v>No</v>
      </c>
      <c r="N64" t="str">
        <f>IF(Table10[[#This Row],[Subsidized Unit]]=0,"",Table10[[#This Row],[Subsidized Unit]])</f>
        <v/>
      </c>
      <c r="O64" t="str">
        <f>IF(Table10[[#This Row],[Care Services]]=0,"",Table10[[#This Row],[Care Services]])</f>
        <v/>
      </c>
      <c r="P64" t="str">
        <f>IF(Table10[[#This Row],[Affordable Care]]=0,"",Table10[[#This Row],[Affordable Care]])</f>
        <v/>
      </c>
      <c r="Q64"/>
      <c r="R64"/>
      <c r="S64"/>
      <c r="T64" t="str">
        <f>IF(Table10[[#This Row],[Bulk Lease Unit]]=0,"",Table10[[#This Row],[Bulk Lease Unit]])</f>
        <v/>
      </c>
      <c r="U64" t="str">
        <f>IF(Table10[[#This Row],[Den Included Unit]]=0,"",Table10[[#This Row],[Den Included Unit]])</f>
        <v/>
      </c>
      <c r="V64" t="str">
        <f>IF(Table10[[#This Row],[Second Bathroom]]=0,"",Table10[[#This Row],[Second Bathroom]])</f>
        <v/>
      </c>
      <c r="W64" t="str">
        <f>IF(Table10[[#This Row],[Heating]]=0,"",Table10[[#This Row],[Heating]])</f>
        <v/>
      </c>
      <c r="X64" t="str">
        <f>IF(Table10[[#This Row],[Electricity]]=0,"",Table10[[#This Row],[Electricity]])</f>
        <v/>
      </c>
      <c r="Y64" t="str">
        <f>IF(Table10[[#This Row],[Water]]=0,"",Table10[[#This Row],[Water]])</f>
        <v/>
      </c>
      <c r="Z64" t="str">
        <f>IF(Table10[[#This Row],[Washer/Dryer]]=0,"",Table10[[#This Row],[Washer/Dryer]])</f>
        <v/>
      </c>
      <c r="AA64" t="str">
        <f>IF(Table10[[#This Row],[Stove/Fridge]]=0,"",Table10[[#This Row],[Stove/Fridge]])</f>
        <v/>
      </c>
      <c r="AB64" t="str">
        <f>IF(Table10[[#This Row],[Dishwasher]]=0,"",Table10[[#This Row],[Dishwasher]])</f>
        <v/>
      </c>
      <c r="AC64" t="str">
        <f>IF(Table10[[#This Row],[Parking]]=0,"",Table10[[#This Row],[Parking]])</f>
        <v/>
      </c>
      <c r="AD64" t="str">
        <f>IF(Table10[[#This Row],[Furniture]]=0,"",Table10[[#This Row],[Furniture]])</f>
        <v/>
      </c>
      <c r="AE64" t="str">
        <f>IF(Table10[[#This Row],[Other]]=0,"",Table10[[#This Row],[Other]])</f>
        <v/>
      </c>
    </row>
    <row r="65" spans="1:31">
      <c r="A65" t="str">
        <f>IF(Table10[[#This Row],[Unit Type]]=0,"",Table10[[#This Row],[Unit Type]])</f>
        <v>1 Bedroom</v>
      </c>
      <c r="B65" t="str">
        <f>IF(Table10[[#This Row],[Residential Stream Source]]=0,"",Table10[[#This Row],[Residential Stream Source]])</f>
        <v/>
      </c>
      <c r="C65" t="str">
        <f>IF(Table10[[#This Row],[Basement?]]=0,"",Table10[[#This Row],[Basement?]])</f>
        <v/>
      </c>
      <c r="D65">
        <f>IF(Table10[[#This Row],[Unit '#]]=0,"",Table10[[#This Row],[Unit '#]])</f>
        <v>63</v>
      </c>
      <c r="E65" t="str">
        <f>IF(Table10[[#This Row],[Vacant?]]=0,"",Table10[[#This Row],[Vacant?]])</f>
        <v/>
      </c>
      <c r="F65">
        <f>IF(Table10[[#This Row],[Rental Rate ($/mth)]]=0,"",Table10[[#This Row],[Rental Rate ($/mth)]])</f>
        <v>2490</v>
      </c>
      <c r="G65"/>
      <c r="H65"/>
      <c r="I65"/>
      <c r="J65">
        <f>IF(Table10[[#This Row],[Unit Size (sq ft)]]=0,"",Table10[[#This Row],[Unit Size (sq ft)]])</f>
        <v>624</v>
      </c>
      <c r="K65"/>
      <c r="L65" t="str">
        <f>Table10[[#This Row],[Market Unit]]</f>
        <v>Yes</v>
      </c>
      <c r="M65" t="str">
        <f>Table10[[#This Row],[Affordable Unit]]</f>
        <v>No</v>
      </c>
      <c r="N65" t="str">
        <f>IF(Table10[[#This Row],[Subsidized Unit]]=0,"",Table10[[#This Row],[Subsidized Unit]])</f>
        <v/>
      </c>
      <c r="O65" t="str">
        <f>IF(Table10[[#This Row],[Care Services]]=0,"",Table10[[#This Row],[Care Services]])</f>
        <v/>
      </c>
      <c r="P65" t="str">
        <f>IF(Table10[[#This Row],[Affordable Care]]=0,"",Table10[[#This Row],[Affordable Care]])</f>
        <v/>
      </c>
      <c r="Q65"/>
      <c r="R65"/>
      <c r="S65"/>
      <c r="T65" t="str">
        <f>IF(Table10[[#This Row],[Bulk Lease Unit]]=0,"",Table10[[#This Row],[Bulk Lease Unit]])</f>
        <v/>
      </c>
      <c r="U65" t="str">
        <f>IF(Table10[[#This Row],[Den Included Unit]]=0,"",Table10[[#This Row],[Den Included Unit]])</f>
        <v/>
      </c>
      <c r="V65" t="str">
        <f>IF(Table10[[#This Row],[Second Bathroom]]=0,"",Table10[[#This Row],[Second Bathroom]])</f>
        <v/>
      </c>
      <c r="W65" t="str">
        <f>IF(Table10[[#This Row],[Heating]]=0,"",Table10[[#This Row],[Heating]])</f>
        <v/>
      </c>
      <c r="X65" t="str">
        <f>IF(Table10[[#This Row],[Electricity]]=0,"",Table10[[#This Row],[Electricity]])</f>
        <v/>
      </c>
      <c r="Y65" t="str">
        <f>IF(Table10[[#This Row],[Water]]=0,"",Table10[[#This Row],[Water]])</f>
        <v/>
      </c>
      <c r="Z65" t="str">
        <f>IF(Table10[[#This Row],[Washer/Dryer]]=0,"",Table10[[#This Row],[Washer/Dryer]])</f>
        <v/>
      </c>
      <c r="AA65" t="str">
        <f>IF(Table10[[#This Row],[Stove/Fridge]]=0,"",Table10[[#This Row],[Stove/Fridge]])</f>
        <v/>
      </c>
      <c r="AB65" t="str">
        <f>IF(Table10[[#This Row],[Dishwasher]]=0,"",Table10[[#This Row],[Dishwasher]])</f>
        <v/>
      </c>
      <c r="AC65" t="str">
        <f>IF(Table10[[#This Row],[Parking]]=0,"",Table10[[#This Row],[Parking]])</f>
        <v/>
      </c>
      <c r="AD65" t="str">
        <f>IF(Table10[[#This Row],[Furniture]]=0,"",Table10[[#This Row],[Furniture]])</f>
        <v/>
      </c>
      <c r="AE65" t="str">
        <f>IF(Table10[[#This Row],[Other]]=0,"",Table10[[#This Row],[Other]])</f>
        <v/>
      </c>
    </row>
    <row r="66" spans="1:31">
      <c r="A66" t="str">
        <f>IF(Table10[[#This Row],[Unit Type]]=0,"",Table10[[#This Row],[Unit Type]])</f>
        <v>1 Bedroom</v>
      </c>
      <c r="B66" t="str">
        <f>IF(Table10[[#This Row],[Residential Stream Source]]=0,"",Table10[[#This Row],[Residential Stream Source]])</f>
        <v/>
      </c>
      <c r="C66" t="str">
        <f>IF(Table10[[#This Row],[Basement?]]=0,"",Table10[[#This Row],[Basement?]])</f>
        <v/>
      </c>
      <c r="D66">
        <f>IF(Table10[[#This Row],[Unit '#]]=0,"",Table10[[#This Row],[Unit '#]])</f>
        <v>64</v>
      </c>
      <c r="E66" t="str">
        <f>IF(Table10[[#This Row],[Vacant?]]=0,"",Table10[[#This Row],[Vacant?]])</f>
        <v/>
      </c>
      <c r="F66">
        <f>IF(Table10[[#This Row],[Rental Rate ($/mth)]]=0,"",Table10[[#This Row],[Rental Rate ($/mth)]])</f>
        <v>2490</v>
      </c>
      <c r="G66"/>
      <c r="H66"/>
      <c r="I66"/>
      <c r="J66">
        <f>IF(Table10[[#This Row],[Unit Size (sq ft)]]=0,"",Table10[[#This Row],[Unit Size (sq ft)]])</f>
        <v>624</v>
      </c>
      <c r="K66"/>
      <c r="L66" t="str">
        <f>Table10[[#This Row],[Market Unit]]</f>
        <v>Yes</v>
      </c>
      <c r="M66" t="str">
        <f>Table10[[#This Row],[Affordable Unit]]</f>
        <v>No</v>
      </c>
      <c r="N66" t="str">
        <f>IF(Table10[[#This Row],[Subsidized Unit]]=0,"",Table10[[#This Row],[Subsidized Unit]])</f>
        <v/>
      </c>
      <c r="O66" t="str">
        <f>IF(Table10[[#This Row],[Care Services]]=0,"",Table10[[#This Row],[Care Services]])</f>
        <v/>
      </c>
      <c r="P66" t="str">
        <f>IF(Table10[[#This Row],[Affordable Care]]=0,"",Table10[[#This Row],[Affordable Care]])</f>
        <v/>
      </c>
      <c r="Q66"/>
      <c r="R66"/>
      <c r="S66"/>
      <c r="T66" t="str">
        <f>IF(Table10[[#This Row],[Bulk Lease Unit]]=0,"",Table10[[#This Row],[Bulk Lease Unit]])</f>
        <v/>
      </c>
      <c r="U66" t="str">
        <f>IF(Table10[[#This Row],[Den Included Unit]]=0,"",Table10[[#This Row],[Den Included Unit]])</f>
        <v/>
      </c>
      <c r="V66" t="str">
        <f>IF(Table10[[#This Row],[Second Bathroom]]=0,"",Table10[[#This Row],[Second Bathroom]])</f>
        <v/>
      </c>
      <c r="W66" t="str">
        <f>IF(Table10[[#This Row],[Heating]]=0,"",Table10[[#This Row],[Heating]])</f>
        <v/>
      </c>
      <c r="X66" t="str">
        <f>IF(Table10[[#This Row],[Electricity]]=0,"",Table10[[#This Row],[Electricity]])</f>
        <v/>
      </c>
      <c r="Y66" t="str">
        <f>IF(Table10[[#This Row],[Water]]=0,"",Table10[[#This Row],[Water]])</f>
        <v/>
      </c>
      <c r="Z66" t="str">
        <f>IF(Table10[[#This Row],[Washer/Dryer]]=0,"",Table10[[#This Row],[Washer/Dryer]])</f>
        <v/>
      </c>
      <c r="AA66" t="str">
        <f>IF(Table10[[#This Row],[Stove/Fridge]]=0,"",Table10[[#This Row],[Stove/Fridge]])</f>
        <v/>
      </c>
      <c r="AB66" t="str">
        <f>IF(Table10[[#This Row],[Dishwasher]]=0,"",Table10[[#This Row],[Dishwasher]])</f>
        <v/>
      </c>
      <c r="AC66" t="str">
        <f>IF(Table10[[#This Row],[Parking]]=0,"",Table10[[#This Row],[Parking]])</f>
        <v/>
      </c>
      <c r="AD66" t="str">
        <f>IF(Table10[[#This Row],[Furniture]]=0,"",Table10[[#This Row],[Furniture]])</f>
        <v/>
      </c>
      <c r="AE66" t="str">
        <f>IF(Table10[[#This Row],[Other]]=0,"",Table10[[#This Row],[Other]])</f>
        <v/>
      </c>
    </row>
    <row r="67" spans="1:31">
      <c r="A67" t="str">
        <f>IF(Table10[[#This Row],[Unit Type]]=0,"",Table10[[#This Row],[Unit Type]])</f>
        <v>1 Bedroom</v>
      </c>
      <c r="B67" t="str">
        <f>IF(Table10[[#This Row],[Residential Stream Source]]=0,"",Table10[[#This Row],[Residential Stream Source]])</f>
        <v/>
      </c>
      <c r="C67" t="str">
        <f>IF(Table10[[#This Row],[Basement?]]=0,"",Table10[[#This Row],[Basement?]])</f>
        <v/>
      </c>
      <c r="D67">
        <f>IF(Table10[[#This Row],[Unit '#]]=0,"",Table10[[#This Row],[Unit '#]])</f>
        <v>65</v>
      </c>
      <c r="E67" t="str">
        <f>IF(Table10[[#This Row],[Vacant?]]=0,"",Table10[[#This Row],[Vacant?]])</f>
        <v/>
      </c>
      <c r="F67">
        <f>IF(Table10[[#This Row],[Rental Rate ($/mth)]]=0,"",Table10[[#This Row],[Rental Rate ($/mth)]])</f>
        <v>2490</v>
      </c>
      <c r="G67"/>
      <c r="H67"/>
      <c r="I67"/>
      <c r="J67">
        <f>IF(Table10[[#This Row],[Unit Size (sq ft)]]=0,"",Table10[[#This Row],[Unit Size (sq ft)]])</f>
        <v>624</v>
      </c>
      <c r="K67"/>
      <c r="L67" t="str">
        <f>Table10[[#This Row],[Market Unit]]</f>
        <v>Yes</v>
      </c>
      <c r="M67" t="str">
        <f>Table10[[#This Row],[Affordable Unit]]</f>
        <v>No</v>
      </c>
      <c r="N67" t="str">
        <f>IF(Table10[[#This Row],[Subsidized Unit]]=0,"",Table10[[#This Row],[Subsidized Unit]])</f>
        <v/>
      </c>
      <c r="O67" t="str">
        <f>IF(Table10[[#This Row],[Care Services]]=0,"",Table10[[#This Row],[Care Services]])</f>
        <v/>
      </c>
      <c r="P67" t="str">
        <f>IF(Table10[[#This Row],[Affordable Care]]=0,"",Table10[[#This Row],[Affordable Care]])</f>
        <v/>
      </c>
      <c r="Q67"/>
      <c r="R67"/>
      <c r="S67"/>
      <c r="T67" t="str">
        <f>IF(Table10[[#This Row],[Bulk Lease Unit]]=0,"",Table10[[#This Row],[Bulk Lease Unit]])</f>
        <v/>
      </c>
      <c r="U67" t="str">
        <f>IF(Table10[[#This Row],[Den Included Unit]]=0,"",Table10[[#This Row],[Den Included Unit]])</f>
        <v/>
      </c>
      <c r="V67" t="str">
        <f>IF(Table10[[#This Row],[Second Bathroom]]=0,"",Table10[[#This Row],[Second Bathroom]])</f>
        <v/>
      </c>
      <c r="W67" t="str">
        <f>IF(Table10[[#This Row],[Heating]]=0,"",Table10[[#This Row],[Heating]])</f>
        <v/>
      </c>
      <c r="X67" t="str">
        <f>IF(Table10[[#This Row],[Electricity]]=0,"",Table10[[#This Row],[Electricity]])</f>
        <v/>
      </c>
      <c r="Y67" t="str">
        <f>IF(Table10[[#This Row],[Water]]=0,"",Table10[[#This Row],[Water]])</f>
        <v/>
      </c>
      <c r="Z67" t="str">
        <f>IF(Table10[[#This Row],[Washer/Dryer]]=0,"",Table10[[#This Row],[Washer/Dryer]])</f>
        <v/>
      </c>
      <c r="AA67" t="str">
        <f>IF(Table10[[#This Row],[Stove/Fridge]]=0,"",Table10[[#This Row],[Stove/Fridge]])</f>
        <v/>
      </c>
      <c r="AB67" t="str">
        <f>IF(Table10[[#This Row],[Dishwasher]]=0,"",Table10[[#This Row],[Dishwasher]])</f>
        <v/>
      </c>
      <c r="AC67" t="str">
        <f>IF(Table10[[#This Row],[Parking]]=0,"",Table10[[#This Row],[Parking]])</f>
        <v/>
      </c>
      <c r="AD67" t="str">
        <f>IF(Table10[[#This Row],[Furniture]]=0,"",Table10[[#This Row],[Furniture]])</f>
        <v/>
      </c>
      <c r="AE67" t="str">
        <f>IF(Table10[[#This Row],[Other]]=0,"",Table10[[#This Row],[Other]])</f>
        <v/>
      </c>
    </row>
    <row r="68" spans="1:31">
      <c r="A68" t="str">
        <f>IF(Table10[[#This Row],[Unit Type]]=0,"",Table10[[#This Row],[Unit Type]])</f>
        <v>1 Bedroom</v>
      </c>
      <c r="B68" t="str">
        <f>IF(Table10[[#This Row],[Residential Stream Source]]=0,"",Table10[[#This Row],[Residential Stream Source]])</f>
        <v/>
      </c>
      <c r="C68" t="str">
        <f>IF(Table10[[#This Row],[Basement?]]=0,"",Table10[[#This Row],[Basement?]])</f>
        <v/>
      </c>
      <c r="D68">
        <f>IF(Table10[[#This Row],[Unit '#]]=0,"",Table10[[#This Row],[Unit '#]])</f>
        <v>66</v>
      </c>
      <c r="E68" t="str">
        <f>IF(Table10[[#This Row],[Vacant?]]=0,"",Table10[[#This Row],[Vacant?]])</f>
        <v/>
      </c>
      <c r="F68">
        <f>IF(Table10[[#This Row],[Rental Rate ($/mth)]]=0,"",Table10[[#This Row],[Rental Rate ($/mth)]])</f>
        <v>2490</v>
      </c>
      <c r="G68"/>
      <c r="H68"/>
      <c r="I68"/>
      <c r="J68">
        <f>IF(Table10[[#This Row],[Unit Size (sq ft)]]=0,"",Table10[[#This Row],[Unit Size (sq ft)]])</f>
        <v>624</v>
      </c>
      <c r="K68"/>
      <c r="L68" t="str">
        <f>Table10[[#This Row],[Market Unit]]</f>
        <v>Yes</v>
      </c>
      <c r="M68" t="str">
        <f>Table10[[#This Row],[Affordable Unit]]</f>
        <v>No</v>
      </c>
      <c r="N68" t="str">
        <f>IF(Table10[[#This Row],[Subsidized Unit]]=0,"",Table10[[#This Row],[Subsidized Unit]])</f>
        <v/>
      </c>
      <c r="O68" t="str">
        <f>IF(Table10[[#This Row],[Care Services]]=0,"",Table10[[#This Row],[Care Services]])</f>
        <v/>
      </c>
      <c r="P68" t="str">
        <f>IF(Table10[[#This Row],[Affordable Care]]=0,"",Table10[[#This Row],[Affordable Care]])</f>
        <v/>
      </c>
      <c r="Q68"/>
      <c r="R68"/>
      <c r="S68"/>
      <c r="T68" t="str">
        <f>IF(Table10[[#This Row],[Bulk Lease Unit]]=0,"",Table10[[#This Row],[Bulk Lease Unit]])</f>
        <v/>
      </c>
      <c r="U68" t="str">
        <f>IF(Table10[[#This Row],[Den Included Unit]]=0,"",Table10[[#This Row],[Den Included Unit]])</f>
        <v/>
      </c>
      <c r="V68" t="str">
        <f>IF(Table10[[#This Row],[Second Bathroom]]=0,"",Table10[[#This Row],[Second Bathroom]])</f>
        <v/>
      </c>
      <c r="W68" t="str">
        <f>IF(Table10[[#This Row],[Heating]]=0,"",Table10[[#This Row],[Heating]])</f>
        <v/>
      </c>
      <c r="X68" t="str">
        <f>IF(Table10[[#This Row],[Electricity]]=0,"",Table10[[#This Row],[Electricity]])</f>
        <v/>
      </c>
      <c r="Y68" t="str">
        <f>IF(Table10[[#This Row],[Water]]=0,"",Table10[[#This Row],[Water]])</f>
        <v/>
      </c>
      <c r="Z68" t="str">
        <f>IF(Table10[[#This Row],[Washer/Dryer]]=0,"",Table10[[#This Row],[Washer/Dryer]])</f>
        <v/>
      </c>
      <c r="AA68" t="str">
        <f>IF(Table10[[#This Row],[Stove/Fridge]]=0,"",Table10[[#This Row],[Stove/Fridge]])</f>
        <v/>
      </c>
      <c r="AB68" t="str">
        <f>IF(Table10[[#This Row],[Dishwasher]]=0,"",Table10[[#This Row],[Dishwasher]])</f>
        <v/>
      </c>
      <c r="AC68" t="str">
        <f>IF(Table10[[#This Row],[Parking]]=0,"",Table10[[#This Row],[Parking]])</f>
        <v/>
      </c>
      <c r="AD68" t="str">
        <f>IF(Table10[[#This Row],[Furniture]]=0,"",Table10[[#This Row],[Furniture]])</f>
        <v/>
      </c>
      <c r="AE68" t="str">
        <f>IF(Table10[[#This Row],[Other]]=0,"",Table10[[#This Row],[Other]])</f>
        <v/>
      </c>
    </row>
    <row r="69" spans="1:31">
      <c r="A69" t="str">
        <f>IF(Table10[[#This Row],[Unit Type]]=0,"",Table10[[#This Row],[Unit Type]])</f>
        <v>1 Bedroom</v>
      </c>
      <c r="B69" t="str">
        <f>IF(Table10[[#This Row],[Residential Stream Source]]=0,"",Table10[[#This Row],[Residential Stream Source]])</f>
        <v/>
      </c>
      <c r="C69" t="str">
        <f>IF(Table10[[#This Row],[Basement?]]=0,"",Table10[[#This Row],[Basement?]])</f>
        <v/>
      </c>
      <c r="D69">
        <f>IF(Table10[[#This Row],[Unit '#]]=0,"",Table10[[#This Row],[Unit '#]])</f>
        <v>67</v>
      </c>
      <c r="E69" t="str">
        <f>IF(Table10[[#This Row],[Vacant?]]=0,"",Table10[[#This Row],[Vacant?]])</f>
        <v/>
      </c>
      <c r="F69">
        <f>IF(Table10[[#This Row],[Rental Rate ($/mth)]]=0,"",Table10[[#This Row],[Rental Rate ($/mth)]])</f>
        <v>2490</v>
      </c>
      <c r="G69"/>
      <c r="H69"/>
      <c r="I69"/>
      <c r="J69">
        <f>IF(Table10[[#This Row],[Unit Size (sq ft)]]=0,"",Table10[[#This Row],[Unit Size (sq ft)]])</f>
        <v>624</v>
      </c>
      <c r="K69"/>
      <c r="L69" t="str">
        <f>Table10[[#This Row],[Market Unit]]</f>
        <v>Yes</v>
      </c>
      <c r="M69" t="str">
        <f>Table10[[#This Row],[Affordable Unit]]</f>
        <v>No</v>
      </c>
      <c r="N69" t="str">
        <f>IF(Table10[[#This Row],[Subsidized Unit]]=0,"",Table10[[#This Row],[Subsidized Unit]])</f>
        <v/>
      </c>
      <c r="O69" t="str">
        <f>IF(Table10[[#This Row],[Care Services]]=0,"",Table10[[#This Row],[Care Services]])</f>
        <v/>
      </c>
      <c r="P69" t="str">
        <f>IF(Table10[[#This Row],[Affordable Care]]=0,"",Table10[[#This Row],[Affordable Care]])</f>
        <v/>
      </c>
      <c r="Q69"/>
      <c r="R69"/>
      <c r="S69"/>
      <c r="T69" t="str">
        <f>IF(Table10[[#This Row],[Bulk Lease Unit]]=0,"",Table10[[#This Row],[Bulk Lease Unit]])</f>
        <v/>
      </c>
      <c r="U69" t="str">
        <f>IF(Table10[[#This Row],[Den Included Unit]]=0,"",Table10[[#This Row],[Den Included Unit]])</f>
        <v/>
      </c>
      <c r="V69" t="str">
        <f>IF(Table10[[#This Row],[Second Bathroom]]=0,"",Table10[[#This Row],[Second Bathroom]])</f>
        <v/>
      </c>
      <c r="W69" t="str">
        <f>IF(Table10[[#This Row],[Heating]]=0,"",Table10[[#This Row],[Heating]])</f>
        <v/>
      </c>
      <c r="X69" t="str">
        <f>IF(Table10[[#This Row],[Electricity]]=0,"",Table10[[#This Row],[Electricity]])</f>
        <v/>
      </c>
      <c r="Y69" t="str">
        <f>IF(Table10[[#This Row],[Water]]=0,"",Table10[[#This Row],[Water]])</f>
        <v/>
      </c>
      <c r="Z69" t="str">
        <f>IF(Table10[[#This Row],[Washer/Dryer]]=0,"",Table10[[#This Row],[Washer/Dryer]])</f>
        <v/>
      </c>
      <c r="AA69" t="str">
        <f>IF(Table10[[#This Row],[Stove/Fridge]]=0,"",Table10[[#This Row],[Stove/Fridge]])</f>
        <v/>
      </c>
      <c r="AB69" t="str">
        <f>IF(Table10[[#This Row],[Dishwasher]]=0,"",Table10[[#This Row],[Dishwasher]])</f>
        <v/>
      </c>
      <c r="AC69" t="str">
        <f>IF(Table10[[#This Row],[Parking]]=0,"",Table10[[#This Row],[Parking]])</f>
        <v/>
      </c>
      <c r="AD69" t="str">
        <f>IF(Table10[[#This Row],[Furniture]]=0,"",Table10[[#This Row],[Furniture]])</f>
        <v/>
      </c>
      <c r="AE69" t="str">
        <f>IF(Table10[[#This Row],[Other]]=0,"",Table10[[#This Row],[Other]])</f>
        <v/>
      </c>
    </row>
    <row r="70" spans="1:31">
      <c r="A70" t="str">
        <f>IF(Table10[[#This Row],[Unit Type]]=0,"",Table10[[#This Row],[Unit Type]])</f>
        <v>1 Bedroom</v>
      </c>
      <c r="B70" t="str">
        <f>IF(Table10[[#This Row],[Residential Stream Source]]=0,"",Table10[[#This Row],[Residential Stream Source]])</f>
        <v/>
      </c>
      <c r="C70" t="str">
        <f>IF(Table10[[#This Row],[Basement?]]=0,"",Table10[[#This Row],[Basement?]])</f>
        <v/>
      </c>
      <c r="D70">
        <f>IF(Table10[[#This Row],[Unit '#]]=0,"",Table10[[#This Row],[Unit '#]])</f>
        <v>68</v>
      </c>
      <c r="E70" t="str">
        <f>IF(Table10[[#This Row],[Vacant?]]=0,"",Table10[[#This Row],[Vacant?]])</f>
        <v/>
      </c>
      <c r="F70">
        <f>IF(Table10[[#This Row],[Rental Rate ($/mth)]]=0,"",Table10[[#This Row],[Rental Rate ($/mth)]])</f>
        <v>2490</v>
      </c>
      <c r="G70"/>
      <c r="H70"/>
      <c r="I70"/>
      <c r="J70">
        <f>IF(Table10[[#This Row],[Unit Size (sq ft)]]=0,"",Table10[[#This Row],[Unit Size (sq ft)]])</f>
        <v>624</v>
      </c>
      <c r="K70"/>
      <c r="L70" t="str">
        <f>Table10[[#This Row],[Market Unit]]</f>
        <v>Yes</v>
      </c>
      <c r="M70" t="str">
        <f>Table10[[#This Row],[Affordable Unit]]</f>
        <v>No</v>
      </c>
      <c r="N70" t="str">
        <f>IF(Table10[[#This Row],[Subsidized Unit]]=0,"",Table10[[#This Row],[Subsidized Unit]])</f>
        <v/>
      </c>
      <c r="O70" t="str">
        <f>IF(Table10[[#This Row],[Care Services]]=0,"",Table10[[#This Row],[Care Services]])</f>
        <v/>
      </c>
      <c r="P70" t="str">
        <f>IF(Table10[[#This Row],[Affordable Care]]=0,"",Table10[[#This Row],[Affordable Care]])</f>
        <v/>
      </c>
      <c r="Q70"/>
      <c r="R70"/>
      <c r="S70"/>
      <c r="T70" t="str">
        <f>IF(Table10[[#This Row],[Bulk Lease Unit]]=0,"",Table10[[#This Row],[Bulk Lease Unit]])</f>
        <v/>
      </c>
      <c r="U70" t="str">
        <f>IF(Table10[[#This Row],[Den Included Unit]]=0,"",Table10[[#This Row],[Den Included Unit]])</f>
        <v/>
      </c>
      <c r="V70" t="str">
        <f>IF(Table10[[#This Row],[Second Bathroom]]=0,"",Table10[[#This Row],[Second Bathroom]])</f>
        <v/>
      </c>
      <c r="W70" t="str">
        <f>IF(Table10[[#This Row],[Heating]]=0,"",Table10[[#This Row],[Heating]])</f>
        <v/>
      </c>
      <c r="X70" t="str">
        <f>IF(Table10[[#This Row],[Electricity]]=0,"",Table10[[#This Row],[Electricity]])</f>
        <v/>
      </c>
      <c r="Y70" t="str">
        <f>IF(Table10[[#This Row],[Water]]=0,"",Table10[[#This Row],[Water]])</f>
        <v/>
      </c>
      <c r="Z70" t="str">
        <f>IF(Table10[[#This Row],[Washer/Dryer]]=0,"",Table10[[#This Row],[Washer/Dryer]])</f>
        <v/>
      </c>
      <c r="AA70" t="str">
        <f>IF(Table10[[#This Row],[Stove/Fridge]]=0,"",Table10[[#This Row],[Stove/Fridge]])</f>
        <v/>
      </c>
      <c r="AB70" t="str">
        <f>IF(Table10[[#This Row],[Dishwasher]]=0,"",Table10[[#This Row],[Dishwasher]])</f>
        <v/>
      </c>
      <c r="AC70" t="str">
        <f>IF(Table10[[#This Row],[Parking]]=0,"",Table10[[#This Row],[Parking]])</f>
        <v/>
      </c>
      <c r="AD70" t="str">
        <f>IF(Table10[[#This Row],[Furniture]]=0,"",Table10[[#This Row],[Furniture]])</f>
        <v/>
      </c>
      <c r="AE70" t="str">
        <f>IF(Table10[[#This Row],[Other]]=0,"",Table10[[#This Row],[Other]])</f>
        <v/>
      </c>
    </row>
    <row r="71" spans="1:31">
      <c r="A71" t="str">
        <f>IF(Table10[[#This Row],[Unit Type]]=0,"",Table10[[#This Row],[Unit Type]])</f>
        <v>1 Bedroom</v>
      </c>
      <c r="B71" t="str">
        <f>IF(Table10[[#This Row],[Residential Stream Source]]=0,"",Table10[[#This Row],[Residential Stream Source]])</f>
        <v/>
      </c>
      <c r="C71" t="str">
        <f>IF(Table10[[#This Row],[Basement?]]=0,"",Table10[[#This Row],[Basement?]])</f>
        <v/>
      </c>
      <c r="D71">
        <f>IF(Table10[[#This Row],[Unit '#]]=0,"",Table10[[#This Row],[Unit '#]])</f>
        <v>69</v>
      </c>
      <c r="E71" t="str">
        <f>IF(Table10[[#This Row],[Vacant?]]=0,"",Table10[[#This Row],[Vacant?]])</f>
        <v/>
      </c>
      <c r="F71">
        <f>IF(Table10[[#This Row],[Rental Rate ($/mth)]]=0,"",Table10[[#This Row],[Rental Rate ($/mth)]])</f>
        <v>2490</v>
      </c>
      <c r="G71"/>
      <c r="H71"/>
      <c r="I71"/>
      <c r="J71">
        <f>IF(Table10[[#This Row],[Unit Size (sq ft)]]=0,"",Table10[[#This Row],[Unit Size (sq ft)]])</f>
        <v>624</v>
      </c>
      <c r="K71"/>
      <c r="L71" t="str">
        <f>Table10[[#This Row],[Market Unit]]</f>
        <v>Yes</v>
      </c>
      <c r="M71" t="str">
        <f>Table10[[#This Row],[Affordable Unit]]</f>
        <v>No</v>
      </c>
      <c r="N71" t="str">
        <f>IF(Table10[[#This Row],[Subsidized Unit]]=0,"",Table10[[#This Row],[Subsidized Unit]])</f>
        <v/>
      </c>
      <c r="O71" t="str">
        <f>IF(Table10[[#This Row],[Care Services]]=0,"",Table10[[#This Row],[Care Services]])</f>
        <v/>
      </c>
      <c r="P71" t="str">
        <f>IF(Table10[[#This Row],[Affordable Care]]=0,"",Table10[[#This Row],[Affordable Care]])</f>
        <v/>
      </c>
      <c r="Q71"/>
      <c r="R71"/>
      <c r="S71"/>
      <c r="T71" t="str">
        <f>IF(Table10[[#This Row],[Bulk Lease Unit]]=0,"",Table10[[#This Row],[Bulk Lease Unit]])</f>
        <v/>
      </c>
      <c r="U71" t="str">
        <f>IF(Table10[[#This Row],[Den Included Unit]]=0,"",Table10[[#This Row],[Den Included Unit]])</f>
        <v/>
      </c>
      <c r="V71" t="str">
        <f>IF(Table10[[#This Row],[Second Bathroom]]=0,"",Table10[[#This Row],[Second Bathroom]])</f>
        <v/>
      </c>
      <c r="W71" t="str">
        <f>IF(Table10[[#This Row],[Heating]]=0,"",Table10[[#This Row],[Heating]])</f>
        <v/>
      </c>
      <c r="X71" t="str">
        <f>IF(Table10[[#This Row],[Electricity]]=0,"",Table10[[#This Row],[Electricity]])</f>
        <v/>
      </c>
      <c r="Y71" t="str">
        <f>IF(Table10[[#This Row],[Water]]=0,"",Table10[[#This Row],[Water]])</f>
        <v/>
      </c>
      <c r="Z71" t="str">
        <f>IF(Table10[[#This Row],[Washer/Dryer]]=0,"",Table10[[#This Row],[Washer/Dryer]])</f>
        <v/>
      </c>
      <c r="AA71" t="str">
        <f>IF(Table10[[#This Row],[Stove/Fridge]]=0,"",Table10[[#This Row],[Stove/Fridge]])</f>
        <v/>
      </c>
      <c r="AB71" t="str">
        <f>IF(Table10[[#This Row],[Dishwasher]]=0,"",Table10[[#This Row],[Dishwasher]])</f>
        <v/>
      </c>
      <c r="AC71" t="str">
        <f>IF(Table10[[#This Row],[Parking]]=0,"",Table10[[#This Row],[Parking]])</f>
        <v/>
      </c>
      <c r="AD71" t="str">
        <f>IF(Table10[[#This Row],[Furniture]]=0,"",Table10[[#This Row],[Furniture]])</f>
        <v/>
      </c>
      <c r="AE71" t="str">
        <f>IF(Table10[[#This Row],[Other]]=0,"",Table10[[#This Row],[Other]])</f>
        <v/>
      </c>
    </row>
    <row r="72" spans="1:31">
      <c r="A72" t="str">
        <f>IF(Table10[[#This Row],[Unit Type]]=0,"",Table10[[#This Row],[Unit Type]])</f>
        <v>1 Bedroom</v>
      </c>
      <c r="B72" t="str">
        <f>IF(Table10[[#This Row],[Residential Stream Source]]=0,"",Table10[[#This Row],[Residential Stream Source]])</f>
        <v/>
      </c>
      <c r="C72" t="str">
        <f>IF(Table10[[#This Row],[Basement?]]=0,"",Table10[[#This Row],[Basement?]])</f>
        <v/>
      </c>
      <c r="D72">
        <f>IF(Table10[[#This Row],[Unit '#]]=0,"",Table10[[#This Row],[Unit '#]])</f>
        <v>70</v>
      </c>
      <c r="E72" t="str">
        <f>IF(Table10[[#This Row],[Vacant?]]=0,"",Table10[[#This Row],[Vacant?]])</f>
        <v/>
      </c>
      <c r="F72">
        <f>IF(Table10[[#This Row],[Rental Rate ($/mth)]]=0,"",Table10[[#This Row],[Rental Rate ($/mth)]])</f>
        <v>2490</v>
      </c>
      <c r="G72"/>
      <c r="H72"/>
      <c r="I72"/>
      <c r="J72">
        <f>IF(Table10[[#This Row],[Unit Size (sq ft)]]=0,"",Table10[[#This Row],[Unit Size (sq ft)]])</f>
        <v>624</v>
      </c>
      <c r="K72"/>
      <c r="L72" t="str">
        <f>Table10[[#This Row],[Market Unit]]</f>
        <v>Yes</v>
      </c>
      <c r="M72" t="str">
        <f>Table10[[#This Row],[Affordable Unit]]</f>
        <v>No</v>
      </c>
      <c r="N72" t="str">
        <f>IF(Table10[[#This Row],[Subsidized Unit]]=0,"",Table10[[#This Row],[Subsidized Unit]])</f>
        <v/>
      </c>
      <c r="O72" t="str">
        <f>IF(Table10[[#This Row],[Care Services]]=0,"",Table10[[#This Row],[Care Services]])</f>
        <v/>
      </c>
      <c r="P72" t="str">
        <f>IF(Table10[[#This Row],[Affordable Care]]=0,"",Table10[[#This Row],[Affordable Care]])</f>
        <v/>
      </c>
      <c r="Q72"/>
      <c r="R72"/>
      <c r="S72"/>
      <c r="T72" t="str">
        <f>IF(Table10[[#This Row],[Bulk Lease Unit]]=0,"",Table10[[#This Row],[Bulk Lease Unit]])</f>
        <v/>
      </c>
      <c r="U72" t="str">
        <f>IF(Table10[[#This Row],[Den Included Unit]]=0,"",Table10[[#This Row],[Den Included Unit]])</f>
        <v/>
      </c>
      <c r="V72" t="str">
        <f>IF(Table10[[#This Row],[Second Bathroom]]=0,"",Table10[[#This Row],[Second Bathroom]])</f>
        <v/>
      </c>
      <c r="W72" t="str">
        <f>IF(Table10[[#This Row],[Heating]]=0,"",Table10[[#This Row],[Heating]])</f>
        <v/>
      </c>
      <c r="X72" t="str">
        <f>IF(Table10[[#This Row],[Electricity]]=0,"",Table10[[#This Row],[Electricity]])</f>
        <v/>
      </c>
      <c r="Y72" t="str">
        <f>IF(Table10[[#This Row],[Water]]=0,"",Table10[[#This Row],[Water]])</f>
        <v/>
      </c>
      <c r="Z72" t="str">
        <f>IF(Table10[[#This Row],[Washer/Dryer]]=0,"",Table10[[#This Row],[Washer/Dryer]])</f>
        <v/>
      </c>
      <c r="AA72" t="str">
        <f>IF(Table10[[#This Row],[Stove/Fridge]]=0,"",Table10[[#This Row],[Stove/Fridge]])</f>
        <v/>
      </c>
      <c r="AB72" t="str">
        <f>IF(Table10[[#This Row],[Dishwasher]]=0,"",Table10[[#This Row],[Dishwasher]])</f>
        <v/>
      </c>
      <c r="AC72" t="str">
        <f>IF(Table10[[#This Row],[Parking]]=0,"",Table10[[#This Row],[Parking]])</f>
        <v/>
      </c>
      <c r="AD72" t="str">
        <f>IF(Table10[[#This Row],[Furniture]]=0,"",Table10[[#This Row],[Furniture]])</f>
        <v/>
      </c>
      <c r="AE72" t="str">
        <f>IF(Table10[[#This Row],[Other]]=0,"",Table10[[#This Row],[Other]])</f>
        <v/>
      </c>
    </row>
    <row r="73" spans="1:31">
      <c r="A73" t="str">
        <f>IF(Table10[[#This Row],[Unit Type]]=0,"",Table10[[#This Row],[Unit Type]])</f>
        <v>1 Bedroom</v>
      </c>
      <c r="B73" t="str">
        <f>IF(Table10[[#This Row],[Residential Stream Source]]=0,"",Table10[[#This Row],[Residential Stream Source]])</f>
        <v/>
      </c>
      <c r="C73" t="str">
        <f>IF(Table10[[#This Row],[Basement?]]=0,"",Table10[[#This Row],[Basement?]])</f>
        <v/>
      </c>
      <c r="D73">
        <f>IF(Table10[[#This Row],[Unit '#]]=0,"",Table10[[#This Row],[Unit '#]])</f>
        <v>71</v>
      </c>
      <c r="E73" t="str">
        <f>IF(Table10[[#This Row],[Vacant?]]=0,"",Table10[[#This Row],[Vacant?]])</f>
        <v/>
      </c>
      <c r="F73">
        <f>IF(Table10[[#This Row],[Rental Rate ($/mth)]]=0,"",Table10[[#This Row],[Rental Rate ($/mth)]])</f>
        <v>2490</v>
      </c>
      <c r="G73"/>
      <c r="H73"/>
      <c r="I73"/>
      <c r="J73">
        <f>IF(Table10[[#This Row],[Unit Size (sq ft)]]=0,"",Table10[[#This Row],[Unit Size (sq ft)]])</f>
        <v>624</v>
      </c>
      <c r="K73"/>
      <c r="L73" t="str">
        <f>Table10[[#This Row],[Market Unit]]</f>
        <v>Yes</v>
      </c>
      <c r="M73" t="str">
        <f>Table10[[#This Row],[Affordable Unit]]</f>
        <v>No</v>
      </c>
      <c r="N73" t="str">
        <f>IF(Table10[[#This Row],[Subsidized Unit]]=0,"",Table10[[#This Row],[Subsidized Unit]])</f>
        <v/>
      </c>
      <c r="O73" t="str">
        <f>IF(Table10[[#This Row],[Care Services]]=0,"",Table10[[#This Row],[Care Services]])</f>
        <v/>
      </c>
      <c r="P73" t="str">
        <f>IF(Table10[[#This Row],[Affordable Care]]=0,"",Table10[[#This Row],[Affordable Care]])</f>
        <v/>
      </c>
      <c r="Q73"/>
      <c r="R73"/>
      <c r="S73"/>
      <c r="T73" t="str">
        <f>IF(Table10[[#This Row],[Bulk Lease Unit]]=0,"",Table10[[#This Row],[Bulk Lease Unit]])</f>
        <v/>
      </c>
      <c r="U73" t="str">
        <f>IF(Table10[[#This Row],[Den Included Unit]]=0,"",Table10[[#This Row],[Den Included Unit]])</f>
        <v/>
      </c>
      <c r="V73" t="str">
        <f>IF(Table10[[#This Row],[Second Bathroom]]=0,"",Table10[[#This Row],[Second Bathroom]])</f>
        <v/>
      </c>
      <c r="W73" t="str">
        <f>IF(Table10[[#This Row],[Heating]]=0,"",Table10[[#This Row],[Heating]])</f>
        <v/>
      </c>
      <c r="X73" t="str">
        <f>IF(Table10[[#This Row],[Electricity]]=0,"",Table10[[#This Row],[Electricity]])</f>
        <v/>
      </c>
      <c r="Y73" t="str">
        <f>IF(Table10[[#This Row],[Water]]=0,"",Table10[[#This Row],[Water]])</f>
        <v/>
      </c>
      <c r="Z73" t="str">
        <f>IF(Table10[[#This Row],[Washer/Dryer]]=0,"",Table10[[#This Row],[Washer/Dryer]])</f>
        <v/>
      </c>
      <c r="AA73" t="str">
        <f>IF(Table10[[#This Row],[Stove/Fridge]]=0,"",Table10[[#This Row],[Stove/Fridge]])</f>
        <v/>
      </c>
      <c r="AB73" t="str">
        <f>IF(Table10[[#This Row],[Dishwasher]]=0,"",Table10[[#This Row],[Dishwasher]])</f>
        <v/>
      </c>
      <c r="AC73" t="str">
        <f>IF(Table10[[#This Row],[Parking]]=0,"",Table10[[#This Row],[Parking]])</f>
        <v/>
      </c>
      <c r="AD73" t="str">
        <f>IF(Table10[[#This Row],[Furniture]]=0,"",Table10[[#This Row],[Furniture]])</f>
        <v/>
      </c>
      <c r="AE73" t="str">
        <f>IF(Table10[[#This Row],[Other]]=0,"",Table10[[#This Row],[Other]])</f>
        <v/>
      </c>
    </row>
    <row r="74" spans="1:31">
      <c r="A74" t="str">
        <f>IF(Table10[[#This Row],[Unit Type]]=0,"",Table10[[#This Row],[Unit Type]])</f>
        <v>1 Bedroom</v>
      </c>
      <c r="B74" t="str">
        <f>IF(Table10[[#This Row],[Residential Stream Source]]=0,"",Table10[[#This Row],[Residential Stream Source]])</f>
        <v/>
      </c>
      <c r="C74" t="str">
        <f>IF(Table10[[#This Row],[Basement?]]=0,"",Table10[[#This Row],[Basement?]])</f>
        <v/>
      </c>
      <c r="D74">
        <f>IF(Table10[[#This Row],[Unit '#]]=0,"",Table10[[#This Row],[Unit '#]])</f>
        <v>72</v>
      </c>
      <c r="E74" t="str">
        <f>IF(Table10[[#This Row],[Vacant?]]=0,"",Table10[[#This Row],[Vacant?]])</f>
        <v/>
      </c>
      <c r="F74">
        <f>IF(Table10[[#This Row],[Rental Rate ($/mth)]]=0,"",Table10[[#This Row],[Rental Rate ($/mth)]])</f>
        <v>2490</v>
      </c>
      <c r="G74"/>
      <c r="H74"/>
      <c r="I74"/>
      <c r="J74">
        <f>IF(Table10[[#This Row],[Unit Size (sq ft)]]=0,"",Table10[[#This Row],[Unit Size (sq ft)]])</f>
        <v>624</v>
      </c>
      <c r="K74"/>
      <c r="L74" t="str">
        <f>Table10[[#This Row],[Market Unit]]</f>
        <v>Yes</v>
      </c>
      <c r="M74" t="str">
        <f>Table10[[#This Row],[Affordable Unit]]</f>
        <v>No</v>
      </c>
      <c r="N74" t="str">
        <f>IF(Table10[[#This Row],[Subsidized Unit]]=0,"",Table10[[#This Row],[Subsidized Unit]])</f>
        <v/>
      </c>
      <c r="O74" t="str">
        <f>IF(Table10[[#This Row],[Care Services]]=0,"",Table10[[#This Row],[Care Services]])</f>
        <v/>
      </c>
      <c r="P74" t="str">
        <f>IF(Table10[[#This Row],[Affordable Care]]=0,"",Table10[[#This Row],[Affordable Care]])</f>
        <v/>
      </c>
      <c r="Q74"/>
      <c r="R74"/>
      <c r="S74"/>
      <c r="T74" t="str">
        <f>IF(Table10[[#This Row],[Bulk Lease Unit]]=0,"",Table10[[#This Row],[Bulk Lease Unit]])</f>
        <v/>
      </c>
      <c r="U74" t="str">
        <f>IF(Table10[[#This Row],[Den Included Unit]]=0,"",Table10[[#This Row],[Den Included Unit]])</f>
        <v/>
      </c>
      <c r="V74" t="str">
        <f>IF(Table10[[#This Row],[Second Bathroom]]=0,"",Table10[[#This Row],[Second Bathroom]])</f>
        <v/>
      </c>
      <c r="W74" t="str">
        <f>IF(Table10[[#This Row],[Heating]]=0,"",Table10[[#This Row],[Heating]])</f>
        <v/>
      </c>
      <c r="X74" t="str">
        <f>IF(Table10[[#This Row],[Electricity]]=0,"",Table10[[#This Row],[Electricity]])</f>
        <v/>
      </c>
      <c r="Y74" t="str">
        <f>IF(Table10[[#This Row],[Water]]=0,"",Table10[[#This Row],[Water]])</f>
        <v/>
      </c>
      <c r="Z74" t="str">
        <f>IF(Table10[[#This Row],[Washer/Dryer]]=0,"",Table10[[#This Row],[Washer/Dryer]])</f>
        <v/>
      </c>
      <c r="AA74" t="str">
        <f>IF(Table10[[#This Row],[Stove/Fridge]]=0,"",Table10[[#This Row],[Stove/Fridge]])</f>
        <v/>
      </c>
      <c r="AB74" t="str">
        <f>IF(Table10[[#This Row],[Dishwasher]]=0,"",Table10[[#This Row],[Dishwasher]])</f>
        <v/>
      </c>
      <c r="AC74" t="str">
        <f>IF(Table10[[#This Row],[Parking]]=0,"",Table10[[#This Row],[Parking]])</f>
        <v/>
      </c>
      <c r="AD74" t="str">
        <f>IF(Table10[[#This Row],[Furniture]]=0,"",Table10[[#This Row],[Furniture]])</f>
        <v/>
      </c>
      <c r="AE74" t="str">
        <f>IF(Table10[[#This Row],[Other]]=0,"",Table10[[#This Row],[Other]])</f>
        <v/>
      </c>
    </row>
    <row r="75" spans="1:31">
      <c r="A75" t="str">
        <f>IF(Table10[[#This Row],[Unit Type]]=0,"",Table10[[#This Row],[Unit Type]])</f>
        <v>1 Bedroom</v>
      </c>
      <c r="B75" t="str">
        <f>IF(Table10[[#This Row],[Residential Stream Source]]=0,"",Table10[[#This Row],[Residential Stream Source]])</f>
        <v/>
      </c>
      <c r="C75" t="str">
        <f>IF(Table10[[#This Row],[Basement?]]=0,"",Table10[[#This Row],[Basement?]])</f>
        <v/>
      </c>
      <c r="D75">
        <f>IF(Table10[[#This Row],[Unit '#]]=0,"",Table10[[#This Row],[Unit '#]])</f>
        <v>73</v>
      </c>
      <c r="E75" t="str">
        <f>IF(Table10[[#This Row],[Vacant?]]=0,"",Table10[[#This Row],[Vacant?]])</f>
        <v/>
      </c>
      <c r="F75">
        <f>IF(Table10[[#This Row],[Rental Rate ($/mth)]]=0,"",Table10[[#This Row],[Rental Rate ($/mth)]])</f>
        <v>2490</v>
      </c>
      <c r="G75"/>
      <c r="H75"/>
      <c r="I75"/>
      <c r="J75">
        <f>IF(Table10[[#This Row],[Unit Size (sq ft)]]=0,"",Table10[[#This Row],[Unit Size (sq ft)]])</f>
        <v>624</v>
      </c>
      <c r="K75"/>
      <c r="L75" t="str">
        <f>Table10[[#This Row],[Market Unit]]</f>
        <v>Yes</v>
      </c>
      <c r="M75" t="str">
        <f>Table10[[#This Row],[Affordable Unit]]</f>
        <v>No</v>
      </c>
      <c r="N75" t="str">
        <f>IF(Table10[[#This Row],[Subsidized Unit]]=0,"",Table10[[#This Row],[Subsidized Unit]])</f>
        <v/>
      </c>
      <c r="O75" t="str">
        <f>IF(Table10[[#This Row],[Care Services]]=0,"",Table10[[#This Row],[Care Services]])</f>
        <v/>
      </c>
      <c r="P75" t="str">
        <f>IF(Table10[[#This Row],[Affordable Care]]=0,"",Table10[[#This Row],[Affordable Care]])</f>
        <v/>
      </c>
      <c r="Q75"/>
      <c r="R75"/>
      <c r="S75"/>
      <c r="T75" t="str">
        <f>IF(Table10[[#This Row],[Bulk Lease Unit]]=0,"",Table10[[#This Row],[Bulk Lease Unit]])</f>
        <v/>
      </c>
      <c r="U75" t="str">
        <f>IF(Table10[[#This Row],[Den Included Unit]]=0,"",Table10[[#This Row],[Den Included Unit]])</f>
        <v/>
      </c>
      <c r="V75" t="str">
        <f>IF(Table10[[#This Row],[Second Bathroom]]=0,"",Table10[[#This Row],[Second Bathroom]])</f>
        <v/>
      </c>
      <c r="W75" t="str">
        <f>IF(Table10[[#This Row],[Heating]]=0,"",Table10[[#This Row],[Heating]])</f>
        <v/>
      </c>
      <c r="X75" t="str">
        <f>IF(Table10[[#This Row],[Electricity]]=0,"",Table10[[#This Row],[Electricity]])</f>
        <v/>
      </c>
      <c r="Y75" t="str">
        <f>IF(Table10[[#This Row],[Water]]=0,"",Table10[[#This Row],[Water]])</f>
        <v/>
      </c>
      <c r="Z75" t="str">
        <f>IF(Table10[[#This Row],[Washer/Dryer]]=0,"",Table10[[#This Row],[Washer/Dryer]])</f>
        <v/>
      </c>
      <c r="AA75" t="str">
        <f>IF(Table10[[#This Row],[Stove/Fridge]]=0,"",Table10[[#This Row],[Stove/Fridge]])</f>
        <v/>
      </c>
      <c r="AB75" t="str">
        <f>IF(Table10[[#This Row],[Dishwasher]]=0,"",Table10[[#This Row],[Dishwasher]])</f>
        <v/>
      </c>
      <c r="AC75" t="str">
        <f>IF(Table10[[#This Row],[Parking]]=0,"",Table10[[#This Row],[Parking]])</f>
        <v/>
      </c>
      <c r="AD75" t="str">
        <f>IF(Table10[[#This Row],[Furniture]]=0,"",Table10[[#This Row],[Furniture]])</f>
        <v/>
      </c>
      <c r="AE75" t="str">
        <f>IF(Table10[[#This Row],[Other]]=0,"",Table10[[#This Row],[Other]])</f>
        <v/>
      </c>
    </row>
    <row r="76" spans="1:31">
      <c r="A76" t="str">
        <f>IF(Table10[[#This Row],[Unit Type]]=0,"",Table10[[#This Row],[Unit Type]])</f>
        <v>1 Bedroom</v>
      </c>
      <c r="B76" t="str">
        <f>IF(Table10[[#This Row],[Residential Stream Source]]=0,"",Table10[[#This Row],[Residential Stream Source]])</f>
        <v/>
      </c>
      <c r="C76" t="str">
        <f>IF(Table10[[#This Row],[Basement?]]=0,"",Table10[[#This Row],[Basement?]])</f>
        <v/>
      </c>
      <c r="D76">
        <f>IF(Table10[[#This Row],[Unit '#]]=0,"",Table10[[#This Row],[Unit '#]])</f>
        <v>74</v>
      </c>
      <c r="E76" t="str">
        <f>IF(Table10[[#This Row],[Vacant?]]=0,"",Table10[[#This Row],[Vacant?]])</f>
        <v/>
      </c>
      <c r="F76">
        <f>IF(Table10[[#This Row],[Rental Rate ($/mth)]]=0,"",Table10[[#This Row],[Rental Rate ($/mth)]])</f>
        <v>2490</v>
      </c>
      <c r="G76"/>
      <c r="H76"/>
      <c r="I76"/>
      <c r="J76">
        <f>IF(Table10[[#This Row],[Unit Size (sq ft)]]=0,"",Table10[[#This Row],[Unit Size (sq ft)]])</f>
        <v>624</v>
      </c>
      <c r="K76"/>
      <c r="L76" t="str">
        <f>Table10[[#This Row],[Market Unit]]</f>
        <v>Yes</v>
      </c>
      <c r="M76" t="str">
        <f>Table10[[#This Row],[Affordable Unit]]</f>
        <v>No</v>
      </c>
      <c r="N76" t="str">
        <f>IF(Table10[[#This Row],[Subsidized Unit]]=0,"",Table10[[#This Row],[Subsidized Unit]])</f>
        <v/>
      </c>
      <c r="O76" t="str">
        <f>IF(Table10[[#This Row],[Care Services]]=0,"",Table10[[#This Row],[Care Services]])</f>
        <v/>
      </c>
      <c r="P76" t="str">
        <f>IF(Table10[[#This Row],[Affordable Care]]=0,"",Table10[[#This Row],[Affordable Care]])</f>
        <v/>
      </c>
      <c r="Q76"/>
      <c r="R76"/>
      <c r="S76"/>
      <c r="T76" t="str">
        <f>IF(Table10[[#This Row],[Bulk Lease Unit]]=0,"",Table10[[#This Row],[Bulk Lease Unit]])</f>
        <v/>
      </c>
      <c r="U76" t="str">
        <f>IF(Table10[[#This Row],[Den Included Unit]]=0,"",Table10[[#This Row],[Den Included Unit]])</f>
        <v/>
      </c>
      <c r="V76" t="str">
        <f>IF(Table10[[#This Row],[Second Bathroom]]=0,"",Table10[[#This Row],[Second Bathroom]])</f>
        <v/>
      </c>
      <c r="W76" t="str">
        <f>IF(Table10[[#This Row],[Heating]]=0,"",Table10[[#This Row],[Heating]])</f>
        <v/>
      </c>
      <c r="X76" t="str">
        <f>IF(Table10[[#This Row],[Electricity]]=0,"",Table10[[#This Row],[Electricity]])</f>
        <v/>
      </c>
      <c r="Y76" t="str">
        <f>IF(Table10[[#This Row],[Water]]=0,"",Table10[[#This Row],[Water]])</f>
        <v/>
      </c>
      <c r="Z76" t="str">
        <f>IF(Table10[[#This Row],[Washer/Dryer]]=0,"",Table10[[#This Row],[Washer/Dryer]])</f>
        <v/>
      </c>
      <c r="AA76" t="str">
        <f>IF(Table10[[#This Row],[Stove/Fridge]]=0,"",Table10[[#This Row],[Stove/Fridge]])</f>
        <v/>
      </c>
      <c r="AB76" t="str">
        <f>IF(Table10[[#This Row],[Dishwasher]]=0,"",Table10[[#This Row],[Dishwasher]])</f>
        <v/>
      </c>
      <c r="AC76" t="str">
        <f>IF(Table10[[#This Row],[Parking]]=0,"",Table10[[#This Row],[Parking]])</f>
        <v/>
      </c>
      <c r="AD76" t="str">
        <f>IF(Table10[[#This Row],[Furniture]]=0,"",Table10[[#This Row],[Furniture]])</f>
        <v/>
      </c>
      <c r="AE76" t="str">
        <f>IF(Table10[[#This Row],[Other]]=0,"",Table10[[#This Row],[Other]])</f>
        <v/>
      </c>
    </row>
    <row r="77" spans="1:31">
      <c r="A77" t="str">
        <f>IF(Table10[[#This Row],[Unit Type]]=0,"",Table10[[#This Row],[Unit Type]])</f>
        <v>1 Bedroom</v>
      </c>
      <c r="B77" t="str">
        <f>IF(Table10[[#This Row],[Residential Stream Source]]=0,"",Table10[[#This Row],[Residential Stream Source]])</f>
        <v/>
      </c>
      <c r="C77" t="str">
        <f>IF(Table10[[#This Row],[Basement?]]=0,"",Table10[[#This Row],[Basement?]])</f>
        <v/>
      </c>
      <c r="D77">
        <f>IF(Table10[[#This Row],[Unit '#]]=0,"",Table10[[#This Row],[Unit '#]])</f>
        <v>75</v>
      </c>
      <c r="E77" t="str">
        <f>IF(Table10[[#This Row],[Vacant?]]=0,"",Table10[[#This Row],[Vacant?]])</f>
        <v/>
      </c>
      <c r="F77">
        <f>IF(Table10[[#This Row],[Rental Rate ($/mth)]]=0,"",Table10[[#This Row],[Rental Rate ($/mth)]])</f>
        <v>2490</v>
      </c>
      <c r="G77"/>
      <c r="H77"/>
      <c r="I77"/>
      <c r="J77">
        <f>IF(Table10[[#This Row],[Unit Size (sq ft)]]=0,"",Table10[[#This Row],[Unit Size (sq ft)]])</f>
        <v>624</v>
      </c>
      <c r="K77"/>
      <c r="L77" t="str">
        <f>Table10[[#This Row],[Market Unit]]</f>
        <v>Yes</v>
      </c>
      <c r="M77" t="str">
        <f>Table10[[#This Row],[Affordable Unit]]</f>
        <v>No</v>
      </c>
      <c r="N77" t="str">
        <f>IF(Table10[[#This Row],[Subsidized Unit]]=0,"",Table10[[#This Row],[Subsidized Unit]])</f>
        <v/>
      </c>
      <c r="O77" t="str">
        <f>IF(Table10[[#This Row],[Care Services]]=0,"",Table10[[#This Row],[Care Services]])</f>
        <v/>
      </c>
      <c r="P77" t="str">
        <f>IF(Table10[[#This Row],[Affordable Care]]=0,"",Table10[[#This Row],[Affordable Care]])</f>
        <v/>
      </c>
      <c r="Q77"/>
      <c r="R77"/>
      <c r="S77"/>
      <c r="T77" t="str">
        <f>IF(Table10[[#This Row],[Bulk Lease Unit]]=0,"",Table10[[#This Row],[Bulk Lease Unit]])</f>
        <v/>
      </c>
      <c r="U77" t="str">
        <f>IF(Table10[[#This Row],[Den Included Unit]]=0,"",Table10[[#This Row],[Den Included Unit]])</f>
        <v/>
      </c>
      <c r="V77" t="str">
        <f>IF(Table10[[#This Row],[Second Bathroom]]=0,"",Table10[[#This Row],[Second Bathroom]])</f>
        <v/>
      </c>
      <c r="W77" t="str">
        <f>IF(Table10[[#This Row],[Heating]]=0,"",Table10[[#This Row],[Heating]])</f>
        <v/>
      </c>
      <c r="X77" t="str">
        <f>IF(Table10[[#This Row],[Electricity]]=0,"",Table10[[#This Row],[Electricity]])</f>
        <v/>
      </c>
      <c r="Y77" t="str">
        <f>IF(Table10[[#This Row],[Water]]=0,"",Table10[[#This Row],[Water]])</f>
        <v/>
      </c>
      <c r="Z77" t="str">
        <f>IF(Table10[[#This Row],[Washer/Dryer]]=0,"",Table10[[#This Row],[Washer/Dryer]])</f>
        <v/>
      </c>
      <c r="AA77" t="str">
        <f>IF(Table10[[#This Row],[Stove/Fridge]]=0,"",Table10[[#This Row],[Stove/Fridge]])</f>
        <v/>
      </c>
      <c r="AB77" t="str">
        <f>IF(Table10[[#This Row],[Dishwasher]]=0,"",Table10[[#This Row],[Dishwasher]])</f>
        <v/>
      </c>
      <c r="AC77" t="str">
        <f>IF(Table10[[#This Row],[Parking]]=0,"",Table10[[#This Row],[Parking]])</f>
        <v/>
      </c>
      <c r="AD77" t="str">
        <f>IF(Table10[[#This Row],[Furniture]]=0,"",Table10[[#This Row],[Furniture]])</f>
        <v/>
      </c>
      <c r="AE77" t="str">
        <f>IF(Table10[[#This Row],[Other]]=0,"",Table10[[#This Row],[Other]])</f>
        <v/>
      </c>
    </row>
    <row r="78" spans="1:31">
      <c r="A78" t="str">
        <f>IF(Table10[[#This Row],[Unit Type]]=0,"",Table10[[#This Row],[Unit Type]])</f>
        <v>1 Bedroom</v>
      </c>
      <c r="B78" t="str">
        <f>IF(Table10[[#This Row],[Residential Stream Source]]=0,"",Table10[[#This Row],[Residential Stream Source]])</f>
        <v/>
      </c>
      <c r="C78" t="str">
        <f>IF(Table10[[#This Row],[Basement?]]=0,"",Table10[[#This Row],[Basement?]])</f>
        <v/>
      </c>
      <c r="D78">
        <f>IF(Table10[[#This Row],[Unit '#]]=0,"",Table10[[#This Row],[Unit '#]])</f>
        <v>76</v>
      </c>
      <c r="E78" t="str">
        <f>IF(Table10[[#This Row],[Vacant?]]=0,"",Table10[[#This Row],[Vacant?]])</f>
        <v/>
      </c>
      <c r="F78">
        <f>IF(Table10[[#This Row],[Rental Rate ($/mth)]]=0,"",Table10[[#This Row],[Rental Rate ($/mth)]])</f>
        <v>2490</v>
      </c>
      <c r="G78"/>
      <c r="H78"/>
      <c r="I78"/>
      <c r="J78">
        <f>IF(Table10[[#This Row],[Unit Size (sq ft)]]=0,"",Table10[[#This Row],[Unit Size (sq ft)]])</f>
        <v>624</v>
      </c>
      <c r="K78"/>
      <c r="L78" t="str">
        <f>Table10[[#This Row],[Market Unit]]</f>
        <v>Yes</v>
      </c>
      <c r="M78" t="str">
        <f>Table10[[#This Row],[Affordable Unit]]</f>
        <v>No</v>
      </c>
      <c r="N78" t="str">
        <f>IF(Table10[[#This Row],[Subsidized Unit]]=0,"",Table10[[#This Row],[Subsidized Unit]])</f>
        <v/>
      </c>
      <c r="O78" t="str">
        <f>IF(Table10[[#This Row],[Care Services]]=0,"",Table10[[#This Row],[Care Services]])</f>
        <v/>
      </c>
      <c r="P78" t="str">
        <f>IF(Table10[[#This Row],[Affordable Care]]=0,"",Table10[[#This Row],[Affordable Care]])</f>
        <v/>
      </c>
      <c r="Q78"/>
      <c r="R78"/>
      <c r="S78"/>
      <c r="T78" t="str">
        <f>IF(Table10[[#This Row],[Bulk Lease Unit]]=0,"",Table10[[#This Row],[Bulk Lease Unit]])</f>
        <v/>
      </c>
      <c r="U78" t="str">
        <f>IF(Table10[[#This Row],[Den Included Unit]]=0,"",Table10[[#This Row],[Den Included Unit]])</f>
        <v/>
      </c>
      <c r="V78" t="str">
        <f>IF(Table10[[#This Row],[Second Bathroom]]=0,"",Table10[[#This Row],[Second Bathroom]])</f>
        <v/>
      </c>
      <c r="W78" t="str">
        <f>IF(Table10[[#This Row],[Heating]]=0,"",Table10[[#This Row],[Heating]])</f>
        <v/>
      </c>
      <c r="X78" t="str">
        <f>IF(Table10[[#This Row],[Electricity]]=0,"",Table10[[#This Row],[Electricity]])</f>
        <v/>
      </c>
      <c r="Y78" t="str">
        <f>IF(Table10[[#This Row],[Water]]=0,"",Table10[[#This Row],[Water]])</f>
        <v/>
      </c>
      <c r="Z78" t="str">
        <f>IF(Table10[[#This Row],[Washer/Dryer]]=0,"",Table10[[#This Row],[Washer/Dryer]])</f>
        <v/>
      </c>
      <c r="AA78" t="str">
        <f>IF(Table10[[#This Row],[Stove/Fridge]]=0,"",Table10[[#This Row],[Stove/Fridge]])</f>
        <v/>
      </c>
      <c r="AB78" t="str">
        <f>IF(Table10[[#This Row],[Dishwasher]]=0,"",Table10[[#This Row],[Dishwasher]])</f>
        <v/>
      </c>
      <c r="AC78" t="str">
        <f>IF(Table10[[#This Row],[Parking]]=0,"",Table10[[#This Row],[Parking]])</f>
        <v/>
      </c>
      <c r="AD78" t="str">
        <f>IF(Table10[[#This Row],[Furniture]]=0,"",Table10[[#This Row],[Furniture]])</f>
        <v/>
      </c>
      <c r="AE78" t="str">
        <f>IF(Table10[[#This Row],[Other]]=0,"",Table10[[#This Row],[Other]])</f>
        <v/>
      </c>
    </row>
    <row r="79" spans="1:31">
      <c r="A79" t="str">
        <f>IF(Table10[[#This Row],[Unit Type]]=0,"",Table10[[#This Row],[Unit Type]])</f>
        <v>1 Bedroom</v>
      </c>
      <c r="B79" t="str">
        <f>IF(Table10[[#This Row],[Residential Stream Source]]=0,"",Table10[[#This Row],[Residential Stream Source]])</f>
        <v/>
      </c>
      <c r="C79" t="str">
        <f>IF(Table10[[#This Row],[Basement?]]=0,"",Table10[[#This Row],[Basement?]])</f>
        <v/>
      </c>
      <c r="D79">
        <f>IF(Table10[[#This Row],[Unit '#]]=0,"",Table10[[#This Row],[Unit '#]])</f>
        <v>77</v>
      </c>
      <c r="E79" t="str">
        <f>IF(Table10[[#This Row],[Vacant?]]=0,"",Table10[[#This Row],[Vacant?]])</f>
        <v/>
      </c>
      <c r="F79">
        <f>IF(Table10[[#This Row],[Rental Rate ($/mth)]]=0,"",Table10[[#This Row],[Rental Rate ($/mth)]])</f>
        <v>2490</v>
      </c>
      <c r="G79"/>
      <c r="H79"/>
      <c r="I79"/>
      <c r="J79">
        <f>IF(Table10[[#This Row],[Unit Size (sq ft)]]=0,"",Table10[[#This Row],[Unit Size (sq ft)]])</f>
        <v>624</v>
      </c>
      <c r="K79"/>
      <c r="L79" t="str">
        <f>Table10[[#This Row],[Market Unit]]</f>
        <v>Yes</v>
      </c>
      <c r="M79" t="str">
        <f>Table10[[#This Row],[Affordable Unit]]</f>
        <v>No</v>
      </c>
      <c r="N79" t="str">
        <f>IF(Table10[[#This Row],[Subsidized Unit]]=0,"",Table10[[#This Row],[Subsidized Unit]])</f>
        <v/>
      </c>
      <c r="O79" t="str">
        <f>IF(Table10[[#This Row],[Care Services]]=0,"",Table10[[#This Row],[Care Services]])</f>
        <v/>
      </c>
      <c r="P79" t="str">
        <f>IF(Table10[[#This Row],[Affordable Care]]=0,"",Table10[[#This Row],[Affordable Care]])</f>
        <v/>
      </c>
      <c r="Q79"/>
      <c r="R79"/>
      <c r="S79"/>
      <c r="T79" t="str">
        <f>IF(Table10[[#This Row],[Bulk Lease Unit]]=0,"",Table10[[#This Row],[Bulk Lease Unit]])</f>
        <v/>
      </c>
      <c r="U79" t="str">
        <f>IF(Table10[[#This Row],[Den Included Unit]]=0,"",Table10[[#This Row],[Den Included Unit]])</f>
        <v/>
      </c>
      <c r="V79" t="str">
        <f>IF(Table10[[#This Row],[Second Bathroom]]=0,"",Table10[[#This Row],[Second Bathroom]])</f>
        <v/>
      </c>
      <c r="W79" t="str">
        <f>IF(Table10[[#This Row],[Heating]]=0,"",Table10[[#This Row],[Heating]])</f>
        <v/>
      </c>
      <c r="X79" t="str">
        <f>IF(Table10[[#This Row],[Electricity]]=0,"",Table10[[#This Row],[Electricity]])</f>
        <v/>
      </c>
      <c r="Y79" t="str">
        <f>IF(Table10[[#This Row],[Water]]=0,"",Table10[[#This Row],[Water]])</f>
        <v/>
      </c>
      <c r="Z79" t="str">
        <f>IF(Table10[[#This Row],[Washer/Dryer]]=0,"",Table10[[#This Row],[Washer/Dryer]])</f>
        <v/>
      </c>
      <c r="AA79" t="str">
        <f>IF(Table10[[#This Row],[Stove/Fridge]]=0,"",Table10[[#This Row],[Stove/Fridge]])</f>
        <v/>
      </c>
      <c r="AB79" t="str">
        <f>IF(Table10[[#This Row],[Dishwasher]]=0,"",Table10[[#This Row],[Dishwasher]])</f>
        <v/>
      </c>
      <c r="AC79" t="str">
        <f>IF(Table10[[#This Row],[Parking]]=0,"",Table10[[#This Row],[Parking]])</f>
        <v/>
      </c>
      <c r="AD79" t="str">
        <f>IF(Table10[[#This Row],[Furniture]]=0,"",Table10[[#This Row],[Furniture]])</f>
        <v/>
      </c>
      <c r="AE79" t="str">
        <f>IF(Table10[[#This Row],[Other]]=0,"",Table10[[#This Row],[Other]])</f>
        <v/>
      </c>
    </row>
    <row r="80" spans="1:31">
      <c r="A80" t="str">
        <f>IF(Table10[[#This Row],[Unit Type]]=0,"",Table10[[#This Row],[Unit Type]])</f>
        <v>1 Bedroom</v>
      </c>
      <c r="B80" t="str">
        <f>IF(Table10[[#This Row],[Residential Stream Source]]=0,"",Table10[[#This Row],[Residential Stream Source]])</f>
        <v/>
      </c>
      <c r="C80" t="str">
        <f>IF(Table10[[#This Row],[Basement?]]=0,"",Table10[[#This Row],[Basement?]])</f>
        <v/>
      </c>
      <c r="D80">
        <f>IF(Table10[[#This Row],[Unit '#]]=0,"",Table10[[#This Row],[Unit '#]])</f>
        <v>78</v>
      </c>
      <c r="E80" t="str">
        <f>IF(Table10[[#This Row],[Vacant?]]=0,"",Table10[[#This Row],[Vacant?]])</f>
        <v/>
      </c>
      <c r="F80">
        <f>IF(Table10[[#This Row],[Rental Rate ($/mth)]]=0,"",Table10[[#This Row],[Rental Rate ($/mth)]])</f>
        <v>2490</v>
      </c>
      <c r="G80"/>
      <c r="H80"/>
      <c r="I80"/>
      <c r="J80">
        <f>IF(Table10[[#This Row],[Unit Size (sq ft)]]=0,"",Table10[[#This Row],[Unit Size (sq ft)]])</f>
        <v>624</v>
      </c>
      <c r="K80"/>
      <c r="L80" t="str">
        <f>Table10[[#This Row],[Market Unit]]</f>
        <v>Yes</v>
      </c>
      <c r="M80" t="str">
        <f>Table10[[#This Row],[Affordable Unit]]</f>
        <v>No</v>
      </c>
      <c r="N80" t="str">
        <f>IF(Table10[[#This Row],[Subsidized Unit]]=0,"",Table10[[#This Row],[Subsidized Unit]])</f>
        <v/>
      </c>
      <c r="O80" t="str">
        <f>IF(Table10[[#This Row],[Care Services]]=0,"",Table10[[#This Row],[Care Services]])</f>
        <v/>
      </c>
      <c r="P80" t="str">
        <f>IF(Table10[[#This Row],[Affordable Care]]=0,"",Table10[[#This Row],[Affordable Care]])</f>
        <v/>
      </c>
      <c r="Q80"/>
      <c r="R80"/>
      <c r="S80"/>
      <c r="T80" t="str">
        <f>IF(Table10[[#This Row],[Bulk Lease Unit]]=0,"",Table10[[#This Row],[Bulk Lease Unit]])</f>
        <v/>
      </c>
      <c r="U80" t="str">
        <f>IF(Table10[[#This Row],[Den Included Unit]]=0,"",Table10[[#This Row],[Den Included Unit]])</f>
        <v/>
      </c>
      <c r="V80" t="str">
        <f>IF(Table10[[#This Row],[Second Bathroom]]=0,"",Table10[[#This Row],[Second Bathroom]])</f>
        <v/>
      </c>
      <c r="W80" t="str">
        <f>IF(Table10[[#This Row],[Heating]]=0,"",Table10[[#This Row],[Heating]])</f>
        <v/>
      </c>
      <c r="X80" t="str">
        <f>IF(Table10[[#This Row],[Electricity]]=0,"",Table10[[#This Row],[Electricity]])</f>
        <v/>
      </c>
      <c r="Y80" t="str">
        <f>IF(Table10[[#This Row],[Water]]=0,"",Table10[[#This Row],[Water]])</f>
        <v/>
      </c>
      <c r="Z80" t="str">
        <f>IF(Table10[[#This Row],[Washer/Dryer]]=0,"",Table10[[#This Row],[Washer/Dryer]])</f>
        <v/>
      </c>
      <c r="AA80" t="str">
        <f>IF(Table10[[#This Row],[Stove/Fridge]]=0,"",Table10[[#This Row],[Stove/Fridge]])</f>
        <v/>
      </c>
      <c r="AB80" t="str">
        <f>IF(Table10[[#This Row],[Dishwasher]]=0,"",Table10[[#This Row],[Dishwasher]])</f>
        <v/>
      </c>
      <c r="AC80" t="str">
        <f>IF(Table10[[#This Row],[Parking]]=0,"",Table10[[#This Row],[Parking]])</f>
        <v/>
      </c>
      <c r="AD80" t="str">
        <f>IF(Table10[[#This Row],[Furniture]]=0,"",Table10[[#This Row],[Furniture]])</f>
        <v/>
      </c>
      <c r="AE80" t="str">
        <f>IF(Table10[[#This Row],[Other]]=0,"",Table10[[#This Row],[Other]])</f>
        <v/>
      </c>
    </row>
    <row r="81" spans="1:31">
      <c r="A81" t="str">
        <f>IF(Table10[[#This Row],[Unit Type]]=0,"",Table10[[#This Row],[Unit Type]])</f>
        <v>1 Bedroom</v>
      </c>
      <c r="B81" t="str">
        <f>IF(Table10[[#This Row],[Residential Stream Source]]=0,"",Table10[[#This Row],[Residential Stream Source]])</f>
        <v/>
      </c>
      <c r="C81" t="str">
        <f>IF(Table10[[#This Row],[Basement?]]=0,"",Table10[[#This Row],[Basement?]])</f>
        <v/>
      </c>
      <c r="D81">
        <f>IF(Table10[[#This Row],[Unit '#]]=0,"",Table10[[#This Row],[Unit '#]])</f>
        <v>79</v>
      </c>
      <c r="E81" t="str">
        <f>IF(Table10[[#This Row],[Vacant?]]=0,"",Table10[[#This Row],[Vacant?]])</f>
        <v/>
      </c>
      <c r="F81">
        <f>IF(Table10[[#This Row],[Rental Rate ($/mth)]]=0,"",Table10[[#This Row],[Rental Rate ($/mth)]])</f>
        <v>2490</v>
      </c>
      <c r="G81"/>
      <c r="H81"/>
      <c r="I81"/>
      <c r="J81">
        <f>IF(Table10[[#This Row],[Unit Size (sq ft)]]=0,"",Table10[[#This Row],[Unit Size (sq ft)]])</f>
        <v>624</v>
      </c>
      <c r="K81"/>
      <c r="L81" t="str">
        <f>Table10[[#This Row],[Market Unit]]</f>
        <v>Yes</v>
      </c>
      <c r="M81" t="str">
        <f>Table10[[#This Row],[Affordable Unit]]</f>
        <v>No</v>
      </c>
      <c r="N81" t="str">
        <f>IF(Table10[[#This Row],[Subsidized Unit]]=0,"",Table10[[#This Row],[Subsidized Unit]])</f>
        <v/>
      </c>
      <c r="O81" t="str">
        <f>IF(Table10[[#This Row],[Care Services]]=0,"",Table10[[#This Row],[Care Services]])</f>
        <v/>
      </c>
      <c r="P81" t="str">
        <f>IF(Table10[[#This Row],[Affordable Care]]=0,"",Table10[[#This Row],[Affordable Care]])</f>
        <v/>
      </c>
      <c r="Q81"/>
      <c r="R81"/>
      <c r="S81"/>
      <c r="T81" t="str">
        <f>IF(Table10[[#This Row],[Bulk Lease Unit]]=0,"",Table10[[#This Row],[Bulk Lease Unit]])</f>
        <v/>
      </c>
      <c r="U81" t="str">
        <f>IF(Table10[[#This Row],[Den Included Unit]]=0,"",Table10[[#This Row],[Den Included Unit]])</f>
        <v/>
      </c>
      <c r="V81" t="str">
        <f>IF(Table10[[#This Row],[Second Bathroom]]=0,"",Table10[[#This Row],[Second Bathroom]])</f>
        <v/>
      </c>
      <c r="W81" t="str">
        <f>IF(Table10[[#This Row],[Heating]]=0,"",Table10[[#This Row],[Heating]])</f>
        <v/>
      </c>
      <c r="X81" t="str">
        <f>IF(Table10[[#This Row],[Electricity]]=0,"",Table10[[#This Row],[Electricity]])</f>
        <v/>
      </c>
      <c r="Y81" t="str">
        <f>IF(Table10[[#This Row],[Water]]=0,"",Table10[[#This Row],[Water]])</f>
        <v/>
      </c>
      <c r="Z81" t="str">
        <f>IF(Table10[[#This Row],[Washer/Dryer]]=0,"",Table10[[#This Row],[Washer/Dryer]])</f>
        <v/>
      </c>
      <c r="AA81" t="str">
        <f>IF(Table10[[#This Row],[Stove/Fridge]]=0,"",Table10[[#This Row],[Stove/Fridge]])</f>
        <v/>
      </c>
      <c r="AB81" t="str">
        <f>IF(Table10[[#This Row],[Dishwasher]]=0,"",Table10[[#This Row],[Dishwasher]])</f>
        <v/>
      </c>
      <c r="AC81" t="str">
        <f>IF(Table10[[#This Row],[Parking]]=0,"",Table10[[#This Row],[Parking]])</f>
        <v/>
      </c>
      <c r="AD81" t="str">
        <f>IF(Table10[[#This Row],[Furniture]]=0,"",Table10[[#This Row],[Furniture]])</f>
        <v/>
      </c>
      <c r="AE81" t="str">
        <f>IF(Table10[[#This Row],[Other]]=0,"",Table10[[#This Row],[Other]])</f>
        <v/>
      </c>
    </row>
    <row r="82" spans="1:31">
      <c r="A82" t="str">
        <f>IF(Table10[[#This Row],[Unit Type]]=0,"",Table10[[#This Row],[Unit Type]])</f>
        <v>1 Bedroom</v>
      </c>
      <c r="B82" t="str">
        <f>IF(Table10[[#This Row],[Residential Stream Source]]=0,"",Table10[[#This Row],[Residential Stream Source]])</f>
        <v/>
      </c>
      <c r="C82" t="str">
        <f>IF(Table10[[#This Row],[Basement?]]=0,"",Table10[[#This Row],[Basement?]])</f>
        <v/>
      </c>
      <c r="D82">
        <f>IF(Table10[[#This Row],[Unit '#]]=0,"",Table10[[#This Row],[Unit '#]])</f>
        <v>80</v>
      </c>
      <c r="E82" t="str">
        <f>IF(Table10[[#This Row],[Vacant?]]=0,"",Table10[[#This Row],[Vacant?]])</f>
        <v/>
      </c>
      <c r="F82">
        <f>IF(Table10[[#This Row],[Rental Rate ($/mth)]]=0,"",Table10[[#This Row],[Rental Rate ($/mth)]])</f>
        <v>2490</v>
      </c>
      <c r="G82"/>
      <c r="H82"/>
      <c r="I82"/>
      <c r="J82">
        <f>IF(Table10[[#This Row],[Unit Size (sq ft)]]=0,"",Table10[[#This Row],[Unit Size (sq ft)]])</f>
        <v>624</v>
      </c>
      <c r="K82"/>
      <c r="L82" t="str">
        <f>Table10[[#This Row],[Market Unit]]</f>
        <v>Yes</v>
      </c>
      <c r="M82" t="str">
        <f>Table10[[#This Row],[Affordable Unit]]</f>
        <v>No</v>
      </c>
      <c r="N82" t="str">
        <f>IF(Table10[[#This Row],[Subsidized Unit]]=0,"",Table10[[#This Row],[Subsidized Unit]])</f>
        <v/>
      </c>
      <c r="O82" t="str">
        <f>IF(Table10[[#This Row],[Care Services]]=0,"",Table10[[#This Row],[Care Services]])</f>
        <v/>
      </c>
      <c r="P82" t="str">
        <f>IF(Table10[[#This Row],[Affordable Care]]=0,"",Table10[[#This Row],[Affordable Care]])</f>
        <v/>
      </c>
      <c r="Q82"/>
      <c r="R82"/>
      <c r="S82"/>
      <c r="T82" t="str">
        <f>IF(Table10[[#This Row],[Bulk Lease Unit]]=0,"",Table10[[#This Row],[Bulk Lease Unit]])</f>
        <v/>
      </c>
      <c r="U82" t="str">
        <f>IF(Table10[[#This Row],[Den Included Unit]]=0,"",Table10[[#This Row],[Den Included Unit]])</f>
        <v/>
      </c>
      <c r="V82" t="str">
        <f>IF(Table10[[#This Row],[Second Bathroom]]=0,"",Table10[[#This Row],[Second Bathroom]])</f>
        <v/>
      </c>
      <c r="W82" t="str">
        <f>IF(Table10[[#This Row],[Heating]]=0,"",Table10[[#This Row],[Heating]])</f>
        <v/>
      </c>
      <c r="X82" t="str">
        <f>IF(Table10[[#This Row],[Electricity]]=0,"",Table10[[#This Row],[Electricity]])</f>
        <v/>
      </c>
      <c r="Y82" t="str">
        <f>IF(Table10[[#This Row],[Water]]=0,"",Table10[[#This Row],[Water]])</f>
        <v/>
      </c>
      <c r="Z82" t="str">
        <f>IF(Table10[[#This Row],[Washer/Dryer]]=0,"",Table10[[#This Row],[Washer/Dryer]])</f>
        <v/>
      </c>
      <c r="AA82" t="str">
        <f>IF(Table10[[#This Row],[Stove/Fridge]]=0,"",Table10[[#This Row],[Stove/Fridge]])</f>
        <v/>
      </c>
      <c r="AB82" t="str">
        <f>IF(Table10[[#This Row],[Dishwasher]]=0,"",Table10[[#This Row],[Dishwasher]])</f>
        <v/>
      </c>
      <c r="AC82" t="str">
        <f>IF(Table10[[#This Row],[Parking]]=0,"",Table10[[#This Row],[Parking]])</f>
        <v/>
      </c>
      <c r="AD82" t="str">
        <f>IF(Table10[[#This Row],[Furniture]]=0,"",Table10[[#This Row],[Furniture]])</f>
        <v/>
      </c>
      <c r="AE82" t="str">
        <f>IF(Table10[[#This Row],[Other]]=0,"",Table10[[#This Row],[Other]])</f>
        <v/>
      </c>
    </row>
    <row r="83" spans="1:31">
      <c r="A83" t="str">
        <f>IF(Table10[[#This Row],[Unit Type]]=0,"",Table10[[#This Row],[Unit Type]])</f>
        <v>1 Bedroom</v>
      </c>
      <c r="B83" t="str">
        <f>IF(Table10[[#This Row],[Residential Stream Source]]=0,"",Table10[[#This Row],[Residential Stream Source]])</f>
        <v/>
      </c>
      <c r="C83" t="str">
        <f>IF(Table10[[#This Row],[Basement?]]=0,"",Table10[[#This Row],[Basement?]])</f>
        <v/>
      </c>
      <c r="D83">
        <f>IF(Table10[[#This Row],[Unit '#]]=0,"",Table10[[#This Row],[Unit '#]])</f>
        <v>81</v>
      </c>
      <c r="E83" t="str">
        <f>IF(Table10[[#This Row],[Vacant?]]=0,"",Table10[[#This Row],[Vacant?]])</f>
        <v/>
      </c>
      <c r="F83">
        <f>IF(Table10[[#This Row],[Rental Rate ($/mth)]]=0,"",Table10[[#This Row],[Rental Rate ($/mth)]])</f>
        <v>2490</v>
      </c>
      <c r="G83"/>
      <c r="H83"/>
      <c r="I83"/>
      <c r="J83">
        <f>IF(Table10[[#This Row],[Unit Size (sq ft)]]=0,"",Table10[[#This Row],[Unit Size (sq ft)]])</f>
        <v>624</v>
      </c>
      <c r="K83"/>
      <c r="L83" t="str">
        <f>Table10[[#This Row],[Market Unit]]</f>
        <v>Yes</v>
      </c>
      <c r="M83" t="str">
        <f>Table10[[#This Row],[Affordable Unit]]</f>
        <v>No</v>
      </c>
      <c r="N83" t="str">
        <f>IF(Table10[[#This Row],[Subsidized Unit]]=0,"",Table10[[#This Row],[Subsidized Unit]])</f>
        <v/>
      </c>
      <c r="O83" t="str">
        <f>IF(Table10[[#This Row],[Care Services]]=0,"",Table10[[#This Row],[Care Services]])</f>
        <v/>
      </c>
      <c r="P83" t="str">
        <f>IF(Table10[[#This Row],[Affordable Care]]=0,"",Table10[[#This Row],[Affordable Care]])</f>
        <v/>
      </c>
      <c r="Q83"/>
      <c r="R83"/>
      <c r="S83"/>
      <c r="T83" t="str">
        <f>IF(Table10[[#This Row],[Bulk Lease Unit]]=0,"",Table10[[#This Row],[Bulk Lease Unit]])</f>
        <v/>
      </c>
      <c r="U83" t="str">
        <f>IF(Table10[[#This Row],[Den Included Unit]]=0,"",Table10[[#This Row],[Den Included Unit]])</f>
        <v/>
      </c>
      <c r="V83" t="str">
        <f>IF(Table10[[#This Row],[Second Bathroom]]=0,"",Table10[[#This Row],[Second Bathroom]])</f>
        <v/>
      </c>
      <c r="W83" t="str">
        <f>IF(Table10[[#This Row],[Heating]]=0,"",Table10[[#This Row],[Heating]])</f>
        <v/>
      </c>
      <c r="X83" t="str">
        <f>IF(Table10[[#This Row],[Electricity]]=0,"",Table10[[#This Row],[Electricity]])</f>
        <v/>
      </c>
      <c r="Y83" t="str">
        <f>IF(Table10[[#This Row],[Water]]=0,"",Table10[[#This Row],[Water]])</f>
        <v/>
      </c>
      <c r="Z83" t="str">
        <f>IF(Table10[[#This Row],[Washer/Dryer]]=0,"",Table10[[#This Row],[Washer/Dryer]])</f>
        <v/>
      </c>
      <c r="AA83" t="str">
        <f>IF(Table10[[#This Row],[Stove/Fridge]]=0,"",Table10[[#This Row],[Stove/Fridge]])</f>
        <v/>
      </c>
      <c r="AB83" t="str">
        <f>IF(Table10[[#This Row],[Dishwasher]]=0,"",Table10[[#This Row],[Dishwasher]])</f>
        <v/>
      </c>
      <c r="AC83" t="str">
        <f>IF(Table10[[#This Row],[Parking]]=0,"",Table10[[#This Row],[Parking]])</f>
        <v/>
      </c>
      <c r="AD83" t="str">
        <f>IF(Table10[[#This Row],[Furniture]]=0,"",Table10[[#This Row],[Furniture]])</f>
        <v/>
      </c>
      <c r="AE83" t="str">
        <f>IF(Table10[[#This Row],[Other]]=0,"",Table10[[#This Row],[Other]])</f>
        <v/>
      </c>
    </row>
    <row r="84" spans="1:31">
      <c r="A84" t="str">
        <f>IF(Table10[[#This Row],[Unit Type]]=0,"",Table10[[#This Row],[Unit Type]])</f>
        <v>1 Bedroom</v>
      </c>
      <c r="B84" t="str">
        <f>IF(Table10[[#This Row],[Residential Stream Source]]=0,"",Table10[[#This Row],[Residential Stream Source]])</f>
        <v/>
      </c>
      <c r="C84" t="str">
        <f>IF(Table10[[#This Row],[Basement?]]=0,"",Table10[[#This Row],[Basement?]])</f>
        <v/>
      </c>
      <c r="D84">
        <f>IF(Table10[[#This Row],[Unit '#]]=0,"",Table10[[#This Row],[Unit '#]])</f>
        <v>82</v>
      </c>
      <c r="E84" t="str">
        <f>IF(Table10[[#This Row],[Vacant?]]=0,"",Table10[[#This Row],[Vacant?]])</f>
        <v/>
      </c>
      <c r="F84">
        <f>IF(Table10[[#This Row],[Rental Rate ($/mth)]]=0,"",Table10[[#This Row],[Rental Rate ($/mth)]])</f>
        <v>2490</v>
      </c>
      <c r="G84"/>
      <c r="H84"/>
      <c r="I84"/>
      <c r="J84">
        <f>IF(Table10[[#This Row],[Unit Size (sq ft)]]=0,"",Table10[[#This Row],[Unit Size (sq ft)]])</f>
        <v>624</v>
      </c>
      <c r="K84"/>
      <c r="L84" t="str">
        <f>Table10[[#This Row],[Market Unit]]</f>
        <v>Yes</v>
      </c>
      <c r="M84" t="str">
        <f>Table10[[#This Row],[Affordable Unit]]</f>
        <v>No</v>
      </c>
      <c r="N84" t="str">
        <f>IF(Table10[[#This Row],[Subsidized Unit]]=0,"",Table10[[#This Row],[Subsidized Unit]])</f>
        <v/>
      </c>
      <c r="O84" t="str">
        <f>IF(Table10[[#This Row],[Care Services]]=0,"",Table10[[#This Row],[Care Services]])</f>
        <v/>
      </c>
      <c r="P84" t="str">
        <f>IF(Table10[[#This Row],[Affordable Care]]=0,"",Table10[[#This Row],[Affordable Care]])</f>
        <v/>
      </c>
      <c r="Q84"/>
      <c r="R84"/>
      <c r="S84"/>
      <c r="T84" t="str">
        <f>IF(Table10[[#This Row],[Bulk Lease Unit]]=0,"",Table10[[#This Row],[Bulk Lease Unit]])</f>
        <v/>
      </c>
      <c r="U84" t="str">
        <f>IF(Table10[[#This Row],[Den Included Unit]]=0,"",Table10[[#This Row],[Den Included Unit]])</f>
        <v/>
      </c>
      <c r="V84" t="str">
        <f>IF(Table10[[#This Row],[Second Bathroom]]=0,"",Table10[[#This Row],[Second Bathroom]])</f>
        <v/>
      </c>
      <c r="W84" t="str">
        <f>IF(Table10[[#This Row],[Heating]]=0,"",Table10[[#This Row],[Heating]])</f>
        <v/>
      </c>
      <c r="X84" t="str">
        <f>IF(Table10[[#This Row],[Electricity]]=0,"",Table10[[#This Row],[Electricity]])</f>
        <v/>
      </c>
      <c r="Y84" t="str">
        <f>IF(Table10[[#This Row],[Water]]=0,"",Table10[[#This Row],[Water]])</f>
        <v/>
      </c>
      <c r="Z84" t="str">
        <f>IF(Table10[[#This Row],[Washer/Dryer]]=0,"",Table10[[#This Row],[Washer/Dryer]])</f>
        <v/>
      </c>
      <c r="AA84" t="str">
        <f>IF(Table10[[#This Row],[Stove/Fridge]]=0,"",Table10[[#This Row],[Stove/Fridge]])</f>
        <v/>
      </c>
      <c r="AB84" t="str">
        <f>IF(Table10[[#This Row],[Dishwasher]]=0,"",Table10[[#This Row],[Dishwasher]])</f>
        <v/>
      </c>
      <c r="AC84" t="str">
        <f>IF(Table10[[#This Row],[Parking]]=0,"",Table10[[#This Row],[Parking]])</f>
        <v/>
      </c>
      <c r="AD84" t="str">
        <f>IF(Table10[[#This Row],[Furniture]]=0,"",Table10[[#This Row],[Furniture]])</f>
        <v/>
      </c>
      <c r="AE84" t="str">
        <f>IF(Table10[[#This Row],[Other]]=0,"",Table10[[#This Row],[Other]])</f>
        <v/>
      </c>
    </row>
    <row r="85" spans="1:31">
      <c r="A85" t="str">
        <f>IF(Table10[[#This Row],[Unit Type]]=0,"",Table10[[#This Row],[Unit Type]])</f>
        <v>1 Bedroom</v>
      </c>
      <c r="B85" t="str">
        <f>IF(Table10[[#This Row],[Residential Stream Source]]=0,"",Table10[[#This Row],[Residential Stream Source]])</f>
        <v/>
      </c>
      <c r="C85" t="str">
        <f>IF(Table10[[#This Row],[Basement?]]=0,"",Table10[[#This Row],[Basement?]])</f>
        <v/>
      </c>
      <c r="D85">
        <f>IF(Table10[[#This Row],[Unit '#]]=0,"",Table10[[#This Row],[Unit '#]])</f>
        <v>83</v>
      </c>
      <c r="E85" t="str">
        <f>IF(Table10[[#This Row],[Vacant?]]=0,"",Table10[[#This Row],[Vacant?]])</f>
        <v/>
      </c>
      <c r="F85">
        <f>IF(Table10[[#This Row],[Rental Rate ($/mth)]]=0,"",Table10[[#This Row],[Rental Rate ($/mth)]])</f>
        <v>2490</v>
      </c>
      <c r="G85"/>
      <c r="H85"/>
      <c r="I85"/>
      <c r="J85">
        <f>IF(Table10[[#This Row],[Unit Size (sq ft)]]=0,"",Table10[[#This Row],[Unit Size (sq ft)]])</f>
        <v>624</v>
      </c>
      <c r="K85"/>
      <c r="L85" t="str">
        <f>Table10[[#This Row],[Market Unit]]</f>
        <v>Yes</v>
      </c>
      <c r="M85" t="str">
        <f>Table10[[#This Row],[Affordable Unit]]</f>
        <v>No</v>
      </c>
      <c r="N85" t="str">
        <f>IF(Table10[[#This Row],[Subsidized Unit]]=0,"",Table10[[#This Row],[Subsidized Unit]])</f>
        <v/>
      </c>
      <c r="O85" t="str">
        <f>IF(Table10[[#This Row],[Care Services]]=0,"",Table10[[#This Row],[Care Services]])</f>
        <v/>
      </c>
      <c r="P85" t="str">
        <f>IF(Table10[[#This Row],[Affordable Care]]=0,"",Table10[[#This Row],[Affordable Care]])</f>
        <v/>
      </c>
      <c r="Q85"/>
      <c r="R85"/>
      <c r="S85"/>
      <c r="T85" t="str">
        <f>IF(Table10[[#This Row],[Bulk Lease Unit]]=0,"",Table10[[#This Row],[Bulk Lease Unit]])</f>
        <v/>
      </c>
      <c r="U85" t="str">
        <f>IF(Table10[[#This Row],[Den Included Unit]]=0,"",Table10[[#This Row],[Den Included Unit]])</f>
        <v/>
      </c>
      <c r="V85" t="str">
        <f>IF(Table10[[#This Row],[Second Bathroom]]=0,"",Table10[[#This Row],[Second Bathroom]])</f>
        <v/>
      </c>
      <c r="W85" t="str">
        <f>IF(Table10[[#This Row],[Heating]]=0,"",Table10[[#This Row],[Heating]])</f>
        <v/>
      </c>
      <c r="X85" t="str">
        <f>IF(Table10[[#This Row],[Electricity]]=0,"",Table10[[#This Row],[Electricity]])</f>
        <v/>
      </c>
      <c r="Y85" t="str">
        <f>IF(Table10[[#This Row],[Water]]=0,"",Table10[[#This Row],[Water]])</f>
        <v/>
      </c>
      <c r="Z85" t="str">
        <f>IF(Table10[[#This Row],[Washer/Dryer]]=0,"",Table10[[#This Row],[Washer/Dryer]])</f>
        <v/>
      </c>
      <c r="AA85" t="str">
        <f>IF(Table10[[#This Row],[Stove/Fridge]]=0,"",Table10[[#This Row],[Stove/Fridge]])</f>
        <v/>
      </c>
      <c r="AB85" t="str">
        <f>IF(Table10[[#This Row],[Dishwasher]]=0,"",Table10[[#This Row],[Dishwasher]])</f>
        <v/>
      </c>
      <c r="AC85" t="str">
        <f>IF(Table10[[#This Row],[Parking]]=0,"",Table10[[#This Row],[Parking]])</f>
        <v/>
      </c>
      <c r="AD85" t="str">
        <f>IF(Table10[[#This Row],[Furniture]]=0,"",Table10[[#This Row],[Furniture]])</f>
        <v/>
      </c>
      <c r="AE85" t="str">
        <f>IF(Table10[[#This Row],[Other]]=0,"",Table10[[#This Row],[Other]])</f>
        <v/>
      </c>
    </row>
    <row r="86" spans="1:31">
      <c r="A86" t="str">
        <f>IF(Table10[[#This Row],[Unit Type]]=0,"",Table10[[#This Row],[Unit Type]])</f>
        <v>1 Bedroom</v>
      </c>
      <c r="B86" t="str">
        <f>IF(Table10[[#This Row],[Residential Stream Source]]=0,"",Table10[[#This Row],[Residential Stream Source]])</f>
        <v/>
      </c>
      <c r="C86" t="str">
        <f>IF(Table10[[#This Row],[Basement?]]=0,"",Table10[[#This Row],[Basement?]])</f>
        <v/>
      </c>
      <c r="D86">
        <f>IF(Table10[[#This Row],[Unit '#]]=0,"",Table10[[#This Row],[Unit '#]])</f>
        <v>84</v>
      </c>
      <c r="E86" t="str">
        <f>IF(Table10[[#This Row],[Vacant?]]=0,"",Table10[[#This Row],[Vacant?]])</f>
        <v/>
      </c>
      <c r="F86">
        <f>IF(Table10[[#This Row],[Rental Rate ($/mth)]]=0,"",Table10[[#This Row],[Rental Rate ($/mth)]])</f>
        <v>2490</v>
      </c>
      <c r="G86"/>
      <c r="H86"/>
      <c r="I86"/>
      <c r="J86">
        <f>IF(Table10[[#This Row],[Unit Size (sq ft)]]=0,"",Table10[[#This Row],[Unit Size (sq ft)]])</f>
        <v>624</v>
      </c>
      <c r="K86"/>
      <c r="L86" t="str">
        <f>Table10[[#This Row],[Market Unit]]</f>
        <v>Yes</v>
      </c>
      <c r="M86" t="str">
        <f>Table10[[#This Row],[Affordable Unit]]</f>
        <v>No</v>
      </c>
      <c r="N86" t="str">
        <f>IF(Table10[[#This Row],[Subsidized Unit]]=0,"",Table10[[#This Row],[Subsidized Unit]])</f>
        <v/>
      </c>
      <c r="O86" t="str">
        <f>IF(Table10[[#This Row],[Care Services]]=0,"",Table10[[#This Row],[Care Services]])</f>
        <v/>
      </c>
      <c r="P86" t="str">
        <f>IF(Table10[[#This Row],[Affordable Care]]=0,"",Table10[[#This Row],[Affordable Care]])</f>
        <v/>
      </c>
      <c r="Q86"/>
      <c r="R86"/>
      <c r="S86"/>
      <c r="T86" t="str">
        <f>IF(Table10[[#This Row],[Bulk Lease Unit]]=0,"",Table10[[#This Row],[Bulk Lease Unit]])</f>
        <v/>
      </c>
      <c r="U86" t="str">
        <f>IF(Table10[[#This Row],[Den Included Unit]]=0,"",Table10[[#This Row],[Den Included Unit]])</f>
        <v/>
      </c>
      <c r="V86" t="str">
        <f>IF(Table10[[#This Row],[Second Bathroom]]=0,"",Table10[[#This Row],[Second Bathroom]])</f>
        <v/>
      </c>
      <c r="W86" t="str">
        <f>IF(Table10[[#This Row],[Heating]]=0,"",Table10[[#This Row],[Heating]])</f>
        <v/>
      </c>
      <c r="X86" t="str">
        <f>IF(Table10[[#This Row],[Electricity]]=0,"",Table10[[#This Row],[Electricity]])</f>
        <v/>
      </c>
      <c r="Y86" t="str">
        <f>IF(Table10[[#This Row],[Water]]=0,"",Table10[[#This Row],[Water]])</f>
        <v/>
      </c>
      <c r="Z86" t="str">
        <f>IF(Table10[[#This Row],[Washer/Dryer]]=0,"",Table10[[#This Row],[Washer/Dryer]])</f>
        <v/>
      </c>
      <c r="AA86" t="str">
        <f>IF(Table10[[#This Row],[Stove/Fridge]]=0,"",Table10[[#This Row],[Stove/Fridge]])</f>
        <v/>
      </c>
      <c r="AB86" t="str">
        <f>IF(Table10[[#This Row],[Dishwasher]]=0,"",Table10[[#This Row],[Dishwasher]])</f>
        <v/>
      </c>
      <c r="AC86" t="str">
        <f>IF(Table10[[#This Row],[Parking]]=0,"",Table10[[#This Row],[Parking]])</f>
        <v/>
      </c>
      <c r="AD86" t="str">
        <f>IF(Table10[[#This Row],[Furniture]]=0,"",Table10[[#This Row],[Furniture]])</f>
        <v/>
      </c>
      <c r="AE86" t="str">
        <f>IF(Table10[[#This Row],[Other]]=0,"",Table10[[#This Row],[Other]])</f>
        <v/>
      </c>
    </row>
    <row r="87" spans="1:31">
      <c r="A87" t="str">
        <f>IF(Table10[[#This Row],[Unit Type]]=0,"",Table10[[#This Row],[Unit Type]])</f>
        <v>2 Bedroom</v>
      </c>
      <c r="B87" t="str">
        <f>IF(Table10[[#This Row],[Residential Stream Source]]=0,"",Table10[[#This Row],[Residential Stream Source]])</f>
        <v/>
      </c>
      <c r="C87" t="str">
        <f>IF(Table10[[#This Row],[Basement?]]=0,"",Table10[[#This Row],[Basement?]])</f>
        <v/>
      </c>
      <c r="D87">
        <f>IF(Table10[[#This Row],[Unit '#]]=0,"",Table10[[#This Row],[Unit '#]])</f>
        <v>85</v>
      </c>
      <c r="E87" t="str">
        <f>IF(Table10[[#This Row],[Vacant?]]=0,"",Table10[[#This Row],[Vacant?]])</f>
        <v/>
      </c>
      <c r="F87">
        <f>IF(Table10[[#This Row],[Rental Rate ($/mth)]]=0,"",Table10[[#This Row],[Rental Rate ($/mth)]])</f>
        <v>3155</v>
      </c>
      <c r="G87"/>
      <c r="H87"/>
      <c r="I87"/>
      <c r="J87">
        <f>IF(Table10[[#This Row],[Unit Size (sq ft)]]=0,"",Table10[[#This Row],[Unit Size (sq ft)]])</f>
        <v>855</v>
      </c>
      <c r="K87"/>
      <c r="L87" t="str">
        <f>Table10[[#This Row],[Market Unit]]</f>
        <v>Yes</v>
      </c>
      <c r="M87" t="str">
        <f>Table10[[#This Row],[Affordable Unit]]</f>
        <v>No</v>
      </c>
      <c r="N87" t="str">
        <f>IF(Table10[[#This Row],[Subsidized Unit]]=0,"",Table10[[#This Row],[Subsidized Unit]])</f>
        <v/>
      </c>
      <c r="O87" t="str">
        <f>IF(Table10[[#This Row],[Care Services]]=0,"",Table10[[#This Row],[Care Services]])</f>
        <v/>
      </c>
      <c r="P87" t="str">
        <f>IF(Table10[[#This Row],[Affordable Care]]=0,"",Table10[[#This Row],[Affordable Care]])</f>
        <v/>
      </c>
      <c r="Q87"/>
      <c r="R87"/>
      <c r="S87"/>
      <c r="T87" t="str">
        <f>IF(Table10[[#This Row],[Bulk Lease Unit]]=0,"",Table10[[#This Row],[Bulk Lease Unit]])</f>
        <v/>
      </c>
      <c r="U87" t="str">
        <f>IF(Table10[[#This Row],[Den Included Unit]]=0,"",Table10[[#This Row],[Den Included Unit]])</f>
        <v/>
      </c>
      <c r="V87" t="str">
        <f>IF(Table10[[#This Row],[Second Bathroom]]=0,"",Table10[[#This Row],[Second Bathroom]])</f>
        <v/>
      </c>
      <c r="W87" t="str">
        <f>IF(Table10[[#This Row],[Heating]]=0,"",Table10[[#This Row],[Heating]])</f>
        <v/>
      </c>
      <c r="X87" t="str">
        <f>IF(Table10[[#This Row],[Electricity]]=0,"",Table10[[#This Row],[Electricity]])</f>
        <v/>
      </c>
      <c r="Y87" t="str">
        <f>IF(Table10[[#This Row],[Water]]=0,"",Table10[[#This Row],[Water]])</f>
        <v/>
      </c>
      <c r="Z87" t="str">
        <f>IF(Table10[[#This Row],[Washer/Dryer]]=0,"",Table10[[#This Row],[Washer/Dryer]])</f>
        <v/>
      </c>
      <c r="AA87" t="str">
        <f>IF(Table10[[#This Row],[Stove/Fridge]]=0,"",Table10[[#This Row],[Stove/Fridge]])</f>
        <v/>
      </c>
      <c r="AB87" t="str">
        <f>IF(Table10[[#This Row],[Dishwasher]]=0,"",Table10[[#This Row],[Dishwasher]])</f>
        <v/>
      </c>
      <c r="AC87" t="str">
        <f>IF(Table10[[#This Row],[Parking]]=0,"",Table10[[#This Row],[Parking]])</f>
        <v/>
      </c>
      <c r="AD87" t="str">
        <f>IF(Table10[[#This Row],[Furniture]]=0,"",Table10[[#This Row],[Furniture]])</f>
        <v/>
      </c>
      <c r="AE87" t="str">
        <f>IF(Table10[[#This Row],[Other]]=0,"",Table10[[#This Row],[Other]])</f>
        <v/>
      </c>
    </row>
    <row r="88" spans="1:31">
      <c r="A88" t="str">
        <f>IF(Table10[[#This Row],[Unit Type]]=0,"",Table10[[#This Row],[Unit Type]])</f>
        <v>2 Bedroom</v>
      </c>
      <c r="B88" t="str">
        <f>IF(Table10[[#This Row],[Residential Stream Source]]=0,"",Table10[[#This Row],[Residential Stream Source]])</f>
        <v/>
      </c>
      <c r="C88" t="str">
        <f>IF(Table10[[#This Row],[Basement?]]=0,"",Table10[[#This Row],[Basement?]])</f>
        <v/>
      </c>
      <c r="D88">
        <f>IF(Table10[[#This Row],[Unit '#]]=0,"",Table10[[#This Row],[Unit '#]])</f>
        <v>86</v>
      </c>
      <c r="E88" t="str">
        <f>IF(Table10[[#This Row],[Vacant?]]=0,"",Table10[[#This Row],[Vacant?]])</f>
        <v/>
      </c>
      <c r="F88">
        <f>IF(Table10[[#This Row],[Rental Rate ($/mth)]]=0,"",Table10[[#This Row],[Rental Rate ($/mth)]])</f>
        <v>3155</v>
      </c>
      <c r="G88"/>
      <c r="H88"/>
      <c r="I88"/>
      <c r="J88">
        <f>IF(Table10[[#This Row],[Unit Size (sq ft)]]=0,"",Table10[[#This Row],[Unit Size (sq ft)]])</f>
        <v>855</v>
      </c>
      <c r="K88"/>
      <c r="L88" t="str">
        <f>Table10[[#This Row],[Market Unit]]</f>
        <v>Yes</v>
      </c>
      <c r="M88" t="str">
        <f>Table10[[#This Row],[Affordable Unit]]</f>
        <v>No</v>
      </c>
      <c r="N88" t="str">
        <f>IF(Table10[[#This Row],[Subsidized Unit]]=0,"",Table10[[#This Row],[Subsidized Unit]])</f>
        <v/>
      </c>
      <c r="O88" t="str">
        <f>IF(Table10[[#This Row],[Care Services]]=0,"",Table10[[#This Row],[Care Services]])</f>
        <v/>
      </c>
      <c r="P88" t="str">
        <f>IF(Table10[[#This Row],[Affordable Care]]=0,"",Table10[[#This Row],[Affordable Care]])</f>
        <v/>
      </c>
      <c r="Q88"/>
      <c r="R88"/>
      <c r="S88"/>
      <c r="T88" t="str">
        <f>IF(Table10[[#This Row],[Bulk Lease Unit]]=0,"",Table10[[#This Row],[Bulk Lease Unit]])</f>
        <v/>
      </c>
      <c r="U88" t="str">
        <f>IF(Table10[[#This Row],[Den Included Unit]]=0,"",Table10[[#This Row],[Den Included Unit]])</f>
        <v/>
      </c>
      <c r="V88" t="str">
        <f>IF(Table10[[#This Row],[Second Bathroom]]=0,"",Table10[[#This Row],[Second Bathroom]])</f>
        <v/>
      </c>
      <c r="W88" t="str">
        <f>IF(Table10[[#This Row],[Heating]]=0,"",Table10[[#This Row],[Heating]])</f>
        <v/>
      </c>
      <c r="X88" t="str">
        <f>IF(Table10[[#This Row],[Electricity]]=0,"",Table10[[#This Row],[Electricity]])</f>
        <v/>
      </c>
      <c r="Y88" t="str">
        <f>IF(Table10[[#This Row],[Water]]=0,"",Table10[[#This Row],[Water]])</f>
        <v/>
      </c>
      <c r="Z88" t="str">
        <f>IF(Table10[[#This Row],[Washer/Dryer]]=0,"",Table10[[#This Row],[Washer/Dryer]])</f>
        <v/>
      </c>
      <c r="AA88" t="str">
        <f>IF(Table10[[#This Row],[Stove/Fridge]]=0,"",Table10[[#This Row],[Stove/Fridge]])</f>
        <v/>
      </c>
      <c r="AB88" t="str">
        <f>IF(Table10[[#This Row],[Dishwasher]]=0,"",Table10[[#This Row],[Dishwasher]])</f>
        <v/>
      </c>
      <c r="AC88" t="str">
        <f>IF(Table10[[#This Row],[Parking]]=0,"",Table10[[#This Row],[Parking]])</f>
        <v/>
      </c>
      <c r="AD88" t="str">
        <f>IF(Table10[[#This Row],[Furniture]]=0,"",Table10[[#This Row],[Furniture]])</f>
        <v/>
      </c>
      <c r="AE88" t="str">
        <f>IF(Table10[[#This Row],[Other]]=0,"",Table10[[#This Row],[Other]])</f>
        <v/>
      </c>
    </row>
    <row r="89" spans="1:31">
      <c r="A89" t="str">
        <f>IF(Table10[[#This Row],[Unit Type]]=0,"",Table10[[#This Row],[Unit Type]])</f>
        <v>2 Bedroom</v>
      </c>
      <c r="B89" t="str">
        <f>IF(Table10[[#This Row],[Residential Stream Source]]=0,"",Table10[[#This Row],[Residential Stream Source]])</f>
        <v/>
      </c>
      <c r="C89" t="str">
        <f>IF(Table10[[#This Row],[Basement?]]=0,"",Table10[[#This Row],[Basement?]])</f>
        <v/>
      </c>
      <c r="D89">
        <f>IF(Table10[[#This Row],[Unit '#]]=0,"",Table10[[#This Row],[Unit '#]])</f>
        <v>87</v>
      </c>
      <c r="E89" t="str">
        <f>IF(Table10[[#This Row],[Vacant?]]=0,"",Table10[[#This Row],[Vacant?]])</f>
        <v/>
      </c>
      <c r="F89">
        <f>IF(Table10[[#This Row],[Rental Rate ($/mth)]]=0,"",Table10[[#This Row],[Rental Rate ($/mth)]])</f>
        <v>3155</v>
      </c>
      <c r="G89"/>
      <c r="H89"/>
      <c r="I89"/>
      <c r="J89">
        <f>IF(Table10[[#This Row],[Unit Size (sq ft)]]=0,"",Table10[[#This Row],[Unit Size (sq ft)]])</f>
        <v>855</v>
      </c>
      <c r="K89"/>
      <c r="L89" t="str">
        <f>Table10[[#This Row],[Market Unit]]</f>
        <v>Yes</v>
      </c>
      <c r="M89" t="str">
        <f>Table10[[#This Row],[Affordable Unit]]</f>
        <v>No</v>
      </c>
      <c r="N89" t="str">
        <f>IF(Table10[[#This Row],[Subsidized Unit]]=0,"",Table10[[#This Row],[Subsidized Unit]])</f>
        <v/>
      </c>
      <c r="O89" t="str">
        <f>IF(Table10[[#This Row],[Care Services]]=0,"",Table10[[#This Row],[Care Services]])</f>
        <v/>
      </c>
      <c r="P89" t="str">
        <f>IF(Table10[[#This Row],[Affordable Care]]=0,"",Table10[[#This Row],[Affordable Care]])</f>
        <v/>
      </c>
      <c r="Q89"/>
      <c r="R89"/>
      <c r="S89"/>
      <c r="T89" t="str">
        <f>IF(Table10[[#This Row],[Bulk Lease Unit]]=0,"",Table10[[#This Row],[Bulk Lease Unit]])</f>
        <v/>
      </c>
      <c r="U89" t="str">
        <f>IF(Table10[[#This Row],[Den Included Unit]]=0,"",Table10[[#This Row],[Den Included Unit]])</f>
        <v/>
      </c>
      <c r="V89" t="str">
        <f>IF(Table10[[#This Row],[Second Bathroom]]=0,"",Table10[[#This Row],[Second Bathroom]])</f>
        <v/>
      </c>
      <c r="W89" t="str">
        <f>IF(Table10[[#This Row],[Heating]]=0,"",Table10[[#This Row],[Heating]])</f>
        <v/>
      </c>
      <c r="X89" t="str">
        <f>IF(Table10[[#This Row],[Electricity]]=0,"",Table10[[#This Row],[Electricity]])</f>
        <v/>
      </c>
      <c r="Y89" t="str">
        <f>IF(Table10[[#This Row],[Water]]=0,"",Table10[[#This Row],[Water]])</f>
        <v/>
      </c>
      <c r="Z89" t="str">
        <f>IF(Table10[[#This Row],[Washer/Dryer]]=0,"",Table10[[#This Row],[Washer/Dryer]])</f>
        <v/>
      </c>
      <c r="AA89" t="str">
        <f>IF(Table10[[#This Row],[Stove/Fridge]]=0,"",Table10[[#This Row],[Stove/Fridge]])</f>
        <v/>
      </c>
      <c r="AB89" t="str">
        <f>IF(Table10[[#This Row],[Dishwasher]]=0,"",Table10[[#This Row],[Dishwasher]])</f>
        <v/>
      </c>
      <c r="AC89" t="str">
        <f>IF(Table10[[#This Row],[Parking]]=0,"",Table10[[#This Row],[Parking]])</f>
        <v/>
      </c>
      <c r="AD89" t="str">
        <f>IF(Table10[[#This Row],[Furniture]]=0,"",Table10[[#This Row],[Furniture]])</f>
        <v/>
      </c>
      <c r="AE89" t="str">
        <f>IF(Table10[[#This Row],[Other]]=0,"",Table10[[#This Row],[Other]])</f>
        <v/>
      </c>
    </row>
    <row r="90" spans="1:31">
      <c r="A90" t="str">
        <f>IF(Table10[[#This Row],[Unit Type]]=0,"",Table10[[#This Row],[Unit Type]])</f>
        <v>2 Bedroom</v>
      </c>
      <c r="B90" t="str">
        <f>IF(Table10[[#This Row],[Residential Stream Source]]=0,"",Table10[[#This Row],[Residential Stream Source]])</f>
        <v/>
      </c>
      <c r="C90" t="str">
        <f>IF(Table10[[#This Row],[Basement?]]=0,"",Table10[[#This Row],[Basement?]])</f>
        <v/>
      </c>
      <c r="D90">
        <f>IF(Table10[[#This Row],[Unit '#]]=0,"",Table10[[#This Row],[Unit '#]])</f>
        <v>88</v>
      </c>
      <c r="E90" t="str">
        <f>IF(Table10[[#This Row],[Vacant?]]=0,"",Table10[[#This Row],[Vacant?]])</f>
        <v/>
      </c>
      <c r="F90">
        <f>IF(Table10[[#This Row],[Rental Rate ($/mth)]]=0,"",Table10[[#This Row],[Rental Rate ($/mth)]])</f>
        <v>3155</v>
      </c>
      <c r="G90"/>
      <c r="H90"/>
      <c r="I90"/>
      <c r="J90">
        <f>IF(Table10[[#This Row],[Unit Size (sq ft)]]=0,"",Table10[[#This Row],[Unit Size (sq ft)]])</f>
        <v>855</v>
      </c>
      <c r="K90"/>
      <c r="L90" t="str">
        <f>Table10[[#This Row],[Market Unit]]</f>
        <v>Yes</v>
      </c>
      <c r="M90" t="str">
        <f>Table10[[#This Row],[Affordable Unit]]</f>
        <v>No</v>
      </c>
      <c r="N90" t="str">
        <f>IF(Table10[[#This Row],[Subsidized Unit]]=0,"",Table10[[#This Row],[Subsidized Unit]])</f>
        <v/>
      </c>
      <c r="O90" t="str">
        <f>IF(Table10[[#This Row],[Care Services]]=0,"",Table10[[#This Row],[Care Services]])</f>
        <v/>
      </c>
      <c r="P90" t="str">
        <f>IF(Table10[[#This Row],[Affordable Care]]=0,"",Table10[[#This Row],[Affordable Care]])</f>
        <v/>
      </c>
      <c r="Q90"/>
      <c r="R90"/>
      <c r="S90"/>
      <c r="T90" t="str">
        <f>IF(Table10[[#This Row],[Bulk Lease Unit]]=0,"",Table10[[#This Row],[Bulk Lease Unit]])</f>
        <v/>
      </c>
      <c r="U90" t="str">
        <f>IF(Table10[[#This Row],[Den Included Unit]]=0,"",Table10[[#This Row],[Den Included Unit]])</f>
        <v/>
      </c>
      <c r="V90" t="str">
        <f>IF(Table10[[#This Row],[Second Bathroom]]=0,"",Table10[[#This Row],[Second Bathroom]])</f>
        <v/>
      </c>
      <c r="W90" t="str">
        <f>IF(Table10[[#This Row],[Heating]]=0,"",Table10[[#This Row],[Heating]])</f>
        <v/>
      </c>
      <c r="X90" t="str">
        <f>IF(Table10[[#This Row],[Electricity]]=0,"",Table10[[#This Row],[Electricity]])</f>
        <v/>
      </c>
      <c r="Y90" t="str">
        <f>IF(Table10[[#This Row],[Water]]=0,"",Table10[[#This Row],[Water]])</f>
        <v/>
      </c>
      <c r="Z90" t="str">
        <f>IF(Table10[[#This Row],[Washer/Dryer]]=0,"",Table10[[#This Row],[Washer/Dryer]])</f>
        <v/>
      </c>
      <c r="AA90" t="str">
        <f>IF(Table10[[#This Row],[Stove/Fridge]]=0,"",Table10[[#This Row],[Stove/Fridge]])</f>
        <v/>
      </c>
      <c r="AB90" t="str">
        <f>IF(Table10[[#This Row],[Dishwasher]]=0,"",Table10[[#This Row],[Dishwasher]])</f>
        <v/>
      </c>
      <c r="AC90" t="str">
        <f>IF(Table10[[#This Row],[Parking]]=0,"",Table10[[#This Row],[Parking]])</f>
        <v/>
      </c>
      <c r="AD90" t="str">
        <f>IF(Table10[[#This Row],[Furniture]]=0,"",Table10[[#This Row],[Furniture]])</f>
        <v/>
      </c>
      <c r="AE90" t="str">
        <f>IF(Table10[[#This Row],[Other]]=0,"",Table10[[#This Row],[Other]])</f>
        <v/>
      </c>
    </row>
    <row r="91" spans="1:31">
      <c r="A91" t="str">
        <f>IF(Table10[[#This Row],[Unit Type]]=0,"",Table10[[#This Row],[Unit Type]])</f>
        <v>2 Bedroom</v>
      </c>
      <c r="B91" t="str">
        <f>IF(Table10[[#This Row],[Residential Stream Source]]=0,"",Table10[[#This Row],[Residential Stream Source]])</f>
        <v/>
      </c>
      <c r="C91" t="str">
        <f>IF(Table10[[#This Row],[Basement?]]=0,"",Table10[[#This Row],[Basement?]])</f>
        <v/>
      </c>
      <c r="D91">
        <f>IF(Table10[[#This Row],[Unit '#]]=0,"",Table10[[#This Row],[Unit '#]])</f>
        <v>89</v>
      </c>
      <c r="E91" t="str">
        <f>IF(Table10[[#This Row],[Vacant?]]=0,"",Table10[[#This Row],[Vacant?]])</f>
        <v/>
      </c>
      <c r="F91">
        <f>IF(Table10[[#This Row],[Rental Rate ($/mth)]]=0,"",Table10[[#This Row],[Rental Rate ($/mth)]])</f>
        <v>3155</v>
      </c>
      <c r="G91"/>
      <c r="H91"/>
      <c r="I91"/>
      <c r="J91">
        <f>IF(Table10[[#This Row],[Unit Size (sq ft)]]=0,"",Table10[[#This Row],[Unit Size (sq ft)]])</f>
        <v>855</v>
      </c>
      <c r="K91"/>
      <c r="L91" t="str">
        <f>Table10[[#This Row],[Market Unit]]</f>
        <v>Yes</v>
      </c>
      <c r="M91" t="str">
        <f>Table10[[#This Row],[Affordable Unit]]</f>
        <v>No</v>
      </c>
      <c r="N91" t="str">
        <f>IF(Table10[[#This Row],[Subsidized Unit]]=0,"",Table10[[#This Row],[Subsidized Unit]])</f>
        <v/>
      </c>
      <c r="O91" t="str">
        <f>IF(Table10[[#This Row],[Care Services]]=0,"",Table10[[#This Row],[Care Services]])</f>
        <v/>
      </c>
      <c r="P91" t="str">
        <f>IF(Table10[[#This Row],[Affordable Care]]=0,"",Table10[[#This Row],[Affordable Care]])</f>
        <v/>
      </c>
      <c r="Q91"/>
      <c r="R91"/>
      <c r="S91"/>
      <c r="T91" t="str">
        <f>IF(Table10[[#This Row],[Bulk Lease Unit]]=0,"",Table10[[#This Row],[Bulk Lease Unit]])</f>
        <v/>
      </c>
      <c r="U91" t="str">
        <f>IF(Table10[[#This Row],[Den Included Unit]]=0,"",Table10[[#This Row],[Den Included Unit]])</f>
        <v/>
      </c>
      <c r="V91" t="str">
        <f>IF(Table10[[#This Row],[Second Bathroom]]=0,"",Table10[[#This Row],[Second Bathroom]])</f>
        <v/>
      </c>
      <c r="W91" t="str">
        <f>IF(Table10[[#This Row],[Heating]]=0,"",Table10[[#This Row],[Heating]])</f>
        <v/>
      </c>
      <c r="X91" t="str">
        <f>IF(Table10[[#This Row],[Electricity]]=0,"",Table10[[#This Row],[Electricity]])</f>
        <v/>
      </c>
      <c r="Y91" t="str">
        <f>IF(Table10[[#This Row],[Water]]=0,"",Table10[[#This Row],[Water]])</f>
        <v/>
      </c>
      <c r="Z91" t="str">
        <f>IF(Table10[[#This Row],[Washer/Dryer]]=0,"",Table10[[#This Row],[Washer/Dryer]])</f>
        <v/>
      </c>
      <c r="AA91" t="str">
        <f>IF(Table10[[#This Row],[Stove/Fridge]]=0,"",Table10[[#This Row],[Stove/Fridge]])</f>
        <v/>
      </c>
      <c r="AB91" t="str">
        <f>IF(Table10[[#This Row],[Dishwasher]]=0,"",Table10[[#This Row],[Dishwasher]])</f>
        <v/>
      </c>
      <c r="AC91" t="str">
        <f>IF(Table10[[#This Row],[Parking]]=0,"",Table10[[#This Row],[Parking]])</f>
        <v/>
      </c>
      <c r="AD91" t="str">
        <f>IF(Table10[[#This Row],[Furniture]]=0,"",Table10[[#This Row],[Furniture]])</f>
        <v/>
      </c>
      <c r="AE91" t="str">
        <f>IF(Table10[[#This Row],[Other]]=0,"",Table10[[#This Row],[Other]])</f>
        <v/>
      </c>
    </row>
    <row r="92" spans="1:31">
      <c r="A92" t="str">
        <f>IF(Table10[[#This Row],[Unit Type]]=0,"",Table10[[#This Row],[Unit Type]])</f>
        <v>2 Bedroom</v>
      </c>
      <c r="B92" t="str">
        <f>IF(Table10[[#This Row],[Residential Stream Source]]=0,"",Table10[[#This Row],[Residential Stream Source]])</f>
        <v/>
      </c>
      <c r="C92" t="str">
        <f>IF(Table10[[#This Row],[Basement?]]=0,"",Table10[[#This Row],[Basement?]])</f>
        <v/>
      </c>
      <c r="D92">
        <f>IF(Table10[[#This Row],[Unit '#]]=0,"",Table10[[#This Row],[Unit '#]])</f>
        <v>90</v>
      </c>
      <c r="E92" t="str">
        <f>IF(Table10[[#This Row],[Vacant?]]=0,"",Table10[[#This Row],[Vacant?]])</f>
        <v/>
      </c>
      <c r="F92">
        <f>IF(Table10[[#This Row],[Rental Rate ($/mth)]]=0,"",Table10[[#This Row],[Rental Rate ($/mth)]])</f>
        <v>3155</v>
      </c>
      <c r="G92"/>
      <c r="H92"/>
      <c r="I92"/>
      <c r="J92">
        <f>IF(Table10[[#This Row],[Unit Size (sq ft)]]=0,"",Table10[[#This Row],[Unit Size (sq ft)]])</f>
        <v>855</v>
      </c>
      <c r="K92"/>
      <c r="L92" t="str">
        <f>Table10[[#This Row],[Market Unit]]</f>
        <v>Yes</v>
      </c>
      <c r="M92" t="str">
        <f>Table10[[#This Row],[Affordable Unit]]</f>
        <v>No</v>
      </c>
      <c r="N92" t="str">
        <f>IF(Table10[[#This Row],[Subsidized Unit]]=0,"",Table10[[#This Row],[Subsidized Unit]])</f>
        <v/>
      </c>
      <c r="O92" t="str">
        <f>IF(Table10[[#This Row],[Care Services]]=0,"",Table10[[#This Row],[Care Services]])</f>
        <v/>
      </c>
      <c r="P92" t="str">
        <f>IF(Table10[[#This Row],[Affordable Care]]=0,"",Table10[[#This Row],[Affordable Care]])</f>
        <v/>
      </c>
      <c r="Q92"/>
      <c r="R92"/>
      <c r="S92"/>
      <c r="T92" t="str">
        <f>IF(Table10[[#This Row],[Bulk Lease Unit]]=0,"",Table10[[#This Row],[Bulk Lease Unit]])</f>
        <v/>
      </c>
      <c r="U92" t="str">
        <f>IF(Table10[[#This Row],[Den Included Unit]]=0,"",Table10[[#This Row],[Den Included Unit]])</f>
        <v/>
      </c>
      <c r="V92" t="str">
        <f>IF(Table10[[#This Row],[Second Bathroom]]=0,"",Table10[[#This Row],[Second Bathroom]])</f>
        <v/>
      </c>
      <c r="W92" t="str">
        <f>IF(Table10[[#This Row],[Heating]]=0,"",Table10[[#This Row],[Heating]])</f>
        <v/>
      </c>
      <c r="X92" t="str">
        <f>IF(Table10[[#This Row],[Electricity]]=0,"",Table10[[#This Row],[Electricity]])</f>
        <v/>
      </c>
      <c r="Y92" t="str">
        <f>IF(Table10[[#This Row],[Water]]=0,"",Table10[[#This Row],[Water]])</f>
        <v/>
      </c>
      <c r="Z92" t="str">
        <f>IF(Table10[[#This Row],[Washer/Dryer]]=0,"",Table10[[#This Row],[Washer/Dryer]])</f>
        <v/>
      </c>
      <c r="AA92" t="str">
        <f>IF(Table10[[#This Row],[Stove/Fridge]]=0,"",Table10[[#This Row],[Stove/Fridge]])</f>
        <v/>
      </c>
      <c r="AB92" t="str">
        <f>IF(Table10[[#This Row],[Dishwasher]]=0,"",Table10[[#This Row],[Dishwasher]])</f>
        <v/>
      </c>
      <c r="AC92" t="str">
        <f>IF(Table10[[#This Row],[Parking]]=0,"",Table10[[#This Row],[Parking]])</f>
        <v/>
      </c>
      <c r="AD92" t="str">
        <f>IF(Table10[[#This Row],[Furniture]]=0,"",Table10[[#This Row],[Furniture]])</f>
        <v/>
      </c>
      <c r="AE92" t="str">
        <f>IF(Table10[[#This Row],[Other]]=0,"",Table10[[#This Row],[Other]])</f>
        <v/>
      </c>
    </row>
    <row r="93" spans="1:31">
      <c r="A93" t="str">
        <f>IF(Table10[[#This Row],[Unit Type]]=0,"",Table10[[#This Row],[Unit Type]])</f>
        <v>2 Bedroom</v>
      </c>
      <c r="B93" t="str">
        <f>IF(Table10[[#This Row],[Residential Stream Source]]=0,"",Table10[[#This Row],[Residential Stream Source]])</f>
        <v/>
      </c>
      <c r="C93" t="str">
        <f>IF(Table10[[#This Row],[Basement?]]=0,"",Table10[[#This Row],[Basement?]])</f>
        <v/>
      </c>
      <c r="D93">
        <f>IF(Table10[[#This Row],[Unit '#]]=0,"",Table10[[#This Row],[Unit '#]])</f>
        <v>91</v>
      </c>
      <c r="E93" t="str">
        <f>IF(Table10[[#This Row],[Vacant?]]=0,"",Table10[[#This Row],[Vacant?]])</f>
        <v/>
      </c>
      <c r="F93">
        <f>IF(Table10[[#This Row],[Rental Rate ($/mth)]]=0,"",Table10[[#This Row],[Rental Rate ($/mth)]])</f>
        <v>3155</v>
      </c>
      <c r="G93"/>
      <c r="H93"/>
      <c r="I93"/>
      <c r="J93">
        <f>IF(Table10[[#This Row],[Unit Size (sq ft)]]=0,"",Table10[[#This Row],[Unit Size (sq ft)]])</f>
        <v>855</v>
      </c>
      <c r="K93"/>
      <c r="L93" t="str">
        <f>Table10[[#This Row],[Market Unit]]</f>
        <v>Yes</v>
      </c>
      <c r="M93" t="str">
        <f>Table10[[#This Row],[Affordable Unit]]</f>
        <v>No</v>
      </c>
      <c r="N93" t="str">
        <f>IF(Table10[[#This Row],[Subsidized Unit]]=0,"",Table10[[#This Row],[Subsidized Unit]])</f>
        <v/>
      </c>
      <c r="O93" t="str">
        <f>IF(Table10[[#This Row],[Care Services]]=0,"",Table10[[#This Row],[Care Services]])</f>
        <v/>
      </c>
      <c r="P93" t="str">
        <f>IF(Table10[[#This Row],[Affordable Care]]=0,"",Table10[[#This Row],[Affordable Care]])</f>
        <v/>
      </c>
      <c r="Q93"/>
      <c r="R93"/>
      <c r="S93"/>
      <c r="T93" t="str">
        <f>IF(Table10[[#This Row],[Bulk Lease Unit]]=0,"",Table10[[#This Row],[Bulk Lease Unit]])</f>
        <v/>
      </c>
      <c r="U93" t="str">
        <f>IF(Table10[[#This Row],[Den Included Unit]]=0,"",Table10[[#This Row],[Den Included Unit]])</f>
        <v/>
      </c>
      <c r="V93" t="str">
        <f>IF(Table10[[#This Row],[Second Bathroom]]=0,"",Table10[[#This Row],[Second Bathroom]])</f>
        <v/>
      </c>
      <c r="W93" t="str">
        <f>IF(Table10[[#This Row],[Heating]]=0,"",Table10[[#This Row],[Heating]])</f>
        <v/>
      </c>
      <c r="X93" t="str">
        <f>IF(Table10[[#This Row],[Electricity]]=0,"",Table10[[#This Row],[Electricity]])</f>
        <v/>
      </c>
      <c r="Y93" t="str">
        <f>IF(Table10[[#This Row],[Water]]=0,"",Table10[[#This Row],[Water]])</f>
        <v/>
      </c>
      <c r="Z93" t="str">
        <f>IF(Table10[[#This Row],[Washer/Dryer]]=0,"",Table10[[#This Row],[Washer/Dryer]])</f>
        <v/>
      </c>
      <c r="AA93" t="str">
        <f>IF(Table10[[#This Row],[Stove/Fridge]]=0,"",Table10[[#This Row],[Stove/Fridge]])</f>
        <v/>
      </c>
      <c r="AB93" t="str">
        <f>IF(Table10[[#This Row],[Dishwasher]]=0,"",Table10[[#This Row],[Dishwasher]])</f>
        <v/>
      </c>
      <c r="AC93" t="str">
        <f>IF(Table10[[#This Row],[Parking]]=0,"",Table10[[#This Row],[Parking]])</f>
        <v/>
      </c>
      <c r="AD93" t="str">
        <f>IF(Table10[[#This Row],[Furniture]]=0,"",Table10[[#This Row],[Furniture]])</f>
        <v/>
      </c>
      <c r="AE93" t="str">
        <f>IF(Table10[[#This Row],[Other]]=0,"",Table10[[#This Row],[Other]])</f>
        <v/>
      </c>
    </row>
    <row r="94" spans="1:31">
      <c r="A94" t="str">
        <f>IF(Table10[[#This Row],[Unit Type]]=0,"",Table10[[#This Row],[Unit Type]])</f>
        <v>2 Bedroom</v>
      </c>
      <c r="B94" t="str">
        <f>IF(Table10[[#This Row],[Residential Stream Source]]=0,"",Table10[[#This Row],[Residential Stream Source]])</f>
        <v/>
      </c>
      <c r="C94" t="str">
        <f>IF(Table10[[#This Row],[Basement?]]=0,"",Table10[[#This Row],[Basement?]])</f>
        <v/>
      </c>
      <c r="D94">
        <f>IF(Table10[[#This Row],[Unit '#]]=0,"",Table10[[#This Row],[Unit '#]])</f>
        <v>92</v>
      </c>
      <c r="E94" t="str">
        <f>IF(Table10[[#This Row],[Vacant?]]=0,"",Table10[[#This Row],[Vacant?]])</f>
        <v/>
      </c>
      <c r="F94">
        <f>IF(Table10[[#This Row],[Rental Rate ($/mth)]]=0,"",Table10[[#This Row],[Rental Rate ($/mth)]])</f>
        <v>3155</v>
      </c>
      <c r="G94"/>
      <c r="H94"/>
      <c r="I94"/>
      <c r="J94">
        <f>IF(Table10[[#This Row],[Unit Size (sq ft)]]=0,"",Table10[[#This Row],[Unit Size (sq ft)]])</f>
        <v>855</v>
      </c>
      <c r="K94"/>
      <c r="L94" t="str">
        <f>Table10[[#This Row],[Market Unit]]</f>
        <v>Yes</v>
      </c>
      <c r="M94" t="str">
        <f>Table10[[#This Row],[Affordable Unit]]</f>
        <v>No</v>
      </c>
      <c r="N94" t="str">
        <f>IF(Table10[[#This Row],[Subsidized Unit]]=0,"",Table10[[#This Row],[Subsidized Unit]])</f>
        <v/>
      </c>
      <c r="O94" t="str">
        <f>IF(Table10[[#This Row],[Care Services]]=0,"",Table10[[#This Row],[Care Services]])</f>
        <v/>
      </c>
      <c r="P94" t="str">
        <f>IF(Table10[[#This Row],[Affordable Care]]=0,"",Table10[[#This Row],[Affordable Care]])</f>
        <v/>
      </c>
      <c r="Q94"/>
      <c r="R94"/>
      <c r="S94"/>
      <c r="T94" t="str">
        <f>IF(Table10[[#This Row],[Bulk Lease Unit]]=0,"",Table10[[#This Row],[Bulk Lease Unit]])</f>
        <v/>
      </c>
      <c r="U94" t="str">
        <f>IF(Table10[[#This Row],[Den Included Unit]]=0,"",Table10[[#This Row],[Den Included Unit]])</f>
        <v/>
      </c>
      <c r="V94" t="str">
        <f>IF(Table10[[#This Row],[Second Bathroom]]=0,"",Table10[[#This Row],[Second Bathroom]])</f>
        <v/>
      </c>
      <c r="W94" t="str">
        <f>IF(Table10[[#This Row],[Heating]]=0,"",Table10[[#This Row],[Heating]])</f>
        <v/>
      </c>
      <c r="X94" t="str">
        <f>IF(Table10[[#This Row],[Electricity]]=0,"",Table10[[#This Row],[Electricity]])</f>
        <v/>
      </c>
      <c r="Y94" t="str">
        <f>IF(Table10[[#This Row],[Water]]=0,"",Table10[[#This Row],[Water]])</f>
        <v/>
      </c>
      <c r="Z94" t="str">
        <f>IF(Table10[[#This Row],[Washer/Dryer]]=0,"",Table10[[#This Row],[Washer/Dryer]])</f>
        <v/>
      </c>
      <c r="AA94" t="str">
        <f>IF(Table10[[#This Row],[Stove/Fridge]]=0,"",Table10[[#This Row],[Stove/Fridge]])</f>
        <v/>
      </c>
      <c r="AB94" t="str">
        <f>IF(Table10[[#This Row],[Dishwasher]]=0,"",Table10[[#This Row],[Dishwasher]])</f>
        <v/>
      </c>
      <c r="AC94" t="str">
        <f>IF(Table10[[#This Row],[Parking]]=0,"",Table10[[#This Row],[Parking]])</f>
        <v/>
      </c>
      <c r="AD94" t="str">
        <f>IF(Table10[[#This Row],[Furniture]]=0,"",Table10[[#This Row],[Furniture]])</f>
        <v/>
      </c>
      <c r="AE94" t="str">
        <f>IF(Table10[[#This Row],[Other]]=0,"",Table10[[#This Row],[Other]])</f>
        <v/>
      </c>
    </row>
    <row r="95" spans="1:31">
      <c r="A95" t="str">
        <f>IF(Table10[[#This Row],[Unit Type]]=0,"",Table10[[#This Row],[Unit Type]])</f>
        <v>2 Bedroom</v>
      </c>
      <c r="B95" t="str">
        <f>IF(Table10[[#This Row],[Residential Stream Source]]=0,"",Table10[[#This Row],[Residential Stream Source]])</f>
        <v/>
      </c>
      <c r="C95" t="str">
        <f>IF(Table10[[#This Row],[Basement?]]=0,"",Table10[[#This Row],[Basement?]])</f>
        <v/>
      </c>
      <c r="D95">
        <f>IF(Table10[[#This Row],[Unit '#]]=0,"",Table10[[#This Row],[Unit '#]])</f>
        <v>93</v>
      </c>
      <c r="E95" t="str">
        <f>IF(Table10[[#This Row],[Vacant?]]=0,"",Table10[[#This Row],[Vacant?]])</f>
        <v/>
      </c>
      <c r="F95">
        <f>IF(Table10[[#This Row],[Rental Rate ($/mth)]]=0,"",Table10[[#This Row],[Rental Rate ($/mth)]])</f>
        <v>3155</v>
      </c>
      <c r="G95"/>
      <c r="H95"/>
      <c r="I95"/>
      <c r="J95">
        <f>IF(Table10[[#This Row],[Unit Size (sq ft)]]=0,"",Table10[[#This Row],[Unit Size (sq ft)]])</f>
        <v>855</v>
      </c>
      <c r="K95"/>
      <c r="L95" t="str">
        <f>Table10[[#This Row],[Market Unit]]</f>
        <v>Yes</v>
      </c>
      <c r="M95" t="str">
        <f>Table10[[#This Row],[Affordable Unit]]</f>
        <v>No</v>
      </c>
      <c r="N95" t="str">
        <f>IF(Table10[[#This Row],[Subsidized Unit]]=0,"",Table10[[#This Row],[Subsidized Unit]])</f>
        <v/>
      </c>
      <c r="O95" t="str">
        <f>IF(Table10[[#This Row],[Care Services]]=0,"",Table10[[#This Row],[Care Services]])</f>
        <v/>
      </c>
      <c r="P95" t="str">
        <f>IF(Table10[[#This Row],[Affordable Care]]=0,"",Table10[[#This Row],[Affordable Care]])</f>
        <v/>
      </c>
      <c r="Q95"/>
      <c r="R95"/>
      <c r="S95"/>
      <c r="T95" t="str">
        <f>IF(Table10[[#This Row],[Bulk Lease Unit]]=0,"",Table10[[#This Row],[Bulk Lease Unit]])</f>
        <v/>
      </c>
      <c r="U95" t="str">
        <f>IF(Table10[[#This Row],[Den Included Unit]]=0,"",Table10[[#This Row],[Den Included Unit]])</f>
        <v/>
      </c>
      <c r="V95" t="str">
        <f>IF(Table10[[#This Row],[Second Bathroom]]=0,"",Table10[[#This Row],[Second Bathroom]])</f>
        <v/>
      </c>
      <c r="W95" t="str">
        <f>IF(Table10[[#This Row],[Heating]]=0,"",Table10[[#This Row],[Heating]])</f>
        <v/>
      </c>
      <c r="X95" t="str">
        <f>IF(Table10[[#This Row],[Electricity]]=0,"",Table10[[#This Row],[Electricity]])</f>
        <v/>
      </c>
      <c r="Y95" t="str">
        <f>IF(Table10[[#This Row],[Water]]=0,"",Table10[[#This Row],[Water]])</f>
        <v/>
      </c>
      <c r="Z95" t="str">
        <f>IF(Table10[[#This Row],[Washer/Dryer]]=0,"",Table10[[#This Row],[Washer/Dryer]])</f>
        <v/>
      </c>
      <c r="AA95" t="str">
        <f>IF(Table10[[#This Row],[Stove/Fridge]]=0,"",Table10[[#This Row],[Stove/Fridge]])</f>
        <v/>
      </c>
      <c r="AB95" t="str">
        <f>IF(Table10[[#This Row],[Dishwasher]]=0,"",Table10[[#This Row],[Dishwasher]])</f>
        <v/>
      </c>
      <c r="AC95" t="str">
        <f>IF(Table10[[#This Row],[Parking]]=0,"",Table10[[#This Row],[Parking]])</f>
        <v/>
      </c>
      <c r="AD95" t="str">
        <f>IF(Table10[[#This Row],[Furniture]]=0,"",Table10[[#This Row],[Furniture]])</f>
        <v/>
      </c>
      <c r="AE95" t="str">
        <f>IF(Table10[[#This Row],[Other]]=0,"",Table10[[#This Row],[Other]])</f>
        <v/>
      </c>
    </row>
    <row r="96" spans="1:31">
      <c r="A96" t="str">
        <f>IF(Table10[[#This Row],[Unit Type]]=0,"",Table10[[#This Row],[Unit Type]])</f>
        <v>2 Bedroom</v>
      </c>
      <c r="B96" t="str">
        <f>IF(Table10[[#This Row],[Residential Stream Source]]=0,"",Table10[[#This Row],[Residential Stream Source]])</f>
        <v/>
      </c>
      <c r="C96" t="str">
        <f>IF(Table10[[#This Row],[Basement?]]=0,"",Table10[[#This Row],[Basement?]])</f>
        <v/>
      </c>
      <c r="D96">
        <f>IF(Table10[[#This Row],[Unit '#]]=0,"",Table10[[#This Row],[Unit '#]])</f>
        <v>94</v>
      </c>
      <c r="E96" t="str">
        <f>IF(Table10[[#This Row],[Vacant?]]=0,"",Table10[[#This Row],[Vacant?]])</f>
        <v/>
      </c>
      <c r="F96">
        <f>IF(Table10[[#This Row],[Rental Rate ($/mth)]]=0,"",Table10[[#This Row],[Rental Rate ($/mth)]])</f>
        <v>3155</v>
      </c>
      <c r="G96"/>
      <c r="H96"/>
      <c r="I96"/>
      <c r="J96">
        <f>IF(Table10[[#This Row],[Unit Size (sq ft)]]=0,"",Table10[[#This Row],[Unit Size (sq ft)]])</f>
        <v>855</v>
      </c>
      <c r="K96"/>
      <c r="L96" t="str">
        <f>Table10[[#This Row],[Market Unit]]</f>
        <v>Yes</v>
      </c>
      <c r="M96" t="str">
        <f>Table10[[#This Row],[Affordable Unit]]</f>
        <v>No</v>
      </c>
      <c r="N96" t="str">
        <f>IF(Table10[[#This Row],[Subsidized Unit]]=0,"",Table10[[#This Row],[Subsidized Unit]])</f>
        <v/>
      </c>
      <c r="O96" t="str">
        <f>IF(Table10[[#This Row],[Care Services]]=0,"",Table10[[#This Row],[Care Services]])</f>
        <v/>
      </c>
      <c r="P96" t="str">
        <f>IF(Table10[[#This Row],[Affordable Care]]=0,"",Table10[[#This Row],[Affordable Care]])</f>
        <v/>
      </c>
      <c r="Q96"/>
      <c r="R96"/>
      <c r="S96"/>
      <c r="T96" t="str">
        <f>IF(Table10[[#This Row],[Bulk Lease Unit]]=0,"",Table10[[#This Row],[Bulk Lease Unit]])</f>
        <v/>
      </c>
      <c r="U96" t="str">
        <f>IF(Table10[[#This Row],[Den Included Unit]]=0,"",Table10[[#This Row],[Den Included Unit]])</f>
        <v/>
      </c>
      <c r="V96" t="str">
        <f>IF(Table10[[#This Row],[Second Bathroom]]=0,"",Table10[[#This Row],[Second Bathroom]])</f>
        <v/>
      </c>
      <c r="W96" t="str">
        <f>IF(Table10[[#This Row],[Heating]]=0,"",Table10[[#This Row],[Heating]])</f>
        <v/>
      </c>
      <c r="X96" t="str">
        <f>IF(Table10[[#This Row],[Electricity]]=0,"",Table10[[#This Row],[Electricity]])</f>
        <v/>
      </c>
      <c r="Y96" t="str">
        <f>IF(Table10[[#This Row],[Water]]=0,"",Table10[[#This Row],[Water]])</f>
        <v/>
      </c>
      <c r="Z96" t="str">
        <f>IF(Table10[[#This Row],[Washer/Dryer]]=0,"",Table10[[#This Row],[Washer/Dryer]])</f>
        <v/>
      </c>
      <c r="AA96" t="str">
        <f>IF(Table10[[#This Row],[Stove/Fridge]]=0,"",Table10[[#This Row],[Stove/Fridge]])</f>
        <v/>
      </c>
      <c r="AB96" t="str">
        <f>IF(Table10[[#This Row],[Dishwasher]]=0,"",Table10[[#This Row],[Dishwasher]])</f>
        <v/>
      </c>
      <c r="AC96" t="str">
        <f>IF(Table10[[#This Row],[Parking]]=0,"",Table10[[#This Row],[Parking]])</f>
        <v/>
      </c>
      <c r="AD96" t="str">
        <f>IF(Table10[[#This Row],[Furniture]]=0,"",Table10[[#This Row],[Furniture]])</f>
        <v/>
      </c>
      <c r="AE96" t="str">
        <f>IF(Table10[[#This Row],[Other]]=0,"",Table10[[#This Row],[Other]])</f>
        <v/>
      </c>
    </row>
    <row r="97" spans="1:31">
      <c r="A97" t="str">
        <f>IF(Table10[[#This Row],[Unit Type]]=0,"",Table10[[#This Row],[Unit Type]])</f>
        <v>2 Bedroom</v>
      </c>
      <c r="B97" t="str">
        <f>IF(Table10[[#This Row],[Residential Stream Source]]=0,"",Table10[[#This Row],[Residential Stream Source]])</f>
        <v/>
      </c>
      <c r="C97" t="str">
        <f>IF(Table10[[#This Row],[Basement?]]=0,"",Table10[[#This Row],[Basement?]])</f>
        <v/>
      </c>
      <c r="D97">
        <f>IF(Table10[[#This Row],[Unit '#]]=0,"",Table10[[#This Row],[Unit '#]])</f>
        <v>95</v>
      </c>
      <c r="E97" t="str">
        <f>IF(Table10[[#This Row],[Vacant?]]=0,"",Table10[[#This Row],[Vacant?]])</f>
        <v/>
      </c>
      <c r="F97">
        <f>IF(Table10[[#This Row],[Rental Rate ($/mth)]]=0,"",Table10[[#This Row],[Rental Rate ($/mth)]])</f>
        <v>3155</v>
      </c>
      <c r="G97"/>
      <c r="H97"/>
      <c r="I97"/>
      <c r="J97">
        <f>IF(Table10[[#This Row],[Unit Size (sq ft)]]=0,"",Table10[[#This Row],[Unit Size (sq ft)]])</f>
        <v>855</v>
      </c>
      <c r="K97"/>
      <c r="L97" t="str">
        <f>Table10[[#This Row],[Market Unit]]</f>
        <v>Yes</v>
      </c>
      <c r="M97" t="str">
        <f>Table10[[#This Row],[Affordable Unit]]</f>
        <v>No</v>
      </c>
      <c r="N97" t="str">
        <f>IF(Table10[[#This Row],[Subsidized Unit]]=0,"",Table10[[#This Row],[Subsidized Unit]])</f>
        <v/>
      </c>
      <c r="O97" t="str">
        <f>IF(Table10[[#This Row],[Care Services]]=0,"",Table10[[#This Row],[Care Services]])</f>
        <v/>
      </c>
      <c r="P97" t="str">
        <f>IF(Table10[[#This Row],[Affordable Care]]=0,"",Table10[[#This Row],[Affordable Care]])</f>
        <v/>
      </c>
      <c r="Q97"/>
      <c r="R97"/>
      <c r="S97"/>
      <c r="T97" t="str">
        <f>IF(Table10[[#This Row],[Bulk Lease Unit]]=0,"",Table10[[#This Row],[Bulk Lease Unit]])</f>
        <v/>
      </c>
      <c r="U97" t="str">
        <f>IF(Table10[[#This Row],[Den Included Unit]]=0,"",Table10[[#This Row],[Den Included Unit]])</f>
        <v/>
      </c>
      <c r="V97" t="str">
        <f>IF(Table10[[#This Row],[Second Bathroom]]=0,"",Table10[[#This Row],[Second Bathroom]])</f>
        <v/>
      </c>
      <c r="W97" t="str">
        <f>IF(Table10[[#This Row],[Heating]]=0,"",Table10[[#This Row],[Heating]])</f>
        <v/>
      </c>
      <c r="X97" t="str">
        <f>IF(Table10[[#This Row],[Electricity]]=0,"",Table10[[#This Row],[Electricity]])</f>
        <v/>
      </c>
      <c r="Y97" t="str">
        <f>IF(Table10[[#This Row],[Water]]=0,"",Table10[[#This Row],[Water]])</f>
        <v/>
      </c>
      <c r="Z97" t="str">
        <f>IF(Table10[[#This Row],[Washer/Dryer]]=0,"",Table10[[#This Row],[Washer/Dryer]])</f>
        <v/>
      </c>
      <c r="AA97" t="str">
        <f>IF(Table10[[#This Row],[Stove/Fridge]]=0,"",Table10[[#This Row],[Stove/Fridge]])</f>
        <v/>
      </c>
      <c r="AB97" t="str">
        <f>IF(Table10[[#This Row],[Dishwasher]]=0,"",Table10[[#This Row],[Dishwasher]])</f>
        <v/>
      </c>
      <c r="AC97" t="str">
        <f>IF(Table10[[#This Row],[Parking]]=0,"",Table10[[#This Row],[Parking]])</f>
        <v/>
      </c>
      <c r="AD97" t="str">
        <f>IF(Table10[[#This Row],[Furniture]]=0,"",Table10[[#This Row],[Furniture]])</f>
        <v/>
      </c>
      <c r="AE97" t="str">
        <f>IF(Table10[[#This Row],[Other]]=0,"",Table10[[#This Row],[Other]])</f>
        <v/>
      </c>
    </row>
    <row r="98" spans="1:31">
      <c r="A98" t="str">
        <f>IF(Table10[[#This Row],[Unit Type]]=0,"",Table10[[#This Row],[Unit Type]])</f>
        <v>2 Bedroom</v>
      </c>
      <c r="B98" t="str">
        <f>IF(Table10[[#This Row],[Residential Stream Source]]=0,"",Table10[[#This Row],[Residential Stream Source]])</f>
        <v/>
      </c>
      <c r="C98" t="str">
        <f>IF(Table10[[#This Row],[Basement?]]=0,"",Table10[[#This Row],[Basement?]])</f>
        <v/>
      </c>
      <c r="D98">
        <f>IF(Table10[[#This Row],[Unit '#]]=0,"",Table10[[#This Row],[Unit '#]])</f>
        <v>96</v>
      </c>
      <c r="E98" t="str">
        <f>IF(Table10[[#This Row],[Vacant?]]=0,"",Table10[[#This Row],[Vacant?]])</f>
        <v/>
      </c>
      <c r="F98">
        <f>IF(Table10[[#This Row],[Rental Rate ($/mth)]]=0,"",Table10[[#This Row],[Rental Rate ($/mth)]])</f>
        <v>3155</v>
      </c>
      <c r="G98"/>
      <c r="H98"/>
      <c r="I98"/>
      <c r="J98">
        <f>IF(Table10[[#This Row],[Unit Size (sq ft)]]=0,"",Table10[[#This Row],[Unit Size (sq ft)]])</f>
        <v>855</v>
      </c>
      <c r="K98"/>
      <c r="L98" t="str">
        <f>Table10[[#This Row],[Market Unit]]</f>
        <v>Yes</v>
      </c>
      <c r="M98" t="str">
        <f>Table10[[#This Row],[Affordable Unit]]</f>
        <v>No</v>
      </c>
      <c r="N98" t="str">
        <f>IF(Table10[[#This Row],[Subsidized Unit]]=0,"",Table10[[#This Row],[Subsidized Unit]])</f>
        <v/>
      </c>
      <c r="O98" t="str">
        <f>IF(Table10[[#This Row],[Care Services]]=0,"",Table10[[#This Row],[Care Services]])</f>
        <v/>
      </c>
      <c r="P98" t="str">
        <f>IF(Table10[[#This Row],[Affordable Care]]=0,"",Table10[[#This Row],[Affordable Care]])</f>
        <v/>
      </c>
      <c r="Q98"/>
      <c r="R98"/>
      <c r="S98"/>
      <c r="T98" t="str">
        <f>IF(Table10[[#This Row],[Bulk Lease Unit]]=0,"",Table10[[#This Row],[Bulk Lease Unit]])</f>
        <v/>
      </c>
      <c r="U98" t="str">
        <f>IF(Table10[[#This Row],[Den Included Unit]]=0,"",Table10[[#This Row],[Den Included Unit]])</f>
        <v/>
      </c>
      <c r="V98" t="str">
        <f>IF(Table10[[#This Row],[Second Bathroom]]=0,"",Table10[[#This Row],[Second Bathroom]])</f>
        <v/>
      </c>
      <c r="W98" t="str">
        <f>IF(Table10[[#This Row],[Heating]]=0,"",Table10[[#This Row],[Heating]])</f>
        <v/>
      </c>
      <c r="X98" t="str">
        <f>IF(Table10[[#This Row],[Electricity]]=0,"",Table10[[#This Row],[Electricity]])</f>
        <v/>
      </c>
      <c r="Y98" t="str">
        <f>IF(Table10[[#This Row],[Water]]=0,"",Table10[[#This Row],[Water]])</f>
        <v/>
      </c>
      <c r="Z98" t="str">
        <f>IF(Table10[[#This Row],[Washer/Dryer]]=0,"",Table10[[#This Row],[Washer/Dryer]])</f>
        <v/>
      </c>
      <c r="AA98" t="str">
        <f>IF(Table10[[#This Row],[Stove/Fridge]]=0,"",Table10[[#This Row],[Stove/Fridge]])</f>
        <v/>
      </c>
      <c r="AB98" t="str">
        <f>IF(Table10[[#This Row],[Dishwasher]]=0,"",Table10[[#This Row],[Dishwasher]])</f>
        <v/>
      </c>
      <c r="AC98" t="str">
        <f>IF(Table10[[#This Row],[Parking]]=0,"",Table10[[#This Row],[Parking]])</f>
        <v/>
      </c>
      <c r="AD98" t="str">
        <f>IF(Table10[[#This Row],[Furniture]]=0,"",Table10[[#This Row],[Furniture]])</f>
        <v/>
      </c>
      <c r="AE98" t="str">
        <f>IF(Table10[[#This Row],[Other]]=0,"",Table10[[#This Row],[Other]])</f>
        <v/>
      </c>
    </row>
    <row r="99" spans="1:31">
      <c r="A99" t="str">
        <f>IF(Table10[[#This Row],[Unit Type]]=0,"",Table10[[#This Row],[Unit Type]])</f>
        <v>2 Bedroom</v>
      </c>
      <c r="B99" t="str">
        <f>IF(Table10[[#This Row],[Residential Stream Source]]=0,"",Table10[[#This Row],[Residential Stream Source]])</f>
        <v/>
      </c>
      <c r="C99" t="str">
        <f>IF(Table10[[#This Row],[Basement?]]=0,"",Table10[[#This Row],[Basement?]])</f>
        <v/>
      </c>
      <c r="D99">
        <f>IF(Table10[[#This Row],[Unit '#]]=0,"",Table10[[#This Row],[Unit '#]])</f>
        <v>97</v>
      </c>
      <c r="E99" t="str">
        <f>IF(Table10[[#This Row],[Vacant?]]=0,"",Table10[[#This Row],[Vacant?]])</f>
        <v/>
      </c>
      <c r="F99">
        <f>IF(Table10[[#This Row],[Rental Rate ($/mth)]]=0,"",Table10[[#This Row],[Rental Rate ($/mth)]])</f>
        <v>3155</v>
      </c>
      <c r="G99"/>
      <c r="H99"/>
      <c r="I99"/>
      <c r="J99">
        <f>IF(Table10[[#This Row],[Unit Size (sq ft)]]=0,"",Table10[[#This Row],[Unit Size (sq ft)]])</f>
        <v>855</v>
      </c>
      <c r="K99"/>
      <c r="L99" t="str">
        <f>Table10[[#This Row],[Market Unit]]</f>
        <v>Yes</v>
      </c>
      <c r="M99" t="str">
        <f>Table10[[#This Row],[Affordable Unit]]</f>
        <v>No</v>
      </c>
      <c r="N99" t="str">
        <f>IF(Table10[[#This Row],[Subsidized Unit]]=0,"",Table10[[#This Row],[Subsidized Unit]])</f>
        <v/>
      </c>
      <c r="O99" t="str">
        <f>IF(Table10[[#This Row],[Care Services]]=0,"",Table10[[#This Row],[Care Services]])</f>
        <v/>
      </c>
      <c r="P99" t="str">
        <f>IF(Table10[[#This Row],[Affordable Care]]=0,"",Table10[[#This Row],[Affordable Care]])</f>
        <v/>
      </c>
      <c r="Q99"/>
      <c r="R99"/>
      <c r="S99"/>
      <c r="T99" t="str">
        <f>IF(Table10[[#This Row],[Bulk Lease Unit]]=0,"",Table10[[#This Row],[Bulk Lease Unit]])</f>
        <v/>
      </c>
      <c r="U99" t="str">
        <f>IF(Table10[[#This Row],[Den Included Unit]]=0,"",Table10[[#This Row],[Den Included Unit]])</f>
        <v/>
      </c>
      <c r="V99" t="str">
        <f>IF(Table10[[#This Row],[Second Bathroom]]=0,"",Table10[[#This Row],[Second Bathroom]])</f>
        <v/>
      </c>
      <c r="W99" t="str">
        <f>IF(Table10[[#This Row],[Heating]]=0,"",Table10[[#This Row],[Heating]])</f>
        <v/>
      </c>
      <c r="X99" t="str">
        <f>IF(Table10[[#This Row],[Electricity]]=0,"",Table10[[#This Row],[Electricity]])</f>
        <v/>
      </c>
      <c r="Y99" t="str">
        <f>IF(Table10[[#This Row],[Water]]=0,"",Table10[[#This Row],[Water]])</f>
        <v/>
      </c>
      <c r="Z99" t="str">
        <f>IF(Table10[[#This Row],[Washer/Dryer]]=0,"",Table10[[#This Row],[Washer/Dryer]])</f>
        <v/>
      </c>
      <c r="AA99" t="str">
        <f>IF(Table10[[#This Row],[Stove/Fridge]]=0,"",Table10[[#This Row],[Stove/Fridge]])</f>
        <v/>
      </c>
      <c r="AB99" t="str">
        <f>IF(Table10[[#This Row],[Dishwasher]]=0,"",Table10[[#This Row],[Dishwasher]])</f>
        <v/>
      </c>
      <c r="AC99" t="str">
        <f>IF(Table10[[#This Row],[Parking]]=0,"",Table10[[#This Row],[Parking]])</f>
        <v/>
      </c>
      <c r="AD99" t="str">
        <f>IF(Table10[[#This Row],[Furniture]]=0,"",Table10[[#This Row],[Furniture]])</f>
        <v/>
      </c>
      <c r="AE99" t="str">
        <f>IF(Table10[[#This Row],[Other]]=0,"",Table10[[#This Row],[Other]])</f>
        <v/>
      </c>
    </row>
    <row r="100" spans="1:31">
      <c r="A100" t="str">
        <f>IF(Table10[[#This Row],[Unit Type]]=0,"",Table10[[#This Row],[Unit Type]])</f>
        <v>2 Bedroom</v>
      </c>
      <c r="B100" t="str">
        <f>IF(Table10[[#This Row],[Residential Stream Source]]=0,"",Table10[[#This Row],[Residential Stream Source]])</f>
        <v/>
      </c>
      <c r="C100" t="str">
        <f>IF(Table10[[#This Row],[Basement?]]=0,"",Table10[[#This Row],[Basement?]])</f>
        <v/>
      </c>
      <c r="D100">
        <f>IF(Table10[[#This Row],[Unit '#]]=0,"",Table10[[#This Row],[Unit '#]])</f>
        <v>98</v>
      </c>
      <c r="E100" t="str">
        <f>IF(Table10[[#This Row],[Vacant?]]=0,"",Table10[[#This Row],[Vacant?]])</f>
        <v/>
      </c>
      <c r="F100">
        <f>IF(Table10[[#This Row],[Rental Rate ($/mth)]]=0,"",Table10[[#This Row],[Rental Rate ($/mth)]])</f>
        <v>3155</v>
      </c>
      <c r="G100"/>
      <c r="H100"/>
      <c r="I100"/>
      <c r="J100">
        <f>IF(Table10[[#This Row],[Unit Size (sq ft)]]=0,"",Table10[[#This Row],[Unit Size (sq ft)]])</f>
        <v>855</v>
      </c>
      <c r="K100"/>
      <c r="L100" t="str">
        <f>Table10[[#This Row],[Market Unit]]</f>
        <v>Yes</v>
      </c>
      <c r="M100" t="str">
        <f>Table10[[#This Row],[Affordable Unit]]</f>
        <v>No</v>
      </c>
      <c r="N100" t="str">
        <f>IF(Table10[[#This Row],[Subsidized Unit]]=0,"",Table10[[#This Row],[Subsidized Unit]])</f>
        <v/>
      </c>
      <c r="O100" t="str">
        <f>IF(Table10[[#This Row],[Care Services]]=0,"",Table10[[#This Row],[Care Services]])</f>
        <v/>
      </c>
      <c r="P100" t="str">
        <f>IF(Table10[[#This Row],[Affordable Care]]=0,"",Table10[[#This Row],[Affordable Care]])</f>
        <v/>
      </c>
      <c r="Q100"/>
      <c r="R100"/>
      <c r="S100"/>
      <c r="T100" t="str">
        <f>IF(Table10[[#This Row],[Bulk Lease Unit]]=0,"",Table10[[#This Row],[Bulk Lease Unit]])</f>
        <v/>
      </c>
      <c r="U100" t="str">
        <f>IF(Table10[[#This Row],[Den Included Unit]]=0,"",Table10[[#This Row],[Den Included Unit]])</f>
        <v/>
      </c>
      <c r="V100" t="str">
        <f>IF(Table10[[#This Row],[Second Bathroom]]=0,"",Table10[[#This Row],[Second Bathroom]])</f>
        <v/>
      </c>
      <c r="W100" t="str">
        <f>IF(Table10[[#This Row],[Heating]]=0,"",Table10[[#This Row],[Heating]])</f>
        <v/>
      </c>
      <c r="X100" t="str">
        <f>IF(Table10[[#This Row],[Electricity]]=0,"",Table10[[#This Row],[Electricity]])</f>
        <v/>
      </c>
      <c r="Y100" t="str">
        <f>IF(Table10[[#This Row],[Water]]=0,"",Table10[[#This Row],[Water]])</f>
        <v/>
      </c>
      <c r="Z100" t="str">
        <f>IF(Table10[[#This Row],[Washer/Dryer]]=0,"",Table10[[#This Row],[Washer/Dryer]])</f>
        <v/>
      </c>
      <c r="AA100" t="str">
        <f>IF(Table10[[#This Row],[Stove/Fridge]]=0,"",Table10[[#This Row],[Stove/Fridge]])</f>
        <v/>
      </c>
      <c r="AB100" t="str">
        <f>IF(Table10[[#This Row],[Dishwasher]]=0,"",Table10[[#This Row],[Dishwasher]])</f>
        <v/>
      </c>
      <c r="AC100" t="str">
        <f>IF(Table10[[#This Row],[Parking]]=0,"",Table10[[#This Row],[Parking]])</f>
        <v/>
      </c>
      <c r="AD100" t="str">
        <f>IF(Table10[[#This Row],[Furniture]]=0,"",Table10[[#This Row],[Furniture]])</f>
        <v/>
      </c>
      <c r="AE100" t="str">
        <f>IF(Table10[[#This Row],[Other]]=0,"",Table10[[#This Row],[Other]])</f>
        <v/>
      </c>
    </row>
    <row r="101" spans="1:31">
      <c r="A101" t="str">
        <f>IF(Table10[[#This Row],[Unit Type]]=0,"",Table10[[#This Row],[Unit Type]])</f>
        <v>2 Bedroom</v>
      </c>
      <c r="B101" t="str">
        <f>IF(Table10[[#This Row],[Residential Stream Source]]=0,"",Table10[[#This Row],[Residential Stream Source]])</f>
        <v/>
      </c>
      <c r="C101" t="str">
        <f>IF(Table10[[#This Row],[Basement?]]=0,"",Table10[[#This Row],[Basement?]])</f>
        <v/>
      </c>
      <c r="D101">
        <f>IF(Table10[[#This Row],[Unit '#]]=0,"",Table10[[#This Row],[Unit '#]])</f>
        <v>99</v>
      </c>
      <c r="E101" t="str">
        <f>IF(Table10[[#This Row],[Vacant?]]=0,"",Table10[[#This Row],[Vacant?]])</f>
        <v/>
      </c>
      <c r="F101">
        <f>IF(Table10[[#This Row],[Rental Rate ($/mth)]]=0,"",Table10[[#This Row],[Rental Rate ($/mth)]])</f>
        <v>3155</v>
      </c>
      <c r="G101"/>
      <c r="H101"/>
      <c r="I101"/>
      <c r="J101">
        <f>IF(Table10[[#This Row],[Unit Size (sq ft)]]=0,"",Table10[[#This Row],[Unit Size (sq ft)]])</f>
        <v>855</v>
      </c>
      <c r="K101"/>
      <c r="L101" t="str">
        <f>Table10[[#This Row],[Market Unit]]</f>
        <v>Yes</v>
      </c>
      <c r="M101" t="str">
        <f>Table10[[#This Row],[Affordable Unit]]</f>
        <v>No</v>
      </c>
      <c r="N101" t="str">
        <f>IF(Table10[[#This Row],[Subsidized Unit]]=0,"",Table10[[#This Row],[Subsidized Unit]])</f>
        <v/>
      </c>
      <c r="O101" t="str">
        <f>IF(Table10[[#This Row],[Care Services]]=0,"",Table10[[#This Row],[Care Services]])</f>
        <v/>
      </c>
      <c r="P101" t="str">
        <f>IF(Table10[[#This Row],[Affordable Care]]=0,"",Table10[[#This Row],[Affordable Care]])</f>
        <v/>
      </c>
      <c r="Q101"/>
      <c r="R101"/>
      <c r="S101"/>
      <c r="T101" t="str">
        <f>IF(Table10[[#This Row],[Bulk Lease Unit]]=0,"",Table10[[#This Row],[Bulk Lease Unit]])</f>
        <v/>
      </c>
      <c r="U101" t="str">
        <f>IF(Table10[[#This Row],[Den Included Unit]]=0,"",Table10[[#This Row],[Den Included Unit]])</f>
        <v/>
      </c>
      <c r="V101" t="str">
        <f>IF(Table10[[#This Row],[Second Bathroom]]=0,"",Table10[[#This Row],[Second Bathroom]])</f>
        <v/>
      </c>
      <c r="W101" t="str">
        <f>IF(Table10[[#This Row],[Heating]]=0,"",Table10[[#This Row],[Heating]])</f>
        <v/>
      </c>
      <c r="X101" t="str">
        <f>IF(Table10[[#This Row],[Electricity]]=0,"",Table10[[#This Row],[Electricity]])</f>
        <v/>
      </c>
      <c r="Y101" t="str">
        <f>IF(Table10[[#This Row],[Water]]=0,"",Table10[[#This Row],[Water]])</f>
        <v/>
      </c>
      <c r="Z101" t="str">
        <f>IF(Table10[[#This Row],[Washer/Dryer]]=0,"",Table10[[#This Row],[Washer/Dryer]])</f>
        <v/>
      </c>
      <c r="AA101" t="str">
        <f>IF(Table10[[#This Row],[Stove/Fridge]]=0,"",Table10[[#This Row],[Stove/Fridge]])</f>
        <v/>
      </c>
      <c r="AB101" t="str">
        <f>IF(Table10[[#This Row],[Dishwasher]]=0,"",Table10[[#This Row],[Dishwasher]])</f>
        <v/>
      </c>
      <c r="AC101" t="str">
        <f>IF(Table10[[#This Row],[Parking]]=0,"",Table10[[#This Row],[Parking]])</f>
        <v/>
      </c>
      <c r="AD101" t="str">
        <f>IF(Table10[[#This Row],[Furniture]]=0,"",Table10[[#This Row],[Furniture]])</f>
        <v/>
      </c>
      <c r="AE101" t="str">
        <f>IF(Table10[[#This Row],[Other]]=0,"",Table10[[#This Row],[Other]])</f>
        <v/>
      </c>
    </row>
    <row r="102" spans="1:31">
      <c r="A102" t="str">
        <f>IF(Table10[[#This Row],[Unit Type]]=0,"",Table10[[#This Row],[Unit Type]])</f>
        <v>2 Bedroom</v>
      </c>
      <c r="B102" t="str">
        <f>IF(Table10[[#This Row],[Residential Stream Source]]=0,"",Table10[[#This Row],[Residential Stream Source]])</f>
        <v/>
      </c>
      <c r="C102" t="str">
        <f>IF(Table10[[#This Row],[Basement?]]=0,"",Table10[[#This Row],[Basement?]])</f>
        <v/>
      </c>
      <c r="D102">
        <f>IF(Table10[[#This Row],[Unit '#]]=0,"",Table10[[#This Row],[Unit '#]])</f>
        <v>100</v>
      </c>
      <c r="E102" t="str">
        <f>IF(Table10[[#This Row],[Vacant?]]=0,"",Table10[[#This Row],[Vacant?]])</f>
        <v/>
      </c>
      <c r="F102">
        <f>IF(Table10[[#This Row],[Rental Rate ($/mth)]]=0,"",Table10[[#This Row],[Rental Rate ($/mth)]])</f>
        <v>3155</v>
      </c>
      <c r="G102"/>
      <c r="H102"/>
      <c r="I102"/>
      <c r="J102">
        <f>IF(Table10[[#This Row],[Unit Size (sq ft)]]=0,"",Table10[[#This Row],[Unit Size (sq ft)]])</f>
        <v>855</v>
      </c>
      <c r="K102"/>
      <c r="L102" t="str">
        <f>Table10[[#This Row],[Market Unit]]</f>
        <v>Yes</v>
      </c>
      <c r="M102" t="str">
        <f>Table10[[#This Row],[Affordable Unit]]</f>
        <v>No</v>
      </c>
      <c r="N102" t="str">
        <f>IF(Table10[[#This Row],[Subsidized Unit]]=0,"",Table10[[#This Row],[Subsidized Unit]])</f>
        <v/>
      </c>
      <c r="O102" t="str">
        <f>IF(Table10[[#This Row],[Care Services]]=0,"",Table10[[#This Row],[Care Services]])</f>
        <v/>
      </c>
      <c r="P102" t="str">
        <f>IF(Table10[[#This Row],[Affordable Care]]=0,"",Table10[[#This Row],[Affordable Care]])</f>
        <v/>
      </c>
      <c r="Q102"/>
      <c r="R102"/>
      <c r="S102"/>
      <c r="T102" t="str">
        <f>IF(Table10[[#This Row],[Bulk Lease Unit]]=0,"",Table10[[#This Row],[Bulk Lease Unit]])</f>
        <v/>
      </c>
      <c r="U102" t="str">
        <f>IF(Table10[[#This Row],[Den Included Unit]]=0,"",Table10[[#This Row],[Den Included Unit]])</f>
        <v/>
      </c>
      <c r="V102" t="str">
        <f>IF(Table10[[#This Row],[Second Bathroom]]=0,"",Table10[[#This Row],[Second Bathroom]])</f>
        <v/>
      </c>
      <c r="W102" t="str">
        <f>IF(Table10[[#This Row],[Heating]]=0,"",Table10[[#This Row],[Heating]])</f>
        <v/>
      </c>
      <c r="X102" t="str">
        <f>IF(Table10[[#This Row],[Electricity]]=0,"",Table10[[#This Row],[Electricity]])</f>
        <v/>
      </c>
      <c r="Y102" t="str">
        <f>IF(Table10[[#This Row],[Water]]=0,"",Table10[[#This Row],[Water]])</f>
        <v/>
      </c>
      <c r="Z102" t="str">
        <f>IF(Table10[[#This Row],[Washer/Dryer]]=0,"",Table10[[#This Row],[Washer/Dryer]])</f>
        <v/>
      </c>
      <c r="AA102" t="str">
        <f>IF(Table10[[#This Row],[Stove/Fridge]]=0,"",Table10[[#This Row],[Stove/Fridge]])</f>
        <v/>
      </c>
      <c r="AB102" t="str">
        <f>IF(Table10[[#This Row],[Dishwasher]]=0,"",Table10[[#This Row],[Dishwasher]])</f>
        <v/>
      </c>
      <c r="AC102" t="str">
        <f>IF(Table10[[#This Row],[Parking]]=0,"",Table10[[#This Row],[Parking]])</f>
        <v/>
      </c>
      <c r="AD102" t="str">
        <f>IF(Table10[[#This Row],[Furniture]]=0,"",Table10[[#This Row],[Furniture]])</f>
        <v/>
      </c>
      <c r="AE102" t="str">
        <f>IF(Table10[[#This Row],[Other]]=0,"",Table10[[#This Row],[Other]])</f>
        <v/>
      </c>
    </row>
    <row r="103" spans="1:31">
      <c r="A103" t="str">
        <f>IF(Table10[[#This Row],[Unit Type]]=0,"",Table10[[#This Row],[Unit Type]])</f>
        <v>2 Bedroom</v>
      </c>
      <c r="B103" t="str">
        <f>IF(Table10[[#This Row],[Residential Stream Source]]=0,"",Table10[[#This Row],[Residential Stream Source]])</f>
        <v/>
      </c>
      <c r="C103" t="str">
        <f>IF(Table10[[#This Row],[Basement?]]=0,"",Table10[[#This Row],[Basement?]])</f>
        <v/>
      </c>
      <c r="D103">
        <f>IF(Table10[[#This Row],[Unit '#]]=0,"",Table10[[#This Row],[Unit '#]])</f>
        <v>101</v>
      </c>
      <c r="E103" t="str">
        <f>IF(Table10[[#This Row],[Vacant?]]=0,"",Table10[[#This Row],[Vacant?]])</f>
        <v/>
      </c>
      <c r="F103">
        <f>IF(Table10[[#This Row],[Rental Rate ($/mth)]]=0,"",Table10[[#This Row],[Rental Rate ($/mth)]])</f>
        <v>3155</v>
      </c>
      <c r="G103"/>
      <c r="H103"/>
      <c r="I103"/>
      <c r="J103">
        <f>IF(Table10[[#This Row],[Unit Size (sq ft)]]=0,"",Table10[[#This Row],[Unit Size (sq ft)]])</f>
        <v>855</v>
      </c>
      <c r="K103"/>
      <c r="L103" t="str">
        <f>Table10[[#This Row],[Market Unit]]</f>
        <v>Yes</v>
      </c>
      <c r="M103" t="str">
        <f>Table10[[#This Row],[Affordable Unit]]</f>
        <v>No</v>
      </c>
      <c r="N103" t="str">
        <f>IF(Table10[[#This Row],[Subsidized Unit]]=0,"",Table10[[#This Row],[Subsidized Unit]])</f>
        <v/>
      </c>
      <c r="O103" t="str">
        <f>IF(Table10[[#This Row],[Care Services]]=0,"",Table10[[#This Row],[Care Services]])</f>
        <v/>
      </c>
      <c r="P103" t="str">
        <f>IF(Table10[[#This Row],[Affordable Care]]=0,"",Table10[[#This Row],[Affordable Care]])</f>
        <v/>
      </c>
      <c r="Q103"/>
      <c r="R103"/>
      <c r="S103"/>
      <c r="T103" t="str">
        <f>IF(Table10[[#This Row],[Bulk Lease Unit]]=0,"",Table10[[#This Row],[Bulk Lease Unit]])</f>
        <v/>
      </c>
      <c r="U103" t="str">
        <f>IF(Table10[[#This Row],[Den Included Unit]]=0,"",Table10[[#This Row],[Den Included Unit]])</f>
        <v/>
      </c>
      <c r="V103" t="str">
        <f>IF(Table10[[#This Row],[Second Bathroom]]=0,"",Table10[[#This Row],[Second Bathroom]])</f>
        <v/>
      </c>
      <c r="W103" t="str">
        <f>IF(Table10[[#This Row],[Heating]]=0,"",Table10[[#This Row],[Heating]])</f>
        <v/>
      </c>
      <c r="X103" t="str">
        <f>IF(Table10[[#This Row],[Electricity]]=0,"",Table10[[#This Row],[Electricity]])</f>
        <v/>
      </c>
      <c r="Y103" t="str">
        <f>IF(Table10[[#This Row],[Water]]=0,"",Table10[[#This Row],[Water]])</f>
        <v/>
      </c>
      <c r="Z103" t="str">
        <f>IF(Table10[[#This Row],[Washer/Dryer]]=0,"",Table10[[#This Row],[Washer/Dryer]])</f>
        <v/>
      </c>
      <c r="AA103" t="str">
        <f>IF(Table10[[#This Row],[Stove/Fridge]]=0,"",Table10[[#This Row],[Stove/Fridge]])</f>
        <v/>
      </c>
      <c r="AB103" t="str">
        <f>IF(Table10[[#This Row],[Dishwasher]]=0,"",Table10[[#This Row],[Dishwasher]])</f>
        <v/>
      </c>
      <c r="AC103" t="str">
        <f>IF(Table10[[#This Row],[Parking]]=0,"",Table10[[#This Row],[Parking]])</f>
        <v/>
      </c>
      <c r="AD103" t="str">
        <f>IF(Table10[[#This Row],[Furniture]]=0,"",Table10[[#This Row],[Furniture]])</f>
        <v/>
      </c>
      <c r="AE103" t="str">
        <f>IF(Table10[[#This Row],[Other]]=0,"",Table10[[#This Row],[Other]])</f>
        <v/>
      </c>
    </row>
    <row r="104" spans="1:31">
      <c r="A104" t="str">
        <f>IF(Table10[[#This Row],[Unit Type]]=0,"",Table10[[#This Row],[Unit Type]])</f>
        <v>2 Bedroom</v>
      </c>
      <c r="B104" t="str">
        <f>IF(Table10[[#This Row],[Residential Stream Source]]=0,"",Table10[[#This Row],[Residential Stream Source]])</f>
        <v/>
      </c>
      <c r="C104" t="str">
        <f>IF(Table10[[#This Row],[Basement?]]=0,"",Table10[[#This Row],[Basement?]])</f>
        <v/>
      </c>
      <c r="D104">
        <f>IF(Table10[[#This Row],[Unit '#]]=0,"",Table10[[#This Row],[Unit '#]])</f>
        <v>102</v>
      </c>
      <c r="E104" t="str">
        <f>IF(Table10[[#This Row],[Vacant?]]=0,"",Table10[[#This Row],[Vacant?]])</f>
        <v/>
      </c>
      <c r="F104">
        <f>IF(Table10[[#This Row],[Rental Rate ($/mth)]]=0,"",Table10[[#This Row],[Rental Rate ($/mth)]])</f>
        <v>3155</v>
      </c>
      <c r="G104"/>
      <c r="H104"/>
      <c r="I104"/>
      <c r="J104">
        <f>IF(Table10[[#This Row],[Unit Size (sq ft)]]=0,"",Table10[[#This Row],[Unit Size (sq ft)]])</f>
        <v>855</v>
      </c>
      <c r="K104"/>
      <c r="L104" t="str">
        <f>Table10[[#This Row],[Market Unit]]</f>
        <v>Yes</v>
      </c>
      <c r="M104" t="str">
        <f>Table10[[#This Row],[Affordable Unit]]</f>
        <v>No</v>
      </c>
      <c r="N104" t="str">
        <f>IF(Table10[[#This Row],[Subsidized Unit]]=0,"",Table10[[#This Row],[Subsidized Unit]])</f>
        <v/>
      </c>
      <c r="O104" t="str">
        <f>IF(Table10[[#This Row],[Care Services]]=0,"",Table10[[#This Row],[Care Services]])</f>
        <v/>
      </c>
      <c r="P104" t="str">
        <f>IF(Table10[[#This Row],[Affordable Care]]=0,"",Table10[[#This Row],[Affordable Care]])</f>
        <v/>
      </c>
      <c r="Q104"/>
      <c r="R104"/>
      <c r="S104"/>
      <c r="T104" t="str">
        <f>IF(Table10[[#This Row],[Bulk Lease Unit]]=0,"",Table10[[#This Row],[Bulk Lease Unit]])</f>
        <v/>
      </c>
      <c r="U104" t="str">
        <f>IF(Table10[[#This Row],[Den Included Unit]]=0,"",Table10[[#This Row],[Den Included Unit]])</f>
        <v/>
      </c>
      <c r="V104" t="str">
        <f>IF(Table10[[#This Row],[Second Bathroom]]=0,"",Table10[[#This Row],[Second Bathroom]])</f>
        <v/>
      </c>
      <c r="W104" t="str">
        <f>IF(Table10[[#This Row],[Heating]]=0,"",Table10[[#This Row],[Heating]])</f>
        <v/>
      </c>
      <c r="X104" t="str">
        <f>IF(Table10[[#This Row],[Electricity]]=0,"",Table10[[#This Row],[Electricity]])</f>
        <v/>
      </c>
      <c r="Y104" t="str">
        <f>IF(Table10[[#This Row],[Water]]=0,"",Table10[[#This Row],[Water]])</f>
        <v/>
      </c>
      <c r="Z104" t="str">
        <f>IF(Table10[[#This Row],[Washer/Dryer]]=0,"",Table10[[#This Row],[Washer/Dryer]])</f>
        <v/>
      </c>
      <c r="AA104" t="str">
        <f>IF(Table10[[#This Row],[Stove/Fridge]]=0,"",Table10[[#This Row],[Stove/Fridge]])</f>
        <v/>
      </c>
      <c r="AB104" t="str">
        <f>IF(Table10[[#This Row],[Dishwasher]]=0,"",Table10[[#This Row],[Dishwasher]])</f>
        <v/>
      </c>
      <c r="AC104" t="str">
        <f>IF(Table10[[#This Row],[Parking]]=0,"",Table10[[#This Row],[Parking]])</f>
        <v/>
      </c>
      <c r="AD104" t="str">
        <f>IF(Table10[[#This Row],[Furniture]]=0,"",Table10[[#This Row],[Furniture]])</f>
        <v/>
      </c>
      <c r="AE104" t="str">
        <f>IF(Table10[[#This Row],[Other]]=0,"",Table10[[#This Row],[Other]])</f>
        <v/>
      </c>
    </row>
    <row r="105" spans="1:31">
      <c r="A105" t="str">
        <f>IF(Table10[[#This Row],[Unit Type]]=0,"",Table10[[#This Row],[Unit Type]])</f>
        <v>2 Bedroom</v>
      </c>
      <c r="B105" t="str">
        <f>IF(Table10[[#This Row],[Residential Stream Source]]=0,"",Table10[[#This Row],[Residential Stream Source]])</f>
        <v/>
      </c>
      <c r="C105" t="str">
        <f>IF(Table10[[#This Row],[Basement?]]=0,"",Table10[[#This Row],[Basement?]])</f>
        <v/>
      </c>
      <c r="D105">
        <f>IF(Table10[[#This Row],[Unit '#]]=0,"",Table10[[#This Row],[Unit '#]])</f>
        <v>103</v>
      </c>
      <c r="E105" t="str">
        <f>IF(Table10[[#This Row],[Vacant?]]=0,"",Table10[[#This Row],[Vacant?]])</f>
        <v/>
      </c>
      <c r="F105">
        <f>IF(Table10[[#This Row],[Rental Rate ($/mth)]]=0,"",Table10[[#This Row],[Rental Rate ($/mth)]])</f>
        <v>3155</v>
      </c>
      <c r="G105"/>
      <c r="H105"/>
      <c r="I105"/>
      <c r="J105">
        <f>IF(Table10[[#This Row],[Unit Size (sq ft)]]=0,"",Table10[[#This Row],[Unit Size (sq ft)]])</f>
        <v>855</v>
      </c>
      <c r="K105"/>
      <c r="L105" t="str">
        <f>Table10[[#This Row],[Market Unit]]</f>
        <v>Yes</v>
      </c>
      <c r="M105" t="str">
        <f>Table10[[#This Row],[Affordable Unit]]</f>
        <v>No</v>
      </c>
      <c r="N105" t="str">
        <f>IF(Table10[[#This Row],[Subsidized Unit]]=0,"",Table10[[#This Row],[Subsidized Unit]])</f>
        <v/>
      </c>
      <c r="O105" t="str">
        <f>IF(Table10[[#This Row],[Care Services]]=0,"",Table10[[#This Row],[Care Services]])</f>
        <v/>
      </c>
      <c r="P105" t="str">
        <f>IF(Table10[[#This Row],[Affordable Care]]=0,"",Table10[[#This Row],[Affordable Care]])</f>
        <v/>
      </c>
      <c r="Q105"/>
      <c r="R105"/>
      <c r="S105"/>
      <c r="T105" t="str">
        <f>IF(Table10[[#This Row],[Bulk Lease Unit]]=0,"",Table10[[#This Row],[Bulk Lease Unit]])</f>
        <v/>
      </c>
      <c r="U105" t="str">
        <f>IF(Table10[[#This Row],[Den Included Unit]]=0,"",Table10[[#This Row],[Den Included Unit]])</f>
        <v/>
      </c>
      <c r="V105" t="str">
        <f>IF(Table10[[#This Row],[Second Bathroom]]=0,"",Table10[[#This Row],[Second Bathroom]])</f>
        <v/>
      </c>
      <c r="W105" t="str">
        <f>IF(Table10[[#This Row],[Heating]]=0,"",Table10[[#This Row],[Heating]])</f>
        <v/>
      </c>
      <c r="X105" t="str">
        <f>IF(Table10[[#This Row],[Electricity]]=0,"",Table10[[#This Row],[Electricity]])</f>
        <v/>
      </c>
      <c r="Y105" t="str">
        <f>IF(Table10[[#This Row],[Water]]=0,"",Table10[[#This Row],[Water]])</f>
        <v/>
      </c>
      <c r="Z105" t="str">
        <f>IF(Table10[[#This Row],[Washer/Dryer]]=0,"",Table10[[#This Row],[Washer/Dryer]])</f>
        <v/>
      </c>
      <c r="AA105" t="str">
        <f>IF(Table10[[#This Row],[Stove/Fridge]]=0,"",Table10[[#This Row],[Stove/Fridge]])</f>
        <v/>
      </c>
      <c r="AB105" t="str">
        <f>IF(Table10[[#This Row],[Dishwasher]]=0,"",Table10[[#This Row],[Dishwasher]])</f>
        <v/>
      </c>
      <c r="AC105" t="str">
        <f>IF(Table10[[#This Row],[Parking]]=0,"",Table10[[#This Row],[Parking]])</f>
        <v/>
      </c>
      <c r="AD105" t="str">
        <f>IF(Table10[[#This Row],[Furniture]]=0,"",Table10[[#This Row],[Furniture]])</f>
        <v/>
      </c>
      <c r="AE105" t="str">
        <f>IF(Table10[[#This Row],[Other]]=0,"",Table10[[#This Row],[Other]])</f>
        <v/>
      </c>
    </row>
    <row r="106" spans="1:31">
      <c r="A106" t="str">
        <f>IF(Table10[[#This Row],[Unit Type]]=0,"",Table10[[#This Row],[Unit Type]])</f>
        <v>2 Bedroom</v>
      </c>
      <c r="B106" t="str">
        <f>IF(Table10[[#This Row],[Residential Stream Source]]=0,"",Table10[[#This Row],[Residential Stream Source]])</f>
        <v/>
      </c>
      <c r="C106" t="str">
        <f>IF(Table10[[#This Row],[Basement?]]=0,"",Table10[[#This Row],[Basement?]])</f>
        <v/>
      </c>
      <c r="D106">
        <f>IF(Table10[[#This Row],[Unit '#]]=0,"",Table10[[#This Row],[Unit '#]])</f>
        <v>104</v>
      </c>
      <c r="E106" t="str">
        <f>IF(Table10[[#This Row],[Vacant?]]=0,"",Table10[[#This Row],[Vacant?]])</f>
        <v/>
      </c>
      <c r="F106">
        <f>IF(Table10[[#This Row],[Rental Rate ($/mth)]]=0,"",Table10[[#This Row],[Rental Rate ($/mth)]])</f>
        <v>3155</v>
      </c>
      <c r="G106"/>
      <c r="H106"/>
      <c r="I106"/>
      <c r="J106">
        <f>IF(Table10[[#This Row],[Unit Size (sq ft)]]=0,"",Table10[[#This Row],[Unit Size (sq ft)]])</f>
        <v>855</v>
      </c>
      <c r="K106"/>
      <c r="L106" t="str">
        <f>Table10[[#This Row],[Market Unit]]</f>
        <v>Yes</v>
      </c>
      <c r="M106" t="str">
        <f>Table10[[#This Row],[Affordable Unit]]</f>
        <v>No</v>
      </c>
      <c r="N106" t="str">
        <f>IF(Table10[[#This Row],[Subsidized Unit]]=0,"",Table10[[#This Row],[Subsidized Unit]])</f>
        <v/>
      </c>
      <c r="O106" t="str">
        <f>IF(Table10[[#This Row],[Care Services]]=0,"",Table10[[#This Row],[Care Services]])</f>
        <v/>
      </c>
      <c r="P106" t="str">
        <f>IF(Table10[[#This Row],[Affordable Care]]=0,"",Table10[[#This Row],[Affordable Care]])</f>
        <v/>
      </c>
      <c r="Q106"/>
      <c r="R106"/>
      <c r="S106"/>
      <c r="T106" t="str">
        <f>IF(Table10[[#This Row],[Bulk Lease Unit]]=0,"",Table10[[#This Row],[Bulk Lease Unit]])</f>
        <v/>
      </c>
      <c r="U106" t="str">
        <f>IF(Table10[[#This Row],[Den Included Unit]]=0,"",Table10[[#This Row],[Den Included Unit]])</f>
        <v/>
      </c>
      <c r="V106" t="str">
        <f>IF(Table10[[#This Row],[Second Bathroom]]=0,"",Table10[[#This Row],[Second Bathroom]])</f>
        <v/>
      </c>
      <c r="W106" t="str">
        <f>IF(Table10[[#This Row],[Heating]]=0,"",Table10[[#This Row],[Heating]])</f>
        <v/>
      </c>
      <c r="X106" t="str">
        <f>IF(Table10[[#This Row],[Electricity]]=0,"",Table10[[#This Row],[Electricity]])</f>
        <v/>
      </c>
      <c r="Y106" t="str">
        <f>IF(Table10[[#This Row],[Water]]=0,"",Table10[[#This Row],[Water]])</f>
        <v/>
      </c>
      <c r="Z106" t="str">
        <f>IF(Table10[[#This Row],[Washer/Dryer]]=0,"",Table10[[#This Row],[Washer/Dryer]])</f>
        <v/>
      </c>
      <c r="AA106" t="str">
        <f>IF(Table10[[#This Row],[Stove/Fridge]]=0,"",Table10[[#This Row],[Stove/Fridge]])</f>
        <v/>
      </c>
      <c r="AB106" t="str">
        <f>IF(Table10[[#This Row],[Dishwasher]]=0,"",Table10[[#This Row],[Dishwasher]])</f>
        <v/>
      </c>
      <c r="AC106" t="str">
        <f>IF(Table10[[#This Row],[Parking]]=0,"",Table10[[#This Row],[Parking]])</f>
        <v/>
      </c>
      <c r="AD106" t="str">
        <f>IF(Table10[[#This Row],[Furniture]]=0,"",Table10[[#This Row],[Furniture]])</f>
        <v/>
      </c>
      <c r="AE106" t="str">
        <f>IF(Table10[[#This Row],[Other]]=0,"",Table10[[#This Row],[Other]])</f>
        <v/>
      </c>
    </row>
    <row r="107" spans="1:31">
      <c r="A107" t="str">
        <f>IF(Table10[[#This Row],[Unit Type]]=0,"",Table10[[#This Row],[Unit Type]])</f>
        <v>2 Bedroom</v>
      </c>
      <c r="B107" t="str">
        <f>IF(Table10[[#This Row],[Residential Stream Source]]=0,"",Table10[[#This Row],[Residential Stream Source]])</f>
        <v/>
      </c>
      <c r="C107" t="str">
        <f>IF(Table10[[#This Row],[Basement?]]=0,"",Table10[[#This Row],[Basement?]])</f>
        <v/>
      </c>
      <c r="D107">
        <f>IF(Table10[[#This Row],[Unit '#]]=0,"",Table10[[#This Row],[Unit '#]])</f>
        <v>105</v>
      </c>
      <c r="E107" t="str">
        <f>IF(Table10[[#This Row],[Vacant?]]=0,"",Table10[[#This Row],[Vacant?]])</f>
        <v/>
      </c>
      <c r="F107">
        <f>IF(Table10[[#This Row],[Rental Rate ($/mth)]]=0,"",Table10[[#This Row],[Rental Rate ($/mth)]])</f>
        <v>3155</v>
      </c>
      <c r="G107"/>
      <c r="H107"/>
      <c r="I107"/>
      <c r="J107">
        <f>IF(Table10[[#This Row],[Unit Size (sq ft)]]=0,"",Table10[[#This Row],[Unit Size (sq ft)]])</f>
        <v>855</v>
      </c>
      <c r="K107"/>
      <c r="L107" t="str">
        <f>Table10[[#This Row],[Market Unit]]</f>
        <v>Yes</v>
      </c>
      <c r="M107" t="str">
        <f>Table10[[#This Row],[Affordable Unit]]</f>
        <v>No</v>
      </c>
      <c r="N107" t="str">
        <f>IF(Table10[[#This Row],[Subsidized Unit]]=0,"",Table10[[#This Row],[Subsidized Unit]])</f>
        <v/>
      </c>
      <c r="O107" t="str">
        <f>IF(Table10[[#This Row],[Care Services]]=0,"",Table10[[#This Row],[Care Services]])</f>
        <v/>
      </c>
      <c r="P107" t="str">
        <f>IF(Table10[[#This Row],[Affordable Care]]=0,"",Table10[[#This Row],[Affordable Care]])</f>
        <v/>
      </c>
      <c r="Q107"/>
      <c r="R107"/>
      <c r="S107"/>
      <c r="T107" t="str">
        <f>IF(Table10[[#This Row],[Bulk Lease Unit]]=0,"",Table10[[#This Row],[Bulk Lease Unit]])</f>
        <v/>
      </c>
      <c r="U107" t="str">
        <f>IF(Table10[[#This Row],[Den Included Unit]]=0,"",Table10[[#This Row],[Den Included Unit]])</f>
        <v/>
      </c>
      <c r="V107" t="str">
        <f>IF(Table10[[#This Row],[Second Bathroom]]=0,"",Table10[[#This Row],[Second Bathroom]])</f>
        <v/>
      </c>
      <c r="W107" t="str">
        <f>IF(Table10[[#This Row],[Heating]]=0,"",Table10[[#This Row],[Heating]])</f>
        <v/>
      </c>
      <c r="X107" t="str">
        <f>IF(Table10[[#This Row],[Electricity]]=0,"",Table10[[#This Row],[Electricity]])</f>
        <v/>
      </c>
      <c r="Y107" t="str">
        <f>IF(Table10[[#This Row],[Water]]=0,"",Table10[[#This Row],[Water]])</f>
        <v/>
      </c>
      <c r="Z107" t="str">
        <f>IF(Table10[[#This Row],[Washer/Dryer]]=0,"",Table10[[#This Row],[Washer/Dryer]])</f>
        <v/>
      </c>
      <c r="AA107" t="str">
        <f>IF(Table10[[#This Row],[Stove/Fridge]]=0,"",Table10[[#This Row],[Stove/Fridge]])</f>
        <v/>
      </c>
      <c r="AB107" t="str">
        <f>IF(Table10[[#This Row],[Dishwasher]]=0,"",Table10[[#This Row],[Dishwasher]])</f>
        <v/>
      </c>
      <c r="AC107" t="str">
        <f>IF(Table10[[#This Row],[Parking]]=0,"",Table10[[#This Row],[Parking]])</f>
        <v/>
      </c>
      <c r="AD107" t="str">
        <f>IF(Table10[[#This Row],[Furniture]]=0,"",Table10[[#This Row],[Furniture]])</f>
        <v/>
      </c>
      <c r="AE107" t="str">
        <f>IF(Table10[[#This Row],[Other]]=0,"",Table10[[#This Row],[Other]])</f>
        <v/>
      </c>
    </row>
    <row r="108" spans="1:31">
      <c r="A108" t="str">
        <f>IF(Table10[[#This Row],[Unit Type]]=0,"",Table10[[#This Row],[Unit Type]])</f>
        <v>2 Bedroom</v>
      </c>
      <c r="B108" t="str">
        <f>IF(Table10[[#This Row],[Residential Stream Source]]=0,"",Table10[[#This Row],[Residential Stream Source]])</f>
        <v/>
      </c>
      <c r="C108" t="str">
        <f>IF(Table10[[#This Row],[Basement?]]=0,"",Table10[[#This Row],[Basement?]])</f>
        <v/>
      </c>
      <c r="D108">
        <f>IF(Table10[[#This Row],[Unit '#]]=0,"",Table10[[#This Row],[Unit '#]])</f>
        <v>106</v>
      </c>
      <c r="E108" t="str">
        <f>IF(Table10[[#This Row],[Vacant?]]=0,"",Table10[[#This Row],[Vacant?]])</f>
        <v/>
      </c>
      <c r="F108">
        <f>IF(Table10[[#This Row],[Rental Rate ($/mth)]]=0,"",Table10[[#This Row],[Rental Rate ($/mth)]])</f>
        <v>3155</v>
      </c>
      <c r="G108"/>
      <c r="H108"/>
      <c r="I108"/>
      <c r="J108">
        <f>IF(Table10[[#This Row],[Unit Size (sq ft)]]=0,"",Table10[[#This Row],[Unit Size (sq ft)]])</f>
        <v>855</v>
      </c>
      <c r="K108"/>
      <c r="L108" t="str">
        <f>Table10[[#This Row],[Market Unit]]</f>
        <v>Yes</v>
      </c>
      <c r="M108" t="str">
        <f>Table10[[#This Row],[Affordable Unit]]</f>
        <v>No</v>
      </c>
      <c r="N108" t="str">
        <f>IF(Table10[[#This Row],[Subsidized Unit]]=0,"",Table10[[#This Row],[Subsidized Unit]])</f>
        <v/>
      </c>
      <c r="O108" t="str">
        <f>IF(Table10[[#This Row],[Care Services]]=0,"",Table10[[#This Row],[Care Services]])</f>
        <v/>
      </c>
      <c r="P108" t="str">
        <f>IF(Table10[[#This Row],[Affordable Care]]=0,"",Table10[[#This Row],[Affordable Care]])</f>
        <v/>
      </c>
      <c r="Q108"/>
      <c r="R108"/>
      <c r="S108"/>
      <c r="T108" t="str">
        <f>IF(Table10[[#This Row],[Bulk Lease Unit]]=0,"",Table10[[#This Row],[Bulk Lease Unit]])</f>
        <v/>
      </c>
      <c r="U108" t="str">
        <f>IF(Table10[[#This Row],[Den Included Unit]]=0,"",Table10[[#This Row],[Den Included Unit]])</f>
        <v/>
      </c>
      <c r="V108" t="str">
        <f>IF(Table10[[#This Row],[Second Bathroom]]=0,"",Table10[[#This Row],[Second Bathroom]])</f>
        <v/>
      </c>
      <c r="W108" t="str">
        <f>IF(Table10[[#This Row],[Heating]]=0,"",Table10[[#This Row],[Heating]])</f>
        <v/>
      </c>
      <c r="X108" t="str">
        <f>IF(Table10[[#This Row],[Electricity]]=0,"",Table10[[#This Row],[Electricity]])</f>
        <v/>
      </c>
      <c r="Y108" t="str">
        <f>IF(Table10[[#This Row],[Water]]=0,"",Table10[[#This Row],[Water]])</f>
        <v/>
      </c>
      <c r="Z108" t="str">
        <f>IF(Table10[[#This Row],[Washer/Dryer]]=0,"",Table10[[#This Row],[Washer/Dryer]])</f>
        <v/>
      </c>
      <c r="AA108" t="str">
        <f>IF(Table10[[#This Row],[Stove/Fridge]]=0,"",Table10[[#This Row],[Stove/Fridge]])</f>
        <v/>
      </c>
      <c r="AB108" t="str">
        <f>IF(Table10[[#This Row],[Dishwasher]]=0,"",Table10[[#This Row],[Dishwasher]])</f>
        <v/>
      </c>
      <c r="AC108" t="str">
        <f>IF(Table10[[#This Row],[Parking]]=0,"",Table10[[#This Row],[Parking]])</f>
        <v/>
      </c>
      <c r="AD108" t="str">
        <f>IF(Table10[[#This Row],[Furniture]]=0,"",Table10[[#This Row],[Furniture]])</f>
        <v/>
      </c>
      <c r="AE108" t="str">
        <f>IF(Table10[[#This Row],[Other]]=0,"",Table10[[#This Row],[Other]])</f>
        <v/>
      </c>
    </row>
    <row r="109" spans="1:31">
      <c r="A109" t="str">
        <f>IF(Table10[[#This Row],[Unit Type]]=0,"",Table10[[#This Row],[Unit Type]])</f>
        <v>2 Bedroom</v>
      </c>
      <c r="B109" t="str">
        <f>IF(Table10[[#This Row],[Residential Stream Source]]=0,"",Table10[[#This Row],[Residential Stream Source]])</f>
        <v/>
      </c>
      <c r="C109" t="str">
        <f>IF(Table10[[#This Row],[Basement?]]=0,"",Table10[[#This Row],[Basement?]])</f>
        <v/>
      </c>
      <c r="D109">
        <f>IF(Table10[[#This Row],[Unit '#]]=0,"",Table10[[#This Row],[Unit '#]])</f>
        <v>107</v>
      </c>
      <c r="E109" t="str">
        <f>IF(Table10[[#This Row],[Vacant?]]=0,"",Table10[[#This Row],[Vacant?]])</f>
        <v/>
      </c>
      <c r="F109">
        <f>IF(Table10[[#This Row],[Rental Rate ($/mth)]]=0,"",Table10[[#This Row],[Rental Rate ($/mth)]])</f>
        <v>3155</v>
      </c>
      <c r="G109"/>
      <c r="H109"/>
      <c r="I109"/>
      <c r="J109">
        <f>IF(Table10[[#This Row],[Unit Size (sq ft)]]=0,"",Table10[[#This Row],[Unit Size (sq ft)]])</f>
        <v>855</v>
      </c>
      <c r="K109"/>
      <c r="L109" t="str">
        <f>Table10[[#This Row],[Market Unit]]</f>
        <v>Yes</v>
      </c>
      <c r="M109" t="str">
        <f>Table10[[#This Row],[Affordable Unit]]</f>
        <v>No</v>
      </c>
      <c r="N109" t="str">
        <f>IF(Table10[[#This Row],[Subsidized Unit]]=0,"",Table10[[#This Row],[Subsidized Unit]])</f>
        <v/>
      </c>
      <c r="O109" t="str">
        <f>IF(Table10[[#This Row],[Care Services]]=0,"",Table10[[#This Row],[Care Services]])</f>
        <v/>
      </c>
      <c r="P109" t="str">
        <f>IF(Table10[[#This Row],[Affordable Care]]=0,"",Table10[[#This Row],[Affordable Care]])</f>
        <v/>
      </c>
      <c r="Q109"/>
      <c r="R109"/>
      <c r="S109"/>
      <c r="T109" t="str">
        <f>IF(Table10[[#This Row],[Bulk Lease Unit]]=0,"",Table10[[#This Row],[Bulk Lease Unit]])</f>
        <v/>
      </c>
      <c r="U109" t="str">
        <f>IF(Table10[[#This Row],[Den Included Unit]]=0,"",Table10[[#This Row],[Den Included Unit]])</f>
        <v/>
      </c>
      <c r="V109" t="str">
        <f>IF(Table10[[#This Row],[Second Bathroom]]=0,"",Table10[[#This Row],[Second Bathroom]])</f>
        <v/>
      </c>
      <c r="W109" t="str">
        <f>IF(Table10[[#This Row],[Heating]]=0,"",Table10[[#This Row],[Heating]])</f>
        <v/>
      </c>
      <c r="X109" t="str">
        <f>IF(Table10[[#This Row],[Electricity]]=0,"",Table10[[#This Row],[Electricity]])</f>
        <v/>
      </c>
      <c r="Y109" t="str">
        <f>IF(Table10[[#This Row],[Water]]=0,"",Table10[[#This Row],[Water]])</f>
        <v/>
      </c>
      <c r="Z109" t="str">
        <f>IF(Table10[[#This Row],[Washer/Dryer]]=0,"",Table10[[#This Row],[Washer/Dryer]])</f>
        <v/>
      </c>
      <c r="AA109" t="str">
        <f>IF(Table10[[#This Row],[Stove/Fridge]]=0,"",Table10[[#This Row],[Stove/Fridge]])</f>
        <v/>
      </c>
      <c r="AB109" t="str">
        <f>IF(Table10[[#This Row],[Dishwasher]]=0,"",Table10[[#This Row],[Dishwasher]])</f>
        <v/>
      </c>
      <c r="AC109" t="str">
        <f>IF(Table10[[#This Row],[Parking]]=0,"",Table10[[#This Row],[Parking]])</f>
        <v/>
      </c>
      <c r="AD109" t="str">
        <f>IF(Table10[[#This Row],[Furniture]]=0,"",Table10[[#This Row],[Furniture]])</f>
        <v/>
      </c>
      <c r="AE109" t="str">
        <f>IF(Table10[[#This Row],[Other]]=0,"",Table10[[#This Row],[Other]])</f>
        <v/>
      </c>
    </row>
    <row r="110" spans="1:31">
      <c r="A110" t="str">
        <f>IF(Table10[[#This Row],[Unit Type]]=0,"",Table10[[#This Row],[Unit Type]])</f>
        <v>2 Bedroom</v>
      </c>
      <c r="B110" t="str">
        <f>IF(Table10[[#This Row],[Residential Stream Source]]=0,"",Table10[[#This Row],[Residential Stream Source]])</f>
        <v/>
      </c>
      <c r="C110" t="str">
        <f>IF(Table10[[#This Row],[Basement?]]=0,"",Table10[[#This Row],[Basement?]])</f>
        <v/>
      </c>
      <c r="D110">
        <f>IF(Table10[[#This Row],[Unit '#]]=0,"",Table10[[#This Row],[Unit '#]])</f>
        <v>108</v>
      </c>
      <c r="E110" t="str">
        <f>IF(Table10[[#This Row],[Vacant?]]=0,"",Table10[[#This Row],[Vacant?]])</f>
        <v/>
      </c>
      <c r="F110">
        <f>IF(Table10[[#This Row],[Rental Rate ($/mth)]]=0,"",Table10[[#This Row],[Rental Rate ($/mth)]])</f>
        <v>3155</v>
      </c>
      <c r="G110"/>
      <c r="H110"/>
      <c r="I110"/>
      <c r="J110">
        <f>IF(Table10[[#This Row],[Unit Size (sq ft)]]=0,"",Table10[[#This Row],[Unit Size (sq ft)]])</f>
        <v>855</v>
      </c>
      <c r="K110"/>
      <c r="L110" t="str">
        <f>Table10[[#This Row],[Market Unit]]</f>
        <v>Yes</v>
      </c>
      <c r="M110" t="str">
        <f>Table10[[#This Row],[Affordable Unit]]</f>
        <v>No</v>
      </c>
      <c r="N110" t="str">
        <f>IF(Table10[[#This Row],[Subsidized Unit]]=0,"",Table10[[#This Row],[Subsidized Unit]])</f>
        <v/>
      </c>
      <c r="O110" t="str">
        <f>IF(Table10[[#This Row],[Care Services]]=0,"",Table10[[#This Row],[Care Services]])</f>
        <v/>
      </c>
      <c r="P110" t="str">
        <f>IF(Table10[[#This Row],[Affordable Care]]=0,"",Table10[[#This Row],[Affordable Care]])</f>
        <v/>
      </c>
      <c r="Q110"/>
      <c r="R110"/>
      <c r="S110"/>
      <c r="T110" t="str">
        <f>IF(Table10[[#This Row],[Bulk Lease Unit]]=0,"",Table10[[#This Row],[Bulk Lease Unit]])</f>
        <v/>
      </c>
      <c r="U110" t="str">
        <f>IF(Table10[[#This Row],[Den Included Unit]]=0,"",Table10[[#This Row],[Den Included Unit]])</f>
        <v/>
      </c>
      <c r="V110" t="str">
        <f>IF(Table10[[#This Row],[Second Bathroom]]=0,"",Table10[[#This Row],[Second Bathroom]])</f>
        <v/>
      </c>
      <c r="W110" t="str">
        <f>IF(Table10[[#This Row],[Heating]]=0,"",Table10[[#This Row],[Heating]])</f>
        <v/>
      </c>
      <c r="X110" t="str">
        <f>IF(Table10[[#This Row],[Electricity]]=0,"",Table10[[#This Row],[Electricity]])</f>
        <v/>
      </c>
      <c r="Y110" t="str">
        <f>IF(Table10[[#This Row],[Water]]=0,"",Table10[[#This Row],[Water]])</f>
        <v/>
      </c>
      <c r="Z110" t="str">
        <f>IF(Table10[[#This Row],[Washer/Dryer]]=0,"",Table10[[#This Row],[Washer/Dryer]])</f>
        <v/>
      </c>
      <c r="AA110" t="str">
        <f>IF(Table10[[#This Row],[Stove/Fridge]]=0,"",Table10[[#This Row],[Stove/Fridge]])</f>
        <v/>
      </c>
      <c r="AB110" t="str">
        <f>IF(Table10[[#This Row],[Dishwasher]]=0,"",Table10[[#This Row],[Dishwasher]])</f>
        <v/>
      </c>
      <c r="AC110" t="str">
        <f>IF(Table10[[#This Row],[Parking]]=0,"",Table10[[#This Row],[Parking]])</f>
        <v/>
      </c>
      <c r="AD110" t="str">
        <f>IF(Table10[[#This Row],[Furniture]]=0,"",Table10[[#This Row],[Furniture]])</f>
        <v/>
      </c>
      <c r="AE110" t="str">
        <f>IF(Table10[[#This Row],[Other]]=0,"",Table10[[#This Row],[Other]])</f>
        <v/>
      </c>
    </row>
    <row r="111" spans="1:31">
      <c r="A111" t="str">
        <f>IF(Table10[[#This Row],[Unit Type]]=0,"",Table10[[#This Row],[Unit Type]])</f>
        <v>2 Bedroom</v>
      </c>
      <c r="B111" t="str">
        <f>IF(Table10[[#This Row],[Residential Stream Source]]=0,"",Table10[[#This Row],[Residential Stream Source]])</f>
        <v/>
      </c>
      <c r="C111" t="str">
        <f>IF(Table10[[#This Row],[Basement?]]=0,"",Table10[[#This Row],[Basement?]])</f>
        <v/>
      </c>
      <c r="D111">
        <f>IF(Table10[[#This Row],[Unit '#]]=0,"",Table10[[#This Row],[Unit '#]])</f>
        <v>109</v>
      </c>
      <c r="E111" t="str">
        <f>IF(Table10[[#This Row],[Vacant?]]=0,"",Table10[[#This Row],[Vacant?]])</f>
        <v/>
      </c>
      <c r="F111">
        <f>IF(Table10[[#This Row],[Rental Rate ($/mth)]]=0,"",Table10[[#This Row],[Rental Rate ($/mth)]])</f>
        <v>3155</v>
      </c>
      <c r="G111"/>
      <c r="H111"/>
      <c r="I111"/>
      <c r="J111">
        <f>IF(Table10[[#This Row],[Unit Size (sq ft)]]=0,"",Table10[[#This Row],[Unit Size (sq ft)]])</f>
        <v>855</v>
      </c>
      <c r="K111"/>
      <c r="L111" t="str">
        <f>Table10[[#This Row],[Market Unit]]</f>
        <v>Yes</v>
      </c>
      <c r="M111" t="str">
        <f>Table10[[#This Row],[Affordable Unit]]</f>
        <v>No</v>
      </c>
      <c r="N111" t="str">
        <f>IF(Table10[[#This Row],[Subsidized Unit]]=0,"",Table10[[#This Row],[Subsidized Unit]])</f>
        <v/>
      </c>
      <c r="O111" t="str">
        <f>IF(Table10[[#This Row],[Care Services]]=0,"",Table10[[#This Row],[Care Services]])</f>
        <v/>
      </c>
      <c r="P111" t="str">
        <f>IF(Table10[[#This Row],[Affordable Care]]=0,"",Table10[[#This Row],[Affordable Care]])</f>
        <v/>
      </c>
      <c r="Q111"/>
      <c r="R111"/>
      <c r="S111"/>
      <c r="T111" t="str">
        <f>IF(Table10[[#This Row],[Bulk Lease Unit]]=0,"",Table10[[#This Row],[Bulk Lease Unit]])</f>
        <v/>
      </c>
      <c r="U111" t="str">
        <f>IF(Table10[[#This Row],[Den Included Unit]]=0,"",Table10[[#This Row],[Den Included Unit]])</f>
        <v/>
      </c>
      <c r="V111" t="str">
        <f>IF(Table10[[#This Row],[Second Bathroom]]=0,"",Table10[[#This Row],[Second Bathroom]])</f>
        <v/>
      </c>
      <c r="W111" t="str">
        <f>IF(Table10[[#This Row],[Heating]]=0,"",Table10[[#This Row],[Heating]])</f>
        <v/>
      </c>
      <c r="X111" t="str">
        <f>IF(Table10[[#This Row],[Electricity]]=0,"",Table10[[#This Row],[Electricity]])</f>
        <v/>
      </c>
      <c r="Y111" t="str">
        <f>IF(Table10[[#This Row],[Water]]=0,"",Table10[[#This Row],[Water]])</f>
        <v/>
      </c>
      <c r="Z111" t="str">
        <f>IF(Table10[[#This Row],[Washer/Dryer]]=0,"",Table10[[#This Row],[Washer/Dryer]])</f>
        <v/>
      </c>
      <c r="AA111" t="str">
        <f>IF(Table10[[#This Row],[Stove/Fridge]]=0,"",Table10[[#This Row],[Stove/Fridge]])</f>
        <v/>
      </c>
      <c r="AB111" t="str">
        <f>IF(Table10[[#This Row],[Dishwasher]]=0,"",Table10[[#This Row],[Dishwasher]])</f>
        <v/>
      </c>
      <c r="AC111" t="str">
        <f>IF(Table10[[#This Row],[Parking]]=0,"",Table10[[#This Row],[Parking]])</f>
        <v/>
      </c>
      <c r="AD111" t="str">
        <f>IF(Table10[[#This Row],[Furniture]]=0,"",Table10[[#This Row],[Furniture]])</f>
        <v/>
      </c>
      <c r="AE111" t="str">
        <f>IF(Table10[[#This Row],[Other]]=0,"",Table10[[#This Row],[Other]])</f>
        <v/>
      </c>
    </row>
    <row r="112" spans="1:31">
      <c r="A112" t="str">
        <f>IF(Table10[[#This Row],[Unit Type]]=0,"",Table10[[#This Row],[Unit Type]])</f>
        <v>2 Bedroom</v>
      </c>
      <c r="B112" t="str">
        <f>IF(Table10[[#This Row],[Residential Stream Source]]=0,"",Table10[[#This Row],[Residential Stream Source]])</f>
        <v/>
      </c>
      <c r="C112" t="str">
        <f>IF(Table10[[#This Row],[Basement?]]=0,"",Table10[[#This Row],[Basement?]])</f>
        <v/>
      </c>
      <c r="D112">
        <f>IF(Table10[[#This Row],[Unit '#]]=0,"",Table10[[#This Row],[Unit '#]])</f>
        <v>110</v>
      </c>
      <c r="E112" t="str">
        <f>IF(Table10[[#This Row],[Vacant?]]=0,"",Table10[[#This Row],[Vacant?]])</f>
        <v/>
      </c>
      <c r="F112">
        <f>IF(Table10[[#This Row],[Rental Rate ($/mth)]]=0,"",Table10[[#This Row],[Rental Rate ($/mth)]])</f>
        <v>3155</v>
      </c>
      <c r="G112"/>
      <c r="H112"/>
      <c r="I112"/>
      <c r="J112">
        <f>IF(Table10[[#This Row],[Unit Size (sq ft)]]=0,"",Table10[[#This Row],[Unit Size (sq ft)]])</f>
        <v>855</v>
      </c>
      <c r="K112"/>
      <c r="L112" t="str">
        <f>Table10[[#This Row],[Market Unit]]</f>
        <v>Yes</v>
      </c>
      <c r="M112" t="str">
        <f>Table10[[#This Row],[Affordable Unit]]</f>
        <v>No</v>
      </c>
      <c r="N112" t="str">
        <f>IF(Table10[[#This Row],[Subsidized Unit]]=0,"",Table10[[#This Row],[Subsidized Unit]])</f>
        <v/>
      </c>
      <c r="O112" t="str">
        <f>IF(Table10[[#This Row],[Care Services]]=0,"",Table10[[#This Row],[Care Services]])</f>
        <v/>
      </c>
      <c r="P112" t="str">
        <f>IF(Table10[[#This Row],[Affordable Care]]=0,"",Table10[[#This Row],[Affordable Care]])</f>
        <v/>
      </c>
      <c r="Q112"/>
      <c r="R112"/>
      <c r="S112"/>
      <c r="T112" t="str">
        <f>IF(Table10[[#This Row],[Bulk Lease Unit]]=0,"",Table10[[#This Row],[Bulk Lease Unit]])</f>
        <v/>
      </c>
      <c r="U112" t="str">
        <f>IF(Table10[[#This Row],[Den Included Unit]]=0,"",Table10[[#This Row],[Den Included Unit]])</f>
        <v/>
      </c>
      <c r="V112" t="str">
        <f>IF(Table10[[#This Row],[Second Bathroom]]=0,"",Table10[[#This Row],[Second Bathroom]])</f>
        <v/>
      </c>
      <c r="W112" t="str">
        <f>IF(Table10[[#This Row],[Heating]]=0,"",Table10[[#This Row],[Heating]])</f>
        <v/>
      </c>
      <c r="X112" t="str">
        <f>IF(Table10[[#This Row],[Electricity]]=0,"",Table10[[#This Row],[Electricity]])</f>
        <v/>
      </c>
      <c r="Y112" t="str">
        <f>IF(Table10[[#This Row],[Water]]=0,"",Table10[[#This Row],[Water]])</f>
        <v/>
      </c>
      <c r="Z112" t="str">
        <f>IF(Table10[[#This Row],[Washer/Dryer]]=0,"",Table10[[#This Row],[Washer/Dryer]])</f>
        <v/>
      </c>
      <c r="AA112" t="str">
        <f>IF(Table10[[#This Row],[Stove/Fridge]]=0,"",Table10[[#This Row],[Stove/Fridge]])</f>
        <v/>
      </c>
      <c r="AB112" t="str">
        <f>IF(Table10[[#This Row],[Dishwasher]]=0,"",Table10[[#This Row],[Dishwasher]])</f>
        <v/>
      </c>
      <c r="AC112" t="str">
        <f>IF(Table10[[#This Row],[Parking]]=0,"",Table10[[#This Row],[Parking]])</f>
        <v/>
      </c>
      <c r="AD112" t="str">
        <f>IF(Table10[[#This Row],[Furniture]]=0,"",Table10[[#This Row],[Furniture]])</f>
        <v/>
      </c>
      <c r="AE112" t="str">
        <f>IF(Table10[[#This Row],[Other]]=0,"",Table10[[#This Row],[Other]])</f>
        <v/>
      </c>
    </row>
    <row r="113" spans="1:31">
      <c r="A113" t="str">
        <f>IF(Table10[[#This Row],[Unit Type]]=0,"",Table10[[#This Row],[Unit Type]])</f>
        <v>2 Bedroom</v>
      </c>
      <c r="B113" t="str">
        <f>IF(Table10[[#This Row],[Residential Stream Source]]=0,"",Table10[[#This Row],[Residential Stream Source]])</f>
        <v/>
      </c>
      <c r="C113" t="str">
        <f>IF(Table10[[#This Row],[Basement?]]=0,"",Table10[[#This Row],[Basement?]])</f>
        <v/>
      </c>
      <c r="D113">
        <f>IF(Table10[[#This Row],[Unit '#]]=0,"",Table10[[#This Row],[Unit '#]])</f>
        <v>111</v>
      </c>
      <c r="E113" t="str">
        <f>IF(Table10[[#This Row],[Vacant?]]=0,"",Table10[[#This Row],[Vacant?]])</f>
        <v/>
      </c>
      <c r="F113">
        <f>IF(Table10[[#This Row],[Rental Rate ($/mth)]]=0,"",Table10[[#This Row],[Rental Rate ($/mth)]])</f>
        <v>3155</v>
      </c>
      <c r="G113"/>
      <c r="H113"/>
      <c r="I113"/>
      <c r="J113">
        <f>IF(Table10[[#This Row],[Unit Size (sq ft)]]=0,"",Table10[[#This Row],[Unit Size (sq ft)]])</f>
        <v>855</v>
      </c>
      <c r="K113"/>
      <c r="L113" t="str">
        <f>Table10[[#This Row],[Market Unit]]</f>
        <v>Yes</v>
      </c>
      <c r="M113" t="str">
        <f>Table10[[#This Row],[Affordable Unit]]</f>
        <v>No</v>
      </c>
      <c r="N113" t="str">
        <f>IF(Table10[[#This Row],[Subsidized Unit]]=0,"",Table10[[#This Row],[Subsidized Unit]])</f>
        <v/>
      </c>
      <c r="O113" t="str">
        <f>IF(Table10[[#This Row],[Care Services]]=0,"",Table10[[#This Row],[Care Services]])</f>
        <v/>
      </c>
      <c r="P113" t="str">
        <f>IF(Table10[[#This Row],[Affordable Care]]=0,"",Table10[[#This Row],[Affordable Care]])</f>
        <v/>
      </c>
      <c r="Q113"/>
      <c r="R113"/>
      <c r="S113"/>
      <c r="T113" t="str">
        <f>IF(Table10[[#This Row],[Bulk Lease Unit]]=0,"",Table10[[#This Row],[Bulk Lease Unit]])</f>
        <v/>
      </c>
      <c r="U113" t="str">
        <f>IF(Table10[[#This Row],[Den Included Unit]]=0,"",Table10[[#This Row],[Den Included Unit]])</f>
        <v/>
      </c>
      <c r="V113" t="str">
        <f>IF(Table10[[#This Row],[Second Bathroom]]=0,"",Table10[[#This Row],[Second Bathroom]])</f>
        <v/>
      </c>
      <c r="W113" t="str">
        <f>IF(Table10[[#This Row],[Heating]]=0,"",Table10[[#This Row],[Heating]])</f>
        <v/>
      </c>
      <c r="X113" t="str">
        <f>IF(Table10[[#This Row],[Electricity]]=0,"",Table10[[#This Row],[Electricity]])</f>
        <v/>
      </c>
      <c r="Y113" t="str">
        <f>IF(Table10[[#This Row],[Water]]=0,"",Table10[[#This Row],[Water]])</f>
        <v/>
      </c>
      <c r="Z113" t="str">
        <f>IF(Table10[[#This Row],[Washer/Dryer]]=0,"",Table10[[#This Row],[Washer/Dryer]])</f>
        <v/>
      </c>
      <c r="AA113" t="str">
        <f>IF(Table10[[#This Row],[Stove/Fridge]]=0,"",Table10[[#This Row],[Stove/Fridge]])</f>
        <v/>
      </c>
      <c r="AB113" t="str">
        <f>IF(Table10[[#This Row],[Dishwasher]]=0,"",Table10[[#This Row],[Dishwasher]])</f>
        <v/>
      </c>
      <c r="AC113" t="str">
        <f>IF(Table10[[#This Row],[Parking]]=0,"",Table10[[#This Row],[Parking]])</f>
        <v/>
      </c>
      <c r="AD113" t="str">
        <f>IF(Table10[[#This Row],[Furniture]]=0,"",Table10[[#This Row],[Furniture]])</f>
        <v/>
      </c>
      <c r="AE113" t="str">
        <f>IF(Table10[[#This Row],[Other]]=0,"",Table10[[#This Row],[Other]])</f>
        <v/>
      </c>
    </row>
    <row r="114" spans="1:31">
      <c r="A114" t="str">
        <f>IF(Table10[[#This Row],[Unit Type]]=0,"",Table10[[#This Row],[Unit Type]])</f>
        <v>2 Bedroom</v>
      </c>
      <c r="B114" t="str">
        <f>IF(Table10[[#This Row],[Residential Stream Source]]=0,"",Table10[[#This Row],[Residential Stream Source]])</f>
        <v/>
      </c>
      <c r="C114" t="str">
        <f>IF(Table10[[#This Row],[Basement?]]=0,"",Table10[[#This Row],[Basement?]])</f>
        <v/>
      </c>
      <c r="D114">
        <f>IF(Table10[[#This Row],[Unit '#]]=0,"",Table10[[#This Row],[Unit '#]])</f>
        <v>112</v>
      </c>
      <c r="E114" t="str">
        <f>IF(Table10[[#This Row],[Vacant?]]=0,"",Table10[[#This Row],[Vacant?]])</f>
        <v/>
      </c>
      <c r="F114">
        <f>IF(Table10[[#This Row],[Rental Rate ($/mth)]]=0,"",Table10[[#This Row],[Rental Rate ($/mth)]])</f>
        <v>3155</v>
      </c>
      <c r="G114"/>
      <c r="H114"/>
      <c r="I114"/>
      <c r="J114">
        <f>IF(Table10[[#This Row],[Unit Size (sq ft)]]=0,"",Table10[[#This Row],[Unit Size (sq ft)]])</f>
        <v>855</v>
      </c>
      <c r="K114"/>
      <c r="L114" t="str">
        <f>Table10[[#This Row],[Market Unit]]</f>
        <v>Yes</v>
      </c>
      <c r="M114" t="str">
        <f>Table10[[#This Row],[Affordable Unit]]</f>
        <v>No</v>
      </c>
      <c r="N114" t="str">
        <f>IF(Table10[[#This Row],[Subsidized Unit]]=0,"",Table10[[#This Row],[Subsidized Unit]])</f>
        <v/>
      </c>
      <c r="O114" t="str">
        <f>IF(Table10[[#This Row],[Care Services]]=0,"",Table10[[#This Row],[Care Services]])</f>
        <v/>
      </c>
      <c r="P114" t="str">
        <f>IF(Table10[[#This Row],[Affordable Care]]=0,"",Table10[[#This Row],[Affordable Care]])</f>
        <v/>
      </c>
      <c r="Q114"/>
      <c r="R114"/>
      <c r="S114"/>
      <c r="T114" t="str">
        <f>IF(Table10[[#This Row],[Bulk Lease Unit]]=0,"",Table10[[#This Row],[Bulk Lease Unit]])</f>
        <v/>
      </c>
      <c r="U114" t="str">
        <f>IF(Table10[[#This Row],[Den Included Unit]]=0,"",Table10[[#This Row],[Den Included Unit]])</f>
        <v/>
      </c>
      <c r="V114" t="str">
        <f>IF(Table10[[#This Row],[Second Bathroom]]=0,"",Table10[[#This Row],[Second Bathroom]])</f>
        <v/>
      </c>
      <c r="W114" t="str">
        <f>IF(Table10[[#This Row],[Heating]]=0,"",Table10[[#This Row],[Heating]])</f>
        <v/>
      </c>
      <c r="X114" t="str">
        <f>IF(Table10[[#This Row],[Electricity]]=0,"",Table10[[#This Row],[Electricity]])</f>
        <v/>
      </c>
      <c r="Y114" t="str">
        <f>IF(Table10[[#This Row],[Water]]=0,"",Table10[[#This Row],[Water]])</f>
        <v/>
      </c>
      <c r="Z114" t="str">
        <f>IF(Table10[[#This Row],[Washer/Dryer]]=0,"",Table10[[#This Row],[Washer/Dryer]])</f>
        <v/>
      </c>
      <c r="AA114" t="str">
        <f>IF(Table10[[#This Row],[Stove/Fridge]]=0,"",Table10[[#This Row],[Stove/Fridge]])</f>
        <v/>
      </c>
      <c r="AB114" t="str">
        <f>IF(Table10[[#This Row],[Dishwasher]]=0,"",Table10[[#This Row],[Dishwasher]])</f>
        <v/>
      </c>
      <c r="AC114" t="str">
        <f>IF(Table10[[#This Row],[Parking]]=0,"",Table10[[#This Row],[Parking]])</f>
        <v/>
      </c>
      <c r="AD114" t="str">
        <f>IF(Table10[[#This Row],[Furniture]]=0,"",Table10[[#This Row],[Furniture]])</f>
        <v/>
      </c>
      <c r="AE114" t="str">
        <f>IF(Table10[[#This Row],[Other]]=0,"",Table10[[#This Row],[Other]])</f>
        <v/>
      </c>
    </row>
    <row r="115" spans="1:31">
      <c r="A115" t="str">
        <f>IF(Table10[[#This Row],[Unit Type]]=0,"",Table10[[#This Row],[Unit Type]])</f>
        <v>2 Bedroom</v>
      </c>
      <c r="B115" t="str">
        <f>IF(Table10[[#This Row],[Residential Stream Source]]=0,"",Table10[[#This Row],[Residential Stream Source]])</f>
        <v/>
      </c>
      <c r="C115" t="str">
        <f>IF(Table10[[#This Row],[Basement?]]=0,"",Table10[[#This Row],[Basement?]])</f>
        <v/>
      </c>
      <c r="D115">
        <f>IF(Table10[[#This Row],[Unit '#]]=0,"",Table10[[#This Row],[Unit '#]])</f>
        <v>113</v>
      </c>
      <c r="E115" t="str">
        <f>IF(Table10[[#This Row],[Vacant?]]=0,"",Table10[[#This Row],[Vacant?]])</f>
        <v/>
      </c>
      <c r="F115">
        <f>IF(Table10[[#This Row],[Rental Rate ($/mth)]]=0,"",Table10[[#This Row],[Rental Rate ($/mth)]])</f>
        <v>3155</v>
      </c>
      <c r="G115"/>
      <c r="H115"/>
      <c r="I115"/>
      <c r="J115">
        <f>IF(Table10[[#This Row],[Unit Size (sq ft)]]=0,"",Table10[[#This Row],[Unit Size (sq ft)]])</f>
        <v>855</v>
      </c>
      <c r="K115"/>
      <c r="L115" t="str">
        <f>Table10[[#This Row],[Market Unit]]</f>
        <v>Yes</v>
      </c>
      <c r="M115" t="str">
        <f>Table10[[#This Row],[Affordable Unit]]</f>
        <v>No</v>
      </c>
      <c r="N115" t="str">
        <f>IF(Table10[[#This Row],[Subsidized Unit]]=0,"",Table10[[#This Row],[Subsidized Unit]])</f>
        <v/>
      </c>
      <c r="O115" t="str">
        <f>IF(Table10[[#This Row],[Care Services]]=0,"",Table10[[#This Row],[Care Services]])</f>
        <v/>
      </c>
      <c r="P115" t="str">
        <f>IF(Table10[[#This Row],[Affordable Care]]=0,"",Table10[[#This Row],[Affordable Care]])</f>
        <v/>
      </c>
      <c r="Q115"/>
      <c r="R115"/>
      <c r="S115"/>
      <c r="T115" t="str">
        <f>IF(Table10[[#This Row],[Bulk Lease Unit]]=0,"",Table10[[#This Row],[Bulk Lease Unit]])</f>
        <v/>
      </c>
      <c r="U115" t="str">
        <f>IF(Table10[[#This Row],[Den Included Unit]]=0,"",Table10[[#This Row],[Den Included Unit]])</f>
        <v/>
      </c>
      <c r="V115" t="str">
        <f>IF(Table10[[#This Row],[Second Bathroom]]=0,"",Table10[[#This Row],[Second Bathroom]])</f>
        <v/>
      </c>
      <c r="W115" t="str">
        <f>IF(Table10[[#This Row],[Heating]]=0,"",Table10[[#This Row],[Heating]])</f>
        <v/>
      </c>
      <c r="X115" t="str">
        <f>IF(Table10[[#This Row],[Electricity]]=0,"",Table10[[#This Row],[Electricity]])</f>
        <v/>
      </c>
      <c r="Y115" t="str">
        <f>IF(Table10[[#This Row],[Water]]=0,"",Table10[[#This Row],[Water]])</f>
        <v/>
      </c>
      <c r="Z115" t="str">
        <f>IF(Table10[[#This Row],[Washer/Dryer]]=0,"",Table10[[#This Row],[Washer/Dryer]])</f>
        <v/>
      </c>
      <c r="AA115" t="str">
        <f>IF(Table10[[#This Row],[Stove/Fridge]]=0,"",Table10[[#This Row],[Stove/Fridge]])</f>
        <v/>
      </c>
      <c r="AB115" t="str">
        <f>IF(Table10[[#This Row],[Dishwasher]]=0,"",Table10[[#This Row],[Dishwasher]])</f>
        <v/>
      </c>
      <c r="AC115" t="str">
        <f>IF(Table10[[#This Row],[Parking]]=0,"",Table10[[#This Row],[Parking]])</f>
        <v/>
      </c>
      <c r="AD115" t="str">
        <f>IF(Table10[[#This Row],[Furniture]]=0,"",Table10[[#This Row],[Furniture]])</f>
        <v/>
      </c>
      <c r="AE115" t="str">
        <f>IF(Table10[[#This Row],[Other]]=0,"",Table10[[#This Row],[Other]])</f>
        <v/>
      </c>
    </row>
    <row r="116" spans="1:31">
      <c r="A116" t="str">
        <f>IF(Table10[[#This Row],[Unit Type]]=0,"",Table10[[#This Row],[Unit Type]])</f>
        <v>2 Bedroom</v>
      </c>
      <c r="B116" t="str">
        <f>IF(Table10[[#This Row],[Residential Stream Source]]=0,"",Table10[[#This Row],[Residential Stream Source]])</f>
        <v/>
      </c>
      <c r="C116" t="str">
        <f>IF(Table10[[#This Row],[Basement?]]=0,"",Table10[[#This Row],[Basement?]])</f>
        <v/>
      </c>
      <c r="D116">
        <f>IF(Table10[[#This Row],[Unit '#]]=0,"",Table10[[#This Row],[Unit '#]])</f>
        <v>114</v>
      </c>
      <c r="E116" t="str">
        <f>IF(Table10[[#This Row],[Vacant?]]=0,"",Table10[[#This Row],[Vacant?]])</f>
        <v/>
      </c>
      <c r="F116">
        <f>IF(Table10[[#This Row],[Rental Rate ($/mth)]]=0,"",Table10[[#This Row],[Rental Rate ($/mth)]])</f>
        <v>3155</v>
      </c>
      <c r="G116"/>
      <c r="H116"/>
      <c r="I116"/>
      <c r="J116">
        <f>IF(Table10[[#This Row],[Unit Size (sq ft)]]=0,"",Table10[[#This Row],[Unit Size (sq ft)]])</f>
        <v>855</v>
      </c>
      <c r="K116"/>
      <c r="L116" t="str">
        <f>Table10[[#This Row],[Market Unit]]</f>
        <v>Yes</v>
      </c>
      <c r="M116" t="str">
        <f>Table10[[#This Row],[Affordable Unit]]</f>
        <v>No</v>
      </c>
      <c r="N116" t="str">
        <f>IF(Table10[[#This Row],[Subsidized Unit]]=0,"",Table10[[#This Row],[Subsidized Unit]])</f>
        <v/>
      </c>
      <c r="O116" t="str">
        <f>IF(Table10[[#This Row],[Care Services]]=0,"",Table10[[#This Row],[Care Services]])</f>
        <v/>
      </c>
      <c r="P116" t="str">
        <f>IF(Table10[[#This Row],[Affordable Care]]=0,"",Table10[[#This Row],[Affordable Care]])</f>
        <v/>
      </c>
      <c r="Q116"/>
      <c r="R116"/>
      <c r="S116"/>
      <c r="T116" t="str">
        <f>IF(Table10[[#This Row],[Bulk Lease Unit]]=0,"",Table10[[#This Row],[Bulk Lease Unit]])</f>
        <v/>
      </c>
      <c r="U116" t="str">
        <f>IF(Table10[[#This Row],[Den Included Unit]]=0,"",Table10[[#This Row],[Den Included Unit]])</f>
        <v/>
      </c>
      <c r="V116" t="str">
        <f>IF(Table10[[#This Row],[Second Bathroom]]=0,"",Table10[[#This Row],[Second Bathroom]])</f>
        <v/>
      </c>
      <c r="W116" t="str">
        <f>IF(Table10[[#This Row],[Heating]]=0,"",Table10[[#This Row],[Heating]])</f>
        <v/>
      </c>
      <c r="X116" t="str">
        <f>IF(Table10[[#This Row],[Electricity]]=0,"",Table10[[#This Row],[Electricity]])</f>
        <v/>
      </c>
      <c r="Y116" t="str">
        <f>IF(Table10[[#This Row],[Water]]=0,"",Table10[[#This Row],[Water]])</f>
        <v/>
      </c>
      <c r="Z116" t="str">
        <f>IF(Table10[[#This Row],[Washer/Dryer]]=0,"",Table10[[#This Row],[Washer/Dryer]])</f>
        <v/>
      </c>
      <c r="AA116" t="str">
        <f>IF(Table10[[#This Row],[Stove/Fridge]]=0,"",Table10[[#This Row],[Stove/Fridge]])</f>
        <v/>
      </c>
      <c r="AB116" t="str">
        <f>IF(Table10[[#This Row],[Dishwasher]]=0,"",Table10[[#This Row],[Dishwasher]])</f>
        <v/>
      </c>
      <c r="AC116" t="str">
        <f>IF(Table10[[#This Row],[Parking]]=0,"",Table10[[#This Row],[Parking]])</f>
        <v/>
      </c>
      <c r="AD116" t="str">
        <f>IF(Table10[[#This Row],[Furniture]]=0,"",Table10[[#This Row],[Furniture]])</f>
        <v/>
      </c>
      <c r="AE116" t="str">
        <f>IF(Table10[[#This Row],[Other]]=0,"",Table10[[#This Row],[Other]])</f>
        <v/>
      </c>
    </row>
    <row r="117" spans="1:31">
      <c r="A117" t="str">
        <f>IF(Table10[[#This Row],[Unit Type]]=0,"",Table10[[#This Row],[Unit Type]])</f>
        <v>2 Bedroom</v>
      </c>
      <c r="B117" t="str">
        <f>IF(Table10[[#This Row],[Residential Stream Source]]=0,"",Table10[[#This Row],[Residential Stream Source]])</f>
        <v/>
      </c>
      <c r="C117" t="str">
        <f>IF(Table10[[#This Row],[Basement?]]=0,"",Table10[[#This Row],[Basement?]])</f>
        <v/>
      </c>
      <c r="D117">
        <f>IF(Table10[[#This Row],[Unit '#]]=0,"",Table10[[#This Row],[Unit '#]])</f>
        <v>115</v>
      </c>
      <c r="E117" t="str">
        <f>IF(Table10[[#This Row],[Vacant?]]=0,"",Table10[[#This Row],[Vacant?]])</f>
        <v/>
      </c>
      <c r="F117">
        <f>IF(Table10[[#This Row],[Rental Rate ($/mth)]]=0,"",Table10[[#This Row],[Rental Rate ($/mth)]])</f>
        <v>3155</v>
      </c>
      <c r="G117"/>
      <c r="H117"/>
      <c r="I117"/>
      <c r="J117">
        <f>IF(Table10[[#This Row],[Unit Size (sq ft)]]=0,"",Table10[[#This Row],[Unit Size (sq ft)]])</f>
        <v>855</v>
      </c>
      <c r="K117"/>
      <c r="L117" t="str">
        <f>Table10[[#This Row],[Market Unit]]</f>
        <v>Yes</v>
      </c>
      <c r="M117" t="str">
        <f>Table10[[#This Row],[Affordable Unit]]</f>
        <v>No</v>
      </c>
      <c r="N117" t="str">
        <f>IF(Table10[[#This Row],[Subsidized Unit]]=0,"",Table10[[#This Row],[Subsidized Unit]])</f>
        <v/>
      </c>
      <c r="O117" t="str">
        <f>IF(Table10[[#This Row],[Care Services]]=0,"",Table10[[#This Row],[Care Services]])</f>
        <v/>
      </c>
      <c r="P117" t="str">
        <f>IF(Table10[[#This Row],[Affordable Care]]=0,"",Table10[[#This Row],[Affordable Care]])</f>
        <v/>
      </c>
      <c r="Q117"/>
      <c r="R117"/>
      <c r="S117"/>
      <c r="T117" t="str">
        <f>IF(Table10[[#This Row],[Bulk Lease Unit]]=0,"",Table10[[#This Row],[Bulk Lease Unit]])</f>
        <v/>
      </c>
      <c r="U117" t="str">
        <f>IF(Table10[[#This Row],[Den Included Unit]]=0,"",Table10[[#This Row],[Den Included Unit]])</f>
        <v/>
      </c>
      <c r="V117" t="str">
        <f>IF(Table10[[#This Row],[Second Bathroom]]=0,"",Table10[[#This Row],[Second Bathroom]])</f>
        <v/>
      </c>
      <c r="W117" t="str">
        <f>IF(Table10[[#This Row],[Heating]]=0,"",Table10[[#This Row],[Heating]])</f>
        <v/>
      </c>
      <c r="X117" t="str">
        <f>IF(Table10[[#This Row],[Electricity]]=0,"",Table10[[#This Row],[Electricity]])</f>
        <v/>
      </c>
      <c r="Y117" t="str">
        <f>IF(Table10[[#This Row],[Water]]=0,"",Table10[[#This Row],[Water]])</f>
        <v/>
      </c>
      <c r="Z117" t="str">
        <f>IF(Table10[[#This Row],[Washer/Dryer]]=0,"",Table10[[#This Row],[Washer/Dryer]])</f>
        <v/>
      </c>
      <c r="AA117" t="str">
        <f>IF(Table10[[#This Row],[Stove/Fridge]]=0,"",Table10[[#This Row],[Stove/Fridge]])</f>
        <v/>
      </c>
      <c r="AB117" t="str">
        <f>IF(Table10[[#This Row],[Dishwasher]]=0,"",Table10[[#This Row],[Dishwasher]])</f>
        <v/>
      </c>
      <c r="AC117" t="str">
        <f>IF(Table10[[#This Row],[Parking]]=0,"",Table10[[#This Row],[Parking]])</f>
        <v/>
      </c>
      <c r="AD117" t="str">
        <f>IF(Table10[[#This Row],[Furniture]]=0,"",Table10[[#This Row],[Furniture]])</f>
        <v/>
      </c>
      <c r="AE117" t="str">
        <f>IF(Table10[[#This Row],[Other]]=0,"",Table10[[#This Row],[Other]])</f>
        <v/>
      </c>
    </row>
    <row r="118" spans="1:31">
      <c r="A118" t="str">
        <f>IF(Table10[[#This Row],[Unit Type]]=0,"",Table10[[#This Row],[Unit Type]])</f>
        <v>2 Bedroom</v>
      </c>
      <c r="B118" t="str">
        <f>IF(Table10[[#This Row],[Residential Stream Source]]=0,"",Table10[[#This Row],[Residential Stream Source]])</f>
        <v/>
      </c>
      <c r="C118" t="str">
        <f>IF(Table10[[#This Row],[Basement?]]=0,"",Table10[[#This Row],[Basement?]])</f>
        <v/>
      </c>
      <c r="D118">
        <f>IF(Table10[[#This Row],[Unit '#]]=0,"",Table10[[#This Row],[Unit '#]])</f>
        <v>116</v>
      </c>
      <c r="E118" t="str">
        <f>IF(Table10[[#This Row],[Vacant?]]=0,"",Table10[[#This Row],[Vacant?]])</f>
        <v/>
      </c>
      <c r="F118">
        <f>IF(Table10[[#This Row],[Rental Rate ($/mth)]]=0,"",Table10[[#This Row],[Rental Rate ($/mth)]])</f>
        <v>3155</v>
      </c>
      <c r="G118"/>
      <c r="H118"/>
      <c r="I118"/>
      <c r="J118">
        <f>IF(Table10[[#This Row],[Unit Size (sq ft)]]=0,"",Table10[[#This Row],[Unit Size (sq ft)]])</f>
        <v>855</v>
      </c>
      <c r="K118"/>
      <c r="L118" t="str">
        <f>Table10[[#This Row],[Market Unit]]</f>
        <v>Yes</v>
      </c>
      <c r="M118" t="str">
        <f>Table10[[#This Row],[Affordable Unit]]</f>
        <v>No</v>
      </c>
      <c r="N118" t="str">
        <f>IF(Table10[[#This Row],[Subsidized Unit]]=0,"",Table10[[#This Row],[Subsidized Unit]])</f>
        <v/>
      </c>
      <c r="O118" t="str">
        <f>IF(Table10[[#This Row],[Care Services]]=0,"",Table10[[#This Row],[Care Services]])</f>
        <v/>
      </c>
      <c r="P118" t="str">
        <f>IF(Table10[[#This Row],[Affordable Care]]=0,"",Table10[[#This Row],[Affordable Care]])</f>
        <v/>
      </c>
      <c r="Q118"/>
      <c r="R118"/>
      <c r="S118"/>
      <c r="T118" t="str">
        <f>IF(Table10[[#This Row],[Bulk Lease Unit]]=0,"",Table10[[#This Row],[Bulk Lease Unit]])</f>
        <v/>
      </c>
      <c r="U118" t="str">
        <f>IF(Table10[[#This Row],[Den Included Unit]]=0,"",Table10[[#This Row],[Den Included Unit]])</f>
        <v/>
      </c>
      <c r="V118" t="str">
        <f>IF(Table10[[#This Row],[Second Bathroom]]=0,"",Table10[[#This Row],[Second Bathroom]])</f>
        <v/>
      </c>
      <c r="W118" t="str">
        <f>IF(Table10[[#This Row],[Heating]]=0,"",Table10[[#This Row],[Heating]])</f>
        <v/>
      </c>
      <c r="X118" t="str">
        <f>IF(Table10[[#This Row],[Electricity]]=0,"",Table10[[#This Row],[Electricity]])</f>
        <v/>
      </c>
      <c r="Y118" t="str">
        <f>IF(Table10[[#This Row],[Water]]=0,"",Table10[[#This Row],[Water]])</f>
        <v/>
      </c>
      <c r="Z118" t="str">
        <f>IF(Table10[[#This Row],[Washer/Dryer]]=0,"",Table10[[#This Row],[Washer/Dryer]])</f>
        <v/>
      </c>
      <c r="AA118" t="str">
        <f>IF(Table10[[#This Row],[Stove/Fridge]]=0,"",Table10[[#This Row],[Stove/Fridge]])</f>
        <v/>
      </c>
      <c r="AB118" t="str">
        <f>IF(Table10[[#This Row],[Dishwasher]]=0,"",Table10[[#This Row],[Dishwasher]])</f>
        <v/>
      </c>
      <c r="AC118" t="str">
        <f>IF(Table10[[#This Row],[Parking]]=0,"",Table10[[#This Row],[Parking]])</f>
        <v/>
      </c>
      <c r="AD118" t="str">
        <f>IF(Table10[[#This Row],[Furniture]]=0,"",Table10[[#This Row],[Furniture]])</f>
        <v/>
      </c>
      <c r="AE118" t="str">
        <f>IF(Table10[[#This Row],[Other]]=0,"",Table10[[#This Row],[Other]])</f>
        <v/>
      </c>
    </row>
    <row r="119" spans="1:31">
      <c r="A119" t="str">
        <f>IF(Table10[[#This Row],[Unit Type]]=0,"",Table10[[#This Row],[Unit Type]])</f>
        <v>2 Bedroom</v>
      </c>
      <c r="B119" t="str">
        <f>IF(Table10[[#This Row],[Residential Stream Source]]=0,"",Table10[[#This Row],[Residential Stream Source]])</f>
        <v/>
      </c>
      <c r="C119" t="str">
        <f>IF(Table10[[#This Row],[Basement?]]=0,"",Table10[[#This Row],[Basement?]])</f>
        <v/>
      </c>
      <c r="D119">
        <f>IF(Table10[[#This Row],[Unit '#]]=0,"",Table10[[#This Row],[Unit '#]])</f>
        <v>117</v>
      </c>
      <c r="E119" t="str">
        <f>IF(Table10[[#This Row],[Vacant?]]=0,"",Table10[[#This Row],[Vacant?]])</f>
        <v/>
      </c>
      <c r="F119">
        <f>IF(Table10[[#This Row],[Rental Rate ($/mth)]]=0,"",Table10[[#This Row],[Rental Rate ($/mth)]])</f>
        <v>3155</v>
      </c>
      <c r="G119"/>
      <c r="H119"/>
      <c r="I119"/>
      <c r="J119">
        <f>IF(Table10[[#This Row],[Unit Size (sq ft)]]=0,"",Table10[[#This Row],[Unit Size (sq ft)]])</f>
        <v>855</v>
      </c>
      <c r="K119"/>
      <c r="L119" t="str">
        <f>Table10[[#This Row],[Market Unit]]</f>
        <v>Yes</v>
      </c>
      <c r="M119" t="str">
        <f>Table10[[#This Row],[Affordable Unit]]</f>
        <v>No</v>
      </c>
      <c r="N119" t="str">
        <f>IF(Table10[[#This Row],[Subsidized Unit]]=0,"",Table10[[#This Row],[Subsidized Unit]])</f>
        <v/>
      </c>
      <c r="O119" t="str">
        <f>IF(Table10[[#This Row],[Care Services]]=0,"",Table10[[#This Row],[Care Services]])</f>
        <v/>
      </c>
      <c r="P119" t="str">
        <f>IF(Table10[[#This Row],[Affordable Care]]=0,"",Table10[[#This Row],[Affordable Care]])</f>
        <v/>
      </c>
      <c r="Q119"/>
      <c r="R119"/>
      <c r="S119"/>
      <c r="T119" t="str">
        <f>IF(Table10[[#This Row],[Bulk Lease Unit]]=0,"",Table10[[#This Row],[Bulk Lease Unit]])</f>
        <v/>
      </c>
      <c r="U119" t="str">
        <f>IF(Table10[[#This Row],[Den Included Unit]]=0,"",Table10[[#This Row],[Den Included Unit]])</f>
        <v/>
      </c>
      <c r="V119" t="str">
        <f>IF(Table10[[#This Row],[Second Bathroom]]=0,"",Table10[[#This Row],[Second Bathroom]])</f>
        <v/>
      </c>
      <c r="W119" t="str">
        <f>IF(Table10[[#This Row],[Heating]]=0,"",Table10[[#This Row],[Heating]])</f>
        <v/>
      </c>
      <c r="X119" t="str">
        <f>IF(Table10[[#This Row],[Electricity]]=0,"",Table10[[#This Row],[Electricity]])</f>
        <v/>
      </c>
      <c r="Y119" t="str">
        <f>IF(Table10[[#This Row],[Water]]=0,"",Table10[[#This Row],[Water]])</f>
        <v/>
      </c>
      <c r="Z119" t="str">
        <f>IF(Table10[[#This Row],[Washer/Dryer]]=0,"",Table10[[#This Row],[Washer/Dryer]])</f>
        <v/>
      </c>
      <c r="AA119" t="str">
        <f>IF(Table10[[#This Row],[Stove/Fridge]]=0,"",Table10[[#This Row],[Stove/Fridge]])</f>
        <v/>
      </c>
      <c r="AB119" t="str">
        <f>IF(Table10[[#This Row],[Dishwasher]]=0,"",Table10[[#This Row],[Dishwasher]])</f>
        <v/>
      </c>
      <c r="AC119" t="str">
        <f>IF(Table10[[#This Row],[Parking]]=0,"",Table10[[#This Row],[Parking]])</f>
        <v/>
      </c>
      <c r="AD119" t="str">
        <f>IF(Table10[[#This Row],[Furniture]]=0,"",Table10[[#This Row],[Furniture]])</f>
        <v/>
      </c>
      <c r="AE119" t="str">
        <f>IF(Table10[[#This Row],[Other]]=0,"",Table10[[#This Row],[Other]])</f>
        <v/>
      </c>
    </row>
    <row r="120" spans="1:31">
      <c r="A120" t="str">
        <f>IF(Table10[[#This Row],[Unit Type]]=0,"",Table10[[#This Row],[Unit Type]])</f>
        <v>2 Bedroom</v>
      </c>
      <c r="B120" t="str">
        <f>IF(Table10[[#This Row],[Residential Stream Source]]=0,"",Table10[[#This Row],[Residential Stream Source]])</f>
        <v/>
      </c>
      <c r="C120" t="str">
        <f>IF(Table10[[#This Row],[Basement?]]=0,"",Table10[[#This Row],[Basement?]])</f>
        <v/>
      </c>
      <c r="D120">
        <f>IF(Table10[[#This Row],[Unit '#]]=0,"",Table10[[#This Row],[Unit '#]])</f>
        <v>118</v>
      </c>
      <c r="E120" t="str">
        <f>IF(Table10[[#This Row],[Vacant?]]=0,"",Table10[[#This Row],[Vacant?]])</f>
        <v/>
      </c>
      <c r="F120">
        <f>IF(Table10[[#This Row],[Rental Rate ($/mth)]]=0,"",Table10[[#This Row],[Rental Rate ($/mth)]])</f>
        <v>3155</v>
      </c>
      <c r="G120"/>
      <c r="H120"/>
      <c r="I120"/>
      <c r="J120">
        <f>IF(Table10[[#This Row],[Unit Size (sq ft)]]=0,"",Table10[[#This Row],[Unit Size (sq ft)]])</f>
        <v>855</v>
      </c>
      <c r="K120"/>
      <c r="L120" t="str">
        <f>Table10[[#This Row],[Market Unit]]</f>
        <v>Yes</v>
      </c>
      <c r="M120" t="str">
        <f>Table10[[#This Row],[Affordable Unit]]</f>
        <v>No</v>
      </c>
      <c r="N120" t="str">
        <f>IF(Table10[[#This Row],[Subsidized Unit]]=0,"",Table10[[#This Row],[Subsidized Unit]])</f>
        <v/>
      </c>
      <c r="O120" t="str">
        <f>IF(Table10[[#This Row],[Care Services]]=0,"",Table10[[#This Row],[Care Services]])</f>
        <v/>
      </c>
      <c r="P120" t="str">
        <f>IF(Table10[[#This Row],[Affordable Care]]=0,"",Table10[[#This Row],[Affordable Care]])</f>
        <v/>
      </c>
      <c r="Q120"/>
      <c r="R120"/>
      <c r="S120"/>
      <c r="T120" t="str">
        <f>IF(Table10[[#This Row],[Bulk Lease Unit]]=0,"",Table10[[#This Row],[Bulk Lease Unit]])</f>
        <v/>
      </c>
      <c r="U120" t="str">
        <f>IF(Table10[[#This Row],[Den Included Unit]]=0,"",Table10[[#This Row],[Den Included Unit]])</f>
        <v/>
      </c>
      <c r="V120" t="str">
        <f>IF(Table10[[#This Row],[Second Bathroom]]=0,"",Table10[[#This Row],[Second Bathroom]])</f>
        <v/>
      </c>
      <c r="W120" t="str">
        <f>IF(Table10[[#This Row],[Heating]]=0,"",Table10[[#This Row],[Heating]])</f>
        <v/>
      </c>
      <c r="X120" t="str">
        <f>IF(Table10[[#This Row],[Electricity]]=0,"",Table10[[#This Row],[Electricity]])</f>
        <v/>
      </c>
      <c r="Y120" t="str">
        <f>IF(Table10[[#This Row],[Water]]=0,"",Table10[[#This Row],[Water]])</f>
        <v/>
      </c>
      <c r="Z120" t="str">
        <f>IF(Table10[[#This Row],[Washer/Dryer]]=0,"",Table10[[#This Row],[Washer/Dryer]])</f>
        <v/>
      </c>
      <c r="AA120" t="str">
        <f>IF(Table10[[#This Row],[Stove/Fridge]]=0,"",Table10[[#This Row],[Stove/Fridge]])</f>
        <v/>
      </c>
      <c r="AB120" t="str">
        <f>IF(Table10[[#This Row],[Dishwasher]]=0,"",Table10[[#This Row],[Dishwasher]])</f>
        <v/>
      </c>
      <c r="AC120" t="str">
        <f>IF(Table10[[#This Row],[Parking]]=0,"",Table10[[#This Row],[Parking]])</f>
        <v/>
      </c>
      <c r="AD120" t="str">
        <f>IF(Table10[[#This Row],[Furniture]]=0,"",Table10[[#This Row],[Furniture]])</f>
        <v/>
      </c>
      <c r="AE120" t="str">
        <f>IF(Table10[[#This Row],[Other]]=0,"",Table10[[#This Row],[Other]])</f>
        <v/>
      </c>
    </row>
    <row r="121" spans="1:31">
      <c r="A121" t="str">
        <f>IF(Table10[[#This Row],[Unit Type]]=0,"",Table10[[#This Row],[Unit Type]])</f>
        <v>2 Bedroom</v>
      </c>
      <c r="B121" t="str">
        <f>IF(Table10[[#This Row],[Residential Stream Source]]=0,"",Table10[[#This Row],[Residential Stream Source]])</f>
        <v/>
      </c>
      <c r="C121" t="str">
        <f>IF(Table10[[#This Row],[Basement?]]=0,"",Table10[[#This Row],[Basement?]])</f>
        <v/>
      </c>
      <c r="D121">
        <f>IF(Table10[[#This Row],[Unit '#]]=0,"",Table10[[#This Row],[Unit '#]])</f>
        <v>119</v>
      </c>
      <c r="E121" t="str">
        <f>IF(Table10[[#This Row],[Vacant?]]=0,"",Table10[[#This Row],[Vacant?]])</f>
        <v/>
      </c>
      <c r="F121">
        <f>IF(Table10[[#This Row],[Rental Rate ($/mth)]]=0,"",Table10[[#This Row],[Rental Rate ($/mth)]])</f>
        <v>3155</v>
      </c>
      <c r="G121"/>
      <c r="H121"/>
      <c r="I121"/>
      <c r="J121">
        <f>IF(Table10[[#This Row],[Unit Size (sq ft)]]=0,"",Table10[[#This Row],[Unit Size (sq ft)]])</f>
        <v>855</v>
      </c>
      <c r="K121"/>
      <c r="L121" t="str">
        <f>Table10[[#This Row],[Market Unit]]</f>
        <v>Yes</v>
      </c>
      <c r="M121" t="str">
        <f>Table10[[#This Row],[Affordable Unit]]</f>
        <v>No</v>
      </c>
      <c r="N121" t="str">
        <f>IF(Table10[[#This Row],[Subsidized Unit]]=0,"",Table10[[#This Row],[Subsidized Unit]])</f>
        <v/>
      </c>
      <c r="O121" t="str">
        <f>IF(Table10[[#This Row],[Care Services]]=0,"",Table10[[#This Row],[Care Services]])</f>
        <v/>
      </c>
      <c r="P121" t="str">
        <f>IF(Table10[[#This Row],[Affordable Care]]=0,"",Table10[[#This Row],[Affordable Care]])</f>
        <v/>
      </c>
      <c r="Q121"/>
      <c r="R121"/>
      <c r="S121"/>
      <c r="T121" t="str">
        <f>IF(Table10[[#This Row],[Bulk Lease Unit]]=0,"",Table10[[#This Row],[Bulk Lease Unit]])</f>
        <v/>
      </c>
      <c r="U121" t="str">
        <f>IF(Table10[[#This Row],[Den Included Unit]]=0,"",Table10[[#This Row],[Den Included Unit]])</f>
        <v/>
      </c>
      <c r="V121" t="str">
        <f>IF(Table10[[#This Row],[Second Bathroom]]=0,"",Table10[[#This Row],[Second Bathroom]])</f>
        <v/>
      </c>
      <c r="W121" t="str">
        <f>IF(Table10[[#This Row],[Heating]]=0,"",Table10[[#This Row],[Heating]])</f>
        <v/>
      </c>
      <c r="X121" t="str">
        <f>IF(Table10[[#This Row],[Electricity]]=0,"",Table10[[#This Row],[Electricity]])</f>
        <v/>
      </c>
      <c r="Y121" t="str">
        <f>IF(Table10[[#This Row],[Water]]=0,"",Table10[[#This Row],[Water]])</f>
        <v/>
      </c>
      <c r="Z121" t="str">
        <f>IF(Table10[[#This Row],[Washer/Dryer]]=0,"",Table10[[#This Row],[Washer/Dryer]])</f>
        <v/>
      </c>
      <c r="AA121" t="str">
        <f>IF(Table10[[#This Row],[Stove/Fridge]]=0,"",Table10[[#This Row],[Stove/Fridge]])</f>
        <v/>
      </c>
      <c r="AB121" t="str">
        <f>IF(Table10[[#This Row],[Dishwasher]]=0,"",Table10[[#This Row],[Dishwasher]])</f>
        <v/>
      </c>
      <c r="AC121" t="str">
        <f>IF(Table10[[#This Row],[Parking]]=0,"",Table10[[#This Row],[Parking]])</f>
        <v/>
      </c>
      <c r="AD121" t="str">
        <f>IF(Table10[[#This Row],[Furniture]]=0,"",Table10[[#This Row],[Furniture]])</f>
        <v/>
      </c>
      <c r="AE121" t="str">
        <f>IF(Table10[[#This Row],[Other]]=0,"",Table10[[#This Row],[Other]])</f>
        <v/>
      </c>
    </row>
    <row r="122" spans="1:31">
      <c r="A122" t="str">
        <f>IF(Table10[[#This Row],[Unit Type]]=0,"",Table10[[#This Row],[Unit Type]])</f>
        <v>2 Bedroom</v>
      </c>
      <c r="B122" t="str">
        <f>IF(Table10[[#This Row],[Residential Stream Source]]=0,"",Table10[[#This Row],[Residential Stream Source]])</f>
        <v/>
      </c>
      <c r="C122" t="str">
        <f>IF(Table10[[#This Row],[Basement?]]=0,"",Table10[[#This Row],[Basement?]])</f>
        <v/>
      </c>
      <c r="D122">
        <f>IF(Table10[[#This Row],[Unit '#]]=0,"",Table10[[#This Row],[Unit '#]])</f>
        <v>120</v>
      </c>
      <c r="E122" t="str">
        <f>IF(Table10[[#This Row],[Vacant?]]=0,"",Table10[[#This Row],[Vacant?]])</f>
        <v/>
      </c>
      <c r="F122">
        <f>IF(Table10[[#This Row],[Rental Rate ($/mth)]]=0,"",Table10[[#This Row],[Rental Rate ($/mth)]])</f>
        <v>3155</v>
      </c>
      <c r="G122"/>
      <c r="H122"/>
      <c r="I122"/>
      <c r="J122">
        <f>IF(Table10[[#This Row],[Unit Size (sq ft)]]=0,"",Table10[[#This Row],[Unit Size (sq ft)]])</f>
        <v>855</v>
      </c>
      <c r="K122"/>
      <c r="L122" t="str">
        <f>Table10[[#This Row],[Market Unit]]</f>
        <v>Yes</v>
      </c>
      <c r="M122" t="str">
        <f>Table10[[#This Row],[Affordable Unit]]</f>
        <v>No</v>
      </c>
      <c r="N122" t="str">
        <f>IF(Table10[[#This Row],[Subsidized Unit]]=0,"",Table10[[#This Row],[Subsidized Unit]])</f>
        <v/>
      </c>
      <c r="O122" t="str">
        <f>IF(Table10[[#This Row],[Care Services]]=0,"",Table10[[#This Row],[Care Services]])</f>
        <v/>
      </c>
      <c r="P122" t="str">
        <f>IF(Table10[[#This Row],[Affordable Care]]=0,"",Table10[[#This Row],[Affordable Care]])</f>
        <v/>
      </c>
      <c r="Q122"/>
      <c r="R122"/>
      <c r="S122"/>
      <c r="T122" t="str">
        <f>IF(Table10[[#This Row],[Bulk Lease Unit]]=0,"",Table10[[#This Row],[Bulk Lease Unit]])</f>
        <v/>
      </c>
      <c r="U122" t="str">
        <f>IF(Table10[[#This Row],[Den Included Unit]]=0,"",Table10[[#This Row],[Den Included Unit]])</f>
        <v/>
      </c>
      <c r="V122" t="str">
        <f>IF(Table10[[#This Row],[Second Bathroom]]=0,"",Table10[[#This Row],[Second Bathroom]])</f>
        <v/>
      </c>
      <c r="W122" t="str">
        <f>IF(Table10[[#This Row],[Heating]]=0,"",Table10[[#This Row],[Heating]])</f>
        <v/>
      </c>
      <c r="X122" t="str">
        <f>IF(Table10[[#This Row],[Electricity]]=0,"",Table10[[#This Row],[Electricity]])</f>
        <v/>
      </c>
      <c r="Y122" t="str">
        <f>IF(Table10[[#This Row],[Water]]=0,"",Table10[[#This Row],[Water]])</f>
        <v/>
      </c>
      <c r="Z122" t="str">
        <f>IF(Table10[[#This Row],[Washer/Dryer]]=0,"",Table10[[#This Row],[Washer/Dryer]])</f>
        <v/>
      </c>
      <c r="AA122" t="str">
        <f>IF(Table10[[#This Row],[Stove/Fridge]]=0,"",Table10[[#This Row],[Stove/Fridge]])</f>
        <v/>
      </c>
      <c r="AB122" t="str">
        <f>IF(Table10[[#This Row],[Dishwasher]]=0,"",Table10[[#This Row],[Dishwasher]])</f>
        <v/>
      </c>
      <c r="AC122" t="str">
        <f>IF(Table10[[#This Row],[Parking]]=0,"",Table10[[#This Row],[Parking]])</f>
        <v/>
      </c>
      <c r="AD122" t="str">
        <f>IF(Table10[[#This Row],[Furniture]]=0,"",Table10[[#This Row],[Furniture]])</f>
        <v/>
      </c>
      <c r="AE122" t="str">
        <f>IF(Table10[[#This Row],[Other]]=0,"",Table10[[#This Row],[Other]])</f>
        <v/>
      </c>
    </row>
    <row r="123" spans="1:31">
      <c r="A123" t="str">
        <f>IF(Table10[[#This Row],[Unit Type]]=0,"",Table10[[#This Row],[Unit Type]])</f>
        <v>2 Bedroom</v>
      </c>
      <c r="B123" t="str">
        <f>IF(Table10[[#This Row],[Residential Stream Source]]=0,"",Table10[[#This Row],[Residential Stream Source]])</f>
        <v/>
      </c>
      <c r="C123" t="str">
        <f>IF(Table10[[#This Row],[Basement?]]=0,"",Table10[[#This Row],[Basement?]])</f>
        <v/>
      </c>
      <c r="D123">
        <f>IF(Table10[[#This Row],[Unit '#]]=0,"",Table10[[#This Row],[Unit '#]])</f>
        <v>121</v>
      </c>
      <c r="E123" t="str">
        <f>IF(Table10[[#This Row],[Vacant?]]=0,"",Table10[[#This Row],[Vacant?]])</f>
        <v/>
      </c>
      <c r="F123">
        <f>IF(Table10[[#This Row],[Rental Rate ($/mth)]]=0,"",Table10[[#This Row],[Rental Rate ($/mth)]])</f>
        <v>3155</v>
      </c>
      <c r="G123"/>
      <c r="H123"/>
      <c r="I123"/>
      <c r="J123">
        <f>IF(Table10[[#This Row],[Unit Size (sq ft)]]=0,"",Table10[[#This Row],[Unit Size (sq ft)]])</f>
        <v>855</v>
      </c>
      <c r="K123"/>
      <c r="L123" t="str">
        <f>Table10[[#This Row],[Market Unit]]</f>
        <v>Yes</v>
      </c>
      <c r="M123" t="str">
        <f>Table10[[#This Row],[Affordable Unit]]</f>
        <v>No</v>
      </c>
      <c r="N123" t="str">
        <f>IF(Table10[[#This Row],[Subsidized Unit]]=0,"",Table10[[#This Row],[Subsidized Unit]])</f>
        <v/>
      </c>
      <c r="O123" t="str">
        <f>IF(Table10[[#This Row],[Care Services]]=0,"",Table10[[#This Row],[Care Services]])</f>
        <v/>
      </c>
      <c r="P123" t="str">
        <f>IF(Table10[[#This Row],[Affordable Care]]=0,"",Table10[[#This Row],[Affordable Care]])</f>
        <v/>
      </c>
      <c r="Q123"/>
      <c r="R123"/>
      <c r="S123"/>
      <c r="T123" t="str">
        <f>IF(Table10[[#This Row],[Bulk Lease Unit]]=0,"",Table10[[#This Row],[Bulk Lease Unit]])</f>
        <v/>
      </c>
      <c r="U123" t="str">
        <f>IF(Table10[[#This Row],[Den Included Unit]]=0,"",Table10[[#This Row],[Den Included Unit]])</f>
        <v/>
      </c>
      <c r="V123" t="str">
        <f>IF(Table10[[#This Row],[Second Bathroom]]=0,"",Table10[[#This Row],[Second Bathroom]])</f>
        <v/>
      </c>
      <c r="W123" t="str">
        <f>IF(Table10[[#This Row],[Heating]]=0,"",Table10[[#This Row],[Heating]])</f>
        <v/>
      </c>
      <c r="X123" t="str">
        <f>IF(Table10[[#This Row],[Electricity]]=0,"",Table10[[#This Row],[Electricity]])</f>
        <v/>
      </c>
      <c r="Y123" t="str">
        <f>IF(Table10[[#This Row],[Water]]=0,"",Table10[[#This Row],[Water]])</f>
        <v/>
      </c>
      <c r="Z123" t="str">
        <f>IF(Table10[[#This Row],[Washer/Dryer]]=0,"",Table10[[#This Row],[Washer/Dryer]])</f>
        <v/>
      </c>
      <c r="AA123" t="str">
        <f>IF(Table10[[#This Row],[Stove/Fridge]]=0,"",Table10[[#This Row],[Stove/Fridge]])</f>
        <v/>
      </c>
      <c r="AB123" t="str">
        <f>IF(Table10[[#This Row],[Dishwasher]]=0,"",Table10[[#This Row],[Dishwasher]])</f>
        <v/>
      </c>
      <c r="AC123" t="str">
        <f>IF(Table10[[#This Row],[Parking]]=0,"",Table10[[#This Row],[Parking]])</f>
        <v/>
      </c>
      <c r="AD123" t="str">
        <f>IF(Table10[[#This Row],[Furniture]]=0,"",Table10[[#This Row],[Furniture]])</f>
        <v/>
      </c>
      <c r="AE123" t="str">
        <f>IF(Table10[[#This Row],[Other]]=0,"",Table10[[#This Row],[Other]])</f>
        <v/>
      </c>
    </row>
    <row r="124" spans="1:31">
      <c r="A124" t="str">
        <f>IF(Table10[[#This Row],[Unit Type]]=0,"",Table10[[#This Row],[Unit Type]])</f>
        <v>2 Bedroom</v>
      </c>
      <c r="B124" t="str">
        <f>IF(Table10[[#This Row],[Residential Stream Source]]=0,"",Table10[[#This Row],[Residential Stream Source]])</f>
        <v/>
      </c>
      <c r="C124" t="str">
        <f>IF(Table10[[#This Row],[Basement?]]=0,"",Table10[[#This Row],[Basement?]])</f>
        <v/>
      </c>
      <c r="D124">
        <f>IF(Table10[[#This Row],[Unit '#]]=0,"",Table10[[#This Row],[Unit '#]])</f>
        <v>122</v>
      </c>
      <c r="E124" t="str">
        <f>IF(Table10[[#This Row],[Vacant?]]=0,"",Table10[[#This Row],[Vacant?]])</f>
        <v/>
      </c>
      <c r="F124">
        <f>IF(Table10[[#This Row],[Rental Rate ($/mth)]]=0,"",Table10[[#This Row],[Rental Rate ($/mth)]])</f>
        <v>3155</v>
      </c>
      <c r="G124"/>
      <c r="H124"/>
      <c r="I124"/>
      <c r="J124">
        <f>IF(Table10[[#This Row],[Unit Size (sq ft)]]=0,"",Table10[[#This Row],[Unit Size (sq ft)]])</f>
        <v>855</v>
      </c>
      <c r="K124"/>
      <c r="L124" t="str">
        <f>Table10[[#This Row],[Market Unit]]</f>
        <v>Yes</v>
      </c>
      <c r="M124" t="str">
        <f>Table10[[#This Row],[Affordable Unit]]</f>
        <v>No</v>
      </c>
      <c r="N124" t="str">
        <f>IF(Table10[[#This Row],[Subsidized Unit]]=0,"",Table10[[#This Row],[Subsidized Unit]])</f>
        <v/>
      </c>
      <c r="O124" t="str">
        <f>IF(Table10[[#This Row],[Care Services]]=0,"",Table10[[#This Row],[Care Services]])</f>
        <v/>
      </c>
      <c r="P124" t="str">
        <f>IF(Table10[[#This Row],[Affordable Care]]=0,"",Table10[[#This Row],[Affordable Care]])</f>
        <v/>
      </c>
      <c r="Q124"/>
      <c r="R124"/>
      <c r="S124"/>
      <c r="T124" t="str">
        <f>IF(Table10[[#This Row],[Bulk Lease Unit]]=0,"",Table10[[#This Row],[Bulk Lease Unit]])</f>
        <v/>
      </c>
      <c r="U124" t="str">
        <f>IF(Table10[[#This Row],[Den Included Unit]]=0,"",Table10[[#This Row],[Den Included Unit]])</f>
        <v/>
      </c>
      <c r="V124" t="str">
        <f>IF(Table10[[#This Row],[Second Bathroom]]=0,"",Table10[[#This Row],[Second Bathroom]])</f>
        <v/>
      </c>
      <c r="W124" t="str">
        <f>IF(Table10[[#This Row],[Heating]]=0,"",Table10[[#This Row],[Heating]])</f>
        <v/>
      </c>
      <c r="X124" t="str">
        <f>IF(Table10[[#This Row],[Electricity]]=0,"",Table10[[#This Row],[Electricity]])</f>
        <v/>
      </c>
      <c r="Y124" t="str">
        <f>IF(Table10[[#This Row],[Water]]=0,"",Table10[[#This Row],[Water]])</f>
        <v/>
      </c>
      <c r="Z124" t="str">
        <f>IF(Table10[[#This Row],[Washer/Dryer]]=0,"",Table10[[#This Row],[Washer/Dryer]])</f>
        <v/>
      </c>
      <c r="AA124" t="str">
        <f>IF(Table10[[#This Row],[Stove/Fridge]]=0,"",Table10[[#This Row],[Stove/Fridge]])</f>
        <v/>
      </c>
      <c r="AB124" t="str">
        <f>IF(Table10[[#This Row],[Dishwasher]]=0,"",Table10[[#This Row],[Dishwasher]])</f>
        <v/>
      </c>
      <c r="AC124" t="str">
        <f>IF(Table10[[#This Row],[Parking]]=0,"",Table10[[#This Row],[Parking]])</f>
        <v/>
      </c>
      <c r="AD124" t="str">
        <f>IF(Table10[[#This Row],[Furniture]]=0,"",Table10[[#This Row],[Furniture]])</f>
        <v/>
      </c>
      <c r="AE124" t="str">
        <f>IF(Table10[[#This Row],[Other]]=0,"",Table10[[#This Row],[Other]])</f>
        <v/>
      </c>
    </row>
    <row r="125" spans="1:31">
      <c r="A125" t="str">
        <f>IF(Table10[[#This Row],[Unit Type]]=0,"",Table10[[#This Row],[Unit Type]])</f>
        <v>2 Bedroom</v>
      </c>
      <c r="B125" t="str">
        <f>IF(Table10[[#This Row],[Residential Stream Source]]=0,"",Table10[[#This Row],[Residential Stream Source]])</f>
        <v/>
      </c>
      <c r="C125" t="str">
        <f>IF(Table10[[#This Row],[Basement?]]=0,"",Table10[[#This Row],[Basement?]])</f>
        <v/>
      </c>
      <c r="D125">
        <f>IF(Table10[[#This Row],[Unit '#]]=0,"",Table10[[#This Row],[Unit '#]])</f>
        <v>123</v>
      </c>
      <c r="E125" t="str">
        <f>IF(Table10[[#This Row],[Vacant?]]=0,"",Table10[[#This Row],[Vacant?]])</f>
        <v/>
      </c>
      <c r="F125">
        <f>IF(Table10[[#This Row],[Rental Rate ($/mth)]]=0,"",Table10[[#This Row],[Rental Rate ($/mth)]])</f>
        <v>3155</v>
      </c>
      <c r="G125"/>
      <c r="H125"/>
      <c r="I125"/>
      <c r="J125">
        <f>IF(Table10[[#This Row],[Unit Size (sq ft)]]=0,"",Table10[[#This Row],[Unit Size (sq ft)]])</f>
        <v>855</v>
      </c>
      <c r="K125"/>
      <c r="L125" t="str">
        <f>Table10[[#This Row],[Market Unit]]</f>
        <v>Yes</v>
      </c>
      <c r="M125" t="str">
        <f>Table10[[#This Row],[Affordable Unit]]</f>
        <v>No</v>
      </c>
      <c r="N125" t="str">
        <f>IF(Table10[[#This Row],[Subsidized Unit]]=0,"",Table10[[#This Row],[Subsidized Unit]])</f>
        <v/>
      </c>
      <c r="O125" t="str">
        <f>IF(Table10[[#This Row],[Care Services]]=0,"",Table10[[#This Row],[Care Services]])</f>
        <v/>
      </c>
      <c r="P125" t="str">
        <f>IF(Table10[[#This Row],[Affordable Care]]=0,"",Table10[[#This Row],[Affordable Care]])</f>
        <v/>
      </c>
      <c r="Q125"/>
      <c r="R125"/>
      <c r="S125"/>
      <c r="T125" t="str">
        <f>IF(Table10[[#This Row],[Bulk Lease Unit]]=0,"",Table10[[#This Row],[Bulk Lease Unit]])</f>
        <v/>
      </c>
      <c r="U125" t="str">
        <f>IF(Table10[[#This Row],[Den Included Unit]]=0,"",Table10[[#This Row],[Den Included Unit]])</f>
        <v/>
      </c>
      <c r="V125" t="str">
        <f>IF(Table10[[#This Row],[Second Bathroom]]=0,"",Table10[[#This Row],[Second Bathroom]])</f>
        <v/>
      </c>
      <c r="W125" t="str">
        <f>IF(Table10[[#This Row],[Heating]]=0,"",Table10[[#This Row],[Heating]])</f>
        <v/>
      </c>
      <c r="X125" t="str">
        <f>IF(Table10[[#This Row],[Electricity]]=0,"",Table10[[#This Row],[Electricity]])</f>
        <v/>
      </c>
      <c r="Y125" t="str">
        <f>IF(Table10[[#This Row],[Water]]=0,"",Table10[[#This Row],[Water]])</f>
        <v/>
      </c>
      <c r="Z125" t="str">
        <f>IF(Table10[[#This Row],[Washer/Dryer]]=0,"",Table10[[#This Row],[Washer/Dryer]])</f>
        <v/>
      </c>
      <c r="AA125" t="str">
        <f>IF(Table10[[#This Row],[Stove/Fridge]]=0,"",Table10[[#This Row],[Stove/Fridge]])</f>
        <v/>
      </c>
      <c r="AB125" t="str">
        <f>IF(Table10[[#This Row],[Dishwasher]]=0,"",Table10[[#This Row],[Dishwasher]])</f>
        <v/>
      </c>
      <c r="AC125" t="str">
        <f>IF(Table10[[#This Row],[Parking]]=0,"",Table10[[#This Row],[Parking]])</f>
        <v/>
      </c>
      <c r="AD125" t="str">
        <f>IF(Table10[[#This Row],[Furniture]]=0,"",Table10[[#This Row],[Furniture]])</f>
        <v/>
      </c>
      <c r="AE125" t="str">
        <f>IF(Table10[[#This Row],[Other]]=0,"",Table10[[#This Row],[Other]])</f>
        <v/>
      </c>
    </row>
    <row r="126" spans="1:31">
      <c r="A126" t="str">
        <f>IF(Table10[[#This Row],[Unit Type]]=0,"",Table10[[#This Row],[Unit Type]])</f>
        <v>2 Bedroom</v>
      </c>
      <c r="B126" t="str">
        <f>IF(Table10[[#This Row],[Residential Stream Source]]=0,"",Table10[[#This Row],[Residential Stream Source]])</f>
        <v/>
      </c>
      <c r="C126" t="str">
        <f>IF(Table10[[#This Row],[Basement?]]=0,"",Table10[[#This Row],[Basement?]])</f>
        <v/>
      </c>
      <c r="D126">
        <f>IF(Table10[[#This Row],[Unit '#]]=0,"",Table10[[#This Row],[Unit '#]])</f>
        <v>124</v>
      </c>
      <c r="E126" t="str">
        <f>IF(Table10[[#This Row],[Vacant?]]=0,"",Table10[[#This Row],[Vacant?]])</f>
        <v/>
      </c>
      <c r="F126">
        <f>IF(Table10[[#This Row],[Rental Rate ($/mth)]]=0,"",Table10[[#This Row],[Rental Rate ($/mth)]])</f>
        <v>3155</v>
      </c>
      <c r="G126"/>
      <c r="H126"/>
      <c r="I126"/>
      <c r="J126">
        <f>IF(Table10[[#This Row],[Unit Size (sq ft)]]=0,"",Table10[[#This Row],[Unit Size (sq ft)]])</f>
        <v>855</v>
      </c>
      <c r="K126"/>
      <c r="L126" t="str">
        <f>Table10[[#This Row],[Market Unit]]</f>
        <v>Yes</v>
      </c>
      <c r="M126" t="str">
        <f>Table10[[#This Row],[Affordable Unit]]</f>
        <v>No</v>
      </c>
      <c r="N126" t="str">
        <f>IF(Table10[[#This Row],[Subsidized Unit]]=0,"",Table10[[#This Row],[Subsidized Unit]])</f>
        <v/>
      </c>
      <c r="O126" t="str">
        <f>IF(Table10[[#This Row],[Care Services]]=0,"",Table10[[#This Row],[Care Services]])</f>
        <v/>
      </c>
      <c r="P126" t="str">
        <f>IF(Table10[[#This Row],[Affordable Care]]=0,"",Table10[[#This Row],[Affordable Care]])</f>
        <v/>
      </c>
      <c r="Q126"/>
      <c r="R126"/>
      <c r="S126"/>
      <c r="T126" t="str">
        <f>IF(Table10[[#This Row],[Bulk Lease Unit]]=0,"",Table10[[#This Row],[Bulk Lease Unit]])</f>
        <v/>
      </c>
      <c r="U126" t="str">
        <f>IF(Table10[[#This Row],[Den Included Unit]]=0,"",Table10[[#This Row],[Den Included Unit]])</f>
        <v/>
      </c>
      <c r="V126" t="str">
        <f>IF(Table10[[#This Row],[Second Bathroom]]=0,"",Table10[[#This Row],[Second Bathroom]])</f>
        <v/>
      </c>
      <c r="W126" t="str">
        <f>IF(Table10[[#This Row],[Heating]]=0,"",Table10[[#This Row],[Heating]])</f>
        <v/>
      </c>
      <c r="X126" t="str">
        <f>IF(Table10[[#This Row],[Electricity]]=0,"",Table10[[#This Row],[Electricity]])</f>
        <v/>
      </c>
      <c r="Y126" t="str">
        <f>IF(Table10[[#This Row],[Water]]=0,"",Table10[[#This Row],[Water]])</f>
        <v/>
      </c>
      <c r="Z126" t="str">
        <f>IF(Table10[[#This Row],[Washer/Dryer]]=0,"",Table10[[#This Row],[Washer/Dryer]])</f>
        <v/>
      </c>
      <c r="AA126" t="str">
        <f>IF(Table10[[#This Row],[Stove/Fridge]]=0,"",Table10[[#This Row],[Stove/Fridge]])</f>
        <v/>
      </c>
      <c r="AB126" t="str">
        <f>IF(Table10[[#This Row],[Dishwasher]]=0,"",Table10[[#This Row],[Dishwasher]])</f>
        <v/>
      </c>
      <c r="AC126" t="str">
        <f>IF(Table10[[#This Row],[Parking]]=0,"",Table10[[#This Row],[Parking]])</f>
        <v/>
      </c>
      <c r="AD126" t="str">
        <f>IF(Table10[[#This Row],[Furniture]]=0,"",Table10[[#This Row],[Furniture]])</f>
        <v/>
      </c>
      <c r="AE126" t="str">
        <f>IF(Table10[[#This Row],[Other]]=0,"",Table10[[#This Row],[Other]])</f>
        <v/>
      </c>
    </row>
    <row r="127" spans="1:31">
      <c r="A127" t="str">
        <f>IF(Table10[[#This Row],[Unit Type]]=0,"",Table10[[#This Row],[Unit Type]])</f>
        <v>2 Bedroom</v>
      </c>
      <c r="B127" t="str">
        <f>IF(Table10[[#This Row],[Residential Stream Source]]=0,"",Table10[[#This Row],[Residential Stream Source]])</f>
        <v/>
      </c>
      <c r="C127" t="str">
        <f>IF(Table10[[#This Row],[Basement?]]=0,"",Table10[[#This Row],[Basement?]])</f>
        <v/>
      </c>
      <c r="D127">
        <f>IF(Table10[[#This Row],[Unit '#]]=0,"",Table10[[#This Row],[Unit '#]])</f>
        <v>125</v>
      </c>
      <c r="E127" t="str">
        <f>IF(Table10[[#This Row],[Vacant?]]=0,"",Table10[[#This Row],[Vacant?]])</f>
        <v/>
      </c>
      <c r="F127">
        <f>IF(Table10[[#This Row],[Rental Rate ($/mth)]]=0,"",Table10[[#This Row],[Rental Rate ($/mth)]])</f>
        <v>3155</v>
      </c>
      <c r="G127"/>
      <c r="H127"/>
      <c r="I127"/>
      <c r="J127">
        <f>IF(Table10[[#This Row],[Unit Size (sq ft)]]=0,"",Table10[[#This Row],[Unit Size (sq ft)]])</f>
        <v>855</v>
      </c>
      <c r="K127"/>
      <c r="L127" t="str">
        <f>Table10[[#This Row],[Market Unit]]</f>
        <v>Yes</v>
      </c>
      <c r="M127" t="str">
        <f>Table10[[#This Row],[Affordable Unit]]</f>
        <v>No</v>
      </c>
      <c r="N127" t="str">
        <f>IF(Table10[[#This Row],[Subsidized Unit]]=0,"",Table10[[#This Row],[Subsidized Unit]])</f>
        <v/>
      </c>
      <c r="O127" t="str">
        <f>IF(Table10[[#This Row],[Care Services]]=0,"",Table10[[#This Row],[Care Services]])</f>
        <v/>
      </c>
      <c r="P127" t="str">
        <f>IF(Table10[[#This Row],[Affordable Care]]=0,"",Table10[[#This Row],[Affordable Care]])</f>
        <v/>
      </c>
      <c r="Q127"/>
      <c r="R127"/>
      <c r="S127"/>
      <c r="T127" t="str">
        <f>IF(Table10[[#This Row],[Bulk Lease Unit]]=0,"",Table10[[#This Row],[Bulk Lease Unit]])</f>
        <v/>
      </c>
      <c r="U127" t="str">
        <f>IF(Table10[[#This Row],[Den Included Unit]]=0,"",Table10[[#This Row],[Den Included Unit]])</f>
        <v/>
      </c>
      <c r="V127" t="str">
        <f>IF(Table10[[#This Row],[Second Bathroom]]=0,"",Table10[[#This Row],[Second Bathroom]])</f>
        <v/>
      </c>
      <c r="W127" t="str">
        <f>IF(Table10[[#This Row],[Heating]]=0,"",Table10[[#This Row],[Heating]])</f>
        <v/>
      </c>
      <c r="X127" t="str">
        <f>IF(Table10[[#This Row],[Electricity]]=0,"",Table10[[#This Row],[Electricity]])</f>
        <v/>
      </c>
      <c r="Y127" t="str">
        <f>IF(Table10[[#This Row],[Water]]=0,"",Table10[[#This Row],[Water]])</f>
        <v/>
      </c>
      <c r="Z127" t="str">
        <f>IF(Table10[[#This Row],[Washer/Dryer]]=0,"",Table10[[#This Row],[Washer/Dryer]])</f>
        <v/>
      </c>
      <c r="AA127" t="str">
        <f>IF(Table10[[#This Row],[Stove/Fridge]]=0,"",Table10[[#This Row],[Stove/Fridge]])</f>
        <v/>
      </c>
      <c r="AB127" t="str">
        <f>IF(Table10[[#This Row],[Dishwasher]]=0,"",Table10[[#This Row],[Dishwasher]])</f>
        <v/>
      </c>
      <c r="AC127" t="str">
        <f>IF(Table10[[#This Row],[Parking]]=0,"",Table10[[#This Row],[Parking]])</f>
        <v/>
      </c>
      <c r="AD127" t="str">
        <f>IF(Table10[[#This Row],[Furniture]]=0,"",Table10[[#This Row],[Furniture]])</f>
        <v/>
      </c>
      <c r="AE127" t="str">
        <f>IF(Table10[[#This Row],[Other]]=0,"",Table10[[#This Row],[Other]])</f>
        <v/>
      </c>
    </row>
    <row r="128" spans="1:31">
      <c r="A128" t="str">
        <f>IF(Table10[[#This Row],[Unit Type]]=0,"",Table10[[#This Row],[Unit Type]])</f>
        <v>2 Bedroom</v>
      </c>
      <c r="B128" t="str">
        <f>IF(Table10[[#This Row],[Residential Stream Source]]=0,"",Table10[[#This Row],[Residential Stream Source]])</f>
        <v/>
      </c>
      <c r="C128" t="str">
        <f>IF(Table10[[#This Row],[Basement?]]=0,"",Table10[[#This Row],[Basement?]])</f>
        <v/>
      </c>
      <c r="D128">
        <f>IF(Table10[[#This Row],[Unit '#]]=0,"",Table10[[#This Row],[Unit '#]])</f>
        <v>126</v>
      </c>
      <c r="E128" t="str">
        <f>IF(Table10[[#This Row],[Vacant?]]=0,"",Table10[[#This Row],[Vacant?]])</f>
        <v/>
      </c>
      <c r="F128">
        <f>IF(Table10[[#This Row],[Rental Rate ($/mth)]]=0,"",Table10[[#This Row],[Rental Rate ($/mth)]])</f>
        <v>3155</v>
      </c>
      <c r="G128"/>
      <c r="H128"/>
      <c r="I128"/>
      <c r="J128">
        <f>IF(Table10[[#This Row],[Unit Size (sq ft)]]=0,"",Table10[[#This Row],[Unit Size (sq ft)]])</f>
        <v>855</v>
      </c>
      <c r="K128"/>
      <c r="L128" t="str">
        <f>Table10[[#This Row],[Market Unit]]</f>
        <v>Yes</v>
      </c>
      <c r="M128" t="str">
        <f>Table10[[#This Row],[Affordable Unit]]</f>
        <v>No</v>
      </c>
      <c r="N128" t="str">
        <f>IF(Table10[[#This Row],[Subsidized Unit]]=0,"",Table10[[#This Row],[Subsidized Unit]])</f>
        <v/>
      </c>
      <c r="O128" t="str">
        <f>IF(Table10[[#This Row],[Care Services]]=0,"",Table10[[#This Row],[Care Services]])</f>
        <v/>
      </c>
      <c r="P128" t="str">
        <f>IF(Table10[[#This Row],[Affordable Care]]=0,"",Table10[[#This Row],[Affordable Care]])</f>
        <v/>
      </c>
      <c r="Q128"/>
      <c r="R128"/>
      <c r="S128"/>
      <c r="T128" t="str">
        <f>IF(Table10[[#This Row],[Bulk Lease Unit]]=0,"",Table10[[#This Row],[Bulk Lease Unit]])</f>
        <v/>
      </c>
      <c r="U128" t="str">
        <f>IF(Table10[[#This Row],[Den Included Unit]]=0,"",Table10[[#This Row],[Den Included Unit]])</f>
        <v/>
      </c>
      <c r="V128" t="str">
        <f>IF(Table10[[#This Row],[Second Bathroom]]=0,"",Table10[[#This Row],[Second Bathroom]])</f>
        <v/>
      </c>
      <c r="W128" t="str">
        <f>IF(Table10[[#This Row],[Heating]]=0,"",Table10[[#This Row],[Heating]])</f>
        <v/>
      </c>
      <c r="X128" t="str">
        <f>IF(Table10[[#This Row],[Electricity]]=0,"",Table10[[#This Row],[Electricity]])</f>
        <v/>
      </c>
      <c r="Y128" t="str">
        <f>IF(Table10[[#This Row],[Water]]=0,"",Table10[[#This Row],[Water]])</f>
        <v/>
      </c>
      <c r="Z128" t="str">
        <f>IF(Table10[[#This Row],[Washer/Dryer]]=0,"",Table10[[#This Row],[Washer/Dryer]])</f>
        <v/>
      </c>
      <c r="AA128" t="str">
        <f>IF(Table10[[#This Row],[Stove/Fridge]]=0,"",Table10[[#This Row],[Stove/Fridge]])</f>
        <v/>
      </c>
      <c r="AB128" t="str">
        <f>IF(Table10[[#This Row],[Dishwasher]]=0,"",Table10[[#This Row],[Dishwasher]])</f>
        <v/>
      </c>
      <c r="AC128" t="str">
        <f>IF(Table10[[#This Row],[Parking]]=0,"",Table10[[#This Row],[Parking]])</f>
        <v/>
      </c>
      <c r="AD128" t="str">
        <f>IF(Table10[[#This Row],[Furniture]]=0,"",Table10[[#This Row],[Furniture]])</f>
        <v/>
      </c>
      <c r="AE128" t="str">
        <f>IF(Table10[[#This Row],[Other]]=0,"",Table10[[#This Row],[Other]])</f>
        <v/>
      </c>
    </row>
    <row r="129" spans="1:31">
      <c r="A129" t="str">
        <f>IF(Table10[[#This Row],[Unit Type]]=0,"",Table10[[#This Row],[Unit Type]])</f>
        <v>2 Bedroom</v>
      </c>
      <c r="B129" t="str">
        <f>IF(Table10[[#This Row],[Residential Stream Source]]=0,"",Table10[[#This Row],[Residential Stream Source]])</f>
        <v/>
      </c>
      <c r="C129" t="str">
        <f>IF(Table10[[#This Row],[Basement?]]=0,"",Table10[[#This Row],[Basement?]])</f>
        <v/>
      </c>
      <c r="D129">
        <f>IF(Table10[[#This Row],[Unit '#]]=0,"",Table10[[#This Row],[Unit '#]])</f>
        <v>127</v>
      </c>
      <c r="E129" t="str">
        <f>IF(Table10[[#This Row],[Vacant?]]=0,"",Table10[[#This Row],[Vacant?]])</f>
        <v/>
      </c>
      <c r="F129">
        <f>IF(Table10[[#This Row],[Rental Rate ($/mth)]]=0,"",Table10[[#This Row],[Rental Rate ($/mth)]])</f>
        <v>3155</v>
      </c>
      <c r="G129"/>
      <c r="H129"/>
      <c r="I129"/>
      <c r="J129">
        <f>IF(Table10[[#This Row],[Unit Size (sq ft)]]=0,"",Table10[[#This Row],[Unit Size (sq ft)]])</f>
        <v>855</v>
      </c>
      <c r="K129"/>
      <c r="L129" t="str">
        <f>Table10[[#This Row],[Market Unit]]</f>
        <v>Yes</v>
      </c>
      <c r="M129" t="str">
        <f>Table10[[#This Row],[Affordable Unit]]</f>
        <v>No</v>
      </c>
      <c r="N129" t="str">
        <f>IF(Table10[[#This Row],[Subsidized Unit]]=0,"",Table10[[#This Row],[Subsidized Unit]])</f>
        <v/>
      </c>
      <c r="O129" t="str">
        <f>IF(Table10[[#This Row],[Care Services]]=0,"",Table10[[#This Row],[Care Services]])</f>
        <v/>
      </c>
      <c r="P129" t="str">
        <f>IF(Table10[[#This Row],[Affordable Care]]=0,"",Table10[[#This Row],[Affordable Care]])</f>
        <v/>
      </c>
      <c r="Q129"/>
      <c r="R129"/>
      <c r="S129"/>
      <c r="T129" t="str">
        <f>IF(Table10[[#This Row],[Bulk Lease Unit]]=0,"",Table10[[#This Row],[Bulk Lease Unit]])</f>
        <v/>
      </c>
      <c r="U129" t="str">
        <f>IF(Table10[[#This Row],[Den Included Unit]]=0,"",Table10[[#This Row],[Den Included Unit]])</f>
        <v/>
      </c>
      <c r="V129" t="str">
        <f>IF(Table10[[#This Row],[Second Bathroom]]=0,"",Table10[[#This Row],[Second Bathroom]])</f>
        <v/>
      </c>
      <c r="W129" t="str">
        <f>IF(Table10[[#This Row],[Heating]]=0,"",Table10[[#This Row],[Heating]])</f>
        <v/>
      </c>
      <c r="X129" t="str">
        <f>IF(Table10[[#This Row],[Electricity]]=0,"",Table10[[#This Row],[Electricity]])</f>
        <v/>
      </c>
      <c r="Y129" t="str">
        <f>IF(Table10[[#This Row],[Water]]=0,"",Table10[[#This Row],[Water]])</f>
        <v/>
      </c>
      <c r="Z129" t="str">
        <f>IF(Table10[[#This Row],[Washer/Dryer]]=0,"",Table10[[#This Row],[Washer/Dryer]])</f>
        <v/>
      </c>
      <c r="AA129" t="str">
        <f>IF(Table10[[#This Row],[Stove/Fridge]]=0,"",Table10[[#This Row],[Stove/Fridge]])</f>
        <v/>
      </c>
      <c r="AB129" t="str">
        <f>IF(Table10[[#This Row],[Dishwasher]]=0,"",Table10[[#This Row],[Dishwasher]])</f>
        <v/>
      </c>
      <c r="AC129" t="str">
        <f>IF(Table10[[#This Row],[Parking]]=0,"",Table10[[#This Row],[Parking]])</f>
        <v/>
      </c>
      <c r="AD129" t="str">
        <f>IF(Table10[[#This Row],[Furniture]]=0,"",Table10[[#This Row],[Furniture]])</f>
        <v/>
      </c>
      <c r="AE129" t="str">
        <f>IF(Table10[[#This Row],[Other]]=0,"",Table10[[#This Row],[Other]])</f>
        <v/>
      </c>
    </row>
    <row r="130" spans="1:31">
      <c r="A130" t="str">
        <f>IF(Table10[[#This Row],[Unit Type]]=0,"",Table10[[#This Row],[Unit Type]])</f>
        <v>2 Bedroom</v>
      </c>
      <c r="B130" t="str">
        <f>IF(Table10[[#This Row],[Residential Stream Source]]=0,"",Table10[[#This Row],[Residential Stream Source]])</f>
        <v/>
      </c>
      <c r="C130" t="str">
        <f>IF(Table10[[#This Row],[Basement?]]=0,"",Table10[[#This Row],[Basement?]])</f>
        <v/>
      </c>
      <c r="D130">
        <f>IF(Table10[[#This Row],[Unit '#]]=0,"",Table10[[#This Row],[Unit '#]])</f>
        <v>128</v>
      </c>
      <c r="E130" t="str">
        <f>IF(Table10[[#This Row],[Vacant?]]=0,"",Table10[[#This Row],[Vacant?]])</f>
        <v/>
      </c>
      <c r="F130">
        <f>IF(Table10[[#This Row],[Rental Rate ($/mth)]]=0,"",Table10[[#This Row],[Rental Rate ($/mth)]])</f>
        <v>3155</v>
      </c>
      <c r="G130"/>
      <c r="H130"/>
      <c r="I130"/>
      <c r="J130">
        <f>IF(Table10[[#This Row],[Unit Size (sq ft)]]=0,"",Table10[[#This Row],[Unit Size (sq ft)]])</f>
        <v>855</v>
      </c>
      <c r="K130"/>
      <c r="L130" t="str">
        <f>Table10[[#This Row],[Market Unit]]</f>
        <v>Yes</v>
      </c>
      <c r="M130" t="str">
        <f>Table10[[#This Row],[Affordable Unit]]</f>
        <v>No</v>
      </c>
      <c r="N130" t="str">
        <f>IF(Table10[[#This Row],[Subsidized Unit]]=0,"",Table10[[#This Row],[Subsidized Unit]])</f>
        <v/>
      </c>
      <c r="O130" t="str">
        <f>IF(Table10[[#This Row],[Care Services]]=0,"",Table10[[#This Row],[Care Services]])</f>
        <v/>
      </c>
      <c r="P130" t="str">
        <f>IF(Table10[[#This Row],[Affordable Care]]=0,"",Table10[[#This Row],[Affordable Care]])</f>
        <v/>
      </c>
      <c r="Q130"/>
      <c r="R130"/>
      <c r="S130"/>
      <c r="T130" t="str">
        <f>IF(Table10[[#This Row],[Bulk Lease Unit]]=0,"",Table10[[#This Row],[Bulk Lease Unit]])</f>
        <v/>
      </c>
      <c r="U130" t="str">
        <f>IF(Table10[[#This Row],[Den Included Unit]]=0,"",Table10[[#This Row],[Den Included Unit]])</f>
        <v/>
      </c>
      <c r="V130" t="str">
        <f>IF(Table10[[#This Row],[Second Bathroom]]=0,"",Table10[[#This Row],[Second Bathroom]])</f>
        <v/>
      </c>
      <c r="W130" t="str">
        <f>IF(Table10[[#This Row],[Heating]]=0,"",Table10[[#This Row],[Heating]])</f>
        <v/>
      </c>
      <c r="X130" t="str">
        <f>IF(Table10[[#This Row],[Electricity]]=0,"",Table10[[#This Row],[Electricity]])</f>
        <v/>
      </c>
      <c r="Y130" t="str">
        <f>IF(Table10[[#This Row],[Water]]=0,"",Table10[[#This Row],[Water]])</f>
        <v/>
      </c>
      <c r="Z130" t="str">
        <f>IF(Table10[[#This Row],[Washer/Dryer]]=0,"",Table10[[#This Row],[Washer/Dryer]])</f>
        <v/>
      </c>
      <c r="AA130" t="str">
        <f>IF(Table10[[#This Row],[Stove/Fridge]]=0,"",Table10[[#This Row],[Stove/Fridge]])</f>
        <v/>
      </c>
      <c r="AB130" t="str">
        <f>IF(Table10[[#This Row],[Dishwasher]]=0,"",Table10[[#This Row],[Dishwasher]])</f>
        <v/>
      </c>
      <c r="AC130" t="str">
        <f>IF(Table10[[#This Row],[Parking]]=0,"",Table10[[#This Row],[Parking]])</f>
        <v/>
      </c>
      <c r="AD130" t="str">
        <f>IF(Table10[[#This Row],[Furniture]]=0,"",Table10[[#This Row],[Furniture]])</f>
        <v/>
      </c>
      <c r="AE130" t="str">
        <f>IF(Table10[[#This Row],[Other]]=0,"",Table10[[#This Row],[Other]])</f>
        <v/>
      </c>
    </row>
    <row r="131" spans="1:31">
      <c r="A131" t="str">
        <f>IF(Table10[[#This Row],[Unit Type]]=0,"",Table10[[#This Row],[Unit Type]])</f>
        <v>2 Bedroom</v>
      </c>
      <c r="B131" t="str">
        <f>IF(Table10[[#This Row],[Residential Stream Source]]=0,"",Table10[[#This Row],[Residential Stream Source]])</f>
        <v/>
      </c>
      <c r="C131" t="str">
        <f>IF(Table10[[#This Row],[Basement?]]=0,"",Table10[[#This Row],[Basement?]])</f>
        <v/>
      </c>
      <c r="D131">
        <f>IF(Table10[[#This Row],[Unit '#]]=0,"",Table10[[#This Row],[Unit '#]])</f>
        <v>129</v>
      </c>
      <c r="E131" t="str">
        <f>IF(Table10[[#This Row],[Vacant?]]=0,"",Table10[[#This Row],[Vacant?]])</f>
        <v/>
      </c>
      <c r="F131">
        <f>IF(Table10[[#This Row],[Rental Rate ($/mth)]]=0,"",Table10[[#This Row],[Rental Rate ($/mth)]])</f>
        <v>3155</v>
      </c>
      <c r="G131"/>
      <c r="H131"/>
      <c r="I131"/>
      <c r="J131">
        <f>IF(Table10[[#This Row],[Unit Size (sq ft)]]=0,"",Table10[[#This Row],[Unit Size (sq ft)]])</f>
        <v>855</v>
      </c>
      <c r="K131"/>
      <c r="L131" t="str">
        <f>Table10[[#This Row],[Market Unit]]</f>
        <v>Yes</v>
      </c>
      <c r="M131" t="str">
        <f>Table10[[#This Row],[Affordable Unit]]</f>
        <v>No</v>
      </c>
      <c r="N131" t="str">
        <f>IF(Table10[[#This Row],[Subsidized Unit]]=0,"",Table10[[#This Row],[Subsidized Unit]])</f>
        <v/>
      </c>
      <c r="O131" t="str">
        <f>IF(Table10[[#This Row],[Care Services]]=0,"",Table10[[#This Row],[Care Services]])</f>
        <v/>
      </c>
      <c r="P131" t="str">
        <f>IF(Table10[[#This Row],[Affordable Care]]=0,"",Table10[[#This Row],[Affordable Care]])</f>
        <v/>
      </c>
      <c r="Q131"/>
      <c r="R131"/>
      <c r="S131"/>
      <c r="T131" t="str">
        <f>IF(Table10[[#This Row],[Bulk Lease Unit]]=0,"",Table10[[#This Row],[Bulk Lease Unit]])</f>
        <v/>
      </c>
      <c r="U131" t="str">
        <f>IF(Table10[[#This Row],[Den Included Unit]]=0,"",Table10[[#This Row],[Den Included Unit]])</f>
        <v/>
      </c>
      <c r="V131" t="str">
        <f>IF(Table10[[#This Row],[Second Bathroom]]=0,"",Table10[[#This Row],[Second Bathroom]])</f>
        <v/>
      </c>
      <c r="W131" t="str">
        <f>IF(Table10[[#This Row],[Heating]]=0,"",Table10[[#This Row],[Heating]])</f>
        <v/>
      </c>
      <c r="X131" t="str">
        <f>IF(Table10[[#This Row],[Electricity]]=0,"",Table10[[#This Row],[Electricity]])</f>
        <v/>
      </c>
      <c r="Y131" t="str">
        <f>IF(Table10[[#This Row],[Water]]=0,"",Table10[[#This Row],[Water]])</f>
        <v/>
      </c>
      <c r="Z131" t="str">
        <f>IF(Table10[[#This Row],[Washer/Dryer]]=0,"",Table10[[#This Row],[Washer/Dryer]])</f>
        <v/>
      </c>
      <c r="AA131" t="str">
        <f>IF(Table10[[#This Row],[Stove/Fridge]]=0,"",Table10[[#This Row],[Stove/Fridge]])</f>
        <v/>
      </c>
      <c r="AB131" t="str">
        <f>IF(Table10[[#This Row],[Dishwasher]]=0,"",Table10[[#This Row],[Dishwasher]])</f>
        <v/>
      </c>
      <c r="AC131" t="str">
        <f>IF(Table10[[#This Row],[Parking]]=0,"",Table10[[#This Row],[Parking]])</f>
        <v/>
      </c>
      <c r="AD131" t="str">
        <f>IF(Table10[[#This Row],[Furniture]]=0,"",Table10[[#This Row],[Furniture]])</f>
        <v/>
      </c>
      <c r="AE131" t="str">
        <f>IF(Table10[[#This Row],[Other]]=0,"",Table10[[#This Row],[Other]])</f>
        <v/>
      </c>
    </row>
    <row r="132" spans="1:31">
      <c r="A132" t="str">
        <f>IF(Table10[[#This Row],[Unit Type]]=0,"",Table10[[#This Row],[Unit Type]])</f>
        <v>2 Bedroom</v>
      </c>
      <c r="B132" t="str">
        <f>IF(Table10[[#This Row],[Residential Stream Source]]=0,"",Table10[[#This Row],[Residential Stream Source]])</f>
        <v/>
      </c>
      <c r="C132" t="str">
        <f>IF(Table10[[#This Row],[Basement?]]=0,"",Table10[[#This Row],[Basement?]])</f>
        <v/>
      </c>
      <c r="D132">
        <f>IF(Table10[[#This Row],[Unit '#]]=0,"",Table10[[#This Row],[Unit '#]])</f>
        <v>130</v>
      </c>
      <c r="E132" t="str">
        <f>IF(Table10[[#This Row],[Vacant?]]=0,"",Table10[[#This Row],[Vacant?]])</f>
        <v/>
      </c>
      <c r="F132">
        <f>IF(Table10[[#This Row],[Rental Rate ($/mth)]]=0,"",Table10[[#This Row],[Rental Rate ($/mth)]])</f>
        <v>3155</v>
      </c>
      <c r="G132"/>
      <c r="H132"/>
      <c r="I132"/>
      <c r="J132">
        <f>IF(Table10[[#This Row],[Unit Size (sq ft)]]=0,"",Table10[[#This Row],[Unit Size (sq ft)]])</f>
        <v>855</v>
      </c>
      <c r="K132"/>
      <c r="L132" t="str">
        <f>Table10[[#This Row],[Market Unit]]</f>
        <v>Yes</v>
      </c>
      <c r="M132" t="str">
        <f>Table10[[#This Row],[Affordable Unit]]</f>
        <v>No</v>
      </c>
      <c r="N132" t="str">
        <f>IF(Table10[[#This Row],[Subsidized Unit]]=0,"",Table10[[#This Row],[Subsidized Unit]])</f>
        <v/>
      </c>
      <c r="O132" t="str">
        <f>IF(Table10[[#This Row],[Care Services]]=0,"",Table10[[#This Row],[Care Services]])</f>
        <v/>
      </c>
      <c r="P132" t="str">
        <f>IF(Table10[[#This Row],[Affordable Care]]=0,"",Table10[[#This Row],[Affordable Care]])</f>
        <v/>
      </c>
      <c r="Q132"/>
      <c r="R132"/>
      <c r="S132"/>
      <c r="T132" t="str">
        <f>IF(Table10[[#This Row],[Bulk Lease Unit]]=0,"",Table10[[#This Row],[Bulk Lease Unit]])</f>
        <v/>
      </c>
      <c r="U132" t="str">
        <f>IF(Table10[[#This Row],[Den Included Unit]]=0,"",Table10[[#This Row],[Den Included Unit]])</f>
        <v/>
      </c>
      <c r="V132" t="str">
        <f>IF(Table10[[#This Row],[Second Bathroom]]=0,"",Table10[[#This Row],[Second Bathroom]])</f>
        <v/>
      </c>
      <c r="W132" t="str">
        <f>IF(Table10[[#This Row],[Heating]]=0,"",Table10[[#This Row],[Heating]])</f>
        <v/>
      </c>
      <c r="X132" t="str">
        <f>IF(Table10[[#This Row],[Electricity]]=0,"",Table10[[#This Row],[Electricity]])</f>
        <v/>
      </c>
      <c r="Y132" t="str">
        <f>IF(Table10[[#This Row],[Water]]=0,"",Table10[[#This Row],[Water]])</f>
        <v/>
      </c>
      <c r="Z132" t="str">
        <f>IF(Table10[[#This Row],[Washer/Dryer]]=0,"",Table10[[#This Row],[Washer/Dryer]])</f>
        <v/>
      </c>
      <c r="AA132" t="str">
        <f>IF(Table10[[#This Row],[Stove/Fridge]]=0,"",Table10[[#This Row],[Stove/Fridge]])</f>
        <v/>
      </c>
      <c r="AB132" t="str">
        <f>IF(Table10[[#This Row],[Dishwasher]]=0,"",Table10[[#This Row],[Dishwasher]])</f>
        <v/>
      </c>
      <c r="AC132" t="str">
        <f>IF(Table10[[#This Row],[Parking]]=0,"",Table10[[#This Row],[Parking]])</f>
        <v/>
      </c>
      <c r="AD132" t="str">
        <f>IF(Table10[[#This Row],[Furniture]]=0,"",Table10[[#This Row],[Furniture]])</f>
        <v/>
      </c>
      <c r="AE132" t="str">
        <f>IF(Table10[[#This Row],[Other]]=0,"",Table10[[#This Row],[Other]])</f>
        <v/>
      </c>
    </row>
    <row r="133" spans="1:31">
      <c r="A133" t="str">
        <f>IF(Table10[[#This Row],[Unit Type]]=0,"",Table10[[#This Row],[Unit Type]])</f>
        <v>2 Bedroom</v>
      </c>
      <c r="B133" t="str">
        <f>IF(Table10[[#This Row],[Residential Stream Source]]=0,"",Table10[[#This Row],[Residential Stream Source]])</f>
        <v/>
      </c>
      <c r="C133" t="str">
        <f>IF(Table10[[#This Row],[Basement?]]=0,"",Table10[[#This Row],[Basement?]])</f>
        <v/>
      </c>
      <c r="D133">
        <f>IF(Table10[[#This Row],[Unit '#]]=0,"",Table10[[#This Row],[Unit '#]])</f>
        <v>131</v>
      </c>
      <c r="E133" t="str">
        <f>IF(Table10[[#This Row],[Vacant?]]=0,"",Table10[[#This Row],[Vacant?]])</f>
        <v/>
      </c>
      <c r="F133">
        <f>IF(Table10[[#This Row],[Rental Rate ($/mth)]]=0,"",Table10[[#This Row],[Rental Rate ($/mth)]])</f>
        <v>3155</v>
      </c>
      <c r="G133"/>
      <c r="H133"/>
      <c r="I133"/>
      <c r="J133">
        <f>IF(Table10[[#This Row],[Unit Size (sq ft)]]=0,"",Table10[[#This Row],[Unit Size (sq ft)]])</f>
        <v>855</v>
      </c>
      <c r="K133"/>
      <c r="L133" t="str">
        <f>Table10[[#This Row],[Market Unit]]</f>
        <v>Yes</v>
      </c>
      <c r="M133" t="str">
        <f>Table10[[#This Row],[Affordable Unit]]</f>
        <v>No</v>
      </c>
      <c r="N133" t="str">
        <f>IF(Table10[[#This Row],[Subsidized Unit]]=0,"",Table10[[#This Row],[Subsidized Unit]])</f>
        <v/>
      </c>
      <c r="O133" t="str">
        <f>IF(Table10[[#This Row],[Care Services]]=0,"",Table10[[#This Row],[Care Services]])</f>
        <v/>
      </c>
      <c r="P133" t="str">
        <f>IF(Table10[[#This Row],[Affordable Care]]=0,"",Table10[[#This Row],[Affordable Care]])</f>
        <v/>
      </c>
      <c r="Q133"/>
      <c r="R133"/>
      <c r="S133"/>
      <c r="T133" t="str">
        <f>IF(Table10[[#This Row],[Bulk Lease Unit]]=0,"",Table10[[#This Row],[Bulk Lease Unit]])</f>
        <v/>
      </c>
      <c r="U133" t="str">
        <f>IF(Table10[[#This Row],[Den Included Unit]]=0,"",Table10[[#This Row],[Den Included Unit]])</f>
        <v/>
      </c>
      <c r="V133" t="str">
        <f>IF(Table10[[#This Row],[Second Bathroom]]=0,"",Table10[[#This Row],[Second Bathroom]])</f>
        <v/>
      </c>
      <c r="W133" t="str">
        <f>IF(Table10[[#This Row],[Heating]]=0,"",Table10[[#This Row],[Heating]])</f>
        <v/>
      </c>
      <c r="X133" t="str">
        <f>IF(Table10[[#This Row],[Electricity]]=0,"",Table10[[#This Row],[Electricity]])</f>
        <v/>
      </c>
      <c r="Y133" t="str">
        <f>IF(Table10[[#This Row],[Water]]=0,"",Table10[[#This Row],[Water]])</f>
        <v/>
      </c>
      <c r="Z133" t="str">
        <f>IF(Table10[[#This Row],[Washer/Dryer]]=0,"",Table10[[#This Row],[Washer/Dryer]])</f>
        <v/>
      </c>
      <c r="AA133" t="str">
        <f>IF(Table10[[#This Row],[Stove/Fridge]]=0,"",Table10[[#This Row],[Stove/Fridge]])</f>
        <v/>
      </c>
      <c r="AB133" t="str">
        <f>IF(Table10[[#This Row],[Dishwasher]]=0,"",Table10[[#This Row],[Dishwasher]])</f>
        <v/>
      </c>
      <c r="AC133" t="str">
        <f>IF(Table10[[#This Row],[Parking]]=0,"",Table10[[#This Row],[Parking]])</f>
        <v/>
      </c>
      <c r="AD133" t="str">
        <f>IF(Table10[[#This Row],[Furniture]]=0,"",Table10[[#This Row],[Furniture]])</f>
        <v/>
      </c>
      <c r="AE133" t="str">
        <f>IF(Table10[[#This Row],[Other]]=0,"",Table10[[#This Row],[Other]])</f>
        <v/>
      </c>
    </row>
    <row r="134" spans="1:31">
      <c r="A134" t="str">
        <f>IF(Table10[[#This Row],[Unit Type]]=0,"",Table10[[#This Row],[Unit Type]])</f>
        <v>2 Bedroom</v>
      </c>
      <c r="B134" t="str">
        <f>IF(Table10[[#This Row],[Residential Stream Source]]=0,"",Table10[[#This Row],[Residential Stream Source]])</f>
        <v/>
      </c>
      <c r="C134" t="str">
        <f>IF(Table10[[#This Row],[Basement?]]=0,"",Table10[[#This Row],[Basement?]])</f>
        <v/>
      </c>
      <c r="D134">
        <f>IF(Table10[[#This Row],[Unit '#]]=0,"",Table10[[#This Row],[Unit '#]])</f>
        <v>132</v>
      </c>
      <c r="E134" t="str">
        <f>IF(Table10[[#This Row],[Vacant?]]=0,"",Table10[[#This Row],[Vacant?]])</f>
        <v/>
      </c>
      <c r="F134">
        <f>IF(Table10[[#This Row],[Rental Rate ($/mth)]]=0,"",Table10[[#This Row],[Rental Rate ($/mth)]])</f>
        <v>3155</v>
      </c>
      <c r="G134"/>
      <c r="H134"/>
      <c r="I134"/>
      <c r="J134">
        <f>IF(Table10[[#This Row],[Unit Size (sq ft)]]=0,"",Table10[[#This Row],[Unit Size (sq ft)]])</f>
        <v>855</v>
      </c>
      <c r="K134"/>
      <c r="L134" t="str">
        <f>Table10[[#This Row],[Market Unit]]</f>
        <v>Yes</v>
      </c>
      <c r="M134" t="str">
        <f>Table10[[#This Row],[Affordable Unit]]</f>
        <v>No</v>
      </c>
      <c r="N134" t="str">
        <f>IF(Table10[[#This Row],[Subsidized Unit]]=0,"",Table10[[#This Row],[Subsidized Unit]])</f>
        <v/>
      </c>
      <c r="O134" t="str">
        <f>IF(Table10[[#This Row],[Care Services]]=0,"",Table10[[#This Row],[Care Services]])</f>
        <v/>
      </c>
      <c r="P134" t="str">
        <f>IF(Table10[[#This Row],[Affordable Care]]=0,"",Table10[[#This Row],[Affordable Care]])</f>
        <v/>
      </c>
      <c r="Q134"/>
      <c r="R134"/>
      <c r="S134"/>
      <c r="T134" t="str">
        <f>IF(Table10[[#This Row],[Bulk Lease Unit]]=0,"",Table10[[#This Row],[Bulk Lease Unit]])</f>
        <v/>
      </c>
      <c r="U134" t="str">
        <f>IF(Table10[[#This Row],[Den Included Unit]]=0,"",Table10[[#This Row],[Den Included Unit]])</f>
        <v/>
      </c>
      <c r="V134" t="str">
        <f>IF(Table10[[#This Row],[Second Bathroom]]=0,"",Table10[[#This Row],[Second Bathroom]])</f>
        <v/>
      </c>
      <c r="W134" t="str">
        <f>IF(Table10[[#This Row],[Heating]]=0,"",Table10[[#This Row],[Heating]])</f>
        <v/>
      </c>
      <c r="X134" t="str">
        <f>IF(Table10[[#This Row],[Electricity]]=0,"",Table10[[#This Row],[Electricity]])</f>
        <v/>
      </c>
      <c r="Y134" t="str">
        <f>IF(Table10[[#This Row],[Water]]=0,"",Table10[[#This Row],[Water]])</f>
        <v/>
      </c>
      <c r="Z134" t="str">
        <f>IF(Table10[[#This Row],[Washer/Dryer]]=0,"",Table10[[#This Row],[Washer/Dryer]])</f>
        <v/>
      </c>
      <c r="AA134" t="str">
        <f>IF(Table10[[#This Row],[Stove/Fridge]]=0,"",Table10[[#This Row],[Stove/Fridge]])</f>
        <v/>
      </c>
      <c r="AB134" t="str">
        <f>IF(Table10[[#This Row],[Dishwasher]]=0,"",Table10[[#This Row],[Dishwasher]])</f>
        <v/>
      </c>
      <c r="AC134" t="str">
        <f>IF(Table10[[#This Row],[Parking]]=0,"",Table10[[#This Row],[Parking]])</f>
        <v/>
      </c>
      <c r="AD134" t="str">
        <f>IF(Table10[[#This Row],[Furniture]]=0,"",Table10[[#This Row],[Furniture]])</f>
        <v/>
      </c>
      <c r="AE134" t="str">
        <f>IF(Table10[[#This Row],[Other]]=0,"",Table10[[#This Row],[Other]])</f>
        <v/>
      </c>
    </row>
    <row r="135" spans="1:31">
      <c r="A135" t="str">
        <f>IF(Table10[[#This Row],[Unit Type]]=0,"",Table10[[#This Row],[Unit Type]])</f>
        <v>2 Bedroom</v>
      </c>
      <c r="B135" t="str">
        <f>IF(Table10[[#This Row],[Residential Stream Source]]=0,"",Table10[[#This Row],[Residential Stream Source]])</f>
        <v/>
      </c>
      <c r="C135" t="str">
        <f>IF(Table10[[#This Row],[Basement?]]=0,"",Table10[[#This Row],[Basement?]])</f>
        <v/>
      </c>
      <c r="D135">
        <f>IF(Table10[[#This Row],[Unit '#]]=0,"",Table10[[#This Row],[Unit '#]])</f>
        <v>133</v>
      </c>
      <c r="E135" t="str">
        <f>IF(Table10[[#This Row],[Vacant?]]=0,"",Table10[[#This Row],[Vacant?]])</f>
        <v/>
      </c>
      <c r="F135">
        <f>IF(Table10[[#This Row],[Rental Rate ($/mth)]]=0,"",Table10[[#This Row],[Rental Rate ($/mth)]])</f>
        <v>3155</v>
      </c>
      <c r="G135"/>
      <c r="H135"/>
      <c r="I135"/>
      <c r="J135">
        <f>IF(Table10[[#This Row],[Unit Size (sq ft)]]=0,"",Table10[[#This Row],[Unit Size (sq ft)]])</f>
        <v>855</v>
      </c>
      <c r="K135"/>
      <c r="L135" t="str">
        <f>Table10[[#This Row],[Market Unit]]</f>
        <v>Yes</v>
      </c>
      <c r="M135" t="str">
        <f>Table10[[#This Row],[Affordable Unit]]</f>
        <v>No</v>
      </c>
      <c r="N135" t="str">
        <f>IF(Table10[[#This Row],[Subsidized Unit]]=0,"",Table10[[#This Row],[Subsidized Unit]])</f>
        <v/>
      </c>
      <c r="O135" t="str">
        <f>IF(Table10[[#This Row],[Care Services]]=0,"",Table10[[#This Row],[Care Services]])</f>
        <v/>
      </c>
      <c r="P135" t="str">
        <f>IF(Table10[[#This Row],[Affordable Care]]=0,"",Table10[[#This Row],[Affordable Care]])</f>
        <v/>
      </c>
      <c r="Q135"/>
      <c r="R135"/>
      <c r="S135"/>
      <c r="T135" t="str">
        <f>IF(Table10[[#This Row],[Bulk Lease Unit]]=0,"",Table10[[#This Row],[Bulk Lease Unit]])</f>
        <v/>
      </c>
      <c r="U135" t="str">
        <f>IF(Table10[[#This Row],[Den Included Unit]]=0,"",Table10[[#This Row],[Den Included Unit]])</f>
        <v/>
      </c>
      <c r="V135" t="str">
        <f>IF(Table10[[#This Row],[Second Bathroom]]=0,"",Table10[[#This Row],[Second Bathroom]])</f>
        <v/>
      </c>
      <c r="W135" t="str">
        <f>IF(Table10[[#This Row],[Heating]]=0,"",Table10[[#This Row],[Heating]])</f>
        <v/>
      </c>
      <c r="X135" t="str">
        <f>IF(Table10[[#This Row],[Electricity]]=0,"",Table10[[#This Row],[Electricity]])</f>
        <v/>
      </c>
      <c r="Y135" t="str">
        <f>IF(Table10[[#This Row],[Water]]=0,"",Table10[[#This Row],[Water]])</f>
        <v/>
      </c>
      <c r="Z135" t="str">
        <f>IF(Table10[[#This Row],[Washer/Dryer]]=0,"",Table10[[#This Row],[Washer/Dryer]])</f>
        <v/>
      </c>
      <c r="AA135" t="str">
        <f>IF(Table10[[#This Row],[Stove/Fridge]]=0,"",Table10[[#This Row],[Stove/Fridge]])</f>
        <v/>
      </c>
      <c r="AB135" t="str">
        <f>IF(Table10[[#This Row],[Dishwasher]]=0,"",Table10[[#This Row],[Dishwasher]])</f>
        <v/>
      </c>
      <c r="AC135" t="str">
        <f>IF(Table10[[#This Row],[Parking]]=0,"",Table10[[#This Row],[Parking]])</f>
        <v/>
      </c>
      <c r="AD135" t="str">
        <f>IF(Table10[[#This Row],[Furniture]]=0,"",Table10[[#This Row],[Furniture]])</f>
        <v/>
      </c>
      <c r="AE135" t="str">
        <f>IF(Table10[[#This Row],[Other]]=0,"",Table10[[#This Row],[Other]])</f>
        <v/>
      </c>
    </row>
    <row r="136" spans="1:31">
      <c r="A136" t="str">
        <f>IF(Table10[[#This Row],[Unit Type]]=0,"",Table10[[#This Row],[Unit Type]])</f>
        <v>2 Bedroom</v>
      </c>
      <c r="B136" t="str">
        <f>IF(Table10[[#This Row],[Residential Stream Source]]=0,"",Table10[[#This Row],[Residential Stream Source]])</f>
        <v/>
      </c>
      <c r="C136" t="str">
        <f>IF(Table10[[#This Row],[Basement?]]=0,"",Table10[[#This Row],[Basement?]])</f>
        <v/>
      </c>
      <c r="D136">
        <f>IF(Table10[[#This Row],[Unit '#]]=0,"",Table10[[#This Row],[Unit '#]])</f>
        <v>134</v>
      </c>
      <c r="E136" t="str">
        <f>IF(Table10[[#This Row],[Vacant?]]=0,"",Table10[[#This Row],[Vacant?]])</f>
        <v/>
      </c>
      <c r="F136">
        <f>IF(Table10[[#This Row],[Rental Rate ($/mth)]]=0,"",Table10[[#This Row],[Rental Rate ($/mth)]])</f>
        <v>3155</v>
      </c>
      <c r="G136"/>
      <c r="H136"/>
      <c r="I136"/>
      <c r="J136">
        <f>IF(Table10[[#This Row],[Unit Size (sq ft)]]=0,"",Table10[[#This Row],[Unit Size (sq ft)]])</f>
        <v>855</v>
      </c>
      <c r="K136"/>
      <c r="L136" t="str">
        <f>Table10[[#This Row],[Market Unit]]</f>
        <v>Yes</v>
      </c>
      <c r="M136" t="str">
        <f>Table10[[#This Row],[Affordable Unit]]</f>
        <v>No</v>
      </c>
      <c r="N136" t="str">
        <f>IF(Table10[[#This Row],[Subsidized Unit]]=0,"",Table10[[#This Row],[Subsidized Unit]])</f>
        <v/>
      </c>
      <c r="O136" t="str">
        <f>IF(Table10[[#This Row],[Care Services]]=0,"",Table10[[#This Row],[Care Services]])</f>
        <v/>
      </c>
      <c r="P136" t="str">
        <f>IF(Table10[[#This Row],[Affordable Care]]=0,"",Table10[[#This Row],[Affordable Care]])</f>
        <v/>
      </c>
      <c r="Q136"/>
      <c r="R136"/>
      <c r="S136"/>
      <c r="T136" t="str">
        <f>IF(Table10[[#This Row],[Bulk Lease Unit]]=0,"",Table10[[#This Row],[Bulk Lease Unit]])</f>
        <v/>
      </c>
      <c r="U136" t="str">
        <f>IF(Table10[[#This Row],[Den Included Unit]]=0,"",Table10[[#This Row],[Den Included Unit]])</f>
        <v/>
      </c>
      <c r="V136" t="str">
        <f>IF(Table10[[#This Row],[Second Bathroom]]=0,"",Table10[[#This Row],[Second Bathroom]])</f>
        <v/>
      </c>
      <c r="W136" t="str">
        <f>IF(Table10[[#This Row],[Heating]]=0,"",Table10[[#This Row],[Heating]])</f>
        <v/>
      </c>
      <c r="X136" t="str">
        <f>IF(Table10[[#This Row],[Electricity]]=0,"",Table10[[#This Row],[Electricity]])</f>
        <v/>
      </c>
      <c r="Y136" t="str">
        <f>IF(Table10[[#This Row],[Water]]=0,"",Table10[[#This Row],[Water]])</f>
        <v/>
      </c>
      <c r="Z136" t="str">
        <f>IF(Table10[[#This Row],[Washer/Dryer]]=0,"",Table10[[#This Row],[Washer/Dryer]])</f>
        <v/>
      </c>
      <c r="AA136" t="str">
        <f>IF(Table10[[#This Row],[Stove/Fridge]]=0,"",Table10[[#This Row],[Stove/Fridge]])</f>
        <v/>
      </c>
      <c r="AB136" t="str">
        <f>IF(Table10[[#This Row],[Dishwasher]]=0,"",Table10[[#This Row],[Dishwasher]])</f>
        <v/>
      </c>
      <c r="AC136" t="str">
        <f>IF(Table10[[#This Row],[Parking]]=0,"",Table10[[#This Row],[Parking]])</f>
        <v/>
      </c>
      <c r="AD136" t="str">
        <f>IF(Table10[[#This Row],[Furniture]]=0,"",Table10[[#This Row],[Furniture]])</f>
        <v/>
      </c>
      <c r="AE136" t="str">
        <f>IF(Table10[[#This Row],[Other]]=0,"",Table10[[#This Row],[Other]])</f>
        <v/>
      </c>
    </row>
    <row r="137" spans="1:31">
      <c r="A137" t="str">
        <f>IF(Table10[[#This Row],[Unit Type]]=0,"",Table10[[#This Row],[Unit Type]])</f>
        <v>2 Bedroom</v>
      </c>
      <c r="B137" t="str">
        <f>IF(Table10[[#This Row],[Residential Stream Source]]=0,"",Table10[[#This Row],[Residential Stream Source]])</f>
        <v/>
      </c>
      <c r="C137" t="str">
        <f>IF(Table10[[#This Row],[Basement?]]=0,"",Table10[[#This Row],[Basement?]])</f>
        <v/>
      </c>
      <c r="D137">
        <f>IF(Table10[[#This Row],[Unit '#]]=0,"",Table10[[#This Row],[Unit '#]])</f>
        <v>135</v>
      </c>
      <c r="E137" t="str">
        <f>IF(Table10[[#This Row],[Vacant?]]=0,"",Table10[[#This Row],[Vacant?]])</f>
        <v/>
      </c>
      <c r="F137">
        <f>IF(Table10[[#This Row],[Rental Rate ($/mth)]]=0,"",Table10[[#This Row],[Rental Rate ($/mth)]])</f>
        <v>3155</v>
      </c>
      <c r="G137"/>
      <c r="H137"/>
      <c r="I137"/>
      <c r="J137">
        <f>IF(Table10[[#This Row],[Unit Size (sq ft)]]=0,"",Table10[[#This Row],[Unit Size (sq ft)]])</f>
        <v>855</v>
      </c>
      <c r="K137"/>
      <c r="L137" t="str">
        <f>Table10[[#This Row],[Market Unit]]</f>
        <v>Yes</v>
      </c>
      <c r="M137" t="str">
        <f>Table10[[#This Row],[Affordable Unit]]</f>
        <v>No</v>
      </c>
      <c r="N137" t="str">
        <f>IF(Table10[[#This Row],[Subsidized Unit]]=0,"",Table10[[#This Row],[Subsidized Unit]])</f>
        <v/>
      </c>
      <c r="O137" t="str">
        <f>IF(Table10[[#This Row],[Care Services]]=0,"",Table10[[#This Row],[Care Services]])</f>
        <v/>
      </c>
      <c r="P137" t="str">
        <f>IF(Table10[[#This Row],[Affordable Care]]=0,"",Table10[[#This Row],[Affordable Care]])</f>
        <v/>
      </c>
      <c r="Q137"/>
      <c r="R137"/>
      <c r="S137"/>
      <c r="T137" t="str">
        <f>IF(Table10[[#This Row],[Bulk Lease Unit]]=0,"",Table10[[#This Row],[Bulk Lease Unit]])</f>
        <v/>
      </c>
      <c r="U137" t="str">
        <f>IF(Table10[[#This Row],[Den Included Unit]]=0,"",Table10[[#This Row],[Den Included Unit]])</f>
        <v/>
      </c>
      <c r="V137" t="str">
        <f>IF(Table10[[#This Row],[Second Bathroom]]=0,"",Table10[[#This Row],[Second Bathroom]])</f>
        <v/>
      </c>
      <c r="W137" t="str">
        <f>IF(Table10[[#This Row],[Heating]]=0,"",Table10[[#This Row],[Heating]])</f>
        <v/>
      </c>
      <c r="X137" t="str">
        <f>IF(Table10[[#This Row],[Electricity]]=0,"",Table10[[#This Row],[Electricity]])</f>
        <v/>
      </c>
      <c r="Y137" t="str">
        <f>IF(Table10[[#This Row],[Water]]=0,"",Table10[[#This Row],[Water]])</f>
        <v/>
      </c>
      <c r="Z137" t="str">
        <f>IF(Table10[[#This Row],[Washer/Dryer]]=0,"",Table10[[#This Row],[Washer/Dryer]])</f>
        <v/>
      </c>
      <c r="AA137" t="str">
        <f>IF(Table10[[#This Row],[Stove/Fridge]]=0,"",Table10[[#This Row],[Stove/Fridge]])</f>
        <v/>
      </c>
      <c r="AB137" t="str">
        <f>IF(Table10[[#This Row],[Dishwasher]]=0,"",Table10[[#This Row],[Dishwasher]])</f>
        <v/>
      </c>
      <c r="AC137" t="str">
        <f>IF(Table10[[#This Row],[Parking]]=0,"",Table10[[#This Row],[Parking]])</f>
        <v/>
      </c>
      <c r="AD137" t="str">
        <f>IF(Table10[[#This Row],[Furniture]]=0,"",Table10[[#This Row],[Furniture]])</f>
        <v/>
      </c>
      <c r="AE137" t="str">
        <f>IF(Table10[[#This Row],[Other]]=0,"",Table10[[#This Row],[Other]])</f>
        <v/>
      </c>
    </row>
    <row r="138" spans="1:31">
      <c r="A138" t="str">
        <f>IF(Table10[[#This Row],[Unit Type]]=0,"",Table10[[#This Row],[Unit Type]])</f>
        <v>2 Bedroom</v>
      </c>
      <c r="B138" t="str">
        <f>IF(Table10[[#This Row],[Residential Stream Source]]=0,"",Table10[[#This Row],[Residential Stream Source]])</f>
        <v/>
      </c>
      <c r="C138" t="str">
        <f>IF(Table10[[#This Row],[Basement?]]=0,"",Table10[[#This Row],[Basement?]])</f>
        <v/>
      </c>
      <c r="D138">
        <f>IF(Table10[[#This Row],[Unit '#]]=0,"",Table10[[#This Row],[Unit '#]])</f>
        <v>136</v>
      </c>
      <c r="E138" t="str">
        <f>IF(Table10[[#This Row],[Vacant?]]=0,"",Table10[[#This Row],[Vacant?]])</f>
        <v/>
      </c>
      <c r="F138">
        <f>IF(Table10[[#This Row],[Rental Rate ($/mth)]]=0,"",Table10[[#This Row],[Rental Rate ($/mth)]])</f>
        <v>3155</v>
      </c>
      <c r="G138"/>
      <c r="H138"/>
      <c r="I138"/>
      <c r="J138">
        <f>IF(Table10[[#This Row],[Unit Size (sq ft)]]=0,"",Table10[[#This Row],[Unit Size (sq ft)]])</f>
        <v>855</v>
      </c>
      <c r="K138"/>
      <c r="L138" t="str">
        <f>Table10[[#This Row],[Market Unit]]</f>
        <v>Yes</v>
      </c>
      <c r="M138" t="str">
        <f>Table10[[#This Row],[Affordable Unit]]</f>
        <v>No</v>
      </c>
      <c r="N138" t="str">
        <f>IF(Table10[[#This Row],[Subsidized Unit]]=0,"",Table10[[#This Row],[Subsidized Unit]])</f>
        <v/>
      </c>
      <c r="O138" t="str">
        <f>IF(Table10[[#This Row],[Care Services]]=0,"",Table10[[#This Row],[Care Services]])</f>
        <v/>
      </c>
      <c r="P138" t="str">
        <f>IF(Table10[[#This Row],[Affordable Care]]=0,"",Table10[[#This Row],[Affordable Care]])</f>
        <v/>
      </c>
      <c r="Q138"/>
      <c r="R138"/>
      <c r="S138"/>
      <c r="T138" t="str">
        <f>IF(Table10[[#This Row],[Bulk Lease Unit]]=0,"",Table10[[#This Row],[Bulk Lease Unit]])</f>
        <v/>
      </c>
      <c r="U138" t="str">
        <f>IF(Table10[[#This Row],[Den Included Unit]]=0,"",Table10[[#This Row],[Den Included Unit]])</f>
        <v/>
      </c>
      <c r="V138" t="str">
        <f>IF(Table10[[#This Row],[Second Bathroom]]=0,"",Table10[[#This Row],[Second Bathroom]])</f>
        <v/>
      </c>
      <c r="W138" t="str">
        <f>IF(Table10[[#This Row],[Heating]]=0,"",Table10[[#This Row],[Heating]])</f>
        <v/>
      </c>
      <c r="X138" t="str">
        <f>IF(Table10[[#This Row],[Electricity]]=0,"",Table10[[#This Row],[Electricity]])</f>
        <v/>
      </c>
      <c r="Y138" t="str">
        <f>IF(Table10[[#This Row],[Water]]=0,"",Table10[[#This Row],[Water]])</f>
        <v/>
      </c>
      <c r="Z138" t="str">
        <f>IF(Table10[[#This Row],[Washer/Dryer]]=0,"",Table10[[#This Row],[Washer/Dryer]])</f>
        <v/>
      </c>
      <c r="AA138" t="str">
        <f>IF(Table10[[#This Row],[Stove/Fridge]]=0,"",Table10[[#This Row],[Stove/Fridge]])</f>
        <v/>
      </c>
      <c r="AB138" t="str">
        <f>IF(Table10[[#This Row],[Dishwasher]]=0,"",Table10[[#This Row],[Dishwasher]])</f>
        <v/>
      </c>
      <c r="AC138" t="str">
        <f>IF(Table10[[#This Row],[Parking]]=0,"",Table10[[#This Row],[Parking]])</f>
        <v/>
      </c>
      <c r="AD138" t="str">
        <f>IF(Table10[[#This Row],[Furniture]]=0,"",Table10[[#This Row],[Furniture]])</f>
        <v/>
      </c>
      <c r="AE138" t="str">
        <f>IF(Table10[[#This Row],[Other]]=0,"",Table10[[#This Row],[Other]])</f>
        <v/>
      </c>
    </row>
    <row r="139" spans="1:31">
      <c r="A139" t="str">
        <f>IF(Table10[[#This Row],[Unit Type]]=0,"",Table10[[#This Row],[Unit Type]])</f>
        <v>2 Bedroom</v>
      </c>
      <c r="B139" t="str">
        <f>IF(Table10[[#This Row],[Residential Stream Source]]=0,"",Table10[[#This Row],[Residential Stream Source]])</f>
        <v/>
      </c>
      <c r="C139" t="str">
        <f>IF(Table10[[#This Row],[Basement?]]=0,"",Table10[[#This Row],[Basement?]])</f>
        <v/>
      </c>
      <c r="D139">
        <f>IF(Table10[[#This Row],[Unit '#]]=0,"",Table10[[#This Row],[Unit '#]])</f>
        <v>137</v>
      </c>
      <c r="E139" t="str">
        <f>IF(Table10[[#This Row],[Vacant?]]=0,"",Table10[[#This Row],[Vacant?]])</f>
        <v/>
      </c>
      <c r="F139">
        <f>IF(Table10[[#This Row],[Rental Rate ($/mth)]]=0,"",Table10[[#This Row],[Rental Rate ($/mth)]])</f>
        <v>3155</v>
      </c>
      <c r="G139"/>
      <c r="H139"/>
      <c r="I139"/>
      <c r="J139">
        <f>IF(Table10[[#This Row],[Unit Size (sq ft)]]=0,"",Table10[[#This Row],[Unit Size (sq ft)]])</f>
        <v>855</v>
      </c>
      <c r="K139"/>
      <c r="L139" t="str">
        <f>Table10[[#This Row],[Market Unit]]</f>
        <v>Yes</v>
      </c>
      <c r="M139" t="str">
        <f>Table10[[#This Row],[Affordable Unit]]</f>
        <v>No</v>
      </c>
      <c r="N139" t="str">
        <f>IF(Table10[[#This Row],[Subsidized Unit]]=0,"",Table10[[#This Row],[Subsidized Unit]])</f>
        <v/>
      </c>
      <c r="O139" t="str">
        <f>IF(Table10[[#This Row],[Care Services]]=0,"",Table10[[#This Row],[Care Services]])</f>
        <v/>
      </c>
      <c r="P139" t="str">
        <f>IF(Table10[[#This Row],[Affordable Care]]=0,"",Table10[[#This Row],[Affordable Care]])</f>
        <v/>
      </c>
      <c r="Q139"/>
      <c r="R139"/>
      <c r="S139"/>
      <c r="T139" t="str">
        <f>IF(Table10[[#This Row],[Bulk Lease Unit]]=0,"",Table10[[#This Row],[Bulk Lease Unit]])</f>
        <v/>
      </c>
      <c r="U139" t="str">
        <f>IF(Table10[[#This Row],[Den Included Unit]]=0,"",Table10[[#This Row],[Den Included Unit]])</f>
        <v/>
      </c>
      <c r="V139" t="str">
        <f>IF(Table10[[#This Row],[Second Bathroom]]=0,"",Table10[[#This Row],[Second Bathroom]])</f>
        <v/>
      </c>
      <c r="W139" t="str">
        <f>IF(Table10[[#This Row],[Heating]]=0,"",Table10[[#This Row],[Heating]])</f>
        <v/>
      </c>
      <c r="X139" t="str">
        <f>IF(Table10[[#This Row],[Electricity]]=0,"",Table10[[#This Row],[Electricity]])</f>
        <v/>
      </c>
      <c r="Y139" t="str">
        <f>IF(Table10[[#This Row],[Water]]=0,"",Table10[[#This Row],[Water]])</f>
        <v/>
      </c>
      <c r="Z139" t="str">
        <f>IF(Table10[[#This Row],[Washer/Dryer]]=0,"",Table10[[#This Row],[Washer/Dryer]])</f>
        <v/>
      </c>
      <c r="AA139" t="str">
        <f>IF(Table10[[#This Row],[Stove/Fridge]]=0,"",Table10[[#This Row],[Stove/Fridge]])</f>
        <v/>
      </c>
      <c r="AB139" t="str">
        <f>IF(Table10[[#This Row],[Dishwasher]]=0,"",Table10[[#This Row],[Dishwasher]])</f>
        <v/>
      </c>
      <c r="AC139" t="str">
        <f>IF(Table10[[#This Row],[Parking]]=0,"",Table10[[#This Row],[Parking]])</f>
        <v/>
      </c>
      <c r="AD139" t="str">
        <f>IF(Table10[[#This Row],[Furniture]]=0,"",Table10[[#This Row],[Furniture]])</f>
        <v/>
      </c>
      <c r="AE139" t="str">
        <f>IF(Table10[[#This Row],[Other]]=0,"",Table10[[#This Row],[Other]])</f>
        <v/>
      </c>
    </row>
    <row r="140" spans="1:31">
      <c r="A140" t="str">
        <f>IF(Table10[[#This Row],[Unit Type]]=0,"",Table10[[#This Row],[Unit Type]])</f>
        <v>2 Bedroom</v>
      </c>
      <c r="B140" t="str">
        <f>IF(Table10[[#This Row],[Residential Stream Source]]=0,"",Table10[[#This Row],[Residential Stream Source]])</f>
        <v/>
      </c>
      <c r="C140" t="str">
        <f>IF(Table10[[#This Row],[Basement?]]=0,"",Table10[[#This Row],[Basement?]])</f>
        <v/>
      </c>
      <c r="D140">
        <f>IF(Table10[[#This Row],[Unit '#]]=0,"",Table10[[#This Row],[Unit '#]])</f>
        <v>138</v>
      </c>
      <c r="E140" t="str">
        <f>IF(Table10[[#This Row],[Vacant?]]=0,"",Table10[[#This Row],[Vacant?]])</f>
        <v/>
      </c>
      <c r="F140">
        <f>IF(Table10[[#This Row],[Rental Rate ($/mth)]]=0,"",Table10[[#This Row],[Rental Rate ($/mth)]])</f>
        <v>3155</v>
      </c>
      <c r="G140"/>
      <c r="H140"/>
      <c r="I140"/>
      <c r="J140">
        <f>IF(Table10[[#This Row],[Unit Size (sq ft)]]=0,"",Table10[[#This Row],[Unit Size (sq ft)]])</f>
        <v>855</v>
      </c>
      <c r="K140"/>
      <c r="L140" t="str">
        <f>Table10[[#This Row],[Market Unit]]</f>
        <v>Yes</v>
      </c>
      <c r="M140" t="str">
        <f>Table10[[#This Row],[Affordable Unit]]</f>
        <v>No</v>
      </c>
      <c r="N140" t="str">
        <f>IF(Table10[[#This Row],[Subsidized Unit]]=0,"",Table10[[#This Row],[Subsidized Unit]])</f>
        <v/>
      </c>
      <c r="O140" t="str">
        <f>IF(Table10[[#This Row],[Care Services]]=0,"",Table10[[#This Row],[Care Services]])</f>
        <v/>
      </c>
      <c r="P140" t="str">
        <f>IF(Table10[[#This Row],[Affordable Care]]=0,"",Table10[[#This Row],[Affordable Care]])</f>
        <v/>
      </c>
      <c r="Q140"/>
      <c r="R140"/>
      <c r="S140"/>
      <c r="T140" t="str">
        <f>IF(Table10[[#This Row],[Bulk Lease Unit]]=0,"",Table10[[#This Row],[Bulk Lease Unit]])</f>
        <v/>
      </c>
      <c r="U140" t="str">
        <f>IF(Table10[[#This Row],[Den Included Unit]]=0,"",Table10[[#This Row],[Den Included Unit]])</f>
        <v/>
      </c>
      <c r="V140" t="str">
        <f>IF(Table10[[#This Row],[Second Bathroom]]=0,"",Table10[[#This Row],[Second Bathroom]])</f>
        <v/>
      </c>
      <c r="W140" t="str">
        <f>IF(Table10[[#This Row],[Heating]]=0,"",Table10[[#This Row],[Heating]])</f>
        <v/>
      </c>
      <c r="X140" t="str">
        <f>IF(Table10[[#This Row],[Electricity]]=0,"",Table10[[#This Row],[Electricity]])</f>
        <v/>
      </c>
      <c r="Y140" t="str">
        <f>IF(Table10[[#This Row],[Water]]=0,"",Table10[[#This Row],[Water]])</f>
        <v/>
      </c>
      <c r="Z140" t="str">
        <f>IF(Table10[[#This Row],[Washer/Dryer]]=0,"",Table10[[#This Row],[Washer/Dryer]])</f>
        <v/>
      </c>
      <c r="AA140" t="str">
        <f>IF(Table10[[#This Row],[Stove/Fridge]]=0,"",Table10[[#This Row],[Stove/Fridge]])</f>
        <v/>
      </c>
      <c r="AB140" t="str">
        <f>IF(Table10[[#This Row],[Dishwasher]]=0,"",Table10[[#This Row],[Dishwasher]])</f>
        <v/>
      </c>
      <c r="AC140" t="str">
        <f>IF(Table10[[#This Row],[Parking]]=0,"",Table10[[#This Row],[Parking]])</f>
        <v/>
      </c>
      <c r="AD140" t="str">
        <f>IF(Table10[[#This Row],[Furniture]]=0,"",Table10[[#This Row],[Furniture]])</f>
        <v/>
      </c>
      <c r="AE140" t="str">
        <f>IF(Table10[[#This Row],[Other]]=0,"",Table10[[#This Row],[Other]])</f>
        <v/>
      </c>
    </row>
    <row r="141" spans="1:31">
      <c r="A141" t="str">
        <f>IF(Table10[[#This Row],[Unit Type]]=0,"",Table10[[#This Row],[Unit Type]])</f>
        <v>2 Bedroom</v>
      </c>
      <c r="B141" t="str">
        <f>IF(Table10[[#This Row],[Residential Stream Source]]=0,"",Table10[[#This Row],[Residential Stream Source]])</f>
        <v/>
      </c>
      <c r="C141" t="str">
        <f>IF(Table10[[#This Row],[Basement?]]=0,"",Table10[[#This Row],[Basement?]])</f>
        <v/>
      </c>
      <c r="D141">
        <f>IF(Table10[[#This Row],[Unit '#]]=0,"",Table10[[#This Row],[Unit '#]])</f>
        <v>139</v>
      </c>
      <c r="E141" t="str">
        <f>IF(Table10[[#This Row],[Vacant?]]=0,"",Table10[[#This Row],[Vacant?]])</f>
        <v/>
      </c>
      <c r="F141">
        <f>IF(Table10[[#This Row],[Rental Rate ($/mth)]]=0,"",Table10[[#This Row],[Rental Rate ($/mth)]])</f>
        <v>3155</v>
      </c>
      <c r="G141"/>
      <c r="H141"/>
      <c r="I141"/>
      <c r="J141">
        <f>IF(Table10[[#This Row],[Unit Size (sq ft)]]=0,"",Table10[[#This Row],[Unit Size (sq ft)]])</f>
        <v>855</v>
      </c>
      <c r="K141"/>
      <c r="L141" t="str">
        <f>Table10[[#This Row],[Market Unit]]</f>
        <v>Yes</v>
      </c>
      <c r="M141" t="str">
        <f>Table10[[#This Row],[Affordable Unit]]</f>
        <v>No</v>
      </c>
      <c r="N141" t="str">
        <f>IF(Table10[[#This Row],[Subsidized Unit]]=0,"",Table10[[#This Row],[Subsidized Unit]])</f>
        <v/>
      </c>
      <c r="O141" t="str">
        <f>IF(Table10[[#This Row],[Care Services]]=0,"",Table10[[#This Row],[Care Services]])</f>
        <v/>
      </c>
      <c r="P141" t="str">
        <f>IF(Table10[[#This Row],[Affordable Care]]=0,"",Table10[[#This Row],[Affordable Care]])</f>
        <v/>
      </c>
      <c r="Q141"/>
      <c r="R141"/>
      <c r="S141"/>
      <c r="T141" t="str">
        <f>IF(Table10[[#This Row],[Bulk Lease Unit]]=0,"",Table10[[#This Row],[Bulk Lease Unit]])</f>
        <v/>
      </c>
      <c r="U141" t="str">
        <f>IF(Table10[[#This Row],[Den Included Unit]]=0,"",Table10[[#This Row],[Den Included Unit]])</f>
        <v/>
      </c>
      <c r="V141" t="str">
        <f>IF(Table10[[#This Row],[Second Bathroom]]=0,"",Table10[[#This Row],[Second Bathroom]])</f>
        <v/>
      </c>
      <c r="W141" t="str">
        <f>IF(Table10[[#This Row],[Heating]]=0,"",Table10[[#This Row],[Heating]])</f>
        <v/>
      </c>
      <c r="X141" t="str">
        <f>IF(Table10[[#This Row],[Electricity]]=0,"",Table10[[#This Row],[Electricity]])</f>
        <v/>
      </c>
      <c r="Y141" t="str">
        <f>IF(Table10[[#This Row],[Water]]=0,"",Table10[[#This Row],[Water]])</f>
        <v/>
      </c>
      <c r="Z141" t="str">
        <f>IF(Table10[[#This Row],[Washer/Dryer]]=0,"",Table10[[#This Row],[Washer/Dryer]])</f>
        <v/>
      </c>
      <c r="AA141" t="str">
        <f>IF(Table10[[#This Row],[Stove/Fridge]]=0,"",Table10[[#This Row],[Stove/Fridge]])</f>
        <v/>
      </c>
      <c r="AB141" t="str">
        <f>IF(Table10[[#This Row],[Dishwasher]]=0,"",Table10[[#This Row],[Dishwasher]])</f>
        <v/>
      </c>
      <c r="AC141" t="str">
        <f>IF(Table10[[#This Row],[Parking]]=0,"",Table10[[#This Row],[Parking]])</f>
        <v/>
      </c>
      <c r="AD141" t="str">
        <f>IF(Table10[[#This Row],[Furniture]]=0,"",Table10[[#This Row],[Furniture]])</f>
        <v/>
      </c>
      <c r="AE141" t="str">
        <f>IF(Table10[[#This Row],[Other]]=0,"",Table10[[#This Row],[Other]])</f>
        <v/>
      </c>
    </row>
    <row r="142" spans="1:31">
      <c r="A142" t="str">
        <f>IF(Table10[[#This Row],[Unit Type]]=0,"",Table10[[#This Row],[Unit Type]])</f>
        <v>2 Bedroom</v>
      </c>
      <c r="B142" t="str">
        <f>IF(Table10[[#This Row],[Residential Stream Source]]=0,"",Table10[[#This Row],[Residential Stream Source]])</f>
        <v/>
      </c>
      <c r="C142" t="str">
        <f>IF(Table10[[#This Row],[Basement?]]=0,"",Table10[[#This Row],[Basement?]])</f>
        <v/>
      </c>
      <c r="D142">
        <f>IF(Table10[[#This Row],[Unit '#]]=0,"",Table10[[#This Row],[Unit '#]])</f>
        <v>140</v>
      </c>
      <c r="E142" t="str">
        <f>IF(Table10[[#This Row],[Vacant?]]=0,"",Table10[[#This Row],[Vacant?]])</f>
        <v/>
      </c>
      <c r="F142">
        <f>IF(Table10[[#This Row],[Rental Rate ($/mth)]]=0,"",Table10[[#This Row],[Rental Rate ($/mth)]])</f>
        <v>3155</v>
      </c>
      <c r="G142"/>
      <c r="H142"/>
      <c r="I142"/>
      <c r="J142">
        <f>IF(Table10[[#This Row],[Unit Size (sq ft)]]=0,"",Table10[[#This Row],[Unit Size (sq ft)]])</f>
        <v>855</v>
      </c>
      <c r="K142"/>
      <c r="L142" t="str">
        <f>Table10[[#This Row],[Market Unit]]</f>
        <v>Yes</v>
      </c>
      <c r="M142" t="str">
        <f>Table10[[#This Row],[Affordable Unit]]</f>
        <v>No</v>
      </c>
      <c r="N142" t="str">
        <f>IF(Table10[[#This Row],[Subsidized Unit]]=0,"",Table10[[#This Row],[Subsidized Unit]])</f>
        <v/>
      </c>
      <c r="O142" t="str">
        <f>IF(Table10[[#This Row],[Care Services]]=0,"",Table10[[#This Row],[Care Services]])</f>
        <v/>
      </c>
      <c r="P142" t="str">
        <f>IF(Table10[[#This Row],[Affordable Care]]=0,"",Table10[[#This Row],[Affordable Care]])</f>
        <v/>
      </c>
      <c r="Q142"/>
      <c r="R142"/>
      <c r="S142"/>
      <c r="T142" t="str">
        <f>IF(Table10[[#This Row],[Bulk Lease Unit]]=0,"",Table10[[#This Row],[Bulk Lease Unit]])</f>
        <v/>
      </c>
      <c r="U142" t="str">
        <f>IF(Table10[[#This Row],[Den Included Unit]]=0,"",Table10[[#This Row],[Den Included Unit]])</f>
        <v/>
      </c>
      <c r="V142" t="str">
        <f>IF(Table10[[#This Row],[Second Bathroom]]=0,"",Table10[[#This Row],[Second Bathroom]])</f>
        <v/>
      </c>
      <c r="W142" t="str">
        <f>IF(Table10[[#This Row],[Heating]]=0,"",Table10[[#This Row],[Heating]])</f>
        <v/>
      </c>
      <c r="X142" t="str">
        <f>IF(Table10[[#This Row],[Electricity]]=0,"",Table10[[#This Row],[Electricity]])</f>
        <v/>
      </c>
      <c r="Y142" t="str">
        <f>IF(Table10[[#This Row],[Water]]=0,"",Table10[[#This Row],[Water]])</f>
        <v/>
      </c>
      <c r="Z142" t="str">
        <f>IF(Table10[[#This Row],[Washer/Dryer]]=0,"",Table10[[#This Row],[Washer/Dryer]])</f>
        <v/>
      </c>
      <c r="AA142" t="str">
        <f>IF(Table10[[#This Row],[Stove/Fridge]]=0,"",Table10[[#This Row],[Stove/Fridge]])</f>
        <v/>
      </c>
      <c r="AB142" t="str">
        <f>IF(Table10[[#This Row],[Dishwasher]]=0,"",Table10[[#This Row],[Dishwasher]])</f>
        <v/>
      </c>
      <c r="AC142" t="str">
        <f>IF(Table10[[#This Row],[Parking]]=0,"",Table10[[#This Row],[Parking]])</f>
        <v/>
      </c>
      <c r="AD142" t="str">
        <f>IF(Table10[[#This Row],[Furniture]]=0,"",Table10[[#This Row],[Furniture]])</f>
        <v/>
      </c>
      <c r="AE142" t="str">
        <f>IF(Table10[[#This Row],[Other]]=0,"",Table10[[#This Row],[Other]])</f>
        <v/>
      </c>
    </row>
    <row r="143" spans="1:31">
      <c r="A143" t="str">
        <f>IF(Table10[[#This Row],[Unit Type]]=0,"",Table10[[#This Row],[Unit Type]])</f>
        <v>2 Bedroom</v>
      </c>
      <c r="B143" t="str">
        <f>IF(Table10[[#This Row],[Residential Stream Source]]=0,"",Table10[[#This Row],[Residential Stream Source]])</f>
        <v/>
      </c>
      <c r="C143" t="str">
        <f>IF(Table10[[#This Row],[Basement?]]=0,"",Table10[[#This Row],[Basement?]])</f>
        <v/>
      </c>
      <c r="D143">
        <f>IF(Table10[[#This Row],[Unit '#]]=0,"",Table10[[#This Row],[Unit '#]])</f>
        <v>141</v>
      </c>
      <c r="E143" t="str">
        <f>IF(Table10[[#This Row],[Vacant?]]=0,"",Table10[[#This Row],[Vacant?]])</f>
        <v/>
      </c>
      <c r="F143">
        <f>IF(Table10[[#This Row],[Rental Rate ($/mth)]]=0,"",Table10[[#This Row],[Rental Rate ($/mth)]])</f>
        <v>3155</v>
      </c>
      <c r="G143"/>
      <c r="H143"/>
      <c r="I143"/>
      <c r="J143">
        <f>IF(Table10[[#This Row],[Unit Size (sq ft)]]=0,"",Table10[[#This Row],[Unit Size (sq ft)]])</f>
        <v>855</v>
      </c>
      <c r="K143"/>
      <c r="L143" t="str">
        <f>Table10[[#This Row],[Market Unit]]</f>
        <v>Yes</v>
      </c>
      <c r="M143" t="str">
        <f>Table10[[#This Row],[Affordable Unit]]</f>
        <v>No</v>
      </c>
      <c r="N143" t="str">
        <f>IF(Table10[[#This Row],[Subsidized Unit]]=0,"",Table10[[#This Row],[Subsidized Unit]])</f>
        <v/>
      </c>
      <c r="O143" t="str">
        <f>IF(Table10[[#This Row],[Care Services]]=0,"",Table10[[#This Row],[Care Services]])</f>
        <v/>
      </c>
      <c r="P143" t="str">
        <f>IF(Table10[[#This Row],[Affordable Care]]=0,"",Table10[[#This Row],[Affordable Care]])</f>
        <v/>
      </c>
      <c r="Q143"/>
      <c r="R143"/>
      <c r="S143"/>
      <c r="T143" t="str">
        <f>IF(Table10[[#This Row],[Bulk Lease Unit]]=0,"",Table10[[#This Row],[Bulk Lease Unit]])</f>
        <v/>
      </c>
      <c r="U143" t="str">
        <f>IF(Table10[[#This Row],[Den Included Unit]]=0,"",Table10[[#This Row],[Den Included Unit]])</f>
        <v/>
      </c>
      <c r="V143" t="str">
        <f>IF(Table10[[#This Row],[Second Bathroom]]=0,"",Table10[[#This Row],[Second Bathroom]])</f>
        <v/>
      </c>
      <c r="W143" t="str">
        <f>IF(Table10[[#This Row],[Heating]]=0,"",Table10[[#This Row],[Heating]])</f>
        <v/>
      </c>
      <c r="X143" t="str">
        <f>IF(Table10[[#This Row],[Electricity]]=0,"",Table10[[#This Row],[Electricity]])</f>
        <v/>
      </c>
      <c r="Y143" t="str">
        <f>IF(Table10[[#This Row],[Water]]=0,"",Table10[[#This Row],[Water]])</f>
        <v/>
      </c>
      <c r="Z143" t="str">
        <f>IF(Table10[[#This Row],[Washer/Dryer]]=0,"",Table10[[#This Row],[Washer/Dryer]])</f>
        <v/>
      </c>
      <c r="AA143" t="str">
        <f>IF(Table10[[#This Row],[Stove/Fridge]]=0,"",Table10[[#This Row],[Stove/Fridge]])</f>
        <v/>
      </c>
      <c r="AB143" t="str">
        <f>IF(Table10[[#This Row],[Dishwasher]]=0,"",Table10[[#This Row],[Dishwasher]])</f>
        <v/>
      </c>
      <c r="AC143" t="str">
        <f>IF(Table10[[#This Row],[Parking]]=0,"",Table10[[#This Row],[Parking]])</f>
        <v/>
      </c>
      <c r="AD143" t="str">
        <f>IF(Table10[[#This Row],[Furniture]]=0,"",Table10[[#This Row],[Furniture]])</f>
        <v/>
      </c>
      <c r="AE143" t="str">
        <f>IF(Table10[[#This Row],[Other]]=0,"",Table10[[#This Row],[Other]])</f>
        <v/>
      </c>
    </row>
    <row r="144" spans="1:31">
      <c r="A144" t="str">
        <f>IF(Table10[[#This Row],[Unit Type]]=0,"",Table10[[#This Row],[Unit Type]])</f>
        <v>2 Bedroom</v>
      </c>
      <c r="B144" t="str">
        <f>IF(Table10[[#This Row],[Residential Stream Source]]=0,"",Table10[[#This Row],[Residential Stream Source]])</f>
        <v/>
      </c>
      <c r="C144" t="str">
        <f>IF(Table10[[#This Row],[Basement?]]=0,"",Table10[[#This Row],[Basement?]])</f>
        <v/>
      </c>
      <c r="D144">
        <f>IF(Table10[[#This Row],[Unit '#]]=0,"",Table10[[#This Row],[Unit '#]])</f>
        <v>142</v>
      </c>
      <c r="E144" t="str">
        <f>IF(Table10[[#This Row],[Vacant?]]=0,"",Table10[[#This Row],[Vacant?]])</f>
        <v/>
      </c>
      <c r="F144">
        <f>IF(Table10[[#This Row],[Rental Rate ($/mth)]]=0,"",Table10[[#This Row],[Rental Rate ($/mth)]])</f>
        <v>3155</v>
      </c>
      <c r="G144"/>
      <c r="H144"/>
      <c r="I144"/>
      <c r="J144">
        <f>IF(Table10[[#This Row],[Unit Size (sq ft)]]=0,"",Table10[[#This Row],[Unit Size (sq ft)]])</f>
        <v>855</v>
      </c>
      <c r="K144"/>
      <c r="L144" t="str">
        <f>Table10[[#This Row],[Market Unit]]</f>
        <v>Yes</v>
      </c>
      <c r="M144" t="str">
        <f>Table10[[#This Row],[Affordable Unit]]</f>
        <v>No</v>
      </c>
      <c r="N144" t="str">
        <f>IF(Table10[[#This Row],[Subsidized Unit]]=0,"",Table10[[#This Row],[Subsidized Unit]])</f>
        <v/>
      </c>
      <c r="O144" t="str">
        <f>IF(Table10[[#This Row],[Care Services]]=0,"",Table10[[#This Row],[Care Services]])</f>
        <v/>
      </c>
      <c r="P144" t="str">
        <f>IF(Table10[[#This Row],[Affordable Care]]=0,"",Table10[[#This Row],[Affordable Care]])</f>
        <v/>
      </c>
      <c r="Q144"/>
      <c r="R144"/>
      <c r="S144"/>
      <c r="T144" t="str">
        <f>IF(Table10[[#This Row],[Bulk Lease Unit]]=0,"",Table10[[#This Row],[Bulk Lease Unit]])</f>
        <v/>
      </c>
      <c r="U144" t="str">
        <f>IF(Table10[[#This Row],[Den Included Unit]]=0,"",Table10[[#This Row],[Den Included Unit]])</f>
        <v/>
      </c>
      <c r="V144" t="str">
        <f>IF(Table10[[#This Row],[Second Bathroom]]=0,"",Table10[[#This Row],[Second Bathroom]])</f>
        <v/>
      </c>
      <c r="W144" t="str">
        <f>IF(Table10[[#This Row],[Heating]]=0,"",Table10[[#This Row],[Heating]])</f>
        <v/>
      </c>
      <c r="X144" t="str">
        <f>IF(Table10[[#This Row],[Electricity]]=0,"",Table10[[#This Row],[Electricity]])</f>
        <v/>
      </c>
      <c r="Y144" t="str">
        <f>IF(Table10[[#This Row],[Water]]=0,"",Table10[[#This Row],[Water]])</f>
        <v/>
      </c>
      <c r="Z144" t="str">
        <f>IF(Table10[[#This Row],[Washer/Dryer]]=0,"",Table10[[#This Row],[Washer/Dryer]])</f>
        <v/>
      </c>
      <c r="AA144" t="str">
        <f>IF(Table10[[#This Row],[Stove/Fridge]]=0,"",Table10[[#This Row],[Stove/Fridge]])</f>
        <v/>
      </c>
      <c r="AB144" t="str">
        <f>IF(Table10[[#This Row],[Dishwasher]]=0,"",Table10[[#This Row],[Dishwasher]])</f>
        <v/>
      </c>
      <c r="AC144" t="str">
        <f>IF(Table10[[#This Row],[Parking]]=0,"",Table10[[#This Row],[Parking]])</f>
        <v/>
      </c>
      <c r="AD144" t="str">
        <f>IF(Table10[[#This Row],[Furniture]]=0,"",Table10[[#This Row],[Furniture]])</f>
        <v/>
      </c>
      <c r="AE144" t="str">
        <f>IF(Table10[[#This Row],[Other]]=0,"",Table10[[#This Row],[Other]])</f>
        <v/>
      </c>
    </row>
    <row r="145" spans="1:31">
      <c r="A145" t="str">
        <f>IF(Table10[[#This Row],[Unit Type]]=0,"",Table10[[#This Row],[Unit Type]])</f>
        <v>2 Bedroom</v>
      </c>
      <c r="B145" t="str">
        <f>IF(Table10[[#This Row],[Residential Stream Source]]=0,"",Table10[[#This Row],[Residential Stream Source]])</f>
        <v/>
      </c>
      <c r="C145" t="str">
        <f>IF(Table10[[#This Row],[Basement?]]=0,"",Table10[[#This Row],[Basement?]])</f>
        <v/>
      </c>
      <c r="D145">
        <f>IF(Table10[[#This Row],[Unit '#]]=0,"",Table10[[#This Row],[Unit '#]])</f>
        <v>143</v>
      </c>
      <c r="E145" t="str">
        <f>IF(Table10[[#This Row],[Vacant?]]=0,"",Table10[[#This Row],[Vacant?]])</f>
        <v/>
      </c>
      <c r="F145">
        <f>IF(Table10[[#This Row],[Rental Rate ($/mth)]]=0,"",Table10[[#This Row],[Rental Rate ($/mth)]])</f>
        <v>3155</v>
      </c>
      <c r="G145"/>
      <c r="H145"/>
      <c r="I145"/>
      <c r="J145">
        <f>IF(Table10[[#This Row],[Unit Size (sq ft)]]=0,"",Table10[[#This Row],[Unit Size (sq ft)]])</f>
        <v>855</v>
      </c>
      <c r="K145"/>
      <c r="L145" t="str">
        <f>Table10[[#This Row],[Market Unit]]</f>
        <v>Yes</v>
      </c>
      <c r="M145" t="str">
        <f>Table10[[#This Row],[Affordable Unit]]</f>
        <v>No</v>
      </c>
      <c r="N145" t="str">
        <f>IF(Table10[[#This Row],[Subsidized Unit]]=0,"",Table10[[#This Row],[Subsidized Unit]])</f>
        <v/>
      </c>
      <c r="O145" t="str">
        <f>IF(Table10[[#This Row],[Care Services]]=0,"",Table10[[#This Row],[Care Services]])</f>
        <v/>
      </c>
      <c r="P145" t="str">
        <f>IF(Table10[[#This Row],[Affordable Care]]=0,"",Table10[[#This Row],[Affordable Care]])</f>
        <v/>
      </c>
      <c r="Q145"/>
      <c r="R145"/>
      <c r="S145"/>
      <c r="T145" t="str">
        <f>IF(Table10[[#This Row],[Bulk Lease Unit]]=0,"",Table10[[#This Row],[Bulk Lease Unit]])</f>
        <v/>
      </c>
      <c r="U145" t="str">
        <f>IF(Table10[[#This Row],[Den Included Unit]]=0,"",Table10[[#This Row],[Den Included Unit]])</f>
        <v/>
      </c>
      <c r="V145" t="str">
        <f>IF(Table10[[#This Row],[Second Bathroom]]=0,"",Table10[[#This Row],[Second Bathroom]])</f>
        <v/>
      </c>
      <c r="W145" t="str">
        <f>IF(Table10[[#This Row],[Heating]]=0,"",Table10[[#This Row],[Heating]])</f>
        <v/>
      </c>
      <c r="X145" t="str">
        <f>IF(Table10[[#This Row],[Electricity]]=0,"",Table10[[#This Row],[Electricity]])</f>
        <v/>
      </c>
      <c r="Y145" t="str">
        <f>IF(Table10[[#This Row],[Water]]=0,"",Table10[[#This Row],[Water]])</f>
        <v/>
      </c>
      <c r="Z145" t="str">
        <f>IF(Table10[[#This Row],[Washer/Dryer]]=0,"",Table10[[#This Row],[Washer/Dryer]])</f>
        <v/>
      </c>
      <c r="AA145" t="str">
        <f>IF(Table10[[#This Row],[Stove/Fridge]]=0,"",Table10[[#This Row],[Stove/Fridge]])</f>
        <v/>
      </c>
      <c r="AB145" t="str">
        <f>IF(Table10[[#This Row],[Dishwasher]]=0,"",Table10[[#This Row],[Dishwasher]])</f>
        <v/>
      </c>
      <c r="AC145" t="str">
        <f>IF(Table10[[#This Row],[Parking]]=0,"",Table10[[#This Row],[Parking]])</f>
        <v/>
      </c>
      <c r="AD145" t="str">
        <f>IF(Table10[[#This Row],[Furniture]]=0,"",Table10[[#This Row],[Furniture]])</f>
        <v/>
      </c>
      <c r="AE145" t="str">
        <f>IF(Table10[[#This Row],[Other]]=0,"",Table10[[#This Row],[Other]])</f>
        <v/>
      </c>
    </row>
    <row r="146" spans="1:31">
      <c r="A146" t="str">
        <f>IF(Table10[[#This Row],[Unit Type]]=0,"",Table10[[#This Row],[Unit Type]])</f>
        <v>2 Bedroom</v>
      </c>
      <c r="B146" t="str">
        <f>IF(Table10[[#This Row],[Residential Stream Source]]=0,"",Table10[[#This Row],[Residential Stream Source]])</f>
        <v/>
      </c>
      <c r="C146" t="str">
        <f>IF(Table10[[#This Row],[Basement?]]=0,"",Table10[[#This Row],[Basement?]])</f>
        <v/>
      </c>
      <c r="D146">
        <f>IF(Table10[[#This Row],[Unit '#]]=0,"",Table10[[#This Row],[Unit '#]])</f>
        <v>144</v>
      </c>
      <c r="E146" t="str">
        <f>IF(Table10[[#This Row],[Vacant?]]=0,"",Table10[[#This Row],[Vacant?]])</f>
        <v/>
      </c>
      <c r="F146">
        <f>IF(Table10[[#This Row],[Rental Rate ($/mth)]]=0,"",Table10[[#This Row],[Rental Rate ($/mth)]])</f>
        <v>3155</v>
      </c>
      <c r="G146"/>
      <c r="H146"/>
      <c r="I146"/>
      <c r="J146">
        <f>IF(Table10[[#This Row],[Unit Size (sq ft)]]=0,"",Table10[[#This Row],[Unit Size (sq ft)]])</f>
        <v>855</v>
      </c>
      <c r="K146"/>
      <c r="L146" t="str">
        <f>Table10[[#This Row],[Market Unit]]</f>
        <v>Yes</v>
      </c>
      <c r="M146" t="str">
        <f>Table10[[#This Row],[Affordable Unit]]</f>
        <v>No</v>
      </c>
      <c r="N146" t="str">
        <f>IF(Table10[[#This Row],[Subsidized Unit]]=0,"",Table10[[#This Row],[Subsidized Unit]])</f>
        <v/>
      </c>
      <c r="O146" t="str">
        <f>IF(Table10[[#This Row],[Care Services]]=0,"",Table10[[#This Row],[Care Services]])</f>
        <v/>
      </c>
      <c r="P146" t="str">
        <f>IF(Table10[[#This Row],[Affordable Care]]=0,"",Table10[[#This Row],[Affordable Care]])</f>
        <v/>
      </c>
      <c r="Q146"/>
      <c r="R146"/>
      <c r="S146"/>
      <c r="T146" t="str">
        <f>IF(Table10[[#This Row],[Bulk Lease Unit]]=0,"",Table10[[#This Row],[Bulk Lease Unit]])</f>
        <v/>
      </c>
      <c r="U146" t="str">
        <f>IF(Table10[[#This Row],[Den Included Unit]]=0,"",Table10[[#This Row],[Den Included Unit]])</f>
        <v/>
      </c>
      <c r="V146" t="str">
        <f>IF(Table10[[#This Row],[Second Bathroom]]=0,"",Table10[[#This Row],[Second Bathroom]])</f>
        <v/>
      </c>
      <c r="W146" t="str">
        <f>IF(Table10[[#This Row],[Heating]]=0,"",Table10[[#This Row],[Heating]])</f>
        <v/>
      </c>
      <c r="X146" t="str">
        <f>IF(Table10[[#This Row],[Electricity]]=0,"",Table10[[#This Row],[Electricity]])</f>
        <v/>
      </c>
      <c r="Y146" t="str">
        <f>IF(Table10[[#This Row],[Water]]=0,"",Table10[[#This Row],[Water]])</f>
        <v/>
      </c>
      <c r="Z146" t="str">
        <f>IF(Table10[[#This Row],[Washer/Dryer]]=0,"",Table10[[#This Row],[Washer/Dryer]])</f>
        <v/>
      </c>
      <c r="AA146" t="str">
        <f>IF(Table10[[#This Row],[Stove/Fridge]]=0,"",Table10[[#This Row],[Stove/Fridge]])</f>
        <v/>
      </c>
      <c r="AB146" t="str">
        <f>IF(Table10[[#This Row],[Dishwasher]]=0,"",Table10[[#This Row],[Dishwasher]])</f>
        <v/>
      </c>
      <c r="AC146" t="str">
        <f>IF(Table10[[#This Row],[Parking]]=0,"",Table10[[#This Row],[Parking]])</f>
        <v/>
      </c>
      <c r="AD146" t="str">
        <f>IF(Table10[[#This Row],[Furniture]]=0,"",Table10[[#This Row],[Furniture]])</f>
        <v/>
      </c>
      <c r="AE146" t="str">
        <f>IF(Table10[[#This Row],[Other]]=0,"",Table10[[#This Row],[Other]])</f>
        <v/>
      </c>
    </row>
    <row r="147" spans="1:31">
      <c r="A147" t="str">
        <f>IF(Table10[[#This Row],[Unit Type]]=0,"",Table10[[#This Row],[Unit Type]])</f>
        <v>2 Bedroom</v>
      </c>
      <c r="B147" t="str">
        <f>IF(Table10[[#This Row],[Residential Stream Source]]=0,"",Table10[[#This Row],[Residential Stream Source]])</f>
        <v/>
      </c>
      <c r="C147" t="str">
        <f>IF(Table10[[#This Row],[Basement?]]=0,"",Table10[[#This Row],[Basement?]])</f>
        <v/>
      </c>
      <c r="D147">
        <f>IF(Table10[[#This Row],[Unit '#]]=0,"",Table10[[#This Row],[Unit '#]])</f>
        <v>145</v>
      </c>
      <c r="E147" t="str">
        <f>IF(Table10[[#This Row],[Vacant?]]=0,"",Table10[[#This Row],[Vacant?]])</f>
        <v/>
      </c>
      <c r="F147">
        <f>IF(Table10[[#This Row],[Rental Rate ($/mth)]]=0,"",Table10[[#This Row],[Rental Rate ($/mth)]])</f>
        <v>3155</v>
      </c>
      <c r="G147"/>
      <c r="H147"/>
      <c r="I147"/>
      <c r="J147">
        <f>IF(Table10[[#This Row],[Unit Size (sq ft)]]=0,"",Table10[[#This Row],[Unit Size (sq ft)]])</f>
        <v>855</v>
      </c>
      <c r="K147"/>
      <c r="L147" t="str">
        <f>Table10[[#This Row],[Market Unit]]</f>
        <v>Yes</v>
      </c>
      <c r="M147" t="str">
        <f>Table10[[#This Row],[Affordable Unit]]</f>
        <v>No</v>
      </c>
      <c r="N147" t="str">
        <f>IF(Table10[[#This Row],[Subsidized Unit]]=0,"",Table10[[#This Row],[Subsidized Unit]])</f>
        <v/>
      </c>
      <c r="O147" t="str">
        <f>IF(Table10[[#This Row],[Care Services]]=0,"",Table10[[#This Row],[Care Services]])</f>
        <v/>
      </c>
      <c r="P147" t="str">
        <f>IF(Table10[[#This Row],[Affordable Care]]=0,"",Table10[[#This Row],[Affordable Care]])</f>
        <v/>
      </c>
      <c r="Q147"/>
      <c r="R147"/>
      <c r="S147"/>
      <c r="T147" t="str">
        <f>IF(Table10[[#This Row],[Bulk Lease Unit]]=0,"",Table10[[#This Row],[Bulk Lease Unit]])</f>
        <v/>
      </c>
      <c r="U147" t="str">
        <f>IF(Table10[[#This Row],[Den Included Unit]]=0,"",Table10[[#This Row],[Den Included Unit]])</f>
        <v/>
      </c>
      <c r="V147" t="str">
        <f>IF(Table10[[#This Row],[Second Bathroom]]=0,"",Table10[[#This Row],[Second Bathroom]])</f>
        <v/>
      </c>
      <c r="W147" t="str">
        <f>IF(Table10[[#This Row],[Heating]]=0,"",Table10[[#This Row],[Heating]])</f>
        <v/>
      </c>
      <c r="X147" t="str">
        <f>IF(Table10[[#This Row],[Electricity]]=0,"",Table10[[#This Row],[Electricity]])</f>
        <v/>
      </c>
      <c r="Y147" t="str">
        <f>IF(Table10[[#This Row],[Water]]=0,"",Table10[[#This Row],[Water]])</f>
        <v/>
      </c>
      <c r="Z147" t="str">
        <f>IF(Table10[[#This Row],[Washer/Dryer]]=0,"",Table10[[#This Row],[Washer/Dryer]])</f>
        <v/>
      </c>
      <c r="AA147" t="str">
        <f>IF(Table10[[#This Row],[Stove/Fridge]]=0,"",Table10[[#This Row],[Stove/Fridge]])</f>
        <v/>
      </c>
      <c r="AB147" t="str">
        <f>IF(Table10[[#This Row],[Dishwasher]]=0,"",Table10[[#This Row],[Dishwasher]])</f>
        <v/>
      </c>
      <c r="AC147" t="str">
        <f>IF(Table10[[#This Row],[Parking]]=0,"",Table10[[#This Row],[Parking]])</f>
        <v/>
      </c>
      <c r="AD147" t="str">
        <f>IF(Table10[[#This Row],[Furniture]]=0,"",Table10[[#This Row],[Furniture]])</f>
        <v/>
      </c>
      <c r="AE147" t="str">
        <f>IF(Table10[[#This Row],[Other]]=0,"",Table10[[#This Row],[Other]])</f>
        <v/>
      </c>
    </row>
    <row r="148" spans="1:31">
      <c r="A148" t="str">
        <f>IF(Table10[[#This Row],[Unit Type]]=0,"",Table10[[#This Row],[Unit Type]])</f>
        <v>2 Bedroom</v>
      </c>
      <c r="B148" t="str">
        <f>IF(Table10[[#This Row],[Residential Stream Source]]=0,"",Table10[[#This Row],[Residential Stream Source]])</f>
        <v/>
      </c>
      <c r="C148" t="str">
        <f>IF(Table10[[#This Row],[Basement?]]=0,"",Table10[[#This Row],[Basement?]])</f>
        <v/>
      </c>
      <c r="D148">
        <f>IF(Table10[[#This Row],[Unit '#]]=0,"",Table10[[#This Row],[Unit '#]])</f>
        <v>146</v>
      </c>
      <c r="E148" t="str">
        <f>IF(Table10[[#This Row],[Vacant?]]=0,"",Table10[[#This Row],[Vacant?]])</f>
        <v/>
      </c>
      <c r="F148">
        <f>IF(Table10[[#This Row],[Rental Rate ($/mth)]]=0,"",Table10[[#This Row],[Rental Rate ($/mth)]])</f>
        <v>3155</v>
      </c>
      <c r="G148"/>
      <c r="H148"/>
      <c r="I148"/>
      <c r="J148">
        <f>IF(Table10[[#This Row],[Unit Size (sq ft)]]=0,"",Table10[[#This Row],[Unit Size (sq ft)]])</f>
        <v>855</v>
      </c>
      <c r="K148"/>
      <c r="L148" t="str">
        <f>Table10[[#This Row],[Market Unit]]</f>
        <v>Yes</v>
      </c>
      <c r="M148" t="str">
        <f>Table10[[#This Row],[Affordable Unit]]</f>
        <v>No</v>
      </c>
      <c r="N148" t="str">
        <f>IF(Table10[[#This Row],[Subsidized Unit]]=0,"",Table10[[#This Row],[Subsidized Unit]])</f>
        <v/>
      </c>
      <c r="O148" t="str">
        <f>IF(Table10[[#This Row],[Care Services]]=0,"",Table10[[#This Row],[Care Services]])</f>
        <v/>
      </c>
      <c r="P148" t="str">
        <f>IF(Table10[[#This Row],[Affordable Care]]=0,"",Table10[[#This Row],[Affordable Care]])</f>
        <v/>
      </c>
      <c r="Q148"/>
      <c r="R148"/>
      <c r="S148"/>
      <c r="T148" t="str">
        <f>IF(Table10[[#This Row],[Bulk Lease Unit]]=0,"",Table10[[#This Row],[Bulk Lease Unit]])</f>
        <v/>
      </c>
      <c r="U148" t="str">
        <f>IF(Table10[[#This Row],[Den Included Unit]]=0,"",Table10[[#This Row],[Den Included Unit]])</f>
        <v/>
      </c>
      <c r="V148" t="str">
        <f>IF(Table10[[#This Row],[Second Bathroom]]=0,"",Table10[[#This Row],[Second Bathroom]])</f>
        <v/>
      </c>
      <c r="W148" t="str">
        <f>IF(Table10[[#This Row],[Heating]]=0,"",Table10[[#This Row],[Heating]])</f>
        <v/>
      </c>
      <c r="X148" t="str">
        <f>IF(Table10[[#This Row],[Electricity]]=0,"",Table10[[#This Row],[Electricity]])</f>
        <v/>
      </c>
      <c r="Y148" t="str">
        <f>IF(Table10[[#This Row],[Water]]=0,"",Table10[[#This Row],[Water]])</f>
        <v/>
      </c>
      <c r="Z148" t="str">
        <f>IF(Table10[[#This Row],[Washer/Dryer]]=0,"",Table10[[#This Row],[Washer/Dryer]])</f>
        <v/>
      </c>
      <c r="AA148" t="str">
        <f>IF(Table10[[#This Row],[Stove/Fridge]]=0,"",Table10[[#This Row],[Stove/Fridge]])</f>
        <v/>
      </c>
      <c r="AB148" t="str">
        <f>IF(Table10[[#This Row],[Dishwasher]]=0,"",Table10[[#This Row],[Dishwasher]])</f>
        <v/>
      </c>
      <c r="AC148" t="str">
        <f>IF(Table10[[#This Row],[Parking]]=0,"",Table10[[#This Row],[Parking]])</f>
        <v/>
      </c>
      <c r="AD148" t="str">
        <f>IF(Table10[[#This Row],[Furniture]]=0,"",Table10[[#This Row],[Furniture]])</f>
        <v/>
      </c>
      <c r="AE148" t="str">
        <f>IF(Table10[[#This Row],[Other]]=0,"",Table10[[#This Row],[Other]])</f>
        <v/>
      </c>
    </row>
    <row r="149" spans="1:31">
      <c r="A149" t="str">
        <f>IF(Table10[[#This Row],[Unit Type]]=0,"",Table10[[#This Row],[Unit Type]])</f>
        <v>2 Bedroom</v>
      </c>
      <c r="B149" t="str">
        <f>IF(Table10[[#This Row],[Residential Stream Source]]=0,"",Table10[[#This Row],[Residential Stream Source]])</f>
        <v/>
      </c>
      <c r="C149" t="str">
        <f>IF(Table10[[#This Row],[Basement?]]=0,"",Table10[[#This Row],[Basement?]])</f>
        <v/>
      </c>
      <c r="D149">
        <f>IF(Table10[[#This Row],[Unit '#]]=0,"",Table10[[#This Row],[Unit '#]])</f>
        <v>147</v>
      </c>
      <c r="E149" t="str">
        <f>IF(Table10[[#This Row],[Vacant?]]=0,"",Table10[[#This Row],[Vacant?]])</f>
        <v/>
      </c>
      <c r="F149">
        <f>IF(Table10[[#This Row],[Rental Rate ($/mth)]]=0,"",Table10[[#This Row],[Rental Rate ($/mth)]])</f>
        <v>3155</v>
      </c>
      <c r="G149"/>
      <c r="H149"/>
      <c r="I149"/>
      <c r="J149">
        <f>IF(Table10[[#This Row],[Unit Size (sq ft)]]=0,"",Table10[[#This Row],[Unit Size (sq ft)]])</f>
        <v>855</v>
      </c>
      <c r="K149"/>
      <c r="L149" t="str">
        <f>Table10[[#This Row],[Market Unit]]</f>
        <v>Yes</v>
      </c>
      <c r="M149" t="str">
        <f>Table10[[#This Row],[Affordable Unit]]</f>
        <v>No</v>
      </c>
      <c r="N149" t="str">
        <f>IF(Table10[[#This Row],[Subsidized Unit]]=0,"",Table10[[#This Row],[Subsidized Unit]])</f>
        <v/>
      </c>
      <c r="O149" t="str">
        <f>IF(Table10[[#This Row],[Care Services]]=0,"",Table10[[#This Row],[Care Services]])</f>
        <v/>
      </c>
      <c r="P149" t="str">
        <f>IF(Table10[[#This Row],[Affordable Care]]=0,"",Table10[[#This Row],[Affordable Care]])</f>
        <v/>
      </c>
      <c r="Q149"/>
      <c r="R149"/>
      <c r="S149"/>
      <c r="T149" t="str">
        <f>IF(Table10[[#This Row],[Bulk Lease Unit]]=0,"",Table10[[#This Row],[Bulk Lease Unit]])</f>
        <v/>
      </c>
      <c r="U149" t="str">
        <f>IF(Table10[[#This Row],[Den Included Unit]]=0,"",Table10[[#This Row],[Den Included Unit]])</f>
        <v/>
      </c>
      <c r="V149" t="str">
        <f>IF(Table10[[#This Row],[Second Bathroom]]=0,"",Table10[[#This Row],[Second Bathroom]])</f>
        <v/>
      </c>
      <c r="W149" t="str">
        <f>IF(Table10[[#This Row],[Heating]]=0,"",Table10[[#This Row],[Heating]])</f>
        <v/>
      </c>
      <c r="X149" t="str">
        <f>IF(Table10[[#This Row],[Electricity]]=0,"",Table10[[#This Row],[Electricity]])</f>
        <v/>
      </c>
      <c r="Y149" t="str">
        <f>IF(Table10[[#This Row],[Water]]=0,"",Table10[[#This Row],[Water]])</f>
        <v/>
      </c>
      <c r="Z149" t="str">
        <f>IF(Table10[[#This Row],[Washer/Dryer]]=0,"",Table10[[#This Row],[Washer/Dryer]])</f>
        <v/>
      </c>
      <c r="AA149" t="str">
        <f>IF(Table10[[#This Row],[Stove/Fridge]]=0,"",Table10[[#This Row],[Stove/Fridge]])</f>
        <v/>
      </c>
      <c r="AB149" t="str">
        <f>IF(Table10[[#This Row],[Dishwasher]]=0,"",Table10[[#This Row],[Dishwasher]])</f>
        <v/>
      </c>
      <c r="AC149" t="str">
        <f>IF(Table10[[#This Row],[Parking]]=0,"",Table10[[#This Row],[Parking]])</f>
        <v/>
      </c>
      <c r="AD149" t="str">
        <f>IF(Table10[[#This Row],[Furniture]]=0,"",Table10[[#This Row],[Furniture]])</f>
        <v/>
      </c>
      <c r="AE149" t="str">
        <f>IF(Table10[[#This Row],[Other]]=0,"",Table10[[#This Row],[Other]])</f>
        <v/>
      </c>
    </row>
    <row r="150" spans="1:31">
      <c r="A150" t="str">
        <f>IF(Table10[[#This Row],[Unit Type]]=0,"",Table10[[#This Row],[Unit Type]])</f>
        <v>2 Bedroom</v>
      </c>
      <c r="B150" t="str">
        <f>IF(Table10[[#This Row],[Residential Stream Source]]=0,"",Table10[[#This Row],[Residential Stream Source]])</f>
        <v/>
      </c>
      <c r="C150" t="str">
        <f>IF(Table10[[#This Row],[Basement?]]=0,"",Table10[[#This Row],[Basement?]])</f>
        <v/>
      </c>
      <c r="D150">
        <f>IF(Table10[[#This Row],[Unit '#]]=0,"",Table10[[#This Row],[Unit '#]])</f>
        <v>148</v>
      </c>
      <c r="E150" t="str">
        <f>IF(Table10[[#This Row],[Vacant?]]=0,"",Table10[[#This Row],[Vacant?]])</f>
        <v/>
      </c>
      <c r="F150">
        <f>IF(Table10[[#This Row],[Rental Rate ($/mth)]]=0,"",Table10[[#This Row],[Rental Rate ($/mth)]])</f>
        <v>3155</v>
      </c>
      <c r="G150"/>
      <c r="H150"/>
      <c r="I150"/>
      <c r="J150">
        <f>IF(Table10[[#This Row],[Unit Size (sq ft)]]=0,"",Table10[[#This Row],[Unit Size (sq ft)]])</f>
        <v>855</v>
      </c>
      <c r="K150"/>
      <c r="L150" t="str">
        <f>Table10[[#This Row],[Market Unit]]</f>
        <v>Yes</v>
      </c>
      <c r="M150" t="str">
        <f>Table10[[#This Row],[Affordable Unit]]</f>
        <v>No</v>
      </c>
      <c r="N150" t="str">
        <f>IF(Table10[[#This Row],[Subsidized Unit]]=0,"",Table10[[#This Row],[Subsidized Unit]])</f>
        <v/>
      </c>
      <c r="O150" t="str">
        <f>IF(Table10[[#This Row],[Care Services]]=0,"",Table10[[#This Row],[Care Services]])</f>
        <v/>
      </c>
      <c r="P150" t="str">
        <f>IF(Table10[[#This Row],[Affordable Care]]=0,"",Table10[[#This Row],[Affordable Care]])</f>
        <v/>
      </c>
      <c r="Q150"/>
      <c r="R150"/>
      <c r="S150"/>
      <c r="T150" t="str">
        <f>IF(Table10[[#This Row],[Bulk Lease Unit]]=0,"",Table10[[#This Row],[Bulk Lease Unit]])</f>
        <v/>
      </c>
      <c r="U150" t="str">
        <f>IF(Table10[[#This Row],[Den Included Unit]]=0,"",Table10[[#This Row],[Den Included Unit]])</f>
        <v/>
      </c>
      <c r="V150" t="str">
        <f>IF(Table10[[#This Row],[Second Bathroom]]=0,"",Table10[[#This Row],[Second Bathroom]])</f>
        <v/>
      </c>
      <c r="W150" t="str">
        <f>IF(Table10[[#This Row],[Heating]]=0,"",Table10[[#This Row],[Heating]])</f>
        <v/>
      </c>
      <c r="X150" t="str">
        <f>IF(Table10[[#This Row],[Electricity]]=0,"",Table10[[#This Row],[Electricity]])</f>
        <v/>
      </c>
      <c r="Y150" t="str">
        <f>IF(Table10[[#This Row],[Water]]=0,"",Table10[[#This Row],[Water]])</f>
        <v/>
      </c>
      <c r="Z150" t="str">
        <f>IF(Table10[[#This Row],[Washer/Dryer]]=0,"",Table10[[#This Row],[Washer/Dryer]])</f>
        <v/>
      </c>
      <c r="AA150" t="str">
        <f>IF(Table10[[#This Row],[Stove/Fridge]]=0,"",Table10[[#This Row],[Stove/Fridge]])</f>
        <v/>
      </c>
      <c r="AB150" t="str">
        <f>IF(Table10[[#This Row],[Dishwasher]]=0,"",Table10[[#This Row],[Dishwasher]])</f>
        <v/>
      </c>
      <c r="AC150" t="str">
        <f>IF(Table10[[#This Row],[Parking]]=0,"",Table10[[#This Row],[Parking]])</f>
        <v/>
      </c>
      <c r="AD150" t="str">
        <f>IF(Table10[[#This Row],[Furniture]]=0,"",Table10[[#This Row],[Furniture]])</f>
        <v/>
      </c>
      <c r="AE150" t="str">
        <f>IF(Table10[[#This Row],[Other]]=0,"",Table10[[#This Row],[Other]])</f>
        <v/>
      </c>
    </row>
    <row r="151" spans="1:31">
      <c r="A151" t="str">
        <f>IF(Table10[[#This Row],[Unit Type]]=0,"",Table10[[#This Row],[Unit Type]])</f>
        <v>2 Bedroom</v>
      </c>
      <c r="B151" t="str">
        <f>IF(Table10[[#This Row],[Residential Stream Source]]=0,"",Table10[[#This Row],[Residential Stream Source]])</f>
        <v/>
      </c>
      <c r="C151" t="str">
        <f>IF(Table10[[#This Row],[Basement?]]=0,"",Table10[[#This Row],[Basement?]])</f>
        <v/>
      </c>
      <c r="D151">
        <f>IF(Table10[[#This Row],[Unit '#]]=0,"",Table10[[#This Row],[Unit '#]])</f>
        <v>149</v>
      </c>
      <c r="E151" t="str">
        <f>IF(Table10[[#This Row],[Vacant?]]=0,"",Table10[[#This Row],[Vacant?]])</f>
        <v/>
      </c>
      <c r="F151">
        <f>IF(Table10[[#This Row],[Rental Rate ($/mth)]]=0,"",Table10[[#This Row],[Rental Rate ($/mth)]])</f>
        <v>3155</v>
      </c>
      <c r="G151"/>
      <c r="H151"/>
      <c r="I151"/>
      <c r="J151">
        <f>IF(Table10[[#This Row],[Unit Size (sq ft)]]=0,"",Table10[[#This Row],[Unit Size (sq ft)]])</f>
        <v>855</v>
      </c>
      <c r="K151"/>
      <c r="L151" t="str">
        <f>Table10[[#This Row],[Market Unit]]</f>
        <v>Yes</v>
      </c>
      <c r="M151" t="str">
        <f>Table10[[#This Row],[Affordable Unit]]</f>
        <v>No</v>
      </c>
      <c r="N151" t="str">
        <f>IF(Table10[[#This Row],[Subsidized Unit]]=0,"",Table10[[#This Row],[Subsidized Unit]])</f>
        <v/>
      </c>
      <c r="O151" t="str">
        <f>IF(Table10[[#This Row],[Care Services]]=0,"",Table10[[#This Row],[Care Services]])</f>
        <v/>
      </c>
      <c r="P151" t="str">
        <f>IF(Table10[[#This Row],[Affordable Care]]=0,"",Table10[[#This Row],[Affordable Care]])</f>
        <v/>
      </c>
      <c r="Q151"/>
      <c r="R151"/>
      <c r="S151"/>
      <c r="T151" t="str">
        <f>IF(Table10[[#This Row],[Bulk Lease Unit]]=0,"",Table10[[#This Row],[Bulk Lease Unit]])</f>
        <v/>
      </c>
      <c r="U151" t="str">
        <f>IF(Table10[[#This Row],[Den Included Unit]]=0,"",Table10[[#This Row],[Den Included Unit]])</f>
        <v/>
      </c>
      <c r="V151" t="str">
        <f>IF(Table10[[#This Row],[Second Bathroom]]=0,"",Table10[[#This Row],[Second Bathroom]])</f>
        <v/>
      </c>
      <c r="W151" t="str">
        <f>IF(Table10[[#This Row],[Heating]]=0,"",Table10[[#This Row],[Heating]])</f>
        <v/>
      </c>
      <c r="X151" t="str">
        <f>IF(Table10[[#This Row],[Electricity]]=0,"",Table10[[#This Row],[Electricity]])</f>
        <v/>
      </c>
      <c r="Y151" t="str">
        <f>IF(Table10[[#This Row],[Water]]=0,"",Table10[[#This Row],[Water]])</f>
        <v/>
      </c>
      <c r="Z151" t="str">
        <f>IF(Table10[[#This Row],[Washer/Dryer]]=0,"",Table10[[#This Row],[Washer/Dryer]])</f>
        <v/>
      </c>
      <c r="AA151" t="str">
        <f>IF(Table10[[#This Row],[Stove/Fridge]]=0,"",Table10[[#This Row],[Stove/Fridge]])</f>
        <v/>
      </c>
      <c r="AB151" t="str">
        <f>IF(Table10[[#This Row],[Dishwasher]]=0,"",Table10[[#This Row],[Dishwasher]])</f>
        <v/>
      </c>
      <c r="AC151" t="str">
        <f>IF(Table10[[#This Row],[Parking]]=0,"",Table10[[#This Row],[Parking]])</f>
        <v/>
      </c>
      <c r="AD151" t="str">
        <f>IF(Table10[[#This Row],[Furniture]]=0,"",Table10[[#This Row],[Furniture]])</f>
        <v/>
      </c>
      <c r="AE151" t="str">
        <f>IF(Table10[[#This Row],[Other]]=0,"",Table10[[#This Row],[Other]])</f>
        <v/>
      </c>
    </row>
    <row r="152" spans="1:31">
      <c r="A152" t="str">
        <f>IF(Table10[[#This Row],[Unit Type]]=0,"",Table10[[#This Row],[Unit Type]])</f>
        <v>2 Bedroom</v>
      </c>
      <c r="B152" t="str">
        <f>IF(Table10[[#This Row],[Residential Stream Source]]=0,"",Table10[[#This Row],[Residential Stream Source]])</f>
        <v/>
      </c>
      <c r="C152" t="str">
        <f>IF(Table10[[#This Row],[Basement?]]=0,"",Table10[[#This Row],[Basement?]])</f>
        <v/>
      </c>
      <c r="D152">
        <f>IF(Table10[[#This Row],[Unit '#]]=0,"",Table10[[#This Row],[Unit '#]])</f>
        <v>150</v>
      </c>
      <c r="E152" t="str">
        <f>IF(Table10[[#This Row],[Vacant?]]=0,"",Table10[[#This Row],[Vacant?]])</f>
        <v/>
      </c>
      <c r="F152">
        <f>IF(Table10[[#This Row],[Rental Rate ($/mth)]]=0,"",Table10[[#This Row],[Rental Rate ($/mth)]])</f>
        <v>3155</v>
      </c>
      <c r="G152"/>
      <c r="H152"/>
      <c r="I152"/>
      <c r="J152">
        <f>IF(Table10[[#This Row],[Unit Size (sq ft)]]=0,"",Table10[[#This Row],[Unit Size (sq ft)]])</f>
        <v>855</v>
      </c>
      <c r="K152"/>
      <c r="L152" t="str">
        <f>Table10[[#This Row],[Market Unit]]</f>
        <v>Yes</v>
      </c>
      <c r="M152" t="str">
        <f>Table10[[#This Row],[Affordable Unit]]</f>
        <v>No</v>
      </c>
      <c r="N152" t="str">
        <f>IF(Table10[[#This Row],[Subsidized Unit]]=0,"",Table10[[#This Row],[Subsidized Unit]])</f>
        <v/>
      </c>
      <c r="O152" t="str">
        <f>IF(Table10[[#This Row],[Care Services]]=0,"",Table10[[#This Row],[Care Services]])</f>
        <v/>
      </c>
      <c r="P152" t="str">
        <f>IF(Table10[[#This Row],[Affordable Care]]=0,"",Table10[[#This Row],[Affordable Care]])</f>
        <v/>
      </c>
      <c r="Q152"/>
      <c r="R152"/>
      <c r="S152"/>
      <c r="T152" t="str">
        <f>IF(Table10[[#This Row],[Bulk Lease Unit]]=0,"",Table10[[#This Row],[Bulk Lease Unit]])</f>
        <v/>
      </c>
      <c r="U152" t="str">
        <f>IF(Table10[[#This Row],[Den Included Unit]]=0,"",Table10[[#This Row],[Den Included Unit]])</f>
        <v/>
      </c>
      <c r="V152" t="str">
        <f>IF(Table10[[#This Row],[Second Bathroom]]=0,"",Table10[[#This Row],[Second Bathroom]])</f>
        <v/>
      </c>
      <c r="W152" t="str">
        <f>IF(Table10[[#This Row],[Heating]]=0,"",Table10[[#This Row],[Heating]])</f>
        <v/>
      </c>
      <c r="X152" t="str">
        <f>IF(Table10[[#This Row],[Electricity]]=0,"",Table10[[#This Row],[Electricity]])</f>
        <v/>
      </c>
      <c r="Y152" t="str">
        <f>IF(Table10[[#This Row],[Water]]=0,"",Table10[[#This Row],[Water]])</f>
        <v/>
      </c>
      <c r="Z152" t="str">
        <f>IF(Table10[[#This Row],[Washer/Dryer]]=0,"",Table10[[#This Row],[Washer/Dryer]])</f>
        <v/>
      </c>
      <c r="AA152" t="str">
        <f>IF(Table10[[#This Row],[Stove/Fridge]]=0,"",Table10[[#This Row],[Stove/Fridge]])</f>
        <v/>
      </c>
      <c r="AB152" t="str">
        <f>IF(Table10[[#This Row],[Dishwasher]]=0,"",Table10[[#This Row],[Dishwasher]])</f>
        <v/>
      </c>
      <c r="AC152" t="str">
        <f>IF(Table10[[#This Row],[Parking]]=0,"",Table10[[#This Row],[Parking]])</f>
        <v/>
      </c>
      <c r="AD152" t="str">
        <f>IF(Table10[[#This Row],[Furniture]]=0,"",Table10[[#This Row],[Furniture]])</f>
        <v/>
      </c>
      <c r="AE152" t="str">
        <f>IF(Table10[[#This Row],[Other]]=0,"",Table10[[#This Row],[Other]])</f>
        <v/>
      </c>
    </row>
    <row r="153" spans="1:31">
      <c r="A153" t="str">
        <f>IF(Table10[[#This Row],[Unit Type]]=0,"",Table10[[#This Row],[Unit Type]])</f>
        <v>2 Bedroom</v>
      </c>
      <c r="B153" t="str">
        <f>IF(Table10[[#This Row],[Residential Stream Source]]=0,"",Table10[[#This Row],[Residential Stream Source]])</f>
        <v/>
      </c>
      <c r="C153" t="str">
        <f>IF(Table10[[#This Row],[Basement?]]=0,"",Table10[[#This Row],[Basement?]])</f>
        <v/>
      </c>
      <c r="D153">
        <f>IF(Table10[[#This Row],[Unit '#]]=0,"",Table10[[#This Row],[Unit '#]])</f>
        <v>151</v>
      </c>
      <c r="E153" t="str">
        <f>IF(Table10[[#This Row],[Vacant?]]=0,"",Table10[[#This Row],[Vacant?]])</f>
        <v/>
      </c>
      <c r="F153">
        <f>IF(Table10[[#This Row],[Rental Rate ($/mth)]]=0,"",Table10[[#This Row],[Rental Rate ($/mth)]])</f>
        <v>3155</v>
      </c>
      <c r="G153"/>
      <c r="H153"/>
      <c r="I153"/>
      <c r="J153">
        <f>IF(Table10[[#This Row],[Unit Size (sq ft)]]=0,"",Table10[[#This Row],[Unit Size (sq ft)]])</f>
        <v>855</v>
      </c>
      <c r="K153"/>
      <c r="L153" t="str">
        <f>Table10[[#This Row],[Market Unit]]</f>
        <v>Yes</v>
      </c>
      <c r="M153" t="str">
        <f>Table10[[#This Row],[Affordable Unit]]</f>
        <v>No</v>
      </c>
      <c r="N153" t="str">
        <f>IF(Table10[[#This Row],[Subsidized Unit]]=0,"",Table10[[#This Row],[Subsidized Unit]])</f>
        <v/>
      </c>
      <c r="O153" t="str">
        <f>IF(Table10[[#This Row],[Care Services]]=0,"",Table10[[#This Row],[Care Services]])</f>
        <v/>
      </c>
      <c r="P153" t="str">
        <f>IF(Table10[[#This Row],[Affordable Care]]=0,"",Table10[[#This Row],[Affordable Care]])</f>
        <v/>
      </c>
      <c r="Q153"/>
      <c r="R153"/>
      <c r="S153"/>
      <c r="T153" t="str">
        <f>IF(Table10[[#This Row],[Bulk Lease Unit]]=0,"",Table10[[#This Row],[Bulk Lease Unit]])</f>
        <v/>
      </c>
      <c r="U153" t="str">
        <f>IF(Table10[[#This Row],[Den Included Unit]]=0,"",Table10[[#This Row],[Den Included Unit]])</f>
        <v/>
      </c>
      <c r="V153" t="str">
        <f>IF(Table10[[#This Row],[Second Bathroom]]=0,"",Table10[[#This Row],[Second Bathroom]])</f>
        <v/>
      </c>
      <c r="W153" t="str">
        <f>IF(Table10[[#This Row],[Heating]]=0,"",Table10[[#This Row],[Heating]])</f>
        <v/>
      </c>
      <c r="X153" t="str">
        <f>IF(Table10[[#This Row],[Electricity]]=0,"",Table10[[#This Row],[Electricity]])</f>
        <v/>
      </c>
      <c r="Y153" t="str">
        <f>IF(Table10[[#This Row],[Water]]=0,"",Table10[[#This Row],[Water]])</f>
        <v/>
      </c>
      <c r="Z153" t="str">
        <f>IF(Table10[[#This Row],[Washer/Dryer]]=0,"",Table10[[#This Row],[Washer/Dryer]])</f>
        <v/>
      </c>
      <c r="AA153" t="str">
        <f>IF(Table10[[#This Row],[Stove/Fridge]]=0,"",Table10[[#This Row],[Stove/Fridge]])</f>
        <v/>
      </c>
      <c r="AB153" t="str">
        <f>IF(Table10[[#This Row],[Dishwasher]]=0,"",Table10[[#This Row],[Dishwasher]])</f>
        <v/>
      </c>
      <c r="AC153" t="str">
        <f>IF(Table10[[#This Row],[Parking]]=0,"",Table10[[#This Row],[Parking]])</f>
        <v/>
      </c>
      <c r="AD153" t="str">
        <f>IF(Table10[[#This Row],[Furniture]]=0,"",Table10[[#This Row],[Furniture]])</f>
        <v/>
      </c>
      <c r="AE153" t="str">
        <f>IF(Table10[[#This Row],[Other]]=0,"",Table10[[#This Row],[Other]])</f>
        <v/>
      </c>
    </row>
    <row r="154" spans="1:31">
      <c r="A154" t="str">
        <f>IF(Table10[[#This Row],[Unit Type]]=0,"",Table10[[#This Row],[Unit Type]])</f>
        <v>2 Bedroom</v>
      </c>
      <c r="B154" t="str">
        <f>IF(Table10[[#This Row],[Residential Stream Source]]=0,"",Table10[[#This Row],[Residential Stream Source]])</f>
        <v/>
      </c>
      <c r="C154" t="str">
        <f>IF(Table10[[#This Row],[Basement?]]=0,"",Table10[[#This Row],[Basement?]])</f>
        <v/>
      </c>
      <c r="D154">
        <f>IF(Table10[[#This Row],[Unit '#]]=0,"",Table10[[#This Row],[Unit '#]])</f>
        <v>152</v>
      </c>
      <c r="E154" t="str">
        <f>IF(Table10[[#This Row],[Vacant?]]=0,"",Table10[[#This Row],[Vacant?]])</f>
        <v/>
      </c>
      <c r="F154">
        <f>IF(Table10[[#This Row],[Rental Rate ($/mth)]]=0,"",Table10[[#This Row],[Rental Rate ($/mth)]])</f>
        <v>3155</v>
      </c>
      <c r="G154"/>
      <c r="H154"/>
      <c r="I154"/>
      <c r="J154">
        <f>IF(Table10[[#This Row],[Unit Size (sq ft)]]=0,"",Table10[[#This Row],[Unit Size (sq ft)]])</f>
        <v>855</v>
      </c>
      <c r="K154"/>
      <c r="L154" t="str">
        <f>Table10[[#This Row],[Market Unit]]</f>
        <v>Yes</v>
      </c>
      <c r="M154" t="str">
        <f>Table10[[#This Row],[Affordable Unit]]</f>
        <v>No</v>
      </c>
      <c r="N154" t="str">
        <f>IF(Table10[[#This Row],[Subsidized Unit]]=0,"",Table10[[#This Row],[Subsidized Unit]])</f>
        <v/>
      </c>
      <c r="O154" t="str">
        <f>IF(Table10[[#This Row],[Care Services]]=0,"",Table10[[#This Row],[Care Services]])</f>
        <v/>
      </c>
      <c r="P154" t="str">
        <f>IF(Table10[[#This Row],[Affordable Care]]=0,"",Table10[[#This Row],[Affordable Care]])</f>
        <v/>
      </c>
      <c r="Q154"/>
      <c r="R154"/>
      <c r="S154"/>
      <c r="T154" t="str">
        <f>IF(Table10[[#This Row],[Bulk Lease Unit]]=0,"",Table10[[#This Row],[Bulk Lease Unit]])</f>
        <v/>
      </c>
      <c r="U154" t="str">
        <f>IF(Table10[[#This Row],[Den Included Unit]]=0,"",Table10[[#This Row],[Den Included Unit]])</f>
        <v/>
      </c>
      <c r="V154" t="str">
        <f>IF(Table10[[#This Row],[Second Bathroom]]=0,"",Table10[[#This Row],[Second Bathroom]])</f>
        <v/>
      </c>
      <c r="W154" t="str">
        <f>IF(Table10[[#This Row],[Heating]]=0,"",Table10[[#This Row],[Heating]])</f>
        <v/>
      </c>
      <c r="X154" t="str">
        <f>IF(Table10[[#This Row],[Electricity]]=0,"",Table10[[#This Row],[Electricity]])</f>
        <v/>
      </c>
      <c r="Y154" t="str">
        <f>IF(Table10[[#This Row],[Water]]=0,"",Table10[[#This Row],[Water]])</f>
        <v/>
      </c>
      <c r="Z154" t="str">
        <f>IF(Table10[[#This Row],[Washer/Dryer]]=0,"",Table10[[#This Row],[Washer/Dryer]])</f>
        <v/>
      </c>
      <c r="AA154" t="str">
        <f>IF(Table10[[#This Row],[Stove/Fridge]]=0,"",Table10[[#This Row],[Stove/Fridge]])</f>
        <v/>
      </c>
      <c r="AB154" t="str">
        <f>IF(Table10[[#This Row],[Dishwasher]]=0,"",Table10[[#This Row],[Dishwasher]])</f>
        <v/>
      </c>
      <c r="AC154" t="str">
        <f>IF(Table10[[#This Row],[Parking]]=0,"",Table10[[#This Row],[Parking]])</f>
        <v/>
      </c>
      <c r="AD154" t="str">
        <f>IF(Table10[[#This Row],[Furniture]]=0,"",Table10[[#This Row],[Furniture]])</f>
        <v/>
      </c>
      <c r="AE154" t="str">
        <f>IF(Table10[[#This Row],[Other]]=0,"",Table10[[#This Row],[Other]])</f>
        <v/>
      </c>
    </row>
    <row r="155" spans="1:31">
      <c r="A155" t="str">
        <f>IF(Table10[[#This Row],[Unit Type]]=0,"",Table10[[#This Row],[Unit Type]])</f>
        <v>3 Bedroom</v>
      </c>
      <c r="B155" t="str">
        <f>IF(Table10[[#This Row],[Residential Stream Source]]=0,"",Table10[[#This Row],[Residential Stream Source]])</f>
        <v/>
      </c>
      <c r="C155" t="str">
        <f>IF(Table10[[#This Row],[Basement?]]=0,"",Table10[[#This Row],[Basement?]])</f>
        <v/>
      </c>
      <c r="D155">
        <f>IF(Table10[[#This Row],[Unit '#]]=0,"",Table10[[#This Row],[Unit '#]])</f>
        <v>153</v>
      </c>
      <c r="E155" t="str">
        <f>IF(Table10[[#This Row],[Vacant?]]=0,"",Table10[[#This Row],[Vacant?]])</f>
        <v/>
      </c>
      <c r="F155">
        <f>IF(Table10[[#This Row],[Rental Rate ($/mth)]]=0,"",Table10[[#This Row],[Rental Rate ($/mth)]])</f>
        <v>3675</v>
      </c>
      <c r="G155"/>
      <c r="H155"/>
      <c r="I155"/>
      <c r="J155">
        <f>IF(Table10[[#This Row],[Unit Size (sq ft)]]=0,"",Table10[[#This Row],[Unit Size (sq ft)]])</f>
        <v>1015</v>
      </c>
      <c r="K155"/>
      <c r="L155" t="str">
        <f>Table10[[#This Row],[Market Unit]]</f>
        <v>Yes</v>
      </c>
      <c r="M155" t="str">
        <f>Table10[[#This Row],[Affordable Unit]]</f>
        <v>No</v>
      </c>
      <c r="N155" t="str">
        <f>IF(Table10[[#This Row],[Subsidized Unit]]=0,"",Table10[[#This Row],[Subsidized Unit]])</f>
        <v/>
      </c>
      <c r="O155" t="str">
        <f>IF(Table10[[#This Row],[Care Services]]=0,"",Table10[[#This Row],[Care Services]])</f>
        <v/>
      </c>
      <c r="P155" t="str">
        <f>IF(Table10[[#This Row],[Affordable Care]]=0,"",Table10[[#This Row],[Affordable Care]])</f>
        <v/>
      </c>
      <c r="Q155"/>
      <c r="R155"/>
      <c r="S155"/>
      <c r="T155" t="str">
        <f>IF(Table10[[#This Row],[Bulk Lease Unit]]=0,"",Table10[[#This Row],[Bulk Lease Unit]])</f>
        <v/>
      </c>
      <c r="U155" t="str">
        <f>IF(Table10[[#This Row],[Den Included Unit]]=0,"",Table10[[#This Row],[Den Included Unit]])</f>
        <v/>
      </c>
      <c r="V155" t="str">
        <f>IF(Table10[[#This Row],[Second Bathroom]]=0,"",Table10[[#This Row],[Second Bathroom]])</f>
        <v/>
      </c>
      <c r="W155" t="str">
        <f>IF(Table10[[#This Row],[Heating]]=0,"",Table10[[#This Row],[Heating]])</f>
        <v/>
      </c>
      <c r="X155" t="str">
        <f>IF(Table10[[#This Row],[Electricity]]=0,"",Table10[[#This Row],[Electricity]])</f>
        <v/>
      </c>
      <c r="Y155" t="str">
        <f>IF(Table10[[#This Row],[Water]]=0,"",Table10[[#This Row],[Water]])</f>
        <v/>
      </c>
      <c r="Z155" t="str">
        <f>IF(Table10[[#This Row],[Washer/Dryer]]=0,"",Table10[[#This Row],[Washer/Dryer]])</f>
        <v/>
      </c>
      <c r="AA155" t="str">
        <f>IF(Table10[[#This Row],[Stove/Fridge]]=0,"",Table10[[#This Row],[Stove/Fridge]])</f>
        <v/>
      </c>
      <c r="AB155" t="str">
        <f>IF(Table10[[#This Row],[Dishwasher]]=0,"",Table10[[#This Row],[Dishwasher]])</f>
        <v/>
      </c>
      <c r="AC155" t="str">
        <f>IF(Table10[[#This Row],[Parking]]=0,"",Table10[[#This Row],[Parking]])</f>
        <v/>
      </c>
      <c r="AD155" t="str">
        <f>IF(Table10[[#This Row],[Furniture]]=0,"",Table10[[#This Row],[Furniture]])</f>
        <v/>
      </c>
      <c r="AE155" t="str">
        <f>IF(Table10[[#This Row],[Other]]=0,"",Table10[[#This Row],[Other]])</f>
        <v/>
      </c>
    </row>
    <row r="156" spans="1:31">
      <c r="A156" t="str">
        <f>IF(Table10[[#This Row],[Unit Type]]=0,"",Table10[[#This Row],[Unit Type]])</f>
        <v>3 Bedroom</v>
      </c>
      <c r="B156" t="str">
        <f>IF(Table10[[#This Row],[Residential Stream Source]]=0,"",Table10[[#This Row],[Residential Stream Source]])</f>
        <v/>
      </c>
      <c r="C156" t="str">
        <f>IF(Table10[[#This Row],[Basement?]]=0,"",Table10[[#This Row],[Basement?]])</f>
        <v/>
      </c>
      <c r="D156">
        <f>IF(Table10[[#This Row],[Unit '#]]=0,"",Table10[[#This Row],[Unit '#]])</f>
        <v>154</v>
      </c>
      <c r="E156" t="str">
        <f>IF(Table10[[#This Row],[Vacant?]]=0,"",Table10[[#This Row],[Vacant?]])</f>
        <v/>
      </c>
      <c r="F156">
        <f>IF(Table10[[#This Row],[Rental Rate ($/mth)]]=0,"",Table10[[#This Row],[Rental Rate ($/mth)]])</f>
        <v>3675</v>
      </c>
      <c r="G156"/>
      <c r="H156"/>
      <c r="I156"/>
      <c r="J156">
        <f>IF(Table10[[#This Row],[Unit Size (sq ft)]]=0,"",Table10[[#This Row],[Unit Size (sq ft)]])</f>
        <v>1015</v>
      </c>
      <c r="K156"/>
      <c r="L156" t="str">
        <f>Table10[[#This Row],[Market Unit]]</f>
        <v>Yes</v>
      </c>
      <c r="M156" t="str">
        <f>Table10[[#This Row],[Affordable Unit]]</f>
        <v>No</v>
      </c>
      <c r="N156" t="str">
        <f>IF(Table10[[#This Row],[Subsidized Unit]]=0,"",Table10[[#This Row],[Subsidized Unit]])</f>
        <v/>
      </c>
      <c r="O156" t="str">
        <f>IF(Table10[[#This Row],[Care Services]]=0,"",Table10[[#This Row],[Care Services]])</f>
        <v/>
      </c>
      <c r="P156" t="str">
        <f>IF(Table10[[#This Row],[Affordable Care]]=0,"",Table10[[#This Row],[Affordable Care]])</f>
        <v/>
      </c>
      <c r="Q156"/>
      <c r="R156"/>
      <c r="S156"/>
      <c r="T156" t="str">
        <f>IF(Table10[[#This Row],[Bulk Lease Unit]]=0,"",Table10[[#This Row],[Bulk Lease Unit]])</f>
        <v/>
      </c>
      <c r="U156" t="str">
        <f>IF(Table10[[#This Row],[Den Included Unit]]=0,"",Table10[[#This Row],[Den Included Unit]])</f>
        <v/>
      </c>
      <c r="V156" t="str">
        <f>IF(Table10[[#This Row],[Second Bathroom]]=0,"",Table10[[#This Row],[Second Bathroom]])</f>
        <v/>
      </c>
      <c r="W156" t="str">
        <f>IF(Table10[[#This Row],[Heating]]=0,"",Table10[[#This Row],[Heating]])</f>
        <v/>
      </c>
      <c r="X156" t="str">
        <f>IF(Table10[[#This Row],[Electricity]]=0,"",Table10[[#This Row],[Electricity]])</f>
        <v/>
      </c>
      <c r="Y156" t="str">
        <f>IF(Table10[[#This Row],[Water]]=0,"",Table10[[#This Row],[Water]])</f>
        <v/>
      </c>
      <c r="Z156" t="str">
        <f>IF(Table10[[#This Row],[Washer/Dryer]]=0,"",Table10[[#This Row],[Washer/Dryer]])</f>
        <v/>
      </c>
      <c r="AA156" t="str">
        <f>IF(Table10[[#This Row],[Stove/Fridge]]=0,"",Table10[[#This Row],[Stove/Fridge]])</f>
        <v/>
      </c>
      <c r="AB156" t="str">
        <f>IF(Table10[[#This Row],[Dishwasher]]=0,"",Table10[[#This Row],[Dishwasher]])</f>
        <v/>
      </c>
      <c r="AC156" t="str">
        <f>IF(Table10[[#This Row],[Parking]]=0,"",Table10[[#This Row],[Parking]])</f>
        <v/>
      </c>
      <c r="AD156" t="str">
        <f>IF(Table10[[#This Row],[Furniture]]=0,"",Table10[[#This Row],[Furniture]])</f>
        <v/>
      </c>
      <c r="AE156" t="str">
        <f>IF(Table10[[#This Row],[Other]]=0,"",Table10[[#This Row],[Other]])</f>
        <v/>
      </c>
    </row>
    <row r="157" spans="1:31">
      <c r="A157" t="str">
        <f>IF(Table10[[#This Row],[Unit Type]]=0,"",Table10[[#This Row],[Unit Type]])</f>
        <v>3 Bedroom</v>
      </c>
      <c r="B157" t="str">
        <f>IF(Table10[[#This Row],[Residential Stream Source]]=0,"",Table10[[#This Row],[Residential Stream Source]])</f>
        <v/>
      </c>
      <c r="C157" t="str">
        <f>IF(Table10[[#This Row],[Basement?]]=0,"",Table10[[#This Row],[Basement?]])</f>
        <v/>
      </c>
      <c r="D157">
        <f>IF(Table10[[#This Row],[Unit '#]]=0,"",Table10[[#This Row],[Unit '#]])</f>
        <v>155</v>
      </c>
      <c r="E157" t="str">
        <f>IF(Table10[[#This Row],[Vacant?]]=0,"",Table10[[#This Row],[Vacant?]])</f>
        <v/>
      </c>
      <c r="F157">
        <f>IF(Table10[[#This Row],[Rental Rate ($/mth)]]=0,"",Table10[[#This Row],[Rental Rate ($/mth)]])</f>
        <v>3675</v>
      </c>
      <c r="G157"/>
      <c r="H157"/>
      <c r="I157"/>
      <c r="J157">
        <f>IF(Table10[[#This Row],[Unit Size (sq ft)]]=0,"",Table10[[#This Row],[Unit Size (sq ft)]])</f>
        <v>1015</v>
      </c>
      <c r="K157"/>
      <c r="L157" t="str">
        <f>Table10[[#This Row],[Market Unit]]</f>
        <v>Yes</v>
      </c>
      <c r="M157" t="str">
        <f>Table10[[#This Row],[Affordable Unit]]</f>
        <v>No</v>
      </c>
      <c r="N157" t="str">
        <f>IF(Table10[[#This Row],[Subsidized Unit]]=0,"",Table10[[#This Row],[Subsidized Unit]])</f>
        <v/>
      </c>
      <c r="O157" t="str">
        <f>IF(Table10[[#This Row],[Care Services]]=0,"",Table10[[#This Row],[Care Services]])</f>
        <v/>
      </c>
      <c r="P157" t="str">
        <f>IF(Table10[[#This Row],[Affordable Care]]=0,"",Table10[[#This Row],[Affordable Care]])</f>
        <v/>
      </c>
      <c r="Q157"/>
      <c r="R157"/>
      <c r="S157"/>
      <c r="T157" t="str">
        <f>IF(Table10[[#This Row],[Bulk Lease Unit]]=0,"",Table10[[#This Row],[Bulk Lease Unit]])</f>
        <v/>
      </c>
      <c r="U157" t="str">
        <f>IF(Table10[[#This Row],[Den Included Unit]]=0,"",Table10[[#This Row],[Den Included Unit]])</f>
        <v/>
      </c>
      <c r="V157" t="str">
        <f>IF(Table10[[#This Row],[Second Bathroom]]=0,"",Table10[[#This Row],[Second Bathroom]])</f>
        <v/>
      </c>
      <c r="W157" t="str">
        <f>IF(Table10[[#This Row],[Heating]]=0,"",Table10[[#This Row],[Heating]])</f>
        <v/>
      </c>
      <c r="X157" t="str">
        <f>IF(Table10[[#This Row],[Electricity]]=0,"",Table10[[#This Row],[Electricity]])</f>
        <v/>
      </c>
      <c r="Y157" t="str">
        <f>IF(Table10[[#This Row],[Water]]=0,"",Table10[[#This Row],[Water]])</f>
        <v/>
      </c>
      <c r="Z157" t="str">
        <f>IF(Table10[[#This Row],[Washer/Dryer]]=0,"",Table10[[#This Row],[Washer/Dryer]])</f>
        <v/>
      </c>
      <c r="AA157" t="str">
        <f>IF(Table10[[#This Row],[Stove/Fridge]]=0,"",Table10[[#This Row],[Stove/Fridge]])</f>
        <v/>
      </c>
      <c r="AB157" t="str">
        <f>IF(Table10[[#This Row],[Dishwasher]]=0,"",Table10[[#This Row],[Dishwasher]])</f>
        <v/>
      </c>
      <c r="AC157" t="str">
        <f>IF(Table10[[#This Row],[Parking]]=0,"",Table10[[#This Row],[Parking]])</f>
        <v/>
      </c>
      <c r="AD157" t="str">
        <f>IF(Table10[[#This Row],[Furniture]]=0,"",Table10[[#This Row],[Furniture]])</f>
        <v/>
      </c>
      <c r="AE157" t="str">
        <f>IF(Table10[[#This Row],[Other]]=0,"",Table10[[#This Row],[Other]])</f>
        <v/>
      </c>
    </row>
    <row r="158" spans="1:31">
      <c r="A158" t="str">
        <f>IF(Table10[[#This Row],[Unit Type]]=0,"",Table10[[#This Row],[Unit Type]])</f>
        <v>3 Bedroom</v>
      </c>
      <c r="B158" t="str">
        <f>IF(Table10[[#This Row],[Residential Stream Source]]=0,"",Table10[[#This Row],[Residential Stream Source]])</f>
        <v/>
      </c>
      <c r="C158" t="str">
        <f>IF(Table10[[#This Row],[Basement?]]=0,"",Table10[[#This Row],[Basement?]])</f>
        <v/>
      </c>
      <c r="D158">
        <f>IF(Table10[[#This Row],[Unit '#]]=0,"",Table10[[#This Row],[Unit '#]])</f>
        <v>156</v>
      </c>
      <c r="E158" t="str">
        <f>IF(Table10[[#This Row],[Vacant?]]=0,"",Table10[[#This Row],[Vacant?]])</f>
        <v/>
      </c>
      <c r="F158">
        <f>IF(Table10[[#This Row],[Rental Rate ($/mth)]]=0,"",Table10[[#This Row],[Rental Rate ($/mth)]])</f>
        <v>3675</v>
      </c>
      <c r="G158"/>
      <c r="H158"/>
      <c r="I158"/>
      <c r="J158">
        <f>IF(Table10[[#This Row],[Unit Size (sq ft)]]=0,"",Table10[[#This Row],[Unit Size (sq ft)]])</f>
        <v>1015</v>
      </c>
      <c r="K158"/>
      <c r="L158" t="str">
        <f>Table10[[#This Row],[Market Unit]]</f>
        <v>Yes</v>
      </c>
      <c r="M158" t="str">
        <f>Table10[[#This Row],[Affordable Unit]]</f>
        <v>No</v>
      </c>
      <c r="N158" t="str">
        <f>IF(Table10[[#This Row],[Subsidized Unit]]=0,"",Table10[[#This Row],[Subsidized Unit]])</f>
        <v/>
      </c>
      <c r="O158" t="str">
        <f>IF(Table10[[#This Row],[Care Services]]=0,"",Table10[[#This Row],[Care Services]])</f>
        <v/>
      </c>
      <c r="P158" t="str">
        <f>IF(Table10[[#This Row],[Affordable Care]]=0,"",Table10[[#This Row],[Affordable Care]])</f>
        <v/>
      </c>
      <c r="Q158"/>
      <c r="R158"/>
      <c r="S158"/>
      <c r="T158" t="str">
        <f>IF(Table10[[#This Row],[Bulk Lease Unit]]=0,"",Table10[[#This Row],[Bulk Lease Unit]])</f>
        <v/>
      </c>
      <c r="U158" t="str">
        <f>IF(Table10[[#This Row],[Den Included Unit]]=0,"",Table10[[#This Row],[Den Included Unit]])</f>
        <v/>
      </c>
      <c r="V158" t="str">
        <f>IF(Table10[[#This Row],[Second Bathroom]]=0,"",Table10[[#This Row],[Second Bathroom]])</f>
        <v/>
      </c>
      <c r="W158" t="str">
        <f>IF(Table10[[#This Row],[Heating]]=0,"",Table10[[#This Row],[Heating]])</f>
        <v/>
      </c>
      <c r="X158" t="str">
        <f>IF(Table10[[#This Row],[Electricity]]=0,"",Table10[[#This Row],[Electricity]])</f>
        <v/>
      </c>
      <c r="Y158" t="str">
        <f>IF(Table10[[#This Row],[Water]]=0,"",Table10[[#This Row],[Water]])</f>
        <v/>
      </c>
      <c r="Z158" t="str">
        <f>IF(Table10[[#This Row],[Washer/Dryer]]=0,"",Table10[[#This Row],[Washer/Dryer]])</f>
        <v/>
      </c>
      <c r="AA158" t="str">
        <f>IF(Table10[[#This Row],[Stove/Fridge]]=0,"",Table10[[#This Row],[Stove/Fridge]])</f>
        <v/>
      </c>
      <c r="AB158" t="str">
        <f>IF(Table10[[#This Row],[Dishwasher]]=0,"",Table10[[#This Row],[Dishwasher]])</f>
        <v/>
      </c>
      <c r="AC158" t="str">
        <f>IF(Table10[[#This Row],[Parking]]=0,"",Table10[[#This Row],[Parking]])</f>
        <v/>
      </c>
      <c r="AD158" t="str">
        <f>IF(Table10[[#This Row],[Furniture]]=0,"",Table10[[#This Row],[Furniture]])</f>
        <v/>
      </c>
      <c r="AE158" t="str">
        <f>IF(Table10[[#This Row],[Other]]=0,"",Table10[[#This Row],[Other]])</f>
        <v/>
      </c>
    </row>
    <row r="159" spans="1:31">
      <c r="A159" t="str">
        <f>IF(Table10[[#This Row],[Unit Type]]=0,"",Table10[[#This Row],[Unit Type]])</f>
        <v>3 Bedroom</v>
      </c>
      <c r="B159" t="str">
        <f>IF(Table10[[#This Row],[Residential Stream Source]]=0,"",Table10[[#This Row],[Residential Stream Source]])</f>
        <v/>
      </c>
      <c r="C159" t="str">
        <f>IF(Table10[[#This Row],[Basement?]]=0,"",Table10[[#This Row],[Basement?]])</f>
        <v/>
      </c>
      <c r="D159">
        <f>IF(Table10[[#This Row],[Unit '#]]=0,"",Table10[[#This Row],[Unit '#]])</f>
        <v>157</v>
      </c>
      <c r="E159" t="str">
        <f>IF(Table10[[#This Row],[Vacant?]]=0,"",Table10[[#This Row],[Vacant?]])</f>
        <v/>
      </c>
      <c r="F159">
        <f>IF(Table10[[#This Row],[Rental Rate ($/mth)]]=0,"",Table10[[#This Row],[Rental Rate ($/mth)]])</f>
        <v>3675</v>
      </c>
      <c r="G159"/>
      <c r="H159"/>
      <c r="I159"/>
      <c r="J159">
        <f>IF(Table10[[#This Row],[Unit Size (sq ft)]]=0,"",Table10[[#This Row],[Unit Size (sq ft)]])</f>
        <v>1015</v>
      </c>
      <c r="K159"/>
      <c r="L159" t="str">
        <f>Table10[[#This Row],[Market Unit]]</f>
        <v>Yes</v>
      </c>
      <c r="M159" t="str">
        <f>Table10[[#This Row],[Affordable Unit]]</f>
        <v>No</v>
      </c>
      <c r="N159" t="str">
        <f>IF(Table10[[#This Row],[Subsidized Unit]]=0,"",Table10[[#This Row],[Subsidized Unit]])</f>
        <v/>
      </c>
      <c r="O159" t="str">
        <f>IF(Table10[[#This Row],[Care Services]]=0,"",Table10[[#This Row],[Care Services]])</f>
        <v/>
      </c>
      <c r="P159" t="str">
        <f>IF(Table10[[#This Row],[Affordable Care]]=0,"",Table10[[#This Row],[Affordable Care]])</f>
        <v/>
      </c>
      <c r="Q159"/>
      <c r="R159"/>
      <c r="S159"/>
      <c r="T159" t="str">
        <f>IF(Table10[[#This Row],[Bulk Lease Unit]]=0,"",Table10[[#This Row],[Bulk Lease Unit]])</f>
        <v/>
      </c>
      <c r="U159" t="str">
        <f>IF(Table10[[#This Row],[Den Included Unit]]=0,"",Table10[[#This Row],[Den Included Unit]])</f>
        <v/>
      </c>
      <c r="V159" t="str">
        <f>IF(Table10[[#This Row],[Second Bathroom]]=0,"",Table10[[#This Row],[Second Bathroom]])</f>
        <v/>
      </c>
      <c r="W159" t="str">
        <f>IF(Table10[[#This Row],[Heating]]=0,"",Table10[[#This Row],[Heating]])</f>
        <v/>
      </c>
      <c r="X159" t="str">
        <f>IF(Table10[[#This Row],[Electricity]]=0,"",Table10[[#This Row],[Electricity]])</f>
        <v/>
      </c>
      <c r="Y159" t="str">
        <f>IF(Table10[[#This Row],[Water]]=0,"",Table10[[#This Row],[Water]])</f>
        <v/>
      </c>
      <c r="Z159" t="str">
        <f>IF(Table10[[#This Row],[Washer/Dryer]]=0,"",Table10[[#This Row],[Washer/Dryer]])</f>
        <v/>
      </c>
      <c r="AA159" t="str">
        <f>IF(Table10[[#This Row],[Stove/Fridge]]=0,"",Table10[[#This Row],[Stove/Fridge]])</f>
        <v/>
      </c>
      <c r="AB159" t="str">
        <f>IF(Table10[[#This Row],[Dishwasher]]=0,"",Table10[[#This Row],[Dishwasher]])</f>
        <v/>
      </c>
      <c r="AC159" t="str">
        <f>IF(Table10[[#This Row],[Parking]]=0,"",Table10[[#This Row],[Parking]])</f>
        <v/>
      </c>
      <c r="AD159" t="str">
        <f>IF(Table10[[#This Row],[Furniture]]=0,"",Table10[[#This Row],[Furniture]])</f>
        <v/>
      </c>
      <c r="AE159" t="str">
        <f>IF(Table10[[#This Row],[Other]]=0,"",Table10[[#This Row],[Other]])</f>
        <v/>
      </c>
    </row>
    <row r="160" spans="1:31">
      <c r="A160" t="str">
        <f>IF(Table10[[#This Row],[Unit Type]]=0,"",Table10[[#This Row],[Unit Type]])</f>
        <v>3 Bedroom</v>
      </c>
      <c r="B160" t="str">
        <f>IF(Table10[[#This Row],[Residential Stream Source]]=0,"",Table10[[#This Row],[Residential Stream Source]])</f>
        <v/>
      </c>
      <c r="C160" t="str">
        <f>IF(Table10[[#This Row],[Basement?]]=0,"",Table10[[#This Row],[Basement?]])</f>
        <v/>
      </c>
      <c r="D160">
        <f>IF(Table10[[#This Row],[Unit '#]]=0,"",Table10[[#This Row],[Unit '#]])</f>
        <v>158</v>
      </c>
      <c r="E160" t="str">
        <f>IF(Table10[[#This Row],[Vacant?]]=0,"",Table10[[#This Row],[Vacant?]])</f>
        <v/>
      </c>
      <c r="F160">
        <f>IF(Table10[[#This Row],[Rental Rate ($/mth)]]=0,"",Table10[[#This Row],[Rental Rate ($/mth)]])</f>
        <v>3675</v>
      </c>
      <c r="G160"/>
      <c r="H160"/>
      <c r="I160"/>
      <c r="J160">
        <f>IF(Table10[[#This Row],[Unit Size (sq ft)]]=0,"",Table10[[#This Row],[Unit Size (sq ft)]])</f>
        <v>1015</v>
      </c>
      <c r="K160"/>
      <c r="L160" t="str">
        <f>Table10[[#This Row],[Market Unit]]</f>
        <v>Yes</v>
      </c>
      <c r="M160" t="str">
        <f>Table10[[#This Row],[Affordable Unit]]</f>
        <v>No</v>
      </c>
      <c r="N160" t="str">
        <f>IF(Table10[[#This Row],[Subsidized Unit]]=0,"",Table10[[#This Row],[Subsidized Unit]])</f>
        <v/>
      </c>
      <c r="O160" t="str">
        <f>IF(Table10[[#This Row],[Care Services]]=0,"",Table10[[#This Row],[Care Services]])</f>
        <v/>
      </c>
      <c r="P160" t="str">
        <f>IF(Table10[[#This Row],[Affordable Care]]=0,"",Table10[[#This Row],[Affordable Care]])</f>
        <v/>
      </c>
      <c r="Q160"/>
      <c r="R160"/>
      <c r="S160"/>
      <c r="T160" t="str">
        <f>IF(Table10[[#This Row],[Bulk Lease Unit]]=0,"",Table10[[#This Row],[Bulk Lease Unit]])</f>
        <v/>
      </c>
      <c r="U160" t="str">
        <f>IF(Table10[[#This Row],[Den Included Unit]]=0,"",Table10[[#This Row],[Den Included Unit]])</f>
        <v/>
      </c>
      <c r="V160" t="str">
        <f>IF(Table10[[#This Row],[Second Bathroom]]=0,"",Table10[[#This Row],[Second Bathroom]])</f>
        <v/>
      </c>
      <c r="W160" t="str">
        <f>IF(Table10[[#This Row],[Heating]]=0,"",Table10[[#This Row],[Heating]])</f>
        <v/>
      </c>
      <c r="X160" t="str">
        <f>IF(Table10[[#This Row],[Electricity]]=0,"",Table10[[#This Row],[Electricity]])</f>
        <v/>
      </c>
      <c r="Y160" t="str">
        <f>IF(Table10[[#This Row],[Water]]=0,"",Table10[[#This Row],[Water]])</f>
        <v/>
      </c>
      <c r="Z160" t="str">
        <f>IF(Table10[[#This Row],[Washer/Dryer]]=0,"",Table10[[#This Row],[Washer/Dryer]])</f>
        <v/>
      </c>
      <c r="AA160" t="str">
        <f>IF(Table10[[#This Row],[Stove/Fridge]]=0,"",Table10[[#This Row],[Stove/Fridge]])</f>
        <v/>
      </c>
      <c r="AB160" t="str">
        <f>IF(Table10[[#This Row],[Dishwasher]]=0,"",Table10[[#This Row],[Dishwasher]])</f>
        <v/>
      </c>
      <c r="AC160" t="str">
        <f>IF(Table10[[#This Row],[Parking]]=0,"",Table10[[#This Row],[Parking]])</f>
        <v/>
      </c>
      <c r="AD160" t="str">
        <f>IF(Table10[[#This Row],[Furniture]]=0,"",Table10[[#This Row],[Furniture]])</f>
        <v/>
      </c>
      <c r="AE160" t="str">
        <f>IF(Table10[[#This Row],[Other]]=0,"",Table10[[#This Row],[Other]])</f>
        <v/>
      </c>
    </row>
    <row r="161" spans="1:31">
      <c r="A161" t="str">
        <f>IF(Table10[[#This Row],[Unit Type]]=0,"",Table10[[#This Row],[Unit Type]])</f>
        <v>3 Bedroom</v>
      </c>
      <c r="B161" t="str">
        <f>IF(Table10[[#This Row],[Residential Stream Source]]=0,"",Table10[[#This Row],[Residential Stream Source]])</f>
        <v/>
      </c>
      <c r="C161" t="str">
        <f>IF(Table10[[#This Row],[Basement?]]=0,"",Table10[[#This Row],[Basement?]])</f>
        <v/>
      </c>
      <c r="D161">
        <f>IF(Table10[[#This Row],[Unit '#]]=0,"",Table10[[#This Row],[Unit '#]])</f>
        <v>159</v>
      </c>
      <c r="E161" t="str">
        <f>IF(Table10[[#This Row],[Vacant?]]=0,"",Table10[[#This Row],[Vacant?]])</f>
        <v/>
      </c>
      <c r="F161">
        <f>IF(Table10[[#This Row],[Rental Rate ($/mth)]]=0,"",Table10[[#This Row],[Rental Rate ($/mth)]])</f>
        <v>3675</v>
      </c>
      <c r="G161"/>
      <c r="H161"/>
      <c r="I161"/>
      <c r="J161">
        <f>IF(Table10[[#This Row],[Unit Size (sq ft)]]=0,"",Table10[[#This Row],[Unit Size (sq ft)]])</f>
        <v>1015</v>
      </c>
      <c r="K161"/>
      <c r="L161" t="str">
        <f>Table10[[#This Row],[Market Unit]]</f>
        <v>Yes</v>
      </c>
      <c r="M161" t="str">
        <f>Table10[[#This Row],[Affordable Unit]]</f>
        <v>No</v>
      </c>
      <c r="N161" t="str">
        <f>IF(Table10[[#This Row],[Subsidized Unit]]=0,"",Table10[[#This Row],[Subsidized Unit]])</f>
        <v/>
      </c>
      <c r="O161" t="str">
        <f>IF(Table10[[#This Row],[Care Services]]=0,"",Table10[[#This Row],[Care Services]])</f>
        <v/>
      </c>
      <c r="P161" t="str">
        <f>IF(Table10[[#This Row],[Affordable Care]]=0,"",Table10[[#This Row],[Affordable Care]])</f>
        <v/>
      </c>
      <c r="Q161"/>
      <c r="R161"/>
      <c r="S161"/>
      <c r="T161" t="str">
        <f>IF(Table10[[#This Row],[Bulk Lease Unit]]=0,"",Table10[[#This Row],[Bulk Lease Unit]])</f>
        <v/>
      </c>
      <c r="U161" t="str">
        <f>IF(Table10[[#This Row],[Den Included Unit]]=0,"",Table10[[#This Row],[Den Included Unit]])</f>
        <v/>
      </c>
      <c r="V161" t="str">
        <f>IF(Table10[[#This Row],[Second Bathroom]]=0,"",Table10[[#This Row],[Second Bathroom]])</f>
        <v/>
      </c>
      <c r="W161" t="str">
        <f>IF(Table10[[#This Row],[Heating]]=0,"",Table10[[#This Row],[Heating]])</f>
        <v/>
      </c>
      <c r="X161" t="str">
        <f>IF(Table10[[#This Row],[Electricity]]=0,"",Table10[[#This Row],[Electricity]])</f>
        <v/>
      </c>
      <c r="Y161" t="str">
        <f>IF(Table10[[#This Row],[Water]]=0,"",Table10[[#This Row],[Water]])</f>
        <v/>
      </c>
      <c r="Z161" t="str">
        <f>IF(Table10[[#This Row],[Washer/Dryer]]=0,"",Table10[[#This Row],[Washer/Dryer]])</f>
        <v/>
      </c>
      <c r="AA161" t="str">
        <f>IF(Table10[[#This Row],[Stove/Fridge]]=0,"",Table10[[#This Row],[Stove/Fridge]])</f>
        <v/>
      </c>
      <c r="AB161" t="str">
        <f>IF(Table10[[#This Row],[Dishwasher]]=0,"",Table10[[#This Row],[Dishwasher]])</f>
        <v/>
      </c>
      <c r="AC161" t="str">
        <f>IF(Table10[[#This Row],[Parking]]=0,"",Table10[[#This Row],[Parking]])</f>
        <v/>
      </c>
      <c r="AD161" t="str">
        <f>IF(Table10[[#This Row],[Furniture]]=0,"",Table10[[#This Row],[Furniture]])</f>
        <v/>
      </c>
      <c r="AE161" t="str">
        <f>IF(Table10[[#This Row],[Other]]=0,"",Table10[[#This Row],[Other]])</f>
        <v/>
      </c>
    </row>
    <row r="162" spans="1:31">
      <c r="A162" t="str">
        <f>IF(Table10[[#This Row],[Unit Type]]=0,"",Table10[[#This Row],[Unit Type]])</f>
        <v>3 Bedroom</v>
      </c>
      <c r="B162" t="str">
        <f>IF(Table10[[#This Row],[Residential Stream Source]]=0,"",Table10[[#This Row],[Residential Stream Source]])</f>
        <v/>
      </c>
      <c r="C162" t="str">
        <f>IF(Table10[[#This Row],[Basement?]]=0,"",Table10[[#This Row],[Basement?]])</f>
        <v/>
      </c>
      <c r="D162">
        <f>IF(Table10[[#This Row],[Unit '#]]=0,"",Table10[[#This Row],[Unit '#]])</f>
        <v>160</v>
      </c>
      <c r="E162" t="str">
        <f>IF(Table10[[#This Row],[Vacant?]]=0,"",Table10[[#This Row],[Vacant?]])</f>
        <v/>
      </c>
      <c r="F162">
        <f>IF(Table10[[#This Row],[Rental Rate ($/mth)]]=0,"",Table10[[#This Row],[Rental Rate ($/mth)]])</f>
        <v>3675</v>
      </c>
      <c r="G162"/>
      <c r="H162"/>
      <c r="I162"/>
      <c r="J162">
        <f>IF(Table10[[#This Row],[Unit Size (sq ft)]]=0,"",Table10[[#This Row],[Unit Size (sq ft)]])</f>
        <v>1015</v>
      </c>
      <c r="K162"/>
      <c r="L162" t="str">
        <f>Table10[[#This Row],[Market Unit]]</f>
        <v>Yes</v>
      </c>
      <c r="M162" t="str">
        <f>Table10[[#This Row],[Affordable Unit]]</f>
        <v>No</v>
      </c>
      <c r="N162" t="str">
        <f>IF(Table10[[#This Row],[Subsidized Unit]]=0,"",Table10[[#This Row],[Subsidized Unit]])</f>
        <v/>
      </c>
      <c r="O162" t="str">
        <f>IF(Table10[[#This Row],[Care Services]]=0,"",Table10[[#This Row],[Care Services]])</f>
        <v/>
      </c>
      <c r="P162" t="str">
        <f>IF(Table10[[#This Row],[Affordable Care]]=0,"",Table10[[#This Row],[Affordable Care]])</f>
        <v/>
      </c>
      <c r="Q162"/>
      <c r="R162"/>
      <c r="S162"/>
      <c r="T162" t="str">
        <f>IF(Table10[[#This Row],[Bulk Lease Unit]]=0,"",Table10[[#This Row],[Bulk Lease Unit]])</f>
        <v/>
      </c>
      <c r="U162" t="str">
        <f>IF(Table10[[#This Row],[Den Included Unit]]=0,"",Table10[[#This Row],[Den Included Unit]])</f>
        <v/>
      </c>
      <c r="V162" t="str">
        <f>IF(Table10[[#This Row],[Second Bathroom]]=0,"",Table10[[#This Row],[Second Bathroom]])</f>
        <v/>
      </c>
      <c r="W162" t="str">
        <f>IF(Table10[[#This Row],[Heating]]=0,"",Table10[[#This Row],[Heating]])</f>
        <v/>
      </c>
      <c r="X162" t="str">
        <f>IF(Table10[[#This Row],[Electricity]]=0,"",Table10[[#This Row],[Electricity]])</f>
        <v/>
      </c>
      <c r="Y162" t="str">
        <f>IF(Table10[[#This Row],[Water]]=0,"",Table10[[#This Row],[Water]])</f>
        <v/>
      </c>
      <c r="Z162" t="str">
        <f>IF(Table10[[#This Row],[Washer/Dryer]]=0,"",Table10[[#This Row],[Washer/Dryer]])</f>
        <v/>
      </c>
      <c r="AA162" t="str">
        <f>IF(Table10[[#This Row],[Stove/Fridge]]=0,"",Table10[[#This Row],[Stove/Fridge]])</f>
        <v/>
      </c>
      <c r="AB162" t="str">
        <f>IF(Table10[[#This Row],[Dishwasher]]=0,"",Table10[[#This Row],[Dishwasher]])</f>
        <v/>
      </c>
      <c r="AC162" t="str">
        <f>IF(Table10[[#This Row],[Parking]]=0,"",Table10[[#This Row],[Parking]])</f>
        <v/>
      </c>
      <c r="AD162" t="str">
        <f>IF(Table10[[#This Row],[Furniture]]=0,"",Table10[[#This Row],[Furniture]])</f>
        <v/>
      </c>
      <c r="AE162" t="str">
        <f>IF(Table10[[#This Row],[Other]]=0,"",Table10[[#This Row],[Other]])</f>
        <v/>
      </c>
    </row>
    <row r="163" spans="1:31">
      <c r="A163" t="str">
        <f>IF(Table10[[#This Row],[Unit Type]]=0,"",Table10[[#This Row],[Unit Type]])</f>
        <v>3 Bedroom</v>
      </c>
      <c r="B163" t="str">
        <f>IF(Table10[[#This Row],[Residential Stream Source]]=0,"",Table10[[#This Row],[Residential Stream Source]])</f>
        <v/>
      </c>
      <c r="C163" t="str">
        <f>IF(Table10[[#This Row],[Basement?]]=0,"",Table10[[#This Row],[Basement?]])</f>
        <v/>
      </c>
      <c r="D163">
        <f>IF(Table10[[#This Row],[Unit '#]]=0,"",Table10[[#This Row],[Unit '#]])</f>
        <v>161</v>
      </c>
      <c r="E163" t="str">
        <f>IF(Table10[[#This Row],[Vacant?]]=0,"",Table10[[#This Row],[Vacant?]])</f>
        <v/>
      </c>
      <c r="F163">
        <f>IF(Table10[[#This Row],[Rental Rate ($/mth)]]=0,"",Table10[[#This Row],[Rental Rate ($/mth)]])</f>
        <v>3675</v>
      </c>
      <c r="G163"/>
      <c r="H163"/>
      <c r="I163"/>
      <c r="J163">
        <f>IF(Table10[[#This Row],[Unit Size (sq ft)]]=0,"",Table10[[#This Row],[Unit Size (sq ft)]])</f>
        <v>1015</v>
      </c>
      <c r="K163"/>
      <c r="L163" t="str">
        <f>Table10[[#This Row],[Market Unit]]</f>
        <v>Yes</v>
      </c>
      <c r="M163" t="str">
        <f>Table10[[#This Row],[Affordable Unit]]</f>
        <v>No</v>
      </c>
      <c r="N163" t="str">
        <f>IF(Table10[[#This Row],[Subsidized Unit]]=0,"",Table10[[#This Row],[Subsidized Unit]])</f>
        <v/>
      </c>
      <c r="O163" t="str">
        <f>IF(Table10[[#This Row],[Care Services]]=0,"",Table10[[#This Row],[Care Services]])</f>
        <v/>
      </c>
      <c r="P163" t="str">
        <f>IF(Table10[[#This Row],[Affordable Care]]=0,"",Table10[[#This Row],[Affordable Care]])</f>
        <v/>
      </c>
      <c r="Q163"/>
      <c r="R163"/>
      <c r="S163"/>
      <c r="T163" t="str">
        <f>IF(Table10[[#This Row],[Bulk Lease Unit]]=0,"",Table10[[#This Row],[Bulk Lease Unit]])</f>
        <v/>
      </c>
      <c r="U163" t="str">
        <f>IF(Table10[[#This Row],[Den Included Unit]]=0,"",Table10[[#This Row],[Den Included Unit]])</f>
        <v/>
      </c>
      <c r="V163" t="str">
        <f>IF(Table10[[#This Row],[Second Bathroom]]=0,"",Table10[[#This Row],[Second Bathroom]])</f>
        <v/>
      </c>
      <c r="W163" t="str">
        <f>IF(Table10[[#This Row],[Heating]]=0,"",Table10[[#This Row],[Heating]])</f>
        <v/>
      </c>
      <c r="X163" t="str">
        <f>IF(Table10[[#This Row],[Electricity]]=0,"",Table10[[#This Row],[Electricity]])</f>
        <v/>
      </c>
      <c r="Y163" t="str">
        <f>IF(Table10[[#This Row],[Water]]=0,"",Table10[[#This Row],[Water]])</f>
        <v/>
      </c>
      <c r="Z163" t="str">
        <f>IF(Table10[[#This Row],[Washer/Dryer]]=0,"",Table10[[#This Row],[Washer/Dryer]])</f>
        <v/>
      </c>
      <c r="AA163" t="str">
        <f>IF(Table10[[#This Row],[Stove/Fridge]]=0,"",Table10[[#This Row],[Stove/Fridge]])</f>
        <v/>
      </c>
      <c r="AB163" t="str">
        <f>IF(Table10[[#This Row],[Dishwasher]]=0,"",Table10[[#This Row],[Dishwasher]])</f>
        <v/>
      </c>
      <c r="AC163" t="str">
        <f>IF(Table10[[#This Row],[Parking]]=0,"",Table10[[#This Row],[Parking]])</f>
        <v/>
      </c>
      <c r="AD163" t="str">
        <f>IF(Table10[[#This Row],[Furniture]]=0,"",Table10[[#This Row],[Furniture]])</f>
        <v/>
      </c>
      <c r="AE163" t="str">
        <f>IF(Table10[[#This Row],[Other]]=0,"",Table10[[#This Row],[Other]])</f>
        <v/>
      </c>
    </row>
    <row r="164" spans="1:31">
      <c r="A164" t="str">
        <f>IF(Table10[[#This Row],[Unit Type]]=0,"",Table10[[#This Row],[Unit Type]])</f>
        <v>3 Bedroom</v>
      </c>
      <c r="B164" t="str">
        <f>IF(Table10[[#This Row],[Residential Stream Source]]=0,"",Table10[[#This Row],[Residential Stream Source]])</f>
        <v/>
      </c>
      <c r="C164" t="str">
        <f>IF(Table10[[#This Row],[Basement?]]=0,"",Table10[[#This Row],[Basement?]])</f>
        <v/>
      </c>
      <c r="D164">
        <f>IF(Table10[[#This Row],[Unit '#]]=0,"",Table10[[#This Row],[Unit '#]])</f>
        <v>162</v>
      </c>
      <c r="E164" t="str">
        <f>IF(Table10[[#This Row],[Vacant?]]=0,"",Table10[[#This Row],[Vacant?]])</f>
        <v/>
      </c>
      <c r="F164">
        <f>IF(Table10[[#This Row],[Rental Rate ($/mth)]]=0,"",Table10[[#This Row],[Rental Rate ($/mth)]])</f>
        <v>3675</v>
      </c>
      <c r="G164"/>
      <c r="H164"/>
      <c r="I164"/>
      <c r="J164">
        <f>IF(Table10[[#This Row],[Unit Size (sq ft)]]=0,"",Table10[[#This Row],[Unit Size (sq ft)]])</f>
        <v>1015</v>
      </c>
      <c r="K164"/>
      <c r="L164" t="str">
        <f>Table10[[#This Row],[Market Unit]]</f>
        <v>Yes</v>
      </c>
      <c r="M164" t="str">
        <f>Table10[[#This Row],[Affordable Unit]]</f>
        <v>No</v>
      </c>
      <c r="N164" t="str">
        <f>IF(Table10[[#This Row],[Subsidized Unit]]=0,"",Table10[[#This Row],[Subsidized Unit]])</f>
        <v/>
      </c>
      <c r="O164" t="str">
        <f>IF(Table10[[#This Row],[Care Services]]=0,"",Table10[[#This Row],[Care Services]])</f>
        <v/>
      </c>
      <c r="P164" t="str">
        <f>IF(Table10[[#This Row],[Affordable Care]]=0,"",Table10[[#This Row],[Affordable Care]])</f>
        <v/>
      </c>
      <c r="Q164"/>
      <c r="R164"/>
      <c r="S164"/>
      <c r="T164" t="str">
        <f>IF(Table10[[#This Row],[Bulk Lease Unit]]=0,"",Table10[[#This Row],[Bulk Lease Unit]])</f>
        <v/>
      </c>
      <c r="U164" t="str">
        <f>IF(Table10[[#This Row],[Den Included Unit]]=0,"",Table10[[#This Row],[Den Included Unit]])</f>
        <v/>
      </c>
      <c r="V164" t="str">
        <f>IF(Table10[[#This Row],[Second Bathroom]]=0,"",Table10[[#This Row],[Second Bathroom]])</f>
        <v/>
      </c>
      <c r="W164" t="str">
        <f>IF(Table10[[#This Row],[Heating]]=0,"",Table10[[#This Row],[Heating]])</f>
        <v/>
      </c>
      <c r="X164" t="str">
        <f>IF(Table10[[#This Row],[Electricity]]=0,"",Table10[[#This Row],[Electricity]])</f>
        <v/>
      </c>
      <c r="Y164" t="str">
        <f>IF(Table10[[#This Row],[Water]]=0,"",Table10[[#This Row],[Water]])</f>
        <v/>
      </c>
      <c r="Z164" t="str">
        <f>IF(Table10[[#This Row],[Washer/Dryer]]=0,"",Table10[[#This Row],[Washer/Dryer]])</f>
        <v/>
      </c>
      <c r="AA164" t="str">
        <f>IF(Table10[[#This Row],[Stove/Fridge]]=0,"",Table10[[#This Row],[Stove/Fridge]])</f>
        <v/>
      </c>
      <c r="AB164" t="str">
        <f>IF(Table10[[#This Row],[Dishwasher]]=0,"",Table10[[#This Row],[Dishwasher]])</f>
        <v/>
      </c>
      <c r="AC164" t="str">
        <f>IF(Table10[[#This Row],[Parking]]=0,"",Table10[[#This Row],[Parking]])</f>
        <v/>
      </c>
      <c r="AD164" t="str">
        <f>IF(Table10[[#This Row],[Furniture]]=0,"",Table10[[#This Row],[Furniture]])</f>
        <v/>
      </c>
      <c r="AE164" t="str">
        <f>IF(Table10[[#This Row],[Other]]=0,"",Table10[[#This Row],[Other]])</f>
        <v/>
      </c>
    </row>
    <row r="165" spans="1:31">
      <c r="A165" t="str">
        <f>IF(Table10[[#This Row],[Unit Type]]=0,"",Table10[[#This Row],[Unit Type]])</f>
        <v>3 Bedroom</v>
      </c>
      <c r="B165" t="str">
        <f>IF(Table10[[#This Row],[Residential Stream Source]]=0,"",Table10[[#This Row],[Residential Stream Source]])</f>
        <v/>
      </c>
      <c r="C165" t="str">
        <f>IF(Table10[[#This Row],[Basement?]]=0,"",Table10[[#This Row],[Basement?]])</f>
        <v/>
      </c>
      <c r="D165">
        <f>IF(Table10[[#This Row],[Unit '#]]=0,"",Table10[[#This Row],[Unit '#]])</f>
        <v>163</v>
      </c>
      <c r="E165" t="str">
        <f>IF(Table10[[#This Row],[Vacant?]]=0,"",Table10[[#This Row],[Vacant?]])</f>
        <v/>
      </c>
      <c r="F165">
        <f>IF(Table10[[#This Row],[Rental Rate ($/mth)]]=0,"",Table10[[#This Row],[Rental Rate ($/mth)]])</f>
        <v>3675</v>
      </c>
      <c r="G165"/>
      <c r="H165"/>
      <c r="I165"/>
      <c r="J165">
        <f>IF(Table10[[#This Row],[Unit Size (sq ft)]]=0,"",Table10[[#This Row],[Unit Size (sq ft)]])</f>
        <v>1015</v>
      </c>
      <c r="K165"/>
      <c r="L165" t="str">
        <f>Table10[[#This Row],[Market Unit]]</f>
        <v>Yes</v>
      </c>
      <c r="M165" t="str">
        <f>Table10[[#This Row],[Affordable Unit]]</f>
        <v>No</v>
      </c>
      <c r="N165" t="str">
        <f>IF(Table10[[#This Row],[Subsidized Unit]]=0,"",Table10[[#This Row],[Subsidized Unit]])</f>
        <v/>
      </c>
      <c r="O165" t="str">
        <f>IF(Table10[[#This Row],[Care Services]]=0,"",Table10[[#This Row],[Care Services]])</f>
        <v/>
      </c>
      <c r="P165" t="str">
        <f>IF(Table10[[#This Row],[Affordable Care]]=0,"",Table10[[#This Row],[Affordable Care]])</f>
        <v/>
      </c>
      <c r="Q165"/>
      <c r="R165"/>
      <c r="S165"/>
      <c r="T165" t="str">
        <f>IF(Table10[[#This Row],[Bulk Lease Unit]]=0,"",Table10[[#This Row],[Bulk Lease Unit]])</f>
        <v/>
      </c>
      <c r="U165" t="str">
        <f>IF(Table10[[#This Row],[Den Included Unit]]=0,"",Table10[[#This Row],[Den Included Unit]])</f>
        <v/>
      </c>
      <c r="V165" t="str">
        <f>IF(Table10[[#This Row],[Second Bathroom]]=0,"",Table10[[#This Row],[Second Bathroom]])</f>
        <v/>
      </c>
      <c r="W165" t="str">
        <f>IF(Table10[[#This Row],[Heating]]=0,"",Table10[[#This Row],[Heating]])</f>
        <v/>
      </c>
      <c r="X165" t="str">
        <f>IF(Table10[[#This Row],[Electricity]]=0,"",Table10[[#This Row],[Electricity]])</f>
        <v/>
      </c>
      <c r="Y165" t="str">
        <f>IF(Table10[[#This Row],[Water]]=0,"",Table10[[#This Row],[Water]])</f>
        <v/>
      </c>
      <c r="Z165" t="str">
        <f>IF(Table10[[#This Row],[Washer/Dryer]]=0,"",Table10[[#This Row],[Washer/Dryer]])</f>
        <v/>
      </c>
      <c r="AA165" t="str">
        <f>IF(Table10[[#This Row],[Stove/Fridge]]=0,"",Table10[[#This Row],[Stove/Fridge]])</f>
        <v/>
      </c>
      <c r="AB165" t="str">
        <f>IF(Table10[[#This Row],[Dishwasher]]=0,"",Table10[[#This Row],[Dishwasher]])</f>
        <v/>
      </c>
      <c r="AC165" t="str">
        <f>IF(Table10[[#This Row],[Parking]]=0,"",Table10[[#This Row],[Parking]])</f>
        <v/>
      </c>
      <c r="AD165" t="str">
        <f>IF(Table10[[#This Row],[Furniture]]=0,"",Table10[[#This Row],[Furniture]])</f>
        <v/>
      </c>
      <c r="AE165" t="str">
        <f>IF(Table10[[#This Row],[Other]]=0,"",Table10[[#This Row],[Other]])</f>
        <v/>
      </c>
    </row>
    <row r="166" spans="1:31">
      <c r="A166" t="str">
        <f>IF(Table10[[#This Row],[Unit Type]]=0,"",Table10[[#This Row],[Unit Type]])</f>
        <v>3 Bedroom</v>
      </c>
      <c r="B166" t="str">
        <f>IF(Table10[[#This Row],[Residential Stream Source]]=0,"",Table10[[#This Row],[Residential Stream Source]])</f>
        <v/>
      </c>
      <c r="C166" t="str">
        <f>IF(Table10[[#This Row],[Basement?]]=0,"",Table10[[#This Row],[Basement?]])</f>
        <v/>
      </c>
      <c r="D166">
        <f>IF(Table10[[#This Row],[Unit '#]]=0,"",Table10[[#This Row],[Unit '#]])</f>
        <v>164</v>
      </c>
      <c r="E166" t="str">
        <f>IF(Table10[[#This Row],[Vacant?]]=0,"",Table10[[#This Row],[Vacant?]])</f>
        <v/>
      </c>
      <c r="F166">
        <f>IF(Table10[[#This Row],[Rental Rate ($/mth)]]=0,"",Table10[[#This Row],[Rental Rate ($/mth)]])</f>
        <v>3675</v>
      </c>
      <c r="G166"/>
      <c r="H166"/>
      <c r="I166"/>
      <c r="J166">
        <f>IF(Table10[[#This Row],[Unit Size (sq ft)]]=0,"",Table10[[#This Row],[Unit Size (sq ft)]])</f>
        <v>1015</v>
      </c>
      <c r="K166"/>
      <c r="L166" t="str">
        <f>Table10[[#This Row],[Market Unit]]</f>
        <v>Yes</v>
      </c>
      <c r="M166" t="str">
        <f>Table10[[#This Row],[Affordable Unit]]</f>
        <v>No</v>
      </c>
      <c r="N166" t="str">
        <f>IF(Table10[[#This Row],[Subsidized Unit]]=0,"",Table10[[#This Row],[Subsidized Unit]])</f>
        <v/>
      </c>
      <c r="O166" t="str">
        <f>IF(Table10[[#This Row],[Care Services]]=0,"",Table10[[#This Row],[Care Services]])</f>
        <v/>
      </c>
      <c r="P166" t="str">
        <f>IF(Table10[[#This Row],[Affordable Care]]=0,"",Table10[[#This Row],[Affordable Care]])</f>
        <v/>
      </c>
      <c r="Q166"/>
      <c r="R166"/>
      <c r="S166"/>
      <c r="T166" t="str">
        <f>IF(Table10[[#This Row],[Bulk Lease Unit]]=0,"",Table10[[#This Row],[Bulk Lease Unit]])</f>
        <v/>
      </c>
      <c r="U166" t="str">
        <f>IF(Table10[[#This Row],[Den Included Unit]]=0,"",Table10[[#This Row],[Den Included Unit]])</f>
        <v/>
      </c>
      <c r="V166" t="str">
        <f>IF(Table10[[#This Row],[Second Bathroom]]=0,"",Table10[[#This Row],[Second Bathroom]])</f>
        <v/>
      </c>
      <c r="W166" t="str">
        <f>IF(Table10[[#This Row],[Heating]]=0,"",Table10[[#This Row],[Heating]])</f>
        <v/>
      </c>
      <c r="X166" t="str">
        <f>IF(Table10[[#This Row],[Electricity]]=0,"",Table10[[#This Row],[Electricity]])</f>
        <v/>
      </c>
      <c r="Y166" t="str">
        <f>IF(Table10[[#This Row],[Water]]=0,"",Table10[[#This Row],[Water]])</f>
        <v/>
      </c>
      <c r="Z166" t="str">
        <f>IF(Table10[[#This Row],[Washer/Dryer]]=0,"",Table10[[#This Row],[Washer/Dryer]])</f>
        <v/>
      </c>
      <c r="AA166" t="str">
        <f>IF(Table10[[#This Row],[Stove/Fridge]]=0,"",Table10[[#This Row],[Stove/Fridge]])</f>
        <v/>
      </c>
      <c r="AB166" t="str">
        <f>IF(Table10[[#This Row],[Dishwasher]]=0,"",Table10[[#This Row],[Dishwasher]])</f>
        <v/>
      </c>
      <c r="AC166" t="str">
        <f>IF(Table10[[#This Row],[Parking]]=0,"",Table10[[#This Row],[Parking]])</f>
        <v/>
      </c>
      <c r="AD166" t="str">
        <f>IF(Table10[[#This Row],[Furniture]]=0,"",Table10[[#This Row],[Furniture]])</f>
        <v/>
      </c>
      <c r="AE166" t="str">
        <f>IF(Table10[[#This Row],[Other]]=0,"",Table10[[#This Row],[Other]])</f>
        <v/>
      </c>
    </row>
    <row r="167" spans="1:31">
      <c r="A167" t="str">
        <f>IF(Table10[[#This Row],[Unit Type]]=0,"",Table10[[#This Row],[Unit Type]])</f>
        <v>3 Bedroom</v>
      </c>
      <c r="B167" t="str">
        <f>IF(Table10[[#This Row],[Residential Stream Source]]=0,"",Table10[[#This Row],[Residential Stream Source]])</f>
        <v/>
      </c>
      <c r="C167" t="str">
        <f>IF(Table10[[#This Row],[Basement?]]=0,"",Table10[[#This Row],[Basement?]])</f>
        <v/>
      </c>
      <c r="D167">
        <f>IF(Table10[[#This Row],[Unit '#]]=0,"",Table10[[#This Row],[Unit '#]])</f>
        <v>165</v>
      </c>
      <c r="E167" t="str">
        <f>IF(Table10[[#This Row],[Vacant?]]=0,"",Table10[[#This Row],[Vacant?]])</f>
        <v/>
      </c>
      <c r="F167">
        <f>IF(Table10[[#This Row],[Rental Rate ($/mth)]]=0,"",Table10[[#This Row],[Rental Rate ($/mth)]])</f>
        <v>3675</v>
      </c>
      <c r="G167"/>
      <c r="H167"/>
      <c r="I167"/>
      <c r="J167">
        <f>IF(Table10[[#This Row],[Unit Size (sq ft)]]=0,"",Table10[[#This Row],[Unit Size (sq ft)]])</f>
        <v>1015</v>
      </c>
      <c r="K167"/>
      <c r="L167" t="str">
        <f>Table10[[#This Row],[Market Unit]]</f>
        <v>Yes</v>
      </c>
      <c r="M167" t="str">
        <f>Table10[[#This Row],[Affordable Unit]]</f>
        <v>No</v>
      </c>
      <c r="N167" t="str">
        <f>IF(Table10[[#This Row],[Subsidized Unit]]=0,"",Table10[[#This Row],[Subsidized Unit]])</f>
        <v/>
      </c>
      <c r="O167" t="str">
        <f>IF(Table10[[#This Row],[Care Services]]=0,"",Table10[[#This Row],[Care Services]])</f>
        <v/>
      </c>
      <c r="P167" t="str">
        <f>IF(Table10[[#This Row],[Affordable Care]]=0,"",Table10[[#This Row],[Affordable Care]])</f>
        <v/>
      </c>
      <c r="Q167"/>
      <c r="R167"/>
      <c r="S167"/>
      <c r="T167" t="str">
        <f>IF(Table10[[#This Row],[Bulk Lease Unit]]=0,"",Table10[[#This Row],[Bulk Lease Unit]])</f>
        <v/>
      </c>
      <c r="U167" t="str">
        <f>IF(Table10[[#This Row],[Den Included Unit]]=0,"",Table10[[#This Row],[Den Included Unit]])</f>
        <v/>
      </c>
      <c r="V167" t="str">
        <f>IF(Table10[[#This Row],[Second Bathroom]]=0,"",Table10[[#This Row],[Second Bathroom]])</f>
        <v/>
      </c>
      <c r="W167" t="str">
        <f>IF(Table10[[#This Row],[Heating]]=0,"",Table10[[#This Row],[Heating]])</f>
        <v/>
      </c>
      <c r="X167" t="str">
        <f>IF(Table10[[#This Row],[Electricity]]=0,"",Table10[[#This Row],[Electricity]])</f>
        <v/>
      </c>
      <c r="Y167" t="str">
        <f>IF(Table10[[#This Row],[Water]]=0,"",Table10[[#This Row],[Water]])</f>
        <v/>
      </c>
      <c r="Z167" t="str">
        <f>IF(Table10[[#This Row],[Washer/Dryer]]=0,"",Table10[[#This Row],[Washer/Dryer]])</f>
        <v/>
      </c>
      <c r="AA167" t="str">
        <f>IF(Table10[[#This Row],[Stove/Fridge]]=0,"",Table10[[#This Row],[Stove/Fridge]])</f>
        <v/>
      </c>
      <c r="AB167" t="str">
        <f>IF(Table10[[#This Row],[Dishwasher]]=0,"",Table10[[#This Row],[Dishwasher]])</f>
        <v/>
      </c>
      <c r="AC167" t="str">
        <f>IF(Table10[[#This Row],[Parking]]=0,"",Table10[[#This Row],[Parking]])</f>
        <v/>
      </c>
      <c r="AD167" t="str">
        <f>IF(Table10[[#This Row],[Furniture]]=0,"",Table10[[#This Row],[Furniture]])</f>
        <v/>
      </c>
      <c r="AE167" t="str">
        <f>IF(Table10[[#This Row],[Other]]=0,"",Table10[[#This Row],[Other]])</f>
        <v/>
      </c>
    </row>
    <row r="168" spans="1:31">
      <c r="A168" t="str">
        <f>IF(Table10[[#This Row],[Unit Type]]=0,"",Table10[[#This Row],[Unit Type]])</f>
        <v>3 Bedroom</v>
      </c>
      <c r="B168" t="str">
        <f>IF(Table10[[#This Row],[Residential Stream Source]]=0,"",Table10[[#This Row],[Residential Stream Source]])</f>
        <v/>
      </c>
      <c r="C168" t="str">
        <f>IF(Table10[[#This Row],[Basement?]]=0,"",Table10[[#This Row],[Basement?]])</f>
        <v/>
      </c>
      <c r="D168">
        <f>IF(Table10[[#This Row],[Unit '#]]=0,"",Table10[[#This Row],[Unit '#]])</f>
        <v>166</v>
      </c>
      <c r="E168" t="str">
        <f>IF(Table10[[#This Row],[Vacant?]]=0,"",Table10[[#This Row],[Vacant?]])</f>
        <v/>
      </c>
      <c r="F168">
        <f>IF(Table10[[#This Row],[Rental Rate ($/mth)]]=0,"",Table10[[#This Row],[Rental Rate ($/mth)]])</f>
        <v>3675</v>
      </c>
      <c r="G168"/>
      <c r="H168"/>
      <c r="I168"/>
      <c r="J168">
        <f>IF(Table10[[#This Row],[Unit Size (sq ft)]]=0,"",Table10[[#This Row],[Unit Size (sq ft)]])</f>
        <v>1015</v>
      </c>
      <c r="K168"/>
      <c r="L168" t="str">
        <f>Table10[[#This Row],[Market Unit]]</f>
        <v>Yes</v>
      </c>
      <c r="M168" t="str">
        <f>Table10[[#This Row],[Affordable Unit]]</f>
        <v>No</v>
      </c>
      <c r="N168" t="str">
        <f>IF(Table10[[#This Row],[Subsidized Unit]]=0,"",Table10[[#This Row],[Subsidized Unit]])</f>
        <v/>
      </c>
      <c r="O168" t="str">
        <f>IF(Table10[[#This Row],[Care Services]]=0,"",Table10[[#This Row],[Care Services]])</f>
        <v/>
      </c>
      <c r="P168" t="str">
        <f>IF(Table10[[#This Row],[Affordable Care]]=0,"",Table10[[#This Row],[Affordable Care]])</f>
        <v/>
      </c>
      <c r="Q168"/>
      <c r="R168"/>
      <c r="S168"/>
      <c r="T168" t="str">
        <f>IF(Table10[[#This Row],[Bulk Lease Unit]]=0,"",Table10[[#This Row],[Bulk Lease Unit]])</f>
        <v/>
      </c>
      <c r="U168" t="str">
        <f>IF(Table10[[#This Row],[Den Included Unit]]=0,"",Table10[[#This Row],[Den Included Unit]])</f>
        <v/>
      </c>
      <c r="V168" t="str">
        <f>IF(Table10[[#This Row],[Second Bathroom]]=0,"",Table10[[#This Row],[Second Bathroom]])</f>
        <v/>
      </c>
      <c r="W168" t="str">
        <f>IF(Table10[[#This Row],[Heating]]=0,"",Table10[[#This Row],[Heating]])</f>
        <v/>
      </c>
      <c r="X168" t="str">
        <f>IF(Table10[[#This Row],[Electricity]]=0,"",Table10[[#This Row],[Electricity]])</f>
        <v/>
      </c>
      <c r="Y168" t="str">
        <f>IF(Table10[[#This Row],[Water]]=0,"",Table10[[#This Row],[Water]])</f>
        <v/>
      </c>
      <c r="Z168" t="str">
        <f>IF(Table10[[#This Row],[Washer/Dryer]]=0,"",Table10[[#This Row],[Washer/Dryer]])</f>
        <v/>
      </c>
      <c r="AA168" t="str">
        <f>IF(Table10[[#This Row],[Stove/Fridge]]=0,"",Table10[[#This Row],[Stove/Fridge]])</f>
        <v/>
      </c>
      <c r="AB168" t="str">
        <f>IF(Table10[[#This Row],[Dishwasher]]=0,"",Table10[[#This Row],[Dishwasher]])</f>
        <v/>
      </c>
      <c r="AC168" t="str">
        <f>IF(Table10[[#This Row],[Parking]]=0,"",Table10[[#This Row],[Parking]])</f>
        <v/>
      </c>
      <c r="AD168" t="str">
        <f>IF(Table10[[#This Row],[Furniture]]=0,"",Table10[[#This Row],[Furniture]])</f>
        <v/>
      </c>
      <c r="AE168" t="str">
        <f>IF(Table10[[#This Row],[Other]]=0,"",Table10[[#This Row],[Other]])</f>
        <v/>
      </c>
    </row>
    <row r="169" spans="1:31">
      <c r="A169" t="str">
        <f>IF(Table10[[#This Row],[Unit Type]]=0,"",Table10[[#This Row],[Unit Type]])</f>
        <v>3 Bedroom</v>
      </c>
      <c r="B169" t="str">
        <f>IF(Table10[[#This Row],[Residential Stream Source]]=0,"",Table10[[#This Row],[Residential Stream Source]])</f>
        <v/>
      </c>
      <c r="C169" t="str">
        <f>IF(Table10[[#This Row],[Basement?]]=0,"",Table10[[#This Row],[Basement?]])</f>
        <v/>
      </c>
      <c r="D169">
        <f>IF(Table10[[#This Row],[Unit '#]]=0,"",Table10[[#This Row],[Unit '#]])</f>
        <v>167</v>
      </c>
      <c r="E169" t="str">
        <f>IF(Table10[[#This Row],[Vacant?]]=0,"",Table10[[#This Row],[Vacant?]])</f>
        <v/>
      </c>
      <c r="F169">
        <f>IF(Table10[[#This Row],[Rental Rate ($/mth)]]=0,"",Table10[[#This Row],[Rental Rate ($/mth)]])</f>
        <v>3675</v>
      </c>
      <c r="G169"/>
      <c r="H169"/>
      <c r="I169"/>
      <c r="J169">
        <f>IF(Table10[[#This Row],[Unit Size (sq ft)]]=0,"",Table10[[#This Row],[Unit Size (sq ft)]])</f>
        <v>1015</v>
      </c>
      <c r="K169"/>
      <c r="L169" t="str">
        <f>Table10[[#This Row],[Market Unit]]</f>
        <v>Yes</v>
      </c>
      <c r="M169" t="str">
        <f>Table10[[#This Row],[Affordable Unit]]</f>
        <v>No</v>
      </c>
      <c r="N169" t="str">
        <f>IF(Table10[[#This Row],[Subsidized Unit]]=0,"",Table10[[#This Row],[Subsidized Unit]])</f>
        <v/>
      </c>
      <c r="O169" t="str">
        <f>IF(Table10[[#This Row],[Care Services]]=0,"",Table10[[#This Row],[Care Services]])</f>
        <v/>
      </c>
      <c r="P169" t="str">
        <f>IF(Table10[[#This Row],[Affordable Care]]=0,"",Table10[[#This Row],[Affordable Care]])</f>
        <v/>
      </c>
      <c r="Q169"/>
      <c r="R169"/>
      <c r="S169"/>
      <c r="T169" t="str">
        <f>IF(Table10[[#This Row],[Bulk Lease Unit]]=0,"",Table10[[#This Row],[Bulk Lease Unit]])</f>
        <v/>
      </c>
      <c r="U169" t="str">
        <f>IF(Table10[[#This Row],[Den Included Unit]]=0,"",Table10[[#This Row],[Den Included Unit]])</f>
        <v/>
      </c>
      <c r="V169" t="str">
        <f>IF(Table10[[#This Row],[Second Bathroom]]=0,"",Table10[[#This Row],[Second Bathroom]])</f>
        <v/>
      </c>
      <c r="W169" t="str">
        <f>IF(Table10[[#This Row],[Heating]]=0,"",Table10[[#This Row],[Heating]])</f>
        <v/>
      </c>
      <c r="X169" t="str">
        <f>IF(Table10[[#This Row],[Electricity]]=0,"",Table10[[#This Row],[Electricity]])</f>
        <v/>
      </c>
      <c r="Y169" t="str">
        <f>IF(Table10[[#This Row],[Water]]=0,"",Table10[[#This Row],[Water]])</f>
        <v/>
      </c>
      <c r="Z169" t="str">
        <f>IF(Table10[[#This Row],[Washer/Dryer]]=0,"",Table10[[#This Row],[Washer/Dryer]])</f>
        <v/>
      </c>
      <c r="AA169" t="str">
        <f>IF(Table10[[#This Row],[Stove/Fridge]]=0,"",Table10[[#This Row],[Stove/Fridge]])</f>
        <v/>
      </c>
      <c r="AB169" t="str">
        <f>IF(Table10[[#This Row],[Dishwasher]]=0,"",Table10[[#This Row],[Dishwasher]])</f>
        <v/>
      </c>
      <c r="AC169" t="str">
        <f>IF(Table10[[#This Row],[Parking]]=0,"",Table10[[#This Row],[Parking]])</f>
        <v/>
      </c>
      <c r="AD169" t="str">
        <f>IF(Table10[[#This Row],[Furniture]]=0,"",Table10[[#This Row],[Furniture]])</f>
        <v/>
      </c>
      <c r="AE169" t="str">
        <f>IF(Table10[[#This Row],[Other]]=0,"",Table10[[#This Row],[Other]])</f>
        <v/>
      </c>
    </row>
    <row r="170" spans="1:31">
      <c r="A170" t="str">
        <f>IF(Table10[[#This Row],[Unit Type]]=0,"",Table10[[#This Row],[Unit Type]])</f>
        <v>3 Bedroom</v>
      </c>
      <c r="B170" t="str">
        <f>IF(Table10[[#This Row],[Residential Stream Source]]=0,"",Table10[[#This Row],[Residential Stream Source]])</f>
        <v/>
      </c>
      <c r="C170" t="str">
        <f>IF(Table10[[#This Row],[Basement?]]=0,"",Table10[[#This Row],[Basement?]])</f>
        <v/>
      </c>
      <c r="D170">
        <f>IF(Table10[[#This Row],[Unit '#]]=0,"",Table10[[#This Row],[Unit '#]])</f>
        <v>168</v>
      </c>
      <c r="E170" t="str">
        <f>IF(Table10[[#This Row],[Vacant?]]=0,"",Table10[[#This Row],[Vacant?]])</f>
        <v/>
      </c>
      <c r="F170">
        <f>IF(Table10[[#This Row],[Rental Rate ($/mth)]]=0,"",Table10[[#This Row],[Rental Rate ($/mth)]])</f>
        <v>3675</v>
      </c>
      <c r="G170"/>
      <c r="H170"/>
      <c r="I170"/>
      <c r="J170">
        <f>IF(Table10[[#This Row],[Unit Size (sq ft)]]=0,"",Table10[[#This Row],[Unit Size (sq ft)]])</f>
        <v>1015</v>
      </c>
      <c r="K170"/>
      <c r="L170" t="str">
        <f>Table10[[#This Row],[Market Unit]]</f>
        <v>Yes</v>
      </c>
      <c r="M170" t="str">
        <f>Table10[[#This Row],[Affordable Unit]]</f>
        <v>No</v>
      </c>
      <c r="N170" t="str">
        <f>IF(Table10[[#This Row],[Subsidized Unit]]=0,"",Table10[[#This Row],[Subsidized Unit]])</f>
        <v/>
      </c>
      <c r="O170" t="str">
        <f>IF(Table10[[#This Row],[Care Services]]=0,"",Table10[[#This Row],[Care Services]])</f>
        <v/>
      </c>
      <c r="P170" t="str">
        <f>IF(Table10[[#This Row],[Affordable Care]]=0,"",Table10[[#This Row],[Affordable Care]])</f>
        <v/>
      </c>
      <c r="Q170"/>
      <c r="R170"/>
      <c r="S170"/>
      <c r="T170" t="str">
        <f>IF(Table10[[#This Row],[Bulk Lease Unit]]=0,"",Table10[[#This Row],[Bulk Lease Unit]])</f>
        <v/>
      </c>
      <c r="U170" t="str">
        <f>IF(Table10[[#This Row],[Den Included Unit]]=0,"",Table10[[#This Row],[Den Included Unit]])</f>
        <v/>
      </c>
      <c r="V170" t="str">
        <f>IF(Table10[[#This Row],[Second Bathroom]]=0,"",Table10[[#This Row],[Second Bathroom]])</f>
        <v/>
      </c>
      <c r="W170" t="str">
        <f>IF(Table10[[#This Row],[Heating]]=0,"",Table10[[#This Row],[Heating]])</f>
        <v/>
      </c>
      <c r="X170" t="str">
        <f>IF(Table10[[#This Row],[Electricity]]=0,"",Table10[[#This Row],[Electricity]])</f>
        <v/>
      </c>
      <c r="Y170" t="str">
        <f>IF(Table10[[#This Row],[Water]]=0,"",Table10[[#This Row],[Water]])</f>
        <v/>
      </c>
      <c r="Z170" t="str">
        <f>IF(Table10[[#This Row],[Washer/Dryer]]=0,"",Table10[[#This Row],[Washer/Dryer]])</f>
        <v/>
      </c>
      <c r="AA170" t="str">
        <f>IF(Table10[[#This Row],[Stove/Fridge]]=0,"",Table10[[#This Row],[Stove/Fridge]])</f>
        <v/>
      </c>
      <c r="AB170" t="str">
        <f>IF(Table10[[#This Row],[Dishwasher]]=0,"",Table10[[#This Row],[Dishwasher]])</f>
        <v/>
      </c>
      <c r="AC170" t="str">
        <f>IF(Table10[[#This Row],[Parking]]=0,"",Table10[[#This Row],[Parking]])</f>
        <v/>
      </c>
      <c r="AD170" t="str">
        <f>IF(Table10[[#This Row],[Furniture]]=0,"",Table10[[#This Row],[Furniture]])</f>
        <v/>
      </c>
      <c r="AE170" t="str">
        <f>IF(Table10[[#This Row],[Other]]=0,"",Table10[[#This Row],[Other]])</f>
        <v/>
      </c>
    </row>
    <row r="171" spans="1:31">
      <c r="A171" t="str">
        <f>IF(Table10[[#This Row],[Unit Type]]=0,"",Table10[[#This Row],[Unit Type]])</f>
        <v>3 Bedroom</v>
      </c>
      <c r="B171" t="str">
        <f>IF(Table10[[#This Row],[Residential Stream Source]]=0,"",Table10[[#This Row],[Residential Stream Source]])</f>
        <v/>
      </c>
      <c r="C171" t="str">
        <f>IF(Table10[[#This Row],[Basement?]]=0,"",Table10[[#This Row],[Basement?]])</f>
        <v/>
      </c>
      <c r="D171">
        <f>IF(Table10[[#This Row],[Unit '#]]=0,"",Table10[[#This Row],[Unit '#]])</f>
        <v>169</v>
      </c>
      <c r="E171" t="str">
        <f>IF(Table10[[#This Row],[Vacant?]]=0,"",Table10[[#This Row],[Vacant?]])</f>
        <v/>
      </c>
      <c r="F171">
        <f>IF(Table10[[#This Row],[Rental Rate ($/mth)]]=0,"",Table10[[#This Row],[Rental Rate ($/mth)]])</f>
        <v>3675</v>
      </c>
      <c r="G171"/>
      <c r="H171"/>
      <c r="I171"/>
      <c r="J171">
        <f>IF(Table10[[#This Row],[Unit Size (sq ft)]]=0,"",Table10[[#This Row],[Unit Size (sq ft)]])</f>
        <v>1015</v>
      </c>
      <c r="K171"/>
      <c r="L171" t="str">
        <f>Table10[[#This Row],[Market Unit]]</f>
        <v>Yes</v>
      </c>
      <c r="M171" t="str">
        <f>Table10[[#This Row],[Affordable Unit]]</f>
        <v>No</v>
      </c>
      <c r="N171" t="str">
        <f>IF(Table10[[#This Row],[Subsidized Unit]]=0,"",Table10[[#This Row],[Subsidized Unit]])</f>
        <v/>
      </c>
      <c r="O171" t="str">
        <f>IF(Table10[[#This Row],[Care Services]]=0,"",Table10[[#This Row],[Care Services]])</f>
        <v/>
      </c>
      <c r="P171" t="str">
        <f>IF(Table10[[#This Row],[Affordable Care]]=0,"",Table10[[#This Row],[Affordable Care]])</f>
        <v/>
      </c>
      <c r="Q171"/>
      <c r="R171"/>
      <c r="S171"/>
      <c r="T171" t="str">
        <f>IF(Table10[[#This Row],[Bulk Lease Unit]]=0,"",Table10[[#This Row],[Bulk Lease Unit]])</f>
        <v/>
      </c>
      <c r="U171" t="str">
        <f>IF(Table10[[#This Row],[Den Included Unit]]=0,"",Table10[[#This Row],[Den Included Unit]])</f>
        <v/>
      </c>
      <c r="V171" t="str">
        <f>IF(Table10[[#This Row],[Second Bathroom]]=0,"",Table10[[#This Row],[Second Bathroom]])</f>
        <v/>
      </c>
      <c r="W171" t="str">
        <f>IF(Table10[[#This Row],[Heating]]=0,"",Table10[[#This Row],[Heating]])</f>
        <v/>
      </c>
      <c r="X171" t="str">
        <f>IF(Table10[[#This Row],[Electricity]]=0,"",Table10[[#This Row],[Electricity]])</f>
        <v/>
      </c>
      <c r="Y171" t="str">
        <f>IF(Table10[[#This Row],[Water]]=0,"",Table10[[#This Row],[Water]])</f>
        <v/>
      </c>
      <c r="Z171" t="str">
        <f>IF(Table10[[#This Row],[Washer/Dryer]]=0,"",Table10[[#This Row],[Washer/Dryer]])</f>
        <v/>
      </c>
      <c r="AA171" t="str">
        <f>IF(Table10[[#This Row],[Stove/Fridge]]=0,"",Table10[[#This Row],[Stove/Fridge]])</f>
        <v/>
      </c>
      <c r="AB171" t="str">
        <f>IF(Table10[[#This Row],[Dishwasher]]=0,"",Table10[[#This Row],[Dishwasher]])</f>
        <v/>
      </c>
      <c r="AC171" t="str">
        <f>IF(Table10[[#This Row],[Parking]]=0,"",Table10[[#This Row],[Parking]])</f>
        <v/>
      </c>
      <c r="AD171" t="str">
        <f>IF(Table10[[#This Row],[Furniture]]=0,"",Table10[[#This Row],[Furniture]])</f>
        <v/>
      </c>
      <c r="AE171" t="str">
        <f>IF(Table10[[#This Row],[Other]]=0,"",Table10[[#This Row],[Other]])</f>
        <v/>
      </c>
    </row>
    <row r="172" spans="1:31">
      <c r="A172" t="str">
        <f>IF(Table10[[#This Row],[Unit Type]]=0,"",Table10[[#This Row],[Unit Type]])</f>
        <v>3 Bedroom</v>
      </c>
      <c r="B172" t="str">
        <f>IF(Table10[[#This Row],[Residential Stream Source]]=0,"",Table10[[#This Row],[Residential Stream Source]])</f>
        <v/>
      </c>
      <c r="C172" t="str">
        <f>IF(Table10[[#This Row],[Basement?]]=0,"",Table10[[#This Row],[Basement?]])</f>
        <v/>
      </c>
      <c r="D172">
        <f>IF(Table10[[#This Row],[Unit '#]]=0,"",Table10[[#This Row],[Unit '#]])</f>
        <v>170</v>
      </c>
      <c r="E172" t="str">
        <f>IF(Table10[[#This Row],[Vacant?]]=0,"",Table10[[#This Row],[Vacant?]])</f>
        <v/>
      </c>
      <c r="F172">
        <f>IF(Table10[[#This Row],[Rental Rate ($/mth)]]=0,"",Table10[[#This Row],[Rental Rate ($/mth)]])</f>
        <v>3675</v>
      </c>
      <c r="G172"/>
      <c r="H172"/>
      <c r="I172"/>
      <c r="J172">
        <f>IF(Table10[[#This Row],[Unit Size (sq ft)]]=0,"",Table10[[#This Row],[Unit Size (sq ft)]])</f>
        <v>1015</v>
      </c>
      <c r="K172"/>
      <c r="L172" t="str">
        <f>Table10[[#This Row],[Market Unit]]</f>
        <v>Yes</v>
      </c>
      <c r="M172" t="str">
        <f>Table10[[#This Row],[Affordable Unit]]</f>
        <v>No</v>
      </c>
      <c r="N172" t="str">
        <f>IF(Table10[[#This Row],[Subsidized Unit]]=0,"",Table10[[#This Row],[Subsidized Unit]])</f>
        <v/>
      </c>
      <c r="O172" t="str">
        <f>IF(Table10[[#This Row],[Care Services]]=0,"",Table10[[#This Row],[Care Services]])</f>
        <v/>
      </c>
      <c r="P172" t="str">
        <f>IF(Table10[[#This Row],[Affordable Care]]=0,"",Table10[[#This Row],[Affordable Care]])</f>
        <v/>
      </c>
      <c r="Q172"/>
      <c r="R172"/>
      <c r="S172"/>
      <c r="T172" t="str">
        <f>IF(Table10[[#This Row],[Bulk Lease Unit]]=0,"",Table10[[#This Row],[Bulk Lease Unit]])</f>
        <v/>
      </c>
      <c r="U172" t="str">
        <f>IF(Table10[[#This Row],[Den Included Unit]]=0,"",Table10[[#This Row],[Den Included Unit]])</f>
        <v/>
      </c>
      <c r="V172" t="str">
        <f>IF(Table10[[#This Row],[Second Bathroom]]=0,"",Table10[[#This Row],[Second Bathroom]])</f>
        <v/>
      </c>
      <c r="W172" t="str">
        <f>IF(Table10[[#This Row],[Heating]]=0,"",Table10[[#This Row],[Heating]])</f>
        <v/>
      </c>
      <c r="X172" t="str">
        <f>IF(Table10[[#This Row],[Electricity]]=0,"",Table10[[#This Row],[Electricity]])</f>
        <v/>
      </c>
      <c r="Y172" t="str">
        <f>IF(Table10[[#This Row],[Water]]=0,"",Table10[[#This Row],[Water]])</f>
        <v/>
      </c>
      <c r="Z172" t="str">
        <f>IF(Table10[[#This Row],[Washer/Dryer]]=0,"",Table10[[#This Row],[Washer/Dryer]])</f>
        <v/>
      </c>
      <c r="AA172" t="str">
        <f>IF(Table10[[#This Row],[Stove/Fridge]]=0,"",Table10[[#This Row],[Stove/Fridge]])</f>
        <v/>
      </c>
      <c r="AB172" t="str">
        <f>IF(Table10[[#This Row],[Dishwasher]]=0,"",Table10[[#This Row],[Dishwasher]])</f>
        <v/>
      </c>
      <c r="AC172" t="str">
        <f>IF(Table10[[#This Row],[Parking]]=0,"",Table10[[#This Row],[Parking]])</f>
        <v/>
      </c>
      <c r="AD172" t="str">
        <f>IF(Table10[[#This Row],[Furniture]]=0,"",Table10[[#This Row],[Furniture]])</f>
        <v/>
      </c>
      <c r="AE172" t="str">
        <f>IF(Table10[[#This Row],[Other]]=0,"",Table10[[#This Row],[Other]])</f>
        <v/>
      </c>
    </row>
    <row r="173" spans="1:31">
      <c r="A173" t="str">
        <f>IF(Table10[[#This Row],[Unit Type]]=0,"",Table10[[#This Row],[Unit Type]])</f>
        <v/>
      </c>
      <c r="B173" t="str">
        <f>IF(Table10[[#This Row],[Residential Stream Source]]=0,"",Table10[[#This Row],[Residential Stream Source]])</f>
        <v/>
      </c>
      <c r="C173" t="str">
        <f>IF(Table10[[#This Row],[Basement?]]=0,"",Table10[[#This Row],[Basement?]])</f>
        <v/>
      </c>
      <c r="D173">
        <f>IF(Table10[[#This Row],[Unit '#]]=0,"",Table10[[#This Row],[Unit '#]])</f>
        <v>171</v>
      </c>
      <c r="E173" t="str">
        <f>IF(Table10[[#This Row],[Vacant?]]=0,"",Table10[[#This Row],[Vacant?]])</f>
        <v/>
      </c>
      <c r="F173" t="str">
        <f>IF(Table10[[#This Row],[Rental Rate ($/mth)]]=0,"",Table10[[#This Row],[Rental Rate ($/mth)]])</f>
        <v/>
      </c>
      <c r="G173"/>
      <c r="H173"/>
      <c r="I173"/>
      <c r="J173" t="str">
        <f>IF(Table10[[#This Row],[Unit Size (sq ft)]]=0,"",Table10[[#This Row],[Unit Size (sq ft)]])</f>
        <v/>
      </c>
      <c r="K173"/>
      <c r="L173" t="str">
        <f>Table10[[#This Row],[Market Unit]]</f>
        <v/>
      </c>
      <c r="M173" t="str">
        <f>Table10[[#This Row],[Affordable Unit]]</f>
        <v/>
      </c>
      <c r="N173" t="str">
        <f>IF(Table10[[#This Row],[Subsidized Unit]]=0,"",Table10[[#This Row],[Subsidized Unit]])</f>
        <v/>
      </c>
      <c r="O173" t="str">
        <f>IF(Table10[[#This Row],[Care Services]]=0,"",Table10[[#This Row],[Care Services]])</f>
        <v/>
      </c>
      <c r="P173" t="str">
        <f>IF(Table10[[#This Row],[Affordable Care]]=0,"",Table10[[#This Row],[Affordable Care]])</f>
        <v/>
      </c>
      <c r="Q173"/>
      <c r="R173"/>
      <c r="S173"/>
      <c r="T173" t="str">
        <f>IF(Table10[[#This Row],[Bulk Lease Unit]]=0,"",Table10[[#This Row],[Bulk Lease Unit]])</f>
        <v/>
      </c>
      <c r="U173" t="str">
        <f>IF(Table10[[#This Row],[Den Included Unit]]=0,"",Table10[[#This Row],[Den Included Unit]])</f>
        <v/>
      </c>
      <c r="V173" t="str">
        <f>IF(Table10[[#This Row],[Second Bathroom]]=0,"",Table10[[#This Row],[Second Bathroom]])</f>
        <v/>
      </c>
      <c r="W173" t="str">
        <f>IF(Table10[[#This Row],[Heating]]=0,"",Table10[[#This Row],[Heating]])</f>
        <v/>
      </c>
      <c r="X173" t="str">
        <f>IF(Table10[[#This Row],[Electricity]]=0,"",Table10[[#This Row],[Electricity]])</f>
        <v/>
      </c>
      <c r="Y173" t="str">
        <f>IF(Table10[[#This Row],[Water]]=0,"",Table10[[#This Row],[Water]])</f>
        <v/>
      </c>
      <c r="Z173" t="str">
        <f>IF(Table10[[#This Row],[Washer/Dryer]]=0,"",Table10[[#This Row],[Washer/Dryer]])</f>
        <v/>
      </c>
      <c r="AA173" t="str">
        <f>IF(Table10[[#This Row],[Stove/Fridge]]=0,"",Table10[[#This Row],[Stove/Fridge]])</f>
        <v/>
      </c>
      <c r="AB173" t="str">
        <f>IF(Table10[[#This Row],[Dishwasher]]=0,"",Table10[[#This Row],[Dishwasher]])</f>
        <v/>
      </c>
      <c r="AC173" t="str">
        <f>IF(Table10[[#This Row],[Parking]]=0,"",Table10[[#This Row],[Parking]])</f>
        <v/>
      </c>
      <c r="AD173" t="str">
        <f>IF(Table10[[#This Row],[Furniture]]=0,"",Table10[[#This Row],[Furniture]])</f>
        <v/>
      </c>
      <c r="AE173" t="str">
        <f>IF(Table10[[#This Row],[Other]]=0,"",Table10[[#This Row],[Other]])</f>
        <v/>
      </c>
    </row>
    <row r="174" spans="1:31">
      <c r="A174" t="str">
        <f>IF(Table10[[#This Row],[Unit Type]]=0,"",Table10[[#This Row],[Unit Type]])</f>
        <v/>
      </c>
      <c r="B174" t="str">
        <f>IF(Table10[[#This Row],[Residential Stream Source]]=0,"",Table10[[#This Row],[Residential Stream Source]])</f>
        <v/>
      </c>
      <c r="C174" t="str">
        <f>IF(Table10[[#This Row],[Basement?]]=0,"",Table10[[#This Row],[Basement?]])</f>
        <v/>
      </c>
      <c r="D174">
        <f>IF(Table10[[#This Row],[Unit '#]]=0,"",Table10[[#This Row],[Unit '#]])</f>
        <v>172</v>
      </c>
      <c r="E174" t="str">
        <f>IF(Table10[[#This Row],[Vacant?]]=0,"",Table10[[#This Row],[Vacant?]])</f>
        <v/>
      </c>
      <c r="F174" t="str">
        <f>IF(Table10[[#This Row],[Rental Rate ($/mth)]]=0,"",Table10[[#This Row],[Rental Rate ($/mth)]])</f>
        <v/>
      </c>
      <c r="G174"/>
      <c r="H174"/>
      <c r="I174"/>
      <c r="J174" t="str">
        <f>IF(Table10[[#This Row],[Unit Size (sq ft)]]=0,"",Table10[[#This Row],[Unit Size (sq ft)]])</f>
        <v/>
      </c>
      <c r="K174"/>
      <c r="L174" t="str">
        <f>Table10[[#This Row],[Market Unit]]</f>
        <v/>
      </c>
      <c r="M174" t="str">
        <f>Table10[[#This Row],[Affordable Unit]]</f>
        <v/>
      </c>
      <c r="N174" t="str">
        <f>IF(Table10[[#This Row],[Subsidized Unit]]=0,"",Table10[[#This Row],[Subsidized Unit]])</f>
        <v/>
      </c>
      <c r="O174" t="str">
        <f>IF(Table10[[#This Row],[Care Services]]=0,"",Table10[[#This Row],[Care Services]])</f>
        <v/>
      </c>
      <c r="P174" t="str">
        <f>IF(Table10[[#This Row],[Affordable Care]]=0,"",Table10[[#This Row],[Affordable Care]])</f>
        <v/>
      </c>
      <c r="Q174"/>
      <c r="R174"/>
      <c r="S174"/>
      <c r="T174" t="str">
        <f>IF(Table10[[#This Row],[Bulk Lease Unit]]=0,"",Table10[[#This Row],[Bulk Lease Unit]])</f>
        <v/>
      </c>
      <c r="U174" t="str">
        <f>IF(Table10[[#This Row],[Den Included Unit]]=0,"",Table10[[#This Row],[Den Included Unit]])</f>
        <v/>
      </c>
      <c r="V174" t="str">
        <f>IF(Table10[[#This Row],[Second Bathroom]]=0,"",Table10[[#This Row],[Second Bathroom]])</f>
        <v/>
      </c>
      <c r="W174" t="str">
        <f>IF(Table10[[#This Row],[Heating]]=0,"",Table10[[#This Row],[Heating]])</f>
        <v/>
      </c>
      <c r="X174" t="str">
        <f>IF(Table10[[#This Row],[Electricity]]=0,"",Table10[[#This Row],[Electricity]])</f>
        <v/>
      </c>
      <c r="Y174" t="str">
        <f>IF(Table10[[#This Row],[Water]]=0,"",Table10[[#This Row],[Water]])</f>
        <v/>
      </c>
      <c r="Z174" t="str">
        <f>IF(Table10[[#This Row],[Washer/Dryer]]=0,"",Table10[[#This Row],[Washer/Dryer]])</f>
        <v/>
      </c>
      <c r="AA174" t="str">
        <f>IF(Table10[[#This Row],[Stove/Fridge]]=0,"",Table10[[#This Row],[Stove/Fridge]])</f>
        <v/>
      </c>
      <c r="AB174" t="str">
        <f>IF(Table10[[#This Row],[Dishwasher]]=0,"",Table10[[#This Row],[Dishwasher]])</f>
        <v/>
      </c>
      <c r="AC174" t="str">
        <f>IF(Table10[[#This Row],[Parking]]=0,"",Table10[[#This Row],[Parking]])</f>
        <v/>
      </c>
      <c r="AD174" t="str">
        <f>IF(Table10[[#This Row],[Furniture]]=0,"",Table10[[#This Row],[Furniture]])</f>
        <v/>
      </c>
      <c r="AE174" t="str">
        <f>IF(Table10[[#This Row],[Other]]=0,"",Table10[[#This Row],[Other]])</f>
        <v/>
      </c>
    </row>
    <row r="175" spans="1:31">
      <c r="A175" t="str">
        <f>IF(Table10[[#This Row],[Unit Type]]=0,"",Table10[[#This Row],[Unit Type]])</f>
        <v/>
      </c>
      <c r="B175" t="str">
        <f>IF(Table10[[#This Row],[Residential Stream Source]]=0,"",Table10[[#This Row],[Residential Stream Source]])</f>
        <v/>
      </c>
      <c r="C175" t="str">
        <f>IF(Table10[[#This Row],[Basement?]]=0,"",Table10[[#This Row],[Basement?]])</f>
        <v/>
      </c>
      <c r="D175">
        <f>IF(Table10[[#This Row],[Unit '#]]=0,"",Table10[[#This Row],[Unit '#]])</f>
        <v>173</v>
      </c>
      <c r="E175" t="str">
        <f>IF(Table10[[#This Row],[Vacant?]]=0,"",Table10[[#This Row],[Vacant?]])</f>
        <v/>
      </c>
      <c r="F175" t="str">
        <f>IF(Table10[[#This Row],[Rental Rate ($/mth)]]=0,"",Table10[[#This Row],[Rental Rate ($/mth)]])</f>
        <v/>
      </c>
      <c r="G175"/>
      <c r="H175"/>
      <c r="I175"/>
      <c r="J175" t="str">
        <f>IF(Table10[[#This Row],[Unit Size (sq ft)]]=0,"",Table10[[#This Row],[Unit Size (sq ft)]])</f>
        <v/>
      </c>
      <c r="K175"/>
      <c r="L175" t="str">
        <f>Table10[[#This Row],[Market Unit]]</f>
        <v/>
      </c>
      <c r="M175" t="str">
        <f>Table10[[#This Row],[Affordable Unit]]</f>
        <v/>
      </c>
      <c r="N175" t="str">
        <f>IF(Table10[[#This Row],[Subsidized Unit]]=0,"",Table10[[#This Row],[Subsidized Unit]])</f>
        <v/>
      </c>
      <c r="O175" t="str">
        <f>IF(Table10[[#This Row],[Care Services]]=0,"",Table10[[#This Row],[Care Services]])</f>
        <v/>
      </c>
      <c r="P175" t="str">
        <f>IF(Table10[[#This Row],[Affordable Care]]=0,"",Table10[[#This Row],[Affordable Care]])</f>
        <v/>
      </c>
      <c r="Q175"/>
      <c r="R175"/>
      <c r="S175"/>
      <c r="T175" t="str">
        <f>IF(Table10[[#This Row],[Bulk Lease Unit]]=0,"",Table10[[#This Row],[Bulk Lease Unit]])</f>
        <v/>
      </c>
      <c r="U175" t="str">
        <f>IF(Table10[[#This Row],[Den Included Unit]]=0,"",Table10[[#This Row],[Den Included Unit]])</f>
        <v/>
      </c>
      <c r="V175" t="str">
        <f>IF(Table10[[#This Row],[Second Bathroom]]=0,"",Table10[[#This Row],[Second Bathroom]])</f>
        <v/>
      </c>
      <c r="W175" t="str">
        <f>IF(Table10[[#This Row],[Heating]]=0,"",Table10[[#This Row],[Heating]])</f>
        <v/>
      </c>
      <c r="X175" t="str">
        <f>IF(Table10[[#This Row],[Electricity]]=0,"",Table10[[#This Row],[Electricity]])</f>
        <v/>
      </c>
      <c r="Y175" t="str">
        <f>IF(Table10[[#This Row],[Water]]=0,"",Table10[[#This Row],[Water]])</f>
        <v/>
      </c>
      <c r="Z175" t="str">
        <f>IF(Table10[[#This Row],[Washer/Dryer]]=0,"",Table10[[#This Row],[Washer/Dryer]])</f>
        <v/>
      </c>
      <c r="AA175" t="str">
        <f>IF(Table10[[#This Row],[Stove/Fridge]]=0,"",Table10[[#This Row],[Stove/Fridge]])</f>
        <v/>
      </c>
      <c r="AB175" t="str">
        <f>IF(Table10[[#This Row],[Dishwasher]]=0,"",Table10[[#This Row],[Dishwasher]])</f>
        <v/>
      </c>
      <c r="AC175" t="str">
        <f>IF(Table10[[#This Row],[Parking]]=0,"",Table10[[#This Row],[Parking]])</f>
        <v/>
      </c>
      <c r="AD175" t="str">
        <f>IF(Table10[[#This Row],[Furniture]]=0,"",Table10[[#This Row],[Furniture]])</f>
        <v/>
      </c>
      <c r="AE175" t="str">
        <f>IF(Table10[[#This Row],[Other]]=0,"",Table10[[#This Row],[Other]])</f>
        <v/>
      </c>
    </row>
    <row r="176" spans="1:31">
      <c r="A176" t="str">
        <f>IF(Table10[[#This Row],[Unit Type]]=0,"",Table10[[#This Row],[Unit Type]])</f>
        <v/>
      </c>
      <c r="B176" t="str">
        <f>IF(Table10[[#This Row],[Residential Stream Source]]=0,"",Table10[[#This Row],[Residential Stream Source]])</f>
        <v/>
      </c>
      <c r="C176" t="str">
        <f>IF(Table10[[#This Row],[Basement?]]=0,"",Table10[[#This Row],[Basement?]])</f>
        <v/>
      </c>
      <c r="D176">
        <f>IF(Table10[[#This Row],[Unit '#]]=0,"",Table10[[#This Row],[Unit '#]])</f>
        <v>174</v>
      </c>
      <c r="E176" t="str">
        <f>IF(Table10[[#This Row],[Vacant?]]=0,"",Table10[[#This Row],[Vacant?]])</f>
        <v/>
      </c>
      <c r="F176" t="str">
        <f>IF(Table10[[#This Row],[Rental Rate ($/mth)]]=0,"",Table10[[#This Row],[Rental Rate ($/mth)]])</f>
        <v/>
      </c>
      <c r="G176"/>
      <c r="H176"/>
      <c r="I176"/>
      <c r="J176" t="str">
        <f>IF(Table10[[#This Row],[Unit Size (sq ft)]]=0,"",Table10[[#This Row],[Unit Size (sq ft)]])</f>
        <v/>
      </c>
      <c r="K176"/>
      <c r="L176" t="str">
        <f>Table10[[#This Row],[Market Unit]]</f>
        <v/>
      </c>
      <c r="M176" t="str">
        <f>Table10[[#This Row],[Affordable Unit]]</f>
        <v/>
      </c>
      <c r="N176" t="str">
        <f>IF(Table10[[#This Row],[Subsidized Unit]]=0,"",Table10[[#This Row],[Subsidized Unit]])</f>
        <v/>
      </c>
      <c r="O176" t="str">
        <f>IF(Table10[[#This Row],[Care Services]]=0,"",Table10[[#This Row],[Care Services]])</f>
        <v/>
      </c>
      <c r="P176" t="str">
        <f>IF(Table10[[#This Row],[Affordable Care]]=0,"",Table10[[#This Row],[Affordable Care]])</f>
        <v/>
      </c>
      <c r="Q176"/>
      <c r="R176"/>
      <c r="S176"/>
      <c r="T176" t="str">
        <f>IF(Table10[[#This Row],[Bulk Lease Unit]]=0,"",Table10[[#This Row],[Bulk Lease Unit]])</f>
        <v/>
      </c>
      <c r="U176" t="str">
        <f>IF(Table10[[#This Row],[Den Included Unit]]=0,"",Table10[[#This Row],[Den Included Unit]])</f>
        <v/>
      </c>
      <c r="V176" t="str">
        <f>IF(Table10[[#This Row],[Second Bathroom]]=0,"",Table10[[#This Row],[Second Bathroom]])</f>
        <v/>
      </c>
      <c r="W176" t="str">
        <f>IF(Table10[[#This Row],[Heating]]=0,"",Table10[[#This Row],[Heating]])</f>
        <v/>
      </c>
      <c r="X176" t="str">
        <f>IF(Table10[[#This Row],[Electricity]]=0,"",Table10[[#This Row],[Electricity]])</f>
        <v/>
      </c>
      <c r="Y176" t="str">
        <f>IF(Table10[[#This Row],[Water]]=0,"",Table10[[#This Row],[Water]])</f>
        <v/>
      </c>
      <c r="Z176" t="str">
        <f>IF(Table10[[#This Row],[Washer/Dryer]]=0,"",Table10[[#This Row],[Washer/Dryer]])</f>
        <v/>
      </c>
      <c r="AA176" t="str">
        <f>IF(Table10[[#This Row],[Stove/Fridge]]=0,"",Table10[[#This Row],[Stove/Fridge]])</f>
        <v/>
      </c>
      <c r="AB176" t="str">
        <f>IF(Table10[[#This Row],[Dishwasher]]=0,"",Table10[[#This Row],[Dishwasher]])</f>
        <v/>
      </c>
      <c r="AC176" t="str">
        <f>IF(Table10[[#This Row],[Parking]]=0,"",Table10[[#This Row],[Parking]])</f>
        <v/>
      </c>
      <c r="AD176" t="str">
        <f>IF(Table10[[#This Row],[Furniture]]=0,"",Table10[[#This Row],[Furniture]])</f>
        <v/>
      </c>
      <c r="AE176" t="str">
        <f>IF(Table10[[#This Row],[Other]]=0,"",Table10[[#This Row],[Other]])</f>
        <v/>
      </c>
    </row>
    <row r="177" spans="1:31">
      <c r="A177" t="str">
        <f>IF(Table10[[#This Row],[Unit Type]]=0,"",Table10[[#This Row],[Unit Type]])</f>
        <v/>
      </c>
      <c r="B177" t="str">
        <f>IF(Table10[[#This Row],[Residential Stream Source]]=0,"",Table10[[#This Row],[Residential Stream Source]])</f>
        <v/>
      </c>
      <c r="C177" t="str">
        <f>IF(Table10[[#This Row],[Basement?]]=0,"",Table10[[#This Row],[Basement?]])</f>
        <v/>
      </c>
      <c r="D177">
        <f>IF(Table10[[#This Row],[Unit '#]]=0,"",Table10[[#This Row],[Unit '#]])</f>
        <v>175</v>
      </c>
      <c r="E177" t="str">
        <f>IF(Table10[[#This Row],[Vacant?]]=0,"",Table10[[#This Row],[Vacant?]])</f>
        <v/>
      </c>
      <c r="F177" t="str">
        <f>IF(Table10[[#This Row],[Rental Rate ($/mth)]]=0,"",Table10[[#This Row],[Rental Rate ($/mth)]])</f>
        <v/>
      </c>
      <c r="G177"/>
      <c r="H177"/>
      <c r="I177"/>
      <c r="J177" t="str">
        <f>IF(Table10[[#This Row],[Unit Size (sq ft)]]=0,"",Table10[[#This Row],[Unit Size (sq ft)]])</f>
        <v/>
      </c>
      <c r="K177"/>
      <c r="L177" t="str">
        <f>Table10[[#This Row],[Market Unit]]</f>
        <v/>
      </c>
      <c r="M177" t="str">
        <f>Table10[[#This Row],[Affordable Unit]]</f>
        <v/>
      </c>
      <c r="N177" t="str">
        <f>IF(Table10[[#This Row],[Subsidized Unit]]=0,"",Table10[[#This Row],[Subsidized Unit]])</f>
        <v/>
      </c>
      <c r="O177" t="str">
        <f>IF(Table10[[#This Row],[Care Services]]=0,"",Table10[[#This Row],[Care Services]])</f>
        <v/>
      </c>
      <c r="P177" t="str">
        <f>IF(Table10[[#This Row],[Affordable Care]]=0,"",Table10[[#This Row],[Affordable Care]])</f>
        <v/>
      </c>
      <c r="Q177"/>
      <c r="R177"/>
      <c r="S177"/>
      <c r="T177" t="str">
        <f>IF(Table10[[#This Row],[Bulk Lease Unit]]=0,"",Table10[[#This Row],[Bulk Lease Unit]])</f>
        <v/>
      </c>
      <c r="U177" t="str">
        <f>IF(Table10[[#This Row],[Den Included Unit]]=0,"",Table10[[#This Row],[Den Included Unit]])</f>
        <v/>
      </c>
      <c r="V177" t="str">
        <f>IF(Table10[[#This Row],[Second Bathroom]]=0,"",Table10[[#This Row],[Second Bathroom]])</f>
        <v/>
      </c>
      <c r="W177" t="str">
        <f>IF(Table10[[#This Row],[Heating]]=0,"",Table10[[#This Row],[Heating]])</f>
        <v/>
      </c>
      <c r="X177" t="str">
        <f>IF(Table10[[#This Row],[Electricity]]=0,"",Table10[[#This Row],[Electricity]])</f>
        <v/>
      </c>
      <c r="Y177" t="str">
        <f>IF(Table10[[#This Row],[Water]]=0,"",Table10[[#This Row],[Water]])</f>
        <v/>
      </c>
      <c r="Z177" t="str">
        <f>IF(Table10[[#This Row],[Washer/Dryer]]=0,"",Table10[[#This Row],[Washer/Dryer]])</f>
        <v/>
      </c>
      <c r="AA177" t="str">
        <f>IF(Table10[[#This Row],[Stove/Fridge]]=0,"",Table10[[#This Row],[Stove/Fridge]])</f>
        <v/>
      </c>
      <c r="AB177" t="str">
        <f>IF(Table10[[#This Row],[Dishwasher]]=0,"",Table10[[#This Row],[Dishwasher]])</f>
        <v/>
      </c>
      <c r="AC177" t="str">
        <f>IF(Table10[[#This Row],[Parking]]=0,"",Table10[[#This Row],[Parking]])</f>
        <v/>
      </c>
      <c r="AD177" t="str">
        <f>IF(Table10[[#This Row],[Furniture]]=0,"",Table10[[#This Row],[Furniture]])</f>
        <v/>
      </c>
      <c r="AE177" t="str">
        <f>IF(Table10[[#This Row],[Other]]=0,"",Table10[[#This Row],[Other]])</f>
        <v/>
      </c>
    </row>
    <row r="178" spans="1:31">
      <c r="A178" t="str">
        <f>IF(Table10[[#This Row],[Unit Type]]=0,"",Table10[[#This Row],[Unit Type]])</f>
        <v/>
      </c>
      <c r="B178" t="str">
        <f>IF(Table10[[#This Row],[Residential Stream Source]]=0,"",Table10[[#This Row],[Residential Stream Source]])</f>
        <v/>
      </c>
      <c r="C178" t="str">
        <f>IF(Table10[[#This Row],[Basement?]]=0,"",Table10[[#This Row],[Basement?]])</f>
        <v/>
      </c>
      <c r="D178">
        <f>IF(Table10[[#This Row],[Unit '#]]=0,"",Table10[[#This Row],[Unit '#]])</f>
        <v>176</v>
      </c>
      <c r="E178" t="str">
        <f>IF(Table10[[#This Row],[Vacant?]]=0,"",Table10[[#This Row],[Vacant?]])</f>
        <v/>
      </c>
      <c r="F178" t="str">
        <f>IF(Table10[[#This Row],[Rental Rate ($/mth)]]=0,"",Table10[[#This Row],[Rental Rate ($/mth)]])</f>
        <v/>
      </c>
      <c r="G178"/>
      <c r="H178"/>
      <c r="I178"/>
      <c r="J178" t="str">
        <f>IF(Table10[[#This Row],[Unit Size (sq ft)]]=0,"",Table10[[#This Row],[Unit Size (sq ft)]])</f>
        <v/>
      </c>
      <c r="K178"/>
      <c r="L178" t="str">
        <f>Table10[[#This Row],[Market Unit]]</f>
        <v/>
      </c>
      <c r="M178" t="str">
        <f>Table10[[#This Row],[Affordable Unit]]</f>
        <v/>
      </c>
      <c r="N178" t="str">
        <f>IF(Table10[[#This Row],[Subsidized Unit]]=0,"",Table10[[#This Row],[Subsidized Unit]])</f>
        <v/>
      </c>
      <c r="O178" t="str">
        <f>IF(Table10[[#This Row],[Care Services]]=0,"",Table10[[#This Row],[Care Services]])</f>
        <v/>
      </c>
      <c r="P178" t="str">
        <f>IF(Table10[[#This Row],[Affordable Care]]=0,"",Table10[[#This Row],[Affordable Care]])</f>
        <v/>
      </c>
      <c r="Q178"/>
      <c r="R178"/>
      <c r="S178"/>
      <c r="T178" t="str">
        <f>IF(Table10[[#This Row],[Bulk Lease Unit]]=0,"",Table10[[#This Row],[Bulk Lease Unit]])</f>
        <v/>
      </c>
      <c r="U178" t="str">
        <f>IF(Table10[[#This Row],[Den Included Unit]]=0,"",Table10[[#This Row],[Den Included Unit]])</f>
        <v/>
      </c>
      <c r="V178" t="str">
        <f>IF(Table10[[#This Row],[Second Bathroom]]=0,"",Table10[[#This Row],[Second Bathroom]])</f>
        <v/>
      </c>
      <c r="W178" t="str">
        <f>IF(Table10[[#This Row],[Heating]]=0,"",Table10[[#This Row],[Heating]])</f>
        <v/>
      </c>
      <c r="X178" t="str">
        <f>IF(Table10[[#This Row],[Electricity]]=0,"",Table10[[#This Row],[Electricity]])</f>
        <v/>
      </c>
      <c r="Y178" t="str">
        <f>IF(Table10[[#This Row],[Water]]=0,"",Table10[[#This Row],[Water]])</f>
        <v/>
      </c>
      <c r="Z178" t="str">
        <f>IF(Table10[[#This Row],[Washer/Dryer]]=0,"",Table10[[#This Row],[Washer/Dryer]])</f>
        <v/>
      </c>
      <c r="AA178" t="str">
        <f>IF(Table10[[#This Row],[Stove/Fridge]]=0,"",Table10[[#This Row],[Stove/Fridge]])</f>
        <v/>
      </c>
      <c r="AB178" t="str">
        <f>IF(Table10[[#This Row],[Dishwasher]]=0,"",Table10[[#This Row],[Dishwasher]])</f>
        <v/>
      </c>
      <c r="AC178" t="str">
        <f>IF(Table10[[#This Row],[Parking]]=0,"",Table10[[#This Row],[Parking]])</f>
        <v/>
      </c>
      <c r="AD178" t="str">
        <f>IF(Table10[[#This Row],[Furniture]]=0,"",Table10[[#This Row],[Furniture]])</f>
        <v/>
      </c>
      <c r="AE178" t="str">
        <f>IF(Table10[[#This Row],[Other]]=0,"",Table10[[#This Row],[Other]])</f>
        <v/>
      </c>
    </row>
    <row r="181" spans="1:31" ht="13.8">
      <c r="E181" s="654" t="s">
        <v>106</v>
      </c>
      <c r="F181" s="655">
        <f>SUM(F3:I178)</f>
        <v>489850</v>
      </c>
      <c r="J181" s="654">
        <f>SUM(G3:J178)</f>
        <v>128826</v>
      </c>
    </row>
    <row r="182" spans="1:31" ht="13.8">
      <c r="E182" s="654" t="s">
        <v>107</v>
      </c>
      <c r="F182" s="655">
        <f>F181*12</f>
        <v>5878200</v>
      </c>
    </row>
    <row r="186" spans="1:31" ht="13.8">
      <c r="A186" s="654" t="s">
        <v>108</v>
      </c>
      <c r="B186" s="656" t="s">
        <v>109</v>
      </c>
      <c r="C186" s="656" t="s">
        <v>110</v>
      </c>
      <c r="D186" s="656" t="s">
        <v>111</v>
      </c>
      <c r="E186" s="657" t="s">
        <v>112</v>
      </c>
    </row>
    <row r="187" spans="1:31" ht="13.8">
      <c r="A187" s="637">
        <f>COUNTIF(Table102[Unit Type],B187)</f>
        <v>0</v>
      </c>
      <c r="B187" s="257" t="s">
        <v>113</v>
      </c>
      <c r="C187" s="638" t="str">
        <f>IFERROR(AVERAGEIF(Table102[Unit Type],B187,Table102[Unit Size (sq ft)]),"")</f>
        <v/>
      </c>
      <c r="D187" s="639" t="str">
        <f>IFERROR(E187/C187,"")</f>
        <v/>
      </c>
      <c r="E187" s="640" t="str">
        <f>IFERROR(AVERAGEIF(Table102[Unit Type],B187,Table102[Rental Rate ($/mth)]),"")</f>
        <v/>
      </c>
      <c r="G187" s="619"/>
      <c r="H187" s="619"/>
    </row>
    <row r="188" spans="1:31" ht="13.8">
      <c r="A188" s="637">
        <f>COUNTIF(Table102[Unit Type],B188)</f>
        <v>0</v>
      </c>
      <c r="B188" s="257" t="s">
        <v>114</v>
      </c>
      <c r="C188" s="638" t="str">
        <f>IFERROR(AVERAGEIF(Table102[Unit Type],B188,Table102[Unit Size (sq ft)]),"")</f>
        <v/>
      </c>
      <c r="D188" s="639" t="str">
        <f t="shared" ref="D188:D194" si="0">IFERROR(E188/C188,"")</f>
        <v/>
      </c>
      <c r="E188" s="640" t="str">
        <f>IFERROR(AVERAGEIF(Table102[Unit Type],B188,Table102[Rental Rate ($/mth)]),"")</f>
        <v/>
      </c>
      <c r="G188" s="619"/>
      <c r="H188" s="619"/>
    </row>
    <row r="189" spans="1:31" ht="13.8">
      <c r="A189" s="637">
        <f>COUNTIF(Table102[Unit Type],B189)</f>
        <v>0</v>
      </c>
      <c r="B189" s="257" t="s">
        <v>115</v>
      </c>
      <c r="C189" s="638" t="str">
        <f>IFERROR(AVERAGEIF(Table102[Unit Type],B189,Table102[Unit Size (sq ft)]),"")</f>
        <v/>
      </c>
      <c r="D189" s="639" t="str">
        <f t="shared" si="0"/>
        <v/>
      </c>
      <c r="E189" s="640" t="str">
        <f>IFERROR(AVERAGEIF(Table102[Unit Type],B189,Table102[Rental Rate ($/mth)]),"")</f>
        <v/>
      </c>
      <c r="G189" s="619"/>
      <c r="H189" s="619"/>
    </row>
    <row r="190" spans="1:31" ht="13.8">
      <c r="A190" s="637">
        <f>COUNTIF(Table102[Unit Type],B190)</f>
        <v>0</v>
      </c>
      <c r="B190" s="257" t="s">
        <v>116</v>
      </c>
      <c r="C190" s="638" t="str">
        <f>IFERROR(AVERAGEIF(Table102[Unit Type],B190,Table102[Unit Size (sq ft)]),"")</f>
        <v/>
      </c>
      <c r="D190" s="638" t="str">
        <f t="shared" si="0"/>
        <v/>
      </c>
      <c r="E190" s="640" t="str">
        <f>IFERROR(AVERAGEIF(Table102[Unit Type],B190,Table102[Rental Rate ($/mth)]),"")</f>
        <v/>
      </c>
      <c r="G190" s="619"/>
      <c r="H190" s="619"/>
    </row>
    <row r="191" spans="1:31" ht="13.8">
      <c r="A191" s="637">
        <f>COUNTIF(Table102[Unit Type],B191)</f>
        <v>0</v>
      </c>
      <c r="B191" s="257" t="s">
        <v>117</v>
      </c>
      <c r="C191" s="638" t="str">
        <f>IFERROR(AVERAGEIF(Table102[Unit Type],B191,Table102[Unit Size (sq ft)]),"")</f>
        <v/>
      </c>
      <c r="D191" s="638" t="str">
        <f t="shared" si="0"/>
        <v/>
      </c>
      <c r="E191" s="640" t="str">
        <f>IFERROR(AVERAGEIF(Table102[Unit Type],B191,Table102[Rental Rate ($/mth)]),"")</f>
        <v/>
      </c>
      <c r="G191" s="619"/>
      <c r="H191" s="619"/>
    </row>
    <row r="192" spans="1:31" ht="13.8">
      <c r="A192" s="637">
        <f>COUNTIF(Table102[Unit Type],B192)</f>
        <v>0</v>
      </c>
      <c r="B192" s="257" t="s">
        <v>118</v>
      </c>
      <c r="C192" s="638" t="str">
        <f>IFERROR(AVERAGEIF(Table102[Unit Type],B192,Table102[Unit Size (sq ft)]),"")</f>
        <v/>
      </c>
      <c r="D192" s="638" t="str">
        <f t="shared" si="0"/>
        <v/>
      </c>
      <c r="E192" s="640" t="str">
        <f>IFERROR(AVERAGEIF(Table102[Unit Type],B192,Table102[Rental Rate ($/mth)]),"")</f>
        <v/>
      </c>
    </row>
    <row r="193" spans="1:5" ht="13.8">
      <c r="A193" s="637">
        <f>COUNTIF(Table102[Unit Type],B193)</f>
        <v>0</v>
      </c>
      <c r="B193" s="257" t="s">
        <v>119</v>
      </c>
      <c r="C193" s="638" t="str">
        <f>IFERROR(AVERAGEIF(Table102[Unit Type],B193,Table102[Unit Size (sq ft)]),"")</f>
        <v/>
      </c>
      <c r="D193" s="639" t="str">
        <f t="shared" si="0"/>
        <v/>
      </c>
      <c r="E193" s="640" t="str">
        <f>IFERROR(AVERAGEIF(Table102[Unit Type],B193,Table102[Rental Rate ($/mth)]),"")</f>
        <v/>
      </c>
    </row>
    <row r="194" spans="1:5" ht="13.8">
      <c r="A194" s="641">
        <f>COUNTIF(Table102[Unit Type],B194)</f>
        <v>0</v>
      </c>
      <c r="B194" s="642" t="s">
        <v>120</v>
      </c>
      <c r="C194" s="643" t="str">
        <f>IFERROR(AVERAGEIF(Table102[Unit Type],B194,Table102[Unit Size (sq ft)]),"")</f>
        <v/>
      </c>
      <c r="D194" s="644" t="str">
        <f t="shared" si="0"/>
        <v/>
      </c>
      <c r="E194" s="645" t="str">
        <f>IFERROR(AVERAGEIF(Table102[Unit Type],B194,Table102[Rental Rate ($/mth)]),"")</f>
        <v/>
      </c>
    </row>
    <row r="195" spans="1:5" ht="14.4">
      <c r="A195" s="646">
        <f>SUM(A187:A194)</f>
        <v>0</v>
      </c>
      <c r="B195" s="647"/>
      <c r="C195" s="648" t="e">
        <f>J181/A195</f>
        <v>#DIV/0!</v>
      </c>
      <c r="D195" s="648" t="e">
        <f>E195/C195</f>
        <v>#DIV/0!</v>
      </c>
      <c r="E195" s="649" t="e">
        <f>F181/A195</f>
        <v>#DIV/0!</v>
      </c>
    </row>
  </sheetData>
  <sheetProtection insertRows="0"/>
  <mergeCells count="3">
    <mergeCell ref="A1:J1"/>
    <mergeCell ref="L1:P1"/>
    <mergeCell ref="T1:AE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01"/>
  <sheetViews>
    <sheetView topLeftCell="A162" workbookViewId="0">
      <selection activeCell="M3" sqref="M3:M29"/>
    </sheetView>
  </sheetViews>
  <sheetFormatPr defaultColWidth="9.109375" defaultRowHeight="13.2"/>
  <cols>
    <col min="1" max="1" width="14.109375" style="619" customWidth="1"/>
    <col min="2" max="2" width="29.109375" style="619" customWidth="1"/>
    <col min="3" max="3" width="13.44140625" style="619" customWidth="1"/>
    <col min="4" max="4" width="15.44140625" style="619" customWidth="1"/>
    <col min="5" max="5" width="22" style="619" customWidth="1"/>
    <col min="6" max="6" width="23.44140625" style="619" customWidth="1"/>
    <col min="7" max="7" width="26.109375" style="620" hidden="1" customWidth="1"/>
    <col min="8" max="8" width="25.6640625" style="620" hidden="1" customWidth="1"/>
    <col min="9" max="9" width="25.109375" style="620" hidden="1" customWidth="1"/>
    <col min="10" max="10" width="20.44140625" style="619" customWidth="1"/>
    <col min="11" max="11" width="27.6640625" style="620" hidden="1" customWidth="1"/>
    <col min="12" max="12" width="16.109375" style="619" customWidth="1"/>
    <col min="13" max="13" width="20.44140625" style="619" customWidth="1"/>
    <col min="14" max="14" width="21" style="619" customWidth="1"/>
    <col min="15" max="15" width="19.109375" style="619" customWidth="1"/>
    <col min="16" max="16" width="21.109375" style="619" customWidth="1"/>
    <col min="17" max="17" width="27.109375" style="620" hidden="1" customWidth="1"/>
    <col min="18" max="18" width="18.109375" style="620" hidden="1" customWidth="1"/>
    <col min="19" max="19" width="15.109375" style="620" hidden="1" customWidth="1"/>
    <col min="20" max="20" width="21" style="619" customWidth="1"/>
    <col min="21" max="21" width="23.44140625" style="619" customWidth="1"/>
    <col min="22" max="22" width="23.6640625" style="619" customWidth="1"/>
    <col min="23" max="23" width="12.44140625" style="619" customWidth="1"/>
    <col min="24" max="24" width="14.6640625" style="619" customWidth="1"/>
    <col min="25" max="25" width="11.109375" style="619" customWidth="1"/>
    <col min="26" max="26" width="18.44140625" style="619" customWidth="1"/>
    <col min="27" max="27" width="18" style="619" customWidth="1"/>
    <col min="28" max="28" width="16.109375" style="619" customWidth="1"/>
    <col min="29" max="29" width="12.109375" style="619" customWidth="1"/>
    <col min="30" max="30" width="13.6640625" style="619" customWidth="1"/>
    <col min="31" max="31" width="10.6640625" style="619" customWidth="1"/>
    <col min="32" max="16384" width="9.109375" style="619"/>
  </cols>
  <sheetData>
    <row r="1" spans="1:31" customFormat="1" ht="14.4">
      <c r="A1" s="729" t="s">
        <v>72</v>
      </c>
      <c r="B1" s="729"/>
      <c r="C1" s="729"/>
      <c r="D1" s="729"/>
      <c r="E1" s="729"/>
      <c r="F1" s="729"/>
      <c r="G1" s="729"/>
      <c r="H1" s="729"/>
      <c r="I1" s="729"/>
      <c r="J1" s="729"/>
      <c r="K1" s="627"/>
      <c r="L1" s="730" t="s">
        <v>73</v>
      </c>
      <c r="M1" s="730"/>
      <c r="N1" s="730"/>
      <c r="O1" s="730"/>
      <c r="P1" s="730"/>
      <c r="Q1" s="627"/>
      <c r="R1" s="627"/>
      <c r="S1" s="627"/>
      <c r="T1" s="731" t="s">
        <v>74</v>
      </c>
      <c r="U1" s="731"/>
      <c r="V1" s="731"/>
      <c r="W1" s="731"/>
      <c r="X1" s="731"/>
      <c r="Y1" s="731"/>
      <c r="Z1" s="731"/>
      <c r="AA1" s="731"/>
      <c r="AB1" s="731"/>
      <c r="AC1" s="731"/>
      <c r="AD1" s="731"/>
      <c r="AE1" s="731"/>
    </row>
    <row r="2" spans="1:31" customFormat="1" ht="14.4">
      <c r="A2" s="621" t="s">
        <v>75</v>
      </c>
      <c r="B2" s="622" t="s">
        <v>76</v>
      </c>
      <c r="C2" s="622" t="s">
        <v>77</v>
      </c>
      <c r="D2" s="622" t="s">
        <v>78</v>
      </c>
      <c r="E2" s="622" t="s">
        <v>79</v>
      </c>
      <c r="F2" s="622" t="s">
        <v>80</v>
      </c>
      <c r="G2" s="623" t="s">
        <v>81</v>
      </c>
      <c r="H2" s="623" t="s">
        <v>82</v>
      </c>
      <c r="I2" s="623" t="s">
        <v>83</v>
      </c>
      <c r="J2" s="622" t="s">
        <v>84</v>
      </c>
      <c r="K2" s="623" t="s">
        <v>85</v>
      </c>
      <c r="L2" s="628" t="s">
        <v>86</v>
      </c>
      <c r="M2" s="628" t="s">
        <v>87</v>
      </c>
      <c r="N2" s="628" t="s">
        <v>88</v>
      </c>
      <c r="O2" s="628" t="s">
        <v>89</v>
      </c>
      <c r="P2" s="628" t="s">
        <v>90</v>
      </c>
      <c r="Q2" s="623" t="s">
        <v>91</v>
      </c>
      <c r="R2" s="623" t="s">
        <v>92</v>
      </c>
      <c r="S2" s="623" t="s">
        <v>93</v>
      </c>
      <c r="T2" s="629" t="s">
        <v>94</v>
      </c>
      <c r="U2" s="629" t="s">
        <v>95</v>
      </c>
      <c r="V2" s="629" t="s">
        <v>96</v>
      </c>
      <c r="W2" s="629" t="s">
        <v>97</v>
      </c>
      <c r="X2" s="629" t="s">
        <v>98</v>
      </c>
      <c r="Y2" s="629" t="s">
        <v>99</v>
      </c>
      <c r="Z2" s="629" t="s">
        <v>100</v>
      </c>
      <c r="AA2" s="629" t="s">
        <v>101</v>
      </c>
      <c r="AB2" s="629" t="s">
        <v>102</v>
      </c>
      <c r="AC2" s="629" t="s">
        <v>103</v>
      </c>
      <c r="AD2" s="629" t="s">
        <v>104</v>
      </c>
      <c r="AE2" s="630" t="s">
        <v>105</v>
      </c>
    </row>
    <row r="3" spans="1:31">
      <c r="A3" s="624" t="s">
        <v>206</v>
      </c>
      <c r="B3" s="625"/>
      <c r="C3" s="625"/>
      <c r="D3" s="625">
        <v>1</v>
      </c>
      <c r="E3" s="625" t="s">
        <v>121</v>
      </c>
      <c r="F3" s="625">
        <v>2490</v>
      </c>
      <c r="G3" s="626"/>
      <c r="H3" s="626"/>
      <c r="I3" s="626"/>
      <c r="J3" s="699">
        <v>624</v>
      </c>
      <c r="K3" s="626"/>
      <c r="L3" s="625" t="s">
        <v>121</v>
      </c>
      <c r="M3" s="625" t="s">
        <v>122</v>
      </c>
      <c r="N3" s="625"/>
      <c r="O3" s="625"/>
      <c r="P3" s="625"/>
      <c r="Q3" s="626"/>
      <c r="R3" s="626"/>
      <c r="S3" s="626"/>
      <c r="T3" s="625"/>
      <c r="U3" s="625"/>
      <c r="V3" s="625"/>
      <c r="W3" s="625"/>
      <c r="X3" s="625"/>
      <c r="Y3" s="625"/>
      <c r="Z3" s="625"/>
      <c r="AA3" s="625"/>
      <c r="AB3" s="625"/>
      <c r="AC3" s="625"/>
      <c r="AD3" s="625" t="s">
        <v>122</v>
      </c>
      <c r="AE3" s="631"/>
    </row>
    <row r="4" spans="1:31">
      <c r="A4" s="624" t="s">
        <v>206</v>
      </c>
      <c r="B4" s="625"/>
      <c r="C4" s="625"/>
      <c r="D4" s="625">
        <v>2</v>
      </c>
      <c r="E4" s="625" t="s">
        <v>121</v>
      </c>
      <c r="F4" s="625">
        <v>2490</v>
      </c>
      <c r="G4" s="626"/>
      <c r="H4" s="626"/>
      <c r="I4" s="626"/>
      <c r="J4" s="699">
        <v>624</v>
      </c>
      <c r="K4" s="626"/>
      <c r="L4" s="625" t="s">
        <v>121</v>
      </c>
      <c r="M4" s="625" t="s">
        <v>122</v>
      </c>
      <c r="N4" s="625"/>
      <c r="O4" s="625"/>
      <c r="P4" s="625"/>
      <c r="Q4" s="626"/>
      <c r="R4" s="626"/>
      <c r="S4" s="626"/>
      <c r="T4" s="625"/>
      <c r="U4" s="625"/>
      <c r="V4" s="625"/>
      <c r="W4" s="625"/>
      <c r="X4" s="625"/>
      <c r="Y4" s="625"/>
      <c r="Z4" s="625"/>
      <c r="AA4" s="625"/>
      <c r="AB4" s="625"/>
      <c r="AC4" s="625"/>
      <c r="AD4" s="625"/>
      <c r="AE4" s="631"/>
    </row>
    <row r="5" spans="1:31">
      <c r="A5" s="624" t="s">
        <v>206</v>
      </c>
      <c r="B5" s="625"/>
      <c r="C5" s="625"/>
      <c r="D5" s="625">
        <v>3</v>
      </c>
      <c r="E5" s="625" t="s">
        <v>121</v>
      </c>
      <c r="F5" s="625">
        <v>2490</v>
      </c>
      <c r="G5" s="626"/>
      <c r="H5" s="626"/>
      <c r="I5" s="626"/>
      <c r="J5" s="699">
        <v>624</v>
      </c>
      <c r="K5" s="626"/>
      <c r="L5" s="625" t="str">
        <f>IF(Table10[[#This Row],[Rental Rate ($/mth)]]&lt;&gt;"",IF(Table10[[#This Row],[Rental Rate ($/mth)]]&lt;='Input CMHC MLI Select'!$C$12,"No","Yes"),"")</f>
        <v>Yes</v>
      </c>
      <c r="M5" s="625" t="s">
        <v>122</v>
      </c>
      <c r="N5" s="625"/>
      <c r="O5" s="625"/>
      <c r="P5" s="625"/>
      <c r="Q5" s="626"/>
      <c r="R5" s="626"/>
      <c r="S5" s="626"/>
      <c r="T5" s="625"/>
      <c r="U5" s="625"/>
      <c r="V5" s="625"/>
      <c r="W5" s="625"/>
      <c r="X5" s="625"/>
      <c r="Y5" s="625"/>
      <c r="Z5" s="625"/>
      <c r="AA5" s="625"/>
      <c r="AB5" s="625"/>
      <c r="AC5" s="625"/>
      <c r="AD5" s="625"/>
      <c r="AE5" s="631"/>
    </row>
    <row r="6" spans="1:31">
      <c r="A6" s="624" t="s">
        <v>206</v>
      </c>
      <c r="B6" s="625"/>
      <c r="C6" s="625"/>
      <c r="D6" s="625">
        <v>4</v>
      </c>
      <c r="E6" s="625" t="s">
        <v>121</v>
      </c>
      <c r="F6" s="625">
        <v>2490</v>
      </c>
      <c r="G6" s="626"/>
      <c r="H6" s="626"/>
      <c r="I6" s="626"/>
      <c r="J6" s="699">
        <v>624</v>
      </c>
      <c r="K6" s="626"/>
      <c r="L6" s="625" t="str">
        <f>IF(Table10[[#This Row],[Rental Rate ($/mth)]]&lt;&gt;"",IF(Table10[[#This Row],[Rental Rate ($/mth)]]&lt;='Input CMHC MLI Select'!$C$12,"No","Yes"),"")</f>
        <v>Yes</v>
      </c>
      <c r="M6" s="625" t="s">
        <v>122</v>
      </c>
      <c r="N6" s="625"/>
      <c r="O6" s="625"/>
      <c r="P6" s="625"/>
      <c r="Q6" s="626"/>
      <c r="R6" s="626"/>
      <c r="S6" s="626"/>
      <c r="T6" s="625"/>
      <c r="U6" s="625"/>
      <c r="V6" s="625"/>
      <c r="W6" s="625"/>
      <c r="X6" s="625"/>
      <c r="Y6" s="625"/>
      <c r="Z6" s="625"/>
      <c r="AA6" s="625"/>
      <c r="AB6" s="625"/>
      <c r="AC6" s="625"/>
      <c r="AD6" s="625"/>
      <c r="AE6" s="631"/>
    </row>
    <row r="7" spans="1:31">
      <c r="A7" s="624" t="s">
        <v>206</v>
      </c>
      <c r="B7" s="625"/>
      <c r="C7" s="625"/>
      <c r="D7" s="625">
        <v>5</v>
      </c>
      <c r="E7" s="625" t="s">
        <v>121</v>
      </c>
      <c r="F7" s="625">
        <v>2490</v>
      </c>
      <c r="G7" s="626"/>
      <c r="H7" s="626"/>
      <c r="I7" s="626"/>
      <c r="J7" s="699">
        <v>624</v>
      </c>
      <c r="K7" s="626"/>
      <c r="L7" s="625" t="str">
        <f>IF(Table10[[#This Row],[Rental Rate ($/mth)]]&lt;&gt;"",IF(Table10[[#This Row],[Rental Rate ($/mth)]]&lt;='Input CMHC MLI Select'!$C$12,"No","Yes"),"")</f>
        <v>Yes</v>
      </c>
      <c r="M7" s="625" t="s">
        <v>122</v>
      </c>
      <c r="N7" s="625"/>
      <c r="O7" s="625"/>
      <c r="P7" s="625"/>
      <c r="Q7" s="626"/>
      <c r="R7" s="626"/>
      <c r="S7" s="626"/>
      <c r="T7" s="625"/>
      <c r="U7" s="625"/>
      <c r="V7" s="625"/>
      <c r="W7" s="625"/>
      <c r="X7" s="625"/>
      <c r="Y7" s="625"/>
      <c r="Z7" s="625"/>
      <c r="AA7" s="625"/>
      <c r="AB7" s="625"/>
      <c r="AC7" s="625"/>
      <c r="AD7" s="625"/>
      <c r="AE7" s="631"/>
    </row>
    <row r="8" spans="1:31">
      <c r="A8" s="624" t="s">
        <v>206</v>
      </c>
      <c r="B8" s="625"/>
      <c r="C8" s="625"/>
      <c r="D8" s="625">
        <v>6</v>
      </c>
      <c r="E8" s="625"/>
      <c r="F8" s="625">
        <v>2490</v>
      </c>
      <c r="G8" s="626"/>
      <c r="H8" s="626"/>
      <c r="I8" s="626"/>
      <c r="J8" s="699">
        <v>624</v>
      </c>
      <c r="K8" s="626"/>
      <c r="L8" s="625" t="str">
        <f>IF(Table10[[#This Row],[Rental Rate ($/mth)]]&lt;&gt;"",IF(Table10[[#This Row],[Rental Rate ($/mth)]]&lt;='Input CMHC MLI Select'!$C$12,"No","Yes"),"")</f>
        <v>Yes</v>
      </c>
      <c r="M8" s="625" t="s">
        <v>122</v>
      </c>
      <c r="N8" s="625"/>
      <c r="O8" s="625"/>
      <c r="P8" s="625"/>
      <c r="Q8" s="626"/>
      <c r="R8" s="626"/>
      <c r="S8" s="626"/>
      <c r="T8" s="625"/>
      <c r="U8" s="625"/>
      <c r="V8" s="625"/>
      <c r="W8" s="625"/>
      <c r="X8" s="625"/>
      <c r="Y8" s="625"/>
      <c r="Z8" s="625"/>
      <c r="AA8" s="625"/>
      <c r="AB8" s="625"/>
      <c r="AC8" s="625"/>
      <c r="AD8" s="625"/>
      <c r="AE8" s="631"/>
    </row>
    <row r="9" spans="1:31">
      <c r="A9" s="624" t="s">
        <v>206</v>
      </c>
      <c r="B9" s="625"/>
      <c r="C9" s="625"/>
      <c r="D9" s="625">
        <v>7</v>
      </c>
      <c r="E9" s="625"/>
      <c r="F9" s="625">
        <v>2490</v>
      </c>
      <c r="G9" s="626"/>
      <c r="H9" s="626"/>
      <c r="I9" s="626"/>
      <c r="J9" s="699">
        <v>624</v>
      </c>
      <c r="K9" s="626"/>
      <c r="L9" s="625" t="str">
        <f>IF(Table10[[#This Row],[Rental Rate ($/mth)]]&lt;&gt;"",IF(Table10[[#This Row],[Rental Rate ($/mth)]]&lt;='Input CMHC MLI Select'!$C$12,"No","Yes"),"")</f>
        <v>Yes</v>
      </c>
      <c r="M9" s="625" t="s">
        <v>122</v>
      </c>
      <c r="N9" s="625"/>
      <c r="O9" s="625"/>
      <c r="P9" s="625"/>
      <c r="Q9" s="626"/>
      <c r="R9" s="626"/>
      <c r="S9" s="626"/>
      <c r="T9" s="625"/>
      <c r="U9" s="625"/>
      <c r="V9" s="625"/>
      <c r="W9" s="625"/>
      <c r="X9" s="625"/>
      <c r="Y9" s="625"/>
      <c r="Z9" s="625"/>
      <c r="AA9" s="625"/>
      <c r="AB9" s="625"/>
      <c r="AC9" s="625"/>
      <c r="AD9" s="625"/>
      <c r="AE9" s="631"/>
    </row>
    <row r="10" spans="1:31">
      <c r="A10" s="624" t="s">
        <v>206</v>
      </c>
      <c r="B10" s="625"/>
      <c r="C10" s="625"/>
      <c r="D10" s="625">
        <v>8</v>
      </c>
      <c r="E10" s="625"/>
      <c r="F10" s="625">
        <v>2490</v>
      </c>
      <c r="G10" s="626"/>
      <c r="H10" s="626"/>
      <c r="I10" s="626"/>
      <c r="J10" s="699">
        <v>624</v>
      </c>
      <c r="K10" s="626"/>
      <c r="L10" s="625" t="str">
        <f>IF(Table10[[#This Row],[Rental Rate ($/mth)]]&lt;&gt;"",IF(Table10[[#This Row],[Rental Rate ($/mth)]]&lt;='Input CMHC MLI Select'!$C$12,"No","Yes"),"")</f>
        <v>Yes</v>
      </c>
      <c r="M10" s="625" t="s">
        <v>122</v>
      </c>
      <c r="N10" s="625"/>
      <c r="O10" s="625"/>
      <c r="P10" s="625"/>
      <c r="Q10" s="626"/>
      <c r="R10" s="626"/>
      <c r="S10" s="626"/>
      <c r="T10" s="625"/>
      <c r="U10" s="625"/>
      <c r="V10" s="625"/>
      <c r="W10" s="625"/>
      <c r="X10" s="625"/>
      <c r="Y10" s="625"/>
      <c r="Z10" s="625"/>
      <c r="AA10" s="625"/>
      <c r="AB10" s="625"/>
      <c r="AC10" s="625"/>
      <c r="AD10" s="625"/>
      <c r="AE10" s="631"/>
    </row>
    <row r="11" spans="1:31">
      <c r="A11" s="624" t="s">
        <v>206</v>
      </c>
      <c r="B11" s="625"/>
      <c r="C11" s="625"/>
      <c r="D11" s="625">
        <v>9</v>
      </c>
      <c r="E11" s="625"/>
      <c r="F11" s="625">
        <v>2490</v>
      </c>
      <c r="G11" s="626"/>
      <c r="H11" s="626"/>
      <c r="I11" s="626"/>
      <c r="J11" s="699">
        <v>624</v>
      </c>
      <c r="K11" s="626"/>
      <c r="L11" s="625" t="str">
        <f>IF(Table10[[#This Row],[Rental Rate ($/mth)]]&lt;&gt;"",IF(Table10[[#This Row],[Rental Rate ($/mth)]]&lt;='Input CMHC MLI Select'!$C$12,"No","Yes"),"")</f>
        <v>Yes</v>
      </c>
      <c r="M11" s="625" t="s">
        <v>122</v>
      </c>
      <c r="N11" s="625"/>
      <c r="O11" s="625"/>
      <c r="P11" s="625"/>
      <c r="Q11" s="626"/>
      <c r="R11" s="626"/>
      <c r="S11" s="626"/>
      <c r="T11" s="625"/>
      <c r="U11" s="625"/>
      <c r="V11" s="625"/>
      <c r="W11" s="625"/>
      <c r="X11" s="625"/>
      <c r="Y11" s="625"/>
      <c r="Z11" s="625"/>
      <c r="AA11" s="625"/>
      <c r="AB11" s="625"/>
      <c r="AC11" s="625"/>
      <c r="AD11" s="625"/>
      <c r="AE11" s="631"/>
    </row>
    <row r="12" spans="1:31">
      <c r="A12" s="624" t="s">
        <v>206</v>
      </c>
      <c r="B12" s="625"/>
      <c r="C12" s="625"/>
      <c r="D12" s="625">
        <v>10</v>
      </c>
      <c r="E12" s="625"/>
      <c r="F12" s="625">
        <v>2490</v>
      </c>
      <c r="G12" s="626"/>
      <c r="H12" s="626"/>
      <c r="I12" s="626"/>
      <c r="J12" s="699">
        <v>624</v>
      </c>
      <c r="K12" s="626"/>
      <c r="L12" s="625" t="str">
        <f>IF(Table10[[#This Row],[Rental Rate ($/mth)]]&lt;&gt;"",IF(Table10[[#This Row],[Rental Rate ($/mth)]]&lt;='Input CMHC MLI Select'!$C$12,"No","Yes"),"")</f>
        <v>Yes</v>
      </c>
      <c r="M12" s="625" t="s">
        <v>122</v>
      </c>
      <c r="N12" s="625"/>
      <c r="O12" s="625"/>
      <c r="P12" s="625"/>
      <c r="Q12" s="626"/>
      <c r="R12" s="626"/>
      <c r="S12" s="626"/>
      <c r="T12" s="625"/>
      <c r="U12" s="625"/>
      <c r="V12" s="625"/>
      <c r="W12" s="625"/>
      <c r="X12" s="625"/>
      <c r="Y12" s="625"/>
      <c r="Z12" s="625"/>
      <c r="AA12" s="625"/>
      <c r="AB12" s="625"/>
      <c r="AC12" s="625"/>
      <c r="AD12" s="625"/>
      <c r="AE12" s="631"/>
    </row>
    <row r="13" spans="1:31">
      <c r="A13" s="624" t="s">
        <v>206</v>
      </c>
      <c r="B13" s="625"/>
      <c r="C13" s="625"/>
      <c r="D13" s="625">
        <v>11</v>
      </c>
      <c r="E13" s="625"/>
      <c r="F13" s="625">
        <v>2490</v>
      </c>
      <c r="G13" s="626"/>
      <c r="H13" s="626"/>
      <c r="I13" s="626"/>
      <c r="J13" s="699">
        <v>624</v>
      </c>
      <c r="K13" s="626"/>
      <c r="L13" s="625" t="str">
        <f>IF(Table10[[#This Row],[Rental Rate ($/mth)]]&lt;&gt;"",IF(Table10[[#This Row],[Rental Rate ($/mth)]]&lt;='Input CMHC MLI Select'!$C$12,"No","Yes"),"")</f>
        <v>Yes</v>
      </c>
      <c r="M13" s="625" t="s">
        <v>122</v>
      </c>
      <c r="N13" s="625"/>
      <c r="O13" s="625"/>
      <c r="P13" s="625"/>
      <c r="Q13" s="626"/>
      <c r="R13" s="626"/>
      <c r="S13" s="626"/>
      <c r="T13" s="625"/>
      <c r="U13" s="625"/>
      <c r="V13" s="625"/>
      <c r="W13" s="625"/>
      <c r="X13" s="625"/>
      <c r="Y13" s="625"/>
      <c r="Z13" s="625"/>
      <c r="AA13" s="625"/>
      <c r="AB13" s="625"/>
      <c r="AC13" s="625"/>
      <c r="AD13" s="625"/>
      <c r="AE13" s="631"/>
    </row>
    <row r="14" spans="1:31">
      <c r="A14" s="624" t="s">
        <v>206</v>
      </c>
      <c r="B14" s="625"/>
      <c r="C14" s="625"/>
      <c r="D14" s="625">
        <v>12</v>
      </c>
      <c r="E14" s="625"/>
      <c r="F14" s="625">
        <v>2490</v>
      </c>
      <c r="G14" s="626"/>
      <c r="H14" s="626"/>
      <c r="I14" s="626"/>
      <c r="J14" s="699">
        <v>624</v>
      </c>
      <c r="K14" s="626"/>
      <c r="L14" s="625" t="str">
        <f>IF(Table10[[#This Row],[Rental Rate ($/mth)]]&lt;&gt;"",IF(Table10[[#This Row],[Rental Rate ($/mth)]]&lt;='Input CMHC MLI Select'!$C$12,"No","Yes"),"")</f>
        <v>Yes</v>
      </c>
      <c r="M14" s="625" t="s">
        <v>122</v>
      </c>
      <c r="N14" s="625"/>
      <c r="O14" s="625"/>
      <c r="P14" s="625"/>
      <c r="Q14" s="626"/>
      <c r="R14" s="626"/>
      <c r="S14" s="626"/>
      <c r="T14" s="625"/>
      <c r="U14" s="625"/>
      <c r="V14" s="625"/>
      <c r="W14" s="625"/>
      <c r="X14" s="625"/>
      <c r="Y14" s="625"/>
      <c r="Z14" s="625"/>
      <c r="AA14" s="625"/>
      <c r="AB14" s="625"/>
      <c r="AC14" s="625"/>
      <c r="AD14" s="625"/>
      <c r="AE14" s="631"/>
    </row>
    <row r="15" spans="1:31">
      <c r="A15" s="624" t="s">
        <v>206</v>
      </c>
      <c r="B15" s="625"/>
      <c r="C15" s="625"/>
      <c r="D15" s="625">
        <v>13</v>
      </c>
      <c r="E15" s="625"/>
      <c r="F15" s="625">
        <v>2490</v>
      </c>
      <c r="G15" s="626"/>
      <c r="H15" s="626"/>
      <c r="I15" s="626"/>
      <c r="J15" s="699">
        <v>624</v>
      </c>
      <c r="K15" s="626"/>
      <c r="L15" s="625" t="str">
        <f>IF(Table10[[#This Row],[Rental Rate ($/mth)]]&lt;&gt;"",IF(Table10[[#This Row],[Rental Rate ($/mth)]]&lt;='Input CMHC MLI Select'!$C$12,"No","Yes"),"")</f>
        <v>Yes</v>
      </c>
      <c r="M15" s="625" t="s">
        <v>122</v>
      </c>
      <c r="N15" s="625"/>
      <c r="O15" s="625"/>
      <c r="P15" s="625"/>
      <c r="Q15" s="626"/>
      <c r="R15" s="626"/>
      <c r="S15" s="626"/>
      <c r="T15" s="625"/>
      <c r="U15" s="625"/>
      <c r="V15" s="625"/>
      <c r="W15" s="625"/>
      <c r="X15" s="625"/>
      <c r="Y15" s="625"/>
      <c r="Z15" s="625"/>
      <c r="AA15" s="625"/>
      <c r="AB15" s="625"/>
      <c r="AC15" s="625"/>
      <c r="AD15" s="625"/>
      <c r="AE15" s="631"/>
    </row>
    <row r="16" spans="1:31">
      <c r="A16" s="624" t="s">
        <v>206</v>
      </c>
      <c r="B16" s="625"/>
      <c r="C16" s="625"/>
      <c r="D16" s="625">
        <v>14</v>
      </c>
      <c r="E16" s="625"/>
      <c r="F16" s="625">
        <v>2490</v>
      </c>
      <c r="G16" s="626"/>
      <c r="H16" s="626"/>
      <c r="I16" s="626"/>
      <c r="J16" s="699">
        <v>624</v>
      </c>
      <c r="K16" s="626"/>
      <c r="L16" s="625" t="str">
        <f>IF(Table10[[#This Row],[Rental Rate ($/mth)]]&lt;&gt;"",IF(Table10[[#This Row],[Rental Rate ($/mth)]]&lt;='Input CMHC MLI Select'!$C$12,"No","Yes"),"")</f>
        <v>Yes</v>
      </c>
      <c r="M16" s="625" t="s">
        <v>122</v>
      </c>
      <c r="N16" s="625"/>
      <c r="O16" s="625"/>
      <c r="P16" s="625"/>
      <c r="Q16" s="626"/>
      <c r="R16" s="626"/>
      <c r="S16" s="626"/>
      <c r="T16" s="625"/>
      <c r="U16" s="625"/>
      <c r="V16" s="625"/>
      <c r="W16" s="625"/>
      <c r="X16" s="625"/>
      <c r="Y16" s="625"/>
      <c r="Z16" s="625"/>
      <c r="AA16" s="625"/>
      <c r="AB16" s="625"/>
      <c r="AC16" s="625"/>
      <c r="AD16" s="625"/>
      <c r="AE16" s="631"/>
    </row>
    <row r="17" spans="1:31">
      <c r="A17" s="624" t="s">
        <v>206</v>
      </c>
      <c r="B17" s="625"/>
      <c r="C17" s="625"/>
      <c r="D17" s="625">
        <v>15</v>
      </c>
      <c r="E17" s="625"/>
      <c r="F17" s="625">
        <v>2490</v>
      </c>
      <c r="G17" s="626"/>
      <c r="H17" s="626"/>
      <c r="I17" s="626"/>
      <c r="J17" s="699">
        <v>624</v>
      </c>
      <c r="K17" s="626"/>
      <c r="L17" s="625" t="str">
        <f>IF(Table10[[#This Row],[Rental Rate ($/mth)]]&lt;&gt;"",IF(Table10[[#This Row],[Rental Rate ($/mth)]]&lt;='Input CMHC MLI Select'!$C$12,"No","Yes"),"")</f>
        <v>Yes</v>
      </c>
      <c r="M17" s="625" t="s">
        <v>122</v>
      </c>
      <c r="N17" s="625"/>
      <c r="O17" s="625"/>
      <c r="P17" s="625"/>
      <c r="Q17" s="626"/>
      <c r="R17" s="626"/>
      <c r="S17" s="626"/>
      <c r="T17" s="625"/>
      <c r="U17" s="625"/>
      <c r="V17" s="625"/>
      <c r="W17" s="625"/>
      <c r="X17" s="625"/>
      <c r="Y17" s="625"/>
      <c r="Z17" s="625"/>
      <c r="AA17" s="625"/>
      <c r="AB17" s="625"/>
      <c r="AC17" s="625"/>
      <c r="AD17" s="625"/>
      <c r="AE17" s="631"/>
    </row>
    <row r="18" spans="1:31">
      <c r="A18" s="624" t="s">
        <v>206</v>
      </c>
      <c r="B18" s="625"/>
      <c r="C18" s="625"/>
      <c r="D18" s="625">
        <v>16</v>
      </c>
      <c r="E18" s="625"/>
      <c r="F18" s="625">
        <v>2490</v>
      </c>
      <c r="G18" s="626"/>
      <c r="H18" s="626"/>
      <c r="I18" s="626"/>
      <c r="J18" s="699">
        <v>624</v>
      </c>
      <c r="K18" s="626"/>
      <c r="L18" s="625" t="str">
        <f>IF(Table10[[#This Row],[Rental Rate ($/mth)]]&lt;&gt;"",IF(Table10[[#This Row],[Rental Rate ($/mth)]]&lt;='Input CMHC MLI Select'!$C$12,"No","Yes"),"")</f>
        <v>Yes</v>
      </c>
      <c r="M18" s="625" t="s">
        <v>122</v>
      </c>
      <c r="N18" s="625"/>
      <c r="O18" s="625"/>
      <c r="P18" s="625"/>
      <c r="Q18" s="626"/>
      <c r="R18" s="626"/>
      <c r="S18" s="626"/>
      <c r="T18" s="625"/>
      <c r="U18" s="625"/>
      <c r="V18" s="625"/>
      <c r="W18" s="625"/>
      <c r="X18" s="625"/>
      <c r="Y18" s="625"/>
      <c r="Z18" s="625"/>
      <c r="AA18" s="625"/>
      <c r="AB18" s="625"/>
      <c r="AC18" s="625"/>
      <c r="AD18" s="625"/>
      <c r="AE18" s="631"/>
    </row>
    <row r="19" spans="1:31">
      <c r="A19" s="624" t="s">
        <v>206</v>
      </c>
      <c r="B19" s="625"/>
      <c r="C19" s="625"/>
      <c r="D19" s="625">
        <v>17</v>
      </c>
      <c r="E19" s="625"/>
      <c r="F19" s="625">
        <v>2490</v>
      </c>
      <c r="G19" s="626"/>
      <c r="H19" s="626"/>
      <c r="I19" s="626"/>
      <c r="J19" s="699">
        <v>624</v>
      </c>
      <c r="K19" s="626"/>
      <c r="L19" s="625" t="str">
        <f>IF(Table10[[#This Row],[Rental Rate ($/mth)]]&lt;&gt;"",IF(Table10[[#This Row],[Rental Rate ($/mth)]]&lt;='Input CMHC MLI Select'!$C$12,"No","Yes"),"")</f>
        <v>Yes</v>
      </c>
      <c r="M19" s="625" t="s">
        <v>122</v>
      </c>
      <c r="N19" s="625"/>
      <c r="O19" s="625"/>
      <c r="P19" s="625"/>
      <c r="Q19" s="626"/>
      <c r="R19" s="626"/>
      <c r="S19" s="626"/>
      <c r="T19" s="625"/>
      <c r="U19" s="625"/>
      <c r="V19" s="625"/>
      <c r="W19" s="625"/>
      <c r="X19" s="625"/>
      <c r="Y19" s="625"/>
      <c r="Z19" s="625"/>
      <c r="AA19" s="625"/>
      <c r="AB19" s="625"/>
      <c r="AC19" s="625"/>
      <c r="AD19" s="625"/>
      <c r="AE19" s="631"/>
    </row>
    <row r="20" spans="1:31">
      <c r="A20" s="624" t="s">
        <v>206</v>
      </c>
      <c r="B20" s="625"/>
      <c r="C20" s="625"/>
      <c r="D20" s="625">
        <v>18</v>
      </c>
      <c r="E20" s="625"/>
      <c r="F20" s="625">
        <v>2490</v>
      </c>
      <c r="G20" s="626"/>
      <c r="H20" s="626"/>
      <c r="I20" s="626"/>
      <c r="J20" s="699">
        <v>624</v>
      </c>
      <c r="K20" s="626"/>
      <c r="L20" s="625" t="str">
        <f>IF(Table10[[#This Row],[Rental Rate ($/mth)]]&lt;&gt;"",IF(Table10[[#This Row],[Rental Rate ($/mth)]]&lt;='Input CMHC MLI Select'!$C$12,"No","Yes"),"")</f>
        <v>Yes</v>
      </c>
      <c r="M20" s="625" t="s">
        <v>122</v>
      </c>
      <c r="N20" s="625"/>
      <c r="O20" s="625"/>
      <c r="P20" s="625"/>
      <c r="Q20" s="626"/>
      <c r="R20" s="626"/>
      <c r="S20" s="626"/>
      <c r="T20" s="625"/>
      <c r="U20" s="625"/>
      <c r="V20" s="625"/>
      <c r="W20" s="625"/>
      <c r="X20" s="625"/>
      <c r="Y20" s="625"/>
      <c r="Z20" s="625"/>
      <c r="AA20" s="625"/>
      <c r="AB20" s="625"/>
      <c r="AC20" s="625"/>
      <c r="AD20" s="625"/>
      <c r="AE20" s="631"/>
    </row>
    <row r="21" spans="1:31">
      <c r="A21" s="624" t="s">
        <v>206</v>
      </c>
      <c r="B21" s="625"/>
      <c r="C21" s="625"/>
      <c r="D21" s="625">
        <v>19</v>
      </c>
      <c r="E21" s="625"/>
      <c r="F21" s="625">
        <v>2490</v>
      </c>
      <c r="G21" s="626"/>
      <c r="H21" s="626"/>
      <c r="I21" s="626"/>
      <c r="J21" s="699">
        <v>624</v>
      </c>
      <c r="K21" s="626"/>
      <c r="L21" s="625" t="str">
        <f>IF(Table10[[#This Row],[Rental Rate ($/mth)]]&lt;&gt;"",IF(Table10[[#This Row],[Rental Rate ($/mth)]]&lt;='Input CMHC MLI Select'!$C$12,"No","Yes"),"")</f>
        <v>Yes</v>
      </c>
      <c r="M21" s="625" t="s">
        <v>122</v>
      </c>
      <c r="N21" s="625"/>
      <c r="O21" s="625"/>
      <c r="P21" s="625"/>
      <c r="Q21" s="626"/>
      <c r="R21" s="626"/>
      <c r="S21" s="626"/>
      <c r="T21" s="625"/>
      <c r="U21" s="625"/>
      <c r="V21" s="625"/>
      <c r="W21" s="625"/>
      <c r="X21" s="625"/>
      <c r="Y21" s="625"/>
      <c r="Z21" s="625"/>
      <c r="AA21" s="625"/>
      <c r="AB21" s="625"/>
      <c r="AC21" s="625"/>
      <c r="AD21" s="625"/>
      <c r="AE21" s="631"/>
    </row>
    <row r="22" spans="1:31">
      <c r="A22" s="624" t="s">
        <v>206</v>
      </c>
      <c r="B22" s="625"/>
      <c r="C22" s="625"/>
      <c r="D22" s="625">
        <v>20</v>
      </c>
      <c r="E22" s="625"/>
      <c r="F22" s="625">
        <v>2490</v>
      </c>
      <c r="G22" s="626"/>
      <c r="H22" s="626"/>
      <c r="I22" s="626"/>
      <c r="J22" s="699">
        <v>624</v>
      </c>
      <c r="K22" s="626"/>
      <c r="L22" s="625" t="str">
        <f>IF(Table10[[#This Row],[Rental Rate ($/mth)]]&lt;&gt;"",IF(Table10[[#This Row],[Rental Rate ($/mth)]]&lt;='Input CMHC MLI Select'!$C$12,"No","Yes"),"")</f>
        <v>Yes</v>
      </c>
      <c r="M22" s="625" t="s">
        <v>122</v>
      </c>
      <c r="N22" s="625"/>
      <c r="O22" s="625"/>
      <c r="P22" s="625"/>
      <c r="Q22" s="626"/>
      <c r="R22" s="626"/>
      <c r="S22" s="626"/>
      <c r="T22" s="625"/>
      <c r="U22" s="625"/>
      <c r="V22" s="625"/>
      <c r="W22" s="625"/>
      <c r="X22" s="625"/>
      <c r="Y22" s="625"/>
      <c r="Z22" s="625"/>
      <c r="AA22" s="625"/>
      <c r="AB22" s="625"/>
      <c r="AC22" s="625"/>
      <c r="AD22" s="625"/>
      <c r="AE22" s="631"/>
    </row>
    <row r="23" spans="1:31">
      <c r="A23" s="624" t="s">
        <v>206</v>
      </c>
      <c r="B23" s="625"/>
      <c r="C23" s="625"/>
      <c r="D23" s="625">
        <v>21</v>
      </c>
      <c r="E23" s="625"/>
      <c r="F23" s="625">
        <v>2490</v>
      </c>
      <c r="G23" s="626"/>
      <c r="H23" s="626"/>
      <c r="I23" s="626"/>
      <c r="J23" s="699">
        <v>624</v>
      </c>
      <c r="K23" s="626"/>
      <c r="L23" s="625" t="str">
        <f>IF(Table10[[#This Row],[Rental Rate ($/mth)]]&lt;&gt;"",IF(Table10[[#This Row],[Rental Rate ($/mth)]]&lt;='Input CMHC MLI Select'!$C$12,"No","Yes"),"")</f>
        <v>Yes</v>
      </c>
      <c r="M23" s="625" t="s">
        <v>122</v>
      </c>
      <c r="N23" s="625"/>
      <c r="O23" s="625"/>
      <c r="P23" s="625"/>
      <c r="Q23" s="626"/>
      <c r="R23" s="626"/>
      <c r="S23" s="626"/>
      <c r="T23" s="625"/>
      <c r="U23" s="625"/>
      <c r="V23" s="625"/>
      <c r="W23" s="625"/>
      <c r="X23" s="625"/>
      <c r="Y23" s="625"/>
      <c r="Z23" s="625"/>
      <c r="AA23" s="625"/>
      <c r="AB23" s="625"/>
      <c r="AC23" s="625"/>
      <c r="AD23" s="625"/>
      <c r="AE23" s="631"/>
    </row>
    <row r="24" spans="1:31">
      <c r="A24" s="624" t="s">
        <v>206</v>
      </c>
      <c r="B24" s="625"/>
      <c r="C24" s="625"/>
      <c r="D24" s="625">
        <v>22</v>
      </c>
      <c r="E24" s="625"/>
      <c r="F24" s="625">
        <v>2490</v>
      </c>
      <c r="G24" s="626"/>
      <c r="H24" s="626"/>
      <c r="I24" s="626"/>
      <c r="J24" s="699">
        <v>624</v>
      </c>
      <c r="K24" s="626"/>
      <c r="L24" s="625" t="str">
        <f>IF(Table10[[#This Row],[Rental Rate ($/mth)]]&lt;&gt;"",IF(Table10[[#This Row],[Rental Rate ($/mth)]]&lt;='Input CMHC MLI Select'!$C$12,"No","Yes"),"")</f>
        <v>Yes</v>
      </c>
      <c r="M24" s="625" t="s">
        <v>122</v>
      </c>
      <c r="N24" s="625"/>
      <c r="O24" s="625"/>
      <c r="P24" s="625"/>
      <c r="Q24" s="626"/>
      <c r="R24" s="626"/>
      <c r="S24" s="626"/>
      <c r="T24" s="625"/>
      <c r="U24" s="625"/>
      <c r="V24" s="625"/>
      <c r="W24" s="625"/>
      <c r="X24" s="625"/>
      <c r="Y24" s="625"/>
      <c r="Z24" s="625"/>
      <c r="AA24" s="625"/>
      <c r="AB24" s="625"/>
      <c r="AC24" s="625"/>
      <c r="AD24" s="625"/>
      <c r="AE24" s="631"/>
    </row>
    <row r="25" spans="1:31">
      <c r="A25" s="624" t="s">
        <v>206</v>
      </c>
      <c r="B25" s="625"/>
      <c r="C25" s="625"/>
      <c r="D25" s="625">
        <v>23</v>
      </c>
      <c r="E25" s="625"/>
      <c r="F25" s="625">
        <v>2490</v>
      </c>
      <c r="G25" s="626"/>
      <c r="H25" s="626"/>
      <c r="I25" s="626"/>
      <c r="J25" s="699">
        <v>624</v>
      </c>
      <c r="K25" s="626"/>
      <c r="L25" s="625" t="str">
        <f>IF(Table10[[#This Row],[Rental Rate ($/mth)]]&lt;&gt;"",IF(Table10[[#This Row],[Rental Rate ($/mth)]]&lt;='Input CMHC MLI Select'!$C$12,"No","Yes"),"")</f>
        <v>Yes</v>
      </c>
      <c r="M25" s="625" t="s">
        <v>122</v>
      </c>
      <c r="N25" s="625"/>
      <c r="O25" s="625"/>
      <c r="P25" s="625"/>
      <c r="Q25" s="626"/>
      <c r="R25" s="626"/>
      <c r="S25" s="626"/>
      <c r="T25" s="625"/>
      <c r="U25" s="625"/>
      <c r="V25" s="625"/>
      <c r="W25" s="625"/>
      <c r="X25" s="625"/>
      <c r="Y25" s="625"/>
      <c r="Z25" s="625"/>
      <c r="AA25" s="625"/>
      <c r="AB25" s="625"/>
      <c r="AC25" s="625"/>
      <c r="AD25" s="625"/>
      <c r="AE25" s="631"/>
    </row>
    <row r="26" spans="1:31">
      <c r="A26" s="624" t="s">
        <v>206</v>
      </c>
      <c r="B26" s="625"/>
      <c r="C26" s="625"/>
      <c r="D26" s="625">
        <v>24</v>
      </c>
      <c r="E26" s="625"/>
      <c r="F26" s="625">
        <v>2490</v>
      </c>
      <c r="G26" s="626"/>
      <c r="H26" s="626"/>
      <c r="I26" s="626"/>
      <c r="J26" s="699">
        <v>624</v>
      </c>
      <c r="K26" s="626"/>
      <c r="L26" s="625" t="str">
        <f>IF(Table10[[#This Row],[Rental Rate ($/mth)]]&lt;&gt;"",IF(Table10[[#This Row],[Rental Rate ($/mth)]]&lt;='Input CMHC MLI Select'!$C$12,"No","Yes"),"")</f>
        <v>Yes</v>
      </c>
      <c r="M26" s="625" t="s">
        <v>122</v>
      </c>
      <c r="N26" s="625"/>
      <c r="O26" s="625"/>
      <c r="P26" s="625"/>
      <c r="Q26" s="626"/>
      <c r="R26" s="626"/>
      <c r="S26" s="626"/>
      <c r="T26" s="625"/>
      <c r="U26" s="625"/>
      <c r="V26" s="625"/>
      <c r="W26" s="625"/>
      <c r="X26" s="625"/>
      <c r="Y26" s="625"/>
      <c r="Z26" s="625"/>
      <c r="AA26" s="625"/>
      <c r="AB26" s="625"/>
      <c r="AC26" s="625"/>
      <c r="AD26" s="625"/>
      <c r="AE26" s="631"/>
    </row>
    <row r="27" spans="1:31">
      <c r="A27" s="624" t="s">
        <v>206</v>
      </c>
      <c r="B27" s="625"/>
      <c r="C27" s="625"/>
      <c r="D27" s="625">
        <v>25</v>
      </c>
      <c r="E27" s="625"/>
      <c r="F27" s="625">
        <v>2490</v>
      </c>
      <c r="G27" s="626"/>
      <c r="H27" s="626"/>
      <c r="I27" s="626"/>
      <c r="J27" s="699">
        <v>624</v>
      </c>
      <c r="K27" s="626"/>
      <c r="L27" s="625" t="str">
        <f>IF(Table10[[#This Row],[Rental Rate ($/mth)]]&lt;&gt;"",IF(Table10[[#This Row],[Rental Rate ($/mth)]]&lt;='Input CMHC MLI Select'!$C$12,"No","Yes"),"")</f>
        <v>Yes</v>
      </c>
      <c r="M27" s="625" t="s">
        <v>122</v>
      </c>
      <c r="N27" s="625"/>
      <c r="O27" s="625"/>
      <c r="P27" s="625"/>
      <c r="Q27" s="626"/>
      <c r="R27" s="626"/>
      <c r="S27" s="626"/>
      <c r="T27" s="625"/>
      <c r="U27" s="625"/>
      <c r="V27" s="625"/>
      <c r="W27" s="625"/>
      <c r="X27" s="625"/>
      <c r="Y27" s="625"/>
      <c r="Z27" s="625"/>
      <c r="AA27" s="625"/>
      <c r="AB27" s="625"/>
      <c r="AC27" s="625"/>
      <c r="AD27" s="625"/>
      <c r="AE27" s="631"/>
    </row>
    <row r="28" spans="1:31">
      <c r="A28" s="624" t="s">
        <v>206</v>
      </c>
      <c r="B28" s="625"/>
      <c r="C28" s="625"/>
      <c r="D28" s="625">
        <v>26</v>
      </c>
      <c r="E28" s="625"/>
      <c r="F28" s="625">
        <v>2490</v>
      </c>
      <c r="G28" s="626"/>
      <c r="H28" s="626"/>
      <c r="I28" s="626"/>
      <c r="J28" s="699">
        <v>624</v>
      </c>
      <c r="K28" s="626"/>
      <c r="L28" s="625" t="str">
        <f>IF(Table10[[#This Row],[Rental Rate ($/mth)]]&lt;&gt;"",IF(Table10[[#This Row],[Rental Rate ($/mth)]]&lt;='Input CMHC MLI Select'!$C$12,"No","Yes"),"")</f>
        <v>Yes</v>
      </c>
      <c r="M28" s="625" t="s">
        <v>122</v>
      </c>
      <c r="N28" s="625"/>
      <c r="O28" s="625"/>
      <c r="P28" s="625"/>
      <c r="Q28" s="626"/>
      <c r="R28" s="626"/>
      <c r="S28" s="626"/>
      <c r="T28" s="625"/>
      <c r="U28" s="625"/>
      <c r="V28" s="625"/>
      <c r="W28" s="625"/>
      <c r="X28" s="625"/>
      <c r="Y28" s="625"/>
      <c r="Z28" s="625"/>
      <c r="AA28" s="625"/>
      <c r="AB28" s="625"/>
      <c r="AC28" s="625"/>
      <c r="AD28" s="625"/>
      <c r="AE28" s="631"/>
    </row>
    <row r="29" spans="1:31">
      <c r="A29" s="624" t="s">
        <v>206</v>
      </c>
      <c r="B29" s="625"/>
      <c r="C29" s="625"/>
      <c r="D29" s="625">
        <v>27</v>
      </c>
      <c r="E29" s="625"/>
      <c r="F29" s="625">
        <v>2490</v>
      </c>
      <c r="G29" s="626"/>
      <c r="H29" s="626"/>
      <c r="I29" s="626"/>
      <c r="J29" s="699">
        <v>624</v>
      </c>
      <c r="K29" s="626"/>
      <c r="L29" s="625" t="str">
        <f>IF(Table10[[#This Row],[Rental Rate ($/mth)]]&lt;&gt;"",IF(Table10[[#This Row],[Rental Rate ($/mth)]]&lt;='Input CMHC MLI Select'!$C$12,"No","Yes"),"")</f>
        <v>Yes</v>
      </c>
      <c r="M29" s="625" t="s">
        <v>122</v>
      </c>
      <c r="N29" s="625"/>
      <c r="O29" s="625"/>
      <c r="P29" s="625"/>
      <c r="Q29" s="626"/>
      <c r="R29" s="626"/>
      <c r="S29" s="626"/>
      <c r="T29" s="625"/>
      <c r="U29" s="625"/>
      <c r="V29" s="625"/>
      <c r="W29" s="625"/>
      <c r="X29" s="625"/>
      <c r="Y29" s="625"/>
      <c r="Z29" s="625"/>
      <c r="AA29" s="625"/>
      <c r="AB29" s="625"/>
      <c r="AC29" s="625"/>
      <c r="AD29" s="625"/>
      <c r="AE29" s="631"/>
    </row>
    <row r="30" spans="1:31">
      <c r="A30" s="624" t="s">
        <v>206</v>
      </c>
      <c r="B30" s="625"/>
      <c r="C30" s="625"/>
      <c r="D30" s="625">
        <v>28</v>
      </c>
      <c r="E30" s="625"/>
      <c r="F30" s="625">
        <v>2490</v>
      </c>
      <c r="G30" s="626"/>
      <c r="H30" s="626"/>
      <c r="I30" s="626"/>
      <c r="J30" s="699">
        <v>624</v>
      </c>
      <c r="K30" s="626"/>
      <c r="L30" s="625" t="str">
        <f>IF(Table10[[#This Row],[Rental Rate ($/mth)]]&lt;&gt;"",IF(Table10[[#This Row],[Rental Rate ($/mth)]]&lt;='Input CMHC MLI Select'!$C$12,"No","Yes"),"")</f>
        <v>Yes</v>
      </c>
      <c r="M30" s="625" t="str">
        <f>IF(Table10[[#This Row],[Rental Rate ($/mth)]]&lt;&gt;"",IF(Table10[[#This Row],[Rental Rate ($/mth)]]&lt;='Input CMHC MLI Select'!$C$12,"Yes","No"),"")</f>
        <v>No</v>
      </c>
      <c r="N30" s="625"/>
      <c r="O30" s="625"/>
      <c r="P30" s="625"/>
      <c r="Q30" s="626"/>
      <c r="R30" s="626"/>
      <c r="S30" s="626"/>
      <c r="T30" s="625"/>
      <c r="U30" s="625"/>
      <c r="V30" s="625"/>
      <c r="W30" s="625"/>
      <c r="X30" s="625"/>
      <c r="Y30" s="625"/>
      <c r="Z30" s="625"/>
      <c r="AA30" s="625"/>
      <c r="AB30" s="625"/>
      <c r="AC30" s="625"/>
      <c r="AD30" s="625"/>
      <c r="AE30" s="631"/>
    </row>
    <row r="31" spans="1:31">
      <c r="A31" s="624" t="s">
        <v>206</v>
      </c>
      <c r="B31" s="625"/>
      <c r="C31" s="625"/>
      <c r="D31" s="625">
        <v>29</v>
      </c>
      <c r="E31" s="625"/>
      <c r="F31" s="625">
        <v>2490</v>
      </c>
      <c r="G31" s="626"/>
      <c r="H31" s="626"/>
      <c r="I31" s="626"/>
      <c r="J31" s="699">
        <v>624</v>
      </c>
      <c r="K31" s="626"/>
      <c r="L31" s="625" t="str">
        <f>IF(Table10[[#This Row],[Rental Rate ($/mth)]]&lt;&gt;"",IF(Table10[[#This Row],[Rental Rate ($/mth)]]&lt;='Input CMHC MLI Select'!$C$12,"No","Yes"),"")</f>
        <v>Yes</v>
      </c>
      <c r="M31" s="625" t="str">
        <f>IF(Table10[[#This Row],[Rental Rate ($/mth)]]&lt;&gt;"",IF(Table10[[#This Row],[Rental Rate ($/mth)]]&lt;='Input CMHC MLI Select'!$C$12,"Yes","No"),"")</f>
        <v>No</v>
      </c>
      <c r="N31" s="625"/>
      <c r="O31" s="625"/>
      <c r="P31" s="625"/>
      <c r="Q31" s="626"/>
      <c r="R31" s="626"/>
      <c r="S31" s="626"/>
      <c r="T31" s="625"/>
      <c r="U31" s="625"/>
      <c r="V31" s="625"/>
      <c r="W31" s="625"/>
      <c r="X31" s="625"/>
      <c r="Y31" s="625"/>
      <c r="Z31" s="625"/>
      <c r="AA31" s="625"/>
      <c r="AB31" s="625"/>
      <c r="AC31" s="625"/>
      <c r="AD31" s="625"/>
      <c r="AE31" s="631"/>
    </row>
    <row r="32" spans="1:31">
      <c r="A32" s="624" t="s">
        <v>206</v>
      </c>
      <c r="B32" s="625"/>
      <c r="C32" s="625"/>
      <c r="D32" s="625">
        <v>30</v>
      </c>
      <c r="E32" s="625"/>
      <c r="F32" s="625">
        <v>2490</v>
      </c>
      <c r="G32" s="626"/>
      <c r="H32" s="626"/>
      <c r="I32" s="626"/>
      <c r="J32" s="699">
        <v>624</v>
      </c>
      <c r="K32" s="626"/>
      <c r="L32" s="625" t="str">
        <f>IF(Table10[[#This Row],[Rental Rate ($/mth)]]&lt;&gt;"",IF(Table10[[#This Row],[Rental Rate ($/mth)]]&lt;='Input CMHC MLI Select'!$C$12,"No","Yes"),"")</f>
        <v>Yes</v>
      </c>
      <c r="M32" s="625" t="str">
        <f>IF(Table10[[#This Row],[Rental Rate ($/mth)]]&lt;&gt;"",IF(Table10[[#This Row],[Rental Rate ($/mth)]]&lt;='Input CMHC MLI Select'!$C$12,"Yes","No"),"")</f>
        <v>No</v>
      </c>
      <c r="N32" s="625"/>
      <c r="O32" s="625"/>
      <c r="P32" s="625"/>
      <c r="Q32" s="626"/>
      <c r="R32" s="626"/>
      <c r="S32" s="626"/>
      <c r="T32" s="625"/>
      <c r="U32" s="625"/>
      <c r="V32" s="625"/>
      <c r="W32" s="625"/>
      <c r="X32" s="625"/>
      <c r="Y32" s="625"/>
      <c r="Z32" s="625"/>
      <c r="AA32" s="625"/>
      <c r="AB32" s="625"/>
      <c r="AC32" s="625"/>
      <c r="AD32" s="625"/>
      <c r="AE32" s="631"/>
    </row>
    <row r="33" spans="1:31">
      <c r="A33" s="624" t="s">
        <v>206</v>
      </c>
      <c r="B33" s="625"/>
      <c r="C33" s="625"/>
      <c r="D33" s="625">
        <v>31</v>
      </c>
      <c r="E33" s="625"/>
      <c r="F33" s="625">
        <v>2490</v>
      </c>
      <c r="G33" s="626"/>
      <c r="H33" s="626"/>
      <c r="I33" s="626"/>
      <c r="J33" s="699">
        <v>624</v>
      </c>
      <c r="K33" s="626"/>
      <c r="L33" s="625" t="str">
        <f>IF(Table10[[#This Row],[Rental Rate ($/mth)]]&lt;&gt;"",IF(Table10[[#This Row],[Rental Rate ($/mth)]]&lt;='Input CMHC MLI Select'!$C$12,"No","Yes"),"")</f>
        <v>Yes</v>
      </c>
      <c r="M33" s="625" t="str">
        <f>IF(Table10[[#This Row],[Rental Rate ($/mth)]]&lt;&gt;"",IF(Table10[[#This Row],[Rental Rate ($/mth)]]&lt;='Input CMHC MLI Select'!$C$12,"Yes","No"),"")</f>
        <v>No</v>
      </c>
      <c r="N33" s="625"/>
      <c r="O33" s="625"/>
      <c r="P33" s="625"/>
      <c r="Q33" s="626"/>
      <c r="R33" s="626"/>
      <c r="S33" s="626"/>
      <c r="T33" s="625"/>
      <c r="U33" s="625"/>
      <c r="V33" s="625"/>
      <c r="W33" s="625"/>
      <c r="X33" s="625"/>
      <c r="Y33" s="625"/>
      <c r="Z33" s="625"/>
      <c r="AA33" s="625"/>
      <c r="AB33" s="625"/>
      <c r="AC33" s="625"/>
      <c r="AD33" s="625"/>
      <c r="AE33" s="631"/>
    </row>
    <row r="34" spans="1:31">
      <c r="A34" s="624" t="s">
        <v>206</v>
      </c>
      <c r="B34" s="625"/>
      <c r="C34" s="625"/>
      <c r="D34" s="625">
        <v>32</v>
      </c>
      <c r="E34" s="625"/>
      <c r="F34" s="625">
        <v>2490</v>
      </c>
      <c r="G34" s="626"/>
      <c r="H34" s="626"/>
      <c r="I34" s="626"/>
      <c r="J34" s="699">
        <v>624</v>
      </c>
      <c r="K34" s="626"/>
      <c r="L34" s="625" t="str">
        <f>IF(Table10[[#This Row],[Rental Rate ($/mth)]]&lt;&gt;"",IF(Table10[[#This Row],[Rental Rate ($/mth)]]&lt;='Input CMHC MLI Select'!$C$12,"No","Yes"),"")</f>
        <v>Yes</v>
      </c>
      <c r="M34" s="625" t="str">
        <f>IF(Table10[[#This Row],[Rental Rate ($/mth)]]&lt;&gt;"",IF(Table10[[#This Row],[Rental Rate ($/mth)]]&lt;='Input CMHC MLI Select'!$C$12,"Yes","No"),"")</f>
        <v>No</v>
      </c>
      <c r="N34" s="625"/>
      <c r="O34" s="625"/>
      <c r="P34" s="625"/>
      <c r="Q34" s="626"/>
      <c r="R34" s="626"/>
      <c r="S34" s="626"/>
      <c r="T34" s="625"/>
      <c r="U34" s="625"/>
      <c r="V34" s="625"/>
      <c r="W34" s="625"/>
      <c r="X34" s="625"/>
      <c r="Y34" s="625"/>
      <c r="Z34" s="625"/>
      <c r="AA34" s="625"/>
      <c r="AB34" s="625"/>
      <c r="AC34" s="625"/>
      <c r="AD34" s="625"/>
      <c r="AE34" s="631"/>
    </row>
    <row r="35" spans="1:31">
      <c r="A35" s="624" t="s">
        <v>206</v>
      </c>
      <c r="B35" s="625"/>
      <c r="C35" s="625"/>
      <c r="D35" s="625">
        <v>33</v>
      </c>
      <c r="E35" s="625"/>
      <c r="F35" s="625">
        <v>2490</v>
      </c>
      <c r="G35" s="626"/>
      <c r="H35" s="626"/>
      <c r="I35" s="626"/>
      <c r="J35" s="699">
        <v>624</v>
      </c>
      <c r="K35" s="626"/>
      <c r="L35" s="625" t="str">
        <f>IF(Table10[[#This Row],[Rental Rate ($/mth)]]&lt;&gt;"",IF(Table10[[#This Row],[Rental Rate ($/mth)]]&lt;='Input CMHC MLI Select'!$C$12,"No","Yes"),"")</f>
        <v>Yes</v>
      </c>
      <c r="M35" s="625" t="str">
        <f>IF(Table10[[#This Row],[Rental Rate ($/mth)]]&lt;&gt;"",IF(Table10[[#This Row],[Rental Rate ($/mth)]]&lt;='Input CMHC MLI Select'!$C$12,"Yes","No"),"")</f>
        <v>No</v>
      </c>
      <c r="N35" s="625"/>
      <c r="O35" s="625"/>
      <c r="P35" s="625"/>
      <c r="Q35" s="626"/>
      <c r="R35" s="626"/>
      <c r="S35" s="626"/>
      <c r="T35" s="625"/>
      <c r="U35" s="625"/>
      <c r="V35" s="625"/>
      <c r="W35" s="625"/>
      <c r="X35" s="625"/>
      <c r="Y35" s="625"/>
      <c r="Z35" s="625"/>
      <c r="AA35" s="625"/>
      <c r="AB35" s="625"/>
      <c r="AC35" s="625"/>
      <c r="AD35" s="625"/>
      <c r="AE35" s="631"/>
    </row>
    <row r="36" spans="1:31">
      <c r="A36" s="624" t="s">
        <v>206</v>
      </c>
      <c r="B36" s="625"/>
      <c r="C36" s="625"/>
      <c r="D36" s="625">
        <v>34</v>
      </c>
      <c r="E36" s="625"/>
      <c r="F36" s="625">
        <v>2490</v>
      </c>
      <c r="G36" s="626"/>
      <c r="H36" s="626"/>
      <c r="I36" s="626"/>
      <c r="J36" s="699">
        <v>624</v>
      </c>
      <c r="K36" s="626"/>
      <c r="L36" s="625" t="str">
        <f>IF(Table10[[#This Row],[Rental Rate ($/mth)]]&lt;&gt;"",IF(Table10[[#This Row],[Rental Rate ($/mth)]]&lt;='Input CMHC MLI Select'!$C$12,"No","Yes"),"")</f>
        <v>Yes</v>
      </c>
      <c r="M36" s="625" t="str">
        <f>IF(Table10[[#This Row],[Rental Rate ($/mth)]]&lt;&gt;"",IF(Table10[[#This Row],[Rental Rate ($/mth)]]&lt;='Input CMHC MLI Select'!$C$12,"Yes","No"),"")</f>
        <v>No</v>
      </c>
      <c r="N36" s="625"/>
      <c r="O36" s="625"/>
      <c r="P36" s="625"/>
      <c r="Q36" s="626"/>
      <c r="R36" s="626"/>
      <c r="S36" s="626"/>
      <c r="T36" s="625"/>
      <c r="U36" s="625"/>
      <c r="V36" s="625"/>
      <c r="W36" s="625"/>
      <c r="X36" s="625"/>
      <c r="Y36" s="625"/>
      <c r="Z36" s="625"/>
      <c r="AA36" s="625"/>
      <c r="AB36" s="625"/>
      <c r="AC36" s="625"/>
      <c r="AD36" s="625"/>
      <c r="AE36" s="631"/>
    </row>
    <row r="37" spans="1:31">
      <c r="A37" s="624" t="s">
        <v>206</v>
      </c>
      <c r="B37" s="625"/>
      <c r="C37" s="625"/>
      <c r="D37" s="625">
        <v>35</v>
      </c>
      <c r="E37" s="625"/>
      <c r="F37" s="625">
        <v>2490</v>
      </c>
      <c r="G37" s="626"/>
      <c r="H37" s="626"/>
      <c r="I37" s="626"/>
      <c r="J37" s="699">
        <v>624</v>
      </c>
      <c r="K37" s="626"/>
      <c r="L37" s="625" t="str">
        <f>IF(Table10[[#This Row],[Rental Rate ($/mth)]]&lt;&gt;"",IF(Table10[[#This Row],[Rental Rate ($/mth)]]&lt;='Input CMHC MLI Select'!$C$12,"No","Yes"),"")</f>
        <v>Yes</v>
      </c>
      <c r="M37" s="625" t="str">
        <f>IF(Table10[[#This Row],[Rental Rate ($/mth)]]&lt;&gt;"",IF(Table10[[#This Row],[Rental Rate ($/mth)]]&lt;='Input CMHC MLI Select'!$C$12,"Yes","No"),"")</f>
        <v>No</v>
      </c>
      <c r="N37" s="625"/>
      <c r="O37" s="625"/>
      <c r="P37" s="625"/>
      <c r="Q37" s="626"/>
      <c r="R37" s="626"/>
      <c r="S37" s="626"/>
      <c r="T37" s="625"/>
      <c r="U37" s="625"/>
      <c r="V37" s="625"/>
      <c r="W37" s="625"/>
      <c r="X37" s="625"/>
      <c r="Y37" s="625"/>
      <c r="Z37" s="625"/>
      <c r="AA37" s="625"/>
      <c r="AB37" s="625"/>
      <c r="AC37" s="625"/>
      <c r="AD37" s="625"/>
      <c r="AE37" s="631"/>
    </row>
    <row r="38" spans="1:31">
      <c r="A38" s="624" t="s">
        <v>206</v>
      </c>
      <c r="B38" s="625"/>
      <c r="C38" s="625"/>
      <c r="D38" s="625">
        <v>36</v>
      </c>
      <c r="E38" s="625"/>
      <c r="F38" s="625">
        <v>2490</v>
      </c>
      <c r="G38" s="626"/>
      <c r="H38" s="626"/>
      <c r="I38" s="626"/>
      <c r="J38" s="699">
        <v>624</v>
      </c>
      <c r="K38" s="626"/>
      <c r="L38" s="625" t="str">
        <f>IF(Table10[[#This Row],[Rental Rate ($/mth)]]&lt;&gt;"",IF(Table10[[#This Row],[Rental Rate ($/mth)]]&lt;='Input CMHC MLI Select'!$C$12,"No","Yes"),"")</f>
        <v>Yes</v>
      </c>
      <c r="M38" s="625" t="str">
        <f>IF(Table10[[#This Row],[Rental Rate ($/mth)]]&lt;&gt;"",IF(Table10[[#This Row],[Rental Rate ($/mth)]]&lt;='Input CMHC MLI Select'!$C$12,"Yes","No"),"")</f>
        <v>No</v>
      </c>
      <c r="N38" s="625"/>
      <c r="O38" s="625"/>
      <c r="P38" s="625"/>
      <c r="Q38" s="626"/>
      <c r="R38" s="626"/>
      <c r="S38" s="626"/>
      <c r="T38" s="625"/>
      <c r="U38" s="625"/>
      <c r="V38" s="625"/>
      <c r="W38" s="625"/>
      <c r="X38" s="625"/>
      <c r="Y38" s="625"/>
      <c r="Z38" s="625"/>
      <c r="AA38" s="625"/>
      <c r="AB38" s="625"/>
      <c r="AC38" s="625"/>
      <c r="AD38" s="625"/>
      <c r="AE38" s="631"/>
    </row>
    <row r="39" spans="1:31">
      <c r="A39" s="624" t="s">
        <v>206</v>
      </c>
      <c r="B39" s="625"/>
      <c r="C39" s="625"/>
      <c r="D39" s="625">
        <v>37</v>
      </c>
      <c r="E39" s="625"/>
      <c r="F39" s="625">
        <v>2490</v>
      </c>
      <c r="G39" s="626"/>
      <c r="H39" s="626"/>
      <c r="I39" s="626"/>
      <c r="J39" s="699">
        <v>624</v>
      </c>
      <c r="K39" s="626"/>
      <c r="L39" s="625" t="str">
        <f>IF(Table10[[#This Row],[Rental Rate ($/mth)]]&lt;&gt;"",IF(Table10[[#This Row],[Rental Rate ($/mth)]]&lt;='Input CMHC MLI Select'!$C$12,"No","Yes"),"")</f>
        <v>Yes</v>
      </c>
      <c r="M39" s="625" t="str">
        <f>IF(Table10[[#This Row],[Rental Rate ($/mth)]]&lt;&gt;"",IF(Table10[[#This Row],[Rental Rate ($/mth)]]&lt;='Input CMHC MLI Select'!$C$12,"Yes","No"),"")</f>
        <v>No</v>
      </c>
      <c r="N39" s="625"/>
      <c r="O39" s="625"/>
      <c r="P39" s="625"/>
      <c r="Q39" s="626"/>
      <c r="R39" s="626"/>
      <c r="S39" s="626"/>
      <c r="T39" s="625"/>
      <c r="U39" s="625"/>
      <c r="V39" s="625"/>
      <c r="W39" s="625"/>
      <c r="X39" s="625"/>
      <c r="Y39" s="625"/>
      <c r="Z39" s="625"/>
      <c r="AA39" s="625"/>
      <c r="AB39" s="625"/>
      <c r="AC39" s="625"/>
      <c r="AD39" s="625"/>
      <c r="AE39" s="631"/>
    </row>
    <row r="40" spans="1:31">
      <c r="A40" s="624" t="s">
        <v>206</v>
      </c>
      <c r="B40" s="625"/>
      <c r="C40" s="625"/>
      <c r="D40" s="625">
        <v>38</v>
      </c>
      <c r="E40" s="625"/>
      <c r="F40" s="625">
        <v>2490</v>
      </c>
      <c r="G40" s="626"/>
      <c r="H40" s="626"/>
      <c r="I40" s="626"/>
      <c r="J40" s="699">
        <v>624</v>
      </c>
      <c r="K40" s="626"/>
      <c r="L40" s="625" t="str">
        <f>IF(Table10[[#This Row],[Rental Rate ($/mth)]]&lt;&gt;"",IF(Table10[[#This Row],[Rental Rate ($/mth)]]&lt;='Input CMHC MLI Select'!$C$12,"No","Yes"),"")</f>
        <v>Yes</v>
      </c>
      <c r="M40" s="625" t="str">
        <f>IF(Table10[[#This Row],[Rental Rate ($/mth)]]&lt;&gt;"",IF(Table10[[#This Row],[Rental Rate ($/mth)]]&lt;='Input CMHC MLI Select'!$C$12,"Yes","No"),"")</f>
        <v>No</v>
      </c>
      <c r="N40" s="625"/>
      <c r="O40" s="625"/>
      <c r="P40" s="625"/>
      <c r="Q40" s="626"/>
      <c r="R40" s="626"/>
      <c r="S40" s="626"/>
      <c r="T40" s="625"/>
      <c r="U40" s="625"/>
      <c r="V40" s="625"/>
      <c r="W40" s="625"/>
      <c r="X40" s="625"/>
      <c r="Y40" s="625"/>
      <c r="Z40" s="625"/>
      <c r="AA40" s="625"/>
      <c r="AB40" s="625"/>
      <c r="AC40" s="625"/>
      <c r="AD40" s="625"/>
      <c r="AE40" s="631"/>
    </row>
    <row r="41" spans="1:31">
      <c r="A41" s="624" t="s">
        <v>206</v>
      </c>
      <c r="B41" s="625"/>
      <c r="C41" s="625"/>
      <c r="D41" s="625">
        <v>39</v>
      </c>
      <c r="E41" s="625"/>
      <c r="F41" s="625">
        <v>2490</v>
      </c>
      <c r="G41" s="626"/>
      <c r="H41" s="626"/>
      <c r="I41" s="626"/>
      <c r="J41" s="699">
        <v>624</v>
      </c>
      <c r="K41" s="626"/>
      <c r="L41" s="625" t="str">
        <f>IF(Table10[[#This Row],[Rental Rate ($/mth)]]&lt;&gt;"",IF(Table10[[#This Row],[Rental Rate ($/mth)]]&lt;='Input CMHC MLI Select'!$C$12,"No","Yes"),"")</f>
        <v>Yes</v>
      </c>
      <c r="M41" s="625" t="str">
        <f>IF(Table10[[#This Row],[Rental Rate ($/mth)]]&lt;&gt;"",IF(Table10[[#This Row],[Rental Rate ($/mth)]]&lt;='Input CMHC MLI Select'!$C$12,"Yes","No"),"")</f>
        <v>No</v>
      </c>
      <c r="N41" s="625"/>
      <c r="O41" s="625"/>
      <c r="P41" s="625"/>
      <c r="Q41" s="626"/>
      <c r="R41" s="626"/>
      <c r="S41" s="626"/>
      <c r="T41" s="625"/>
      <c r="U41" s="625"/>
      <c r="V41" s="625"/>
      <c r="W41" s="625"/>
      <c r="X41" s="625"/>
      <c r="Y41" s="625"/>
      <c r="Z41" s="625"/>
      <c r="AA41" s="625"/>
      <c r="AB41" s="625"/>
      <c r="AC41" s="625"/>
      <c r="AD41" s="625"/>
      <c r="AE41" s="631"/>
    </row>
    <row r="42" spans="1:31">
      <c r="A42" s="624" t="s">
        <v>206</v>
      </c>
      <c r="B42" s="625"/>
      <c r="C42" s="625"/>
      <c r="D42" s="625">
        <v>40</v>
      </c>
      <c r="E42" s="625"/>
      <c r="F42" s="625">
        <v>2490</v>
      </c>
      <c r="G42" s="626"/>
      <c r="H42" s="626"/>
      <c r="I42" s="626"/>
      <c r="J42" s="699">
        <v>624</v>
      </c>
      <c r="K42" s="626"/>
      <c r="L42" s="625" t="str">
        <f>IF(Table10[[#This Row],[Rental Rate ($/mth)]]&lt;&gt;"",IF(Table10[[#This Row],[Rental Rate ($/mth)]]&lt;='Input CMHC MLI Select'!$C$12,"No","Yes"),"")</f>
        <v>Yes</v>
      </c>
      <c r="M42" s="625" t="str">
        <f>IF(Table10[[#This Row],[Rental Rate ($/mth)]]&lt;&gt;"",IF(Table10[[#This Row],[Rental Rate ($/mth)]]&lt;='Input CMHC MLI Select'!$C$12,"Yes","No"),"")</f>
        <v>No</v>
      </c>
      <c r="N42" s="625"/>
      <c r="O42" s="625"/>
      <c r="P42" s="625"/>
      <c r="Q42" s="626"/>
      <c r="R42" s="626"/>
      <c r="S42" s="626"/>
      <c r="T42" s="625"/>
      <c r="U42" s="625"/>
      <c r="V42" s="625"/>
      <c r="W42" s="625"/>
      <c r="X42" s="625"/>
      <c r="Y42" s="625"/>
      <c r="Z42" s="625"/>
      <c r="AA42" s="625"/>
      <c r="AB42" s="625"/>
      <c r="AC42" s="625"/>
      <c r="AD42" s="625"/>
      <c r="AE42" s="631"/>
    </row>
    <row r="43" spans="1:31">
      <c r="A43" s="624" t="s">
        <v>206</v>
      </c>
      <c r="B43" s="625"/>
      <c r="C43" s="625"/>
      <c r="D43" s="625">
        <v>41</v>
      </c>
      <c r="E43" s="625"/>
      <c r="F43" s="625">
        <v>2490</v>
      </c>
      <c r="G43" s="626"/>
      <c r="H43" s="626"/>
      <c r="I43" s="626"/>
      <c r="J43" s="699">
        <v>624</v>
      </c>
      <c r="K43" s="626"/>
      <c r="L43" s="625" t="str">
        <f>IF(Table10[[#This Row],[Rental Rate ($/mth)]]&lt;&gt;"",IF(Table10[[#This Row],[Rental Rate ($/mth)]]&lt;='Input CMHC MLI Select'!$C$12,"No","Yes"),"")</f>
        <v>Yes</v>
      </c>
      <c r="M43" s="625" t="str">
        <f>IF(Table10[[#This Row],[Rental Rate ($/mth)]]&lt;&gt;"",IF(Table10[[#This Row],[Rental Rate ($/mth)]]&lt;='Input CMHC MLI Select'!$C$12,"Yes","No"),"")</f>
        <v>No</v>
      </c>
      <c r="N43" s="625"/>
      <c r="O43" s="625"/>
      <c r="P43" s="625"/>
      <c r="Q43" s="626"/>
      <c r="R43" s="626"/>
      <c r="S43" s="626"/>
      <c r="T43" s="625"/>
      <c r="U43" s="625"/>
      <c r="V43" s="625"/>
      <c r="W43" s="625"/>
      <c r="X43" s="625"/>
      <c r="Y43" s="625"/>
      <c r="Z43" s="625"/>
      <c r="AA43" s="625"/>
      <c r="AB43" s="625"/>
      <c r="AC43" s="625"/>
      <c r="AD43" s="625"/>
      <c r="AE43" s="631"/>
    </row>
    <row r="44" spans="1:31">
      <c r="A44" s="624" t="s">
        <v>206</v>
      </c>
      <c r="B44" s="625"/>
      <c r="C44" s="625"/>
      <c r="D44" s="625">
        <v>42</v>
      </c>
      <c r="E44" s="625"/>
      <c r="F44" s="625">
        <v>2490</v>
      </c>
      <c r="G44" s="626"/>
      <c r="H44" s="626"/>
      <c r="I44" s="626"/>
      <c r="J44" s="699">
        <v>624</v>
      </c>
      <c r="K44" s="626"/>
      <c r="L44" s="625" t="str">
        <f>IF(Table10[[#This Row],[Rental Rate ($/mth)]]&lt;&gt;"",IF(Table10[[#This Row],[Rental Rate ($/mth)]]&lt;='Input CMHC MLI Select'!$C$12,"No","Yes"),"")</f>
        <v>Yes</v>
      </c>
      <c r="M44" s="625" t="str">
        <f>IF(Table10[[#This Row],[Rental Rate ($/mth)]]&lt;&gt;"",IF(Table10[[#This Row],[Rental Rate ($/mth)]]&lt;='Input CMHC MLI Select'!$C$12,"Yes","No"),"")</f>
        <v>No</v>
      </c>
      <c r="N44" s="625"/>
      <c r="O44" s="625"/>
      <c r="P44" s="625"/>
      <c r="Q44" s="626"/>
      <c r="R44" s="626"/>
      <c r="S44" s="626"/>
      <c r="T44" s="625"/>
      <c r="U44" s="625"/>
      <c r="V44" s="625"/>
      <c r="W44" s="625"/>
      <c r="X44" s="625"/>
      <c r="Y44" s="625"/>
      <c r="Z44" s="625"/>
      <c r="AA44" s="625"/>
      <c r="AB44" s="625"/>
      <c r="AC44" s="625"/>
      <c r="AD44" s="625"/>
      <c r="AE44" s="631"/>
    </row>
    <row r="45" spans="1:31">
      <c r="A45" s="624" t="s">
        <v>206</v>
      </c>
      <c r="B45" s="625"/>
      <c r="C45" s="625"/>
      <c r="D45" s="625">
        <v>43</v>
      </c>
      <c r="E45" s="625"/>
      <c r="F45" s="625">
        <v>2490</v>
      </c>
      <c r="G45" s="626"/>
      <c r="H45" s="626"/>
      <c r="I45" s="626"/>
      <c r="J45" s="699">
        <v>624</v>
      </c>
      <c r="K45" s="626"/>
      <c r="L45" s="625" t="str">
        <f>IF(Table10[[#This Row],[Rental Rate ($/mth)]]&lt;&gt;"",IF(Table10[[#This Row],[Rental Rate ($/mth)]]&lt;='Input CMHC MLI Select'!$C$12,"No","Yes"),"")</f>
        <v>Yes</v>
      </c>
      <c r="M45" s="625" t="str">
        <f>IF(Table10[[#This Row],[Rental Rate ($/mth)]]&lt;&gt;"",IF(Table10[[#This Row],[Rental Rate ($/mth)]]&lt;='Input CMHC MLI Select'!$C$12,"Yes","No"),"")</f>
        <v>No</v>
      </c>
      <c r="N45" s="625"/>
      <c r="O45" s="625"/>
      <c r="P45" s="625"/>
      <c r="Q45" s="626"/>
      <c r="R45" s="626"/>
      <c r="S45" s="626"/>
      <c r="T45" s="625"/>
      <c r="U45" s="625"/>
      <c r="V45" s="625"/>
      <c r="W45" s="625"/>
      <c r="X45" s="625"/>
      <c r="Y45" s="625"/>
      <c r="Z45" s="625"/>
      <c r="AA45" s="625"/>
      <c r="AB45" s="625"/>
      <c r="AC45" s="625"/>
      <c r="AD45" s="625"/>
      <c r="AE45" s="631"/>
    </row>
    <row r="46" spans="1:31">
      <c r="A46" s="624" t="s">
        <v>206</v>
      </c>
      <c r="B46" s="625"/>
      <c r="C46" s="625"/>
      <c r="D46" s="625">
        <v>44</v>
      </c>
      <c r="E46" s="625"/>
      <c r="F46" s="625">
        <v>2490</v>
      </c>
      <c r="G46" s="626"/>
      <c r="H46" s="626"/>
      <c r="I46" s="626"/>
      <c r="J46" s="699">
        <v>624</v>
      </c>
      <c r="K46" s="626"/>
      <c r="L46" s="625" t="str">
        <f>IF(Table10[[#This Row],[Rental Rate ($/mth)]]&lt;&gt;"",IF(Table10[[#This Row],[Rental Rate ($/mth)]]&lt;='Input CMHC MLI Select'!$C$12,"No","Yes"),"")</f>
        <v>Yes</v>
      </c>
      <c r="M46" s="625" t="str">
        <f>IF(Table10[[#This Row],[Rental Rate ($/mth)]]&lt;&gt;"",IF(Table10[[#This Row],[Rental Rate ($/mth)]]&lt;='Input CMHC MLI Select'!$C$12,"Yes","No"),"")</f>
        <v>No</v>
      </c>
      <c r="N46" s="625"/>
      <c r="O46" s="625"/>
      <c r="P46" s="625"/>
      <c r="Q46" s="626"/>
      <c r="R46" s="626"/>
      <c r="S46" s="626"/>
      <c r="T46" s="625"/>
      <c r="U46" s="625"/>
      <c r="V46" s="625"/>
      <c r="W46" s="625"/>
      <c r="X46" s="625"/>
      <c r="Y46" s="625"/>
      <c r="Z46" s="625"/>
      <c r="AA46" s="625"/>
      <c r="AB46" s="625"/>
      <c r="AC46" s="625"/>
      <c r="AD46" s="625"/>
      <c r="AE46" s="631"/>
    </row>
    <row r="47" spans="1:31">
      <c r="A47" s="624" t="s">
        <v>206</v>
      </c>
      <c r="B47" s="625"/>
      <c r="C47" s="625"/>
      <c r="D47" s="625">
        <v>45</v>
      </c>
      <c r="E47" s="625"/>
      <c r="F47" s="625">
        <v>2490</v>
      </c>
      <c r="G47" s="626"/>
      <c r="H47" s="626"/>
      <c r="I47" s="626"/>
      <c r="J47" s="699">
        <v>624</v>
      </c>
      <c r="K47" s="626"/>
      <c r="L47" s="625" t="str">
        <f>IF(Table10[[#This Row],[Rental Rate ($/mth)]]&lt;&gt;"",IF(Table10[[#This Row],[Rental Rate ($/mth)]]&lt;='Input CMHC MLI Select'!$C$12,"No","Yes"),"")</f>
        <v>Yes</v>
      </c>
      <c r="M47" s="625" t="str">
        <f>IF(Table10[[#This Row],[Rental Rate ($/mth)]]&lt;&gt;"",IF(Table10[[#This Row],[Rental Rate ($/mth)]]&lt;='Input CMHC MLI Select'!$C$12,"Yes","No"),"")</f>
        <v>No</v>
      </c>
      <c r="N47" s="625"/>
      <c r="O47" s="625"/>
      <c r="P47" s="625"/>
      <c r="Q47" s="626"/>
      <c r="R47" s="626"/>
      <c r="S47" s="626"/>
      <c r="T47" s="625"/>
      <c r="U47" s="625"/>
      <c r="V47" s="625"/>
      <c r="W47" s="625"/>
      <c r="X47" s="625"/>
      <c r="Y47" s="625"/>
      <c r="Z47" s="625"/>
      <c r="AA47" s="625"/>
      <c r="AB47" s="625"/>
      <c r="AC47" s="625"/>
      <c r="AD47" s="625"/>
      <c r="AE47" s="631"/>
    </row>
    <row r="48" spans="1:31">
      <c r="A48" s="624" t="s">
        <v>206</v>
      </c>
      <c r="B48" s="625"/>
      <c r="C48" s="625"/>
      <c r="D48" s="625">
        <v>46</v>
      </c>
      <c r="E48" s="625"/>
      <c r="F48" s="625">
        <v>2490</v>
      </c>
      <c r="G48" s="626"/>
      <c r="H48" s="626"/>
      <c r="I48" s="626"/>
      <c r="J48" s="699">
        <v>624</v>
      </c>
      <c r="K48" s="626"/>
      <c r="L48" s="625" t="str">
        <f>IF(Table10[[#This Row],[Rental Rate ($/mth)]]&lt;&gt;"",IF(Table10[[#This Row],[Rental Rate ($/mth)]]&lt;='Input CMHC MLI Select'!$C$12,"No","Yes"),"")</f>
        <v>Yes</v>
      </c>
      <c r="M48" s="625" t="str">
        <f>IF(Table10[[#This Row],[Rental Rate ($/mth)]]&lt;&gt;"",IF(Table10[[#This Row],[Rental Rate ($/mth)]]&lt;='Input CMHC MLI Select'!$C$12,"Yes","No"),"")</f>
        <v>No</v>
      </c>
      <c r="N48" s="625"/>
      <c r="O48" s="625"/>
      <c r="P48" s="625"/>
      <c r="Q48" s="626"/>
      <c r="R48" s="626"/>
      <c r="S48" s="626"/>
      <c r="T48" s="625"/>
      <c r="U48" s="625"/>
      <c r="V48" s="625"/>
      <c r="W48" s="625"/>
      <c r="X48" s="625"/>
      <c r="Y48" s="625"/>
      <c r="Z48" s="625"/>
      <c r="AA48" s="625"/>
      <c r="AB48" s="625"/>
      <c r="AC48" s="625"/>
      <c r="AD48" s="625"/>
      <c r="AE48" s="631"/>
    </row>
    <row r="49" spans="1:31">
      <c r="A49" s="624" t="s">
        <v>206</v>
      </c>
      <c r="B49" s="625"/>
      <c r="C49" s="625"/>
      <c r="D49" s="625">
        <v>47</v>
      </c>
      <c r="E49" s="625"/>
      <c r="F49" s="625">
        <v>2490</v>
      </c>
      <c r="G49" s="626"/>
      <c r="H49" s="626"/>
      <c r="I49" s="626"/>
      <c r="J49" s="699">
        <v>624</v>
      </c>
      <c r="K49" s="626"/>
      <c r="L49" s="625" t="str">
        <f>IF(Table10[[#This Row],[Rental Rate ($/mth)]]&lt;&gt;"",IF(Table10[[#This Row],[Rental Rate ($/mth)]]&lt;='Input CMHC MLI Select'!$C$12,"No","Yes"),"")</f>
        <v>Yes</v>
      </c>
      <c r="M49" s="625" t="str">
        <f>IF(Table10[[#This Row],[Rental Rate ($/mth)]]&lt;&gt;"",IF(Table10[[#This Row],[Rental Rate ($/mth)]]&lt;='Input CMHC MLI Select'!$C$12,"Yes","No"),"")</f>
        <v>No</v>
      </c>
      <c r="N49" s="625"/>
      <c r="O49" s="625"/>
      <c r="P49" s="625"/>
      <c r="Q49" s="626"/>
      <c r="R49" s="626"/>
      <c r="S49" s="626"/>
      <c r="T49" s="625"/>
      <c r="U49" s="625"/>
      <c r="V49" s="625"/>
      <c r="W49" s="625"/>
      <c r="X49" s="625"/>
      <c r="Y49" s="625"/>
      <c r="Z49" s="625"/>
      <c r="AA49" s="625"/>
      <c r="AB49" s="625"/>
      <c r="AC49" s="625"/>
      <c r="AD49" s="625"/>
      <c r="AE49" s="631"/>
    </row>
    <row r="50" spans="1:31">
      <c r="A50" s="624" t="s">
        <v>206</v>
      </c>
      <c r="B50" s="625"/>
      <c r="C50" s="625"/>
      <c r="D50" s="625">
        <v>48</v>
      </c>
      <c r="E50" s="625"/>
      <c r="F50" s="625">
        <v>2490</v>
      </c>
      <c r="G50" s="626"/>
      <c r="H50" s="626"/>
      <c r="I50" s="626"/>
      <c r="J50" s="699">
        <v>624</v>
      </c>
      <c r="K50" s="626"/>
      <c r="L50" s="625" t="str">
        <f>IF(Table10[[#This Row],[Rental Rate ($/mth)]]&lt;&gt;"",IF(Table10[[#This Row],[Rental Rate ($/mth)]]&lt;='Input CMHC MLI Select'!$C$12,"No","Yes"),"")</f>
        <v>Yes</v>
      </c>
      <c r="M50" s="625" t="str">
        <f>IF(Table10[[#This Row],[Rental Rate ($/mth)]]&lt;&gt;"",IF(Table10[[#This Row],[Rental Rate ($/mth)]]&lt;='Input CMHC MLI Select'!$C$12,"Yes","No"),"")</f>
        <v>No</v>
      </c>
      <c r="N50" s="625"/>
      <c r="O50" s="625"/>
      <c r="P50" s="625"/>
      <c r="Q50" s="626"/>
      <c r="R50" s="626"/>
      <c r="S50" s="626"/>
      <c r="T50" s="625"/>
      <c r="U50" s="625"/>
      <c r="V50" s="625"/>
      <c r="W50" s="625"/>
      <c r="X50" s="625"/>
      <c r="Y50" s="625"/>
      <c r="Z50" s="625"/>
      <c r="AA50" s="625"/>
      <c r="AB50" s="625"/>
      <c r="AC50" s="625"/>
      <c r="AD50" s="625"/>
      <c r="AE50" s="631"/>
    </row>
    <row r="51" spans="1:31">
      <c r="A51" s="624" t="s">
        <v>206</v>
      </c>
      <c r="B51" s="625"/>
      <c r="C51" s="625"/>
      <c r="D51" s="625">
        <v>49</v>
      </c>
      <c r="E51" s="625"/>
      <c r="F51" s="625">
        <v>2490</v>
      </c>
      <c r="G51" s="626"/>
      <c r="H51" s="626"/>
      <c r="I51" s="626"/>
      <c r="J51" s="699">
        <v>624</v>
      </c>
      <c r="K51" s="626"/>
      <c r="L51" s="625" t="str">
        <f>IF(Table10[[#This Row],[Rental Rate ($/mth)]]&lt;&gt;"",IF(Table10[[#This Row],[Rental Rate ($/mth)]]&lt;='Input CMHC MLI Select'!$C$12,"No","Yes"),"")</f>
        <v>Yes</v>
      </c>
      <c r="M51" s="625" t="str">
        <f>IF(Table10[[#This Row],[Rental Rate ($/mth)]]&lt;&gt;"",IF(Table10[[#This Row],[Rental Rate ($/mth)]]&lt;='Input CMHC MLI Select'!$C$12,"Yes","No"),"")</f>
        <v>No</v>
      </c>
      <c r="N51" s="625"/>
      <c r="O51" s="625"/>
      <c r="P51" s="625"/>
      <c r="Q51" s="626"/>
      <c r="R51" s="626"/>
      <c r="S51" s="626"/>
      <c r="T51" s="625"/>
      <c r="U51" s="625"/>
      <c r="V51" s="625"/>
      <c r="W51" s="625"/>
      <c r="X51" s="625"/>
      <c r="Y51" s="625"/>
      <c r="Z51" s="625"/>
      <c r="AA51" s="625"/>
      <c r="AB51" s="625"/>
      <c r="AC51" s="625"/>
      <c r="AD51" s="625"/>
      <c r="AE51" s="631"/>
    </row>
    <row r="52" spans="1:31">
      <c r="A52" s="624" t="s">
        <v>206</v>
      </c>
      <c r="B52" s="625"/>
      <c r="C52" s="625"/>
      <c r="D52" s="625">
        <v>50</v>
      </c>
      <c r="E52" s="625"/>
      <c r="F52" s="625">
        <v>2490</v>
      </c>
      <c r="G52" s="626"/>
      <c r="H52" s="626"/>
      <c r="I52" s="626"/>
      <c r="J52" s="699">
        <v>624</v>
      </c>
      <c r="K52" s="626"/>
      <c r="L52" s="625" t="str">
        <f>IF(Table10[[#This Row],[Rental Rate ($/mth)]]&lt;&gt;"",IF(Table10[[#This Row],[Rental Rate ($/mth)]]&lt;='Input CMHC MLI Select'!$C$12,"No","Yes"),"")</f>
        <v>Yes</v>
      </c>
      <c r="M52" s="625" t="str">
        <f>IF(Table10[[#This Row],[Rental Rate ($/mth)]]&lt;&gt;"",IF(Table10[[#This Row],[Rental Rate ($/mth)]]&lt;='Input CMHC MLI Select'!$C$12,"Yes","No"),"")</f>
        <v>No</v>
      </c>
      <c r="N52" s="625"/>
      <c r="O52" s="625"/>
      <c r="P52" s="625"/>
      <c r="Q52" s="626"/>
      <c r="R52" s="626"/>
      <c r="S52" s="626"/>
      <c r="T52" s="625"/>
      <c r="U52" s="625"/>
      <c r="V52" s="625"/>
      <c r="W52" s="625"/>
      <c r="X52" s="625"/>
      <c r="Y52" s="625"/>
      <c r="Z52" s="625"/>
      <c r="AA52" s="625"/>
      <c r="AB52" s="625"/>
      <c r="AC52" s="625"/>
      <c r="AD52" s="625"/>
      <c r="AE52" s="631"/>
    </row>
    <row r="53" spans="1:31">
      <c r="A53" s="624" t="s">
        <v>206</v>
      </c>
      <c r="B53" s="625"/>
      <c r="C53" s="625"/>
      <c r="D53" s="625">
        <v>51</v>
      </c>
      <c r="E53" s="625"/>
      <c r="F53" s="625">
        <v>2490</v>
      </c>
      <c r="G53" s="626"/>
      <c r="H53" s="626"/>
      <c r="I53" s="626"/>
      <c r="J53" s="699">
        <v>624</v>
      </c>
      <c r="K53" s="626"/>
      <c r="L53" s="625" t="str">
        <f>IF(Table10[[#This Row],[Rental Rate ($/mth)]]&lt;&gt;"",IF(Table10[[#This Row],[Rental Rate ($/mth)]]&lt;='Input CMHC MLI Select'!$C$12,"No","Yes"),"")</f>
        <v>Yes</v>
      </c>
      <c r="M53" s="625" t="str">
        <f>IF(Table10[[#This Row],[Rental Rate ($/mth)]]&lt;&gt;"",IF(Table10[[#This Row],[Rental Rate ($/mth)]]&lt;='Input CMHC MLI Select'!$C$12,"Yes","No"),"")</f>
        <v>No</v>
      </c>
      <c r="N53" s="625"/>
      <c r="O53" s="625"/>
      <c r="P53" s="625"/>
      <c r="Q53" s="626"/>
      <c r="R53" s="626"/>
      <c r="S53" s="626"/>
      <c r="T53" s="625"/>
      <c r="U53" s="625"/>
      <c r="V53" s="625"/>
      <c r="W53" s="625"/>
      <c r="X53" s="625"/>
      <c r="Y53" s="625"/>
      <c r="Z53" s="625"/>
      <c r="AA53" s="625"/>
      <c r="AB53" s="625"/>
      <c r="AC53" s="625"/>
      <c r="AD53" s="625"/>
      <c r="AE53" s="631"/>
    </row>
    <row r="54" spans="1:31">
      <c r="A54" s="624" t="s">
        <v>206</v>
      </c>
      <c r="B54" s="625"/>
      <c r="C54" s="625"/>
      <c r="D54" s="625">
        <v>52</v>
      </c>
      <c r="E54" s="625"/>
      <c r="F54" s="625">
        <v>2490</v>
      </c>
      <c r="G54" s="626"/>
      <c r="H54" s="626"/>
      <c r="I54" s="626"/>
      <c r="J54" s="699">
        <v>624</v>
      </c>
      <c r="K54" s="626"/>
      <c r="L54" s="625" t="str">
        <f>IF(Table10[[#This Row],[Rental Rate ($/mth)]]&lt;&gt;"",IF(Table10[[#This Row],[Rental Rate ($/mth)]]&lt;='Input CMHC MLI Select'!$C$12,"No","Yes"),"")</f>
        <v>Yes</v>
      </c>
      <c r="M54" s="625" t="str">
        <f>IF(Table10[[#This Row],[Rental Rate ($/mth)]]&lt;&gt;"",IF(Table10[[#This Row],[Rental Rate ($/mth)]]&lt;='Input CMHC MLI Select'!$C$12,"Yes","No"),"")</f>
        <v>No</v>
      </c>
      <c r="N54" s="625"/>
      <c r="O54" s="625"/>
      <c r="P54" s="625"/>
      <c r="Q54" s="626"/>
      <c r="R54" s="626"/>
      <c r="S54" s="626"/>
      <c r="T54" s="625"/>
      <c r="U54" s="625"/>
      <c r="V54" s="625"/>
      <c r="W54" s="625"/>
      <c r="X54" s="625"/>
      <c r="Y54" s="625"/>
      <c r="Z54" s="625"/>
      <c r="AA54" s="625"/>
      <c r="AB54" s="625"/>
      <c r="AC54" s="625"/>
      <c r="AD54" s="625"/>
      <c r="AE54" s="631"/>
    </row>
    <row r="55" spans="1:31">
      <c r="A55" s="624" t="s">
        <v>206</v>
      </c>
      <c r="B55" s="625"/>
      <c r="C55" s="625"/>
      <c r="D55" s="625">
        <v>53</v>
      </c>
      <c r="E55" s="625"/>
      <c r="F55" s="625">
        <v>2490</v>
      </c>
      <c r="G55" s="626"/>
      <c r="H55" s="626"/>
      <c r="I55" s="626"/>
      <c r="J55" s="699">
        <v>624</v>
      </c>
      <c r="K55" s="626"/>
      <c r="L55" s="625" t="str">
        <f>IF(Table10[[#This Row],[Rental Rate ($/mth)]]&lt;&gt;"",IF(Table10[[#This Row],[Rental Rate ($/mth)]]&lt;='Input CMHC MLI Select'!$C$12,"No","Yes"),"")</f>
        <v>Yes</v>
      </c>
      <c r="M55" s="625" t="str">
        <f>IF(Table10[[#This Row],[Rental Rate ($/mth)]]&lt;&gt;"",IF(Table10[[#This Row],[Rental Rate ($/mth)]]&lt;='Input CMHC MLI Select'!$C$12,"Yes","No"),"")</f>
        <v>No</v>
      </c>
      <c r="N55" s="625"/>
      <c r="O55" s="625"/>
      <c r="P55" s="625"/>
      <c r="Q55" s="626"/>
      <c r="R55" s="626"/>
      <c r="S55" s="626"/>
      <c r="T55" s="625"/>
      <c r="U55" s="625"/>
      <c r="V55" s="625"/>
      <c r="W55" s="625"/>
      <c r="X55" s="625"/>
      <c r="Y55" s="625"/>
      <c r="Z55" s="625"/>
      <c r="AA55" s="625"/>
      <c r="AB55" s="625"/>
      <c r="AC55" s="625"/>
      <c r="AD55" s="625"/>
      <c r="AE55" s="631"/>
    </row>
    <row r="56" spans="1:31">
      <c r="A56" s="624" t="s">
        <v>206</v>
      </c>
      <c r="B56" s="625"/>
      <c r="C56" s="625"/>
      <c r="D56" s="625">
        <v>54</v>
      </c>
      <c r="E56" s="625"/>
      <c r="F56" s="625">
        <v>2490</v>
      </c>
      <c r="G56" s="626"/>
      <c r="H56" s="626"/>
      <c r="I56" s="626"/>
      <c r="J56" s="699">
        <v>624</v>
      </c>
      <c r="K56" s="626"/>
      <c r="L56" s="625" t="str">
        <f>IF(Table10[[#This Row],[Rental Rate ($/mth)]]&lt;&gt;"",IF(Table10[[#This Row],[Rental Rate ($/mth)]]&lt;='Input CMHC MLI Select'!$C$12,"No","Yes"),"")</f>
        <v>Yes</v>
      </c>
      <c r="M56" s="625" t="str">
        <f>IF(Table10[[#This Row],[Rental Rate ($/mth)]]&lt;&gt;"",IF(Table10[[#This Row],[Rental Rate ($/mth)]]&lt;='Input CMHC MLI Select'!$C$12,"Yes","No"),"")</f>
        <v>No</v>
      </c>
      <c r="N56" s="625"/>
      <c r="O56" s="625"/>
      <c r="P56" s="625"/>
      <c r="Q56" s="626"/>
      <c r="R56" s="626"/>
      <c r="S56" s="626"/>
      <c r="T56" s="625"/>
      <c r="U56" s="625"/>
      <c r="V56" s="625"/>
      <c r="W56" s="625"/>
      <c r="X56" s="625"/>
      <c r="Y56" s="625"/>
      <c r="Z56" s="625"/>
      <c r="AA56" s="625"/>
      <c r="AB56" s="625"/>
      <c r="AC56" s="625"/>
      <c r="AD56" s="625"/>
      <c r="AE56" s="631"/>
    </row>
    <row r="57" spans="1:31">
      <c r="A57" s="624" t="s">
        <v>206</v>
      </c>
      <c r="B57" s="625"/>
      <c r="C57" s="625"/>
      <c r="D57" s="625">
        <v>55</v>
      </c>
      <c r="E57" s="625"/>
      <c r="F57" s="625">
        <v>2490</v>
      </c>
      <c r="G57" s="626"/>
      <c r="H57" s="626"/>
      <c r="I57" s="626"/>
      <c r="J57" s="699">
        <v>624</v>
      </c>
      <c r="K57" s="626"/>
      <c r="L57" s="625" t="str">
        <f>IF(Table10[[#This Row],[Rental Rate ($/mth)]]&lt;&gt;"",IF(Table10[[#This Row],[Rental Rate ($/mth)]]&lt;='Input CMHC MLI Select'!$C$12,"No","Yes"),"")</f>
        <v>Yes</v>
      </c>
      <c r="M57" s="625" t="str">
        <f>IF(Table10[[#This Row],[Rental Rate ($/mth)]]&lt;&gt;"",IF(Table10[[#This Row],[Rental Rate ($/mth)]]&lt;='Input CMHC MLI Select'!$C$12,"Yes","No"),"")</f>
        <v>No</v>
      </c>
      <c r="N57" s="625"/>
      <c r="O57" s="625"/>
      <c r="P57" s="625"/>
      <c r="Q57" s="626"/>
      <c r="R57" s="626"/>
      <c r="S57" s="626"/>
      <c r="T57" s="625"/>
      <c r="U57" s="625"/>
      <c r="V57" s="625"/>
      <c r="W57" s="625"/>
      <c r="X57" s="625"/>
      <c r="Y57" s="625"/>
      <c r="Z57" s="625"/>
      <c r="AA57" s="625"/>
      <c r="AB57" s="625"/>
      <c r="AC57" s="625"/>
      <c r="AD57" s="625"/>
      <c r="AE57" s="631"/>
    </row>
    <row r="58" spans="1:31">
      <c r="A58" s="624" t="s">
        <v>206</v>
      </c>
      <c r="B58" s="625"/>
      <c r="C58" s="625"/>
      <c r="D58" s="625">
        <v>56</v>
      </c>
      <c r="E58" s="625"/>
      <c r="F58" s="625">
        <v>2490</v>
      </c>
      <c r="G58" s="626"/>
      <c r="H58" s="626"/>
      <c r="I58" s="626"/>
      <c r="J58" s="699">
        <v>624</v>
      </c>
      <c r="K58" s="626"/>
      <c r="L58" s="625" t="str">
        <f>IF(Table10[[#This Row],[Rental Rate ($/mth)]]&lt;&gt;"",IF(Table10[[#This Row],[Rental Rate ($/mth)]]&lt;='Input CMHC MLI Select'!$C$12,"No","Yes"),"")</f>
        <v>Yes</v>
      </c>
      <c r="M58" s="625" t="str">
        <f>IF(Table10[[#This Row],[Rental Rate ($/mth)]]&lt;&gt;"",IF(Table10[[#This Row],[Rental Rate ($/mth)]]&lt;='Input CMHC MLI Select'!$C$12,"Yes","No"),"")</f>
        <v>No</v>
      </c>
      <c r="N58" s="625"/>
      <c r="O58" s="625"/>
      <c r="P58" s="625"/>
      <c r="Q58" s="626"/>
      <c r="R58" s="626"/>
      <c r="S58" s="626"/>
      <c r="T58" s="625"/>
      <c r="U58" s="625"/>
      <c r="V58" s="625"/>
      <c r="W58" s="625"/>
      <c r="X58" s="625"/>
      <c r="Y58" s="625"/>
      <c r="Z58" s="625"/>
      <c r="AA58" s="625"/>
      <c r="AB58" s="625"/>
      <c r="AC58" s="625"/>
      <c r="AD58" s="625"/>
      <c r="AE58" s="631"/>
    </row>
    <row r="59" spans="1:31">
      <c r="A59" s="624" t="s">
        <v>206</v>
      </c>
      <c r="B59" s="625"/>
      <c r="C59" s="625"/>
      <c r="D59" s="625">
        <v>57</v>
      </c>
      <c r="E59" s="625"/>
      <c r="F59" s="625">
        <v>2490</v>
      </c>
      <c r="G59" s="626"/>
      <c r="H59" s="626"/>
      <c r="I59" s="626"/>
      <c r="J59" s="699">
        <v>624</v>
      </c>
      <c r="K59" s="626"/>
      <c r="L59" s="625" t="str">
        <f>IF(Table10[[#This Row],[Rental Rate ($/mth)]]&lt;&gt;"",IF(Table10[[#This Row],[Rental Rate ($/mth)]]&lt;='Input CMHC MLI Select'!$C$12,"No","Yes"),"")</f>
        <v>Yes</v>
      </c>
      <c r="M59" s="625" t="str">
        <f>IF(Table10[[#This Row],[Rental Rate ($/mth)]]&lt;&gt;"",IF(Table10[[#This Row],[Rental Rate ($/mth)]]&lt;='Input CMHC MLI Select'!$C$12,"Yes","No"),"")</f>
        <v>No</v>
      </c>
      <c r="N59" s="625"/>
      <c r="O59" s="625"/>
      <c r="P59" s="625"/>
      <c r="Q59" s="626"/>
      <c r="R59" s="626"/>
      <c r="S59" s="626"/>
      <c r="T59" s="625"/>
      <c r="U59" s="625"/>
      <c r="V59" s="625"/>
      <c r="W59" s="625"/>
      <c r="X59" s="625"/>
      <c r="Y59" s="625"/>
      <c r="Z59" s="625"/>
      <c r="AA59" s="625"/>
      <c r="AB59" s="625"/>
      <c r="AC59" s="625"/>
      <c r="AD59" s="625"/>
      <c r="AE59" s="631"/>
    </row>
    <row r="60" spans="1:31">
      <c r="A60" s="624" t="s">
        <v>206</v>
      </c>
      <c r="B60" s="625"/>
      <c r="C60" s="625"/>
      <c r="D60" s="625">
        <v>58</v>
      </c>
      <c r="E60" s="625"/>
      <c r="F60" s="625">
        <v>2490</v>
      </c>
      <c r="G60" s="626"/>
      <c r="H60" s="626"/>
      <c r="I60" s="626"/>
      <c r="J60" s="699">
        <v>624</v>
      </c>
      <c r="K60" s="626"/>
      <c r="L60" s="625" t="str">
        <f>IF(Table10[[#This Row],[Rental Rate ($/mth)]]&lt;&gt;"",IF(Table10[[#This Row],[Rental Rate ($/mth)]]&lt;='Input CMHC MLI Select'!$C$12,"No","Yes"),"")</f>
        <v>Yes</v>
      </c>
      <c r="M60" s="625" t="str">
        <f>IF(Table10[[#This Row],[Rental Rate ($/mth)]]&lt;&gt;"",IF(Table10[[#This Row],[Rental Rate ($/mth)]]&lt;='Input CMHC MLI Select'!$C$12,"Yes","No"),"")</f>
        <v>No</v>
      </c>
      <c r="N60" s="625"/>
      <c r="O60" s="625"/>
      <c r="P60" s="625"/>
      <c r="Q60" s="626"/>
      <c r="R60" s="626"/>
      <c r="S60" s="626"/>
      <c r="T60" s="625"/>
      <c r="U60" s="625"/>
      <c r="V60" s="625"/>
      <c r="W60" s="625"/>
      <c r="X60" s="625"/>
      <c r="Y60" s="625"/>
      <c r="Z60" s="625"/>
      <c r="AA60" s="625"/>
      <c r="AB60" s="625"/>
      <c r="AC60" s="625"/>
      <c r="AD60" s="625"/>
      <c r="AE60" s="631"/>
    </row>
    <row r="61" spans="1:31">
      <c r="A61" s="624" t="s">
        <v>206</v>
      </c>
      <c r="B61" s="625"/>
      <c r="C61" s="625"/>
      <c r="D61" s="625">
        <v>59</v>
      </c>
      <c r="E61" s="625"/>
      <c r="F61" s="625">
        <v>2490</v>
      </c>
      <c r="G61" s="626"/>
      <c r="H61" s="626"/>
      <c r="I61" s="626"/>
      <c r="J61" s="699">
        <v>624</v>
      </c>
      <c r="K61" s="626"/>
      <c r="L61" s="625" t="str">
        <f>IF(Table10[[#This Row],[Rental Rate ($/mth)]]&lt;&gt;"",IF(Table10[[#This Row],[Rental Rate ($/mth)]]&lt;='Input CMHC MLI Select'!$C$12,"No","Yes"),"")</f>
        <v>Yes</v>
      </c>
      <c r="M61" s="625" t="str">
        <f>IF(Table10[[#This Row],[Rental Rate ($/mth)]]&lt;&gt;"",IF(Table10[[#This Row],[Rental Rate ($/mth)]]&lt;='Input CMHC MLI Select'!$C$12,"Yes","No"),"")</f>
        <v>No</v>
      </c>
      <c r="N61" s="625"/>
      <c r="O61" s="625"/>
      <c r="P61" s="625"/>
      <c r="Q61" s="626"/>
      <c r="R61" s="626"/>
      <c r="S61" s="626"/>
      <c r="T61" s="625"/>
      <c r="U61" s="625"/>
      <c r="V61" s="625"/>
      <c r="W61" s="625"/>
      <c r="X61" s="625"/>
      <c r="Y61" s="625"/>
      <c r="Z61" s="625"/>
      <c r="AA61" s="625"/>
      <c r="AB61" s="625"/>
      <c r="AC61" s="625"/>
      <c r="AD61" s="625"/>
      <c r="AE61" s="631"/>
    </row>
    <row r="62" spans="1:31">
      <c r="A62" s="624" t="s">
        <v>206</v>
      </c>
      <c r="B62" s="625"/>
      <c r="C62" s="625"/>
      <c r="D62" s="625">
        <v>60</v>
      </c>
      <c r="E62" s="625"/>
      <c r="F62" s="625">
        <v>2490</v>
      </c>
      <c r="G62" s="626"/>
      <c r="H62" s="626"/>
      <c r="I62" s="626"/>
      <c r="J62" s="699">
        <v>624</v>
      </c>
      <c r="K62" s="626"/>
      <c r="L62" s="625" t="str">
        <f>IF(Table10[[#This Row],[Rental Rate ($/mth)]]&lt;&gt;"",IF(Table10[[#This Row],[Rental Rate ($/mth)]]&lt;='Input CMHC MLI Select'!$C$12,"No","Yes"),"")</f>
        <v>Yes</v>
      </c>
      <c r="M62" s="625" t="str">
        <f>IF(Table10[[#This Row],[Rental Rate ($/mth)]]&lt;&gt;"",IF(Table10[[#This Row],[Rental Rate ($/mth)]]&lt;='Input CMHC MLI Select'!$C$12,"Yes","No"),"")</f>
        <v>No</v>
      </c>
      <c r="N62" s="625"/>
      <c r="O62" s="625"/>
      <c r="P62" s="625"/>
      <c r="Q62" s="626"/>
      <c r="R62" s="626"/>
      <c r="S62" s="626"/>
      <c r="T62" s="625"/>
      <c r="U62" s="625"/>
      <c r="V62" s="625"/>
      <c r="W62" s="625"/>
      <c r="X62" s="625"/>
      <c r="Y62" s="625"/>
      <c r="Z62" s="625"/>
      <c r="AA62" s="625"/>
      <c r="AB62" s="625"/>
      <c r="AC62" s="625"/>
      <c r="AD62" s="625"/>
      <c r="AE62" s="631"/>
    </row>
    <row r="63" spans="1:31">
      <c r="A63" s="624" t="s">
        <v>206</v>
      </c>
      <c r="B63" s="625"/>
      <c r="C63" s="625"/>
      <c r="D63" s="625">
        <v>61</v>
      </c>
      <c r="E63" s="625"/>
      <c r="F63" s="625">
        <v>2490</v>
      </c>
      <c r="G63" s="626"/>
      <c r="H63" s="626"/>
      <c r="I63" s="626"/>
      <c r="J63" s="699">
        <v>624</v>
      </c>
      <c r="K63" s="626"/>
      <c r="L63" s="625" t="str">
        <f>IF(Table10[[#This Row],[Rental Rate ($/mth)]]&lt;&gt;"",IF(Table10[[#This Row],[Rental Rate ($/mth)]]&lt;='Input CMHC MLI Select'!$C$12,"No","Yes"),"")</f>
        <v>Yes</v>
      </c>
      <c r="M63" s="625" t="str">
        <f>IF(Table10[[#This Row],[Rental Rate ($/mth)]]&lt;&gt;"",IF(Table10[[#This Row],[Rental Rate ($/mth)]]&lt;='Input CMHC MLI Select'!$C$12,"Yes","No"),"")</f>
        <v>No</v>
      </c>
      <c r="N63" s="625"/>
      <c r="O63" s="625"/>
      <c r="P63" s="625"/>
      <c r="Q63" s="626"/>
      <c r="R63" s="626"/>
      <c r="S63" s="626"/>
      <c r="T63" s="625"/>
      <c r="U63" s="625"/>
      <c r="V63" s="625"/>
      <c r="W63" s="625"/>
      <c r="X63" s="625"/>
      <c r="Y63" s="625"/>
      <c r="Z63" s="625"/>
      <c r="AA63" s="625"/>
      <c r="AB63" s="625"/>
      <c r="AC63" s="625"/>
      <c r="AD63" s="625"/>
      <c r="AE63" s="631"/>
    </row>
    <row r="64" spans="1:31">
      <c r="A64" s="624" t="s">
        <v>206</v>
      </c>
      <c r="B64" s="625"/>
      <c r="C64" s="625"/>
      <c r="D64" s="625">
        <v>62</v>
      </c>
      <c r="E64" s="625"/>
      <c r="F64" s="625">
        <v>2490</v>
      </c>
      <c r="G64" s="626"/>
      <c r="H64" s="626"/>
      <c r="I64" s="626"/>
      <c r="J64" s="699">
        <v>624</v>
      </c>
      <c r="K64" s="626"/>
      <c r="L64" s="625" t="str">
        <f>IF(Table10[[#This Row],[Rental Rate ($/mth)]]&lt;&gt;"",IF(Table10[[#This Row],[Rental Rate ($/mth)]]&lt;='Input CMHC MLI Select'!$C$12,"No","Yes"),"")</f>
        <v>Yes</v>
      </c>
      <c r="M64" s="625" t="str">
        <f>IF(Table10[[#This Row],[Rental Rate ($/mth)]]&lt;&gt;"",IF(Table10[[#This Row],[Rental Rate ($/mth)]]&lt;='Input CMHC MLI Select'!$C$12,"Yes","No"),"")</f>
        <v>No</v>
      </c>
      <c r="N64" s="625"/>
      <c r="O64" s="625"/>
      <c r="P64" s="625"/>
      <c r="Q64" s="626"/>
      <c r="R64" s="626"/>
      <c r="S64" s="626"/>
      <c r="T64" s="625"/>
      <c r="U64" s="625"/>
      <c r="V64" s="625"/>
      <c r="W64" s="625"/>
      <c r="X64" s="625"/>
      <c r="Y64" s="625"/>
      <c r="Z64" s="625"/>
      <c r="AA64" s="625"/>
      <c r="AB64" s="625"/>
      <c r="AC64" s="625"/>
      <c r="AD64" s="625"/>
      <c r="AE64" s="631"/>
    </row>
    <row r="65" spans="1:31">
      <c r="A65" s="624" t="s">
        <v>206</v>
      </c>
      <c r="B65" s="625"/>
      <c r="C65" s="625"/>
      <c r="D65" s="625">
        <v>63</v>
      </c>
      <c r="E65" s="625"/>
      <c r="F65" s="625">
        <v>2490</v>
      </c>
      <c r="G65" s="626"/>
      <c r="H65" s="626"/>
      <c r="I65" s="626"/>
      <c r="J65" s="699">
        <v>624</v>
      </c>
      <c r="K65" s="626"/>
      <c r="L65" s="625" t="str">
        <f>IF(Table10[[#This Row],[Rental Rate ($/mth)]]&lt;&gt;"",IF(Table10[[#This Row],[Rental Rate ($/mth)]]&lt;='Input CMHC MLI Select'!$C$12,"No","Yes"),"")</f>
        <v>Yes</v>
      </c>
      <c r="M65" s="625" t="str">
        <f>IF(Table10[[#This Row],[Rental Rate ($/mth)]]&lt;&gt;"",IF(Table10[[#This Row],[Rental Rate ($/mth)]]&lt;='Input CMHC MLI Select'!$C$12,"Yes","No"),"")</f>
        <v>No</v>
      </c>
      <c r="N65" s="625"/>
      <c r="O65" s="625"/>
      <c r="P65" s="625"/>
      <c r="Q65" s="626"/>
      <c r="R65" s="626"/>
      <c r="S65" s="626"/>
      <c r="T65" s="625"/>
      <c r="U65" s="625"/>
      <c r="V65" s="625"/>
      <c r="W65" s="625"/>
      <c r="X65" s="625"/>
      <c r="Y65" s="625"/>
      <c r="Z65" s="625"/>
      <c r="AA65" s="625"/>
      <c r="AB65" s="625"/>
      <c r="AC65" s="625"/>
      <c r="AD65" s="625"/>
      <c r="AE65" s="631"/>
    </row>
    <row r="66" spans="1:31">
      <c r="A66" s="624" t="s">
        <v>206</v>
      </c>
      <c r="B66" s="625"/>
      <c r="C66" s="625"/>
      <c r="D66" s="625">
        <v>64</v>
      </c>
      <c r="E66" s="625"/>
      <c r="F66" s="625">
        <v>2490</v>
      </c>
      <c r="G66" s="626"/>
      <c r="H66" s="626"/>
      <c r="I66" s="626"/>
      <c r="J66" s="699">
        <v>624</v>
      </c>
      <c r="K66" s="626"/>
      <c r="L66" s="625" t="str">
        <f>IF(Table10[[#This Row],[Rental Rate ($/mth)]]&lt;&gt;"",IF(Table10[[#This Row],[Rental Rate ($/mth)]]&lt;='Input CMHC MLI Select'!$C$12,"No","Yes"),"")</f>
        <v>Yes</v>
      </c>
      <c r="M66" s="625" t="str">
        <f>IF(Table10[[#This Row],[Rental Rate ($/mth)]]&lt;&gt;"",IF(Table10[[#This Row],[Rental Rate ($/mth)]]&lt;='Input CMHC MLI Select'!$C$12,"Yes","No"),"")</f>
        <v>No</v>
      </c>
      <c r="N66" s="625"/>
      <c r="O66" s="625"/>
      <c r="P66" s="625"/>
      <c r="Q66" s="626"/>
      <c r="R66" s="626"/>
      <c r="S66" s="626"/>
      <c r="T66" s="625"/>
      <c r="U66" s="625"/>
      <c r="V66" s="625"/>
      <c r="W66" s="625"/>
      <c r="X66" s="625"/>
      <c r="Y66" s="625"/>
      <c r="Z66" s="625"/>
      <c r="AA66" s="625"/>
      <c r="AB66" s="625"/>
      <c r="AC66" s="625"/>
      <c r="AD66" s="625"/>
      <c r="AE66" s="631"/>
    </row>
    <row r="67" spans="1:31">
      <c r="A67" s="624" t="s">
        <v>206</v>
      </c>
      <c r="B67" s="625"/>
      <c r="C67" s="625"/>
      <c r="D67" s="625">
        <v>65</v>
      </c>
      <c r="E67" s="625"/>
      <c r="F67" s="625">
        <v>2490</v>
      </c>
      <c r="G67" s="626"/>
      <c r="H67" s="626"/>
      <c r="I67" s="626"/>
      <c r="J67" s="699">
        <v>624</v>
      </c>
      <c r="K67" s="626"/>
      <c r="L67" s="625" t="str">
        <f>IF(Table10[[#This Row],[Rental Rate ($/mth)]]&lt;&gt;"",IF(Table10[[#This Row],[Rental Rate ($/mth)]]&lt;='Input CMHC MLI Select'!$C$12,"No","Yes"),"")</f>
        <v>Yes</v>
      </c>
      <c r="M67" s="625" t="str">
        <f>IF(Table10[[#This Row],[Rental Rate ($/mth)]]&lt;&gt;"",IF(Table10[[#This Row],[Rental Rate ($/mth)]]&lt;='Input CMHC MLI Select'!$C$12,"Yes","No"),"")</f>
        <v>No</v>
      </c>
      <c r="N67" s="625"/>
      <c r="O67" s="625"/>
      <c r="P67" s="625"/>
      <c r="Q67" s="626"/>
      <c r="R67" s="626"/>
      <c r="S67" s="626"/>
      <c r="T67" s="625"/>
      <c r="U67" s="625"/>
      <c r="V67" s="625"/>
      <c r="W67" s="625"/>
      <c r="X67" s="625"/>
      <c r="Y67" s="625"/>
      <c r="Z67" s="625"/>
      <c r="AA67" s="625"/>
      <c r="AB67" s="625"/>
      <c r="AC67" s="625"/>
      <c r="AD67" s="625"/>
      <c r="AE67" s="631"/>
    </row>
    <row r="68" spans="1:31">
      <c r="A68" s="624" t="s">
        <v>206</v>
      </c>
      <c r="B68" s="625"/>
      <c r="C68" s="625"/>
      <c r="D68" s="625">
        <v>66</v>
      </c>
      <c r="E68" s="625"/>
      <c r="F68" s="625">
        <v>2490</v>
      </c>
      <c r="G68" s="626"/>
      <c r="H68" s="626"/>
      <c r="I68" s="626"/>
      <c r="J68" s="699">
        <v>624</v>
      </c>
      <c r="K68" s="626"/>
      <c r="L68" s="625" t="str">
        <f>IF(Table10[[#This Row],[Rental Rate ($/mth)]]&lt;&gt;"",IF(Table10[[#This Row],[Rental Rate ($/mth)]]&lt;='Input CMHC MLI Select'!$C$12,"No","Yes"),"")</f>
        <v>Yes</v>
      </c>
      <c r="M68" s="625" t="str">
        <f>IF(Table10[[#This Row],[Rental Rate ($/mth)]]&lt;&gt;"",IF(Table10[[#This Row],[Rental Rate ($/mth)]]&lt;='Input CMHC MLI Select'!$C$12,"Yes","No"),"")</f>
        <v>No</v>
      </c>
      <c r="N68" s="625"/>
      <c r="O68" s="625"/>
      <c r="P68" s="625"/>
      <c r="Q68" s="626"/>
      <c r="R68" s="626"/>
      <c r="S68" s="626"/>
      <c r="T68" s="625"/>
      <c r="U68" s="625"/>
      <c r="V68" s="625"/>
      <c r="W68" s="625"/>
      <c r="X68" s="625"/>
      <c r="Y68" s="625"/>
      <c r="Z68" s="625"/>
      <c r="AA68" s="625"/>
      <c r="AB68" s="625"/>
      <c r="AC68" s="625"/>
      <c r="AD68" s="625"/>
      <c r="AE68" s="631"/>
    </row>
    <row r="69" spans="1:31">
      <c r="A69" s="624" t="s">
        <v>206</v>
      </c>
      <c r="B69" s="625"/>
      <c r="C69" s="625"/>
      <c r="D69" s="625">
        <v>67</v>
      </c>
      <c r="E69" s="625"/>
      <c r="F69" s="625">
        <v>2490</v>
      </c>
      <c r="G69" s="626"/>
      <c r="H69" s="626"/>
      <c r="I69" s="626"/>
      <c r="J69" s="699">
        <v>624</v>
      </c>
      <c r="K69" s="626"/>
      <c r="L69" s="625" t="str">
        <f>IF(Table10[[#This Row],[Rental Rate ($/mth)]]&lt;&gt;"",IF(Table10[[#This Row],[Rental Rate ($/mth)]]&lt;='Input CMHC MLI Select'!$C$12,"No","Yes"),"")</f>
        <v>Yes</v>
      </c>
      <c r="M69" s="625" t="str">
        <f>IF(Table10[[#This Row],[Rental Rate ($/mth)]]&lt;&gt;"",IF(Table10[[#This Row],[Rental Rate ($/mth)]]&lt;='Input CMHC MLI Select'!$C$12,"Yes","No"),"")</f>
        <v>No</v>
      </c>
      <c r="N69" s="625"/>
      <c r="O69" s="625"/>
      <c r="P69" s="625"/>
      <c r="Q69" s="626"/>
      <c r="R69" s="626"/>
      <c r="S69" s="626"/>
      <c r="T69" s="625"/>
      <c r="U69" s="625"/>
      <c r="V69" s="625"/>
      <c r="W69" s="625"/>
      <c r="X69" s="625"/>
      <c r="Y69" s="625"/>
      <c r="Z69" s="625"/>
      <c r="AA69" s="625"/>
      <c r="AB69" s="625"/>
      <c r="AC69" s="625"/>
      <c r="AD69" s="625"/>
      <c r="AE69" s="631"/>
    </row>
    <row r="70" spans="1:31">
      <c r="A70" s="624" t="s">
        <v>206</v>
      </c>
      <c r="B70" s="625"/>
      <c r="C70" s="625"/>
      <c r="D70" s="625">
        <v>68</v>
      </c>
      <c r="E70" s="625"/>
      <c r="F70" s="625">
        <v>2490</v>
      </c>
      <c r="G70" s="626"/>
      <c r="H70" s="626"/>
      <c r="I70" s="626"/>
      <c r="J70" s="699">
        <v>624</v>
      </c>
      <c r="K70" s="626"/>
      <c r="L70" s="625" t="str">
        <f>IF(Table10[[#This Row],[Rental Rate ($/mth)]]&lt;&gt;"",IF(Table10[[#This Row],[Rental Rate ($/mth)]]&lt;='Input CMHC MLI Select'!$C$12,"No","Yes"),"")</f>
        <v>Yes</v>
      </c>
      <c r="M70" s="625" t="str">
        <f>IF(Table10[[#This Row],[Rental Rate ($/mth)]]&lt;&gt;"",IF(Table10[[#This Row],[Rental Rate ($/mth)]]&lt;='Input CMHC MLI Select'!$C$12,"Yes","No"),"")</f>
        <v>No</v>
      </c>
      <c r="N70" s="625"/>
      <c r="O70" s="625"/>
      <c r="P70" s="625"/>
      <c r="Q70" s="626"/>
      <c r="R70" s="626"/>
      <c r="S70" s="626"/>
      <c r="T70" s="625"/>
      <c r="U70" s="625"/>
      <c r="V70" s="625"/>
      <c r="W70" s="625"/>
      <c r="X70" s="625"/>
      <c r="Y70" s="625"/>
      <c r="Z70" s="625"/>
      <c r="AA70" s="625"/>
      <c r="AB70" s="625"/>
      <c r="AC70" s="625"/>
      <c r="AD70" s="625"/>
      <c r="AE70" s="631"/>
    </row>
    <row r="71" spans="1:31">
      <c r="A71" s="624" t="s">
        <v>206</v>
      </c>
      <c r="B71" s="625"/>
      <c r="C71" s="625"/>
      <c r="D71" s="625">
        <v>69</v>
      </c>
      <c r="E71" s="625"/>
      <c r="F71" s="625">
        <v>2490</v>
      </c>
      <c r="G71" s="626"/>
      <c r="H71" s="626"/>
      <c r="I71" s="626"/>
      <c r="J71" s="699">
        <v>624</v>
      </c>
      <c r="K71" s="626"/>
      <c r="L71" s="625" t="str">
        <f>IF(Table10[[#This Row],[Rental Rate ($/mth)]]&lt;&gt;"",IF(Table10[[#This Row],[Rental Rate ($/mth)]]&lt;='Input CMHC MLI Select'!$C$12,"No","Yes"),"")</f>
        <v>Yes</v>
      </c>
      <c r="M71" s="625" t="str">
        <f>IF(Table10[[#This Row],[Rental Rate ($/mth)]]&lt;&gt;"",IF(Table10[[#This Row],[Rental Rate ($/mth)]]&lt;='Input CMHC MLI Select'!$C$12,"Yes","No"),"")</f>
        <v>No</v>
      </c>
      <c r="N71" s="625"/>
      <c r="O71" s="625"/>
      <c r="P71" s="625"/>
      <c r="Q71" s="626"/>
      <c r="R71" s="626"/>
      <c r="S71" s="626"/>
      <c r="T71" s="625"/>
      <c r="U71" s="625"/>
      <c r="V71" s="625"/>
      <c r="W71" s="625"/>
      <c r="X71" s="625"/>
      <c r="Y71" s="625"/>
      <c r="Z71" s="625"/>
      <c r="AA71" s="625"/>
      <c r="AB71" s="625"/>
      <c r="AC71" s="625"/>
      <c r="AD71" s="625"/>
      <c r="AE71" s="631"/>
    </row>
    <row r="72" spans="1:31">
      <c r="A72" s="624" t="s">
        <v>206</v>
      </c>
      <c r="B72" s="625"/>
      <c r="C72" s="625"/>
      <c r="D72" s="625">
        <v>70</v>
      </c>
      <c r="E72" s="625"/>
      <c r="F72" s="625">
        <v>2490</v>
      </c>
      <c r="G72" s="626"/>
      <c r="H72" s="626"/>
      <c r="I72" s="626"/>
      <c r="J72" s="699">
        <v>624</v>
      </c>
      <c r="K72" s="626"/>
      <c r="L72" s="625" t="str">
        <f>IF(Table10[[#This Row],[Rental Rate ($/mth)]]&lt;&gt;"",IF(Table10[[#This Row],[Rental Rate ($/mth)]]&lt;='Input CMHC MLI Select'!$C$12,"No","Yes"),"")</f>
        <v>Yes</v>
      </c>
      <c r="M72" s="625" t="str">
        <f>IF(Table10[[#This Row],[Rental Rate ($/mth)]]&lt;&gt;"",IF(Table10[[#This Row],[Rental Rate ($/mth)]]&lt;='Input CMHC MLI Select'!$C$12,"Yes","No"),"")</f>
        <v>No</v>
      </c>
      <c r="N72" s="625"/>
      <c r="O72" s="625"/>
      <c r="P72" s="625"/>
      <c r="Q72" s="626"/>
      <c r="R72" s="626"/>
      <c r="S72" s="626"/>
      <c r="T72" s="625"/>
      <c r="U72" s="625"/>
      <c r="V72" s="625"/>
      <c r="W72" s="625"/>
      <c r="X72" s="625"/>
      <c r="Y72" s="625"/>
      <c r="Z72" s="625"/>
      <c r="AA72" s="625"/>
      <c r="AB72" s="625"/>
      <c r="AC72" s="625"/>
      <c r="AD72" s="625"/>
      <c r="AE72" s="631"/>
    </row>
    <row r="73" spans="1:31">
      <c r="A73" s="624" t="s">
        <v>206</v>
      </c>
      <c r="B73" s="625"/>
      <c r="C73" s="625"/>
      <c r="D73" s="625">
        <v>71</v>
      </c>
      <c r="E73" s="625"/>
      <c r="F73" s="625">
        <v>2490</v>
      </c>
      <c r="G73" s="626"/>
      <c r="H73" s="626"/>
      <c r="I73" s="626"/>
      <c r="J73" s="699">
        <v>624</v>
      </c>
      <c r="K73" s="626"/>
      <c r="L73" s="625" t="str">
        <f>IF(Table10[[#This Row],[Rental Rate ($/mth)]]&lt;&gt;"",IF(Table10[[#This Row],[Rental Rate ($/mth)]]&lt;='Input CMHC MLI Select'!$C$12,"No","Yes"),"")</f>
        <v>Yes</v>
      </c>
      <c r="M73" s="625" t="str">
        <f>IF(Table10[[#This Row],[Rental Rate ($/mth)]]&lt;&gt;"",IF(Table10[[#This Row],[Rental Rate ($/mth)]]&lt;='Input CMHC MLI Select'!$C$12,"Yes","No"),"")</f>
        <v>No</v>
      </c>
      <c r="N73" s="625"/>
      <c r="O73" s="625"/>
      <c r="P73" s="625"/>
      <c r="Q73" s="626"/>
      <c r="R73" s="626"/>
      <c r="S73" s="626"/>
      <c r="T73" s="625"/>
      <c r="U73" s="625"/>
      <c r="V73" s="625"/>
      <c r="W73" s="625"/>
      <c r="X73" s="625"/>
      <c r="Y73" s="625"/>
      <c r="Z73" s="625"/>
      <c r="AA73" s="625"/>
      <c r="AB73" s="625"/>
      <c r="AC73" s="625"/>
      <c r="AD73" s="625"/>
      <c r="AE73" s="631"/>
    </row>
    <row r="74" spans="1:31">
      <c r="A74" s="624" t="s">
        <v>206</v>
      </c>
      <c r="B74" s="625"/>
      <c r="C74" s="625"/>
      <c r="D74" s="625">
        <v>72</v>
      </c>
      <c r="E74" s="625"/>
      <c r="F74" s="625">
        <v>2490</v>
      </c>
      <c r="G74" s="626"/>
      <c r="H74" s="626"/>
      <c r="I74" s="626"/>
      <c r="J74" s="699">
        <v>624</v>
      </c>
      <c r="K74" s="626"/>
      <c r="L74" s="625" t="str">
        <f>IF(Table10[[#This Row],[Rental Rate ($/mth)]]&lt;&gt;"",IF(Table10[[#This Row],[Rental Rate ($/mth)]]&lt;='Input CMHC MLI Select'!$C$12,"No","Yes"),"")</f>
        <v>Yes</v>
      </c>
      <c r="M74" s="625" t="str">
        <f>IF(Table10[[#This Row],[Rental Rate ($/mth)]]&lt;&gt;"",IF(Table10[[#This Row],[Rental Rate ($/mth)]]&lt;='Input CMHC MLI Select'!$C$12,"Yes","No"),"")</f>
        <v>No</v>
      </c>
      <c r="N74" s="625"/>
      <c r="O74" s="625"/>
      <c r="P74" s="625"/>
      <c r="Q74" s="626"/>
      <c r="R74" s="626"/>
      <c r="S74" s="626"/>
      <c r="T74" s="625"/>
      <c r="U74" s="625"/>
      <c r="V74" s="625"/>
      <c r="W74" s="625"/>
      <c r="X74" s="625"/>
      <c r="Y74" s="625"/>
      <c r="Z74" s="625"/>
      <c r="AA74" s="625"/>
      <c r="AB74" s="625"/>
      <c r="AC74" s="625"/>
      <c r="AD74" s="625"/>
      <c r="AE74" s="631"/>
    </row>
    <row r="75" spans="1:31">
      <c r="A75" s="624" t="s">
        <v>206</v>
      </c>
      <c r="B75" s="625"/>
      <c r="C75" s="625"/>
      <c r="D75" s="625">
        <v>73</v>
      </c>
      <c r="E75" s="625"/>
      <c r="F75" s="625">
        <v>2490</v>
      </c>
      <c r="G75" s="626"/>
      <c r="H75" s="626"/>
      <c r="I75" s="626"/>
      <c r="J75" s="699">
        <v>624</v>
      </c>
      <c r="K75" s="626"/>
      <c r="L75" s="625" t="str">
        <f>IF(Table10[[#This Row],[Rental Rate ($/mth)]]&lt;&gt;"",IF(Table10[[#This Row],[Rental Rate ($/mth)]]&lt;='Input CMHC MLI Select'!$C$12,"No","Yes"),"")</f>
        <v>Yes</v>
      </c>
      <c r="M75" s="625" t="str">
        <f>IF(Table10[[#This Row],[Rental Rate ($/mth)]]&lt;&gt;"",IF(Table10[[#This Row],[Rental Rate ($/mth)]]&lt;='Input CMHC MLI Select'!$C$12,"Yes","No"),"")</f>
        <v>No</v>
      </c>
      <c r="N75" s="625"/>
      <c r="O75" s="625"/>
      <c r="P75" s="625"/>
      <c r="Q75" s="626"/>
      <c r="R75" s="626"/>
      <c r="S75" s="626"/>
      <c r="T75" s="625"/>
      <c r="U75" s="625"/>
      <c r="V75" s="625"/>
      <c r="W75" s="625"/>
      <c r="X75" s="625"/>
      <c r="Y75" s="625"/>
      <c r="Z75" s="625"/>
      <c r="AA75" s="625"/>
      <c r="AB75" s="625"/>
      <c r="AC75" s="625"/>
      <c r="AD75" s="625"/>
      <c r="AE75" s="631"/>
    </row>
    <row r="76" spans="1:31">
      <c r="A76" s="624" t="s">
        <v>206</v>
      </c>
      <c r="B76" s="625"/>
      <c r="C76" s="625"/>
      <c r="D76" s="625">
        <v>74</v>
      </c>
      <c r="E76" s="625"/>
      <c r="F76" s="625">
        <v>2490</v>
      </c>
      <c r="G76" s="626"/>
      <c r="H76" s="626"/>
      <c r="I76" s="626"/>
      <c r="J76" s="699">
        <v>624</v>
      </c>
      <c r="K76" s="626"/>
      <c r="L76" s="625" t="str">
        <f>IF(Table10[[#This Row],[Rental Rate ($/mth)]]&lt;&gt;"",IF(Table10[[#This Row],[Rental Rate ($/mth)]]&lt;='Input CMHC MLI Select'!$C$12,"No","Yes"),"")</f>
        <v>Yes</v>
      </c>
      <c r="M76" s="625" t="str">
        <f>IF(Table10[[#This Row],[Rental Rate ($/mth)]]&lt;&gt;"",IF(Table10[[#This Row],[Rental Rate ($/mth)]]&lt;='Input CMHC MLI Select'!$C$12,"Yes","No"),"")</f>
        <v>No</v>
      </c>
      <c r="N76" s="625"/>
      <c r="O76" s="625"/>
      <c r="P76" s="625"/>
      <c r="Q76" s="626"/>
      <c r="R76" s="626"/>
      <c r="S76" s="626"/>
      <c r="T76" s="625"/>
      <c r="U76" s="625"/>
      <c r="V76" s="625"/>
      <c r="W76" s="625"/>
      <c r="X76" s="625"/>
      <c r="Y76" s="625"/>
      <c r="Z76" s="625"/>
      <c r="AA76" s="625"/>
      <c r="AB76" s="625"/>
      <c r="AC76" s="625"/>
      <c r="AD76" s="625"/>
      <c r="AE76" s="631"/>
    </row>
    <row r="77" spans="1:31">
      <c r="A77" s="624" t="s">
        <v>206</v>
      </c>
      <c r="B77" s="625"/>
      <c r="C77" s="625"/>
      <c r="D77" s="625">
        <v>75</v>
      </c>
      <c r="E77" s="625"/>
      <c r="F77" s="625">
        <v>2490</v>
      </c>
      <c r="G77" s="626"/>
      <c r="H77" s="626"/>
      <c r="I77" s="626"/>
      <c r="J77" s="699">
        <v>624</v>
      </c>
      <c r="K77" s="626"/>
      <c r="L77" s="625" t="str">
        <f>IF(Table10[[#This Row],[Rental Rate ($/mth)]]&lt;&gt;"",IF(Table10[[#This Row],[Rental Rate ($/mth)]]&lt;='Input CMHC MLI Select'!$C$12,"No","Yes"),"")</f>
        <v>Yes</v>
      </c>
      <c r="M77" s="625" t="str">
        <f>IF(Table10[[#This Row],[Rental Rate ($/mth)]]&lt;&gt;"",IF(Table10[[#This Row],[Rental Rate ($/mth)]]&lt;='Input CMHC MLI Select'!$C$12,"Yes","No"),"")</f>
        <v>No</v>
      </c>
      <c r="N77" s="625"/>
      <c r="O77" s="625"/>
      <c r="P77" s="625"/>
      <c r="Q77" s="626"/>
      <c r="R77" s="626"/>
      <c r="S77" s="626"/>
      <c r="T77" s="625"/>
      <c r="U77" s="625"/>
      <c r="V77" s="625"/>
      <c r="W77" s="625"/>
      <c r="X77" s="625"/>
      <c r="Y77" s="625"/>
      <c r="Z77" s="625"/>
      <c r="AA77" s="625"/>
      <c r="AB77" s="625"/>
      <c r="AC77" s="625"/>
      <c r="AD77" s="625"/>
      <c r="AE77" s="631"/>
    </row>
    <row r="78" spans="1:31">
      <c r="A78" s="624" t="s">
        <v>206</v>
      </c>
      <c r="B78" s="625"/>
      <c r="C78" s="625"/>
      <c r="D78" s="625">
        <v>76</v>
      </c>
      <c r="E78" s="625"/>
      <c r="F78" s="625">
        <v>2490</v>
      </c>
      <c r="G78" s="626"/>
      <c r="H78" s="626"/>
      <c r="I78" s="626"/>
      <c r="J78" s="699">
        <v>624</v>
      </c>
      <c r="K78" s="626"/>
      <c r="L78" s="625" t="str">
        <f>IF(Table10[[#This Row],[Rental Rate ($/mth)]]&lt;&gt;"",IF(Table10[[#This Row],[Rental Rate ($/mth)]]&lt;='Input CMHC MLI Select'!$C$12,"No","Yes"),"")</f>
        <v>Yes</v>
      </c>
      <c r="M78" s="625" t="str">
        <f>IF(Table10[[#This Row],[Rental Rate ($/mth)]]&lt;&gt;"",IF(Table10[[#This Row],[Rental Rate ($/mth)]]&lt;='Input CMHC MLI Select'!$C$12,"Yes","No"),"")</f>
        <v>No</v>
      </c>
      <c r="N78" s="625"/>
      <c r="O78" s="625"/>
      <c r="P78" s="625"/>
      <c r="Q78" s="626"/>
      <c r="R78" s="626"/>
      <c r="S78" s="626"/>
      <c r="T78" s="625"/>
      <c r="U78" s="625"/>
      <c r="V78" s="625"/>
      <c r="W78" s="625"/>
      <c r="X78" s="625"/>
      <c r="Y78" s="625"/>
      <c r="Z78" s="625"/>
      <c r="AA78" s="625"/>
      <c r="AB78" s="625"/>
      <c r="AC78" s="625"/>
      <c r="AD78" s="625"/>
      <c r="AE78" s="631"/>
    </row>
    <row r="79" spans="1:31">
      <c r="A79" s="624" t="s">
        <v>206</v>
      </c>
      <c r="B79" s="625"/>
      <c r="C79" s="625"/>
      <c r="D79" s="625">
        <v>77</v>
      </c>
      <c r="E79" s="625"/>
      <c r="F79" s="625">
        <v>2490</v>
      </c>
      <c r="G79" s="626"/>
      <c r="H79" s="626"/>
      <c r="I79" s="626"/>
      <c r="J79" s="699">
        <v>624</v>
      </c>
      <c r="K79" s="626"/>
      <c r="L79" s="625" t="str">
        <f>IF(Table10[[#This Row],[Rental Rate ($/mth)]]&lt;&gt;"",IF(Table10[[#This Row],[Rental Rate ($/mth)]]&lt;='Input CMHC MLI Select'!$C$12,"No","Yes"),"")</f>
        <v>Yes</v>
      </c>
      <c r="M79" s="625" t="str">
        <f>IF(Table10[[#This Row],[Rental Rate ($/mth)]]&lt;&gt;"",IF(Table10[[#This Row],[Rental Rate ($/mth)]]&lt;='Input CMHC MLI Select'!$C$12,"Yes","No"),"")</f>
        <v>No</v>
      </c>
      <c r="N79" s="625"/>
      <c r="O79" s="625"/>
      <c r="P79" s="625"/>
      <c r="Q79" s="626"/>
      <c r="R79" s="626"/>
      <c r="S79" s="626"/>
      <c r="T79" s="625"/>
      <c r="U79" s="625"/>
      <c r="V79" s="625"/>
      <c r="W79" s="625"/>
      <c r="X79" s="625"/>
      <c r="Y79" s="625"/>
      <c r="Z79" s="625"/>
      <c r="AA79" s="625"/>
      <c r="AB79" s="625"/>
      <c r="AC79" s="625"/>
      <c r="AD79" s="625"/>
      <c r="AE79" s="631"/>
    </row>
    <row r="80" spans="1:31">
      <c r="A80" s="624" t="s">
        <v>206</v>
      </c>
      <c r="B80" s="625"/>
      <c r="C80" s="625"/>
      <c r="D80" s="625">
        <v>78</v>
      </c>
      <c r="E80" s="625"/>
      <c r="F80" s="625">
        <v>2490</v>
      </c>
      <c r="G80" s="626"/>
      <c r="H80" s="626"/>
      <c r="I80" s="626"/>
      <c r="J80" s="699">
        <v>624</v>
      </c>
      <c r="K80" s="626"/>
      <c r="L80" s="625" t="str">
        <f>IF(Table10[[#This Row],[Rental Rate ($/mth)]]&lt;&gt;"",IF(Table10[[#This Row],[Rental Rate ($/mth)]]&lt;='Input CMHC MLI Select'!$C$12,"No","Yes"),"")</f>
        <v>Yes</v>
      </c>
      <c r="M80" s="625" t="str">
        <f>IF(Table10[[#This Row],[Rental Rate ($/mth)]]&lt;&gt;"",IF(Table10[[#This Row],[Rental Rate ($/mth)]]&lt;='Input CMHC MLI Select'!$C$12,"Yes","No"),"")</f>
        <v>No</v>
      </c>
      <c r="N80" s="625"/>
      <c r="O80" s="625"/>
      <c r="P80" s="625"/>
      <c r="Q80" s="626"/>
      <c r="R80" s="626"/>
      <c r="S80" s="626"/>
      <c r="T80" s="625"/>
      <c r="U80" s="625"/>
      <c r="V80" s="625"/>
      <c r="W80" s="625"/>
      <c r="X80" s="625"/>
      <c r="Y80" s="625"/>
      <c r="Z80" s="625"/>
      <c r="AA80" s="625"/>
      <c r="AB80" s="625"/>
      <c r="AC80" s="625"/>
      <c r="AD80" s="625"/>
      <c r="AE80" s="631"/>
    </row>
    <row r="81" spans="1:31">
      <c r="A81" s="624" t="s">
        <v>206</v>
      </c>
      <c r="B81" s="625"/>
      <c r="C81" s="625"/>
      <c r="D81" s="625">
        <v>79</v>
      </c>
      <c r="E81" s="625"/>
      <c r="F81" s="625">
        <v>2490</v>
      </c>
      <c r="G81" s="626"/>
      <c r="H81" s="626"/>
      <c r="I81" s="626"/>
      <c r="J81" s="699">
        <v>624</v>
      </c>
      <c r="K81" s="626"/>
      <c r="L81" s="625" t="str">
        <f>IF(Table10[[#This Row],[Rental Rate ($/mth)]]&lt;&gt;"",IF(Table10[[#This Row],[Rental Rate ($/mth)]]&lt;='Input CMHC MLI Select'!$C$12,"No","Yes"),"")</f>
        <v>Yes</v>
      </c>
      <c r="M81" s="625" t="str">
        <f>IF(Table10[[#This Row],[Rental Rate ($/mth)]]&lt;&gt;"",IF(Table10[[#This Row],[Rental Rate ($/mth)]]&lt;='Input CMHC MLI Select'!$C$12,"Yes","No"),"")</f>
        <v>No</v>
      </c>
      <c r="N81" s="625"/>
      <c r="O81" s="625"/>
      <c r="P81" s="625"/>
      <c r="Q81" s="626"/>
      <c r="R81" s="626"/>
      <c r="S81" s="626"/>
      <c r="T81" s="625"/>
      <c r="U81" s="625"/>
      <c r="V81" s="625"/>
      <c r="W81" s="625"/>
      <c r="X81" s="625"/>
      <c r="Y81" s="625"/>
      <c r="Z81" s="625"/>
      <c r="AA81" s="625"/>
      <c r="AB81" s="625"/>
      <c r="AC81" s="625"/>
      <c r="AD81" s="625"/>
      <c r="AE81" s="631"/>
    </row>
    <row r="82" spans="1:31">
      <c r="A82" s="624" t="s">
        <v>206</v>
      </c>
      <c r="B82" s="625"/>
      <c r="C82" s="625"/>
      <c r="D82" s="625">
        <v>80</v>
      </c>
      <c r="E82" s="625"/>
      <c r="F82" s="625">
        <v>2490</v>
      </c>
      <c r="G82" s="626"/>
      <c r="H82" s="626"/>
      <c r="I82" s="626"/>
      <c r="J82" s="699">
        <v>624</v>
      </c>
      <c r="K82" s="626"/>
      <c r="L82" s="625" t="str">
        <f>IF(Table10[[#This Row],[Rental Rate ($/mth)]]&lt;&gt;"",IF(Table10[[#This Row],[Rental Rate ($/mth)]]&lt;='Input CMHC MLI Select'!$C$12,"No","Yes"),"")</f>
        <v>Yes</v>
      </c>
      <c r="M82" s="625" t="str">
        <f>IF(Table10[[#This Row],[Rental Rate ($/mth)]]&lt;&gt;"",IF(Table10[[#This Row],[Rental Rate ($/mth)]]&lt;='Input CMHC MLI Select'!$C$12,"Yes","No"),"")</f>
        <v>No</v>
      </c>
      <c r="N82" s="625"/>
      <c r="O82" s="625"/>
      <c r="P82" s="625"/>
      <c r="Q82" s="626"/>
      <c r="R82" s="626"/>
      <c r="S82" s="626"/>
      <c r="T82" s="625"/>
      <c r="U82" s="625"/>
      <c r="V82" s="625"/>
      <c r="W82" s="625"/>
      <c r="X82" s="625"/>
      <c r="Y82" s="625"/>
      <c r="Z82" s="625"/>
      <c r="AA82" s="625"/>
      <c r="AB82" s="625"/>
      <c r="AC82" s="625"/>
      <c r="AD82" s="625"/>
      <c r="AE82" s="631"/>
    </row>
    <row r="83" spans="1:31">
      <c r="A83" s="624" t="s">
        <v>206</v>
      </c>
      <c r="B83" s="625"/>
      <c r="C83" s="625"/>
      <c r="D83" s="625">
        <v>81</v>
      </c>
      <c r="E83" s="625"/>
      <c r="F83" s="625">
        <v>2490</v>
      </c>
      <c r="G83" s="626"/>
      <c r="H83" s="626"/>
      <c r="I83" s="626"/>
      <c r="J83" s="699">
        <v>624</v>
      </c>
      <c r="K83" s="626"/>
      <c r="L83" s="625" t="str">
        <f>IF(Table10[[#This Row],[Rental Rate ($/mth)]]&lt;&gt;"",IF(Table10[[#This Row],[Rental Rate ($/mth)]]&lt;='Input CMHC MLI Select'!$C$12,"No","Yes"),"")</f>
        <v>Yes</v>
      </c>
      <c r="M83" s="625" t="str">
        <f>IF(Table10[[#This Row],[Rental Rate ($/mth)]]&lt;&gt;"",IF(Table10[[#This Row],[Rental Rate ($/mth)]]&lt;='Input CMHC MLI Select'!$C$12,"Yes","No"),"")</f>
        <v>No</v>
      </c>
      <c r="N83" s="625"/>
      <c r="O83" s="625"/>
      <c r="P83" s="625"/>
      <c r="Q83" s="626"/>
      <c r="R83" s="626"/>
      <c r="S83" s="626"/>
      <c r="T83" s="625"/>
      <c r="U83" s="625"/>
      <c r="V83" s="625"/>
      <c r="W83" s="625"/>
      <c r="X83" s="625"/>
      <c r="Y83" s="625"/>
      <c r="Z83" s="625"/>
      <c r="AA83" s="625"/>
      <c r="AB83" s="625"/>
      <c r="AC83" s="625"/>
      <c r="AD83" s="625"/>
      <c r="AE83" s="631"/>
    </row>
    <row r="84" spans="1:31">
      <c r="A84" s="624" t="s">
        <v>206</v>
      </c>
      <c r="B84" s="625"/>
      <c r="C84" s="625"/>
      <c r="D84" s="625">
        <v>82</v>
      </c>
      <c r="E84" s="625"/>
      <c r="F84" s="625">
        <v>2490</v>
      </c>
      <c r="G84" s="626"/>
      <c r="H84" s="626"/>
      <c r="I84" s="626"/>
      <c r="J84" s="699">
        <v>624</v>
      </c>
      <c r="K84" s="626"/>
      <c r="L84" s="625" t="str">
        <f>IF(Table10[[#This Row],[Rental Rate ($/mth)]]&lt;&gt;"",IF(Table10[[#This Row],[Rental Rate ($/mth)]]&lt;='Input CMHC MLI Select'!$C$12,"No","Yes"),"")</f>
        <v>Yes</v>
      </c>
      <c r="M84" s="625" t="str">
        <f>IF(Table10[[#This Row],[Rental Rate ($/mth)]]&lt;&gt;"",IF(Table10[[#This Row],[Rental Rate ($/mth)]]&lt;='Input CMHC MLI Select'!$C$12,"Yes","No"),"")</f>
        <v>No</v>
      </c>
      <c r="N84" s="625"/>
      <c r="O84" s="625"/>
      <c r="P84" s="625"/>
      <c r="Q84" s="626"/>
      <c r="R84" s="626"/>
      <c r="S84" s="626"/>
      <c r="T84" s="625"/>
      <c r="U84" s="625"/>
      <c r="V84" s="625"/>
      <c r="W84" s="625"/>
      <c r="X84" s="625"/>
      <c r="Y84" s="625"/>
      <c r="Z84" s="625"/>
      <c r="AA84" s="625"/>
      <c r="AB84" s="625"/>
      <c r="AC84" s="625"/>
      <c r="AD84" s="625"/>
      <c r="AE84" s="631"/>
    </row>
    <row r="85" spans="1:31">
      <c r="A85" s="624" t="s">
        <v>206</v>
      </c>
      <c r="B85" s="625"/>
      <c r="C85" s="625"/>
      <c r="D85" s="625">
        <v>83</v>
      </c>
      <c r="E85" s="625"/>
      <c r="F85" s="625">
        <v>2490</v>
      </c>
      <c r="G85" s="626"/>
      <c r="H85" s="626"/>
      <c r="I85" s="626"/>
      <c r="J85" s="699">
        <v>624</v>
      </c>
      <c r="K85" s="626"/>
      <c r="L85" s="625" t="str">
        <f>IF(Table10[[#This Row],[Rental Rate ($/mth)]]&lt;&gt;"",IF(Table10[[#This Row],[Rental Rate ($/mth)]]&lt;='Input CMHC MLI Select'!$C$12,"No","Yes"),"")</f>
        <v>Yes</v>
      </c>
      <c r="M85" s="625" t="str">
        <f>IF(Table10[[#This Row],[Rental Rate ($/mth)]]&lt;&gt;"",IF(Table10[[#This Row],[Rental Rate ($/mth)]]&lt;='Input CMHC MLI Select'!$C$12,"Yes","No"),"")</f>
        <v>No</v>
      </c>
      <c r="N85" s="625"/>
      <c r="O85" s="625"/>
      <c r="P85" s="625"/>
      <c r="Q85" s="626"/>
      <c r="R85" s="626"/>
      <c r="S85" s="626"/>
      <c r="T85" s="625"/>
      <c r="U85" s="625"/>
      <c r="V85" s="625"/>
      <c r="W85" s="625"/>
      <c r="X85" s="625"/>
      <c r="Y85" s="625"/>
      <c r="Z85" s="625"/>
      <c r="AA85" s="625"/>
      <c r="AB85" s="625"/>
      <c r="AC85" s="625"/>
      <c r="AD85" s="625"/>
      <c r="AE85" s="631"/>
    </row>
    <row r="86" spans="1:31">
      <c r="A86" s="624" t="s">
        <v>206</v>
      </c>
      <c r="B86" s="625"/>
      <c r="C86" s="625"/>
      <c r="D86" s="625">
        <v>84</v>
      </c>
      <c r="E86" s="625"/>
      <c r="F86" s="625">
        <v>2490</v>
      </c>
      <c r="G86" s="626"/>
      <c r="H86" s="626"/>
      <c r="I86" s="626"/>
      <c r="J86" s="699">
        <v>624</v>
      </c>
      <c r="K86" s="626"/>
      <c r="L86" s="625" t="str">
        <f>IF(Table10[[#This Row],[Rental Rate ($/mth)]]&lt;&gt;"",IF(Table10[[#This Row],[Rental Rate ($/mth)]]&lt;='Input CMHC MLI Select'!$C$12,"No","Yes"),"")</f>
        <v>Yes</v>
      </c>
      <c r="M86" s="625" t="str">
        <f>IF(Table10[[#This Row],[Rental Rate ($/mth)]]&lt;&gt;"",IF(Table10[[#This Row],[Rental Rate ($/mth)]]&lt;='Input CMHC MLI Select'!$C$12,"Yes","No"),"")</f>
        <v>No</v>
      </c>
      <c r="N86" s="625"/>
      <c r="O86" s="625"/>
      <c r="P86" s="625"/>
      <c r="Q86" s="626"/>
      <c r="R86" s="626"/>
      <c r="S86" s="626"/>
      <c r="T86" s="625"/>
      <c r="U86" s="625"/>
      <c r="V86" s="625"/>
      <c r="W86" s="625"/>
      <c r="X86" s="625"/>
      <c r="Y86" s="625"/>
      <c r="Z86" s="625"/>
      <c r="AA86" s="625"/>
      <c r="AB86" s="625"/>
      <c r="AC86" s="625"/>
      <c r="AD86" s="625"/>
      <c r="AE86" s="631"/>
    </row>
    <row r="87" spans="1:31">
      <c r="A87" s="624" t="s">
        <v>559</v>
      </c>
      <c r="B87" s="625"/>
      <c r="C87" s="625"/>
      <c r="D87" s="625">
        <v>85</v>
      </c>
      <c r="E87" s="625"/>
      <c r="F87" s="625">
        <v>3155</v>
      </c>
      <c r="G87" s="626"/>
      <c r="H87" s="626"/>
      <c r="I87" s="626"/>
      <c r="J87" s="625">
        <v>855</v>
      </c>
      <c r="K87" s="626"/>
      <c r="L87" s="625" t="str">
        <f>IF(Table10[[#This Row],[Rental Rate ($/mth)]]&lt;&gt;"",IF(Table10[[#This Row],[Rental Rate ($/mth)]]&lt;='Input CMHC MLI Select'!$C$12,"No","Yes"),"")</f>
        <v>Yes</v>
      </c>
      <c r="M87" s="625" t="str">
        <f>IF(Table10[[#This Row],[Rental Rate ($/mth)]]&lt;&gt;"",IF(Table10[[#This Row],[Rental Rate ($/mth)]]&lt;='Input CMHC MLI Select'!$C$12,"Yes","No"),"")</f>
        <v>No</v>
      </c>
      <c r="N87" s="625"/>
      <c r="O87" s="625"/>
      <c r="P87" s="625"/>
      <c r="Q87" s="626"/>
      <c r="R87" s="626"/>
      <c r="S87" s="626"/>
      <c r="T87" s="625"/>
      <c r="U87" s="625"/>
      <c r="V87" s="625"/>
      <c r="W87" s="625"/>
      <c r="X87" s="625"/>
      <c r="Y87" s="625"/>
      <c r="Z87" s="625"/>
      <c r="AA87" s="625"/>
      <c r="AB87" s="625"/>
      <c r="AC87" s="625"/>
      <c r="AD87" s="625"/>
      <c r="AE87" s="631"/>
    </row>
    <row r="88" spans="1:31">
      <c r="A88" s="624" t="s">
        <v>559</v>
      </c>
      <c r="B88" s="625"/>
      <c r="C88" s="625"/>
      <c r="D88" s="625">
        <v>86</v>
      </c>
      <c r="E88" s="625"/>
      <c r="F88" s="625">
        <v>3155</v>
      </c>
      <c r="G88" s="626"/>
      <c r="H88" s="626"/>
      <c r="I88" s="626"/>
      <c r="J88" s="625">
        <v>855</v>
      </c>
      <c r="K88" s="626"/>
      <c r="L88" s="625" t="str">
        <f>IF(Table10[[#This Row],[Rental Rate ($/mth)]]&lt;&gt;"",IF(Table10[[#This Row],[Rental Rate ($/mth)]]&lt;='Input CMHC MLI Select'!$C$12,"No","Yes"),"")</f>
        <v>Yes</v>
      </c>
      <c r="M88" s="625" t="str">
        <f>IF(Table10[[#This Row],[Rental Rate ($/mth)]]&lt;&gt;"",IF(Table10[[#This Row],[Rental Rate ($/mth)]]&lt;='Input CMHC MLI Select'!$C$12,"Yes","No"),"")</f>
        <v>No</v>
      </c>
      <c r="N88" s="625"/>
      <c r="O88" s="625"/>
      <c r="P88" s="625"/>
      <c r="Q88" s="626"/>
      <c r="R88" s="626"/>
      <c r="S88" s="626"/>
      <c r="T88" s="625"/>
      <c r="U88" s="625"/>
      <c r="V88" s="625"/>
      <c r="W88" s="625"/>
      <c r="X88" s="625"/>
      <c r="Y88" s="625"/>
      <c r="Z88" s="625"/>
      <c r="AA88" s="625"/>
      <c r="AB88" s="625"/>
      <c r="AC88" s="625"/>
      <c r="AD88" s="625"/>
      <c r="AE88" s="631"/>
    </row>
    <row r="89" spans="1:31">
      <c r="A89" s="624" t="s">
        <v>559</v>
      </c>
      <c r="B89" s="625"/>
      <c r="C89" s="625"/>
      <c r="D89" s="625">
        <v>87</v>
      </c>
      <c r="E89" s="625"/>
      <c r="F89" s="625">
        <v>3155</v>
      </c>
      <c r="G89" s="626"/>
      <c r="H89" s="626"/>
      <c r="I89" s="626"/>
      <c r="J89" s="625">
        <v>855</v>
      </c>
      <c r="K89" s="626"/>
      <c r="L89" s="625" t="str">
        <f>IF(Table10[[#This Row],[Rental Rate ($/mth)]]&lt;&gt;"",IF(Table10[[#This Row],[Rental Rate ($/mth)]]&lt;='Input CMHC MLI Select'!$C$12,"No","Yes"),"")</f>
        <v>Yes</v>
      </c>
      <c r="M89" s="625" t="str">
        <f>IF(Table10[[#This Row],[Rental Rate ($/mth)]]&lt;&gt;"",IF(Table10[[#This Row],[Rental Rate ($/mth)]]&lt;='Input CMHC MLI Select'!$C$12,"Yes","No"),"")</f>
        <v>No</v>
      </c>
      <c r="N89" s="625"/>
      <c r="O89" s="625"/>
      <c r="P89" s="625"/>
      <c r="Q89" s="626"/>
      <c r="R89" s="626"/>
      <c r="S89" s="626"/>
      <c r="T89" s="625"/>
      <c r="U89" s="625"/>
      <c r="V89" s="625"/>
      <c r="W89" s="625"/>
      <c r="X89" s="625"/>
      <c r="Y89" s="625"/>
      <c r="Z89" s="625"/>
      <c r="AA89" s="625"/>
      <c r="AB89" s="625"/>
      <c r="AC89" s="625"/>
      <c r="AD89" s="625"/>
      <c r="AE89" s="631"/>
    </row>
    <row r="90" spans="1:31">
      <c r="A90" s="624" t="s">
        <v>559</v>
      </c>
      <c r="B90" s="625"/>
      <c r="C90" s="625"/>
      <c r="D90" s="625">
        <v>88</v>
      </c>
      <c r="E90" s="625"/>
      <c r="F90" s="625">
        <v>3155</v>
      </c>
      <c r="G90" s="626"/>
      <c r="H90" s="626"/>
      <c r="I90" s="626"/>
      <c r="J90" s="625">
        <v>855</v>
      </c>
      <c r="K90" s="626"/>
      <c r="L90" s="625" t="str">
        <f>IF(Table10[[#This Row],[Rental Rate ($/mth)]]&lt;&gt;"",IF(Table10[[#This Row],[Rental Rate ($/mth)]]&lt;='Input CMHC MLI Select'!$C$12,"No","Yes"),"")</f>
        <v>Yes</v>
      </c>
      <c r="M90" s="625" t="str">
        <f>IF(Table10[[#This Row],[Rental Rate ($/mth)]]&lt;&gt;"",IF(Table10[[#This Row],[Rental Rate ($/mth)]]&lt;='Input CMHC MLI Select'!$C$12,"Yes","No"),"")</f>
        <v>No</v>
      </c>
      <c r="N90" s="625"/>
      <c r="O90" s="625"/>
      <c r="P90" s="625"/>
      <c r="Q90" s="626"/>
      <c r="R90" s="626"/>
      <c r="S90" s="626"/>
      <c r="T90" s="625"/>
      <c r="U90" s="625"/>
      <c r="V90" s="625"/>
      <c r="W90" s="625"/>
      <c r="X90" s="625"/>
      <c r="Y90" s="625"/>
      <c r="Z90" s="625"/>
      <c r="AA90" s="625"/>
      <c r="AB90" s="625"/>
      <c r="AC90" s="625"/>
      <c r="AD90" s="625"/>
      <c r="AE90" s="631"/>
    </row>
    <row r="91" spans="1:31">
      <c r="A91" s="624" t="s">
        <v>559</v>
      </c>
      <c r="B91" s="625"/>
      <c r="C91" s="625"/>
      <c r="D91" s="625">
        <v>89</v>
      </c>
      <c r="E91" s="625"/>
      <c r="F91" s="625">
        <v>3155</v>
      </c>
      <c r="G91" s="626"/>
      <c r="H91" s="626"/>
      <c r="I91" s="626"/>
      <c r="J91" s="625">
        <v>855</v>
      </c>
      <c r="K91" s="626"/>
      <c r="L91" s="625" t="str">
        <f>IF(Table10[[#This Row],[Rental Rate ($/mth)]]&lt;&gt;"",IF(Table10[[#This Row],[Rental Rate ($/mth)]]&lt;='Input CMHC MLI Select'!$C$12,"No","Yes"),"")</f>
        <v>Yes</v>
      </c>
      <c r="M91" s="625" t="str">
        <f>IF(Table10[[#This Row],[Rental Rate ($/mth)]]&lt;&gt;"",IF(Table10[[#This Row],[Rental Rate ($/mth)]]&lt;='Input CMHC MLI Select'!$C$12,"Yes","No"),"")</f>
        <v>No</v>
      </c>
      <c r="N91" s="625"/>
      <c r="O91" s="625"/>
      <c r="P91" s="625"/>
      <c r="Q91" s="626"/>
      <c r="R91" s="626"/>
      <c r="S91" s="626"/>
      <c r="T91" s="625"/>
      <c r="U91" s="625"/>
      <c r="V91" s="625"/>
      <c r="W91" s="625"/>
      <c r="X91" s="625"/>
      <c r="Y91" s="625"/>
      <c r="Z91" s="625"/>
      <c r="AA91" s="625"/>
      <c r="AB91" s="625"/>
      <c r="AC91" s="625"/>
      <c r="AD91" s="625"/>
      <c r="AE91" s="631"/>
    </row>
    <row r="92" spans="1:31">
      <c r="A92" s="624" t="s">
        <v>559</v>
      </c>
      <c r="B92" s="625"/>
      <c r="C92" s="625"/>
      <c r="D92" s="625">
        <v>90</v>
      </c>
      <c r="E92" s="625"/>
      <c r="F92" s="625">
        <v>3155</v>
      </c>
      <c r="G92" s="626"/>
      <c r="H92" s="626"/>
      <c r="I92" s="626"/>
      <c r="J92" s="625">
        <v>855</v>
      </c>
      <c r="K92" s="626"/>
      <c r="L92" s="625" t="str">
        <f>IF(Table10[[#This Row],[Rental Rate ($/mth)]]&lt;&gt;"",IF(Table10[[#This Row],[Rental Rate ($/mth)]]&lt;='Input CMHC MLI Select'!$C$12,"No","Yes"),"")</f>
        <v>Yes</v>
      </c>
      <c r="M92" s="625" t="str">
        <f>IF(Table10[[#This Row],[Rental Rate ($/mth)]]&lt;&gt;"",IF(Table10[[#This Row],[Rental Rate ($/mth)]]&lt;='Input CMHC MLI Select'!$C$12,"Yes","No"),"")</f>
        <v>No</v>
      </c>
      <c r="N92" s="625"/>
      <c r="O92" s="625"/>
      <c r="P92" s="625"/>
      <c r="Q92" s="626"/>
      <c r="R92" s="626"/>
      <c r="S92" s="626"/>
      <c r="T92" s="625"/>
      <c r="U92" s="625"/>
      <c r="V92" s="625"/>
      <c r="W92" s="625"/>
      <c r="X92" s="625"/>
      <c r="Y92" s="625"/>
      <c r="Z92" s="625"/>
      <c r="AA92" s="625"/>
      <c r="AB92" s="625"/>
      <c r="AC92" s="625"/>
      <c r="AD92" s="625"/>
      <c r="AE92" s="631"/>
    </row>
    <row r="93" spans="1:31">
      <c r="A93" s="624" t="s">
        <v>559</v>
      </c>
      <c r="B93" s="625"/>
      <c r="C93" s="625"/>
      <c r="D93" s="625">
        <v>91</v>
      </c>
      <c r="E93" s="625"/>
      <c r="F93" s="625">
        <v>3155</v>
      </c>
      <c r="G93" s="626"/>
      <c r="H93" s="626"/>
      <c r="I93" s="626"/>
      <c r="J93" s="625">
        <v>855</v>
      </c>
      <c r="K93" s="626"/>
      <c r="L93" s="625" t="str">
        <f>IF(Table10[[#This Row],[Rental Rate ($/mth)]]&lt;&gt;"",IF(Table10[[#This Row],[Rental Rate ($/mth)]]&lt;='Input CMHC MLI Select'!$C$12,"No","Yes"),"")</f>
        <v>Yes</v>
      </c>
      <c r="M93" s="625" t="str">
        <f>IF(Table10[[#This Row],[Rental Rate ($/mth)]]&lt;&gt;"",IF(Table10[[#This Row],[Rental Rate ($/mth)]]&lt;='Input CMHC MLI Select'!$C$12,"Yes","No"),"")</f>
        <v>No</v>
      </c>
      <c r="N93" s="625"/>
      <c r="O93" s="625"/>
      <c r="P93" s="625"/>
      <c r="Q93" s="626"/>
      <c r="R93" s="626"/>
      <c r="S93" s="626"/>
      <c r="T93" s="625"/>
      <c r="U93" s="625"/>
      <c r="V93" s="625"/>
      <c r="W93" s="625"/>
      <c r="X93" s="625"/>
      <c r="Y93" s="625"/>
      <c r="Z93" s="625"/>
      <c r="AA93" s="625"/>
      <c r="AB93" s="625"/>
      <c r="AC93" s="625"/>
      <c r="AD93" s="625"/>
      <c r="AE93" s="631"/>
    </row>
    <row r="94" spans="1:31">
      <c r="A94" s="624" t="s">
        <v>559</v>
      </c>
      <c r="B94" s="625"/>
      <c r="C94" s="625"/>
      <c r="D94" s="625">
        <v>92</v>
      </c>
      <c r="E94" s="625"/>
      <c r="F94" s="625">
        <v>3155</v>
      </c>
      <c r="G94" s="626"/>
      <c r="H94" s="626"/>
      <c r="I94" s="626"/>
      <c r="J94" s="625">
        <v>855</v>
      </c>
      <c r="K94" s="626"/>
      <c r="L94" s="625" t="str">
        <f>IF(Table10[[#This Row],[Rental Rate ($/mth)]]&lt;&gt;"",IF(Table10[[#This Row],[Rental Rate ($/mth)]]&lt;='Input CMHC MLI Select'!$C$12,"No","Yes"),"")</f>
        <v>Yes</v>
      </c>
      <c r="M94" s="625" t="str">
        <f>IF(Table10[[#This Row],[Rental Rate ($/mth)]]&lt;&gt;"",IF(Table10[[#This Row],[Rental Rate ($/mth)]]&lt;='Input CMHC MLI Select'!$C$12,"Yes","No"),"")</f>
        <v>No</v>
      </c>
      <c r="N94" s="625"/>
      <c r="O94" s="625"/>
      <c r="P94" s="625"/>
      <c r="Q94" s="626"/>
      <c r="R94" s="626"/>
      <c r="S94" s="626"/>
      <c r="T94" s="625"/>
      <c r="U94" s="625"/>
      <c r="V94" s="625"/>
      <c r="W94" s="625"/>
      <c r="X94" s="625"/>
      <c r="Y94" s="625"/>
      <c r="Z94" s="625"/>
      <c r="AA94" s="625"/>
      <c r="AB94" s="625"/>
      <c r="AC94" s="625"/>
      <c r="AD94" s="625"/>
      <c r="AE94" s="631"/>
    </row>
    <row r="95" spans="1:31">
      <c r="A95" s="624" t="s">
        <v>559</v>
      </c>
      <c r="B95" s="625"/>
      <c r="C95" s="625"/>
      <c r="D95" s="625">
        <v>93</v>
      </c>
      <c r="E95" s="625"/>
      <c r="F95" s="625">
        <v>3155</v>
      </c>
      <c r="G95" s="626"/>
      <c r="H95" s="626"/>
      <c r="I95" s="626"/>
      <c r="J95" s="625">
        <v>855</v>
      </c>
      <c r="K95" s="626"/>
      <c r="L95" s="625" t="str">
        <f>IF(Table10[[#This Row],[Rental Rate ($/mth)]]&lt;&gt;"",IF(Table10[[#This Row],[Rental Rate ($/mth)]]&lt;='Input CMHC MLI Select'!$C$12,"No","Yes"),"")</f>
        <v>Yes</v>
      </c>
      <c r="M95" s="625" t="str">
        <f>IF(Table10[[#This Row],[Rental Rate ($/mth)]]&lt;&gt;"",IF(Table10[[#This Row],[Rental Rate ($/mth)]]&lt;='Input CMHC MLI Select'!$C$12,"Yes","No"),"")</f>
        <v>No</v>
      </c>
      <c r="N95" s="625"/>
      <c r="O95" s="625"/>
      <c r="P95" s="625"/>
      <c r="Q95" s="626"/>
      <c r="R95" s="626"/>
      <c r="S95" s="626"/>
      <c r="T95" s="625"/>
      <c r="U95" s="625"/>
      <c r="V95" s="625"/>
      <c r="W95" s="625"/>
      <c r="X95" s="625"/>
      <c r="Y95" s="625"/>
      <c r="Z95" s="625"/>
      <c r="AA95" s="625"/>
      <c r="AB95" s="625"/>
      <c r="AC95" s="625"/>
      <c r="AD95" s="625"/>
      <c r="AE95" s="631"/>
    </row>
    <row r="96" spans="1:31">
      <c r="A96" s="624" t="s">
        <v>559</v>
      </c>
      <c r="B96" s="625"/>
      <c r="C96" s="625"/>
      <c r="D96" s="625">
        <v>94</v>
      </c>
      <c r="E96" s="625"/>
      <c r="F96" s="625">
        <v>3155</v>
      </c>
      <c r="G96" s="626"/>
      <c r="H96" s="626"/>
      <c r="I96" s="626"/>
      <c r="J96" s="625">
        <v>855</v>
      </c>
      <c r="K96" s="626"/>
      <c r="L96" s="625" t="str">
        <f>IF(Table10[[#This Row],[Rental Rate ($/mth)]]&lt;&gt;"",IF(Table10[[#This Row],[Rental Rate ($/mth)]]&lt;='Input CMHC MLI Select'!$C$12,"No","Yes"),"")</f>
        <v>Yes</v>
      </c>
      <c r="M96" s="625" t="str">
        <f>IF(Table10[[#This Row],[Rental Rate ($/mth)]]&lt;&gt;"",IF(Table10[[#This Row],[Rental Rate ($/mth)]]&lt;='Input CMHC MLI Select'!$C$12,"Yes","No"),"")</f>
        <v>No</v>
      </c>
      <c r="N96" s="625"/>
      <c r="O96" s="625"/>
      <c r="P96" s="625"/>
      <c r="Q96" s="626"/>
      <c r="R96" s="626"/>
      <c r="S96" s="626"/>
      <c r="T96" s="625"/>
      <c r="U96" s="625"/>
      <c r="V96" s="625"/>
      <c r="W96" s="625"/>
      <c r="X96" s="625"/>
      <c r="Y96" s="625"/>
      <c r="Z96" s="625"/>
      <c r="AA96" s="625"/>
      <c r="AB96" s="625"/>
      <c r="AC96" s="625"/>
      <c r="AD96" s="625"/>
      <c r="AE96" s="631"/>
    </row>
    <row r="97" spans="1:31">
      <c r="A97" s="624" t="s">
        <v>559</v>
      </c>
      <c r="B97" s="625"/>
      <c r="C97" s="625"/>
      <c r="D97" s="625">
        <v>95</v>
      </c>
      <c r="E97" s="625"/>
      <c r="F97" s="625">
        <v>3155</v>
      </c>
      <c r="G97" s="626"/>
      <c r="H97" s="626"/>
      <c r="I97" s="626"/>
      <c r="J97" s="625">
        <v>855</v>
      </c>
      <c r="K97" s="626"/>
      <c r="L97" s="625" t="str">
        <f>IF(Table10[[#This Row],[Rental Rate ($/mth)]]&lt;&gt;"",IF(Table10[[#This Row],[Rental Rate ($/mth)]]&lt;='Input CMHC MLI Select'!$C$12,"No","Yes"),"")</f>
        <v>Yes</v>
      </c>
      <c r="M97" s="625" t="str">
        <f>IF(Table10[[#This Row],[Rental Rate ($/mth)]]&lt;&gt;"",IF(Table10[[#This Row],[Rental Rate ($/mth)]]&lt;='Input CMHC MLI Select'!$C$12,"Yes","No"),"")</f>
        <v>No</v>
      </c>
      <c r="N97" s="625"/>
      <c r="O97" s="625"/>
      <c r="P97" s="625"/>
      <c r="Q97" s="626"/>
      <c r="R97" s="626"/>
      <c r="S97" s="626"/>
      <c r="T97" s="625"/>
      <c r="U97" s="625"/>
      <c r="V97" s="625"/>
      <c r="W97" s="625"/>
      <c r="X97" s="625"/>
      <c r="Y97" s="625"/>
      <c r="Z97" s="625"/>
      <c r="AA97" s="625"/>
      <c r="AB97" s="625"/>
      <c r="AC97" s="625"/>
      <c r="AD97" s="625"/>
      <c r="AE97" s="631"/>
    </row>
    <row r="98" spans="1:31">
      <c r="A98" s="624" t="s">
        <v>559</v>
      </c>
      <c r="B98" s="625"/>
      <c r="C98" s="625"/>
      <c r="D98" s="625">
        <v>96</v>
      </c>
      <c r="E98" s="625"/>
      <c r="F98" s="625">
        <v>3155</v>
      </c>
      <c r="G98" s="626"/>
      <c r="H98" s="626"/>
      <c r="I98" s="626"/>
      <c r="J98" s="625">
        <v>855</v>
      </c>
      <c r="K98" s="626"/>
      <c r="L98" s="625" t="str">
        <f>IF(Table10[[#This Row],[Rental Rate ($/mth)]]&lt;&gt;"",IF(Table10[[#This Row],[Rental Rate ($/mth)]]&lt;='Input CMHC MLI Select'!$C$12,"No","Yes"),"")</f>
        <v>Yes</v>
      </c>
      <c r="M98" s="625" t="str">
        <f>IF(Table10[[#This Row],[Rental Rate ($/mth)]]&lt;&gt;"",IF(Table10[[#This Row],[Rental Rate ($/mth)]]&lt;='Input CMHC MLI Select'!$C$12,"Yes","No"),"")</f>
        <v>No</v>
      </c>
      <c r="N98" s="625"/>
      <c r="O98" s="625"/>
      <c r="P98" s="625"/>
      <c r="Q98" s="626"/>
      <c r="R98" s="626"/>
      <c r="S98" s="626"/>
      <c r="T98" s="625"/>
      <c r="U98" s="625"/>
      <c r="V98" s="625"/>
      <c r="W98" s="625"/>
      <c r="X98" s="625"/>
      <c r="Y98" s="625"/>
      <c r="Z98" s="625"/>
      <c r="AA98" s="625"/>
      <c r="AB98" s="625"/>
      <c r="AC98" s="625"/>
      <c r="AD98" s="625"/>
      <c r="AE98" s="631"/>
    </row>
    <row r="99" spans="1:31">
      <c r="A99" s="624" t="s">
        <v>559</v>
      </c>
      <c r="B99" s="625"/>
      <c r="C99" s="625"/>
      <c r="D99" s="625">
        <v>97</v>
      </c>
      <c r="E99" s="625"/>
      <c r="F99" s="625">
        <v>3155</v>
      </c>
      <c r="G99" s="626"/>
      <c r="H99" s="626"/>
      <c r="I99" s="626"/>
      <c r="J99" s="625">
        <v>855</v>
      </c>
      <c r="K99" s="626"/>
      <c r="L99" s="625" t="str">
        <f>IF(Table10[[#This Row],[Rental Rate ($/mth)]]&lt;&gt;"",IF(Table10[[#This Row],[Rental Rate ($/mth)]]&lt;='Input CMHC MLI Select'!$C$12,"No","Yes"),"")</f>
        <v>Yes</v>
      </c>
      <c r="M99" s="625" t="str">
        <f>IF(Table10[[#This Row],[Rental Rate ($/mth)]]&lt;&gt;"",IF(Table10[[#This Row],[Rental Rate ($/mth)]]&lt;='Input CMHC MLI Select'!$C$12,"Yes","No"),"")</f>
        <v>No</v>
      </c>
      <c r="N99" s="625"/>
      <c r="O99" s="625"/>
      <c r="P99" s="625"/>
      <c r="Q99" s="626"/>
      <c r="R99" s="626"/>
      <c r="S99" s="626"/>
      <c r="T99" s="625"/>
      <c r="U99" s="625"/>
      <c r="V99" s="625"/>
      <c r="W99" s="625"/>
      <c r="X99" s="625"/>
      <c r="Y99" s="625"/>
      <c r="Z99" s="625"/>
      <c r="AA99" s="625"/>
      <c r="AB99" s="625"/>
      <c r="AC99" s="625"/>
      <c r="AD99" s="625"/>
      <c r="AE99" s="631"/>
    </row>
    <row r="100" spans="1:31">
      <c r="A100" s="624" t="s">
        <v>559</v>
      </c>
      <c r="B100" s="625"/>
      <c r="C100" s="625"/>
      <c r="D100" s="625">
        <v>98</v>
      </c>
      <c r="E100" s="625"/>
      <c r="F100" s="625">
        <v>3155</v>
      </c>
      <c r="G100" s="626"/>
      <c r="H100" s="626"/>
      <c r="I100" s="626"/>
      <c r="J100" s="625">
        <v>855</v>
      </c>
      <c r="K100" s="626"/>
      <c r="L100" s="625" t="str">
        <f>IF(Table10[[#This Row],[Rental Rate ($/mth)]]&lt;&gt;"",IF(Table10[[#This Row],[Rental Rate ($/mth)]]&lt;='Input CMHC MLI Select'!$C$12,"No","Yes"),"")</f>
        <v>Yes</v>
      </c>
      <c r="M100" s="625" t="str">
        <f>IF(Table10[[#This Row],[Rental Rate ($/mth)]]&lt;&gt;"",IF(Table10[[#This Row],[Rental Rate ($/mth)]]&lt;='Input CMHC MLI Select'!$C$12,"Yes","No"),"")</f>
        <v>No</v>
      </c>
      <c r="N100" s="625"/>
      <c r="O100" s="625"/>
      <c r="P100" s="625"/>
      <c r="Q100" s="626"/>
      <c r="R100" s="626"/>
      <c r="S100" s="626"/>
      <c r="T100" s="625"/>
      <c r="U100" s="625"/>
      <c r="V100" s="625"/>
      <c r="W100" s="625"/>
      <c r="X100" s="625"/>
      <c r="Y100" s="625"/>
      <c r="Z100" s="625"/>
      <c r="AA100" s="625"/>
      <c r="AB100" s="625"/>
      <c r="AC100" s="625"/>
      <c r="AD100" s="625"/>
      <c r="AE100" s="631"/>
    </row>
    <row r="101" spans="1:31">
      <c r="A101" s="624" t="s">
        <v>559</v>
      </c>
      <c r="B101" s="625"/>
      <c r="C101" s="625"/>
      <c r="D101" s="625">
        <v>99</v>
      </c>
      <c r="E101" s="625"/>
      <c r="F101" s="625">
        <v>3155</v>
      </c>
      <c r="G101" s="626"/>
      <c r="H101" s="626"/>
      <c r="I101" s="626"/>
      <c r="J101" s="625">
        <v>855</v>
      </c>
      <c r="K101" s="626"/>
      <c r="L101" s="625" t="str">
        <f>IF(Table10[[#This Row],[Rental Rate ($/mth)]]&lt;&gt;"",IF(Table10[[#This Row],[Rental Rate ($/mth)]]&lt;='Input CMHC MLI Select'!$C$12,"No","Yes"),"")</f>
        <v>Yes</v>
      </c>
      <c r="M101" s="625" t="str">
        <f>IF(Table10[[#This Row],[Rental Rate ($/mth)]]&lt;&gt;"",IF(Table10[[#This Row],[Rental Rate ($/mth)]]&lt;='Input CMHC MLI Select'!$C$12,"Yes","No"),"")</f>
        <v>No</v>
      </c>
      <c r="N101" s="625"/>
      <c r="O101" s="625"/>
      <c r="P101" s="625"/>
      <c r="Q101" s="626"/>
      <c r="R101" s="626"/>
      <c r="S101" s="626"/>
      <c r="T101" s="625"/>
      <c r="U101" s="625"/>
      <c r="V101" s="625"/>
      <c r="W101" s="625"/>
      <c r="X101" s="625"/>
      <c r="Y101" s="625"/>
      <c r="Z101" s="625"/>
      <c r="AA101" s="625"/>
      <c r="AB101" s="625"/>
      <c r="AC101" s="625"/>
      <c r="AD101" s="625"/>
      <c r="AE101" s="631"/>
    </row>
    <row r="102" spans="1:31">
      <c r="A102" s="624" t="s">
        <v>559</v>
      </c>
      <c r="B102" s="625"/>
      <c r="C102" s="625"/>
      <c r="D102" s="625">
        <v>100</v>
      </c>
      <c r="E102" s="625"/>
      <c r="F102" s="625">
        <v>3155</v>
      </c>
      <c r="G102" s="626"/>
      <c r="H102" s="626"/>
      <c r="I102" s="626"/>
      <c r="J102" s="625">
        <v>855</v>
      </c>
      <c r="K102" s="626"/>
      <c r="L102" s="625" t="str">
        <f>IF(Table10[[#This Row],[Rental Rate ($/mth)]]&lt;&gt;"",IF(Table10[[#This Row],[Rental Rate ($/mth)]]&lt;='Input CMHC MLI Select'!$C$12,"No","Yes"),"")</f>
        <v>Yes</v>
      </c>
      <c r="M102" s="625" t="str">
        <f>IF(Table10[[#This Row],[Rental Rate ($/mth)]]&lt;&gt;"",IF(Table10[[#This Row],[Rental Rate ($/mth)]]&lt;='Input CMHC MLI Select'!$C$12,"Yes","No"),"")</f>
        <v>No</v>
      </c>
      <c r="N102" s="625"/>
      <c r="O102" s="625"/>
      <c r="P102" s="625"/>
      <c r="Q102" s="626"/>
      <c r="R102" s="626"/>
      <c r="S102" s="626"/>
      <c r="T102" s="625"/>
      <c r="U102" s="625"/>
      <c r="V102" s="625"/>
      <c r="W102" s="625"/>
      <c r="X102" s="625"/>
      <c r="Y102" s="625"/>
      <c r="Z102" s="625"/>
      <c r="AA102" s="625"/>
      <c r="AB102" s="625"/>
      <c r="AC102" s="625"/>
      <c r="AD102" s="625"/>
      <c r="AE102" s="631"/>
    </row>
    <row r="103" spans="1:31">
      <c r="A103" s="624" t="s">
        <v>559</v>
      </c>
      <c r="B103" s="625"/>
      <c r="C103" s="625"/>
      <c r="D103" s="625">
        <v>101</v>
      </c>
      <c r="E103" s="625"/>
      <c r="F103" s="625">
        <v>3155</v>
      </c>
      <c r="G103" s="626"/>
      <c r="H103" s="626"/>
      <c r="I103" s="626"/>
      <c r="J103" s="625">
        <v>855</v>
      </c>
      <c r="K103" s="626"/>
      <c r="L103" s="625" t="str">
        <f>IF(Table10[[#This Row],[Rental Rate ($/mth)]]&lt;&gt;"",IF(Table10[[#This Row],[Rental Rate ($/mth)]]&lt;='Input CMHC MLI Select'!$C$12,"No","Yes"),"")</f>
        <v>Yes</v>
      </c>
      <c r="M103" s="625" t="str">
        <f>IF(Table10[[#This Row],[Rental Rate ($/mth)]]&lt;&gt;"",IF(Table10[[#This Row],[Rental Rate ($/mth)]]&lt;='Input CMHC MLI Select'!$C$12,"Yes","No"),"")</f>
        <v>No</v>
      </c>
      <c r="N103" s="625"/>
      <c r="O103" s="625"/>
      <c r="P103" s="625"/>
      <c r="Q103" s="626"/>
      <c r="R103" s="626"/>
      <c r="S103" s="626"/>
      <c r="T103" s="625"/>
      <c r="U103" s="625"/>
      <c r="V103" s="625"/>
      <c r="W103" s="625"/>
      <c r="X103" s="625"/>
      <c r="Y103" s="625"/>
      <c r="Z103" s="625"/>
      <c r="AA103" s="625"/>
      <c r="AB103" s="625"/>
      <c r="AC103" s="625"/>
      <c r="AD103" s="625"/>
      <c r="AE103" s="631"/>
    </row>
    <row r="104" spans="1:31">
      <c r="A104" s="624" t="s">
        <v>559</v>
      </c>
      <c r="B104" s="625"/>
      <c r="C104" s="625"/>
      <c r="D104" s="625">
        <v>102</v>
      </c>
      <c r="E104" s="625"/>
      <c r="F104" s="625">
        <v>3155</v>
      </c>
      <c r="G104" s="626"/>
      <c r="H104" s="626"/>
      <c r="I104" s="626"/>
      <c r="J104" s="625">
        <v>855</v>
      </c>
      <c r="K104" s="626"/>
      <c r="L104" s="625" t="str">
        <f>IF(Table10[[#This Row],[Rental Rate ($/mth)]]&lt;&gt;"",IF(Table10[[#This Row],[Rental Rate ($/mth)]]&lt;='Input CMHC MLI Select'!$C$12,"No","Yes"),"")</f>
        <v>Yes</v>
      </c>
      <c r="M104" s="625" t="str">
        <f>IF(Table10[[#This Row],[Rental Rate ($/mth)]]&lt;&gt;"",IF(Table10[[#This Row],[Rental Rate ($/mth)]]&lt;='Input CMHC MLI Select'!$C$12,"Yes","No"),"")</f>
        <v>No</v>
      </c>
      <c r="N104" s="625"/>
      <c r="O104" s="625"/>
      <c r="P104" s="625"/>
      <c r="Q104" s="626"/>
      <c r="R104" s="626"/>
      <c r="S104" s="626"/>
      <c r="T104" s="625"/>
      <c r="U104" s="625"/>
      <c r="V104" s="625"/>
      <c r="W104" s="625"/>
      <c r="X104" s="625"/>
      <c r="Y104" s="625"/>
      <c r="Z104" s="625"/>
      <c r="AA104" s="625"/>
      <c r="AB104" s="625"/>
      <c r="AC104" s="625"/>
      <c r="AD104" s="625"/>
      <c r="AE104" s="631"/>
    </row>
    <row r="105" spans="1:31">
      <c r="A105" s="624" t="s">
        <v>559</v>
      </c>
      <c r="B105" s="625"/>
      <c r="C105" s="625"/>
      <c r="D105" s="625">
        <v>103</v>
      </c>
      <c r="E105" s="625"/>
      <c r="F105" s="625">
        <v>3155</v>
      </c>
      <c r="G105" s="626"/>
      <c r="H105" s="626"/>
      <c r="I105" s="626"/>
      <c r="J105" s="625">
        <v>855</v>
      </c>
      <c r="K105" s="626"/>
      <c r="L105" s="625" t="str">
        <f>IF(Table10[[#This Row],[Rental Rate ($/mth)]]&lt;&gt;"",IF(Table10[[#This Row],[Rental Rate ($/mth)]]&lt;='Input CMHC MLI Select'!$C$12,"No","Yes"),"")</f>
        <v>Yes</v>
      </c>
      <c r="M105" s="625" t="str">
        <f>IF(Table10[[#This Row],[Rental Rate ($/mth)]]&lt;&gt;"",IF(Table10[[#This Row],[Rental Rate ($/mth)]]&lt;='Input CMHC MLI Select'!$C$12,"Yes","No"),"")</f>
        <v>No</v>
      </c>
      <c r="N105" s="625"/>
      <c r="O105" s="625"/>
      <c r="P105" s="625"/>
      <c r="Q105" s="626"/>
      <c r="R105" s="626"/>
      <c r="S105" s="626"/>
      <c r="T105" s="625"/>
      <c r="U105" s="625"/>
      <c r="V105" s="625"/>
      <c r="W105" s="625"/>
      <c r="X105" s="625"/>
      <c r="Y105" s="625"/>
      <c r="Z105" s="625"/>
      <c r="AA105" s="625"/>
      <c r="AB105" s="625"/>
      <c r="AC105" s="625"/>
      <c r="AD105" s="625"/>
      <c r="AE105" s="631"/>
    </row>
    <row r="106" spans="1:31">
      <c r="A106" s="624" t="s">
        <v>559</v>
      </c>
      <c r="B106" s="625"/>
      <c r="C106" s="625"/>
      <c r="D106" s="625">
        <v>104</v>
      </c>
      <c r="E106" s="625"/>
      <c r="F106" s="625">
        <v>3155</v>
      </c>
      <c r="G106" s="626"/>
      <c r="H106" s="626"/>
      <c r="I106" s="626"/>
      <c r="J106" s="625">
        <v>855</v>
      </c>
      <c r="K106" s="626"/>
      <c r="L106" s="625" t="str">
        <f>IF(Table10[[#This Row],[Rental Rate ($/mth)]]&lt;&gt;"",IF(Table10[[#This Row],[Rental Rate ($/mth)]]&lt;='Input CMHC MLI Select'!$C$12,"No","Yes"),"")</f>
        <v>Yes</v>
      </c>
      <c r="M106" s="625" t="str">
        <f>IF(Table10[[#This Row],[Rental Rate ($/mth)]]&lt;&gt;"",IF(Table10[[#This Row],[Rental Rate ($/mth)]]&lt;='Input CMHC MLI Select'!$C$12,"Yes","No"),"")</f>
        <v>No</v>
      </c>
      <c r="N106" s="625"/>
      <c r="O106" s="625"/>
      <c r="P106" s="625"/>
      <c r="Q106" s="626"/>
      <c r="R106" s="626"/>
      <c r="S106" s="626"/>
      <c r="T106" s="625"/>
      <c r="U106" s="625"/>
      <c r="V106" s="625"/>
      <c r="W106" s="625"/>
      <c r="X106" s="625"/>
      <c r="Y106" s="625"/>
      <c r="Z106" s="625"/>
      <c r="AA106" s="625"/>
      <c r="AB106" s="625"/>
      <c r="AC106" s="625"/>
      <c r="AD106" s="625"/>
      <c r="AE106" s="631"/>
    </row>
    <row r="107" spans="1:31">
      <c r="A107" s="624" t="s">
        <v>559</v>
      </c>
      <c r="B107" s="625"/>
      <c r="C107" s="625"/>
      <c r="D107" s="625">
        <v>105</v>
      </c>
      <c r="E107" s="625"/>
      <c r="F107" s="625">
        <v>3155</v>
      </c>
      <c r="G107" s="626"/>
      <c r="H107" s="626"/>
      <c r="I107" s="626"/>
      <c r="J107" s="625">
        <v>855</v>
      </c>
      <c r="K107" s="626"/>
      <c r="L107" s="625" t="str">
        <f>IF(Table10[[#This Row],[Rental Rate ($/mth)]]&lt;&gt;"",IF(Table10[[#This Row],[Rental Rate ($/mth)]]&lt;='Input CMHC MLI Select'!$C$12,"No","Yes"),"")</f>
        <v>Yes</v>
      </c>
      <c r="M107" s="625" t="str">
        <f>IF(Table10[[#This Row],[Rental Rate ($/mth)]]&lt;&gt;"",IF(Table10[[#This Row],[Rental Rate ($/mth)]]&lt;='Input CMHC MLI Select'!$C$12,"Yes","No"),"")</f>
        <v>No</v>
      </c>
      <c r="N107" s="625"/>
      <c r="O107" s="625"/>
      <c r="P107" s="625"/>
      <c r="Q107" s="626"/>
      <c r="R107" s="626"/>
      <c r="S107" s="626"/>
      <c r="T107" s="625"/>
      <c r="U107" s="625"/>
      <c r="V107" s="625"/>
      <c r="W107" s="625"/>
      <c r="X107" s="625"/>
      <c r="Y107" s="625"/>
      <c r="Z107" s="625"/>
      <c r="AA107" s="625"/>
      <c r="AB107" s="625"/>
      <c r="AC107" s="625"/>
      <c r="AD107" s="625"/>
      <c r="AE107" s="631"/>
    </row>
    <row r="108" spans="1:31">
      <c r="A108" s="624" t="s">
        <v>559</v>
      </c>
      <c r="B108" s="625"/>
      <c r="C108" s="625"/>
      <c r="D108" s="625">
        <v>106</v>
      </c>
      <c r="E108" s="625"/>
      <c r="F108" s="625">
        <v>3155</v>
      </c>
      <c r="G108" s="626"/>
      <c r="H108" s="626"/>
      <c r="I108" s="626"/>
      <c r="J108" s="625">
        <v>855</v>
      </c>
      <c r="K108" s="626"/>
      <c r="L108" s="625" t="str">
        <f>IF(Table10[[#This Row],[Rental Rate ($/mth)]]&lt;&gt;"",IF(Table10[[#This Row],[Rental Rate ($/mth)]]&lt;='Input CMHC MLI Select'!$C$12,"No","Yes"),"")</f>
        <v>Yes</v>
      </c>
      <c r="M108" s="625" t="str">
        <f>IF(Table10[[#This Row],[Rental Rate ($/mth)]]&lt;&gt;"",IF(Table10[[#This Row],[Rental Rate ($/mth)]]&lt;='Input CMHC MLI Select'!$C$12,"Yes","No"),"")</f>
        <v>No</v>
      </c>
      <c r="N108" s="625"/>
      <c r="O108" s="625"/>
      <c r="P108" s="625"/>
      <c r="Q108" s="626"/>
      <c r="R108" s="626"/>
      <c r="S108" s="626"/>
      <c r="T108" s="625"/>
      <c r="U108" s="625"/>
      <c r="V108" s="625"/>
      <c r="W108" s="625"/>
      <c r="X108" s="625"/>
      <c r="Y108" s="625"/>
      <c r="Z108" s="625"/>
      <c r="AA108" s="625"/>
      <c r="AB108" s="625"/>
      <c r="AC108" s="625"/>
      <c r="AD108" s="625"/>
      <c r="AE108" s="631"/>
    </row>
    <row r="109" spans="1:31">
      <c r="A109" s="624" t="s">
        <v>559</v>
      </c>
      <c r="B109" s="625"/>
      <c r="C109" s="625"/>
      <c r="D109" s="625">
        <v>107</v>
      </c>
      <c r="E109" s="625"/>
      <c r="F109" s="625">
        <v>3155</v>
      </c>
      <c r="G109" s="626"/>
      <c r="H109" s="626"/>
      <c r="I109" s="626"/>
      <c r="J109" s="625">
        <v>855</v>
      </c>
      <c r="K109" s="626"/>
      <c r="L109" s="625" t="str">
        <f>IF(Table10[[#This Row],[Rental Rate ($/mth)]]&lt;&gt;"",IF(Table10[[#This Row],[Rental Rate ($/mth)]]&lt;='Input CMHC MLI Select'!$C$12,"No","Yes"),"")</f>
        <v>Yes</v>
      </c>
      <c r="M109" s="625" t="str">
        <f>IF(Table10[[#This Row],[Rental Rate ($/mth)]]&lt;&gt;"",IF(Table10[[#This Row],[Rental Rate ($/mth)]]&lt;='Input CMHC MLI Select'!$C$12,"Yes","No"),"")</f>
        <v>No</v>
      </c>
      <c r="N109" s="625"/>
      <c r="O109" s="625"/>
      <c r="P109" s="625"/>
      <c r="Q109" s="626"/>
      <c r="R109" s="626"/>
      <c r="S109" s="626"/>
      <c r="T109" s="625"/>
      <c r="U109" s="625"/>
      <c r="V109" s="625"/>
      <c r="W109" s="625"/>
      <c r="X109" s="625"/>
      <c r="Y109" s="625"/>
      <c r="Z109" s="625"/>
      <c r="AA109" s="625"/>
      <c r="AB109" s="625"/>
      <c r="AC109" s="625"/>
      <c r="AD109" s="625"/>
      <c r="AE109" s="631"/>
    </row>
    <row r="110" spans="1:31">
      <c r="A110" s="624" t="s">
        <v>559</v>
      </c>
      <c r="B110" s="625"/>
      <c r="C110" s="625"/>
      <c r="D110" s="625">
        <v>108</v>
      </c>
      <c r="E110" s="625"/>
      <c r="F110" s="625">
        <v>3155</v>
      </c>
      <c r="G110" s="626"/>
      <c r="H110" s="626"/>
      <c r="I110" s="626"/>
      <c r="J110" s="625">
        <v>855</v>
      </c>
      <c r="K110" s="626"/>
      <c r="L110" s="625" t="str">
        <f>IF(Table10[[#This Row],[Rental Rate ($/mth)]]&lt;&gt;"",IF(Table10[[#This Row],[Rental Rate ($/mth)]]&lt;='Input CMHC MLI Select'!$C$12,"No","Yes"),"")</f>
        <v>Yes</v>
      </c>
      <c r="M110" s="625" t="str">
        <f>IF(Table10[[#This Row],[Rental Rate ($/mth)]]&lt;&gt;"",IF(Table10[[#This Row],[Rental Rate ($/mth)]]&lt;='Input CMHC MLI Select'!$C$12,"Yes","No"),"")</f>
        <v>No</v>
      </c>
      <c r="N110" s="625"/>
      <c r="O110" s="625"/>
      <c r="P110" s="625"/>
      <c r="Q110" s="626"/>
      <c r="R110" s="626"/>
      <c r="S110" s="626"/>
      <c r="T110" s="625"/>
      <c r="U110" s="625"/>
      <c r="V110" s="625"/>
      <c r="W110" s="625"/>
      <c r="X110" s="625"/>
      <c r="Y110" s="625"/>
      <c r="Z110" s="625"/>
      <c r="AA110" s="625"/>
      <c r="AB110" s="625"/>
      <c r="AC110" s="625"/>
      <c r="AD110" s="625"/>
      <c r="AE110" s="631"/>
    </row>
    <row r="111" spans="1:31">
      <c r="A111" s="624" t="s">
        <v>559</v>
      </c>
      <c r="B111" s="625"/>
      <c r="C111" s="625"/>
      <c r="D111" s="625">
        <v>109</v>
      </c>
      <c r="E111" s="625"/>
      <c r="F111" s="625">
        <v>3155</v>
      </c>
      <c r="G111" s="626"/>
      <c r="H111" s="626"/>
      <c r="I111" s="626"/>
      <c r="J111" s="625">
        <v>855</v>
      </c>
      <c r="K111" s="626"/>
      <c r="L111" s="625" t="str">
        <f>IF(Table10[[#This Row],[Rental Rate ($/mth)]]&lt;&gt;"",IF(Table10[[#This Row],[Rental Rate ($/mth)]]&lt;='Input CMHC MLI Select'!$C$12,"No","Yes"),"")</f>
        <v>Yes</v>
      </c>
      <c r="M111" s="625" t="str">
        <f>IF(Table10[[#This Row],[Rental Rate ($/mth)]]&lt;&gt;"",IF(Table10[[#This Row],[Rental Rate ($/mth)]]&lt;='Input CMHC MLI Select'!$C$12,"Yes","No"),"")</f>
        <v>No</v>
      </c>
      <c r="N111" s="625"/>
      <c r="O111" s="625"/>
      <c r="P111" s="625"/>
      <c r="Q111" s="626"/>
      <c r="R111" s="626"/>
      <c r="S111" s="626"/>
      <c r="T111" s="625"/>
      <c r="U111" s="625"/>
      <c r="V111" s="625"/>
      <c r="W111" s="625"/>
      <c r="X111" s="625"/>
      <c r="Y111" s="625"/>
      <c r="Z111" s="625"/>
      <c r="AA111" s="625"/>
      <c r="AB111" s="625"/>
      <c r="AC111" s="625"/>
      <c r="AD111" s="625"/>
      <c r="AE111" s="631"/>
    </row>
    <row r="112" spans="1:31">
      <c r="A112" s="624" t="s">
        <v>559</v>
      </c>
      <c r="B112" s="625"/>
      <c r="C112" s="625"/>
      <c r="D112" s="625">
        <v>110</v>
      </c>
      <c r="E112" s="625"/>
      <c r="F112" s="625">
        <v>3155</v>
      </c>
      <c r="G112" s="626"/>
      <c r="H112" s="626"/>
      <c r="I112" s="626"/>
      <c r="J112" s="625">
        <v>855</v>
      </c>
      <c r="K112" s="626"/>
      <c r="L112" s="625" t="str">
        <f>IF(Table10[[#This Row],[Rental Rate ($/mth)]]&lt;&gt;"",IF(Table10[[#This Row],[Rental Rate ($/mth)]]&lt;='Input CMHC MLI Select'!$C$12,"No","Yes"),"")</f>
        <v>Yes</v>
      </c>
      <c r="M112" s="625" t="str">
        <f>IF(Table10[[#This Row],[Rental Rate ($/mth)]]&lt;&gt;"",IF(Table10[[#This Row],[Rental Rate ($/mth)]]&lt;='Input CMHC MLI Select'!$C$12,"Yes","No"),"")</f>
        <v>No</v>
      </c>
      <c r="N112" s="625"/>
      <c r="O112" s="625"/>
      <c r="P112" s="625"/>
      <c r="Q112" s="626"/>
      <c r="R112" s="626"/>
      <c r="S112" s="626"/>
      <c r="T112" s="625"/>
      <c r="U112" s="625"/>
      <c r="V112" s="625"/>
      <c r="W112" s="625"/>
      <c r="X112" s="625"/>
      <c r="Y112" s="625"/>
      <c r="Z112" s="625"/>
      <c r="AA112" s="625"/>
      <c r="AB112" s="625"/>
      <c r="AC112" s="625"/>
      <c r="AD112" s="625"/>
      <c r="AE112" s="631"/>
    </row>
    <row r="113" spans="1:31">
      <c r="A113" s="624" t="s">
        <v>559</v>
      </c>
      <c r="B113" s="625"/>
      <c r="C113" s="625"/>
      <c r="D113" s="625">
        <v>111</v>
      </c>
      <c r="E113" s="625"/>
      <c r="F113" s="625">
        <v>3155</v>
      </c>
      <c r="G113" s="626"/>
      <c r="H113" s="626"/>
      <c r="I113" s="626"/>
      <c r="J113" s="625">
        <v>855</v>
      </c>
      <c r="K113" s="626"/>
      <c r="L113" s="625" t="str">
        <f>IF(Table10[[#This Row],[Rental Rate ($/mth)]]&lt;&gt;"",IF(Table10[[#This Row],[Rental Rate ($/mth)]]&lt;='Input CMHC MLI Select'!$C$12,"No","Yes"),"")</f>
        <v>Yes</v>
      </c>
      <c r="M113" s="625" t="str">
        <f>IF(Table10[[#This Row],[Rental Rate ($/mth)]]&lt;&gt;"",IF(Table10[[#This Row],[Rental Rate ($/mth)]]&lt;='Input CMHC MLI Select'!$C$12,"Yes","No"),"")</f>
        <v>No</v>
      </c>
      <c r="N113" s="625"/>
      <c r="O113" s="625"/>
      <c r="P113" s="625"/>
      <c r="Q113" s="626"/>
      <c r="R113" s="626"/>
      <c r="S113" s="626"/>
      <c r="T113" s="625"/>
      <c r="U113" s="625"/>
      <c r="V113" s="625"/>
      <c r="W113" s="625"/>
      <c r="X113" s="625"/>
      <c r="Y113" s="625"/>
      <c r="Z113" s="625"/>
      <c r="AA113" s="625"/>
      <c r="AB113" s="625"/>
      <c r="AC113" s="625"/>
      <c r="AD113" s="625"/>
      <c r="AE113" s="631"/>
    </row>
    <row r="114" spans="1:31">
      <c r="A114" s="624" t="s">
        <v>559</v>
      </c>
      <c r="B114" s="625"/>
      <c r="C114" s="625"/>
      <c r="D114" s="625">
        <v>112</v>
      </c>
      <c r="E114" s="625"/>
      <c r="F114" s="625">
        <v>3155</v>
      </c>
      <c r="G114" s="626"/>
      <c r="H114" s="626"/>
      <c r="I114" s="626"/>
      <c r="J114" s="625">
        <v>855</v>
      </c>
      <c r="K114" s="626"/>
      <c r="L114" s="625" t="str">
        <f>IF(Table10[[#This Row],[Rental Rate ($/mth)]]&lt;&gt;"",IF(Table10[[#This Row],[Rental Rate ($/mth)]]&lt;='Input CMHC MLI Select'!$C$12,"No","Yes"),"")</f>
        <v>Yes</v>
      </c>
      <c r="M114" s="625" t="str">
        <f>IF(Table10[[#This Row],[Rental Rate ($/mth)]]&lt;&gt;"",IF(Table10[[#This Row],[Rental Rate ($/mth)]]&lt;='Input CMHC MLI Select'!$C$12,"Yes","No"),"")</f>
        <v>No</v>
      </c>
      <c r="N114" s="625"/>
      <c r="O114" s="625"/>
      <c r="P114" s="625"/>
      <c r="Q114" s="626"/>
      <c r="R114" s="626"/>
      <c r="S114" s="626"/>
      <c r="T114" s="625"/>
      <c r="U114" s="625"/>
      <c r="V114" s="625"/>
      <c r="W114" s="625"/>
      <c r="X114" s="625"/>
      <c r="Y114" s="625"/>
      <c r="Z114" s="625"/>
      <c r="AA114" s="625"/>
      <c r="AB114" s="625"/>
      <c r="AC114" s="625"/>
      <c r="AD114" s="625"/>
      <c r="AE114" s="631"/>
    </row>
    <row r="115" spans="1:31">
      <c r="A115" s="624" t="s">
        <v>559</v>
      </c>
      <c r="B115" s="625"/>
      <c r="C115" s="625"/>
      <c r="D115" s="625">
        <v>113</v>
      </c>
      <c r="E115" s="625"/>
      <c r="F115" s="625">
        <v>3155</v>
      </c>
      <c r="G115" s="626"/>
      <c r="H115" s="626"/>
      <c r="I115" s="626"/>
      <c r="J115" s="625">
        <v>855</v>
      </c>
      <c r="K115" s="626"/>
      <c r="L115" s="625" t="str">
        <f>IF(Table10[[#This Row],[Rental Rate ($/mth)]]&lt;&gt;"",IF(Table10[[#This Row],[Rental Rate ($/mth)]]&lt;='Input CMHC MLI Select'!$C$12,"No","Yes"),"")</f>
        <v>Yes</v>
      </c>
      <c r="M115" s="625" t="str">
        <f>IF(Table10[[#This Row],[Rental Rate ($/mth)]]&lt;&gt;"",IF(Table10[[#This Row],[Rental Rate ($/mth)]]&lt;='Input CMHC MLI Select'!$C$12,"Yes","No"),"")</f>
        <v>No</v>
      </c>
      <c r="N115" s="625"/>
      <c r="O115" s="625"/>
      <c r="P115" s="625"/>
      <c r="Q115" s="626"/>
      <c r="R115" s="626"/>
      <c r="S115" s="626"/>
      <c r="T115" s="625"/>
      <c r="U115" s="625"/>
      <c r="V115" s="625"/>
      <c r="W115" s="625"/>
      <c r="X115" s="625"/>
      <c r="Y115" s="625"/>
      <c r="Z115" s="625"/>
      <c r="AA115" s="625"/>
      <c r="AB115" s="625"/>
      <c r="AC115" s="625"/>
      <c r="AD115" s="625"/>
      <c r="AE115" s="631"/>
    </row>
    <row r="116" spans="1:31">
      <c r="A116" s="624" t="s">
        <v>559</v>
      </c>
      <c r="B116" s="625"/>
      <c r="C116" s="625"/>
      <c r="D116" s="625">
        <v>114</v>
      </c>
      <c r="E116" s="625"/>
      <c r="F116" s="625">
        <v>3155</v>
      </c>
      <c r="G116" s="626"/>
      <c r="H116" s="626"/>
      <c r="I116" s="626"/>
      <c r="J116" s="625">
        <v>855</v>
      </c>
      <c r="K116" s="626"/>
      <c r="L116" s="625" t="str">
        <f>IF(Table10[[#This Row],[Rental Rate ($/mth)]]&lt;&gt;"",IF(Table10[[#This Row],[Rental Rate ($/mth)]]&lt;='Input CMHC MLI Select'!$C$12,"No","Yes"),"")</f>
        <v>Yes</v>
      </c>
      <c r="M116" s="625" t="str">
        <f>IF(Table10[[#This Row],[Rental Rate ($/mth)]]&lt;&gt;"",IF(Table10[[#This Row],[Rental Rate ($/mth)]]&lt;='Input CMHC MLI Select'!$C$12,"Yes","No"),"")</f>
        <v>No</v>
      </c>
      <c r="N116" s="625"/>
      <c r="O116" s="625"/>
      <c r="P116" s="625"/>
      <c r="Q116" s="626"/>
      <c r="R116" s="626"/>
      <c r="S116" s="626"/>
      <c r="T116" s="625"/>
      <c r="U116" s="625"/>
      <c r="V116" s="625"/>
      <c r="W116" s="625"/>
      <c r="X116" s="625"/>
      <c r="Y116" s="625"/>
      <c r="Z116" s="625"/>
      <c r="AA116" s="625"/>
      <c r="AB116" s="625"/>
      <c r="AC116" s="625"/>
      <c r="AD116" s="625"/>
      <c r="AE116" s="631"/>
    </row>
    <row r="117" spans="1:31">
      <c r="A117" s="624" t="s">
        <v>559</v>
      </c>
      <c r="B117" s="625"/>
      <c r="C117" s="625"/>
      <c r="D117" s="625">
        <v>115</v>
      </c>
      <c r="E117" s="625"/>
      <c r="F117" s="625">
        <v>3155</v>
      </c>
      <c r="G117" s="626"/>
      <c r="H117" s="626"/>
      <c r="I117" s="626"/>
      <c r="J117" s="625">
        <v>855</v>
      </c>
      <c r="K117" s="626"/>
      <c r="L117" s="625" t="str">
        <f>IF(Table10[[#This Row],[Rental Rate ($/mth)]]&lt;&gt;"",IF(Table10[[#This Row],[Rental Rate ($/mth)]]&lt;='Input CMHC MLI Select'!$C$12,"No","Yes"),"")</f>
        <v>Yes</v>
      </c>
      <c r="M117" s="625" t="str">
        <f>IF(Table10[[#This Row],[Rental Rate ($/mth)]]&lt;&gt;"",IF(Table10[[#This Row],[Rental Rate ($/mth)]]&lt;='Input CMHC MLI Select'!$C$12,"Yes","No"),"")</f>
        <v>No</v>
      </c>
      <c r="N117" s="625"/>
      <c r="O117" s="625"/>
      <c r="P117" s="625"/>
      <c r="Q117" s="626"/>
      <c r="R117" s="626"/>
      <c r="S117" s="626"/>
      <c r="T117" s="625"/>
      <c r="U117" s="625"/>
      <c r="V117" s="625"/>
      <c r="W117" s="625"/>
      <c r="X117" s="625"/>
      <c r="Y117" s="625"/>
      <c r="Z117" s="625"/>
      <c r="AA117" s="625"/>
      <c r="AB117" s="625"/>
      <c r="AC117" s="625"/>
      <c r="AD117" s="625"/>
      <c r="AE117" s="631"/>
    </row>
    <row r="118" spans="1:31">
      <c r="A118" s="624" t="s">
        <v>559</v>
      </c>
      <c r="B118" s="625"/>
      <c r="C118" s="625"/>
      <c r="D118" s="625">
        <v>116</v>
      </c>
      <c r="E118" s="625"/>
      <c r="F118" s="625">
        <v>3155</v>
      </c>
      <c r="G118" s="626"/>
      <c r="H118" s="626"/>
      <c r="I118" s="626"/>
      <c r="J118" s="625">
        <v>855</v>
      </c>
      <c r="K118" s="626"/>
      <c r="L118" s="625" t="str">
        <f>IF(Table10[[#This Row],[Rental Rate ($/mth)]]&lt;&gt;"",IF(Table10[[#This Row],[Rental Rate ($/mth)]]&lt;='Input CMHC MLI Select'!$C$12,"No","Yes"),"")</f>
        <v>Yes</v>
      </c>
      <c r="M118" s="625" t="str">
        <f>IF(Table10[[#This Row],[Rental Rate ($/mth)]]&lt;&gt;"",IF(Table10[[#This Row],[Rental Rate ($/mth)]]&lt;='Input CMHC MLI Select'!$C$12,"Yes","No"),"")</f>
        <v>No</v>
      </c>
      <c r="N118" s="625"/>
      <c r="O118" s="625"/>
      <c r="P118" s="625"/>
      <c r="Q118" s="626"/>
      <c r="R118" s="626"/>
      <c r="S118" s="626"/>
      <c r="T118" s="625"/>
      <c r="U118" s="625"/>
      <c r="V118" s="625"/>
      <c r="W118" s="625"/>
      <c r="X118" s="625"/>
      <c r="Y118" s="625"/>
      <c r="Z118" s="625"/>
      <c r="AA118" s="625"/>
      <c r="AB118" s="625"/>
      <c r="AC118" s="625"/>
      <c r="AD118" s="625"/>
      <c r="AE118" s="631"/>
    </row>
    <row r="119" spans="1:31">
      <c r="A119" s="624" t="s">
        <v>559</v>
      </c>
      <c r="B119" s="625"/>
      <c r="C119" s="625"/>
      <c r="D119" s="625">
        <v>117</v>
      </c>
      <c r="E119" s="625"/>
      <c r="F119" s="625">
        <v>3155</v>
      </c>
      <c r="G119" s="626"/>
      <c r="H119" s="626"/>
      <c r="I119" s="626"/>
      <c r="J119" s="625">
        <v>855</v>
      </c>
      <c r="K119" s="626"/>
      <c r="L119" s="625" t="str">
        <f>IF(Table10[[#This Row],[Rental Rate ($/mth)]]&lt;&gt;"",IF(Table10[[#This Row],[Rental Rate ($/mth)]]&lt;='Input CMHC MLI Select'!$C$12,"No","Yes"),"")</f>
        <v>Yes</v>
      </c>
      <c r="M119" s="625" t="str">
        <f>IF(Table10[[#This Row],[Rental Rate ($/mth)]]&lt;&gt;"",IF(Table10[[#This Row],[Rental Rate ($/mth)]]&lt;='Input CMHC MLI Select'!$C$12,"Yes","No"),"")</f>
        <v>No</v>
      </c>
      <c r="N119" s="625"/>
      <c r="O119" s="625"/>
      <c r="P119" s="625"/>
      <c r="Q119" s="626"/>
      <c r="R119" s="626"/>
      <c r="S119" s="626"/>
      <c r="T119" s="625"/>
      <c r="U119" s="625"/>
      <c r="V119" s="625"/>
      <c r="W119" s="625"/>
      <c r="X119" s="625"/>
      <c r="Y119" s="625"/>
      <c r="Z119" s="625"/>
      <c r="AA119" s="625"/>
      <c r="AB119" s="625"/>
      <c r="AC119" s="625"/>
      <c r="AD119" s="625"/>
      <c r="AE119" s="631"/>
    </row>
    <row r="120" spans="1:31">
      <c r="A120" s="624" t="s">
        <v>559</v>
      </c>
      <c r="B120" s="625"/>
      <c r="C120" s="625"/>
      <c r="D120" s="625">
        <v>118</v>
      </c>
      <c r="E120" s="625"/>
      <c r="F120" s="625">
        <v>3155</v>
      </c>
      <c r="G120" s="626"/>
      <c r="H120" s="626"/>
      <c r="I120" s="626"/>
      <c r="J120" s="625">
        <v>855</v>
      </c>
      <c r="K120" s="626"/>
      <c r="L120" s="625" t="str">
        <f>IF(Table10[[#This Row],[Rental Rate ($/mth)]]&lt;&gt;"",IF(Table10[[#This Row],[Rental Rate ($/mth)]]&lt;='Input CMHC MLI Select'!$C$12,"No","Yes"),"")</f>
        <v>Yes</v>
      </c>
      <c r="M120" s="625" t="str">
        <f>IF(Table10[[#This Row],[Rental Rate ($/mth)]]&lt;&gt;"",IF(Table10[[#This Row],[Rental Rate ($/mth)]]&lt;='Input CMHC MLI Select'!$C$12,"Yes","No"),"")</f>
        <v>No</v>
      </c>
      <c r="N120" s="625"/>
      <c r="O120" s="625"/>
      <c r="P120" s="625"/>
      <c r="Q120" s="626"/>
      <c r="R120" s="626"/>
      <c r="S120" s="626"/>
      <c r="T120" s="625"/>
      <c r="U120" s="625"/>
      <c r="V120" s="625"/>
      <c r="W120" s="625"/>
      <c r="X120" s="625"/>
      <c r="Y120" s="625"/>
      <c r="Z120" s="625"/>
      <c r="AA120" s="625"/>
      <c r="AB120" s="625"/>
      <c r="AC120" s="625"/>
      <c r="AD120" s="625"/>
      <c r="AE120" s="631"/>
    </row>
    <row r="121" spans="1:31">
      <c r="A121" s="624" t="s">
        <v>559</v>
      </c>
      <c r="B121" s="625"/>
      <c r="C121" s="625"/>
      <c r="D121" s="625">
        <v>119</v>
      </c>
      <c r="E121" s="625"/>
      <c r="F121" s="625">
        <v>3155</v>
      </c>
      <c r="G121" s="626"/>
      <c r="H121" s="626"/>
      <c r="I121" s="626"/>
      <c r="J121" s="625">
        <v>855</v>
      </c>
      <c r="K121" s="626"/>
      <c r="L121" s="625" t="str">
        <f>IF(Table10[[#This Row],[Rental Rate ($/mth)]]&lt;&gt;"",IF(Table10[[#This Row],[Rental Rate ($/mth)]]&lt;='Input CMHC MLI Select'!$C$12,"No","Yes"),"")</f>
        <v>Yes</v>
      </c>
      <c r="M121" s="625" t="str">
        <f>IF(Table10[[#This Row],[Rental Rate ($/mth)]]&lt;&gt;"",IF(Table10[[#This Row],[Rental Rate ($/mth)]]&lt;='Input CMHC MLI Select'!$C$12,"Yes","No"),"")</f>
        <v>No</v>
      </c>
      <c r="N121" s="625"/>
      <c r="O121" s="625"/>
      <c r="P121" s="625"/>
      <c r="Q121" s="626"/>
      <c r="R121" s="626"/>
      <c r="S121" s="626"/>
      <c r="T121" s="625"/>
      <c r="U121" s="625"/>
      <c r="V121" s="625"/>
      <c r="W121" s="625"/>
      <c r="X121" s="625"/>
      <c r="Y121" s="625"/>
      <c r="Z121" s="625"/>
      <c r="AA121" s="625"/>
      <c r="AB121" s="625"/>
      <c r="AC121" s="625"/>
      <c r="AD121" s="625"/>
      <c r="AE121" s="631"/>
    </row>
    <row r="122" spans="1:31">
      <c r="A122" s="624" t="s">
        <v>559</v>
      </c>
      <c r="B122" s="625"/>
      <c r="C122" s="625"/>
      <c r="D122" s="625">
        <v>120</v>
      </c>
      <c r="E122" s="625"/>
      <c r="F122" s="625">
        <v>3155</v>
      </c>
      <c r="G122" s="626"/>
      <c r="H122" s="626"/>
      <c r="I122" s="626"/>
      <c r="J122" s="625">
        <v>855</v>
      </c>
      <c r="K122" s="626"/>
      <c r="L122" s="625" t="str">
        <f>IF(Table10[[#This Row],[Rental Rate ($/mth)]]&lt;&gt;"",IF(Table10[[#This Row],[Rental Rate ($/mth)]]&lt;='Input CMHC MLI Select'!$C$12,"No","Yes"),"")</f>
        <v>Yes</v>
      </c>
      <c r="M122" s="625" t="str">
        <f>IF(Table10[[#This Row],[Rental Rate ($/mth)]]&lt;&gt;"",IF(Table10[[#This Row],[Rental Rate ($/mth)]]&lt;='Input CMHC MLI Select'!$C$12,"Yes","No"),"")</f>
        <v>No</v>
      </c>
      <c r="N122" s="625"/>
      <c r="O122" s="625"/>
      <c r="P122" s="625"/>
      <c r="Q122" s="626"/>
      <c r="R122" s="626"/>
      <c r="S122" s="626"/>
      <c r="T122" s="625"/>
      <c r="U122" s="625"/>
      <c r="V122" s="625"/>
      <c r="W122" s="625"/>
      <c r="X122" s="625"/>
      <c r="Y122" s="625"/>
      <c r="Z122" s="625"/>
      <c r="AA122" s="625"/>
      <c r="AB122" s="625"/>
      <c r="AC122" s="625"/>
      <c r="AD122" s="625"/>
      <c r="AE122" s="631"/>
    </row>
    <row r="123" spans="1:31">
      <c r="A123" s="624" t="s">
        <v>559</v>
      </c>
      <c r="B123" s="625"/>
      <c r="C123" s="625"/>
      <c r="D123" s="625">
        <v>121</v>
      </c>
      <c r="E123" s="625"/>
      <c r="F123" s="625">
        <v>3155</v>
      </c>
      <c r="G123" s="626"/>
      <c r="H123" s="626"/>
      <c r="I123" s="626"/>
      <c r="J123" s="625">
        <v>855</v>
      </c>
      <c r="K123" s="626"/>
      <c r="L123" s="625" t="str">
        <f>IF(Table10[[#This Row],[Rental Rate ($/mth)]]&lt;&gt;"",IF(Table10[[#This Row],[Rental Rate ($/mth)]]&lt;='Input CMHC MLI Select'!$C$12,"No","Yes"),"")</f>
        <v>Yes</v>
      </c>
      <c r="M123" s="625" t="str">
        <f>IF(Table10[[#This Row],[Rental Rate ($/mth)]]&lt;&gt;"",IF(Table10[[#This Row],[Rental Rate ($/mth)]]&lt;='Input CMHC MLI Select'!$C$12,"Yes","No"),"")</f>
        <v>No</v>
      </c>
      <c r="N123" s="625"/>
      <c r="O123" s="625"/>
      <c r="P123" s="625"/>
      <c r="Q123" s="626"/>
      <c r="R123" s="626"/>
      <c r="S123" s="626"/>
      <c r="T123" s="625"/>
      <c r="U123" s="625"/>
      <c r="V123" s="625"/>
      <c r="W123" s="625"/>
      <c r="X123" s="625"/>
      <c r="Y123" s="625"/>
      <c r="Z123" s="625"/>
      <c r="AA123" s="625"/>
      <c r="AB123" s="625"/>
      <c r="AC123" s="625"/>
      <c r="AD123" s="625"/>
      <c r="AE123" s="631"/>
    </row>
    <row r="124" spans="1:31">
      <c r="A124" s="624" t="s">
        <v>559</v>
      </c>
      <c r="B124" s="625"/>
      <c r="C124" s="625"/>
      <c r="D124" s="625">
        <v>122</v>
      </c>
      <c r="E124" s="625"/>
      <c r="F124" s="625">
        <v>3155</v>
      </c>
      <c r="G124" s="626"/>
      <c r="H124" s="626"/>
      <c r="I124" s="626"/>
      <c r="J124" s="625">
        <v>855</v>
      </c>
      <c r="K124" s="626"/>
      <c r="L124" s="625" t="str">
        <f>IF(Table10[[#This Row],[Rental Rate ($/mth)]]&lt;&gt;"",IF(Table10[[#This Row],[Rental Rate ($/mth)]]&lt;='Input CMHC MLI Select'!$C$12,"No","Yes"),"")</f>
        <v>Yes</v>
      </c>
      <c r="M124" s="625" t="str">
        <f>IF(Table10[[#This Row],[Rental Rate ($/mth)]]&lt;&gt;"",IF(Table10[[#This Row],[Rental Rate ($/mth)]]&lt;='Input CMHC MLI Select'!$C$12,"Yes","No"),"")</f>
        <v>No</v>
      </c>
      <c r="N124" s="625"/>
      <c r="O124" s="625"/>
      <c r="P124" s="625"/>
      <c r="Q124" s="626"/>
      <c r="R124" s="626"/>
      <c r="S124" s="626"/>
      <c r="T124" s="625"/>
      <c r="U124" s="625"/>
      <c r="V124" s="625"/>
      <c r="W124" s="625"/>
      <c r="X124" s="625"/>
      <c r="Y124" s="625"/>
      <c r="Z124" s="625"/>
      <c r="AA124" s="625"/>
      <c r="AB124" s="625"/>
      <c r="AC124" s="625"/>
      <c r="AD124" s="625"/>
      <c r="AE124" s="631"/>
    </row>
    <row r="125" spans="1:31">
      <c r="A125" s="624" t="s">
        <v>559</v>
      </c>
      <c r="B125" s="625"/>
      <c r="C125" s="625"/>
      <c r="D125" s="625">
        <v>123</v>
      </c>
      <c r="E125" s="625"/>
      <c r="F125" s="625">
        <v>3155</v>
      </c>
      <c r="G125" s="626"/>
      <c r="H125" s="626"/>
      <c r="I125" s="626"/>
      <c r="J125" s="625">
        <v>855</v>
      </c>
      <c r="K125" s="626"/>
      <c r="L125" s="625" t="str">
        <f>IF(Table10[[#This Row],[Rental Rate ($/mth)]]&lt;&gt;"",IF(Table10[[#This Row],[Rental Rate ($/mth)]]&lt;='Input CMHC MLI Select'!$C$12,"No","Yes"),"")</f>
        <v>Yes</v>
      </c>
      <c r="M125" s="625" t="str">
        <f>IF(Table10[[#This Row],[Rental Rate ($/mth)]]&lt;&gt;"",IF(Table10[[#This Row],[Rental Rate ($/mth)]]&lt;='Input CMHC MLI Select'!$C$12,"Yes","No"),"")</f>
        <v>No</v>
      </c>
      <c r="N125" s="625"/>
      <c r="O125" s="625"/>
      <c r="P125" s="625"/>
      <c r="Q125" s="626"/>
      <c r="R125" s="626"/>
      <c r="S125" s="626"/>
      <c r="T125" s="625"/>
      <c r="U125" s="625"/>
      <c r="V125" s="625"/>
      <c r="W125" s="625"/>
      <c r="X125" s="625"/>
      <c r="Y125" s="625"/>
      <c r="Z125" s="625"/>
      <c r="AA125" s="625"/>
      <c r="AB125" s="625"/>
      <c r="AC125" s="625"/>
      <c r="AD125" s="625"/>
      <c r="AE125" s="631"/>
    </row>
    <row r="126" spans="1:31">
      <c r="A126" s="624" t="s">
        <v>559</v>
      </c>
      <c r="B126" s="625"/>
      <c r="C126" s="625"/>
      <c r="D126" s="625">
        <v>124</v>
      </c>
      <c r="E126" s="625"/>
      <c r="F126" s="625">
        <v>3155</v>
      </c>
      <c r="G126" s="626"/>
      <c r="H126" s="626"/>
      <c r="I126" s="626"/>
      <c r="J126" s="625">
        <v>855</v>
      </c>
      <c r="K126" s="626"/>
      <c r="L126" s="625" t="str">
        <f>IF(Table10[[#This Row],[Rental Rate ($/mth)]]&lt;&gt;"",IF(Table10[[#This Row],[Rental Rate ($/mth)]]&lt;='Input CMHC MLI Select'!$C$12,"No","Yes"),"")</f>
        <v>Yes</v>
      </c>
      <c r="M126" s="625" t="str">
        <f>IF(Table10[[#This Row],[Rental Rate ($/mth)]]&lt;&gt;"",IF(Table10[[#This Row],[Rental Rate ($/mth)]]&lt;='Input CMHC MLI Select'!$C$12,"Yes","No"),"")</f>
        <v>No</v>
      </c>
      <c r="N126" s="625"/>
      <c r="O126" s="625"/>
      <c r="P126" s="625"/>
      <c r="Q126" s="626"/>
      <c r="R126" s="626"/>
      <c r="S126" s="626"/>
      <c r="T126" s="625"/>
      <c r="U126" s="625"/>
      <c r="V126" s="625"/>
      <c r="W126" s="625"/>
      <c r="X126" s="625"/>
      <c r="Y126" s="625"/>
      <c r="Z126" s="625"/>
      <c r="AA126" s="625"/>
      <c r="AB126" s="625"/>
      <c r="AC126" s="625"/>
      <c r="AD126" s="625"/>
      <c r="AE126" s="631"/>
    </row>
    <row r="127" spans="1:31">
      <c r="A127" s="624" t="s">
        <v>559</v>
      </c>
      <c r="B127" s="625"/>
      <c r="C127" s="625"/>
      <c r="D127" s="625">
        <v>125</v>
      </c>
      <c r="E127" s="625"/>
      <c r="F127" s="625">
        <v>3155</v>
      </c>
      <c r="G127" s="626"/>
      <c r="H127" s="626"/>
      <c r="I127" s="626"/>
      <c r="J127" s="625">
        <v>855</v>
      </c>
      <c r="K127" s="626"/>
      <c r="L127" s="625" t="str">
        <f>IF(Table10[[#This Row],[Rental Rate ($/mth)]]&lt;&gt;"",IF(Table10[[#This Row],[Rental Rate ($/mth)]]&lt;='Input CMHC MLI Select'!$C$12,"No","Yes"),"")</f>
        <v>Yes</v>
      </c>
      <c r="M127" s="625" t="str">
        <f>IF(Table10[[#This Row],[Rental Rate ($/mth)]]&lt;&gt;"",IF(Table10[[#This Row],[Rental Rate ($/mth)]]&lt;='Input CMHC MLI Select'!$C$12,"Yes","No"),"")</f>
        <v>No</v>
      </c>
      <c r="N127" s="625"/>
      <c r="O127" s="625"/>
      <c r="P127" s="625"/>
      <c r="Q127" s="626"/>
      <c r="R127" s="626"/>
      <c r="S127" s="626"/>
      <c r="T127" s="625"/>
      <c r="U127" s="625"/>
      <c r="V127" s="625"/>
      <c r="W127" s="625"/>
      <c r="X127" s="625"/>
      <c r="Y127" s="625"/>
      <c r="Z127" s="625"/>
      <c r="AA127" s="625"/>
      <c r="AB127" s="625"/>
      <c r="AC127" s="625"/>
      <c r="AD127" s="625"/>
      <c r="AE127" s="631"/>
    </row>
    <row r="128" spans="1:31">
      <c r="A128" s="624" t="s">
        <v>559</v>
      </c>
      <c r="B128" s="625"/>
      <c r="C128" s="625"/>
      <c r="D128" s="625">
        <v>126</v>
      </c>
      <c r="E128" s="625"/>
      <c r="F128" s="625">
        <v>3155</v>
      </c>
      <c r="G128" s="626"/>
      <c r="H128" s="626"/>
      <c r="I128" s="626"/>
      <c r="J128" s="625">
        <v>855</v>
      </c>
      <c r="K128" s="626"/>
      <c r="L128" s="625" t="str">
        <f>IF(Table10[[#This Row],[Rental Rate ($/mth)]]&lt;&gt;"",IF(Table10[[#This Row],[Rental Rate ($/mth)]]&lt;='Input CMHC MLI Select'!$C$12,"No","Yes"),"")</f>
        <v>Yes</v>
      </c>
      <c r="M128" s="625" t="str">
        <f>IF(Table10[[#This Row],[Rental Rate ($/mth)]]&lt;&gt;"",IF(Table10[[#This Row],[Rental Rate ($/mth)]]&lt;='Input CMHC MLI Select'!$C$12,"Yes","No"),"")</f>
        <v>No</v>
      </c>
      <c r="N128" s="625"/>
      <c r="O128" s="625"/>
      <c r="P128" s="625"/>
      <c r="Q128" s="626"/>
      <c r="R128" s="626"/>
      <c r="S128" s="626"/>
      <c r="T128" s="625"/>
      <c r="U128" s="625"/>
      <c r="V128" s="625"/>
      <c r="W128" s="625"/>
      <c r="X128" s="625"/>
      <c r="Y128" s="625"/>
      <c r="Z128" s="625"/>
      <c r="AA128" s="625"/>
      <c r="AB128" s="625"/>
      <c r="AC128" s="625"/>
      <c r="AD128" s="625"/>
      <c r="AE128" s="631"/>
    </row>
    <row r="129" spans="1:31">
      <c r="A129" s="624" t="s">
        <v>559</v>
      </c>
      <c r="B129" s="625"/>
      <c r="C129" s="625"/>
      <c r="D129" s="625">
        <v>127</v>
      </c>
      <c r="E129" s="625"/>
      <c r="F129" s="625">
        <v>3155</v>
      </c>
      <c r="G129" s="626"/>
      <c r="H129" s="626"/>
      <c r="I129" s="626"/>
      <c r="J129" s="625">
        <v>855</v>
      </c>
      <c r="K129" s="626"/>
      <c r="L129" s="625" t="str">
        <f>IF(Table10[[#This Row],[Rental Rate ($/mth)]]&lt;&gt;"",IF(Table10[[#This Row],[Rental Rate ($/mth)]]&lt;='Input CMHC MLI Select'!$C$12,"No","Yes"),"")</f>
        <v>Yes</v>
      </c>
      <c r="M129" s="625" t="str">
        <f>IF(Table10[[#This Row],[Rental Rate ($/mth)]]&lt;&gt;"",IF(Table10[[#This Row],[Rental Rate ($/mth)]]&lt;='Input CMHC MLI Select'!$C$12,"Yes","No"),"")</f>
        <v>No</v>
      </c>
      <c r="N129" s="625"/>
      <c r="O129" s="625"/>
      <c r="P129" s="625"/>
      <c r="Q129" s="626"/>
      <c r="R129" s="626"/>
      <c r="S129" s="626"/>
      <c r="T129" s="625"/>
      <c r="U129" s="625"/>
      <c r="V129" s="625"/>
      <c r="W129" s="625"/>
      <c r="X129" s="625"/>
      <c r="Y129" s="625"/>
      <c r="Z129" s="625"/>
      <c r="AA129" s="625"/>
      <c r="AB129" s="625"/>
      <c r="AC129" s="625"/>
      <c r="AD129" s="625"/>
      <c r="AE129" s="631"/>
    </row>
    <row r="130" spans="1:31">
      <c r="A130" s="624" t="s">
        <v>559</v>
      </c>
      <c r="B130" s="625"/>
      <c r="C130" s="625"/>
      <c r="D130" s="625">
        <v>128</v>
      </c>
      <c r="E130" s="625"/>
      <c r="F130" s="625">
        <v>3155</v>
      </c>
      <c r="G130" s="626"/>
      <c r="H130" s="626"/>
      <c r="I130" s="626"/>
      <c r="J130" s="625">
        <v>855</v>
      </c>
      <c r="K130" s="626"/>
      <c r="L130" s="625" t="str">
        <f>IF(Table10[[#This Row],[Rental Rate ($/mth)]]&lt;&gt;"",IF(Table10[[#This Row],[Rental Rate ($/mth)]]&lt;='Input CMHC MLI Select'!$C$12,"No","Yes"),"")</f>
        <v>Yes</v>
      </c>
      <c r="M130" s="625" t="str">
        <f>IF(Table10[[#This Row],[Rental Rate ($/mth)]]&lt;&gt;"",IF(Table10[[#This Row],[Rental Rate ($/mth)]]&lt;='Input CMHC MLI Select'!$C$12,"Yes","No"),"")</f>
        <v>No</v>
      </c>
      <c r="N130" s="625"/>
      <c r="O130" s="625"/>
      <c r="P130" s="625"/>
      <c r="Q130" s="626"/>
      <c r="R130" s="626"/>
      <c r="S130" s="626"/>
      <c r="T130" s="625"/>
      <c r="U130" s="625"/>
      <c r="V130" s="625"/>
      <c r="W130" s="625"/>
      <c r="X130" s="625"/>
      <c r="Y130" s="625"/>
      <c r="Z130" s="625"/>
      <c r="AA130" s="625"/>
      <c r="AB130" s="625"/>
      <c r="AC130" s="625"/>
      <c r="AD130" s="625"/>
      <c r="AE130" s="631"/>
    </row>
    <row r="131" spans="1:31">
      <c r="A131" s="624" t="s">
        <v>559</v>
      </c>
      <c r="B131" s="625"/>
      <c r="C131" s="625"/>
      <c r="D131" s="625">
        <v>129</v>
      </c>
      <c r="E131" s="625"/>
      <c r="F131" s="625">
        <v>3155</v>
      </c>
      <c r="G131" s="626"/>
      <c r="H131" s="626"/>
      <c r="I131" s="626"/>
      <c r="J131" s="625">
        <v>855</v>
      </c>
      <c r="K131" s="626"/>
      <c r="L131" s="625" t="str">
        <f>IF(Table10[[#This Row],[Rental Rate ($/mth)]]&lt;&gt;"",IF(Table10[[#This Row],[Rental Rate ($/mth)]]&lt;='Input CMHC MLI Select'!$C$12,"No","Yes"),"")</f>
        <v>Yes</v>
      </c>
      <c r="M131" s="625" t="str">
        <f>IF(Table10[[#This Row],[Rental Rate ($/mth)]]&lt;&gt;"",IF(Table10[[#This Row],[Rental Rate ($/mth)]]&lt;='Input CMHC MLI Select'!$C$12,"Yes","No"),"")</f>
        <v>No</v>
      </c>
      <c r="N131" s="625"/>
      <c r="O131" s="625"/>
      <c r="P131" s="625"/>
      <c r="Q131" s="626"/>
      <c r="R131" s="626"/>
      <c r="S131" s="626"/>
      <c r="T131" s="625"/>
      <c r="U131" s="625"/>
      <c r="V131" s="625"/>
      <c r="W131" s="625"/>
      <c r="X131" s="625"/>
      <c r="Y131" s="625"/>
      <c r="Z131" s="625"/>
      <c r="AA131" s="625"/>
      <c r="AB131" s="625"/>
      <c r="AC131" s="625"/>
      <c r="AD131" s="625"/>
      <c r="AE131" s="631"/>
    </row>
    <row r="132" spans="1:31">
      <c r="A132" s="624" t="s">
        <v>559</v>
      </c>
      <c r="B132" s="625"/>
      <c r="C132" s="625"/>
      <c r="D132" s="625">
        <v>130</v>
      </c>
      <c r="E132" s="625"/>
      <c r="F132" s="625">
        <v>3155</v>
      </c>
      <c r="G132" s="626"/>
      <c r="H132" s="626"/>
      <c r="I132" s="626"/>
      <c r="J132" s="625">
        <v>855</v>
      </c>
      <c r="K132" s="626"/>
      <c r="L132" s="625" t="str">
        <f>IF(Table10[[#This Row],[Rental Rate ($/mth)]]&lt;&gt;"",IF(Table10[[#This Row],[Rental Rate ($/mth)]]&lt;='Input CMHC MLI Select'!$C$12,"No","Yes"),"")</f>
        <v>Yes</v>
      </c>
      <c r="M132" s="625" t="str">
        <f>IF(Table10[[#This Row],[Rental Rate ($/mth)]]&lt;&gt;"",IF(Table10[[#This Row],[Rental Rate ($/mth)]]&lt;='Input CMHC MLI Select'!$C$12,"Yes","No"),"")</f>
        <v>No</v>
      </c>
      <c r="N132" s="625"/>
      <c r="O132" s="625"/>
      <c r="P132" s="625"/>
      <c r="Q132" s="626"/>
      <c r="R132" s="626"/>
      <c r="S132" s="626"/>
      <c r="T132" s="625"/>
      <c r="U132" s="625"/>
      <c r="V132" s="625"/>
      <c r="W132" s="625"/>
      <c r="X132" s="625"/>
      <c r="Y132" s="625"/>
      <c r="Z132" s="625"/>
      <c r="AA132" s="625"/>
      <c r="AB132" s="625"/>
      <c r="AC132" s="625"/>
      <c r="AD132" s="625"/>
      <c r="AE132" s="631"/>
    </row>
    <row r="133" spans="1:31">
      <c r="A133" s="624" t="s">
        <v>559</v>
      </c>
      <c r="B133" s="625"/>
      <c r="C133" s="625"/>
      <c r="D133" s="625">
        <v>131</v>
      </c>
      <c r="E133" s="625"/>
      <c r="F133" s="625">
        <v>3155</v>
      </c>
      <c r="G133" s="626"/>
      <c r="H133" s="626"/>
      <c r="I133" s="626"/>
      <c r="J133" s="625">
        <v>855</v>
      </c>
      <c r="K133" s="626"/>
      <c r="L133" s="625" t="str">
        <f>IF(Table10[[#This Row],[Rental Rate ($/mth)]]&lt;&gt;"",IF(Table10[[#This Row],[Rental Rate ($/mth)]]&lt;='Input CMHC MLI Select'!$C$12,"No","Yes"),"")</f>
        <v>Yes</v>
      </c>
      <c r="M133" s="625" t="str">
        <f>IF(Table10[[#This Row],[Rental Rate ($/mth)]]&lt;&gt;"",IF(Table10[[#This Row],[Rental Rate ($/mth)]]&lt;='Input CMHC MLI Select'!$C$12,"Yes","No"),"")</f>
        <v>No</v>
      </c>
      <c r="N133" s="625"/>
      <c r="O133" s="625"/>
      <c r="P133" s="625"/>
      <c r="Q133" s="626"/>
      <c r="R133" s="626"/>
      <c r="S133" s="626"/>
      <c r="T133" s="625"/>
      <c r="U133" s="625"/>
      <c r="V133" s="625"/>
      <c r="W133" s="625"/>
      <c r="X133" s="625"/>
      <c r="Y133" s="625"/>
      <c r="Z133" s="625"/>
      <c r="AA133" s="625"/>
      <c r="AB133" s="625"/>
      <c r="AC133" s="625"/>
      <c r="AD133" s="625"/>
      <c r="AE133" s="631"/>
    </row>
    <row r="134" spans="1:31">
      <c r="A134" s="624" t="s">
        <v>559</v>
      </c>
      <c r="B134" s="625"/>
      <c r="C134" s="625"/>
      <c r="D134" s="625">
        <v>132</v>
      </c>
      <c r="E134" s="625"/>
      <c r="F134" s="625">
        <v>3155</v>
      </c>
      <c r="G134" s="626"/>
      <c r="H134" s="626"/>
      <c r="I134" s="626"/>
      <c r="J134" s="625">
        <v>855</v>
      </c>
      <c r="K134" s="626"/>
      <c r="L134" s="625" t="str">
        <f>IF(Table10[[#This Row],[Rental Rate ($/mth)]]&lt;&gt;"",IF(Table10[[#This Row],[Rental Rate ($/mth)]]&lt;='Input CMHC MLI Select'!$C$12,"No","Yes"),"")</f>
        <v>Yes</v>
      </c>
      <c r="M134" s="625" t="str">
        <f>IF(Table10[[#This Row],[Rental Rate ($/mth)]]&lt;&gt;"",IF(Table10[[#This Row],[Rental Rate ($/mth)]]&lt;='Input CMHC MLI Select'!$C$12,"Yes","No"),"")</f>
        <v>No</v>
      </c>
      <c r="N134" s="625"/>
      <c r="O134" s="625"/>
      <c r="P134" s="625"/>
      <c r="Q134" s="626"/>
      <c r="R134" s="626"/>
      <c r="S134" s="626"/>
      <c r="T134" s="625"/>
      <c r="U134" s="625"/>
      <c r="V134" s="625"/>
      <c r="W134" s="625"/>
      <c r="X134" s="625"/>
      <c r="Y134" s="625"/>
      <c r="Z134" s="625"/>
      <c r="AA134" s="625"/>
      <c r="AB134" s="625"/>
      <c r="AC134" s="625"/>
      <c r="AD134" s="625"/>
      <c r="AE134" s="631"/>
    </row>
    <row r="135" spans="1:31">
      <c r="A135" s="624" t="s">
        <v>559</v>
      </c>
      <c r="B135" s="625"/>
      <c r="C135" s="625"/>
      <c r="D135" s="625">
        <v>133</v>
      </c>
      <c r="E135" s="625"/>
      <c r="F135" s="625">
        <v>3155</v>
      </c>
      <c r="G135" s="626"/>
      <c r="H135" s="626"/>
      <c r="I135" s="626"/>
      <c r="J135" s="625">
        <v>855</v>
      </c>
      <c r="K135" s="626"/>
      <c r="L135" s="625" t="str">
        <f>IF(Table10[[#This Row],[Rental Rate ($/mth)]]&lt;&gt;"",IF(Table10[[#This Row],[Rental Rate ($/mth)]]&lt;='Input CMHC MLI Select'!$C$12,"No","Yes"),"")</f>
        <v>Yes</v>
      </c>
      <c r="M135" s="625" t="str">
        <f>IF(Table10[[#This Row],[Rental Rate ($/mth)]]&lt;&gt;"",IF(Table10[[#This Row],[Rental Rate ($/mth)]]&lt;='Input CMHC MLI Select'!$C$12,"Yes","No"),"")</f>
        <v>No</v>
      </c>
      <c r="N135" s="625"/>
      <c r="O135" s="625"/>
      <c r="P135" s="625"/>
      <c r="Q135" s="626"/>
      <c r="R135" s="626"/>
      <c r="S135" s="626"/>
      <c r="T135" s="625"/>
      <c r="U135" s="625"/>
      <c r="V135" s="625"/>
      <c r="W135" s="625"/>
      <c r="X135" s="625"/>
      <c r="Y135" s="625"/>
      <c r="Z135" s="625"/>
      <c r="AA135" s="625"/>
      <c r="AB135" s="625"/>
      <c r="AC135" s="625"/>
      <c r="AD135" s="625"/>
      <c r="AE135" s="631"/>
    </row>
    <row r="136" spans="1:31">
      <c r="A136" s="624" t="s">
        <v>559</v>
      </c>
      <c r="B136" s="625"/>
      <c r="C136" s="625"/>
      <c r="D136" s="625">
        <v>134</v>
      </c>
      <c r="E136" s="625"/>
      <c r="F136" s="625">
        <v>3155</v>
      </c>
      <c r="G136" s="626"/>
      <c r="H136" s="626"/>
      <c r="I136" s="626"/>
      <c r="J136" s="625">
        <v>855</v>
      </c>
      <c r="K136" s="626"/>
      <c r="L136" s="625" t="str">
        <f>IF(Table10[[#This Row],[Rental Rate ($/mth)]]&lt;&gt;"",IF(Table10[[#This Row],[Rental Rate ($/mth)]]&lt;='Input CMHC MLI Select'!$C$12,"No","Yes"),"")</f>
        <v>Yes</v>
      </c>
      <c r="M136" s="625" t="str">
        <f>IF(Table10[[#This Row],[Rental Rate ($/mth)]]&lt;&gt;"",IF(Table10[[#This Row],[Rental Rate ($/mth)]]&lt;='Input CMHC MLI Select'!$C$12,"Yes","No"),"")</f>
        <v>No</v>
      </c>
      <c r="N136" s="625"/>
      <c r="O136" s="625"/>
      <c r="P136" s="625"/>
      <c r="Q136" s="626"/>
      <c r="R136" s="626"/>
      <c r="S136" s="626"/>
      <c r="T136" s="625"/>
      <c r="U136" s="625"/>
      <c r="V136" s="625"/>
      <c r="W136" s="625"/>
      <c r="X136" s="625"/>
      <c r="Y136" s="625"/>
      <c r="Z136" s="625"/>
      <c r="AA136" s="625"/>
      <c r="AB136" s="625"/>
      <c r="AC136" s="625"/>
      <c r="AD136" s="625"/>
      <c r="AE136" s="631"/>
    </row>
    <row r="137" spans="1:31">
      <c r="A137" s="624" t="s">
        <v>559</v>
      </c>
      <c r="B137" s="625"/>
      <c r="C137" s="625"/>
      <c r="D137" s="625">
        <v>135</v>
      </c>
      <c r="E137" s="625"/>
      <c r="F137" s="625">
        <v>3155</v>
      </c>
      <c r="G137" s="626"/>
      <c r="H137" s="626"/>
      <c r="I137" s="626"/>
      <c r="J137" s="625">
        <v>855</v>
      </c>
      <c r="K137" s="626"/>
      <c r="L137" s="625" t="str">
        <f>IF(Table10[[#This Row],[Rental Rate ($/mth)]]&lt;&gt;"",IF(Table10[[#This Row],[Rental Rate ($/mth)]]&lt;='Input CMHC MLI Select'!$C$12,"No","Yes"),"")</f>
        <v>Yes</v>
      </c>
      <c r="M137" s="625" t="str">
        <f>IF(Table10[[#This Row],[Rental Rate ($/mth)]]&lt;&gt;"",IF(Table10[[#This Row],[Rental Rate ($/mth)]]&lt;='Input CMHC MLI Select'!$C$12,"Yes","No"),"")</f>
        <v>No</v>
      </c>
      <c r="N137" s="625"/>
      <c r="O137" s="625"/>
      <c r="P137" s="625"/>
      <c r="Q137" s="626"/>
      <c r="R137" s="626"/>
      <c r="S137" s="626"/>
      <c r="T137" s="625"/>
      <c r="U137" s="625"/>
      <c r="V137" s="625"/>
      <c r="W137" s="625"/>
      <c r="X137" s="625"/>
      <c r="Y137" s="625"/>
      <c r="Z137" s="625"/>
      <c r="AA137" s="625"/>
      <c r="AB137" s="625"/>
      <c r="AC137" s="625"/>
      <c r="AD137" s="625"/>
      <c r="AE137" s="631"/>
    </row>
    <row r="138" spans="1:31">
      <c r="A138" s="624" t="s">
        <v>559</v>
      </c>
      <c r="B138" s="625"/>
      <c r="C138" s="625"/>
      <c r="D138" s="625">
        <v>136</v>
      </c>
      <c r="E138" s="625"/>
      <c r="F138" s="625">
        <v>3155</v>
      </c>
      <c r="G138" s="626"/>
      <c r="H138" s="626"/>
      <c r="I138" s="626"/>
      <c r="J138" s="625">
        <v>855</v>
      </c>
      <c r="K138" s="626"/>
      <c r="L138" s="625" t="str">
        <f>IF(Table10[[#This Row],[Rental Rate ($/mth)]]&lt;&gt;"",IF(Table10[[#This Row],[Rental Rate ($/mth)]]&lt;='Input CMHC MLI Select'!$C$12,"No","Yes"),"")</f>
        <v>Yes</v>
      </c>
      <c r="M138" s="625" t="str">
        <f>IF(Table10[[#This Row],[Rental Rate ($/mth)]]&lt;&gt;"",IF(Table10[[#This Row],[Rental Rate ($/mth)]]&lt;='Input CMHC MLI Select'!$C$12,"Yes","No"),"")</f>
        <v>No</v>
      </c>
      <c r="N138" s="625"/>
      <c r="O138" s="625"/>
      <c r="P138" s="625"/>
      <c r="Q138" s="626"/>
      <c r="R138" s="626"/>
      <c r="S138" s="626"/>
      <c r="T138" s="625"/>
      <c r="U138" s="625"/>
      <c r="V138" s="625"/>
      <c r="W138" s="625"/>
      <c r="X138" s="625"/>
      <c r="Y138" s="625"/>
      <c r="Z138" s="625"/>
      <c r="AA138" s="625"/>
      <c r="AB138" s="625"/>
      <c r="AC138" s="625"/>
      <c r="AD138" s="625"/>
      <c r="AE138" s="631"/>
    </row>
    <row r="139" spans="1:31">
      <c r="A139" s="624" t="s">
        <v>559</v>
      </c>
      <c r="B139" s="625"/>
      <c r="C139" s="625"/>
      <c r="D139" s="625">
        <v>137</v>
      </c>
      <c r="E139" s="625"/>
      <c r="F139" s="625">
        <v>3155</v>
      </c>
      <c r="G139" s="626"/>
      <c r="H139" s="626"/>
      <c r="I139" s="626"/>
      <c r="J139" s="625">
        <v>855</v>
      </c>
      <c r="K139" s="626"/>
      <c r="L139" s="625" t="str">
        <f>IF(Table10[[#This Row],[Rental Rate ($/mth)]]&lt;&gt;"",IF(Table10[[#This Row],[Rental Rate ($/mth)]]&lt;='Input CMHC MLI Select'!$C$12,"No","Yes"),"")</f>
        <v>Yes</v>
      </c>
      <c r="M139" s="625" t="str">
        <f>IF(Table10[[#This Row],[Rental Rate ($/mth)]]&lt;&gt;"",IF(Table10[[#This Row],[Rental Rate ($/mth)]]&lt;='Input CMHC MLI Select'!$C$12,"Yes","No"),"")</f>
        <v>No</v>
      </c>
      <c r="N139" s="625"/>
      <c r="O139" s="625"/>
      <c r="P139" s="625"/>
      <c r="Q139" s="626"/>
      <c r="R139" s="626"/>
      <c r="S139" s="626"/>
      <c r="T139" s="625"/>
      <c r="U139" s="625"/>
      <c r="V139" s="625"/>
      <c r="W139" s="625"/>
      <c r="X139" s="625"/>
      <c r="Y139" s="625"/>
      <c r="Z139" s="625"/>
      <c r="AA139" s="625"/>
      <c r="AB139" s="625"/>
      <c r="AC139" s="625"/>
      <c r="AD139" s="625"/>
      <c r="AE139" s="631"/>
    </row>
    <row r="140" spans="1:31">
      <c r="A140" s="624" t="s">
        <v>559</v>
      </c>
      <c r="B140" s="625"/>
      <c r="C140" s="625"/>
      <c r="D140" s="625">
        <v>138</v>
      </c>
      <c r="E140" s="625"/>
      <c r="F140" s="625">
        <v>3155</v>
      </c>
      <c r="G140" s="626"/>
      <c r="H140" s="626"/>
      <c r="I140" s="626"/>
      <c r="J140" s="625">
        <v>855</v>
      </c>
      <c r="K140" s="626"/>
      <c r="L140" s="625" t="str">
        <f>IF(Table10[[#This Row],[Rental Rate ($/mth)]]&lt;&gt;"",IF(Table10[[#This Row],[Rental Rate ($/mth)]]&lt;='Input CMHC MLI Select'!$C$12,"No","Yes"),"")</f>
        <v>Yes</v>
      </c>
      <c r="M140" s="625" t="str">
        <f>IF(Table10[[#This Row],[Rental Rate ($/mth)]]&lt;&gt;"",IF(Table10[[#This Row],[Rental Rate ($/mth)]]&lt;='Input CMHC MLI Select'!$C$12,"Yes","No"),"")</f>
        <v>No</v>
      </c>
      <c r="N140" s="625"/>
      <c r="O140" s="625"/>
      <c r="P140" s="625"/>
      <c r="Q140" s="626"/>
      <c r="R140" s="626"/>
      <c r="S140" s="626"/>
      <c r="T140" s="625"/>
      <c r="U140" s="625"/>
      <c r="V140" s="625"/>
      <c r="W140" s="625"/>
      <c r="X140" s="625"/>
      <c r="Y140" s="625"/>
      <c r="Z140" s="625"/>
      <c r="AA140" s="625"/>
      <c r="AB140" s="625"/>
      <c r="AC140" s="625"/>
      <c r="AD140" s="625"/>
      <c r="AE140" s="631"/>
    </row>
    <row r="141" spans="1:31">
      <c r="A141" s="624" t="s">
        <v>559</v>
      </c>
      <c r="B141" s="625"/>
      <c r="C141" s="625"/>
      <c r="D141" s="625">
        <v>139</v>
      </c>
      <c r="E141" s="625"/>
      <c r="F141" s="625">
        <v>3155</v>
      </c>
      <c r="G141" s="626"/>
      <c r="H141" s="626"/>
      <c r="I141" s="626"/>
      <c r="J141" s="625">
        <v>855</v>
      </c>
      <c r="K141" s="626"/>
      <c r="L141" s="625" t="str">
        <f>IF(Table10[[#This Row],[Rental Rate ($/mth)]]&lt;&gt;"",IF(Table10[[#This Row],[Rental Rate ($/mth)]]&lt;='Input CMHC MLI Select'!$C$12,"No","Yes"),"")</f>
        <v>Yes</v>
      </c>
      <c r="M141" s="625" t="str">
        <f>IF(Table10[[#This Row],[Rental Rate ($/mth)]]&lt;&gt;"",IF(Table10[[#This Row],[Rental Rate ($/mth)]]&lt;='Input CMHC MLI Select'!$C$12,"Yes","No"),"")</f>
        <v>No</v>
      </c>
      <c r="N141" s="625"/>
      <c r="O141" s="625"/>
      <c r="P141" s="625"/>
      <c r="Q141" s="626"/>
      <c r="R141" s="626"/>
      <c r="S141" s="626"/>
      <c r="T141" s="625"/>
      <c r="U141" s="625"/>
      <c r="V141" s="625"/>
      <c r="W141" s="625"/>
      <c r="X141" s="625"/>
      <c r="Y141" s="625"/>
      <c r="Z141" s="625"/>
      <c r="AA141" s="625"/>
      <c r="AB141" s="625"/>
      <c r="AC141" s="625"/>
      <c r="AD141" s="625"/>
      <c r="AE141" s="631"/>
    </row>
    <row r="142" spans="1:31">
      <c r="A142" s="624" t="s">
        <v>559</v>
      </c>
      <c r="B142" s="625"/>
      <c r="C142" s="625"/>
      <c r="D142" s="625">
        <v>140</v>
      </c>
      <c r="E142" s="625"/>
      <c r="F142" s="625">
        <v>3155</v>
      </c>
      <c r="G142" s="626"/>
      <c r="H142" s="626"/>
      <c r="I142" s="626"/>
      <c r="J142" s="625">
        <v>855</v>
      </c>
      <c r="K142" s="626"/>
      <c r="L142" s="625" t="str">
        <f>IF(Table10[[#This Row],[Rental Rate ($/mth)]]&lt;&gt;"",IF(Table10[[#This Row],[Rental Rate ($/mth)]]&lt;='Input CMHC MLI Select'!$C$12,"No","Yes"),"")</f>
        <v>Yes</v>
      </c>
      <c r="M142" s="625" t="str">
        <f>IF(Table10[[#This Row],[Rental Rate ($/mth)]]&lt;&gt;"",IF(Table10[[#This Row],[Rental Rate ($/mth)]]&lt;='Input CMHC MLI Select'!$C$12,"Yes","No"),"")</f>
        <v>No</v>
      </c>
      <c r="N142" s="625"/>
      <c r="O142" s="625"/>
      <c r="P142" s="625"/>
      <c r="Q142" s="626"/>
      <c r="R142" s="626"/>
      <c r="S142" s="626"/>
      <c r="T142" s="625"/>
      <c r="U142" s="625"/>
      <c r="V142" s="625"/>
      <c r="W142" s="625"/>
      <c r="X142" s="625"/>
      <c r="Y142" s="625"/>
      <c r="Z142" s="625"/>
      <c r="AA142" s="625"/>
      <c r="AB142" s="625"/>
      <c r="AC142" s="625"/>
      <c r="AD142" s="625"/>
      <c r="AE142" s="631"/>
    </row>
    <row r="143" spans="1:31">
      <c r="A143" s="624" t="s">
        <v>559</v>
      </c>
      <c r="B143" s="625"/>
      <c r="C143" s="625"/>
      <c r="D143" s="625">
        <v>141</v>
      </c>
      <c r="E143" s="625"/>
      <c r="F143" s="625">
        <v>3155</v>
      </c>
      <c r="G143" s="626"/>
      <c r="H143" s="626"/>
      <c r="I143" s="626"/>
      <c r="J143" s="625">
        <v>855</v>
      </c>
      <c r="K143" s="626"/>
      <c r="L143" s="625" t="str">
        <f>IF(Table10[[#This Row],[Rental Rate ($/mth)]]&lt;&gt;"",IF(Table10[[#This Row],[Rental Rate ($/mth)]]&lt;='Input CMHC MLI Select'!$C$12,"No","Yes"),"")</f>
        <v>Yes</v>
      </c>
      <c r="M143" s="625" t="str">
        <f>IF(Table10[[#This Row],[Rental Rate ($/mth)]]&lt;&gt;"",IF(Table10[[#This Row],[Rental Rate ($/mth)]]&lt;='Input CMHC MLI Select'!$C$12,"Yes","No"),"")</f>
        <v>No</v>
      </c>
      <c r="N143" s="625"/>
      <c r="O143" s="625"/>
      <c r="P143" s="625"/>
      <c r="Q143" s="626"/>
      <c r="R143" s="626"/>
      <c r="S143" s="626"/>
      <c r="T143" s="625"/>
      <c r="U143" s="625"/>
      <c r="V143" s="625"/>
      <c r="W143" s="625"/>
      <c r="X143" s="625"/>
      <c r="Y143" s="625"/>
      <c r="Z143" s="625"/>
      <c r="AA143" s="625"/>
      <c r="AB143" s="625"/>
      <c r="AC143" s="625"/>
      <c r="AD143" s="625"/>
      <c r="AE143" s="631"/>
    </row>
    <row r="144" spans="1:31">
      <c r="A144" s="624" t="s">
        <v>559</v>
      </c>
      <c r="B144" s="625"/>
      <c r="C144" s="625"/>
      <c r="D144" s="625">
        <v>142</v>
      </c>
      <c r="E144" s="625"/>
      <c r="F144" s="625">
        <v>3155</v>
      </c>
      <c r="G144" s="626"/>
      <c r="H144" s="626"/>
      <c r="I144" s="626"/>
      <c r="J144" s="625">
        <v>855</v>
      </c>
      <c r="K144" s="626"/>
      <c r="L144" s="625" t="str">
        <f>IF(Table10[[#This Row],[Rental Rate ($/mth)]]&lt;&gt;"",IF(Table10[[#This Row],[Rental Rate ($/mth)]]&lt;='Input CMHC MLI Select'!$C$12,"No","Yes"),"")</f>
        <v>Yes</v>
      </c>
      <c r="M144" s="625" t="str">
        <f>IF(Table10[[#This Row],[Rental Rate ($/mth)]]&lt;&gt;"",IF(Table10[[#This Row],[Rental Rate ($/mth)]]&lt;='Input CMHC MLI Select'!$C$12,"Yes","No"),"")</f>
        <v>No</v>
      </c>
      <c r="N144" s="625"/>
      <c r="O144" s="625"/>
      <c r="P144" s="625"/>
      <c r="Q144" s="626"/>
      <c r="R144" s="626"/>
      <c r="S144" s="626"/>
      <c r="T144" s="625"/>
      <c r="U144" s="625"/>
      <c r="V144" s="625"/>
      <c r="W144" s="625"/>
      <c r="X144" s="625"/>
      <c r="Y144" s="625"/>
      <c r="Z144" s="625"/>
      <c r="AA144" s="625"/>
      <c r="AB144" s="625"/>
      <c r="AC144" s="625"/>
      <c r="AD144" s="625"/>
      <c r="AE144" s="631"/>
    </row>
    <row r="145" spans="1:31">
      <c r="A145" s="624" t="s">
        <v>559</v>
      </c>
      <c r="B145" s="625"/>
      <c r="C145" s="625"/>
      <c r="D145" s="625">
        <v>143</v>
      </c>
      <c r="E145" s="625"/>
      <c r="F145" s="625">
        <v>3155</v>
      </c>
      <c r="G145" s="626"/>
      <c r="H145" s="626"/>
      <c r="I145" s="626"/>
      <c r="J145" s="625">
        <v>855</v>
      </c>
      <c r="K145" s="626"/>
      <c r="L145" s="625" t="str">
        <f>IF(Table10[[#This Row],[Rental Rate ($/mth)]]&lt;&gt;"",IF(Table10[[#This Row],[Rental Rate ($/mth)]]&lt;='Input CMHC MLI Select'!$C$12,"No","Yes"),"")</f>
        <v>Yes</v>
      </c>
      <c r="M145" s="625" t="str">
        <f>IF(Table10[[#This Row],[Rental Rate ($/mth)]]&lt;&gt;"",IF(Table10[[#This Row],[Rental Rate ($/mth)]]&lt;='Input CMHC MLI Select'!$C$12,"Yes","No"),"")</f>
        <v>No</v>
      </c>
      <c r="N145" s="625"/>
      <c r="O145" s="625"/>
      <c r="P145" s="625"/>
      <c r="Q145" s="626"/>
      <c r="R145" s="626"/>
      <c r="S145" s="626"/>
      <c r="T145" s="625"/>
      <c r="U145" s="625"/>
      <c r="V145" s="625"/>
      <c r="W145" s="625"/>
      <c r="X145" s="625"/>
      <c r="Y145" s="625"/>
      <c r="Z145" s="625"/>
      <c r="AA145" s="625"/>
      <c r="AB145" s="625"/>
      <c r="AC145" s="625"/>
      <c r="AD145" s="625"/>
      <c r="AE145" s="631"/>
    </row>
    <row r="146" spans="1:31">
      <c r="A146" s="624" t="s">
        <v>559</v>
      </c>
      <c r="B146" s="625"/>
      <c r="C146" s="625"/>
      <c r="D146" s="625">
        <v>144</v>
      </c>
      <c r="E146" s="625"/>
      <c r="F146" s="625">
        <v>3155</v>
      </c>
      <c r="G146" s="626"/>
      <c r="H146" s="626"/>
      <c r="I146" s="626"/>
      <c r="J146" s="625">
        <v>855</v>
      </c>
      <c r="K146" s="626"/>
      <c r="L146" s="625" t="str">
        <f>IF(Table10[[#This Row],[Rental Rate ($/mth)]]&lt;&gt;"",IF(Table10[[#This Row],[Rental Rate ($/mth)]]&lt;='Input CMHC MLI Select'!$C$12,"No","Yes"),"")</f>
        <v>Yes</v>
      </c>
      <c r="M146" s="625" t="str">
        <f>IF(Table10[[#This Row],[Rental Rate ($/mth)]]&lt;&gt;"",IF(Table10[[#This Row],[Rental Rate ($/mth)]]&lt;='Input CMHC MLI Select'!$C$12,"Yes","No"),"")</f>
        <v>No</v>
      </c>
      <c r="N146" s="625"/>
      <c r="O146" s="625"/>
      <c r="P146" s="625"/>
      <c r="Q146" s="626"/>
      <c r="R146" s="626"/>
      <c r="S146" s="626"/>
      <c r="T146" s="625"/>
      <c r="U146" s="625"/>
      <c r="V146" s="625"/>
      <c r="W146" s="625"/>
      <c r="X146" s="625"/>
      <c r="Y146" s="625"/>
      <c r="Z146" s="625"/>
      <c r="AA146" s="625"/>
      <c r="AB146" s="625"/>
      <c r="AC146" s="625"/>
      <c r="AD146" s="625"/>
      <c r="AE146" s="631"/>
    </row>
    <row r="147" spans="1:31">
      <c r="A147" s="624" t="s">
        <v>559</v>
      </c>
      <c r="B147" s="625"/>
      <c r="C147" s="625"/>
      <c r="D147" s="625">
        <v>145</v>
      </c>
      <c r="E147" s="625"/>
      <c r="F147" s="625">
        <v>3155</v>
      </c>
      <c r="G147" s="626"/>
      <c r="H147" s="626"/>
      <c r="I147" s="626"/>
      <c r="J147" s="625">
        <v>855</v>
      </c>
      <c r="K147" s="626"/>
      <c r="L147" s="625" t="str">
        <f>IF(Table10[[#This Row],[Rental Rate ($/mth)]]&lt;&gt;"",IF(Table10[[#This Row],[Rental Rate ($/mth)]]&lt;='Input CMHC MLI Select'!$C$12,"No","Yes"),"")</f>
        <v>Yes</v>
      </c>
      <c r="M147" s="625" t="str">
        <f>IF(Table10[[#This Row],[Rental Rate ($/mth)]]&lt;&gt;"",IF(Table10[[#This Row],[Rental Rate ($/mth)]]&lt;='Input CMHC MLI Select'!$C$12,"Yes","No"),"")</f>
        <v>No</v>
      </c>
      <c r="N147" s="625"/>
      <c r="O147" s="625"/>
      <c r="P147" s="625"/>
      <c r="Q147" s="626"/>
      <c r="R147" s="626"/>
      <c r="S147" s="626"/>
      <c r="T147" s="625"/>
      <c r="U147" s="625"/>
      <c r="V147" s="625"/>
      <c r="W147" s="625"/>
      <c r="X147" s="625"/>
      <c r="Y147" s="625"/>
      <c r="Z147" s="625"/>
      <c r="AA147" s="625"/>
      <c r="AB147" s="625"/>
      <c r="AC147" s="625"/>
      <c r="AD147" s="625"/>
      <c r="AE147" s="631"/>
    </row>
    <row r="148" spans="1:31">
      <c r="A148" s="624" t="s">
        <v>559</v>
      </c>
      <c r="B148" s="625"/>
      <c r="C148" s="625"/>
      <c r="D148" s="625">
        <v>146</v>
      </c>
      <c r="E148" s="625"/>
      <c r="F148" s="625">
        <v>3155</v>
      </c>
      <c r="G148" s="626"/>
      <c r="H148" s="626"/>
      <c r="I148" s="626"/>
      <c r="J148" s="625">
        <v>855</v>
      </c>
      <c r="K148" s="626"/>
      <c r="L148" s="625" t="str">
        <f>IF(Table10[[#This Row],[Rental Rate ($/mth)]]&lt;&gt;"",IF(Table10[[#This Row],[Rental Rate ($/mth)]]&lt;='Input CMHC MLI Select'!$C$12,"No","Yes"),"")</f>
        <v>Yes</v>
      </c>
      <c r="M148" s="625" t="str">
        <f>IF(Table10[[#This Row],[Rental Rate ($/mth)]]&lt;&gt;"",IF(Table10[[#This Row],[Rental Rate ($/mth)]]&lt;='Input CMHC MLI Select'!$C$12,"Yes","No"),"")</f>
        <v>No</v>
      </c>
      <c r="N148" s="625"/>
      <c r="O148" s="625"/>
      <c r="P148" s="625"/>
      <c r="Q148" s="626"/>
      <c r="R148" s="626"/>
      <c r="S148" s="626"/>
      <c r="T148" s="625"/>
      <c r="U148" s="625"/>
      <c r="V148" s="625"/>
      <c r="W148" s="625"/>
      <c r="X148" s="625"/>
      <c r="Y148" s="625"/>
      <c r="Z148" s="625"/>
      <c r="AA148" s="625"/>
      <c r="AB148" s="625"/>
      <c r="AC148" s="625"/>
      <c r="AD148" s="625"/>
      <c r="AE148" s="631"/>
    </row>
    <row r="149" spans="1:31">
      <c r="A149" s="624" t="s">
        <v>559</v>
      </c>
      <c r="B149" s="625"/>
      <c r="C149" s="625"/>
      <c r="D149" s="625">
        <v>147</v>
      </c>
      <c r="E149" s="625"/>
      <c r="F149" s="625">
        <v>3155</v>
      </c>
      <c r="G149" s="626"/>
      <c r="H149" s="626"/>
      <c r="I149" s="626"/>
      <c r="J149" s="625">
        <v>855</v>
      </c>
      <c r="K149" s="626"/>
      <c r="L149" s="625" t="str">
        <f>IF(Table10[[#This Row],[Rental Rate ($/mth)]]&lt;&gt;"",IF(Table10[[#This Row],[Rental Rate ($/mth)]]&lt;='Input CMHC MLI Select'!$C$12,"No","Yes"),"")</f>
        <v>Yes</v>
      </c>
      <c r="M149" s="625" t="str">
        <f>IF(Table10[[#This Row],[Rental Rate ($/mth)]]&lt;&gt;"",IF(Table10[[#This Row],[Rental Rate ($/mth)]]&lt;='Input CMHC MLI Select'!$C$12,"Yes","No"),"")</f>
        <v>No</v>
      </c>
      <c r="N149" s="625"/>
      <c r="O149" s="625"/>
      <c r="P149" s="625"/>
      <c r="Q149" s="626"/>
      <c r="R149" s="626"/>
      <c r="S149" s="626"/>
      <c r="T149" s="625"/>
      <c r="U149" s="625"/>
      <c r="V149" s="625"/>
      <c r="W149" s="625"/>
      <c r="X149" s="625"/>
      <c r="Y149" s="625"/>
      <c r="Z149" s="625"/>
      <c r="AA149" s="625"/>
      <c r="AB149" s="625"/>
      <c r="AC149" s="625"/>
      <c r="AD149" s="625"/>
      <c r="AE149" s="631"/>
    </row>
    <row r="150" spans="1:31">
      <c r="A150" s="624" t="s">
        <v>559</v>
      </c>
      <c r="B150" s="625"/>
      <c r="C150" s="625"/>
      <c r="D150" s="625">
        <v>148</v>
      </c>
      <c r="E150" s="625"/>
      <c r="F150" s="625">
        <v>3155</v>
      </c>
      <c r="G150" s="626"/>
      <c r="H150" s="626"/>
      <c r="I150" s="626"/>
      <c r="J150" s="625">
        <v>855</v>
      </c>
      <c r="K150" s="626"/>
      <c r="L150" s="625" t="str">
        <f>IF(Table10[[#This Row],[Rental Rate ($/mth)]]&lt;&gt;"",IF(Table10[[#This Row],[Rental Rate ($/mth)]]&lt;='Input CMHC MLI Select'!$C$12,"No","Yes"),"")</f>
        <v>Yes</v>
      </c>
      <c r="M150" s="625" t="str">
        <f>IF(Table10[[#This Row],[Rental Rate ($/mth)]]&lt;&gt;"",IF(Table10[[#This Row],[Rental Rate ($/mth)]]&lt;='Input CMHC MLI Select'!$C$12,"Yes","No"),"")</f>
        <v>No</v>
      </c>
      <c r="N150" s="625"/>
      <c r="O150" s="625"/>
      <c r="P150" s="625"/>
      <c r="Q150" s="626"/>
      <c r="R150" s="626"/>
      <c r="S150" s="626"/>
      <c r="T150" s="625"/>
      <c r="U150" s="625"/>
      <c r="V150" s="625"/>
      <c r="W150" s="625"/>
      <c r="X150" s="625"/>
      <c r="Y150" s="625"/>
      <c r="Z150" s="625"/>
      <c r="AA150" s="625"/>
      <c r="AB150" s="625"/>
      <c r="AC150" s="625"/>
      <c r="AD150" s="625"/>
      <c r="AE150" s="631"/>
    </row>
    <row r="151" spans="1:31">
      <c r="A151" s="624" t="s">
        <v>559</v>
      </c>
      <c r="B151" s="625"/>
      <c r="C151" s="625"/>
      <c r="D151" s="625">
        <v>149</v>
      </c>
      <c r="E151" s="625"/>
      <c r="F151" s="625">
        <v>3155</v>
      </c>
      <c r="G151" s="626"/>
      <c r="H151" s="626"/>
      <c r="I151" s="626"/>
      <c r="J151" s="625">
        <v>855</v>
      </c>
      <c r="K151" s="626"/>
      <c r="L151" s="625" t="str">
        <f>IF(Table10[[#This Row],[Rental Rate ($/mth)]]&lt;&gt;"",IF(Table10[[#This Row],[Rental Rate ($/mth)]]&lt;='Input CMHC MLI Select'!$C$12,"No","Yes"),"")</f>
        <v>Yes</v>
      </c>
      <c r="M151" s="625" t="str">
        <f>IF(Table10[[#This Row],[Rental Rate ($/mth)]]&lt;&gt;"",IF(Table10[[#This Row],[Rental Rate ($/mth)]]&lt;='Input CMHC MLI Select'!$C$12,"Yes","No"),"")</f>
        <v>No</v>
      </c>
      <c r="N151" s="625"/>
      <c r="O151" s="625"/>
      <c r="P151" s="625"/>
      <c r="Q151" s="626"/>
      <c r="R151" s="626"/>
      <c r="S151" s="626"/>
      <c r="T151" s="625"/>
      <c r="U151" s="625"/>
      <c r="V151" s="625"/>
      <c r="W151" s="625"/>
      <c r="X151" s="625"/>
      <c r="Y151" s="625"/>
      <c r="Z151" s="625"/>
      <c r="AA151" s="625"/>
      <c r="AB151" s="625"/>
      <c r="AC151" s="625"/>
      <c r="AD151" s="625"/>
      <c r="AE151" s="631"/>
    </row>
    <row r="152" spans="1:31">
      <c r="A152" s="624" t="s">
        <v>559</v>
      </c>
      <c r="B152" s="625"/>
      <c r="C152" s="625"/>
      <c r="D152" s="625">
        <v>150</v>
      </c>
      <c r="E152" s="625"/>
      <c r="F152" s="625">
        <v>3155</v>
      </c>
      <c r="G152" s="626"/>
      <c r="H152" s="626"/>
      <c r="I152" s="626"/>
      <c r="J152" s="625">
        <v>855</v>
      </c>
      <c r="K152" s="626"/>
      <c r="L152" s="625" t="str">
        <f>IF(Table10[[#This Row],[Rental Rate ($/mth)]]&lt;&gt;"",IF(Table10[[#This Row],[Rental Rate ($/mth)]]&lt;='Input CMHC MLI Select'!$C$12,"No","Yes"),"")</f>
        <v>Yes</v>
      </c>
      <c r="M152" s="625" t="str">
        <f>IF(Table10[[#This Row],[Rental Rate ($/mth)]]&lt;&gt;"",IF(Table10[[#This Row],[Rental Rate ($/mth)]]&lt;='Input CMHC MLI Select'!$C$12,"Yes","No"),"")</f>
        <v>No</v>
      </c>
      <c r="N152" s="625"/>
      <c r="O152" s="625"/>
      <c r="P152" s="625"/>
      <c r="Q152" s="626"/>
      <c r="R152" s="626"/>
      <c r="S152" s="626"/>
      <c r="T152" s="625"/>
      <c r="U152" s="625"/>
      <c r="V152" s="625"/>
      <c r="W152" s="625"/>
      <c r="X152" s="625"/>
      <c r="Y152" s="625"/>
      <c r="Z152" s="625"/>
      <c r="AA152" s="625"/>
      <c r="AB152" s="625"/>
      <c r="AC152" s="625"/>
      <c r="AD152" s="625"/>
      <c r="AE152" s="631"/>
    </row>
    <row r="153" spans="1:31">
      <c r="A153" s="624" t="s">
        <v>559</v>
      </c>
      <c r="B153" s="625"/>
      <c r="C153" s="625"/>
      <c r="D153" s="625">
        <v>151</v>
      </c>
      <c r="E153" s="625"/>
      <c r="F153" s="625">
        <v>3155</v>
      </c>
      <c r="G153" s="626"/>
      <c r="H153" s="626"/>
      <c r="I153" s="626"/>
      <c r="J153" s="625">
        <v>855</v>
      </c>
      <c r="K153" s="626"/>
      <c r="L153" s="625" t="str">
        <f>IF(Table10[[#This Row],[Rental Rate ($/mth)]]&lt;&gt;"",IF(Table10[[#This Row],[Rental Rate ($/mth)]]&lt;='Input CMHC MLI Select'!$C$12,"No","Yes"),"")</f>
        <v>Yes</v>
      </c>
      <c r="M153" s="625" t="str">
        <f>IF(Table10[[#This Row],[Rental Rate ($/mth)]]&lt;&gt;"",IF(Table10[[#This Row],[Rental Rate ($/mth)]]&lt;='Input CMHC MLI Select'!$C$12,"Yes","No"),"")</f>
        <v>No</v>
      </c>
      <c r="N153" s="625"/>
      <c r="O153" s="625"/>
      <c r="P153" s="625"/>
      <c r="Q153" s="626"/>
      <c r="R153" s="626"/>
      <c r="S153" s="626"/>
      <c r="T153" s="625"/>
      <c r="U153" s="625"/>
      <c r="V153" s="625"/>
      <c r="W153" s="625"/>
      <c r="X153" s="625"/>
      <c r="Y153" s="625"/>
      <c r="Z153" s="625"/>
      <c r="AA153" s="625"/>
      <c r="AB153" s="625"/>
      <c r="AC153" s="625"/>
      <c r="AD153" s="625"/>
      <c r="AE153" s="631"/>
    </row>
    <row r="154" spans="1:31">
      <c r="A154" s="624" t="s">
        <v>559</v>
      </c>
      <c r="B154" s="625"/>
      <c r="C154" s="625"/>
      <c r="D154" s="625">
        <v>152</v>
      </c>
      <c r="E154" s="625"/>
      <c r="F154" s="625">
        <v>3155</v>
      </c>
      <c r="G154" s="626"/>
      <c r="H154" s="626"/>
      <c r="I154" s="626"/>
      <c r="J154" s="625">
        <v>855</v>
      </c>
      <c r="K154" s="626"/>
      <c r="L154" s="625" t="str">
        <f>IF(Table10[[#This Row],[Rental Rate ($/mth)]]&lt;&gt;"",IF(Table10[[#This Row],[Rental Rate ($/mth)]]&lt;='Input CMHC MLI Select'!$C$12,"No","Yes"),"")</f>
        <v>Yes</v>
      </c>
      <c r="M154" s="625" t="str">
        <f>IF(Table10[[#This Row],[Rental Rate ($/mth)]]&lt;&gt;"",IF(Table10[[#This Row],[Rental Rate ($/mth)]]&lt;='Input CMHC MLI Select'!$C$12,"Yes","No"),"")</f>
        <v>No</v>
      </c>
      <c r="N154" s="625"/>
      <c r="O154" s="625"/>
      <c r="P154" s="625"/>
      <c r="Q154" s="626"/>
      <c r="R154" s="626"/>
      <c r="S154" s="626"/>
      <c r="T154" s="625"/>
      <c r="U154" s="625"/>
      <c r="V154" s="625"/>
      <c r="W154" s="625"/>
      <c r="X154" s="625"/>
      <c r="Y154" s="625"/>
      <c r="Z154" s="625"/>
      <c r="AA154" s="625"/>
      <c r="AB154" s="625"/>
      <c r="AC154" s="625"/>
      <c r="AD154" s="625"/>
      <c r="AE154" s="631"/>
    </row>
    <row r="155" spans="1:31">
      <c r="A155" s="624" t="s">
        <v>560</v>
      </c>
      <c r="B155" s="625"/>
      <c r="C155" s="625"/>
      <c r="D155" s="625">
        <v>153</v>
      </c>
      <c r="E155" s="625"/>
      <c r="F155" s="625">
        <v>3675</v>
      </c>
      <c r="G155" s="626"/>
      <c r="H155" s="626"/>
      <c r="I155" s="626"/>
      <c r="J155" s="625">
        <v>1015</v>
      </c>
      <c r="K155" s="626"/>
      <c r="L155" s="625" t="str">
        <f>IF(Table10[[#This Row],[Rental Rate ($/mth)]]&lt;&gt;"",IF(Table10[[#This Row],[Rental Rate ($/mth)]]&lt;='Input CMHC MLI Select'!$C$12,"No","Yes"),"")</f>
        <v>Yes</v>
      </c>
      <c r="M155" s="625" t="str">
        <f>IF(Table10[[#This Row],[Rental Rate ($/mth)]]&lt;&gt;"",IF(Table10[[#This Row],[Rental Rate ($/mth)]]&lt;='Input CMHC MLI Select'!$C$12,"Yes","No"),"")</f>
        <v>No</v>
      </c>
      <c r="N155" s="625"/>
      <c r="O155" s="625"/>
      <c r="P155" s="625"/>
      <c r="Q155" s="626"/>
      <c r="R155" s="626"/>
      <c r="S155" s="626"/>
      <c r="T155" s="625"/>
      <c r="U155" s="625"/>
      <c r="V155" s="625"/>
      <c r="W155" s="625"/>
      <c r="X155" s="625"/>
      <c r="Y155" s="625"/>
      <c r="Z155" s="625"/>
      <c r="AA155" s="625"/>
      <c r="AB155" s="625"/>
      <c r="AC155" s="625"/>
      <c r="AD155" s="625"/>
      <c r="AE155" s="631"/>
    </row>
    <row r="156" spans="1:31">
      <c r="A156" s="624" t="s">
        <v>560</v>
      </c>
      <c r="B156" s="625"/>
      <c r="C156" s="625"/>
      <c r="D156" s="625">
        <v>154</v>
      </c>
      <c r="E156" s="625"/>
      <c r="F156" s="625">
        <v>3675</v>
      </c>
      <c r="G156" s="626"/>
      <c r="H156" s="626"/>
      <c r="I156" s="626"/>
      <c r="J156" s="625">
        <v>1015</v>
      </c>
      <c r="K156" s="626"/>
      <c r="L156" s="625" t="str">
        <f>IF(Table10[[#This Row],[Rental Rate ($/mth)]]&lt;&gt;"",IF(Table10[[#This Row],[Rental Rate ($/mth)]]&lt;='Input CMHC MLI Select'!$C$12,"No","Yes"),"")</f>
        <v>Yes</v>
      </c>
      <c r="M156" s="625" t="str">
        <f>IF(Table10[[#This Row],[Rental Rate ($/mth)]]&lt;&gt;"",IF(Table10[[#This Row],[Rental Rate ($/mth)]]&lt;='Input CMHC MLI Select'!$C$12,"Yes","No"),"")</f>
        <v>No</v>
      </c>
      <c r="N156" s="625"/>
      <c r="O156" s="625"/>
      <c r="P156" s="625"/>
      <c r="Q156" s="626"/>
      <c r="R156" s="626"/>
      <c r="S156" s="626"/>
      <c r="T156" s="625"/>
      <c r="U156" s="625"/>
      <c r="V156" s="625"/>
      <c r="W156" s="625"/>
      <c r="X156" s="625"/>
      <c r="Y156" s="625"/>
      <c r="Z156" s="625"/>
      <c r="AA156" s="625"/>
      <c r="AB156" s="625"/>
      <c r="AC156" s="625"/>
      <c r="AD156" s="625"/>
      <c r="AE156" s="631"/>
    </row>
    <row r="157" spans="1:31">
      <c r="A157" s="624" t="s">
        <v>560</v>
      </c>
      <c r="B157" s="625"/>
      <c r="C157" s="625"/>
      <c r="D157" s="625">
        <v>155</v>
      </c>
      <c r="E157" s="625"/>
      <c r="F157" s="625">
        <v>3675</v>
      </c>
      <c r="G157" s="626"/>
      <c r="H157" s="626"/>
      <c r="I157" s="626"/>
      <c r="J157" s="625">
        <v>1015</v>
      </c>
      <c r="K157" s="626"/>
      <c r="L157" s="625" t="str">
        <f>IF(Table10[[#This Row],[Rental Rate ($/mth)]]&lt;&gt;"",IF(Table10[[#This Row],[Rental Rate ($/mth)]]&lt;='Input CMHC MLI Select'!$C$12,"No","Yes"),"")</f>
        <v>Yes</v>
      </c>
      <c r="M157" s="625" t="str">
        <f>IF(Table10[[#This Row],[Rental Rate ($/mth)]]&lt;&gt;"",IF(Table10[[#This Row],[Rental Rate ($/mth)]]&lt;='Input CMHC MLI Select'!$C$12,"Yes","No"),"")</f>
        <v>No</v>
      </c>
      <c r="N157" s="625"/>
      <c r="O157" s="625"/>
      <c r="P157" s="625"/>
      <c r="Q157" s="626"/>
      <c r="R157" s="626"/>
      <c r="S157" s="626"/>
      <c r="T157" s="625"/>
      <c r="U157" s="625"/>
      <c r="V157" s="625"/>
      <c r="W157" s="625"/>
      <c r="X157" s="625"/>
      <c r="Y157" s="625"/>
      <c r="Z157" s="625"/>
      <c r="AA157" s="625"/>
      <c r="AB157" s="625"/>
      <c r="AC157" s="625"/>
      <c r="AD157" s="625"/>
      <c r="AE157" s="631"/>
    </row>
    <row r="158" spans="1:31">
      <c r="A158" s="624" t="s">
        <v>560</v>
      </c>
      <c r="B158" s="625"/>
      <c r="C158" s="625"/>
      <c r="D158" s="625">
        <v>156</v>
      </c>
      <c r="E158" s="625"/>
      <c r="F158" s="625">
        <v>3675</v>
      </c>
      <c r="G158" s="626"/>
      <c r="H158" s="626"/>
      <c r="I158" s="626"/>
      <c r="J158" s="625">
        <v>1015</v>
      </c>
      <c r="K158" s="626"/>
      <c r="L158" s="625" t="str">
        <f>IF(Table10[[#This Row],[Rental Rate ($/mth)]]&lt;&gt;"",IF(Table10[[#This Row],[Rental Rate ($/mth)]]&lt;='Input CMHC MLI Select'!$C$12,"No","Yes"),"")</f>
        <v>Yes</v>
      </c>
      <c r="M158" s="625" t="str">
        <f>IF(Table10[[#This Row],[Rental Rate ($/mth)]]&lt;&gt;"",IF(Table10[[#This Row],[Rental Rate ($/mth)]]&lt;='Input CMHC MLI Select'!$C$12,"Yes","No"),"")</f>
        <v>No</v>
      </c>
      <c r="N158" s="625"/>
      <c r="O158" s="625"/>
      <c r="P158" s="625"/>
      <c r="Q158" s="626"/>
      <c r="R158" s="626"/>
      <c r="S158" s="626"/>
      <c r="T158" s="625"/>
      <c r="U158" s="625"/>
      <c r="V158" s="625"/>
      <c r="W158" s="625"/>
      <c r="X158" s="625"/>
      <c r="Y158" s="625"/>
      <c r="Z158" s="625"/>
      <c r="AA158" s="625"/>
      <c r="AB158" s="625"/>
      <c r="AC158" s="625"/>
      <c r="AD158" s="625"/>
      <c r="AE158" s="631"/>
    </row>
    <row r="159" spans="1:31">
      <c r="A159" s="624" t="s">
        <v>560</v>
      </c>
      <c r="B159" s="625"/>
      <c r="C159" s="625"/>
      <c r="D159" s="625">
        <v>157</v>
      </c>
      <c r="E159" s="625"/>
      <c r="F159" s="625">
        <v>3675</v>
      </c>
      <c r="G159" s="626"/>
      <c r="H159" s="626"/>
      <c r="I159" s="626"/>
      <c r="J159" s="625">
        <v>1015</v>
      </c>
      <c r="K159" s="626"/>
      <c r="L159" s="625" t="str">
        <f>IF(Table10[[#This Row],[Rental Rate ($/mth)]]&lt;&gt;"",IF(Table10[[#This Row],[Rental Rate ($/mth)]]&lt;='Input CMHC MLI Select'!$C$12,"No","Yes"),"")</f>
        <v>Yes</v>
      </c>
      <c r="M159" s="625" t="str">
        <f>IF(Table10[[#This Row],[Rental Rate ($/mth)]]&lt;&gt;"",IF(Table10[[#This Row],[Rental Rate ($/mth)]]&lt;='Input CMHC MLI Select'!$C$12,"Yes","No"),"")</f>
        <v>No</v>
      </c>
      <c r="N159" s="625"/>
      <c r="O159" s="625"/>
      <c r="P159" s="625"/>
      <c r="Q159" s="626"/>
      <c r="R159" s="626"/>
      <c r="S159" s="626"/>
      <c r="T159" s="625"/>
      <c r="U159" s="625"/>
      <c r="V159" s="625"/>
      <c r="W159" s="625"/>
      <c r="X159" s="625"/>
      <c r="Y159" s="625"/>
      <c r="Z159" s="625"/>
      <c r="AA159" s="625"/>
      <c r="AB159" s="625"/>
      <c r="AC159" s="625"/>
      <c r="AD159" s="625"/>
      <c r="AE159" s="631"/>
    </row>
    <row r="160" spans="1:31">
      <c r="A160" s="624" t="s">
        <v>560</v>
      </c>
      <c r="B160" s="625"/>
      <c r="C160" s="625"/>
      <c r="D160" s="625">
        <v>158</v>
      </c>
      <c r="E160" s="625"/>
      <c r="F160" s="625">
        <v>3675</v>
      </c>
      <c r="G160" s="626"/>
      <c r="H160" s="626"/>
      <c r="I160" s="626"/>
      <c r="J160" s="625">
        <v>1015</v>
      </c>
      <c r="K160" s="626"/>
      <c r="L160" s="625" t="str">
        <f>IF(Table10[[#This Row],[Rental Rate ($/mth)]]&lt;&gt;"",IF(Table10[[#This Row],[Rental Rate ($/mth)]]&lt;='Input CMHC MLI Select'!$C$12,"No","Yes"),"")</f>
        <v>Yes</v>
      </c>
      <c r="M160" s="625" t="str">
        <f>IF(Table10[[#This Row],[Rental Rate ($/mth)]]&lt;&gt;"",IF(Table10[[#This Row],[Rental Rate ($/mth)]]&lt;='Input CMHC MLI Select'!$C$12,"Yes","No"),"")</f>
        <v>No</v>
      </c>
      <c r="N160" s="625"/>
      <c r="O160" s="625"/>
      <c r="P160" s="625"/>
      <c r="Q160" s="626"/>
      <c r="R160" s="626"/>
      <c r="S160" s="626"/>
      <c r="T160" s="625"/>
      <c r="U160" s="625"/>
      <c r="V160" s="625"/>
      <c r="W160" s="625"/>
      <c r="X160" s="625"/>
      <c r="Y160" s="625"/>
      <c r="Z160" s="625"/>
      <c r="AA160" s="625"/>
      <c r="AB160" s="625"/>
      <c r="AC160" s="625"/>
      <c r="AD160" s="625"/>
      <c r="AE160" s="631"/>
    </row>
    <row r="161" spans="1:31">
      <c r="A161" s="624" t="s">
        <v>560</v>
      </c>
      <c r="B161" s="625"/>
      <c r="C161" s="625"/>
      <c r="D161" s="625">
        <v>159</v>
      </c>
      <c r="E161" s="625"/>
      <c r="F161" s="625">
        <v>3675</v>
      </c>
      <c r="G161" s="626"/>
      <c r="H161" s="626"/>
      <c r="I161" s="626"/>
      <c r="J161" s="625">
        <v>1015</v>
      </c>
      <c r="K161" s="626"/>
      <c r="L161" s="625" t="str">
        <f>IF(Table10[[#This Row],[Rental Rate ($/mth)]]&lt;&gt;"",IF(Table10[[#This Row],[Rental Rate ($/mth)]]&lt;='Input CMHC MLI Select'!$C$12,"No","Yes"),"")</f>
        <v>Yes</v>
      </c>
      <c r="M161" s="625" t="str">
        <f>IF(Table10[[#This Row],[Rental Rate ($/mth)]]&lt;&gt;"",IF(Table10[[#This Row],[Rental Rate ($/mth)]]&lt;='Input CMHC MLI Select'!$C$12,"Yes","No"),"")</f>
        <v>No</v>
      </c>
      <c r="N161" s="625"/>
      <c r="O161" s="625"/>
      <c r="P161" s="625"/>
      <c r="Q161" s="626"/>
      <c r="R161" s="626"/>
      <c r="S161" s="626"/>
      <c r="T161" s="625"/>
      <c r="U161" s="625"/>
      <c r="V161" s="625"/>
      <c r="W161" s="625"/>
      <c r="X161" s="625"/>
      <c r="Y161" s="625"/>
      <c r="Z161" s="625"/>
      <c r="AA161" s="625"/>
      <c r="AB161" s="625"/>
      <c r="AC161" s="625"/>
      <c r="AD161" s="625"/>
      <c r="AE161" s="631"/>
    </row>
    <row r="162" spans="1:31">
      <c r="A162" s="624" t="s">
        <v>560</v>
      </c>
      <c r="B162" s="625"/>
      <c r="C162" s="625"/>
      <c r="D162" s="625">
        <v>160</v>
      </c>
      <c r="E162" s="625"/>
      <c r="F162" s="625">
        <v>3675</v>
      </c>
      <c r="G162" s="626"/>
      <c r="H162" s="626"/>
      <c r="I162" s="626"/>
      <c r="J162" s="625">
        <v>1015</v>
      </c>
      <c r="K162" s="626"/>
      <c r="L162" s="625" t="str">
        <f>IF(Table10[[#This Row],[Rental Rate ($/mth)]]&lt;&gt;"",IF(Table10[[#This Row],[Rental Rate ($/mth)]]&lt;='Input CMHC MLI Select'!$C$12,"No","Yes"),"")</f>
        <v>Yes</v>
      </c>
      <c r="M162" s="625" t="str">
        <f>IF(Table10[[#This Row],[Rental Rate ($/mth)]]&lt;&gt;"",IF(Table10[[#This Row],[Rental Rate ($/mth)]]&lt;='Input CMHC MLI Select'!$C$12,"Yes","No"),"")</f>
        <v>No</v>
      </c>
      <c r="N162" s="625"/>
      <c r="O162" s="625"/>
      <c r="P162" s="625"/>
      <c r="Q162" s="626"/>
      <c r="R162" s="626"/>
      <c r="S162" s="626"/>
      <c r="T162" s="625"/>
      <c r="U162" s="625"/>
      <c r="V162" s="625"/>
      <c r="W162" s="625"/>
      <c r="X162" s="625"/>
      <c r="Y162" s="625"/>
      <c r="Z162" s="625"/>
      <c r="AA162" s="625"/>
      <c r="AB162" s="625"/>
      <c r="AC162" s="625"/>
      <c r="AD162" s="625"/>
      <c r="AE162" s="631"/>
    </row>
    <row r="163" spans="1:31">
      <c r="A163" s="624" t="s">
        <v>560</v>
      </c>
      <c r="B163" s="625"/>
      <c r="C163" s="625"/>
      <c r="D163" s="625">
        <v>161</v>
      </c>
      <c r="E163" s="625"/>
      <c r="F163" s="625">
        <v>3675</v>
      </c>
      <c r="G163" s="626"/>
      <c r="H163" s="626"/>
      <c r="I163" s="626"/>
      <c r="J163" s="625">
        <v>1015</v>
      </c>
      <c r="K163" s="626"/>
      <c r="L163" s="625" t="str">
        <f>IF(Table10[[#This Row],[Rental Rate ($/mth)]]&lt;&gt;"",IF(Table10[[#This Row],[Rental Rate ($/mth)]]&lt;='Input CMHC MLI Select'!$C$12,"No","Yes"),"")</f>
        <v>Yes</v>
      </c>
      <c r="M163" s="625" t="str">
        <f>IF(Table10[[#This Row],[Rental Rate ($/mth)]]&lt;&gt;"",IF(Table10[[#This Row],[Rental Rate ($/mth)]]&lt;='Input CMHC MLI Select'!$C$12,"Yes","No"),"")</f>
        <v>No</v>
      </c>
      <c r="N163" s="625"/>
      <c r="O163" s="625"/>
      <c r="P163" s="625"/>
      <c r="Q163" s="626"/>
      <c r="R163" s="626"/>
      <c r="S163" s="626"/>
      <c r="T163" s="625"/>
      <c r="U163" s="625"/>
      <c r="V163" s="625"/>
      <c r="W163" s="625"/>
      <c r="X163" s="625"/>
      <c r="Y163" s="625"/>
      <c r="Z163" s="625"/>
      <c r="AA163" s="625"/>
      <c r="AB163" s="625"/>
      <c r="AC163" s="625"/>
      <c r="AD163" s="625"/>
      <c r="AE163" s="631"/>
    </row>
    <row r="164" spans="1:31">
      <c r="A164" s="624" t="s">
        <v>560</v>
      </c>
      <c r="B164" s="625"/>
      <c r="C164" s="625"/>
      <c r="D164" s="625">
        <v>162</v>
      </c>
      <c r="E164" s="625"/>
      <c r="F164" s="625">
        <v>3675</v>
      </c>
      <c r="G164" s="626"/>
      <c r="H164" s="626"/>
      <c r="I164" s="626"/>
      <c r="J164" s="625">
        <v>1015</v>
      </c>
      <c r="K164" s="626"/>
      <c r="L164" s="625" t="str">
        <f>IF(Table10[[#This Row],[Rental Rate ($/mth)]]&lt;&gt;"",IF(Table10[[#This Row],[Rental Rate ($/mth)]]&lt;='Input CMHC MLI Select'!$C$12,"No","Yes"),"")</f>
        <v>Yes</v>
      </c>
      <c r="M164" s="625" t="str">
        <f>IF(Table10[[#This Row],[Rental Rate ($/mth)]]&lt;&gt;"",IF(Table10[[#This Row],[Rental Rate ($/mth)]]&lt;='Input CMHC MLI Select'!$C$12,"Yes","No"),"")</f>
        <v>No</v>
      </c>
      <c r="N164" s="625"/>
      <c r="O164" s="625"/>
      <c r="P164" s="625"/>
      <c r="Q164" s="626"/>
      <c r="R164" s="626"/>
      <c r="S164" s="626"/>
      <c r="T164" s="625"/>
      <c r="U164" s="625"/>
      <c r="V164" s="625"/>
      <c r="W164" s="625"/>
      <c r="X164" s="625"/>
      <c r="Y164" s="625"/>
      <c r="Z164" s="625"/>
      <c r="AA164" s="625"/>
      <c r="AB164" s="625"/>
      <c r="AC164" s="625"/>
      <c r="AD164" s="625"/>
      <c r="AE164" s="631"/>
    </row>
    <row r="165" spans="1:31">
      <c r="A165" s="624" t="s">
        <v>560</v>
      </c>
      <c r="B165" s="625"/>
      <c r="C165" s="625"/>
      <c r="D165" s="625">
        <v>163</v>
      </c>
      <c r="E165" s="625"/>
      <c r="F165" s="625">
        <v>3675</v>
      </c>
      <c r="G165" s="626"/>
      <c r="H165" s="626"/>
      <c r="I165" s="626"/>
      <c r="J165" s="625">
        <v>1015</v>
      </c>
      <c r="K165" s="626"/>
      <c r="L165" s="625" t="str">
        <f>IF(Table10[[#This Row],[Rental Rate ($/mth)]]&lt;&gt;"",IF(Table10[[#This Row],[Rental Rate ($/mth)]]&lt;='Input CMHC MLI Select'!$C$12,"No","Yes"),"")</f>
        <v>Yes</v>
      </c>
      <c r="M165" s="625" t="str">
        <f>IF(Table10[[#This Row],[Rental Rate ($/mth)]]&lt;&gt;"",IF(Table10[[#This Row],[Rental Rate ($/mth)]]&lt;='Input CMHC MLI Select'!$C$12,"Yes","No"),"")</f>
        <v>No</v>
      </c>
      <c r="N165" s="625"/>
      <c r="O165" s="625"/>
      <c r="P165" s="625"/>
      <c r="Q165" s="626"/>
      <c r="R165" s="626"/>
      <c r="S165" s="626"/>
      <c r="T165" s="625"/>
      <c r="U165" s="625"/>
      <c r="V165" s="625"/>
      <c r="W165" s="625"/>
      <c r="X165" s="625"/>
      <c r="Y165" s="625"/>
      <c r="Z165" s="625"/>
      <c r="AA165" s="625"/>
      <c r="AB165" s="625"/>
      <c r="AC165" s="625"/>
      <c r="AD165" s="625"/>
      <c r="AE165" s="631"/>
    </row>
    <row r="166" spans="1:31">
      <c r="A166" s="624" t="s">
        <v>560</v>
      </c>
      <c r="B166" s="625"/>
      <c r="C166" s="625"/>
      <c r="D166" s="625">
        <v>164</v>
      </c>
      <c r="E166" s="625"/>
      <c r="F166" s="625">
        <v>3675</v>
      </c>
      <c r="G166" s="626"/>
      <c r="H166" s="626"/>
      <c r="I166" s="626"/>
      <c r="J166" s="625">
        <v>1015</v>
      </c>
      <c r="K166" s="626"/>
      <c r="L166" s="625" t="str">
        <f>IF(Table10[[#This Row],[Rental Rate ($/mth)]]&lt;&gt;"",IF(Table10[[#This Row],[Rental Rate ($/mth)]]&lt;='Input CMHC MLI Select'!$C$12,"No","Yes"),"")</f>
        <v>Yes</v>
      </c>
      <c r="M166" s="625" t="str">
        <f>IF(Table10[[#This Row],[Rental Rate ($/mth)]]&lt;&gt;"",IF(Table10[[#This Row],[Rental Rate ($/mth)]]&lt;='Input CMHC MLI Select'!$C$12,"Yes","No"),"")</f>
        <v>No</v>
      </c>
      <c r="N166" s="625"/>
      <c r="O166" s="625"/>
      <c r="P166" s="625"/>
      <c r="Q166" s="626"/>
      <c r="R166" s="626"/>
      <c r="S166" s="626"/>
      <c r="T166" s="625"/>
      <c r="U166" s="625"/>
      <c r="V166" s="625"/>
      <c r="W166" s="625"/>
      <c r="X166" s="625"/>
      <c r="Y166" s="625"/>
      <c r="Z166" s="625"/>
      <c r="AA166" s="625"/>
      <c r="AB166" s="625"/>
      <c r="AC166" s="625"/>
      <c r="AD166" s="625"/>
      <c r="AE166" s="631"/>
    </row>
    <row r="167" spans="1:31">
      <c r="A167" s="624" t="s">
        <v>560</v>
      </c>
      <c r="B167" s="625"/>
      <c r="C167" s="625"/>
      <c r="D167" s="625">
        <v>165</v>
      </c>
      <c r="E167" s="625"/>
      <c r="F167" s="625">
        <v>3675</v>
      </c>
      <c r="G167" s="626"/>
      <c r="H167" s="626"/>
      <c r="I167" s="626"/>
      <c r="J167" s="625">
        <v>1015</v>
      </c>
      <c r="K167" s="626"/>
      <c r="L167" s="625" t="str">
        <f>IF(Table10[[#This Row],[Rental Rate ($/mth)]]&lt;&gt;"",IF(Table10[[#This Row],[Rental Rate ($/mth)]]&lt;='Input CMHC MLI Select'!$C$12,"No","Yes"),"")</f>
        <v>Yes</v>
      </c>
      <c r="M167" s="625" t="str">
        <f>IF(Table10[[#This Row],[Rental Rate ($/mth)]]&lt;&gt;"",IF(Table10[[#This Row],[Rental Rate ($/mth)]]&lt;='Input CMHC MLI Select'!$C$12,"Yes","No"),"")</f>
        <v>No</v>
      </c>
      <c r="N167" s="625"/>
      <c r="O167" s="625"/>
      <c r="P167" s="625"/>
      <c r="Q167" s="626"/>
      <c r="R167" s="626"/>
      <c r="S167" s="626"/>
      <c r="T167" s="625"/>
      <c r="U167" s="625"/>
      <c r="V167" s="625"/>
      <c r="W167" s="625"/>
      <c r="X167" s="625"/>
      <c r="Y167" s="625"/>
      <c r="Z167" s="625"/>
      <c r="AA167" s="625"/>
      <c r="AB167" s="625"/>
      <c r="AC167" s="625"/>
      <c r="AD167" s="625"/>
      <c r="AE167" s="631"/>
    </row>
    <row r="168" spans="1:31">
      <c r="A168" s="624" t="s">
        <v>560</v>
      </c>
      <c r="B168" s="625"/>
      <c r="C168" s="625"/>
      <c r="D168" s="625">
        <v>166</v>
      </c>
      <c r="E168" s="625"/>
      <c r="F168" s="625">
        <v>3675</v>
      </c>
      <c r="G168" s="626"/>
      <c r="H168" s="626"/>
      <c r="I168" s="626"/>
      <c r="J168" s="625">
        <v>1015</v>
      </c>
      <c r="K168" s="626"/>
      <c r="L168" s="625" t="str">
        <f>IF(Table10[[#This Row],[Rental Rate ($/mth)]]&lt;&gt;"",IF(Table10[[#This Row],[Rental Rate ($/mth)]]&lt;='Input CMHC MLI Select'!$C$12,"No","Yes"),"")</f>
        <v>Yes</v>
      </c>
      <c r="M168" s="625" t="str">
        <f>IF(Table10[[#This Row],[Rental Rate ($/mth)]]&lt;&gt;"",IF(Table10[[#This Row],[Rental Rate ($/mth)]]&lt;='Input CMHC MLI Select'!$C$12,"Yes","No"),"")</f>
        <v>No</v>
      </c>
      <c r="N168" s="625"/>
      <c r="O168" s="625"/>
      <c r="P168" s="625"/>
      <c r="Q168" s="626"/>
      <c r="R168" s="626"/>
      <c r="S168" s="626"/>
      <c r="T168" s="625"/>
      <c r="U168" s="625"/>
      <c r="V168" s="625"/>
      <c r="W168" s="625"/>
      <c r="X168" s="625"/>
      <c r="Y168" s="625"/>
      <c r="Z168" s="625"/>
      <c r="AA168" s="625"/>
      <c r="AB168" s="625"/>
      <c r="AC168" s="625"/>
      <c r="AD168" s="625"/>
      <c r="AE168" s="631"/>
    </row>
    <row r="169" spans="1:31">
      <c r="A169" s="624" t="s">
        <v>560</v>
      </c>
      <c r="B169" s="625"/>
      <c r="C169" s="625"/>
      <c r="D169" s="625">
        <v>167</v>
      </c>
      <c r="E169" s="625"/>
      <c r="F169" s="625">
        <v>3675</v>
      </c>
      <c r="G169" s="626"/>
      <c r="H169" s="626"/>
      <c r="I169" s="626"/>
      <c r="J169" s="625">
        <v>1015</v>
      </c>
      <c r="K169" s="626"/>
      <c r="L169" s="625" t="str">
        <f>IF(Table10[[#This Row],[Rental Rate ($/mth)]]&lt;&gt;"",IF(Table10[[#This Row],[Rental Rate ($/mth)]]&lt;='Input CMHC MLI Select'!$C$12,"No","Yes"),"")</f>
        <v>Yes</v>
      </c>
      <c r="M169" s="625" t="str">
        <f>IF(Table10[[#This Row],[Rental Rate ($/mth)]]&lt;&gt;"",IF(Table10[[#This Row],[Rental Rate ($/mth)]]&lt;='Input CMHC MLI Select'!$C$12,"Yes","No"),"")</f>
        <v>No</v>
      </c>
      <c r="N169" s="625"/>
      <c r="O169" s="625"/>
      <c r="P169" s="625"/>
      <c r="Q169" s="626"/>
      <c r="R169" s="626"/>
      <c r="S169" s="626"/>
      <c r="T169" s="625"/>
      <c r="U169" s="625"/>
      <c r="V169" s="625"/>
      <c r="W169" s="625"/>
      <c r="X169" s="625"/>
      <c r="Y169" s="625"/>
      <c r="Z169" s="625"/>
      <c r="AA169" s="625"/>
      <c r="AB169" s="625"/>
      <c r="AC169" s="625"/>
      <c r="AD169" s="625"/>
      <c r="AE169" s="631"/>
    </row>
    <row r="170" spans="1:31">
      <c r="A170" s="624" t="s">
        <v>560</v>
      </c>
      <c r="B170" s="625"/>
      <c r="C170" s="625"/>
      <c r="D170" s="625">
        <v>168</v>
      </c>
      <c r="E170" s="625"/>
      <c r="F170" s="625">
        <v>3675</v>
      </c>
      <c r="G170" s="626"/>
      <c r="H170" s="626"/>
      <c r="I170" s="626"/>
      <c r="J170" s="625">
        <v>1015</v>
      </c>
      <c r="K170" s="626"/>
      <c r="L170" s="625" t="str">
        <f>IF(Table10[[#This Row],[Rental Rate ($/mth)]]&lt;&gt;"",IF(Table10[[#This Row],[Rental Rate ($/mth)]]&lt;='Input CMHC MLI Select'!$C$12,"No","Yes"),"")</f>
        <v>Yes</v>
      </c>
      <c r="M170" s="625" t="str">
        <f>IF(Table10[[#This Row],[Rental Rate ($/mth)]]&lt;&gt;"",IF(Table10[[#This Row],[Rental Rate ($/mth)]]&lt;='Input CMHC MLI Select'!$C$12,"Yes","No"),"")</f>
        <v>No</v>
      </c>
      <c r="N170" s="625"/>
      <c r="O170" s="625"/>
      <c r="P170" s="625"/>
      <c r="Q170" s="626"/>
      <c r="R170" s="626"/>
      <c r="S170" s="626"/>
      <c r="T170" s="625"/>
      <c r="U170" s="625"/>
      <c r="V170" s="625"/>
      <c r="W170" s="625"/>
      <c r="X170" s="625"/>
      <c r="Y170" s="625"/>
      <c r="Z170" s="625"/>
      <c r="AA170" s="625"/>
      <c r="AB170" s="625"/>
      <c r="AC170" s="625"/>
      <c r="AD170" s="625"/>
      <c r="AE170" s="631"/>
    </row>
    <row r="171" spans="1:31">
      <c r="A171" s="624" t="s">
        <v>560</v>
      </c>
      <c r="B171" s="625"/>
      <c r="C171" s="625"/>
      <c r="D171" s="625">
        <v>169</v>
      </c>
      <c r="E171" s="625"/>
      <c r="F171" s="625">
        <v>3675</v>
      </c>
      <c r="G171" s="626"/>
      <c r="H171" s="626"/>
      <c r="I171" s="626"/>
      <c r="J171" s="625">
        <v>1015</v>
      </c>
      <c r="K171" s="626"/>
      <c r="L171" s="625" t="str">
        <f>IF(Table10[[#This Row],[Rental Rate ($/mth)]]&lt;&gt;"",IF(Table10[[#This Row],[Rental Rate ($/mth)]]&lt;='Input CMHC MLI Select'!$C$12,"No","Yes"),"")</f>
        <v>Yes</v>
      </c>
      <c r="M171" s="625" t="str">
        <f>IF(Table10[[#This Row],[Rental Rate ($/mth)]]&lt;&gt;"",IF(Table10[[#This Row],[Rental Rate ($/mth)]]&lt;='Input CMHC MLI Select'!$C$12,"Yes","No"),"")</f>
        <v>No</v>
      </c>
      <c r="N171" s="625"/>
      <c r="O171" s="625"/>
      <c r="P171" s="625"/>
      <c r="Q171" s="626"/>
      <c r="R171" s="626"/>
      <c r="S171" s="626"/>
      <c r="T171" s="625"/>
      <c r="U171" s="625"/>
      <c r="V171" s="625"/>
      <c r="W171" s="625"/>
      <c r="X171" s="625"/>
      <c r="Y171" s="625"/>
      <c r="Z171" s="625"/>
      <c r="AA171" s="625"/>
      <c r="AB171" s="625"/>
      <c r="AC171" s="625"/>
      <c r="AD171" s="625"/>
      <c r="AE171" s="631"/>
    </row>
    <row r="172" spans="1:31">
      <c r="A172" s="624" t="s">
        <v>560</v>
      </c>
      <c r="B172" s="625"/>
      <c r="C172" s="625"/>
      <c r="D172" s="625">
        <v>170</v>
      </c>
      <c r="E172" s="625"/>
      <c r="F172" s="625">
        <v>3675</v>
      </c>
      <c r="G172" s="626"/>
      <c r="H172" s="626"/>
      <c r="I172" s="626"/>
      <c r="J172" s="625">
        <v>1015</v>
      </c>
      <c r="K172" s="626"/>
      <c r="L172" s="625" t="str">
        <f>IF(Table10[[#This Row],[Rental Rate ($/mth)]]&lt;&gt;"",IF(Table10[[#This Row],[Rental Rate ($/mth)]]&lt;='Input CMHC MLI Select'!$C$12,"No","Yes"),"")</f>
        <v>Yes</v>
      </c>
      <c r="M172" s="625" t="str">
        <f>IF(Table10[[#This Row],[Rental Rate ($/mth)]]&lt;&gt;"",IF(Table10[[#This Row],[Rental Rate ($/mth)]]&lt;='Input CMHC MLI Select'!$C$12,"Yes","No"),"")</f>
        <v>No</v>
      </c>
      <c r="N172" s="625"/>
      <c r="O172" s="625"/>
      <c r="P172" s="625"/>
      <c r="Q172" s="626"/>
      <c r="R172" s="626"/>
      <c r="S172" s="626"/>
      <c r="T172" s="625"/>
      <c r="U172" s="625"/>
      <c r="V172" s="625"/>
      <c r="W172" s="625"/>
      <c r="X172" s="625"/>
      <c r="Y172" s="625"/>
      <c r="Z172" s="625"/>
      <c r="AA172" s="625"/>
      <c r="AB172" s="625"/>
      <c r="AC172" s="625"/>
      <c r="AD172" s="625"/>
      <c r="AE172" s="631"/>
    </row>
    <row r="173" spans="1:31">
      <c r="A173" s="624"/>
      <c r="B173" s="625"/>
      <c r="C173" s="625"/>
      <c r="D173" s="625">
        <v>171</v>
      </c>
      <c r="E173" s="625"/>
      <c r="F173" s="625"/>
      <c r="G173" s="626"/>
      <c r="H173" s="626"/>
      <c r="I173" s="626"/>
      <c r="J173" s="625"/>
      <c r="K173" s="626"/>
      <c r="L173" s="625" t="str">
        <f>IF(Table10[[#This Row],[Rental Rate ($/mth)]]&lt;&gt;"",IF(Table10[[#This Row],[Rental Rate ($/mth)]]&lt;='Input CMHC MLI Select'!$C$12,"No","Yes"),"")</f>
        <v/>
      </c>
      <c r="M173" s="625" t="str">
        <f>IF(Table10[[#This Row],[Rental Rate ($/mth)]]&lt;&gt;"",IF(Table10[[#This Row],[Rental Rate ($/mth)]]&lt;='Input CMHC MLI Select'!$C$12,"Yes","No"),"")</f>
        <v/>
      </c>
      <c r="N173" s="625"/>
      <c r="O173" s="625"/>
      <c r="P173" s="625"/>
      <c r="Q173" s="626"/>
      <c r="R173" s="626"/>
      <c r="S173" s="626"/>
      <c r="T173" s="625"/>
      <c r="U173" s="625"/>
      <c r="V173" s="625"/>
      <c r="W173" s="625"/>
      <c r="X173" s="625"/>
      <c r="Y173" s="625"/>
      <c r="Z173" s="625"/>
      <c r="AA173" s="625"/>
      <c r="AB173" s="625"/>
      <c r="AC173" s="625"/>
      <c r="AD173" s="625"/>
      <c r="AE173" s="631"/>
    </row>
    <row r="174" spans="1:31">
      <c r="A174" s="624"/>
      <c r="B174" s="625"/>
      <c r="C174" s="625"/>
      <c r="D174" s="625">
        <v>172</v>
      </c>
      <c r="E174" s="625"/>
      <c r="F174" s="625"/>
      <c r="G174" s="626"/>
      <c r="H174" s="626"/>
      <c r="I174" s="626"/>
      <c r="J174" s="625"/>
      <c r="K174" s="626"/>
      <c r="L174" s="625" t="str">
        <f>IF(Table10[[#This Row],[Rental Rate ($/mth)]]&lt;&gt;"",IF(Table10[[#This Row],[Rental Rate ($/mth)]]&lt;='Input CMHC MLI Select'!$C$12,"No","Yes"),"")</f>
        <v/>
      </c>
      <c r="M174" s="625" t="str">
        <f>IF(Table10[[#This Row],[Rental Rate ($/mth)]]&lt;&gt;"",IF(Table10[[#This Row],[Rental Rate ($/mth)]]&lt;='Input CMHC MLI Select'!$C$12,"Yes","No"),"")</f>
        <v/>
      </c>
      <c r="N174" s="625"/>
      <c r="O174" s="625"/>
      <c r="P174" s="625"/>
      <c r="Q174" s="626"/>
      <c r="R174" s="626"/>
      <c r="S174" s="626"/>
      <c r="T174" s="625"/>
      <c r="U174" s="625"/>
      <c r="V174" s="625"/>
      <c r="W174" s="625"/>
      <c r="X174" s="625"/>
      <c r="Y174" s="625"/>
      <c r="Z174" s="625"/>
      <c r="AA174" s="625"/>
      <c r="AB174" s="625"/>
      <c r="AC174" s="625"/>
      <c r="AD174" s="625"/>
      <c r="AE174" s="631"/>
    </row>
    <row r="175" spans="1:31">
      <c r="A175" s="624"/>
      <c r="B175" s="625"/>
      <c r="C175" s="625"/>
      <c r="D175" s="625">
        <v>173</v>
      </c>
      <c r="E175" s="625"/>
      <c r="F175" s="625"/>
      <c r="G175" s="626"/>
      <c r="H175" s="626"/>
      <c r="I175" s="626"/>
      <c r="J175" s="625"/>
      <c r="K175" s="626"/>
      <c r="L175" s="625" t="str">
        <f>IF(Table10[[#This Row],[Rental Rate ($/mth)]]&lt;&gt;"",IF(Table10[[#This Row],[Rental Rate ($/mth)]]&lt;='Input CMHC MLI Select'!$C$12,"No","Yes"),"")</f>
        <v/>
      </c>
      <c r="M175" s="625" t="str">
        <f>IF(Table10[[#This Row],[Rental Rate ($/mth)]]&lt;&gt;"",IF(Table10[[#This Row],[Rental Rate ($/mth)]]&lt;='Input CMHC MLI Select'!$C$12,"Yes","No"),"")</f>
        <v/>
      </c>
      <c r="N175" s="625"/>
      <c r="O175" s="625"/>
      <c r="P175" s="625"/>
      <c r="Q175" s="626"/>
      <c r="R175" s="626"/>
      <c r="S175" s="626"/>
      <c r="T175" s="625"/>
      <c r="U175" s="625"/>
      <c r="V175" s="625"/>
      <c r="W175" s="625"/>
      <c r="X175" s="625"/>
      <c r="Y175" s="625"/>
      <c r="Z175" s="625"/>
      <c r="AA175" s="625"/>
      <c r="AB175" s="625"/>
      <c r="AC175" s="625"/>
      <c r="AD175" s="625"/>
      <c r="AE175" s="631"/>
    </row>
    <row r="176" spans="1:31">
      <c r="A176" s="624"/>
      <c r="B176" s="625"/>
      <c r="C176" s="625"/>
      <c r="D176" s="625">
        <v>174</v>
      </c>
      <c r="E176" s="625"/>
      <c r="F176" s="625"/>
      <c r="G176" s="626"/>
      <c r="H176" s="626"/>
      <c r="I176" s="626"/>
      <c r="J176" s="625"/>
      <c r="K176" s="626"/>
      <c r="L176" s="625" t="str">
        <f>IF(Table10[[#This Row],[Rental Rate ($/mth)]]&lt;&gt;"",IF(Table10[[#This Row],[Rental Rate ($/mth)]]&lt;='Input CMHC MLI Select'!$C$12,"No","Yes"),"")</f>
        <v/>
      </c>
      <c r="M176" s="625" t="str">
        <f>IF(Table10[[#This Row],[Rental Rate ($/mth)]]&lt;&gt;"",IF(Table10[[#This Row],[Rental Rate ($/mth)]]&lt;='Input CMHC MLI Select'!$C$12,"Yes","No"),"")</f>
        <v/>
      </c>
      <c r="N176" s="625"/>
      <c r="O176" s="625"/>
      <c r="P176" s="625"/>
      <c r="Q176" s="626"/>
      <c r="R176" s="626"/>
      <c r="S176" s="626"/>
      <c r="T176" s="625"/>
      <c r="U176" s="625"/>
      <c r="V176" s="625"/>
      <c r="W176" s="625"/>
      <c r="X176" s="625"/>
      <c r="Y176" s="625"/>
      <c r="Z176" s="625"/>
      <c r="AA176" s="625"/>
      <c r="AB176" s="625"/>
      <c r="AC176" s="625"/>
      <c r="AD176" s="625"/>
      <c r="AE176" s="631"/>
    </row>
    <row r="177" spans="1:31">
      <c r="A177" s="624"/>
      <c r="B177" s="625"/>
      <c r="C177" s="625"/>
      <c r="D177" s="625">
        <v>175</v>
      </c>
      <c r="E177" s="625"/>
      <c r="F177" s="625"/>
      <c r="G177" s="626"/>
      <c r="H177" s="626"/>
      <c r="I177" s="626"/>
      <c r="J177" s="625"/>
      <c r="K177" s="626"/>
      <c r="L177" s="625" t="str">
        <f>IF(Table10[[#This Row],[Rental Rate ($/mth)]]&lt;&gt;"",IF(Table10[[#This Row],[Rental Rate ($/mth)]]&lt;='Input CMHC MLI Select'!$C$12,"No","Yes"),"")</f>
        <v/>
      </c>
      <c r="M177" s="625" t="str">
        <f>IF(Table10[[#This Row],[Rental Rate ($/mth)]]&lt;&gt;"",IF(Table10[[#This Row],[Rental Rate ($/mth)]]&lt;='Input CMHC MLI Select'!$C$12,"Yes","No"),"")</f>
        <v/>
      </c>
      <c r="N177" s="625"/>
      <c r="O177" s="625"/>
      <c r="P177" s="625"/>
      <c r="Q177" s="626"/>
      <c r="R177" s="626"/>
      <c r="S177" s="626"/>
      <c r="T177" s="625"/>
      <c r="U177" s="625"/>
      <c r="V177" s="625"/>
      <c r="W177" s="625"/>
      <c r="X177" s="625"/>
      <c r="Y177" s="625"/>
      <c r="Z177" s="625"/>
      <c r="AA177" s="625"/>
      <c r="AB177" s="625"/>
      <c r="AC177" s="625"/>
      <c r="AD177" s="625"/>
      <c r="AE177" s="631"/>
    </row>
    <row r="178" spans="1:31">
      <c r="A178" s="624"/>
      <c r="B178" s="625"/>
      <c r="C178" s="625"/>
      <c r="D178" s="625">
        <v>176</v>
      </c>
      <c r="E178" s="625"/>
      <c r="F178" s="625"/>
      <c r="G178" s="626"/>
      <c r="H178" s="626"/>
      <c r="I178" s="626"/>
      <c r="J178" s="625"/>
      <c r="K178" s="626"/>
      <c r="L178" s="625" t="str">
        <f>IF(Table10[[#This Row],[Rental Rate ($/mth)]]&lt;&gt;"",IF(Table10[[#This Row],[Rental Rate ($/mth)]]&lt;='Input CMHC MLI Select'!$C$12,"No","Yes"),"")</f>
        <v/>
      </c>
      <c r="M178" s="625" t="str">
        <f>IF(Table10[[#This Row],[Rental Rate ($/mth)]]&lt;&gt;"",IF(Table10[[#This Row],[Rental Rate ($/mth)]]&lt;='Input CMHC MLI Select'!$C$12,"Yes","No"),"")</f>
        <v/>
      </c>
      <c r="N178" s="625"/>
      <c r="O178" s="625"/>
      <c r="P178" s="625"/>
      <c r="Q178" s="626"/>
      <c r="R178" s="626"/>
      <c r="S178" s="626"/>
      <c r="T178" s="625"/>
      <c r="U178" s="625"/>
      <c r="V178" s="625"/>
      <c r="W178" s="625"/>
      <c r="X178" s="625"/>
      <c r="Y178" s="625"/>
      <c r="Z178" s="625"/>
      <c r="AA178" s="625"/>
      <c r="AB178" s="625"/>
      <c r="AC178" s="625"/>
      <c r="AD178" s="625"/>
      <c r="AE178" s="631"/>
    </row>
    <row r="179" spans="1:31">
      <c r="A179" s="624"/>
      <c r="B179" s="625"/>
      <c r="C179" s="625"/>
      <c r="D179" s="625">
        <v>177</v>
      </c>
      <c r="E179" s="625"/>
      <c r="F179" s="625"/>
      <c r="G179" s="626"/>
      <c r="H179" s="626"/>
      <c r="I179" s="626"/>
      <c r="J179" s="625"/>
      <c r="K179" s="626"/>
      <c r="L179" s="625" t="str">
        <f>IF(Table10[[#This Row],[Rental Rate ($/mth)]]&lt;&gt;"",IF(Table10[[#This Row],[Rental Rate ($/mth)]]&lt;='Input CMHC MLI Select'!$C$12,"No","Yes"),"")</f>
        <v/>
      </c>
      <c r="M179" s="625" t="str">
        <f>IF(Table10[[#This Row],[Rental Rate ($/mth)]]&lt;&gt;"",IF(Table10[[#This Row],[Rental Rate ($/mth)]]&lt;='Input CMHC MLI Select'!$C$12,"Yes","No"),"")</f>
        <v/>
      </c>
      <c r="N179" s="625"/>
      <c r="O179" s="625"/>
      <c r="P179" s="625"/>
      <c r="Q179" s="626"/>
      <c r="R179" s="626"/>
      <c r="S179" s="626"/>
      <c r="T179" s="625"/>
      <c r="U179" s="625"/>
      <c r="V179" s="625"/>
      <c r="W179" s="625"/>
      <c r="X179" s="625"/>
      <c r="Y179" s="625"/>
      <c r="Z179" s="625"/>
      <c r="AA179" s="625"/>
      <c r="AB179" s="625"/>
      <c r="AC179" s="625"/>
      <c r="AD179" s="625"/>
      <c r="AE179" s="631"/>
    </row>
    <row r="180" spans="1:31">
      <c r="A180" s="624"/>
      <c r="B180" s="625"/>
      <c r="C180" s="625"/>
      <c r="D180" s="625">
        <v>178</v>
      </c>
      <c r="E180" s="625"/>
      <c r="F180" s="625"/>
      <c r="G180" s="626"/>
      <c r="H180" s="626"/>
      <c r="I180" s="626"/>
      <c r="J180" s="625"/>
      <c r="K180" s="626"/>
      <c r="L180" s="625" t="str">
        <f>IF(Table10[[#This Row],[Rental Rate ($/mth)]]&lt;&gt;"",IF(Table10[[#This Row],[Rental Rate ($/mth)]]&lt;='Input CMHC MLI Select'!$C$12,"No","Yes"),"")</f>
        <v/>
      </c>
      <c r="M180" s="625" t="str">
        <f>IF(Table10[[#This Row],[Rental Rate ($/mth)]]&lt;&gt;"",IF(Table10[[#This Row],[Rental Rate ($/mth)]]&lt;='Input CMHC MLI Select'!$C$12,"Yes","No"),"")</f>
        <v/>
      </c>
      <c r="N180" s="625"/>
      <c r="O180" s="625"/>
      <c r="P180" s="625"/>
      <c r="Q180" s="626"/>
      <c r="R180" s="626"/>
      <c r="S180" s="626"/>
      <c r="T180" s="625"/>
      <c r="U180" s="625"/>
      <c r="V180" s="625"/>
      <c r="W180" s="625"/>
      <c r="X180" s="625"/>
      <c r="Y180" s="625"/>
      <c r="Z180" s="625"/>
      <c r="AA180" s="625"/>
      <c r="AB180" s="625"/>
      <c r="AC180" s="625"/>
      <c r="AD180" s="625"/>
      <c r="AE180" s="631"/>
    </row>
    <row r="181" spans="1:31">
      <c r="A181" s="624"/>
      <c r="B181" s="625"/>
      <c r="C181" s="625"/>
      <c r="D181" s="625">
        <v>179</v>
      </c>
      <c r="E181" s="625"/>
      <c r="F181" s="625"/>
      <c r="G181" s="626"/>
      <c r="H181" s="626"/>
      <c r="I181" s="626"/>
      <c r="J181" s="625"/>
      <c r="K181" s="626"/>
      <c r="L181" s="625" t="str">
        <f>IF(Table10[[#This Row],[Rental Rate ($/mth)]]&lt;&gt;"",IF(Table10[[#This Row],[Rental Rate ($/mth)]]&lt;='Input CMHC MLI Select'!$C$12,"No","Yes"),"")</f>
        <v/>
      </c>
      <c r="M181" s="625" t="str">
        <f>IF(Table10[[#This Row],[Rental Rate ($/mth)]]&lt;&gt;"",IF(Table10[[#This Row],[Rental Rate ($/mth)]]&lt;='Input CMHC MLI Select'!$C$12,"Yes","No"),"")</f>
        <v/>
      </c>
      <c r="N181" s="625"/>
      <c r="O181" s="625"/>
      <c r="P181" s="625"/>
      <c r="Q181" s="626"/>
      <c r="R181" s="626"/>
      <c r="S181" s="626"/>
      <c r="T181" s="625"/>
      <c r="U181" s="625"/>
      <c r="V181" s="625"/>
      <c r="W181" s="625"/>
      <c r="X181" s="625"/>
      <c r="Y181" s="625"/>
      <c r="Z181" s="625"/>
      <c r="AA181" s="625"/>
      <c r="AB181" s="625"/>
      <c r="AC181" s="625"/>
      <c r="AD181" s="625"/>
      <c r="AE181" s="631"/>
    </row>
    <row r="182" spans="1:31">
      <c r="A182" s="624"/>
      <c r="B182" s="625"/>
      <c r="C182" s="625"/>
      <c r="D182" s="625">
        <v>180</v>
      </c>
      <c r="E182" s="625"/>
      <c r="F182" s="625"/>
      <c r="G182" s="626"/>
      <c r="H182" s="626"/>
      <c r="I182" s="626"/>
      <c r="J182" s="625"/>
      <c r="K182" s="626"/>
      <c r="L182" s="625" t="str">
        <f>IF(Table10[[#This Row],[Rental Rate ($/mth)]]&lt;&gt;"",IF(Table10[[#This Row],[Rental Rate ($/mth)]]&lt;='Input CMHC MLI Select'!$C$12,"No","Yes"),"")</f>
        <v/>
      </c>
      <c r="M182" s="625" t="str">
        <f>IF(Table10[[#This Row],[Rental Rate ($/mth)]]&lt;&gt;"",IF(Table10[[#This Row],[Rental Rate ($/mth)]]&lt;='Input CMHC MLI Select'!$C$12,"Yes","No"),"")</f>
        <v/>
      </c>
      <c r="N182" s="625"/>
      <c r="O182" s="625"/>
      <c r="P182" s="625"/>
      <c r="Q182" s="626"/>
      <c r="R182" s="626"/>
      <c r="S182" s="626"/>
      <c r="T182" s="625"/>
      <c r="U182" s="625"/>
      <c r="V182" s="625"/>
      <c r="W182" s="625"/>
      <c r="X182" s="625"/>
      <c r="Y182" s="625"/>
      <c r="Z182" s="625"/>
      <c r="AA182" s="625"/>
      <c r="AB182" s="625"/>
      <c r="AC182" s="625"/>
      <c r="AD182" s="625"/>
      <c r="AE182" s="631"/>
    </row>
    <row r="183" spans="1:31">
      <c r="A183" s="624"/>
      <c r="B183" s="625"/>
      <c r="C183" s="625"/>
      <c r="D183" s="625">
        <v>181</v>
      </c>
      <c r="E183" s="625"/>
      <c r="F183" s="625"/>
      <c r="G183" s="626"/>
      <c r="H183" s="626"/>
      <c r="I183" s="626"/>
      <c r="J183" s="625"/>
      <c r="K183" s="626"/>
      <c r="L183" s="625" t="str">
        <f>IF(Table10[[#This Row],[Rental Rate ($/mth)]]&lt;&gt;"",IF(Table10[[#This Row],[Rental Rate ($/mth)]]&lt;='Input CMHC MLI Select'!$C$12,"No","Yes"),"")</f>
        <v/>
      </c>
      <c r="M183" s="625" t="str">
        <f>IF(Table10[[#This Row],[Rental Rate ($/mth)]]&lt;&gt;"",IF(Table10[[#This Row],[Rental Rate ($/mth)]]&lt;='Input CMHC MLI Select'!$C$12,"Yes","No"),"")</f>
        <v/>
      </c>
      <c r="N183" s="625"/>
      <c r="O183" s="625"/>
      <c r="P183" s="625"/>
      <c r="Q183" s="626"/>
      <c r="R183" s="626"/>
      <c r="S183" s="626"/>
      <c r="T183" s="625"/>
      <c r="U183" s="625"/>
      <c r="V183" s="625"/>
      <c r="W183" s="625"/>
      <c r="X183" s="625"/>
      <c r="Y183" s="625"/>
      <c r="Z183" s="625"/>
      <c r="AA183" s="625"/>
      <c r="AB183" s="625"/>
      <c r="AC183" s="625"/>
      <c r="AD183" s="625"/>
      <c r="AE183" s="631"/>
    </row>
    <row r="184" spans="1:31">
      <c r="A184" s="624"/>
      <c r="B184" s="625"/>
      <c r="C184" s="625"/>
      <c r="D184" s="625">
        <v>182</v>
      </c>
      <c r="E184" s="625"/>
      <c r="F184" s="625"/>
      <c r="G184" s="626"/>
      <c r="H184" s="626"/>
      <c r="I184" s="626"/>
      <c r="J184" s="625"/>
      <c r="K184" s="626"/>
      <c r="L184" s="625" t="str">
        <f>IF(Table10[[#This Row],[Rental Rate ($/mth)]]&lt;&gt;"",IF(Table10[[#This Row],[Rental Rate ($/mth)]]&lt;='Input CMHC MLI Select'!$C$12,"No","Yes"),"")</f>
        <v/>
      </c>
      <c r="M184" s="625" t="str">
        <f>IF(Table10[[#This Row],[Rental Rate ($/mth)]]&lt;&gt;"",IF(Table10[[#This Row],[Rental Rate ($/mth)]]&lt;='Input CMHC MLI Select'!$C$12,"Yes","No"),"")</f>
        <v/>
      </c>
      <c r="N184" s="625"/>
      <c r="O184" s="625"/>
      <c r="P184" s="625"/>
      <c r="Q184" s="626"/>
      <c r="R184" s="626"/>
      <c r="S184" s="626"/>
      <c r="T184" s="625"/>
      <c r="U184" s="625"/>
      <c r="V184" s="625"/>
      <c r="W184" s="625"/>
      <c r="X184" s="625"/>
      <c r="Y184" s="625"/>
      <c r="Z184" s="625"/>
      <c r="AA184" s="625"/>
      <c r="AB184" s="625"/>
      <c r="AC184" s="625"/>
      <c r="AD184" s="625"/>
      <c r="AE184" s="631"/>
    </row>
    <row r="187" spans="1:31" ht="13.8">
      <c r="E187" s="632" t="s">
        <v>106</v>
      </c>
      <c r="F187" s="633">
        <f>SUM(F3:I184)</f>
        <v>489850</v>
      </c>
      <c r="G187" s="634"/>
      <c r="H187" s="634"/>
      <c r="I187" s="634"/>
      <c r="J187" s="632">
        <f>SUM(G3:J184)</f>
        <v>128826</v>
      </c>
      <c r="L187" s="650"/>
    </row>
    <row r="188" spans="1:31" ht="13.8">
      <c r="E188" s="632" t="s">
        <v>107</v>
      </c>
      <c r="F188" s="633">
        <f>F187*12</f>
        <v>5878200</v>
      </c>
    </row>
    <row r="192" spans="1:31" ht="13.8">
      <c r="A192" s="632" t="s">
        <v>108</v>
      </c>
      <c r="B192" s="635" t="s">
        <v>109</v>
      </c>
      <c r="C192" s="635" t="s">
        <v>110</v>
      </c>
      <c r="D192" s="635" t="s">
        <v>111</v>
      </c>
      <c r="E192" s="636" t="s">
        <v>112</v>
      </c>
    </row>
    <row r="193" spans="1:8" ht="13.8">
      <c r="A193" s="637">
        <f>COUNTIF(Table10[Unit Type],B193)</f>
        <v>0</v>
      </c>
      <c r="B193" s="257" t="s">
        <v>113</v>
      </c>
      <c r="C193" s="638" t="str">
        <f>IFERROR(AVERAGEIF(Table10[Unit Type],B193,Table10[Unit Size (sq ft)]),"")</f>
        <v/>
      </c>
      <c r="D193" s="639" t="str">
        <f>IFERROR(E193/C193,"")</f>
        <v/>
      </c>
      <c r="E193" s="640" t="str">
        <f>IFERROR(AVERAGEIF(Table10[Unit Type],B193,Table10[Rental Rate ($/mth)]),"")</f>
        <v/>
      </c>
      <c r="G193" s="619"/>
      <c r="H193" s="619"/>
    </row>
    <row r="194" spans="1:8" ht="13.8">
      <c r="A194" s="637">
        <f>COUNTIF(Table10[Unit Type],B194)</f>
        <v>0</v>
      </c>
      <c r="B194" s="257" t="s">
        <v>114</v>
      </c>
      <c r="C194" s="638" t="str">
        <f>IFERROR(AVERAGEIF(Table10[Unit Type],B194,Table10[Unit Size (sq ft)]),"")</f>
        <v/>
      </c>
      <c r="D194" s="639" t="str">
        <f t="shared" ref="D194:D200" si="0">IFERROR(E194/C194,"")</f>
        <v/>
      </c>
      <c r="E194" s="640" t="str">
        <f>IFERROR(AVERAGEIF(Table10[Unit Type],B194,Table10[Rental Rate ($/mth)]),"")</f>
        <v/>
      </c>
      <c r="G194" s="619"/>
      <c r="H194" s="619"/>
    </row>
    <row r="195" spans="1:8" ht="13.8">
      <c r="A195" s="637">
        <f>COUNTIF(Table10[Unit Type],B195)</f>
        <v>0</v>
      </c>
      <c r="B195" s="257" t="s">
        <v>115</v>
      </c>
      <c r="C195" s="638" t="str">
        <f>IFERROR(AVERAGEIF(Table10[Unit Type],B195,Table10[Unit Size (sq ft)]),"")</f>
        <v/>
      </c>
      <c r="D195" s="639" t="str">
        <f t="shared" si="0"/>
        <v/>
      </c>
      <c r="E195" s="640" t="str">
        <f>IFERROR(AVERAGEIF(Table10[Unit Type],B195,Table10[Rental Rate ($/mth)]),"")</f>
        <v/>
      </c>
      <c r="G195" s="619"/>
      <c r="H195" s="619"/>
    </row>
    <row r="196" spans="1:8" ht="13.8">
      <c r="A196" s="637">
        <f>COUNTIF(Table10[Unit Type],B196)</f>
        <v>0</v>
      </c>
      <c r="B196" s="257" t="s">
        <v>116</v>
      </c>
      <c r="C196" s="638" t="str">
        <f>IFERROR(AVERAGEIF(Table10[Unit Type],B196,Table10[Unit Size (sq ft)]),"")</f>
        <v/>
      </c>
      <c r="D196" s="638" t="str">
        <f t="shared" si="0"/>
        <v/>
      </c>
      <c r="E196" s="640" t="str">
        <f>IFERROR(AVERAGEIF(Table10[Unit Type],B196,Table10[Rental Rate ($/mth)]),"")</f>
        <v/>
      </c>
      <c r="G196" s="619"/>
      <c r="H196" s="619"/>
    </row>
    <row r="197" spans="1:8" ht="13.8">
      <c r="A197" s="637">
        <f>COUNTIF(Table10[Unit Type],B197)</f>
        <v>0</v>
      </c>
      <c r="B197" s="257" t="s">
        <v>117</v>
      </c>
      <c r="C197" s="638" t="str">
        <f>IFERROR(AVERAGEIF(Table10[Unit Type],B197,Table10[Unit Size (sq ft)]),"")</f>
        <v/>
      </c>
      <c r="D197" s="638" t="str">
        <f t="shared" si="0"/>
        <v/>
      </c>
      <c r="E197" s="640" t="str">
        <f>IFERROR(AVERAGEIF(Table10[Unit Type],B197,Table10[Rental Rate ($/mth)]),"")</f>
        <v/>
      </c>
      <c r="G197" s="619"/>
      <c r="H197" s="619"/>
    </row>
    <row r="198" spans="1:8" ht="13.8">
      <c r="A198" s="637">
        <f>COUNTIF(Table10[Unit Type],B198)</f>
        <v>0</v>
      </c>
      <c r="B198" s="257" t="s">
        <v>118</v>
      </c>
      <c r="C198" s="638" t="str">
        <f>IFERROR(AVERAGEIF(Table10[Unit Type],B198,Table10[Unit Size (sq ft)]),"")</f>
        <v/>
      </c>
      <c r="D198" s="638" t="str">
        <f t="shared" si="0"/>
        <v/>
      </c>
      <c r="E198" s="640" t="str">
        <f>IFERROR(AVERAGEIF(Table10[Unit Type],B198,Table10[Rental Rate ($/mth)]),"")</f>
        <v/>
      </c>
    </row>
    <row r="199" spans="1:8" ht="13.8">
      <c r="A199" s="637">
        <f>COUNTIF(Table10[Unit Type],B199)</f>
        <v>0</v>
      </c>
      <c r="B199" s="257" t="s">
        <v>119</v>
      </c>
      <c r="C199" s="638" t="str">
        <f>IFERROR(AVERAGEIF(Table10[Unit Type],B199,Table10[Unit Size (sq ft)]),"")</f>
        <v/>
      </c>
      <c r="D199" s="639" t="str">
        <f t="shared" si="0"/>
        <v/>
      </c>
      <c r="E199" s="640" t="str">
        <f>IFERROR(AVERAGEIF(Table10[Unit Type],B199,Table10[Rental Rate ($/mth)]),"")</f>
        <v/>
      </c>
    </row>
    <row r="200" spans="1:8" ht="13.8">
      <c r="A200" s="641">
        <f>COUNTIF(Table10[Unit Type],B200)</f>
        <v>0</v>
      </c>
      <c r="B200" s="642" t="s">
        <v>120</v>
      </c>
      <c r="C200" s="643" t="str">
        <f>IFERROR(AVERAGEIF(Table10[Unit Type],B200,Table10[Unit Size (sq ft)]),"")</f>
        <v/>
      </c>
      <c r="D200" s="644" t="str">
        <f t="shared" si="0"/>
        <v/>
      </c>
      <c r="E200" s="645" t="str">
        <f>IFERROR(AVERAGEIF(Table10[Unit Type],B200,Table10[Rental Rate ($/mth)]),"")</f>
        <v/>
      </c>
    </row>
    <row r="201" spans="1:8" ht="14.4">
      <c r="A201" s="646">
        <f>SUM(A193:A200)</f>
        <v>0</v>
      </c>
      <c r="B201" s="647"/>
      <c r="C201" s="648" t="e">
        <f>J187/A201</f>
        <v>#DIV/0!</v>
      </c>
      <c r="D201" s="648" t="e">
        <f>E201/C201</f>
        <v>#DIV/0!</v>
      </c>
      <c r="E201" s="649" t="e">
        <f>F187/A201</f>
        <v>#DIV/0!</v>
      </c>
    </row>
  </sheetData>
  <sheetProtection insertRows="0"/>
  <mergeCells count="3">
    <mergeCell ref="A1:J1"/>
    <mergeCell ref="L1:P1"/>
    <mergeCell ref="T1:AE1"/>
  </mergeCells>
  <phoneticPr fontId="63" type="noConversion"/>
  <dataValidations count="2">
    <dataValidation type="list" allowBlank="1" showInputMessage="1" showErrorMessage="1" sqref="C3:C184 E3:E184 P3:AE184 L3:N184" xr:uid="{00000000-0002-0000-0200-000001000000}">
      <formula1>"No,Yes"</formula1>
    </dataValidation>
    <dataValidation type="list" allowBlank="1" showInputMessage="1" showErrorMessage="1" sqref="O3:O184" xr:uid="{00000000-0002-0000-0200-000002000000}">
      <formula1>"Senior Standard Space, Assisted Living, Heavy Care"</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DATA!$F$16:$F$20</xm:f>
          </x14:formula1>
          <xm:sqref>A3:A184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K84"/>
  <sheetViews>
    <sheetView topLeftCell="A40" zoomScale="115" zoomScaleNormal="115" workbookViewId="0">
      <selection activeCell="D50" sqref="D50"/>
    </sheetView>
  </sheetViews>
  <sheetFormatPr defaultColWidth="11.44140625" defaultRowHeight="13.2"/>
  <cols>
    <col min="1" max="1" width="11.44140625" style="70"/>
    <col min="2" max="2" width="21.33203125" style="70" customWidth="1"/>
    <col min="3" max="3" width="13.88671875" style="70" customWidth="1"/>
    <col min="4" max="4" width="12.6640625" style="70" customWidth="1"/>
    <col min="5" max="5" width="14" style="70" customWidth="1"/>
    <col min="6" max="6" width="22.88671875" style="70" customWidth="1"/>
    <col min="7" max="7" width="19.5546875" style="70" customWidth="1"/>
    <col min="8" max="8" width="13.6640625" style="70" customWidth="1"/>
    <col min="9" max="9" width="13.5546875" style="70" customWidth="1"/>
    <col min="10" max="10" width="11.88671875" style="70" customWidth="1"/>
    <col min="11" max="16384" width="11.44140625" style="70"/>
  </cols>
  <sheetData>
    <row r="2" spans="2:9">
      <c r="B2" s="704" t="str">
        <f>IF(AND('Input CMHC MLI Select'!D24&lt;=0,'Input CMHC MLI Select'!D37&lt;=0,'Input CMHC MLI Select'!D48&lt;=0),"Proforma CMHC Standard","Proforma - MLI Select "&amp;'Input CMHC MLI Select'!E52&amp;" pts ("&amp;_xlfn.TEXTJOIN(", ",TRUE,IF('Input CMHC MLI Select'!D24&gt;0,"Affordability",""),IF('Input CMHC MLI Select'!D37&gt;0,"Accessibility",""),IF('Input CMHC MLI Select'!D48&gt;0,"Energy efficiency",""))&amp;")")</f>
        <v>Proforma - MLI Select 50 pts (Energy efficiency)</v>
      </c>
      <c r="C2" s="705"/>
      <c r="D2" s="705"/>
      <c r="E2" s="705"/>
      <c r="F2" s="705"/>
      <c r="G2" s="705"/>
      <c r="H2" s="705"/>
      <c r="I2" s="706"/>
    </row>
    <row r="3" spans="2:9">
      <c r="B3" s="707" t="s">
        <v>750</v>
      </c>
      <c r="C3" s="708"/>
      <c r="D3" s="708"/>
      <c r="E3" s="708"/>
      <c r="F3" s="708"/>
      <c r="G3" s="708"/>
      <c r="H3" s="708"/>
      <c r="I3" s="709"/>
    </row>
    <row r="4" spans="2:9">
      <c r="B4" s="580" t="s">
        <v>123</v>
      </c>
      <c r="C4" s="581" t="s">
        <v>124</v>
      </c>
      <c r="D4" s="581"/>
      <c r="E4" s="581" t="s">
        <v>125</v>
      </c>
      <c r="F4" s="581" t="s">
        <v>126</v>
      </c>
      <c r="G4" s="582" t="s">
        <v>127</v>
      </c>
      <c r="H4" s="581" t="s">
        <v>128</v>
      </c>
      <c r="I4" s="599" t="s">
        <v>129</v>
      </c>
    </row>
    <row r="5" spans="2:9">
      <c r="B5" s="74" t="s">
        <v>130</v>
      </c>
      <c r="C5" s="75"/>
      <c r="D5" s="75"/>
      <c r="E5" s="75"/>
      <c r="F5" s="75"/>
      <c r="G5" s="76"/>
      <c r="H5" s="75"/>
      <c r="I5" s="182"/>
    </row>
    <row r="6" spans="2:9">
      <c r="B6" s="77" t="str">
        <f>'Rent Roll'!C9</f>
        <v>Bachelor</v>
      </c>
      <c r="C6" s="607">
        <f>'Rent Roll'!D9</f>
        <v>0</v>
      </c>
      <c r="D6" s="607" t="s">
        <v>131</v>
      </c>
      <c r="E6" s="82">
        <f>'Rent Roll'!H9</f>
        <v>0</v>
      </c>
      <c r="F6" s="608">
        <f>'Rent Roll'!F9</f>
        <v>0</v>
      </c>
      <c r="G6" s="81" t="str">
        <f>IFERROR(E6/F6,"-")</f>
        <v>-</v>
      </c>
      <c r="H6" s="82">
        <f>E6*C6</f>
        <v>0</v>
      </c>
      <c r="I6" s="183">
        <f>C6*E6*12</f>
        <v>0</v>
      </c>
    </row>
    <row r="7" spans="2:9">
      <c r="B7" s="77" t="str">
        <f>'Rent Roll'!C10</f>
        <v>1 Bedroom</v>
      </c>
      <c r="C7" s="607">
        <f>'Rent Roll'!D10</f>
        <v>84</v>
      </c>
      <c r="D7" s="607" t="s">
        <v>131</v>
      </c>
      <c r="E7" s="82">
        <f>'Rent Roll'!H10</f>
        <v>2490</v>
      </c>
      <c r="F7" s="608">
        <f>'Rent Roll'!F10</f>
        <v>624</v>
      </c>
      <c r="G7" s="81">
        <f t="shared" ref="G7:G13" si="0">IFERROR(E7/F7,"-")</f>
        <v>3.9903846153846154</v>
      </c>
      <c r="H7" s="82">
        <f t="shared" ref="H7:H13" si="1">E7*C7</f>
        <v>209160</v>
      </c>
      <c r="I7" s="183">
        <f t="shared" ref="I7:I13" si="2">C7*E7*12</f>
        <v>2509920</v>
      </c>
    </row>
    <row r="8" spans="2:9">
      <c r="B8" s="77" t="str">
        <f>'Rent Roll'!C11</f>
        <v>2 Bedroom</v>
      </c>
      <c r="C8" s="607">
        <f>'Rent Roll'!D11</f>
        <v>68</v>
      </c>
      <c r="D8" s="607"/>
      <c r="E8" s="82">
        <f>'Rent Roll'!H11</f>
        <v>3155</v>
      </c>
      <c r="F8" s="608">
        <f>'Rent Roll'!F11</f>
        <v>855</v>
      </c>
      <c r="G8" s="81">
        <f t="shared" si="0"/>
        <v>3.6900584795321638</v>
      </c>
      <c r="H8" s="82">
        <f t="shared" si="1"/>
        <v>214540</v>
      </c>
      <c r="I8" s="183">
        <f t="shared" si="2"/>
        <v>2574480</v>
      </c>
    </row>
    <row r="9" spans="2:9">
      <c r="B9" s="77" t="str">
        <f>'Rent Roll'!C12</f>
        <v>3 Bedroom</v>
      </c>
      <c r="C9" s="607">
        <f>'Rent Roll'!D12</f>
        <v>18</v>
      </c>
      <c r="D9" s="607"/>
      <c r="E9" s="82">
        <f>'Rent Roll'!H12</f>
        <v>3675</v>
      </c>
      <c r="F9" s="608">
        <f>'Rent Roll'!F12</f>
        <v>1015</v>
      </c>
      <c r="G9" s="81">
        <f t="shared" si="0"/>
        <v>3.6206896551724137</v>
      </c>
      <c r="H9" s="82">
        <f t="shared" si="1"/>
        <v>66150</v>
      </c>
      <c r="I9" s="183">
        <f t="shared" si="2"/>
        <v>793800</v>
      </c>
    </row>
    <row r="10" spans="2:9">
      <c r="B10" s="77" t="str">
        <f>'Rent Roll'!C13</f>
        <v>4 Bedroom +</v>
      </c>
      <c r="C10" s="607">
        <f>'Rent Roll'!D13</f>
        <v>0</v>
      </c>
      <c r="D10" s="607"/>
      <c r="E10" s="82">
        <f>'Rent Roll'!H13</f>
        <v>0</v>
      </c>
      <c r="F10" s="608">
        <f>'Rent Roll'!F13</f>
        <v>0</v>
      </c>
      <c r="G10" s="81" t="str">
        <f t="shared" si="0"/>
        <v>-</v>
      </c>
      <c r="H10" s="82">
        <f t="shared" si="1"/>
        <v>0</v>
      </c>
      <c r="I10" s="183">
        <f t="shared" si="2"/>
        <v>0</v>
      </c>
    </row>
    <row r="11" spans="2:9">
      <c r="B11" s="84" t="s">
        <v>132</v>
      </c>
      <c r="C11" s="607"/>
      <c r="D11" s="609"/>
      <c r="E11" s="82"/>
      <c r="F11" s="608"/>
      <c r="G11" s="81"/>
      <c r="H11" s="82"/>
      <c r="I11" s="183"/>
    </row>
    <row r="12" spans="2:9">
      <c r="B12" s="77" t="str">
        <f>'Rent Roll'!C15</f>
        <v>2 Bedrooms (Affordable)</v>
      </c>
      <c r="C12" s="607">
        <f>'Rent Roll'!D15</f>
        <v>0</v>
      </c>
      <c r="D12" s="607"/>
      <c r="E12" s="82">
        <f>'Rent Roll'!H15</f>
        <v>0</v>
      </c>
      <c r="F12" s="608">
        <f>'Rent Roll'!F15</f>
        <v>0</v>
      </c>
      <c r="G12" s="81" t="str">
        <f t="shared" si="0"/>
        <v>-</v>
      </c>
      <c r="H12" s="82">
        <f t="shared" si="1"/>
        <v>0</v>
      </c>
      <c r="I12" s="183">
        <f t="shared" si="2"/>
        <v>0</v>
      </c>
    </row>
    <row r="13" spans="2:9">
      <c r="B13" s="77" t="str">
        <f>'Rent Roll'!C16</f>
        <v>1 Bedroom (Affordable)</v>
      </c>
      <c r="C13" s="607">
        <f>'Rent Roll'!D16</f>
        <v>0</v>
      </c>
      <c r="D13" s="607"/>
      <c r="E13" s="82">
        <f>'Rent Roll'!H16</f>
        <v>0</v>
      </c>
      <c r="F13" s="608">
        <f>'Rent Roll'!F16</f>
        <v>0</v>
      </c>
      <c r="G13" s="81" t="str">
        <f t="shared" si="0"/>
        <v>-</v>
      </c>
      <c r="H13" s="82">
        <f t="shared" si="1"/>
        <v>0</v>
      </c>
      <c r="I13" s="183">
        <f t="shared" si="2"/>
        <v>0</v>
      </c>
    </row>
    <row r="14" spans="2:9">
      <c r="B14" s="91" t="s">
        <v>106</v>
      </c>
      <c r="C14" s="92">
        <f>SUM(C6:C13)</f>
        <v>170</v>
      </c>
      <c r="D14" s="93"/>
      <c r="E14" s="94">
        <f>SUMPRODUCT(C6:C13,E6:E13)</f>
        <v>489850</v>
      </c>
      <c r="F14" s="98">
        <f>SUMPRODUCT(C6:C13,F6:F13)</f>
        <v>128826</v>
      </c>
      <c r="G14" s="96"/>
      <c r="H14" s="97">
        <f>SUM(H6:H13)</f>
        <v>489850</v>
      </c>
      <c r="I14" s="185">
        <f>SUM(I6:I13)</f>
        <v>5878200</v>
      </c>
    </row>
    <row r="15" spans="2:9">
      <c r="B15" s="91" t="s">
        <v>133</v>
      </c>
      <c r="C15" s="93"/>
      <c r="D15" s="93"/>
      <c r="E15" s="94">
        <f>E14/C14</f>
        <v>2881.4705882352941</v>
      </c>
      <c r="F15" s="98">
        <f>F14/C14</f>
        <v>757.8</v>
      </c>
      <c r="G15" s="99">
        <f>E15/F15</f>
        <v>3.8024156614348037</v>
      </c>
      <c r="H15" s="100"/>
      <c r="I15" s="186"/>
    </row>
    <row r="16" spans="2:9">
      <c r="B16" s="77"/>
      <c r="C16" s="78"/>
      <c r="D16" s="78"/>
      <c r="E16" s="89"/>
      <c r="F16" s="101"/>
      <c r="G16" s="81"/>
      <c r="H16" s="102"/>
      <c r="I16" s="183"/>
    </row>
    <row r="17" spans="2:11">
      <c r="B17" s="103" t="s">
        <v>134</v>
      </c>
      <c r="C17" s="78"/>
      <c r="D17" s="78"/>
      <c r="E17" s="104" t="s">
        <v>135</v>
      </c>
      <c r="F17" s="610" t="s">
        <v>136</v>
      </c>
      <c r="H17" s="104" t="s">
        <v>128</v>
      </c>
      <c r="I17" s="183"/>
    </row>
    <row r="18" spans="2:11">
      <c r="B18" s="77" t="s">
        <v>137</v>
      </c>
      <c r="C18" s="85"/>
      <c r="D18" s="85"/>
      <c r="E18" s="611">
        <v>200</v>
      </c>
      <c r="F18" s="86">
        <v>162</v>
      </c>
      <c r="G18" s="588" t="s">
        <v>137</v>
      </c>
      <c r="H18" s="82">
        <f>E18*F18</f>
        <v>32400</v>
      </c>
      <c r="I18" s="183">
        <f>H18*12</f>
        <v>388800</v>
      </c>
    </row>
    <row r="19" spans="2:11">
      <c r="B19" s="77" t="s">
        <v>138</v>
      </c>
      <c r="C19" s="85"/>
      <c r="D19" s="85"/>
      <c r="E19" s="611">
        <v>0</v>
      </c>
      <c r="F19" s="86">
        <v>30</v>
      </c>
      <c r="G19" s="588" t="s">
        <v>138</v>
      </c>
      <c r="H19" s="82">
        <f t="shared" ref="H19:H22" si="3">E19*F19</f>
        <v>0</v>
      </c>
      <c r="I19" s="183">
        <f t="shared" ref="I19:I22" si="4">H19*12</f>
        <v>0</v>
      </c>
    </row>
    <row r="20" spans="2:11">
      <c r="B20" s="77" t="s">
        <v>139</v>
      </c>
      <c r="C20" s="85"/>
      <c r="D20" s="85"/>
      <c r="E20" s="611">
        <v>40</v>
      </c>
      <c r="F20" s="86">
        <v>100</v>
      </c>
      <c r="G20" s="588" t="s">
        <v>139</v>
      </c>
      <c r="H20" s="82">
        <f t="shared" si="3"/>
        <v>4000</v>
      </c>
      <c r="I20" s="183">
        <f t="shared" si="4"/>
        <v>48000</v>
      </c>
    </row>
    <row r="21" spans="2:11">
      <c r="B21" s="77" t="s">
        <v>753</v>
      </c>
      <c r="C21" s="85"/>
      <c r="D21" s="85"/>
      <c r="E21" s="611">
        <v>20</v>
      </c>
      <c r="F21" s="86">
        <v>170</v>
      </c>
      <c r="G21" s="588" t="s">
        <v>140</v>
      </c>
      <c r="H21" s="82">
        <f t="shared" si="3"/>
        <v>3400</v>
      </c>
      <c r="I21" s="183">
        <f t="shared" si="4"/>
        <v>40800</v>
      </c>
    </row>
    <row r="22" spans="2:11">
      <c r="B22" s="77" t="s">
        <v>141</v>
      </c>
      <c r="C22" s="85"/>
      <c r="D22" s="85"/>
      <c r="E22" s="611">
        <v>40</v>
      </c>
      <c r="F22" s="701">
        <f>4370/12</f>
        <v>364.16666666666669</v>
      </c>
      <c r="G22" s="588" t="s">
        <v>141</v>
      </c>
      <c r="H22" s="82">
        <f t="shared" si="3"/>
        <v>14566.666666666668</v>
      </c>
      <c r="I22" s="183">
        <f t="shared" si="4"/>
        <v>174800</v>
      </c>
    </row>
    <row r="23" spans="2:11">
      <c r="B23" s="77"/>
      <c r="C23" s="78"/>
      <c r="D23" s="78"/>
      <c r="E23" s="89"/>
      <c r="F23" s="83"/>
      <c r="G23" s="81"/>
      <c r="H23" s="82"/>
      <c r="I23" s="183"/>
    </row>
    <row r="24" spans="2:11">
      <c r="B24" s="106" t="s">
        <v>142</v>
      </c>
      <c r="C24" s="78"/>
      <c r="D24" s="78"/>
      <c r="E24" s="89"/>
      <c r="F24" s="83"/>
      <c r="G24" s="81"/>
      <c r="H24" s="102"/>
      <c r="I24" s="187">
        <f>SUM(I18:I23)</f>
        <v>652400</v>
      </c>
    </row>
    <row r="25" spans="2:11">
      <c r="B25" s="106"/>
      <c r="C25" s="78"/>
      <c r="D25" s="78"/>
      <c r="E25" s="89"/>
      <c r="F25" s="83"/>
      <c r="G25" s="81"/>
      <c r="H25" s="102"/>
      <c r="I25" s="187"/>
    </row>
    <row r="26" spans="2:11">
      <c r="B26" s="107" t="s">
        <v>143</v>
      </c>
      <c r="C26" s="108"/>
      <c r="D26" s="108"/>
      <c r="E26" s="109"/>
      <c r="F26" s="110"/>
      <c r="G26" s="111"/>
      <c r="H26" s="112"/>
      <c r="I26" s="188">
        <f>I14+I24</f>
        <v>6530600</v>
      </c>
    </row>
    <row r="27" spans="2:11">
      <c r="B27" s="106"/>
      <c r="C27" s="78"/>
      <c r="D27" s="78"/>
      <c r="E27" s="89"/>
      <c r="F27" s="83"/>
      <c r="G27" s="81"/>
      <c r="H27" s="102"/>
      <c r="I27" s="187"/>
    </row>
    <row r="28" spans="2:11">
      <c r="B28" s="589" t="s">
        <v>144</v>
      </c>
      <c r="C28" s="78"/>
      <c r="D28" s="78"/>
      <c r="E28" s="590">
        <v>0.03</v>
      </c>
      <c r="F28" s="116" t="s">
        <v>145</v>
      </c>
      <c r="G28" s="81"/>
      <c r="H28" s="102"/>
      <c r="I28" s="189">
        <f>-E28*(I26-I22)-K28*I22</f>
        <v>-197666</v>
      </c>
      <c r="J28" s="70" t="s">
        <v>752</v>
      </c>
      <c r="K28" s="606">
        <v>0.04</v>
      </c>
    </row>
    <row r="29" spans="2:11">
      <c r="B29" s="591" t="s">
        <v>748</v>
      </c>
      <c r="C29" s="78"/>
      <c r="D29" s="78"/>
      <c r="E29" s="612">
        <v>3.2000000000000001E-2</v>
      </c>
      <c r="F29" s="83"/>
      <c r="G29" s="81"/>
      <c r="H29" s="102"/>
      <c r="I29" s="187"/>
    </row>
    <row r="30" spans="2:11">
      <c r="B30" s="591" t="s">
        <v>749</v>
      </c>
      <c r="C30" s="78"/>
      <c r="D30" s="78"/>
      <c r="E30" s="612">
        <f>(0.7%+0.5%+2.1%+3.2%)/4</f>
        <v>1.6250000000000001E-2</v>
      </c>
      <c r="F30" s="83"/>
      <c r="G30" s="81"/>
      <c r="H30" s="102"/>
      <c r="I30" s="187"/>
    </row>
    <row r="31" spans="2:11">
      <c r="B31" s="591" t="s">
        <v>146</v>
      </c>
      <c r="C31" s="78"/>
      <c r="D31" s="78"/>
      <c r="E31" s="612">
        <v>0.03</v>
      </c>
      <c r="F31" s="83"/>
      <c r="G31" s="81"/>
      <c r="H31" s="102"/>
      <c r="I31" s="187"/>
    </row>
    <row r="32" spans="2:11">
      <c r="B32" s="119" t="s">
        <v>147</v>
      </c>
      <c r="C32" s="120"/>
      <c r="D32" s="120"/>
      <c r="E32" s="120"/>
      <c r="F32" s="121"/>
      <c r="G32" s="121"/>
      <c r="H32" s="121"/>
      <c r="I32" s="600">
        <f>I26+I28</f>
        <v>6332934</v>
      </c>
    </row>
    <row r="33" spans="2:9">
      <c r="B33" s="122"/>
      <c r="C33" s="123"/>
      <c r="D33" s="123"/>
      <c r="E33" s="123"/>
      <c r="F33" s="124"/>
      <c r="G33" s="124"/>
      <c r="H33" s="124"/>
      <c r="I33" s="190"/>
    </row>
    <row r="34" spans="2:9">
      <c r="B34" s="125" t="s">
        <v>148</v>
      </c>
      <c r="C34" s="126"/>
      <c r="D34" s="126"/>
      <c r="E34" s="126"/>
      <c r="F34" s="127"/>
      <c r="G34" s="127"/>
      <c r="H34" s="127"/>
      <c r="I34" s="191"/>
    </row>
    <row r="35" spans="2:9">
      <c r="B35" s="125" t="s">
        <v>149</v>
      </c>
      <c r="C35" s="127"/>
      <c r="D35" s="127"/>
      <c r="E35" s="128" t="s">
        <v>150</v>
      </c>
      <c r="F35" s="128" t="s">
        <v>63</v>
      </c>
      <c r="G35" s="128" t="s">
        <v>64</v>
      </c>
      <c r="H35" s="127"/>
      <c r="I35" s="191"/>
    </row>
    <row r="36" spans="2:9">
      <c r="B36" s="129" t="s">
        <v>151</v>
      </c>
      <c r="C36" s="130"/>
      <c r="D36" s="130"/>
      <c r="E36" s="592" t="s">
        <v>146</v>
      </c>
      <c r="F36" s="132">
        <f>IFERROR(I36/I32,"-")</f>
        <v>9.1091585669454314E-2</v>
      </c>
      <c r="G36" s="133">
        <f>IFERROR(I36/C14,"-")</f>
        <v>3393.3941176470589</v>
      </c>
      <c r="H36" s="130"/>
      <c r="I36" s="601">
        <v>576877</v>
      </c>
    </row>
    <row r="37" spans="2:9">
      <c r="B37" s="129" t="s">
        <v>152</v>
      </c>
      <c r="C37" s="127"/>
      <c r="D37" s="127"/>
      <c r="E37" s="592" t="s">
        <v>146</v>
      </c>
      <c r="F37" s="132">
        <f>IFERROR(I37/I32,"-")</f>
        <v>1.2079709025863842E-2</v>
      </c>
      <c r="G37" s="133">
        <f>IFERROR(I37/C14,"-")</f>
        <v>450</v>
      </c>
      <c r="H37" s="134"/>
      <c r="I37" s="601">
        <v>76500</v>
      </c>
    </row>
    <row r="38" spans="2:9">
      <c r="B38" s="129" t="s">
        <v>153</v>
      </c>
      <c r="C38" s="127"/>
      <c r="D38" s="127"/>
      <c r="E38" s="592" t="s">
        <v>754</v>
      </c>
      <c r="F38" s="132">
        <f>IFERROR(I38/I32,"-")</f>
        <v>3.0333491553835867E-2</v>
      </c>
      <c r="G38" s="133">
        <f>IFERROR(I38/C14,"-")</f>
        <v>1130</v>
      </c>
      <c r="H38" s="134"/>
      <c r="I38" s="601">
        <v>192100</v>
      </c>
    </row>
    <row r="39" spans="2:9">
      <c r="B39" s="129" t="s">
        <v>65</v>
      </c>
      <c r="C39" s="127"/>
      <c r="D39" s="127"/>
      <c r="E39" s="142" t="s">
        <v>154</v>
      </c>
      <c r="F39" s="593">
        <f>'Input CMHC MLI Select'!D78</f>
        <v>4.2500000000000003E-2</v>
      </c>
      <c r="G39" s="594">
        <f>IFERROR(I39/+C56,"-")</f>
        <v>1583.2335</v>
      </c>
      <c r="H39" s="134"/>
      <c r="I39" s="602">
        <f>F39*I32</f>
        <v>269149.69500000001</v>
      </c>
    </row>
    <row r="40" spans="2:9">
      <c r="B40" s="129" t="s">
        <v>66</v>
      </c>
      <c r="C40" s="127"/>
      <c r="D40" s="127"/>
      <c r="E40" s="142" t="s">
        <v>154</v>
      </c>
      <c r="F40" s="593">
        <f>IFERROR(I40/I32,"-")</f>
        <v>2.2280352203259975E-2</v>
      </c>
      <c r="G40" s="594">
        <f>'Input CMHC MLI Select'!E79</f>
        <v>830</v>
      </c>
      <c r="H40" s="134"/>
      <c r="I40" s="602">
        <f>G40*C14</f>
        <v>141100</v>
      </c>
    </row>
    <row r="41" spans="2:9">
      <c r="B41" s="129" t="s">
        <v>67</v>
      </c>
      <c r="C41" s="130"/>
      <c r="D41" s="130"/>
      <c r="E41" s="142" t="s">
        <v>154</v>
      </c>
      <c r="F41" s="593">
        <f>IFERROR(I41/I32,"-")</f>
        <v>1.4898307798565404E-2</v>
      </c>
      <c r="G41" s="594">
        <f>'Input CMHC MLI Select'!E80</f>
        <v>555</v>
      </c>
      <c r="H41" s="130"/>
      <c r="I41" s="602">
        <f>G41*C14</f>
        <v>94350</v>
      </c>
    </row>
    <row r="42" spans="2:9">
      <c r="B42" s="129" t="s">
        <v>68</v>
      </c>
      <c r="C42" s="130"/>
      <c r="D42" s="130"/>
      <c r="E42" s="142" t="s">
        <v>154</v>
      </c>
      <c r="F42" s="593">
        <f>'Input CMHC MLI Select'!D81</f>
        <v>0.01</v>
      </c>
      <c r="G42" s="594">
        <f>IFERROR(I42/C56,"-")</f>
        <v>372.52552941176475</v>
      </c>
      <c r="H42" s="134"/>
      <c r="I42" s="602">
        <f>F42*I32</f>
        <v>63329.340000000004</v>
      </c>
    </row>
    <row r="43" spans="2:9">
      <c r="B43" s="613" t="s">
        <v>69</v>
      </c>
      <c r="C43" s="130"/>
      <c r="D43" s="130"/>
      <c r="E43" s="595" t="s">
        <v>154</v>
      </c>
      <c r="F43" s="593">
        <f>IFERROR(I43/+I32,"-")</f>
        <v>8.0531393505758938E-3</v>
      </c>
      <c r="G43" s="592">
        <v>300</v>
      </c>
      <c r="H43" s="614"/>
      <c r="I43" s="603">
        <f>G43*C14</f>
        <v>51000</v>
      </c>
    </row>
    <row r="44" spans="2:9">
      <c r="B44" s="613" t="s">
        <v>70</v>
      </c>
      <c r="C44" s="130"/>
      <c r="D44" s="130"/>
      <c r="E44" s="595" t="s">
        <v>154</v>
      </c>
      <c r="F44" s="132">
        <f>IFERROR(I44/I32,"-")</f>
        <v>0</v>
      </c>
      <c r="G44" s="592">
        <v>0</v>
      </c>
      <c r="H44" s="615"/>
      <c r="I44" s="601">
        <f>G44*C14</f>
        <v>0</v>
      </c>
    </row>
    <row r="45" spans="2:9">
      <c r="B45" s="135" t="s">
        <v>71</v>
      </c>
      <c r="C45" s="136"/>
      <c r="D45" s="136"/>
      <c r="E45" s="137"/>
      <c r="F45" s="138">
        <f>SUM(F36:F44)</f>
        <v>0.2312365856015553</v>
      </c>
      <c r="G45" s="139">
        <v>6863</v>
      </c>
      <c r="H45" s="140"/>
      <c r="I45" s="193">
        <f>SUM(I36:I44)</f>
        <v>1464406.0350000001</v>
      </c>
    </row>
    <row r="46" spans="2:9">
      <c r="B46" s="141"/>
      <c r="C46" s="127"/>
      <c r="D46" s="127"/>
      <c r="E46" s="127"/>
      <c r="F46" s="142"/>
      <c r="G46" s="127"/>
      <c r="H46" s="127"/>
      <c r="I46" s="191"/>
    </row>
    <row r="47" spans="2:9">
      <c r="B47" s="143" t="s">
        <v>155</v>
      </c>
      <c r="C47" s="144"/>
      <c r="D47" s="144"/>
      <c r="E47" s="144"/>
      <c r="F47" s="144"/>
      <c r="G47" s="144"/>
      <c r="H47" s="144"/>
      <c r="I47" s="194">
        <f>I32-I45</f>
        <v>4868527.9649999999</v>
      </c>
    </row>
    <row r="48" spans="2:9">
      <c r="B48" s="704" t="s">
        <v>156</v>
      </c>
      <c r="C48" s="705"/>
      <c r="D48" s="705"/>
      <c r="E48" s="705"/>
      <c r="F48" s="705"/>
      <c r="G48" s="705"/>
      <c r="H48" s="705"/>
      <c r="I48" s="706"/>
    </row>
    <row r="49" spans="2:9">
      <c r="B49" s="145"/>
      <c r="C49" s="146" t="s">
        <v>157</v>
      </c>
      <c r="D49" s="146" t="s">
        <v>158</v>
      </c>
      <c r="E49" s="146" t="s">
        <v>159</v>
      </c>
      <c r="F49" s="146" t="s">
        <v>160</v>
      </c>
      <c r="G49" s="146" t="s">
        <v>42</v>
      </c>
      <c r="H49" s="146" t="s">
        <v>161</v>
      </c>
      <c r="I49" s="195" t="s">
        <v>162</v>
      </c>
    </row>
    <row r="50" spans="2:9">
      <c r="B50" s="129" t="s">
        <v>163</v>
      </c>
      <c r="C50" s="593">
        <f>E50/G79</f>
        <v>0.96735242488178041</v>
      </c>
      <c r="D50" s="593">
        <f>E50/C61</f>
        <v>0.75998331047894063</v>
      </c>
      <c r="E50" s="592">
        <v>92500000</v>
      </c>
      <c r="F50" s="148">
        <v>3.6999999999999998E-2</v>
      </c>
      <c r="G50" s="149">
        <v>40</v>
      </c>
      <c r="H50" s="700">
        <f>I47/I50</f>
        <v>1.1026864498003595</v>
      </c>
      <c r="I50" s="196">
        <f>IF(G50="IO",F50*E50,PMT((F50/2+1)^(1/6)-1,G50*12,-(E50))*12)</f>
        <v>4415151.7105170228</v>
      </c>
    </row>
    <row r="51" spans="2:9">
      <c r="B51" s="125" t="s">
        <v>164</v>
      </c>
      <c r="C51" s="127"/>
      <c r="D51" s="127"/>
      <c r="E51" s="127"/>
      <c r="F51" s="127"/>
      <c r="G51" s="127"/>
      <c r="H51" s="127"/>
      <c r="I51" s="616">
        <f>I47-I50</f>
        <v>453376.25448297709</v>
      </c>
    </row>
    <row r="52" spans="2:9">
      <c r="B52" s="704" t="s">
        <v>165</v>
      </c>
      <c r="C52" s="705"/>
      <c r="D52" s="705"/>
      <c r="E52" s="705"/>
      <c r="F52" s="705"/>
      <c r="G52" s="705"/>
      <c r="H52" s="705"/>
      <c r="I52" s="706"/>
    </row>
    <row r="53" spans="2:9">
      <c r="B53" s="710" t="s">
        <v>156</v>
      </c>
      <c r="C53" s="711"/>
      <c r="D53" s="151"/>
      <c r="E53" s="151"/>
      <c r="F53" s="712" t="s">
        <v>166</v>
      </c>
      <c r="G53" s="712"/>
      <c r="H53" s="712"/>
      <c r="I53" s="713"/>
    </row>
    <row r="54" spans="2:9">
      <c r="B54" s="152" t="s">
        <v>167</v>
      </c>
      <c r="C54" s="153">
        <f>F14</f>
        <v>128826</v>
      </c>
      <c r="D54" s="154"/>
      <c r="E54" s="127"/>
      <c r="F54" s="152" t="s">
        <v>168</v>
      </c>
      <c r="G54" s="155"/>
      <c r="H54" s="156"/>
      <c r="I54" s="198">
        <f>C71</f>
        <v>92500000</v>
      </c>
    </row>
    <row r="55" spans="2:9">
      <c r="B55" s="157" t="s">
        <v>169</v>
      </c>
      <c r="C55" s="153">
        <f>IFERROR(C54/C14,"-")</f>
        <v>757.8</v>
      </c>
      <c r="D55" s="158"/>
      <c r="E55" s="159"/>
      <c r="F55" s="157" t="s">
        <v>170</v>
      </c>
      <c r="G55" s="160"/>
      <c r="H55" s="161"/>
      <c r="I55" s="199">
        <f>C61</f>
        <v>121713199.125</v>
      </c>
    </row>
    <row r="56" spans="2:9">
      <c r="B56" s="157" t="s">
        <v>171</v>
      </c>
      <c r="C56" s="162">
        <f>C14</f>
        <v>170</v>
      </c>
      <c r="D56" s="158"/>
      <c r="E56" s="127"/>
      <c r="F56" s="157" t="s">
        <v>158</v>
      </c>
      <c r="G56" s="160"/>
      <c r="H56" s="161"/>
      <c r="I56" s="200">
        <f>D50</f>
        <v>0.75998331047894063</v>
      </c>
    </row>
    <row r="57" spans="2:9">
      <c r="B57" s="157" t="s">
        <v>172</v>
      </c>
      <c r="C57" s="163">
        <f>H14</f>
        <v>489850</v>
      </c>
      <c r="D57" s="158"/>
      <c r="E57" s="127"/>
      <c r="F57" s="157" t="s">
        <v>157</v>
      </c>
      <c r="G57" s="160"/>
      <c r="H57" s="164"/>
      <c r="I57" s="200">
        <f>C50</f>
        <v>0.96735242488178041</v>
      </c>
    </row>
    <row r="58" spans="2:9">
      <c r="B58" s="157" t="s">
        <v>155</v>
      </c>
      <c r="C58" s="163">
        <f>I47</f>
        <v>4868527.9649999999</v>
      </c>
      <c r="D58" s="158"/>
      <c r="E58" s="127"/>
      <c r="F58" s="157" t="s">
        <v>173</v>
      </c>
      <c r="G58" s="160"/>
      <c r="H58" s="164"/>
      <c r="I58" s="201">
        <f>IFERROR(I54/C54,"-")</f>
        <v>718.0227593808703</v>
      </c>
    </row>
    <row r="59" spans="2:9">
      <c r="B59" s="157" t="s">
        <v>174</v>
      </c>
      <c r="C59" s="163">
        <f>IFERROR(C58/C56,"-")</f>
        <v>28638.399794117646</v>
      </c>
      <c r="D59" s="158"/>
      <c r="E59" s="127"/>
      <c r="F59" s="165" t="s">
        <v>175</v>
      </c>
      <c r="G59" s="166"/>
      <c r="H59" s="167"/>
      <c r="I59" s="202">
        <f>IFERROR(I54/C56,"-")</f>
        <v>544117.6470588235</v>
      </c>
    </row>
    <row r="60" spans="2:9">
      <c r="B60" s="157" t="s">
        <v>176</v>
      </c>
      <c r="C60" s="168">
        <v>0.04</v>
      </c>
      <c r="D60" s="158"/>
      <c r="E60" s="130"/>
      <c r="F60" s="702" t="s">
        <v>177</v>
      </c>
      <c r="G60" s="702"/>
      <c r="H60" s="702"/>
      <c r="I60" s="703"/>
    </row>
    <row r="61" spans="2:9">
      <c r="B61" s="157" t="s">
        <v>178</v>
      </c>
      <c r="C61" s="163">
        <f>C58/C60</f>
        <v>121713199.125</v>
      </c>
      <c r="D61" s="169"/>
      <c r="E61" s="130"/>
      <c r="F61" s="152" t="s">
        <v>179</v>
      </c>
      <c r="G61" s="170"/>
      <c r="H61" s="171"/>
      <c r="I61" s="203">
        <f>I54</f>
        <v>92500000</v>
      </c>
    </row>
    <row r="62" spans="2:9">
      <c r="B62" s="165" t="s">
        <v>180</v>
      </c>
      <c r="C62" s="172">
        <f>IFERROR(C61/C56,"-")</f>
        <v>715959.99485294113</v>
      </c>
      <c r="D62" s="158"/>
      <c r="E62" s="130"/>
      <c r="F62" s="157" t="s">
        <v>181</v>
      </c>
      <c r="G62" s="164"/>
      <c r="H62" s="173"/>
      <c r="I62" s="204">
        <f>MIN(IF(C56&lt;=100,'Input CMHC MLI Select'!C74*C56,100*'Input CMHC MLI Select'!C74+(C56-100)*100),IF('Input CMHC MLI Select'!C63="NEW CONSTRUCTION",55000,IF('Input CMHC MLI Select'!C63="PURCHASE - REFINANCE",50000,"")))</f>
        <v>55000</v>
      </c>
    </row>
    <row r="63" spans="2:9">
      <c r="B63" s="174"/>
      <c r="C63" s="158"/>
      <c r="D63" s="158"/>
      <c r="E63" s="130"/>
      <c r="F63" s="157" t="s">
        <v>182</v>
      </c>
      <c r="G63" s="164"/>
      <c r="H63" s="173"/>
      <c r="I63" s="604">
        <f>I61*'Input CMHC MLI Select'!C73</f>
        <v>4786875</v>
      </c>
    </row>
    <row r="64" spans="2:9">
      <c r="B64" s="174"/>
      <c r="C64" s="158"/>
      <c r="D64" s="158"/>
      <c r="E64" s="130"/>
      <c r="F64" s="157" t="s">
        <v>183</v>
      </c>
      <c r="G64" s="164"/>
      <c r="H64" s="173"/>
      <c r="I64" s="204">
        <f>SUM(I62:I63)</f>
        <v>4841875</v>
      </c>
    </row>
    <row r="65" spans="2:10">
      <c r="B65" s="174"/>
      <c r="C65" s="158"/>
      <c r="D65" s="158"/>
      <c r="E65" s="130"/>
      <c r="F65" s="165" t="s">
        <v>184</v>
      </c>
      <c r="G65" s="167"/>
      <c r="H65" s="175"/>
      <c r="I65" s="205">
        <f>I61+I64</f>
        <v>97341875</v>
      </c>
      <c r="J65" s="206"/>
    </row>
    <row r="66" spans="2:10">
      <c r="B66" s="176"/>
      <c r="C66" s="177"/>
      <c r="D66" s="177"/>
      <c r="E66" s="178"/>
      <c r="F66" s="179"/>
      <c r="G66" s="180"/>
      <c r="H66" s="179"/>
      <c r="I66" s="207"/>
    </row>
    <row r="67" spans="2:10">
      <c r="B67" s="208"/>
      <c r="C67" s="158"/>
      <c r="D67" s="158"/>
      <c r="E67" s="130"/>
      <c r="F67" s="127"/>
      <c r="G67" s="208"/>
      <c r="H67" s="127"/>
      <c r="I67" s="127"/>
    </row>
    <row r="68" spans="2:10">
      <c r="B68" s="208"/>
      <c r="C68" s="158"/>
      <c r="D68" s="158"/>
      <c r="E68" s="130"/>
      <c r="F68" s="127"/>
      <c r="G68" s="208"/>
      <c r="H68" s="127"/>
      <c r="I68" s="127"/>
    </row>
    <row r="69" spans="2:10">
      <c r="B69" s="704" t="s">
        <v>185</v>
      </c>
      <c r="C69" s="705"/>
      <c r="D69" s="705"/>
      <c r="E69" s="705"/>
      <c r="F69" s="705"/>
      <c r="G69" s="705"/>
      <c r="H69" s="705"/>
      <c r="I69" s="706"/>
    </row>
    <row r="70" spans="2:10">
      <c r="B70" s="209" t="s">
        <v>186</v>
      </c>
      <c r="C70" s="210" t="s">
        <v>187</v>
      </c>
      <c r="D70" s="211" t="s">
        <v>188</v>
      </c>
      <c r="E70" s="212" t="s">
        <v>189</v>
      </c>
      <c r="F70" s="210"/>
      <c r="G70" s="213" t="s">
        <v>187</v>
      </c>
      <c r="H70" s="210" t="s">
        <v>190</v>
      </c>
      <c r="I70" s="211" t="s">
        <v>188</v>
      </c>
    </row>
    <row r="71" spans="2:10">
      <c r="B71" s="174" t="s">
        <v>163</v>
      </c>
      <c r="C71" s="214">
        <f>E50</f>
        <v>92500000</v>
      </c>
      <c r="D71" s="215">
        <f>C71/$C$79</f>
        <v>0.96735242488178041</v>
      </c>
      <c r="E71" s="141" t="str">
        <f>Budget!F77</f>
        <v>Land</v>
      </c>
      <c r="F71" s="127"/>
      <c r="G71" s="216">
        <f>Budget!H77</f>
        <v>10902956</v>
      </c>
      <c r="H71" s="617">
        <f>IFERROR(G71/$C$56,"-")</f>
        <v>64135.035294117646</v>
      </c>
      <c r="I71" s="230">
        <f>G71/$G$79</f>
        <v>0.11402163162139844</v>
      </c>
    </row>
    <row r="72" spans="2:10">
      <c r="B72" s="174" t="s">
        <v>191</v>
      </c>
      <c r="C72" s="218">
        <f>C79-C71</f>
        <v>3121820.5699999928</v>
      </c>
      <c r="D72" s="215">
        <f>C72/$C$79</f>
        <v>3.264757511821962E-2</v>
      </c>
      <c r="E72" s="141" t="str">
        <f>Budget!F78</f>
        <v>Hard Costs</v>
      </c>
      <c r="F72" s="127"/>
      <c r="G72" s="216">
        <f>Budget!H78</f>
        <v>65683716</v>
      </c>
      <c r="H72" s="617">
        <f t="shared" ref="H72:H79" si="5">IFERROR(G72/$C$56,"-")</f>
        <v>386374.8</v>
      </c>
      <c r="I72" s="230">
        <f t="shared" ref="I72:I79" si="6">G72/$G$79</f>
        <v>0.68691137240914801</v>
      </c>
    </row>
    <row r="73" spans="2:10">
      <c r="B73" s="174"/>
      <c r="C73" s="158"/>
      <c r="D73" s="219"/>
      <c r="E73" s="141" t="str">
        <f>Budget!F79</f>
        <v>Soft Costs</v>
      </c>
      <c r="F73" s="127"/>
      <c r="G73" s="216">
        <f>Budget!H79</f>
        <v>10816785</v>
      </c>
      <c r="H73" s="617">
        <f t="shared" si="5"/>
        <v>63628.147058823532</v>
      </c>
      <c r="I73" s="230">
        <f t="shared" si="6"/>
        <v>0.11312046701810669</v>
      </c>
    </row>
    <row r="74" spans="2:10">
      <c r="B74" s="174"/>
      <c r="C74" s="158"/>
      <c r="D74" s="219"/>
      <c r="E74" s="141" t="str">
        <f>Budget!F80</f>
        <v>Contingency</v>
      </c>
      <c r="F74" s="221"/>
      <c r="G74" s="216">
        <f>Budget!H80</f>
        <v>1854513.57</v>
      </c>
      <c r="H74" s="617">
        <f t="shared" si="5"/>
        <v>10908.903352941177</v>
      </c>
      <c r="I74" s="231">
        <f t="shared" si="6"/>
        <v>1.9394250799088297E-2</v>
      </c>
    </row>
    <row r="75" spans="2:10">
      <c r="B75" s="174"/>
      <c r="C75" s="158"/>
      <c r="D75" s="219"/>
      <c r="E75" s="141" t="str">
        <f>Budget!F81</f>
        <v>Interest Reserve</v>
      </c>
      <c r="F75" s="221"/>
      <c r="G75" s="216">
        <f>Budget!H81</f>
        <v>3300000</v>
      </c>
      <c r="H75" s="617">
        <f t="shared" si="5"/>
        <v>19411.764705882353</v>
      </c>
      <c r="I75" s="231">
        <f t="shared" si="6"/>
        <v>3.4510951374160811E-2</v>
      </c>
    </row>
    <row r="76" spans="2:10">
      <c r="B76" s="174"/>
      <c r="C76" s="158"/>
      <c r="D76" s="219"/>
      <c r="E76" s="141" t="str">
        <f>Budget!F82</f>
        <v>Financing Fees</v>
      </c>
      <c r="F76" s="221"/>
      <c r="G76" s="216">
        <f>Budget!H82</f>
        <v>1387500</v>
      </c>
      <c r="H76" s="617">
        <f t="shared" si="5"/>
        <v>8161.7647058823532</v>
      </c>
      <c r="I76" s="231">
        <f t="shared" si="6"/>
        <v>1.4510286373226705E-2</v>
      </c>
    </row>
    <row r="77" spans="2:10">
      <c r="B77" s="174"/>
      <c r="C77" s="158"/>
      <c r="D77" s="219"/>
      <c r="E77" s="141" t="str">
        <f>Budget!F83</f>
        <v>GST</v>
      </c>
      <c r="F77" s="221"/>
      <c r="G77" s="216">
        <f>Budget!H83</f>
        <v>0</v>
      </c>
      <c r="H77" s="618">
        <f t="shared" si="5"/>
        <v>0</v>
      </c>
      <c r="I77" s="231">
        <f t="shared" si="6"/>
        <v>0</v>
      </c>
    </row>
    <row r="78" spans="2:10">
      <c r="B78" s="174"/>
      <c r="C78" s="158"/>
      <c r="D78" s="219"/>
      <c r="E78" s="141" t="str">
        <f>Budget!F84</f>
        <v>Marketing</v>
      </c>
      <c r="F78" s="221"/>
      <c r="G78" s="216">
        <f>Budget!H84</f>
        <v>1676350</v>
      </c>
      <c r="H78" s="618">
        <f t="shared" si="5"/>
        <v>9860.8823529411766</v>
      </c>
      <c r="I78" s="231">
        <f t="shared" si="6"/>
        <v>1.7531040404871055E-2</v>
      </c>
    </row>
    <row r="79" spans="2:10">
      <c r="B79" s="224" t="s">
        <v>192</v>
      </c>
      <c r="C79" s="225">
        <f>G79</f>
        <v>95621820.569999993</v>
      </c>
      <c r="D79" s="226">
        <f>SUM(D71:D78)</f>
        <v>1</v>
      </c>
      <c r="E79" s="227" t="s">
        <v>193</v>
      </c>
      <c r="F79" s="228"/>
      <c r="G79" s="229">
        <f>SUM(G71:G78)</f>
        <v>95621820.569999993</v>
      </c>
      <c r="H79" s="225">
        <f t="shared" si="5"/>
        <v>562481.29747058824</v>
      </c>
      <c r="I79" s="226">
        <f t="shared" si="6"/>
        <v>1</v>
      </c>
    </row>
    <row r="82" spans="2:7">
      <c r="G82" s="605"/>
    </row>
    <row r="84" spans="2:7">
      <c r="B84" s="606"/>
    </row>
  </sheetData>
  <protectedRanges>
    <protectedRange sqref="B3 E18:F22 E28 B29:E31 E36:E38 I36:I38 E50:G50 C60" name="Proforma construction"/>
  </protectedRanges>
  <mergeCells count="8">
    <mergeCell ref="F60:I60"/>
    <mergeCell ref="B69:I69"/>
    <mergeCell ref="B2:I2"/>
    <mergeCell ref="B3:I3"/>
    <mergeCell ref="B48:I48"/>
    <mergeCell ref="B52:I52"/>
    <mergeCell ref="B53:C53"/>
    <mergeCell ref="F53:I53"/>
  </mergeCells>
  <pageMargins left="0.7" right="0.7" top="0.75" bottom="0.75" header="0.3" footer="0.3"/>
  <pageSetup paperSize="9" scale="62"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C1:J229"/>
  <sheetViews>
    <sheetView view="pageBreakPreview" zoomScale="154" zoomScaleNormal="153" workbookViewId="0">
      <selection activeCell="I10" sqref="I10"/>
    </sheetView>
  </sheetViews>
  <sheetFormatPr defaultColWidth="14.6640625" defaultRowHeight="10.199999999999999"/>
  <cols>
    <col min="1" max="2" width="2.6640625" style="549" customWidth="1"/>
    <col min="3" max="8" width="15.6640625" style="549" customWidth="1"/>
    <col min="9" max="9" width="15.6640625" style="550" customWidth="1"/>
    <col min="10" max="10" width="2.6640625" style="549" customWidth="1"/>
    <col min="11" max="16384" width="14.6640625" style="549"/>
  </cols>
  <sheetData>
    <row r="1" spans="3:9" ht="11.25" customHeight="1"/>
    <row r="2" spans="3:9" ht="11.25" customHeight="1"/>
    <row r="3" spans="3:9" ht="11.25" customHeight="1">
      <c r="C3" s="551"/>
    </row>
    <row r="4" spans="3:9" ht="11.25" customHeight="1">
      <c r="C4" s="552"/>
      <c r="D4" s="553"/>
      <c r="E4" s="553"/>
      <c r="F4" s="553"/>
      <c r="G4" s="553"/>
      <c r="H4" s="553"/>
    </row>
    <row r="5" spans="3:9" ht="11.25" customHeight="1">
      <c r="C5" s="554" t="s">
        <v>199</v>
      </c>
      <c r="D5" s="555"/>
      <c r="E5" s="555"/>
      <c r="F5" s="555"/>
      <c r="G5" s="555"/>
      <c r="H5" s="555"/>
      <c r="I5" s="574"/>
    </row>
    <row r="6" spans="3:9" ht="11.25" customHeight="1">
      <c r="C6" s="556"/>
      <c r="E6" s="550"/>
      <c r="F6" s="550"/>
      <c r="G6" s="550"/>
      <c r="H6" s="550"/>
      <c r="I6" s="549"/>
    </row>
    <row r="7" spans="3:9" ht="12">
      <c r="C7" s="557" t="s">
        <v>75</v>
      </c>
      <c r="D7" s="558" t="s">
        <v>200</v>
      </c>
      <c r="E7" s="558" t="s">
        <v>201</v>
      </c>
      <c r="F7" s="558" t="s">
        <v>202</v>
      </c>
      <c r="G7" s="557" t="s">
        <v>203</v>
      </c>
      <c r="H7" s="557" t="s">
        <v>125</v>
      </c>
      <c r="I7" s="557" t="s">
        <v>204</v>
      </c>
    </row>
    <row r="8" spans="3:9" ht="12">
      <c r="C8" s="559" t="s">
        <v>205</v>
      </c>
      <c r="D8" s="558"/>
      <c r="E8" s="558"/>
      <c r="F8" s="558"/>
      <c r="G8" s="557"/>
      <c r="H8" s="557"/>
      <c r="I8" s="557"/>
    </row>
    <row r="9" spans="3:9" ht="11.25" customHeight="1">
      <c r="C9" s="560" t="s">
        <v>116</v>
      </c>
      <c r="D9" s="561" cm="1">
        <f t="array" ref="D9">+SUMPRODUCT(($E$22:$E$191=$C9)*1)</f>
        <v>0</v>
      </c>
      <c r="E9" s="562" cm="1">
        <f t="array" ref="E9">+SUMPRODUCT(($E$22:$E$191=$C9)*1,$F$22:$F$191)</f>
        <v>0</v>
      </c>
      <c r="F9" s="562">
        <f>+IFERROR(E9/D9,0)</f>
        <v>0</v>
      </c>
      <c r="G9" s="563" cm="1">
        <f t="array" ref="G9">+SUMPRODUCT(($E$22:$E$191=$C9)*1,$G$22:$G$191)</f>
        <v>0</v>
      </c>
      <c r="H9" s="563">
        <f t="shared" ref="H9:H17" si="0">+IFERROR(G9/$D9,0)</f>
        <v>0</v>
      </c>
      <c r="I9" s="573">
        <f t="shared" ref="I9:I17" si="1">+IFERROR(G9/$E9,0)</f>
        <v>0</v>
      </c>
    </row>
    <row r="10" spans="3:9" ht="11.25" customHeight="1">
      <c r="C10" s="560" t="s">
        <v>206</v>
      </c>
      <c r="D10" s="561" cm="1">
        <f t="array" ref="D10">+SUMPRODUCT(($E$22:$E$191=$C10)*1)</f>
        <v>84</v>
      </c>
      <c r="E10" s="562" cm="1">
        <f t="array" ref="E10">+SUMPRODUCT(($E$22:$E$191=$C10)*1,$F$22:$F$191)</f>
        <v>52416</v>
      </c>
      <c r="F10" s="562">
        <f t="shared" ref="F10:F17" si="2">+IFERROR(E10/D10,0)</f>
        <v>624</v>
      </c>
      <c r="G10" s="563" cm="1">
        <f t="array" ref="G10">+SUMPRODUCT(($E$22:$E$191=$C10)*1,$G$22:$G$191)</f>
        <v>209160</v>
      </c>
      <c r="H10" s="563">
        <f t="shared" si="0"/>
        <v>2490</v>
      </c>
      <c r="I10" s="573">
        <f t="shared" si="1"/>
        <v>3.9903846153846154</v>
      </c>
    </row>
    <row r="11" spans="3:9" ht="11.25" customHeight="1">
      <c r="C11" s="560" t="s">
        <v>559</v>
      </c>
      <c r="D11" s="561" cm="1">
        <f t="array" ref="D11">+SUMPRODUCT(($E$22:$E$191=$C11)*1)</f>
        <v>68</v>
      </c>
      <c r="E11" s="562" cm="1">
        <f t="array" ref="E11">+SUMPRODUCT(($E$22:$E$191=$C11)*1,$F$22:$F$191)</f>
        <v>58140</v>
      </c>
      <c r="F11" s="562">
        <f t="shared" si="2"/>
        <v>855</v>
      </c>
      <c r="G11" s="563" cm="1">
        <f t="array" ref="G11">+SUMPRODUCT(($E$22:$E$191=$C11)*1,$G$22:$G$191)</f>
        <v>214540</v>
      </c>
      <c r="H11" s="563">
        <f t="shared" si="0"/>
        <v>3155</v>
      </c>
      <c r="I11" s="573">
        <f t="shared" si="1"/>
        <v>3.6900584795321638</v>
      </c>
    </row>
    <row r="12" spans="3:9" ht="11.25" customHeight="1">
      <c r="C12" s="560" t="s">
        <v>560</v>
      </c>
      <c r="D12" s="561" cm="1">
        <f t="array" ref="D12">+SUMPRODUCT(($E$22:$E$191=$C12)*1)</f>
        <v>18</v>
      </c>
      <c r="E12" s="562" cm="1">
        <f t="array" ref="E12">+SUMPRODUCT(($E$22:$E$191=$C12)*1,$F$22:$F$191)</f>
        <v>18270</v>
      </c>
      <c r="F12" s="562">
        <f t="shared" si="2"/>
        <v>1015</v>
      </c>
      <c r="G12" s="563" cm="1">
        <f t="array" ref="G12">+SUMPRODUCT(($E$22:$E$191=$C12)*1,$G$22:$G$191)</f>
        <v>66150</v>
      </c>
      <c r="H12" s="563">
        <f t="shared" si="0"/>
        <v>3675</v>
      </c>
      <c r="I12" s="573">
        <f t="shared" si="1"/>
        <v>3.6206896551724137</v>
      </c>
    </row>
    <row r="13" spans="3:9" ht="11.25" customHeight="1">
      <c r="C13" s="560" t="s">
        <v>561</v>
      </c>
      <c r="D13" s="561" cm="1">
        <f t="array" ref="D13">+SUMPRODUCT(($E$22:$E$191=$C13)*1)</f>
        <v>0</v>
      </c>
      <c r="E13" s="562" cm="1">
        <f t="array" ref="E13">+SUMPRODUCT(($E$22:$E$191=$C13)*1,$F$22:$F$191)</f>
        <v>0</v>
      </c>
      <c r="F13" s="562">
        <f t="shared" si="2"/>
        <v>0</v>
      </c>
      <c r="G13" s="563" cm="1">
        <f t="array" ref="G13">+SUMPRODUCT(($E$22:$E$191=$C13)*1,$G$22:$G$191)</f>
        <v>0</v>
      </c>
      <c r="H13" s="563">
        <f t="shared" si="0"/>
        <v>0</v>
      </c>
      <c r="I13" s="573">
        <f t="shared" si="1"/>
        <v>0</v>
      </c>
    </row>
    <row r="14" spans="3:9" ht="11.25" customHeight="1">
      <c r="C14" s="559" t="s">
        <v>132</v>
      </c>
      <c r="D14" s="561"/>
      <c r="E14" s="562"/>
      <c r="F14" s="562"/>
      <c r="G14" s="563"/>
      <c r="H14" s="563"/>
      <c r="I14" s="573"/>
    </row>
    <row r="15" spans="3:9" ht="11.25" customHeight="1">
      <c r="C15" s="560" t="s">
        <v>207</v>
      </c>
      <c r="D15" s="561" cm="1">
        <f t="array" ref="D15">+SUMPRODUCT(($E$22:$E$191=$C15)*1)</f>
        <v>0</v>
      </c>
      <c r="E15" s="562" cm="1">
        <f t="array" ref="E15">+SUMPRODUCT(($E$22:$E$191=$C15)*1,$F$22:$F$191)</f>
        <v>0</v>
      </c>
      <c r="F15" s="562">
        <f t="shared" si="2"/>
        <v>0</v>
      </c>
      <c r="G15" s="563" cm="1">
        <f t="array" ref="G15">+SUMPRODUCT(($E$22:$E$191=$C15)*1,$G$22:$G$191)</f>
        <v>0</v>
      </c>
      <c r="H15" s="563">
        <f t="shared" si="0"/>
        <v>0</v>
      </c>
      <c r="I15" s="573">
        <f t="shared" si="1"/>
        <v>0</v>
      </c>
    </row>
    <row r="16" spans="3:9" ht="11.25" customHeight="1">
      <c r="C16" s="560" t="s">
        <v>208</v>
      </c>
      <c r="D16" s="561" cm="1">
        <f t="array" ref="D16">+SUMPRODUCT(($E$22:$E$191=$C16)*1)</f>
        <v>0</v>
      </c>
      <c r="E16" s="562" cm="1">
        <f t="array" ref="E16">+SUMPRODUCT(($E$22:$E$191=$C16)*1,$F$22:$F$191)</f>
        <v>0</v>
      </c>
      <c r="F16" s="562">
        <f t="shared" si="2"/>
        <v>0</v>
      </c>
      <c r="G16" s="563" cm="1">
        <f t="array" ref="G16">+SUMPRODUCT(($E$22:$E$191=$C16)*1,$G$22:$G$191)</f>
        <v>0</v>
      </c>
      <c r="H16" s="563">
        <f t="shared" si="0"/>
        <v>0</v>
      </c>
      <c r="I16" s="573">
        <f t="shared" si="1"/>
        <v>0</v>
      </c>
    </row>
    <row r="17" spans="3:10" s="548" customFormat="1" ht="11.25" customHeight="1">
      <c r="C17" s="564" t="s">
        <v>106</v>
      </c>
      <c r="D17" s="565">
        <f>SUM(D9:D16)</f>
        <v>170</v>
      </c>
      <c r="E17" s="566">
        <f>SUM(E9:E16)</f>
        <v>128826</v>
      </c>
      <c r="F17" s="566">
        <f t="shared" si="2"/>
        <v>757.8</v>
      </c>
      <c r="G17" s="567">
        <f>SUM(G9:G16)</f>
        <v>489850</v>
      </c>
      <c r="H17" s="567">
        <f t="shared" si="0"/>
        <v>2881.4705882352941</v>
      </c>
      <c r="I17" s="575">
        <f t="shared" si="1"/>
        <v>3.8024156614348037</v>
      </c>
    </row>
    <row r="18" spans="3:10" ht="11.25" customHeight="1">
      <c r="D18" s="568"/>
      <c r="G18" s="569"/>
      <c r="I18" s="549"/>
    </row>
    <row r="19" spans="3:10" ht="11.25" customHeight="1">
      <c r="C19" s="554" t="s">
        <v>209</v>
      </c>
      <c r="D19" s="555"/>
      <c r="E19" s="555"/>
      <c r="F19" s="555"/>
      <c r="G19" s="555"/>
      <c r="H19" s="555"/>
      <c r="I19" s="574"/>
    </row>
    <row r="20" spans="3:10" ht="11.25" customHeight="1">
      <c r="D20" s="568"/>
      <c r="I20" s="549"/>
    </row>
    <row r="21" spans="3:10" s="548" customFormat="1" ht="12">
      <c r="C21" s="557" t="s">
        <v>136</v>
      </c>
      <c r="D21" s="557" t="s">
        <v>210</v>
      </c>
      <c r="E21" s="557" t="s">
        <v>211</v>
      </c>
      <c r="F21" s="559" t="s">
        <v>212</v>
      </c>
      <c r="G21" s="570" t="s">
        <v>213</v>
      </c>
      <c r="H21" s="559" t="s">
        <v>214</v>
      </c>
      <c r="I21" s="559" t="s">
        <v>215</v>
      </c>
    </row>
    <row r="22" spans="3:10" ht="11.25" customHeight="1">
      <c r="C22" s="571"/>
      <c r="D22" s="572">
        <f>'Rent Roll CMHC'!D3</f>
        <v>1</v>
      </c>
      <c r="E22" s="571" t="str">
        <f>IF('Rent Roll CMHC'!M3="Yes",'Rent Roll CMHC'!A3&amp;" (Affordable)",'Rent Roll CMHC'!A3)</f>
        <v>1 Bedroom</v>
      </c>
      <c r="F22" s="561">
        <f>'Rent Roll CMHC'!J3</f>
        <v>624</v>
      </c>
      <c r="G22" s="563">
        <f>'Rent Roll CMHC'!F3</f>
        <v>2490</v>
      </c>
      <c r="H22" s="573">
        <f>IFERROR(+G22/F22,"-")</f>
        <v>3.9903846153846154</v>
      </c>
      <c r="I22" s="563"/>
      <c r="J22" s="576"/>
    </row>
    <row r="23" spans="3:10" ht="11.25" customHeight="1">
      <c r="C23" s="571"/>
      <c r="D23" s="572">
        <f>'Rent Roll CMHC'!D4</f>
        <v>2</v>
      </c>
      <c r="E23" s="571" t="str">
        <f>IF('Rent Roll CMHC'!M4="Yes",'Rent Roll CMHC'!A4&amp;" (Affordable)",'Rent Roll CMHC'!A4)</f>
        <v>1 Bedroom</v>
      </c>
      <c r="F23" s="561">
        <f>'Rent Roll CMHC'!J4</f>
        <v>624</v>
      </c>
      <c r="G23" s="563">
        <f>'Rent Roll CMHC'!F4</f>
        <v>2490</v>
      </c>
      <c r="H23" s="573">
        <f t="shared" ref="H23:H52" si="3">IFERROR(+G23/F23,"-")</f>
        <v>3.9903846153846154</v>
      </c>
      <c r="I23" s="563"/>
      <c r="J23" s="576"/>
    </row>
    <row r="24" spans="3:10" ht="11.25" customHeight="1">
      <c r="C24" s="571"/>
      <c r="D24" s="572">
        <f>'Rent Roll CMHC'!D5</f>
        <v>3</v>
      </c>
      <c r="E24" s="571" t="str">
        <f>IF('Rent Roll CMHC'!M5="Yes",'Rent Roll CMHC'!A5&amp;" (Affordable)",'Rent Roll CMHC'!A5)</f>
        <v>1 Bedroom</v>
      </c>
      <c r="F24" s="561">
        <f>'Rent Roll CMHC'!J5</f>
        <v>624</v>
      </c>
      <c r="G24" s="563">
        <f>'Rent Roll CMHC'!F5</f>
        <v>2490</v>
      </c>
      <c r="H24" s="573">
        <f t="shared" si="3"/>
        <v>3.9903846153846154</v>
      </c>
      <c r="I24" s="563"/>
      <c r="J24" s="576"/>
    </row>
    <row r="25" spans="3:10" ht="11.25" customHeight="1">
      <c r="C25" s="571"/>
      <c r="D25" s="572">
        <f>'Rent Roll CMHC'!D6</f>
        <v>4</v>
      </c>
      <c r="E25" s="571" t="str">
        <f>IF('Rent Roll CMHC'!M6="Yes",'Rent Roll CMHC'!A6&amp;" (Affordable)",'Rent Roll CMHC'!A6)</f>
        <v>1 Bedroom</v>
      </c>
      <c r="F25" s="561">
        <f>'Rent Roll CMHC'!J6</f>
        <v>624</v>
      </c>
      <c r="G25" s="563">
        <f>'Rent Roll CMHC'!F6</f>
        <v>2490</v>
      </c>
      <c r="H25" s="573">
        <f t="shared" si="3"/>
        <v>3.9903846153846154</v>
      </c>
      <c r="I25" s="563"/>
      <c r="J25" s="576"/>
    </row>
    <row r="26" spans="3:10" ht="11.25" customHeight="1">
      <c r="C26" s="571"/>
      <c r="D26" s="572">
        <f>'Rent Roll CMHC'!D7</f>
        <v>5</v>
      </c>
      <c r="E26" s="571" t="str">
        <f>IF('Rent Roll CMHC'!M7="Yes",'Rent Roll CMHC'!A7&amp;" (Affordable)",'Rent Roll CMHC'!A7)</f>
        <v>1 Bedroom</v>
      </c>
      <c r="F26" s="561">
        <f>'Rent Roll CMHC'!J7</f>
        <v>624</v>
      </c>
      <c r="G26" s="563">
        <f>'Rent Roll CMHC'!F7</f>
        <v>2490</v>
      </c>
      <c r="H26" s="573">
        <f t="shared" si="3"/>
        <v>3.9903846153846154</v>
      </c>
      <c r="I26" s="563"/>
      <c r="J26" s="576"/>
    </row>
    <row r="27" spans="3:10" ht="11.25" customHeight="1">
      <c r="C27" s="571"/>
      <c r="D27" s="572">
        <f>'Rent Roll CMHC'!D8</f>
        <v>6</v>
      </c>
      <c r="E27" s="571" t="str">
        <f>IF('Rent Roll CMHC'!M8="Yes",'Rent Roll CMHC'!A8&amp;" (Affordable)",'Rent Roll CMHC'!A8)</f>
        <v>1 Bedroom</v>
      </c>
      <c r="F27" s="561">
        <f>'Rent Roll CMHC'!J8</f>
        <v>624</v>
      </c>
      <c r="G27" s="563">
        <f>'Rent Roll CMHC'!F8</f>
        <v>2490</v>
      </c>
      <c r="H27" s="573">
        <f t="shared" si="3"/>
        <v>3.9903846153846154</v>
      </c>
      <c r="I27" s="563"/>
      <c r="J27" s="576"/>
    </row>
    <row r="28" spans="3:10" ht="11.25" customHeight="1">
      <c r="C28" s="571"/>
      <c r="D28" s="572">
        <f>'Rent Roll CMHC'!D9</f>
        <v>7</v>
      </c>
      <c r="E28" s="571" t="str">
        <f>IF('Rent Roll CMHC'!M9="Yes",'Rent Roll CMHC'!A9&amp;" (Affordable)",'Rent Roll CMHC'!A9)</f>
        <v>1 Bedroom</v>
      </c>
      <c r="F28" s="561">
        <f>'Rent Roll CMHC'!J9</f>
        <v>624</v>
      </c>
      <c r="G28" s="563">
        <f>'Rent Roll CMHC'!F9</f>
        <v>2490</v>
      </c>
      <c r="H28" s="573">
        <f t="shared" si="3"/>
        <v>3.9903846153846154</v>
      </c>
      <c r="I28" s="563"/>
      <c r="J28" s="576"/>
    </row>
    <row r="29" spans="3:10" ht="11.25" customHeight="1">
      <c r="C29" s="571"/>
      <c r="D29" s="572">
        <f>'Rent Roll CMHC'!D10</f>
        <v>8</v>
      </c>
      <c r="E29" s="571" t="str">
        <f>IF('Rent Roll CMHC'!M10="Yes",'Rent Roll CMHC'!A10&amp;" (Affordable)",'Rent Roll CMHC'!A10)</f>
        <v>1 Bedroom</v>
      </c>
      <c r="F29" s="561">
        <f>'Rent Roll CMHC'!J10</f>
        <v>624</v>
      </c>
      <c r="G29" s="563">
        <f>'Rent Roll CMHC'!F10</f>
        <v>2490</v>
      </c>
      <c r="H29" s="573">
        <f t="shared" si="3"/>
        <v>3.9903846153846154</v>
      </c>
      <c r="I29" s="563"/>
      <c r="J29" s="576"/>
    </row>
    <row r="30" spans="3:10" ht="11.25" customHeight="1">
      <c r="C30" s="571"/>
      <c r="D30" s="572">
        <f>'Rent Roll CMHC'!D11</f>
        <v>9</v>
      </c>
      <c r="E30" s="571" t="str">
        <f>IF('Rent Roll CMHC'!M11="Yes",'Rent Roll CMHC'!A11&amp;" (Affordable)",'Rent Roll CMHC'!A11)</f>
        <v>1 Bedroom</v>
      </c>
      <c r="F30" s="561">
        <f>'Rent Roll CMHC'!J11</f>
        <v>624</v>
      </c>
      <c r="G30" s="563">
        <f>'Rent Roll CMHC'!F11</f>
        <v>2490</v>
      </c>
      <c r="H30" s="573">
        <f t="shared" si="3"/>
        <v>3.9903846153846154</v>
      </c>
      <c r="I30" s="563"/>
      <c r="J30" s="576"/>
    </row>
    <row r="31" spans="3:10" ht="11.25" customHeight="1">
      <c r="C31" s="571"/>
      <c r="D31" s="572">
        <f>'Rent Roll CMHC'!D12</f>
        <v>10</v>
      </c>
      <c r="E31" s="571" t="str">
        <f>IF('Rent Roll CMHC'!M12="Yes",'Rent Roll CMHC'!A12&amp;" (Affordable)",'Rent Roll CMHC'!A12)</f>
        <v>1 Bedroom</v>
      </c>
      <c r="F31" s="561">
        <f>'Rent Roll CMHC'!J12</f>
        <v>624</v>
      </c>
      <c r="G31" s="563">
        <f>'Rent Roll CMHC'!F12</f>
        <v>2490</v>
      </c>
      <c r="H31" s="573">
        <f t="shared" si="3"/>
        <v>3.9903846153846154</v>
      </c>
      <c r="I31" s="563"/>
      <c r="J31" s="576"/>
    </row>
    <row r="32" spans="3:10" ht="11.25" customHeight="1">
      <c r="C32" s="571"/>
      <c r="D32" s="572">
        <f>'Rent Roll CMHC'!D13</f>
        <v>11</v>
      </c>
      <c r="E32" s="571" t="str">
        <f>IF('Rent Roll CMHC'!M13="Yes",'Rent Roll CMHC'!A13&amp;" (Affordable)",'Rent Roll CMHC'!A13)</f>
        <v>1 Bedroom</v>
      </c>
      <c r="F32" s="561">
        <f>'Rent Roll CMHC'!J13</f>
        <v>624</v>
      </c>
      <c r="G32" s="563">
        <f>'Rent Roll CMHC'!F13</f>
        <v>2490</v>
      </c>
      <c r="H32" s="573">
        <f t="shared" si="3"/>
        <v>3.9903846153846154</v>
      </c>
      <c r="I32" s="563"/>
      <c r="J32" s="576"/>
    </row>
    <row r="33" spans="3:10" ht="11.25" customHeight="1">
      <c r="C33" s="571"/>
      <c r="D33" s="572">
        <f>'Rent Roll CMHC'!D14</f>
        <v>12</v>
      </c>
      <c r="E33" s="571" t="str">
        <f>IF('Rent Roll CMHC'!M14="Yes",'Rent Roll CMHC'!A14&amp;" (Affordable)",'Rent Roll CMHC'!A14)</f>
        <v>1 Bedroom</v>
      </c>
      <c r="F33" s="561">
        <f>'Rent Roll CMHC'!J14</f>
        <v>624</v>
      </c>
      <c r="G33" s="563">
        <f>'Rent Roll CMHC'!F14</f>
        <v>2490</v>
      </c>
      <c r="H33" s="573">
        <f t="shared" si="3"/>
        <v>3.9903846153846154</v>
      </c>
      <c r="I33" s="563"/>
      <c r="J33" s="576"/>
    </row>
    <row r="34" spans="3:10" ht="11.25" customHeight="1">
      <c r="C34" s="571"/>
      <c r="D34" s="572">
        <f>'Rent Roll CMHC'!D15</f>
        <v>13</v>
      </c>
      <c r="E34" s="571" t="str">
        <f>IF('Rent Roll CMHC'!M15="Yes",'Rent Roll CMHC'!A15&amp;" (Affordable)",'Rent Roll CMHC'!A15)</f>
        <v>1 Bedroom</v>
      </c>
      <c r="F34" s="561">
        <f>'Rent Roll CMHC'!J15</f>
        <v>624</v>
      </c>
      <c r="G34" s="563">
        <f>'Rent Roll CMHC'!F15</f>
        <v>2490</v>
      </c>
      <c r="H34" s="573">
        <f t="shared" si="3"/>
        <v>3.9903846153846154</v>
      </c>
      <c r="I34" s="563"/>
      <c r="J34" s="576"/>
    </row>
    <row r="35" spans="3:10" ht="11.25" customHeight="1">
      <c r="C35" s="571"/>
      <c r="D35" s="572">
        <f>'Rent Roll CMHC'!D16</f>
        <v>14</v>
      </c>
      <c r="E35" s="571" t="str">
        <f>IF('Rent Roll CMHC'!M16="Yes",'Rent Roll CMHC'!A16&amp;" (Affordable)",'Rent Roll CMHC'!A16)</f>
        <v>1 Bedroom</v>
      </c>
      <c r="F35" s="561">
        <f>'Rent Roll CMHC'!J16</f>
        <v>624</v>
      </c>
      <c r="G35" s="563">
        <f>'Rent Roll CMHC'!F16</f>
        <v>2490</v>
      </c>
      <c r="H35" s="573">
        <f t="shared" si="3"/>
        <v>3.9903846153846154</v>
      </c>
      <c r="I35" s="563"/>
      <c r="J35" s="576"/>
    </row>
    <row r="36" spans="3:10" ht="11.25" customHeight="1">
      <c r="C36" s="571"/>
      <c r="D36" s="572">
        <f>'Rent Roll CMHC'!D17</f>
        <v>15</v>
      </c>
      <c r="E36" s="571" t="str">
        <f>IF('Rent Roll CMHC'!M17="Yes",'Rent Roll CMHC'!A17&amp;" (Affordable)",'Rent Roll CMHC'!A17)</f>
        <v>1 Bedroom</v>
      </c>
      <c r="F36" s="561">
        <f>'Rent Roll CMHC'!J17</f>
        <v>624</v>
      </c>
      <c r="G36" s="563">
        <f>'Rent Roll CMHC'!F17</f>
        <v>2490</v>
      </c>
      <c r="H36" s="573">
        <f t="shared" si="3"/>
        <v>3.9903846153846154</v>
      </c>
      <c r="I36" s="563"/>
      <c r="J36" s="576"/>
    </row>
    <row r="37" spans="3:10" ht="11.25" customHeight="1">
      <c r="C37" s="571"/>
      <c r="D37" s="572">
        <f>'Rent Roll CMHC'!D18</f>
        <v>16</v>
      </c>
      <c r="E37" s="571" t="str">
        <f>IF('Rent Roll CMHC'!M18="Yes",'Rent Roll CMHC'!A18&amp;" (Affordable)",'Rent Roll CMHC'!A18)</f>
        <v>1 Bedroom</v>
      </c>
      <c r="F37" s="561">
        <f>'Rent Roll CMHC'!J18</f>
        <v>624</v>
      </c>
      <c r="G37" s="563">
        <f>'Rent Roll CMHC'!F18</f>
        <v>2490</v>
      </c>
      <c r="H37" s="573">
        <f t="shared" si="3"/>
        <v>3.9903846153846154</v>
      </c>
      <c r="I37" s="563"/>
      <c r="J37" s="576"/>
    </row>
    <row r="38" spans="3:10" ht="11.25" customHeight="1">
      <c r="C38" s="571"/>
      <c r="D38" s="572">
        <f>'Rent Roll CMHC'!D19</f>
        <v>17</v>
      </c>
      <c r="E38" s="571" t="str">
        <f>IF('Rent Roll CMHC'!M19="Yes",'Rent Roll CMHC'!A19&amp;" (Affordable)",'Rent Roll CMHC'!A19)</f>
        <v>1 Bedroom</v>
      </c>
      <c r="F38" s="561">
        <f>'Rent Roll CMHC'!J19</f>
        <v>624</v>
      </c>
      <c r="G38" s="563">
        <f>'Rent Roll CMHC'!F19</f>
        <v>2490</v>
      </c>
      <c r="H38" s="573">
        <f t="shared" si="3"/>
        <v>3.9903846153846154</v>
      </c>
      <c r="I38" s="563"/>
      <c r="J38" s="576"/>
    </row>
    <row r="39" spans="3:10" ht="11.25" customHeight="1">
      <c r="C39" s="571"/>
      <c r="D39" s="572">
        <f>'Rent Roll CMHC'!D20</f>
        <v>18</v>
      </c>
      <c r="E39" s="571" t="str">
        <f>IF('Rent Roll CMHC'!M20="Yes",'Rent Roll CMHC'!A20&amp;" (Affordable)",'Rent Roll CMHC'!A20)</f>
        <v>1 Bedroom</v>
      </c>
      <c r="F39" s="561">
        <f>'Rent Roll CMHC'!J20</f>
        <v>624</v>
      </c>
      <c r="G39" s="563">
        <f>'Rent Roll CMHC'!F20</f>
        <v>2490</v>
      </c>
      <c r="H39" s="573">
        <f t="shared" si="3"/>
        <v>3.9903846153846154</v>
      </c>
      <c r="I39" s="563"/>
      <c r="J39" s="576"/>
    </row>
    <row r="40" spans="3:10" ht="11.25" customHeight="1">
      <c r="C40" s="571"/>
      <c r="D40" s="572">
        <f>'Rent Roll CMHC'!D21</f>
        <v>19</v>
      </c>
      <c r="E40" s="571" t="str">
        <f>IF('Rent Roll CMHC'!M21="Yes",'Rent Roll CMHC'!A21&amp;" (Affordable)",'Rent Roll CMHC'!A21)</f>
        <v>1 Bedroom</v>
      </c>
      <c r="F40" s="561">
        <f>'Rent Roll CMHC'!J21</f>
        <v>624</v>
      </c>
      <c r="G40" s="563">
        <f>'Rent Roll CMHC'!F21</f>
        <v>2490</v>
      </c>
      <c r="H40" s="573">
        <f t="shared" si="3"/>
        <v>3.9903846153846154</v>
      </c>
      <c r="I40" s="563"/>
      <c r="J40" s="576"/>
    </row>
    <row r="41" spans="3:10" ht="11.25" customHeight="1">
      <c r="C41" s="571"/>
      <c r="D41" s="572">
        <f>'Rent Roll CMHC'!D22</f>
        <v>20</v>
      </c>
      <c r="E41" s="571" t="str">
        <f>IF('Rent Roll CMHC'!M22="Yes",'Rent Roll CMHC'!A22&amp;" (Affordable)",'Rent Roll CMHC'!A22)</f>
        <v>1 Bedroom</v>
      </c>
      <c r="F41" s="561">
        <f>'Rent Roll CMHC'!J22</f>
        <v>624</v>
      </c>
      <c r="G41" s="563">
        <f>'Rent Roll CMHC'!F22</f>
        <v>2490</v>
      </c>
      <c r="H41" s="573">
        <f t="shared" si="3"/>
        <v>3.9903846153846154</v>
      </c>
      <c r="I41" s="563"/>
      <c r="J41" s="576"/>
    </row>
    <row r="42" spans="3:10" ht="11.25" customHeight="1">
      <c r="C42" s="571"/>
      <c r="D42" s="572">
        <f>'Rent Roll CMHC'!D23</f>
        <v>21</v>
      </c>
      <c r="E42" s="571" t="str">
        <f>IF('Rent Roll CMHC'!M23="Yes",'Rent Roll CMHC'!A23&amp;" (Affordable)",'Rent Roll CMHC'!A23)</f>
        <v>1 Bedroom</v>
      </c>
      <c r="F42" s="561">
        <f>'Rent Roll CMHC'!J23</f>
        <v>624</v>
      </c>
      <c r="G42" s="563">
        <f>'Rent Roll CMHC'!F23</f>
        <v>2490</v>
      </c>
      <c r="H42" s="573">
        <f t="shared" si="3"/>
        <v>3.9903846153846154</v>
      </c>
      <c r="I42" s="563"/>
      <c r="J42" s="576"/>
    </row>
    <row r="43" spans="3:10" ht="11.25" customHeight="1">
      <c r="C43" s="571"/>
      <c r="D43" s="572">
        <f>'Rent Roll CMHC'!D24</f>
        <v>22</v>
      </c>
      <c r="E43" s="571" t="str">
        <f>IF('Rent Roll CMHC'!M24="Yes",'Rent Roll CMHC'!A24&amp;" (Affordable)",'Rent Roll CMHC'!A24)</f>
        <v>1 Bedroom</v>
      </c>
      <c r="F43" s="561">
        <f>'Rent Roll CMHC'!J24</f>
        <v>624</v>
      </c>
      <c r="G43" s="563">
        <f>'Rent Roll CMHC'!F24</f>
        <v>2490</v>
      </c>
      <c r="H43" s="573">
        <f t="shared" si="3"/>
        <v>3.9903846153846154</v>
      </c>
      <c r="I43" s="563"/>
      <c r="J43" s="576"/>
    </row>
    <row r="44" spans="3:10" ht="11.25" customHeight="1">
      <c r="C44" s="571"/>
      <c r="D44" s="572">
        <f>'Rent Roll CMHC'!D25</f>
        <v>23</v>
      </c>
      <c r="E44" s="571" t="str">
        <f>IF('Rent Roll CMHC'!M25="Yes",'Rent Roll CMHC'!A25&amp;" (Affordable)",'Rent Roll CMHC'!A25)</f>
        <v>1 Bedroom</v>
      </c>
      <c r="F44" s="561">
        <f>'Rent Roll CMHC'!J25</f>
        <v>624</v>
      </c>
      <c r="G44" s="563">
        <f>'Rent Roll CMHC'!F25</f>
        <v>2490</v>
      </c>
      <c r="H44" s="573">
        <f t="shared" si="3"/>
        <v>3.9903846153846154</v>
      </c>
      <c r="I44" s="563"/>
      <c r="J44" s="576"/>
    </row>
    <row r="45" spans="3:10" ht="11.25" customHeight="1">
      <c r="C45" s="571"/>
      <c r="D45" s="572">
        <f>'Rent Roll CMHC'!D26</f>
        <v>24</v>
      </c>
      <c r="E45" s="571" t="str">
        <f>IF('Rent Roll CMHC'!M26="Yes",'Rent Roll CMHC'!A26&amp;" (Affordable)",'Rent Roll CMHC'!A26)</f>
        <v>1 Bedroom</v>
      </c>
      <c r="F45" s="561">
        <f>'Rent Roll CMHC'!J26</f>
        <v>624</v>
      </c>
      <c r="G45" s="563">
        <f>'Rent Roll CMHC'!F26</f>
        <v>2490</v>
      </c>
      <c r="H45" s="573">
        <f t="shared" si="3"/>
        <v>3.9903846153846154</v>
      </c>
      <c r="I45" s="563"/>
      <c r="J45" s="576"/>
    </row>
    <row r="46" spans="3:10" ht="11.25" customHeight="1">
      <c r="C46" s="571"/>
      <c r="D46" s="572">
        <f>'Rent Roll CMHC'!D27</f>
        <v>25</v>
      </c>
      <c r="E46" s="571" t="str">
        <f>IF('Rent Roll CMHC'!M27="Yes",'Rent Roll CMHC'!A27&amp;" (Affordable)",'Rent Roll CMHC'!A27)</f>
        <v>1 Bedroom</v>
      </c>
      <c r="F46" s="561">
        <f>'Rent Roll CMHC'!J27</f>
        <v>624</v>
      </c>
      <c r="G46" s="563">
        <f>'Rent Roll CMHC'!F27</f>
        <v>2490</v>
      </c>
      <c r="H46" s="573">
        <f t="shared" si="3"/>
        <v>3.9903846153846154</v>
      </c>
      <c r="I46" s="563"/>
      <c r="J46" s="576"/>
    </row>
    <row r="47" spans="3:10" ht="11.25" customHeight="1">
      <c r="C47" s="571"/>
      <c r="D47" s="572">
        <f>'Rent Roll CMHC'!D28</f>
        <v>26</v>
      </c>
      <c r="E47" s="571" t="str">
        <f>IF('Rent Roll CMHC'!M28="Yes",'Rent Roll CMHC'!A28&amp;" (Affordable)",'Rent Roll CMHC'!A28)</f>
        <v>1 Bedroom</v>
      </c>
      <c r="F47" s="561">
        <f>'Rent Roll CMHC'!J28</f>
        <v>624</v>
      </c>
      <c r="G47" s="563">
        <f>'Rent Roll CMHC'!F28</f>
        <v>2490</v>
      </c>
      <c r="H47" s="573">
        <f t="shared" si="3"/>
        <v>3.9903846153846154</v>
      </c>
      <c r="I47" s="563"/>
      <c r="J47" s="576"/>
    </row>
    <row r="48" spans="3:10" ht="11.25" customHeight="1">
      <c r="C48" s="571"/>
      <c r="D48" s="572">
        <f>'Rent Roll CMHC'!D29</f>
        <v>27</v>
      </c>
      <c r="E48" s="571" t="str">
        <f>IF('Rent Roll CMHC'!M29="Yes",'Rent Roll CMHC'!A29&amp;" (Affordable)",'Rent Roll CMHC'!A29)</f>
        <v>1 Bedroom</v>
      </c>
      <c r="F48" s="561">
        <f>'Rent Roll CMHC'!J29</f>
        <v>624</v>
      </c>
      <c r="G48" s="563">
        <f>'Rent Roll CMHC'!F29</f>
        <v>2490</v>
      </c>
      <c r="H48" s="573">
        <f t="shared" si="3"/>
        <v>3.9903846153846154</v>
      </c>
      <c r="I48" s="563"/>
      <c r="J48" s="576"/>
    </row>
    <row r="49" spans="3:10" ht="11.25" customHeight="1">
      <c r="C49" s="571"/>
      <c r="D49" s="572">
        <f>'Rent Roll CMHC'!D30</f>
        <v>28</v>
      </c>
      <c r="E49" s="571" t="str">
        <f>IF('Rent Roll CMHC'!M30="Yes",'Rent Roll CMHC'!A30&amp;" (Affordable)",'Rent Roll CMHC'!A30)</f>
        <v>1 Bedroom</v>
      </c>
      <c r="F49" s="561">
        <f>'Rent Roll CMHC'!J30</f>
        <v>624</v>
      </c>
      <c r="G49" s="563">
        <f>'Rent Roll CMHC'!F30</f>
        <v>2490</v>
      </c>
      <c r="H49" s="573">
        <f t="shared" si="3"/>
        <v>3.9903846153846154</v>
      </c>
      <c r="I49" s="563"/>
      <c r="J49" s="576"/>
    </row>
    <row r="50" spans="3:10" ht="11.25" customHeight="1">
      <c r="C50" s="571"/>
      <c r="D50" s="572">
        <f>'Rent Roll CMHC'!D31</f>
        <v>29</v>
      </c>
      <c r="E50" s="571" t="str">
        <f>IF('Rent Roll CMHC'!M31="Yes",'Rent Roll CMHC'!A31&amp;" (Affordable)",'Rent Roll CMHC'!A31)</f>
        <v>1 Bedroom</v>
      </c>
      <c r="F50" s="561">
        <f>'Rent Roll CMHC'!J31</f>
        <v>624</v>
      </c>
      <c r="G50" s="563">
        <f>'Rent Roll CMHC'!F31</f>
        <v>2490</v>
      </c>
      <c r="H50" s="573">
        <f t="shared" si="3"/>
        <v>3.9903846153846154</v>
      </c>
      <c r="I50" s="563"/>
      <c r="J50" s="576"/>
    </row>
    <row r="51" spans="3:10" ht="11.25" customHeight="1">
      <c r="C51" s="571"/>
      <c r="D51" s="572">
        <f>'Rent Roll CMHC'!D32</f>
        <v>30</v>
      </c>
      <c r="E51" s="571" t="str">
        <f>IF('Rent Roll CMHC'!M32="Yes",'Rent Roll CMHC'!A32&amp;" (Affordable)",'Rent Roll CMHC'!A32)</f>
        <v>1 Bedroom</v>
      </c>
      <c r="F51" s="561">
        <f>'Rent Roll CMHC'!J32</f>
        <v>624</v>
      </c>
      <c r="G51" s="563">
        <f>'Rent Roll CMHC'!F32</f>
        <v>2490</v>
      </c>
      <c r="H51" s="573">
        <f t="shared" si="3"/>
        <v>3.9903846153846154</v>
      </c>
      <c r="I51" s="563"/>
      <c r="J51" s="576"/>
    </row>
    <row r="52" spans="3:10" ht="11.25" customHeight="1">
      <c r="C52" s="571"/>
      <c r="D52" s="572">
        <f>'Rent Roll CMHC'!D33</f>
        <v>31</v>
      </c>
      <c r="E52" s="571" t="str">
        <f>IF('Rent Roll CMHC'!M33="Yes",'Rent Roll CMHC'!A33&amp;" (Affordable)",'Rent Roll CMHC'!A33)</f>
        <v>1 Bedroom</v>
      </c>
      <c r="F52" s="561">
        <f>'Rent Roll CMHC'!J33</f>
        <v>624</v>
      </c>
      <c r="G52" s="563">
        <f>'Rent Roll CMHC'!F33</f>
        <v>2490</v>
      </c>
      <c r="H52" s="573">
        <f t="shared" si="3"/>
        <v>3.9903846153846154</v>
      </c>
      <c r="I52" s="577"/>
      <c r="J52" s="576"/>
    </row>
    <row r="53" spans="3:10" ht="11.25" customHeight="1">
      <c r="C53" s="571"/>
      <c r="D53" s="572">
        <f>'Rent Roll CMHC'!D34</f>
        <v>32</v>
      </c>
      <c r="E53" s="571" t="str">
        <f>IF('Rent Roll CMHC'!M34="Yes",'Rent Roll CMHC'!A34&amp;" (Affordable)",'Rent Roll CMHC'!A34)</f>
        <v>1 Bedroom</v>
      </c>
      <c r="F53" s="561">
        <f>'Rent Roll CMHC'!J34</f>
        <v>624</v>
      </c>
      <c r="G53" s="563">
        <f>'Rent Roll CMHC'!F34</f>
        <v>2490</v>
      </c>
      <c r="H53" s="573">
        <f t="shared" ref="H53:H116" si="4">IFERROR(+G53/F53,"-")</f>
        <v>3.9903846153846154</v>
      </c>
      <c r="I53" s="563"/>
      <c r="J53" s="576"/>
    </row>
    <row r="54" spans="3:10" ht="11.25" customHeight="1">
      <c r="C54" s="571"/>
      <c r="D54" s="572">
        <f>'Rent Roll CMHC'!D35</f>
        <v>33</v>
      </c>
      <c r="E54" s="571" t="str">
        <f>IF('Rent Roll CMHC'!M35="Yes",'Rent Roll CMHC'!A35&amp;" (Affordable)",'Rent Roll CMHC'!A35)</f>
        <v>1 Bedroom</v>
      </c>
      <c r="F54" s="561">
        <f>'Rent Roll CMHC'!J35</f>
        <v>624</v>
      </c>
      <c r="G54" s="563">
        <f>'Rent Roll CMHC'!F35</f>
        <v>2490</v>
      </c>
      <c r="H54" s="573">
        <f t="shared" si="4"/>
        <v>3.9903846153846154</v>
      </c>
      <c r="I54" s="578"/>
      <c r="J54" s="576"/>
    </row>
    <row r="55" spans="3:10" ht="11.25" customHeight="1">
      <c r="C55" s="571"/>
      <c r="D55" s="572">
        <f>'Rent Roll CMHC'!D36</f>
        <v>34</v>
      </c>
      <c r="E55" s="571" t="str">
        <f>IF('Rent Roll CMHC'!M36="Yes",'Rent Roll CMHC'!A36&amp;" (Affordable)",'Rent Roll CMHC'!A36)</f>
        <v>1 Bedroom</v>
      </c>
      <c r="F55" s="561">
        <f>'Rent Roll CMHC'!J36</f>
        <v>624</v>
      </c>
      <c r="G55" s="563">
        <f>'Rent Roll CMHC'!F36</f>
        <v>2490</v>
      </c>
      <c r="H55" s="573">
        <f t="shared" si="4"/>
        <v>3.9903846153846154</v>
      </c>
      <c r="I55" s="579"/>
      <c r="J55" s="576"/>
    </row>
    <row r="56" spans="3:10" ht="11.25" customHeight="1">
      <c r="C56" s="571"/>
      <c r="D56" s="572">
        <f>'Rent Roll CMHC'!D37</f>
        <v>35</v>
      </c>
      <c r="E56" s="571" t="str">
        <f>IF('Rent Roll CMHC'!M37="Yes",'Rent Roll CMHC'!A37&amp;" (Affordable)",'Rent Roll CMHC'!A37)</f>
        <v>1 Bedroom</v>
      </c>
      <c r="F56" s="561">
        <f>'Rent Roll CMHC'!J37</f>
        <v>624</v>
      </c>
      <c r="G56" s="563">
        <f>'Rent Roll CMHC'!F37</f>
        <v>2490</v>
      </c>
      <c r="H56" s="573">
        <f t="shared" si="4"/>
        <v>3.9903846153846154</v>
      </c>
      <c r="I56" s="578"/>
      <c r="J56" s="576"/>
    </row>
    <row r="57" spans="3:10" ht="11.25" customHeight="1">
      <c r="C57" s="571"/>
      <c r="D57" s="572">
        <f>'Rent Roll CMHC'!D38</f>
        <v>36</v>
      </c>
      <c r="E57" s="571" t="str">
        <f>IF('Rent Roll CMHC'!M38="Yes",'Rent Roll CMHC'!A38&amp;" (Affordable)",'Rent Roll CMHC'!A38)</f>
        <v>1 Bedroom</v>
      </c>
      <c r="F57" s="561">
        <f>'Rent Roll CMHC'!J38</f>
        <v>624</v>
      </c>
      <c r="G57" s="563">
        <f>'Rent Roll CMHC'!F38</f>
        <v>2490</v>
      </c>
      <c r="H57" s="573">
        <f t="shared" si="4"/>
        <v>3.9903846153846154</v>
      </c>
      <c r="I57" s="578"/>
      <c r="J57" s="576"/>
    </row>
    <row r="58" spans="3:10" ht="11.25" customHeight="1">
      <c r="C58" s="571"/>
      <c r="D58" s="572">
        <f>'Rent Roll CMHC'!D39</f>
        <v>37</v>
      </c>
      <c r="E58" s="571" t="str">
        <f>IF('Rent Roll CMHC'!M39="Yes",'Rent Roll CMHC'!A39&amp;" (Affordable)",'Rent Roll CMHC'!A39)</f>
        <v>1 Bedroom</v>
      </c>
      <c r="F58" s="561">
        <f>'Rent Roll CMHC'!J39</f>
        <v>624</v>
      </c>
      <c r="G58" s="563">
        <f>'Rent Roll CMHC'!F39</f>
        <v>2490</v>
      </c>
      <c r="H58" s="573">
        <f t="shared" si="4"/>
        <v>3.9903846153846154</v>
      </c>
      <c r="I58" s="578"/>
      <c r="J58" s="576"/>
    </row>
    <row r="59" spans="3:10" ht="11.25" customHeight="1">
      <c r="C59" s="571"/>
      <c r="D59" s="572">
        <f>'Rent Roll CMHC'!D40</f>
        <v>38</v>
      </c>
      <c r="E59" s="571" t="str">
        <f>IF('Rent Roll CMHC'!M40="Yes",'Rent Roll CMHC'!A40&amp;" (Affordable)",'Rent Roll CMHC'!A40)</f>
        <v>1 Bedroom</v>
      </c>
      <c r="F59" s="561">
        <f>'Rent Roll CMHC'!J40</f>
        <v>624</v>
      </c>
      <c r="G59" s="563">
        <f>'Rent Roll CMHC'!F40</f>
        <v>2490</v>
      </c>
      <c r="H59" s="573">
        <f t="shared" si="4"/>
        <v>3.9903846153846154</v>
      </c>
      <c r="I59" s="578"/>
      <c r="J59" s="576"/>
    </row>
    <row r="60" spans="3:10" ht="11.25" customHeight="1">
      <c r="C60" s="571"/>
      <c r="D60" s="572">
        <f>'Rent Roll CMHC'!D41</f>
        <v>39</v>
      </c>
      <c r="E60" s="571" t="str">
        <f>IF('Rent Roll CMHC'!M41="Yes",'Rent Roll CMHC'!A41&amp;" (Affordable)",'Rent Roll CMHC'!A41)</f>
        <v>1 Bedroom</v>
      </c>
      <c r="F60" s="561">
        <f>'Rent Roll CMHC'!J41</f>
        <v>624</v>
      </c>
      <c r="G60" s="563">
        <f>'Rent Roll CMHC'!F41</f>
        <v>2490</v>
      </c>
      <c r="H60" s="573">
        <f t="shared" si="4"/>
        <v>3.9903846153846154</v>
      </c>
      <c r="I60" s="578"/>
      <c r="J60" s="576"/>
    </row>
    <row r="61" spans="3:10" ht="11.25" customHeight="1">
      <c r="C61" s="571"/>
      <c r="D61" s="572">
        <f>'Rent Roll CMHC'!D42</f>
        <v>40</v>
      </c>
      <c r="E61" s="571" t="str">
        <f>IF('Rent Roll CMHC'!M42="Yes",'Rent Roll CMHC'!A42&amp;" (Affordable)",'Rent Roll CMHC'!A42)</f>
        <v>1 Bedroom</v>
      </c>
      <c r="F61" s="561">
        <f>'Rent Roll CMHC'!J42</f>
        <v>624</v>
      </c>
      <c r="G61" s="563">
        <f>'Rent Roll CMHC'!F42</f>
        <v>2490</v>
      </c>
      <c r="H61" s="573">
        <f t="shared" si="4"/>
        <v>3.9903846153846154</v>
      </c>
      <c r="I61" s="578"/>
      <c r="J61" s="576"/>
    </row>
    <row r="62" spans="3:10" ht="11.25" customHeight="1">
      <c r="C62" s="571"/>
      <c r="D62" s="572">
        <f>'Rent Roll CMHC'!D43</f>
        <v>41</v>
      </c>
      <c r="E62" s="571" t="str">
        <f>IF('Rent Roll CMHC'!M43="Yes",'Rent Roll CMHC'!A43&amp;" (Affordable)",'Rent Roll CMHC'!A43)</f>
        <v>1 Bedroom</v>
      </c>
      <c r="F62" s="561">
        <f>'Rent Roll CMHC'!J43</f>
        <v>624</v>
      </c>
      <c r="G62" s="563">
        <f>'Rent Roll CMHC'!F43</f>
        <v>2490</v>
      </c>
      <c r="H62" s="573">
        <f t="shared" si="4"/>
        <v>3.9903846153846154</v>
      </c>
      <c r="I62" s="578"/>
      <c r="J62" s="576"/>
    </row>
    <row r="63" spans="3:10" ht="11.25" customHeight="1">
      <c r="C63" s="571"/>
      <c r="D63" s="572">
        <f>'Rent Roll CMHC'!D44</f>
        <v>42</v>
      </c>
      <c r="E63" s="571" t="str">
        <f>IF('Rent Roll CMHC'!M44="Yes",'Rent Roll CMHC'!A44&amp;" (Affordable)",'Rent Roll CMHC'!A44)</f>
        <v>1 Bedroom</v>
      </c>
      <c r="F63" s="561">
        <f>'Rent Roll CMHC'!J44</f>
        <v>624</v>
      </c>
      <c r="G63" s="563">
        <f>'Rent Roll CMHC'!F44</f>
        <v>2490</v>
      </c>
      <c r="H63" s="573">
        <f t="shared" si="4"/>
        <v>3.9903846153846154</v>
      </c>
      <c r="I63" s="578"/>
      <c r="J63" s="576"/>
    </row>
    <row r="64" spans="3:10" ht="11.25" customHeight="1">
      <c r="C64" s="571"/>
      <c r="D64" s="572">
        <f>'Rent Roll CMHC'!D45</f>
        <v>43</v>
      </c>
      <c r="E64" s="571" t="str">
        <f>IF('Rent Roll CMHC'!M45="Yes",'Rent Roll CMHC'!A45&amp;" (Affordable)",'Rent Roll CMHC'!A45)</f>
        <v>1 Bedroom</v>
      </c>
      <c r="F64" s="561">
        <f>'Rent Roll CMHC'!J45</f>
        <v>624</v>
      </c>
      <c r="G64" s="563">
        <f>'Rent Roll CMHC'!F45</f>
        <v>2490</v>
      </c>
      <c r="H64" s="573">
        <f t="shared" si="4"/>
        <v>3.9903846153846154</v>
      </c>
      <c r="I64" s="578"/>
      <c r="J64" s="576"/>
    </row>
    <row r="65" spans="3:10" ht="11.25" customHeight="1">
      <c r="C65" s="571"/>
      <c r="D65" s="572">
        <f>'Rent Roll CMHC'!D46</f>
        <v>44</v>
      </c>
      <c r="E65" s="571" t="str">
        <f>IF('Rent Roll CMHC'!M46="Yes",'Rent Roll CMHC'!A46&amp;" (Affordable)",'Rent Roll CMHC'!A46)</f>
        <v>1 Bedroom</v>
      </c>
      <c r="F65" s="561">
        <f>'Rent Roll CMHC'!J46</f>
        <v>624</v>
      </c>
      <c r="G65" s="563">
        <f>'Rent Roll CMHC'!F46</f>
        <v>2490</v>
      </c>
      <c r="H65" s="573">
        <f t="shared" si="4"/>
        <v>3.9903846153846154</v>
      </c>
      <c r="I65" s="578"/>
      <c r="J65" s="576"/>
    </row>
    <row r="66" spans="3:10" ht="11.25" customHeight="1">
      <c r="C66" s="571"/>
      <c r="D66" s="572">
        <f>'Rent Roll CMHC'!D47</f>
        <v>45</v>
      </c>
      <c r="E66" s="571" t="str">
        <f>IF('Rent Roll CMHC'!M47="Yes",'Rent Roll CMHC'!A47&amp;" (Affordable)",'Rent Roll CMHC'!A47)</f>
        <v>1 Bedroom</v>
      </c>
      <c r="F66" s="561">
        <f>'Rent Roll CMHC'!J47</f>
        <v>624</v>
      </c>
      <c r="G66" s="563">
        <f>'Rent Roll CMHC'!F47</f>
        <v>2490</v>
      </c>
      <c r="H66" s="573">
        <f t="shared" si="4"/>
        <v>3.9903846153846154</v>
      </c>
      <c r="I66" s="578"/>
      <c r="J66" s="576"/>
    </row>
    <row r="67" spans="3:10" ht="11.25" customHeight="1">
      <c r="C67" s="571"/>
      <c r="D67" s="572">
        <f>'Rent Roll CMHC'!D48</f>
        <v>46</v>
      </c>
      <c r="E67" s="571" t="str">
        <f>IF('Rent Roll CMHC'!M48="Yes",'Rent Roll CMHC'!A48&amp;" (Affordable)",'Rent Roll CMHC'!A48)</f>
        <v>1 Bedroom</v>
      </c>
      <c r="F67" s="561">
        <f>'Rent Roll CMHC'!J48</f>
        <v>624</v>
      </c>
      <c r="G67" s="563">
        <f>'Rent Roll CMHC'!F48</f>
        <v>2490</v>
      </c>
      <c r="H67" s="573">
        <f t="shared" si="4"/>
        <v>3.9903846153846154</v>
      </c>
      <c r="I67" s="578"/>
      <c r="J67" s="576"/>
    </row>
    <row r="68" spans="3:10" ht="11.25" customHeight="1">
      <c r="C68" s="571"/>
      <c r="D68" s="572">
        <f>'Rent Roll CMHC'!D49</f>
        <v>47</v>
      </c>
      <c r="E68" s="571" t="str">
        <f>IF('Rent Roll CMHC'!M49="Yes",'Rent Roll CMHC'!A49&amp;" (Affordable)",'Rent Roll CMHC'!A49)</f>
        <v>1 Bedroom</v>
      </c>
      <c r="F68" s="561">
        <f>'Rent Roll CMHC'!J49</f>
        <v>624</v>
      </c>
      <c r="G68" s="563">
        <f>'Rent Roll CMHC'!F49</f>
        <v>2490</v>
      </c>
      <c r="H68" s="573">
        <f t="shared" si="4"/>
        <v>3.9903846153846154</v>
      </c>
      <c r="I68" s="578"/>
      <c r="J68" s="576"/>
    </row>
    <row r="69" spans="3:10" ht="11.25" customHeight="1">
      <c r="C69" s="571"/>
      <c r="D69" s="572">
        <f>'Rent Roll CMHC'!D50</f>
        <v>48</v>
      </c>
      <c r="E69" s="571" t="str">
        <f>IF('Rent Roll CMHC'!M50="Yes",'Rent Roll CMHC'!A50&amp;" (Affordable)",'Rent Roll CMHC'!A50)</f>
        <v>1 Bedroom</v>
      </c>
      <c r="F69" s="561">
        <f>'Rent Roll CMHC'!J50</f>
        <v>624</v>
      </c>
      <c r="G69" s="563">
        <f>'Rent Roll CMHC'!F50</f>
        <v>2490</v>
      </c>
      <c r="H69" s="573">
        <f t="shared" si="4"/>
        <v>3.9903846153846154</v>
      </c>
      <c r="I69" s="578"/>
      <c r="J69" s="576"/>
    </row>
    <row r="70" spans="3:10" ht="11.25" customHeight="1">
      <c r="C70" s="571"/>
      <c r="D70" s="572">
        <f>'Rent Roll CMHC'!D51</f>
        <v>49</v>
      </c>
      <c r="E70" s="571" t="str">
        <f>IF('Rent Roll CMHC'!M51="Yes",'Rent Roll CMHC'!A51&amp;" (Affordable)",'Rent Roll CMHC'!A51)</f>
        <v>1 Bedroom</v>
      </c>
      <c r="F70" s="561">
        <f>'Rent Roll CMHC'!J51</f>
        <v>624</v>
      </c>
      <c r="G70" s="563">
        <f>'Rent Roll CMHC'!F51</f>
        <v>2490</v>
      </c>
      <c r="H70" s="573">
        <f t="shared" si="4"/>
        <v>3.9903846153846154</v>
      </c>
      <c r="I70" s="578"/>
      <c r="J70" s="576"/>
    </row>
    <row r="71" spans="3:10" ht="11.25" customHeight="1">
      <c r="C71" s="571"/>
      <c r="D71" s="572">
        <f>'Rent Roll CMHC'!D52</f>
        <v>50</v>
      </c>
      <c r="E71" s="571" t="str">
        <f>IF('Rent Roll CMHC'!M52="Yes",'Rent Roll CMHC'!A52&amp;" (Affordable)",'Rent Roll CMHC'!A52)</f>
        <v>1 Bedroom</v>
      </c>
      <c r="F71" s="561">
        <f>'Rent Roll CMHC'!J52</f>
        <v>624</v>
      </c>
      <c r="G71" s="563">
        <f>'Rent Roll CMHC'!F52</f>
        <v>2490</v>
      </c>
      <c r="H71" s="573">
        <f t="shared" si="4"/>
        <v>3.9903846153846154</v>
      </c>
      <c r="I71" s="578"/>
      <c r="J71" s="576"/>
    </row>
    <row r="72" spans="3:10" ht="11.25" customHeight="1">
      <c r="C72" s="571"/>
      <c r="D72" s="572">
        <f>'Rent Roll CMHC'!D53</f>
        <v>51</v>
      </c>
      <c r="E72" s="571" t="str">
        <f>IF('Rent Roll CMHC'!M53="Yes",'Rent Roll CMHC'!A53&amp;" (Affordable)",'Rent Roll CMHC'!A53)</f>
        <v>1 Bedroom</v>
      </c>
      <c r="F72" s="561">
        <f>'Rent Roll CMHC'!J53</f>
        <v>624</v>
      </c>
      <c r="G72" s="563">
        <f>'Rent Roll CMHC'!F53</f>
        <v>2490</v>
      </c>
      <c r="H72" s="573">
        <f t="shared" si="4"/>
        <v>3.9903846153846154</v>
      </c>
      <c r="I72" s="578"/>
      <c r="J72" s="576"/>
    </row>
    <row r="73" spans="3:10" ht="11.25" customHeight="1">
      <c r="C73" s="571"/>
      <c r="D73" s="572">
        <f>'Rent Roll CMHC'!D54</f>
        <v>52</v>
      </c>
      <c r="E73" s="571" t="str">
        <f>IF('Rent Roll CMHC'!M54="Yes",'Rent Roll CMHC'!A54&amp;" (Affordable)",'Rent Roll CMHC'!A54)</f>
        <v>1 Bedroom</v>
      </c>
      <c r="F73" s="561">
        <f>'Rent Roll CMHC'!J54</f>
        <v>624</v>
      </c>
      <c r="G73" s="563">
        <f>'Rent Roll CMHC'!F54</f>
        <v>2490</v>
      </c>
      <c r="H73" s="573">
        <f t="shared" si="4"/>
        <v>3.9903846153846154</v>
      </c>
      <c r="I73" s="578"/>
      <c r="J73" s="576"/>
    </row>
    <row r="74" spans="3:10" ht="11.25" customHeight="1">
      <c r="C74" s="571"/>
      <c r="D74" s="572">
        <f>'Rent Roll CMHC'!D55</f>
        <v>53</v>
      </c>
      <c r="E74" s="571" t="str">
        <f>IF('Rent Roll CMHC'!M55="Yes",'Rent Roll CMHC'!A55&amp;" (Affordable)",'Rent Roll CMHC'!A55)</f>
        <v>1 Bedroom</v>
      </c>
      <c r="F74" s="561">
        <f>'Rent Roll CMHC'!J55</f>
        <v>624</v>
      </c>
      <c r="G74" s="563">
        <f>'Rent Roll CMHC'!F55</f>
        <v>2490</v>
      </c>
      <c r="H74" s="573">
        <f t="shared" si="4"/>
        <v>3.9903846153846154</v>
      </c>
      <c r="I74" s="578"/>
      <c r="J74" s="576"/>
    </row>
    <row r="75" spans="3:10" ht="11.25" customHeight="1">
      <c r="C75" s="571"/>
      <c r="D75" s="572">
        <f>'Rent Roll CMHC'!D56</f>
        <v>54</v>
      </c>
      <c r="E75" s="571" t="str">
        <f>IF('Rent Roll CMHC'!M56="Yes",'Rent Roll CMHC'!A56&amp;" (Affordable)",'Rent Roll CMHC'!A56)</f>
        <v>1 Bedroom</v>
      </c>
      <c r="F75" s="561">
        <f>'Rent Roll CMHC'!J56</f>
        <v>624</v>
      </c>
      <c r="G75" s="563">
        <f>'Rent Roll CMHC'!F56</f>
        <v>2490</v>
      </c>
      <c r="H75" s="573">
        <f t="shared" si="4"/>
        <v>3.9903846153846154</v>
      </c>
      <c r="I75" s="578"/>
      <c r="J75" s="576"/>
    </row>
    <row r="76" spans="3:10" ht="11.25" customHeight="1">
      <c r="C76" s="571"/>
      <c r="D76" s="572">
        <f>'Rent Roll CMHC'!D57</f>
        <v>55</v>
      </c>
      <c r="E76" s="571" t="str">
        <f>IF('Rent Roll CMHC'!M57="Yes",'Rent Roll CMHC'!A57&amp;" (Affordable)",'Rent Roll CMHC'!A57)</f>
        <v>1 Bedroom</v>
      </c>
      <c r="F76" s="561">
        <f>'Rent Roll CMHC'!J57</f>
        <v>624</v>
      </c>
      <c r="G76" s="563">
        <f>'Rent Roll CMHC'!F57</f>
        <v>2490</v>
      </c>
      <c r="H76" s="573">
        <f t="shared" si="4"/>
        <v>3.9903846153846154</v>
      </c>
      <c r="I76" s="578"/>
      <c r="J76" s="576"/>
    </row>
    <row r="77" spans="3:10" ht="11.25" customHeight="1">
      <c r="C77" s="571"/>
      <c r="D77" s="572">
        <f>'Rent Roll CMHC'!D58</f>
        <v>56</v>
      </c>
      <c r="E77" s="571" t="str">
        <f>IF('Rent Roll CMHC'!M58="Yes",'Rent Roll CMHC'!A58&amp;" (Affordable)",'Rent Roll CMHC'!A58)</f>
        <v>1 Bedroom</v>
      </c>
      <c r="F77" s="561">
        <f>'Rent Roll CMHC'!J58</f>
        <v>624</v>
      </c>
      <c r="G77" s="563">
        <f>'Rent Roll CMHC'!F58</f>
        <v>2490</v>
      </c>
      <c r="H77" s="573">
        <f t="shared" si="4"/>
        <v>3.9903846153846154</v>
      </c>
      <c r="I77" s="578"/>
      <c r="J77" s="576"/>
    </row>
    <row r="78" spans="3:10" ht="11.25" customHeight="1">
      <c r="C78" s="571"/>
      <c r="D78" s="572">
        <f>'Rent Roll CMHC'!D59</f>
        <v>57</v>
      </c>
      <c r="E78" s="571" t="str">
        <f>IF('Rent Roll CMHC'!M59="Yes",'Rent Roll CMHC'!A59&amp;" (Affordable)",'Rent Roll CMHC'!A59)</f>
        <v>1 Bedroom</v>
      </c>
      <c r="F78" s="561">
        <f>'Rent Roll CMHC'!J59</f>
        <v>624</v>
      </c>
      <c r="G78" s="563">
        <f>'Rent Roll CMHC'!F59</f>
        <v>2490</v>
      </c>
      <c r="H78" s="573">
        <f t="shared" si="4"/>
        <v>3.9903846153846154</v>
      </c>
      <c r="I78" s="578"/>
      <c r="J78" s="576"/>
    </row>
    <row r="79" spans="3:10" ht="11.25" customHeight="1">
      <c r="C79" s="571"/>
      <c r="D79" s="572">
        <f>'Rent Roll CMHC'!D60</f>
        <v>58</v>
      </c>
      <c r="E79" s="571" t="str">
        <f>IF('Rent Roll CMHC'!M60="Yes",'Rent Roll CMHC'!A60&amp;" (Affordable)",'Rent Roll CMHC'!A60)</f>
        <v>1 Bedroom</v>
      </c>
      <c r="F79" s="561">
        <f>'Rent Roll CMHC'!J60</f>
        <v>624</v>
      </c>
      <c r="G79" s="563">
        <f>'Rent Roll CMHC'!F60</f>
        <v>2490</v>
      </c>
      <c r="H79" s="573">
        <f t="shared" si="4"/>
        <v>3.9903846153846154</v>
      </c>
      <c r="I79" s="578"/>
      <c r="J79" s="576"/>
    </row>
    <row r="80" spans="3:10" ht="11.25" customHeight="1">
      <c r="C80" s="571"/>
      <c r="D80" s="572">
        <f>'Rent Roll CMHC'!D61</f>
        <v>59</v>
      </c>
      <c r="E80" s="571" t="str">
        <f>IF('Rent Roll CMHC'!M61="Yes",'Rent Roll CMHC'!A61&amp;" (Affordable)",'Rent Roll CMHC'!A61)</f>
        <v>1 Bedroom</v>
      </c>
      <c r="F80" s="561">
        <f>'Rent Roll CMHC'!J61</f>
        <v>624</v>
      </c>
      <c r="G80" s="563">
        <f>'Rent Roll CMHC'!F61</f>
        <v>2490</v>
      </c>
      <c r="H80" s="573">
        <f t="shared" si="4"/>
        <v>3.9903846153846154</v>
      </c>
      <c r="I80" s="578"/>
      <c r="J80" s="576"/>
    </row>
    <row r="81" spans="3:10" ht="11.25" customHeight="1">
      <c r="C81" s="571"/>
      <c r="D81" s="572">
        <f>'Rent Roll CMHC'!D62</f>
        <v>60</v>
      </c>
      <c r="E81" s="571" t="str">
        <f>IF('Rent Roll CMHC'!M62="Yes",'Rent Roll CMHC'!A62&amp;" (Affordable)",'Rent Roll CMHC'!A62)</f>
        <v>1 Bedroom</v>
      </c>
      <c r="F81" s="561">
        <f>'Rent Roll CMHC'!J62</f>
        <v>624</v>
      </c>
      <c r="G81" s="563">
        <f>'Rent Roll CMHC'!F62</f>
        <v>2490</v>
      </c>
      <c r="H81" s="573">
        <f t="shared" si="4"/>
        <v>3.9903846153846154</v>
      </c>
      <c r="I81" s="578"/>
      <c r="J81" s="576"/>
    </row>
    <row r="82" spans="3:10" ht="11.25" customHeight="1">
      <c r="C82" s="571"/>
      <c r="D82" s="572">
        <f>'Rent Roll CMHC'!D63</f>
        <v>61</v>
      </c>
      <c r="E82" s="571" t="str">
        <f>IF('Rent Roll CMHC'!M63="Yes",'Rent Roll CMHC'!A63&amp;" (Affordable)",'Rent Roll CMHC'!A63)</f>
        <v>1 Bedroom</v>
      </c>
      <c r="F82" s="561">
        <f>'Rent Roll CMHC'!J63</f>
        <v>624</v>
      </c>
      <c r="G82" s="563">
        <f>'Rent Roll CMHC'!F63</f>
        <v>2490</v>
      </c>
      <c r="H82" s="573">
        <f t="shared" si="4"/>
        <v>3.9903846153846154</v>
      </c>
      <c r="I82" s="578"/>
      <c r="J82" s="576"/>
    </row>
    <row r="83" spans="3:10" ht="11.25" customHeight="1">
      <c r="C83" s="571"/>
      <c r="D83" s="572">
        <f>'Rent Roll CMHC'!D64</f>
        <v>62</v>
      </c>
      <c r="E83" s="571" t="str">
        <f>IF('Rent Roll CMHC'!M64="Yes",'Rent Roll CMHC'!A64&amp;" (Affordable)",'Rent Roll CMHC'!A64)</f>
        <v>1 Bedroom</v>
      </c>
      <c r="F83" s="561">
        <f>'Rent Roll CMHC'!J64</f>
        <v>624</v>
      </c>
      <c r="G83" s="563">
        <f>'Rent Roll CMHC'!F64</f>
        <v>2490</v>
      </c>
      <c r="H83" s="573">
        <f t="shared" si="4"/>
        <v>3.9903846153846154</v>
      </c>
      <c r="I83" s="578"/>
      <c r="J83" s="576"/>
    </row>
    <row r="84" spans="3:10" ht="11.25" customHeight="1">
      <c r="C84" s="571"/>
      <c r="D84" s="572">
        <f>'Rent Roll CMHC'!D65</f>
        <v>63</v>
      </c>
      <c r="E84" s="571" t="str">
        <f>IF('Rent Roll CMHC'!M65="Yes",'Rent Roll CMHC'!A65&amp;" (Affordable)",'Rent Roll CMHC'!A65)</f>
        <v>1 Bedroom</v>
      </c>
      <c r="F84" s="561">
        <f>'Rent Roll CMHC'!J65</f>
        <v>624</v>
      </c>
      <c r="G84" s="563">
        <f>'Rent Roll CMHC'!F65</f>
        <v>2490</v>
      </c>
      <c r="H84" s="573">
        <f t="shared" si="4"/>
        <v>3.9903846153846154</v>
      </c>
      <c r="I84" s="578"/>
      <c r="J84" s="576"/>
    </row>
    <row r="85" spans="3:10" ht="11.25" customHeight="1">
      <c r="C85" s="571"/>
      <c r="D85" s="572">
        <f>'Rent Roll CMHC'!D66</f>
        <v>64</v>
      </c>
      <c r="E85" s="571" t="str">
        <f>IF('Rent Roll CMHC'!M66="Yes",'Rent Roll CMHC'!A66&amp;" (Affordable)",'Rent Roll CMHC'!A66)</f>
        <v>1 Bedroom</v>
      </c>
      <c r="F85" s="561">
        <f>'Rent Roll CMHC'!J66</f>
        <v>624</v>
      </c>
      <c r="G85" s="563">
        <f>'Rent Roll CMHC'!F66</f>
        <v>2490</v>
      </c>
      <c r="H85" s="573">
        <f t="shared" si="4"/>
        <v>3.9903846153846154</v>
      </c>
      <c r="I85" s="578"/>
      <c r="J85" s="576"/>
    </row>
    <row r="86" spans="3:10" ht="11.25" customHeight="1">
      <c r="C86" s="571"/>
      <c r="D86" s="572">
        <f>'Rent Roll CMHC'!D67</f>
        <v>65</v>
      </c>
      <c r="E86" s="571" t="str">
        <f>IF('Rent Roll CMHC'!M67="Yes",'Rent Roll CMHC'!A67&amp;" (Affordable)",'Rent Roll CMHC'!A67)</f>
        <v>1 Bedroom</v>
      </c>
      <c r="F86" s="561">
        <f>'Rent Roll CMHC'!J67</f>
        <v>624</v>
      </c>
      <c r="G86" s="563">
        <f>'Rent Roll CMHC'!F67</f>
        <v>2490</v>
      </c>
      <c r="H86" s="573">
        <f t="shared" si="4"/>
        <v>3.9903846153846154</v>
      </c>
      <c r="I86" s="578"/>
      <c r="J86" s="576"/>
    </row>
    <row r="87" spans="3:10" ht="11.25" customHeight="1">
      <c r="C87" s="571"/>
      <c r="D87" s="572">
        <f>'Rent Roll CMHC'!D68</f>
        <v>66</v>
      </c>
      <c r="E87" s="571" t="str">
        <f>IF('Rent Roll CMHC'!M68="Yes",'Rent Roll CMHC'!A68&amp;" (Affordable)",'Rent Roll CMHC'!A68)</f>
        <v>1 Bedroom</v>
      </c>
      <c r="F87" s="561">
        <f>'Rent Roll CMHC'!J68</f>
        <v>624</v>
      </c>
      <c r="G87" s="563">
        <f>'Rent Roll CMHC'!F68</f>
        <v>2490</v>
      </c>
      <c r="H87" s="573">
        <f t="shared" si="4"/>
        <v>3.9903846153846154</v>
      </c>
      <c r="I87" s="578"/>
      <c r="J87" s="576"/>
    </row>
    <row r="88" spans="3:10" ht="11.25" customHeight="1">
      <c r="C88" s="571"/>
      <c r="D88" s="572">
        <f>'Rent Roll CMHC'!D69</f>
        <v>67</v>
      </c>
      <c r="E88" s="571" t="str">
        <f>IF('Rent Roll CMHC'!M69="Yes",'Rent Roll CMHC'!A69&amp;" (Affordable)",'Rent Roll CMHC'!A69)</f>
        <v>1 Bedroom</v>
      </c>
      <c r="F88" s="561">
        <f>'Rent Roll CMHC'!J69</f>
        <v>624</v>
      </c>
      <c r="G88" s="563">
        <f>'Rent Roll CMHC'!F69</f>
        <v>2490</v>
      </c>
      <c r="H88" s="573">
        <f t="shared" si="4"/>
        <v>3.9903846153846154</v>
      </c>
      <c r="I88" s="578"/>
      <c r="J88" s="576"/>
    </row>
    <row r="89" spans="3:10" ht="11.25" customHeight="1">
      <c r="C89" s="571"/>
      <c r="D89" s="572">
        <f>'Rent Roll CMHC'!D70</f>
        <v>68</v>
      </c>
      <c r="E89" s="571" t="str">
        <f>IF('Rent Roll CMHC'!M70="Yes",'Rent Roll CMHC'!A70&amp;" (Affordable)",'Rent Roll CMHC'!A70)</f>
        <v>1 Bedroom</v>
      </c>
      <c r="F89" s="561">
        <f>'Rent Roll CMHC'!J70</f>
        <v>624</v>
      </c>
      <c r="G89" s="563">
        <f>'Rent Roll CMHC'!F70</f>
        <v>2490</v>
      </c>
      <c r="H89" s="573">
        <f t="shared" si="4"/>
        <v>3.9903846153846154</v>
      </c>
      <c r="I89" s="578"/>
      <c r="J89" s="576"/>
    </row>
    <row r="90" spans="3:10" ht="11.25" customHeight="1">
      <c r="C90" s="571"/>
      <c r="D90" s="572">
        <f>'Rent Roll CMHC'!D71</f>
        <v>69</v>
      </c>
      <c r="E90" s="571" t="str">
        <f>IF('Rent Roll CMHC'!M71="Yes",'Rent Roll CMHC'!A71&amp;" (Affordable)",'Rent Roll CMHC'!A71)</f>
        <v>1 Bedroom</v>
      </c>
      <c r="F90" s="561">
        <f>'Rent Roll CMHC'!J71</f>
        <v>624</v>
      </c>
      <c r="G90" s="563">
        <f>'Rent Roll CMHC'!F71</f>
        <v>2490</v>
      </c>
      <c r="H90" s="573">
        <f t="shared" si="4"/>
        <v>3.9903846153846154</v>
      </c>
      <c r="I90" s="578"/>
      <c r="J90" s="576"/>
    </row>
    <row r="91" spans="3:10" ht="11.25" customHeight="1">
      <c r="C91" s="571"/>
      <c r="D91" s="572">
        <f>'Rent Roll CMHC'!D72</f>
        <v>70</v>
      </c>
      <c r="E91" s="571" t="str">
        <f>IF('Rent Roll CMHC'!M72="Yes",'Rent Roll CMHC'!A72&amp;" (Affordable)",'Rent Roll CMHC'!A72)</f>
        <v>1 Bedroom</v>
      </c>
      <c r="F91" s="561">
        <f>'Rent Roll CMHC'!J72</f>
        <v>624</v>
      </c>
      <c r="G91" s="563">
        <f>'Rent Roll CMHC'!F72</f>
        <v>2490</v>
      </c>
      <c r="H91" s="573">
        <f t="shared" si="4"/>
        <v>3.9903846153846154</v>
      </c>
      <c r="I91" s="578"/>
      <c r="J91" s="576"/>
    </row>
    <row r="92" spans="3:10" ht="11.25" customHeight="1">
      <c r="C92" s="571"/>
      <c r="D92" s="572">
        <f>'Rent Roll CMHC'!D73</f>
        <v>71</v>
      </c>
      <c r="E92" s="571" t="str">
        <f>IF('Rent Roll CMHC'!M73="Yes",'Rent Roll CMHC'!A73&amp;" (Affordable)",'Rent Roll CMHC'!A73)</f>
        <v>1 Bedroom</v>
      </c>
      <c r="F92" s="561">
        <f>'Rent Roll CMHC'!J73</f>
        <v>624</v>
      </c>
      <c r="G92" s="563">
        <f>'Rent Roll CMHC'!F73</f>
        <v>2490</v>
      </c>
      <c r="H92" s="573">
        <f t="shared" si="4"/>
        <v>3.9903846153846154</v>
      </c>
      <c r="I92" s="578"/>
      <c r="J92" s="576"/>
    </row>
    <row r="93" spans="3:10" ht="11.25" customHeight="1">
      <c r="C93" s="571"/>
      <c r="D93" s="572">
        <f>'Rent Roll CMHC'!D74</f>
        <v>72</v>
      </c>
      <c r="E93" s="571" t="str">
        <f>IF('Rent Roll CMHC'!M74="Yes",'Rent Roll CMHC'!A74&amp;" (Affordable)",'Rent Roll CMHC'!A74)</f>
        <v>1 Bedroom</v>
      </c>
      <c r="F93" s="561">
        <f>'Rent Roll CMHC'!J74</f>
        <v>624</v>
      </c>
      <c r="G93" s="563">
        <f>'Rent Roll CMHC'!F74</f>
        <v>2490</v>
      </c>
      <c r="H93" s="573">
        <f t="shared" si="4"/>
        <v>3.9903846153846154</v>
      </c>
      <c r="I93" s="578"/>
      <c r="J93" s="576"/>
    </row>
    <row r="94" spans="3:10" ht="11.25" customHeight="1">
      <c r="C94" s="571"/>
      <c r="D94" s="572">
        <f>'Rent Roll CMHC'!D75</f>
        <v>73</v>
      </c>
      <c r="E94" s="571" t="str">
        <f>IF('Rent Roll CMHC'!M75="Yes",'Rent Roll CMHC'!A75&amp;" (Affordable)",'Rent Roll CMHC'!A75)</f>
        <v>1 Bedroom</v>
      </c>
      <c r="F94" s="561">
        <f>'Rent Roll CMHC'!J75</f>
        <v>624</v>
      </c>
      <c r="G94" s="563">
        <f>'Rent Roll CMHC'!F75</f>
        <v>2490</v>
      </c>
      <c r="H94" s="573">
        <f t="shared" si="4"/>
        <v>3.9903846153846154</v>
      </c>
      <c r="I94" s="578"/>
      <c r="J94" s="576"/>
    </row>
    <row r="95" spans="3:10" ht="11.25" customHeight="1">
      <c r="C95" s="571"/>
      <c r="D95" s="572">
        <f>'Rent Roll CMHC'!D76</f>
        <v>74</v>
      </c>
      <c r="E95" s="571" t="str">
        <f>IF('Rent Roll CMHC'!M76="Yes",'Rent Roll CMHC'!A76&amp;" (Affordable)",'Rent Roll CMHC'!A76)</f>
        <v>1 Bedroom</v>
      </c>
      <c r="F95" s="561">
        <f>'Rent Roll CMHC'!J76</f>
        <v>624</v>
      </c>
      <c r="G95" s="563">
        <f>'Rent Roll CMHC'!F76</f>
        <v>2490</v>
      </c>
      <c r="H95" s="573">
        <f t="shared" si="4"/>
        <v>3.9903846153846154</v>
      </c>
      <c r="I95" s="578"/>
      <c r="J95" s="576"/>
    </row>
    <row r="96" spans="3:10" ht="11.25" customHeight="1">
      <c r="C96" s="571"/>
      <c r="D96" s="572">
        <f>'Rent Roll CMHC'!D77</f>
        <v>75</v>
      </c>
      <c r="E96" s="571" t="str">
        <f>IF('Rent Roll CMHC'!M77="Yes",'Rent Roll CMHC'!A77&amp;" (Affordable)",'Rent Roll CMHC'!A77)</f>
        <v>1 Bedroom</v>
      </c>
      <c r="F96" s="561">
        <f>'Rent Roll CMHC'!J77</f>
        <v>624</v>
      </c>
      <c r="G96" s="563">
        <f>'Rent Roll CMHC'!F77</f>
        <v>2490</v>
      </c>
      <c r="H96" s="573">
        <f t="shared" si="4"/>
        <v>3.9903846153846154</v>
      </c>
      <c r="I96" s="578"/>
      <c r="J96" s="576"/>
    </row>
    <row r="97" spans="3:10" ht="11.25" customHeight="1">
      <c r="C97" s="571"/>
      <c r="D97" s="572">
        <f>'Rent Roll CMHC'!D78</f>
        <v>76</v>
      </c>
      <c r="E97" s="571" t="str">
        <f>IF('Rent Roll CMHC'!M78="Yes",'Rent Roll CMHC'!A78&amp;" (Affordable)",'Rent Roll CMHC'!A78)</f>
        <v>1 Bedroom</v>
      </c>
      <c r="F97" s="561">
        <f>'Rent Roll CMHC'!J78</f>
        <v>624</v>
      </c>
      <c r="G97" s="563">
        <f>'Rent Roll CMHC'!F78</f>
        <v>2490</v>
      </c>
      <c r="H97" s="573">
        <f t="shared" si="4"/>
        <v>3.9903846153846154</v>
      </c>
      <c r="I97" s="578"/>
      <c r="J97" s="576"/>
    </row>
    <row r="98" spans="3:10" ht="11.25" customHeight="1">
      <c r="C98" s="571"/>
      <c r="D98" s="572">
        <f>'Rent Roll CMHC'!D79</f>
        <v>77</v>
      </c>
      <c r="E98" s="571" t="str">
        <f>IF('Rent Roll CMHC'!M79="Yes",'Rent Roll CMHC'!A79&amp;" (Affordable)",'Rent Roll CMHC'!A79)</f>
        <v>1 Bedroom</v>
      </c>
      <c r="F98" s="561">
        <f>'Rent Roll CMHC'!J79</f>
        <v>624</v>
      </c>
      <c r="G98" s="563">
        <f>'Rent Roll CMHC'!F79</f>
        <v>2490</v>
      </c>
      <c r="H98" s="573">
        <f t="shared" si="4"/>
        <v>3.9903846153846154</v>
      </c>
      <c r="I98" s="578"/>
      <c r="J98" s="576"/>
    </row>
    <row r="99" spans="3:10" ht="11.25" customHeight="1">
      <c r="C99" s="571"/>
      <c r="D99" s="572">
        <f>'Rent Roll CMHC'!D80</f>
        <v>78</v>
      </c>
      <c r="E99" s="571" t="str">
        <f>IF('Rent Roll CMHC'!M80="Yes",'Rent Roll CMHC'!A80&amp;" (Affordable)",'Rent Roll CMHC'!A80)</f>
        <v>1 Bedroom</v>
      </c>
      <c r="F99" s="561">
        <f>'Rent Roll CMHC'!J80</f>
        <v>624</v>
      </c>
      <c r="G99" s="563">
        <f>'Rent Roll CMHC'!F80</f>
        <v>2490</v>
      </c>
      <c r="H99" s="573">
        <f t="shared" si="4"/>
        <v>3.9903846153846154</v>
      </c>
      <c r="I99" s="578"/>
      <c r="J99" s="576"/>
    </row>
    <row r="100" spans="3:10" ht="11.25" customHeight="1">
      <c r="D100" s="572">
        <f>'Rent Roll CMHC'!D81</f>
        <v>79</v>
      </c>
      <c r="E100" s="571" t="str">
        <f>IF('Rent Roll CMHC'!M81="Yes",'Rent Roll CMHC'!A81&amp;" (Affordable)",'Rent Roll CMHC'!A81)</f>
        <v>1 Bedroom</v>
      </c>
      <c r="F100" s="561">
        <f>'Rent Roll CMHC'!J81</f>
        <v>624</v>
      </c>
      <c r="G100" s="563">
        <f>'Rent Roll CMHC'!F81</f>
        <v>2490</v>
      </c>
      <c r="H100" s="573">
        <f t="shared" si="4"/>
        <v>3.9903846153846154</v>
      </c>
    </row>
    <row r="101" spans="3:10">
      <c r="D101" s="572">
        <f>'Rent Roll CMHC'!D82</f>
        <v>80</v>
      </c>
      <c r="E101" s="571" t="str">
        <f>IF('Rent Roll CMHC'!M82="Yes",'Rent Roll CMHC'!A82&amp;" (Affordable)",'Rent Roll CMHC'!A82)</f>
        <v>1 Bedroom</v>
      </c>
      <c r="F101" s="561">
        <f>'Rent Roll CMHC'!J82</f>
        <v>624</v>
      </c>
      <c r="G101" s="563">
        <f>'Rent Roll CMHC'!F82</f>
        <v>2490</v>
      </c>
      <c r="H101" s="573">
        <f t="shared" si="4"/>
        <v>3.9903846153846154</v>
      </c>
    </row>
    <row r="102" spans="3:10">
      <c r="D102" s="572">
        <f>'Rent Roll CMHC'!D83</f>
        <v>81</v>
      </c>
      <c r="E102" s="571" t="str">
        <f>IF('Rent Roll CMHC'!M83="Yes",'Rent Roll CMHC'!A83&amp;" (Affordable)",'Rent Roll CMHC'!A83)</f>
        <v>1 Bedroom</v>
      </c>
      <c r="F102" s="561">
        <f>'Rent Roll CMHC'!J83</f>
        <v>624</v>
      </c>
      <c r="G102" s="563">
        <f>'Rent Roll CMHC'!F83</f>
        <v>2490</v>
      </c>
      <c r="H102" s="573">
        <f t="shared" si="4"/>
        <v>3.9903846153846154</v>
      </c>
    </row>
    <row r="103" spans="3:10">
      <c r="D103" s="572">
        <f>'Rent Roll CMHC'!D84</f>
        <v>82</v>
      </c>
      <c r="E103" s="571" t="str">
        <f>IF('Rent Roll CMHC'!M84="Yes",'Rent Roll CMHC'!A84&amp;" (Affordable)",'Rent Roll CMHC'!A84)</f>
        <v>1 Bedroom</v>
      </c>
      <c r="F103" s="561">
        <f>'Rent Roll CMHC'!J84</f>
        <v>624</v>
      </c>
      <c r="G103" s="563">
        <f>'Rent Roll CMHC'!F84</f>
        <v>2490</v>
      </c>
      <c r="H103" s="573">
        <f t="shared" si="4"/>
        <v>3.9903846153846154</v>
      </c>
    </row>
    <row r="104" spans="3:10">
      <c r="D104" s="572">
        <f>'Rent Roll CMHC'!D85</f>
        <v>83</v>
      </c>
      <c r="E104" s="571" t="str">
        <f>IF('Rent Roll CMHC'!M85="Yes",'Rent Roll CMHC'!A85&amp;" (Affordable)",'Rent Roll CMHC'!A85)</f>
        <v>1 Bedroom</v>
      </c>
      <c r="F104" s="561">
        <f>'Rent Roll CMHC'!J85</f>
        <v>624</v>
      </c>
      <c r="G104" s="563">
        <f>'Rent Roll CMHC'!F85</f>
        <v>2490</v>
      </c>
      <c r="H104" s="573">
        <f t="shared" si="4"/>
        <v>3.9903846153846154</v>
      </c>
    </row>
    <row r="105" spans="3:10">
      <c r="D105" s="572">
        <f>'Rent Roll CMHC'!D86</f>
        <v>84</v>
      </c>
      <c r="E105" s="571" t="str">
        <f>IF('Rent Roll CMHC'!M86="Yes",'Rent Roll CMHC'!A86&amp;" (Affordable)",'Rent Roll CMHC'!A86)</f>
        <v>1 Bedroom</v>
      </c>
      <c r="F105" s="561">
        <f>'Rent Roll CMHC'!J86</f>
        <v>624</v>
      </c>
      <c r="G105" s="563">
        <f>'Rent Roll CMHC'!F86</f>
        <v>2490</v>
      </c>
      <c r="H105" s="573">
        <f t="shared" si="4"/>
        <v>3.9903846153846154</v>
      </c>
    </row>
    <row r="106" spans="3:10">
      <c r="D106" s="572">
        <f>'Rent Roll CMHC'!D87</f>
        <v>85</v>
      </c>
      <c r="E106" s="571" t="str">
        <f>IF('Rent Roll CMHC'!M87="Yes",'Rent Roll CMHC'!A87&amp;" (Affordable)",'Rent Roll CMHC'!A87)</f>
        <v>2 Bedroom</v>
      </c>
      <c r="F106" s="561">
        <f>'Rent Roll CMHC'!J87</f>
        <v>855</v>
      </c>
      <c r="G106" s="563">
        <f>'Rent Roll CMHC'!F87</f>
        <v>3155</v>
      </c>
      <c r="H106" s="573">
        <f t="shared" si="4"/>
        <v>3.6900584795321638</v>
      </c>
    </row>
    <row r="107" spans="3:10">
      <c r="D107" s="572">
        <f>'Rent Roll CMHC'!D88</f>
        <v>86</v>
      </c>
      <c r="E107" s="571" t="str">
        <f>IF('Rent Roll CMHC'!M88="Yes",'Rent Roll CMHC'!A88&amp;" (Affordable)",'Rent Roll CMHC'!A88)</f>
        <v>2 Bedroom</v>
      </c>
      <c r="F107" s="561">
        <f>'Rent Roll CMHC'!J88</f>
        <v>855</v>
      </c>
      <c r="G107" s="563">
        <f>'Rent Roll CMHC'!F88</f>
        <v>3155</v>
      </c>
      <c r="H107" s="573">
        <f t="shared" si="4"/>
        <v>3.6900584795321638</v>
      </c>
    </row>
    <row r="108" spans="3:10">
      <c r="D108" s="572">
        <f>'Rent Roll CMHC'!D89</f>
        <v>87</v>
      </c>
      <c r="E108" s="571" t="str">
        <f>IF('Rent Roll CMHC'!M89="Yes",'Rent Roll CMHC'!A89&amp;" (Affordable)",'Rent Roll CMHC'!A89)</f>
        <v>2 Bedroom</v>
      </c>
      <c r="F108" s="561">
        <f>'Rent Roll CMHC'!J89</f>
        <v>855</v>
      </c>
      <c r="G108" s="563">
        <f>'Rent Roll CMHC'!F89</f>
        <v>3155</v>
      </c>
      <c r="H108" s="573">
        <f t="shared" si="4"/>
        <v>3.6900584795321638</v>
      </c>
    </row>
    <row r="109" spans="3:10">
      <c r="D109" s="572">
        <f>'Rent Roll CMHC'!D90</f>
        <v>88</v>
      </c>
      <c r="E109" s="571" t="str">
        <f>IF('Rent Roll CMHC'!M90="Yes",'Rent Roll CMHC'!A90&amp;" (Affordable)",'Rent Roll CMHC'!A90)</f>
        <v>2 Bedroom</v>
      </c>
      <c r="F109" s="561">
        <f>'Rent Roll CMHC'!J90</f>
        <v>855</v>
      </c>
      <c r="G109" s="563">
        <f>'Rent Roll CMHC'!F90</f>
        <v>3155</v>
      </c>
      <c r="H109" s="573">
        <f t="shared" si="4"/>
        <v>3.6900584795321638</v>
      </c>
    </row>
    <row r="110" spans="3:10">
      <c r="D110" s="572">
        <f>'Rent Roll CMHC'!D91</f>
        <v>89</v>
      </c>
      <c r="E110" s="571" t="str">
        <f>IF('Rent Roll CMHC'!M91="Yes",'Rent Roll CMHC'!A91&amp;" (Affordable)",'Rent Roll CMHC'!A91)</f>
        <v>2 Bedroom</v>
      </c>
      <c r="F110" s="561">
        <f>'Rent Roll CMHC'!J91</f>
        <v>855</v>
      </c>
      <c r="G110" s="563">
        <f>'Rent Roll CMHC'!F91</f>
        <v>3155</v>
      </c>
      <c r="H110" s="573">
        <f t="shared" si="4"/>
        <v>3.6900584795321638</v>
      </c>
    </row>
    <row r="111" spans="3:10">
      <c r="D111" s="572">
        <f>'Rent Roll CMHC'!D92</f>
        <v>90</v>
      </c>
      <c r="E111" s="571" t="str">
        <f>IF('Rent Roll CMHC'!M92="Yes",'Rent Roll CMHC'!A92&amp;" (Affordable)",'Rent Roll CMHC'!A92)</f>
        <v>2 Bedroom</v>
      </c>
      <c r="F111" s="561">
        <f>'Rent Roll CMHC'!J92</f>
        <v>855</v>
      </c>
      <c r="G111" s="563">
        <f>'Rent Roll CMHC'!F92</f>
        <v>3155</v>
      </c>
      <c r="H111" s="573">
        <f t="shared" si="4"/>
        <v>3.6900584795321638</v>
      </c>
    </row>
    <row r="112" spans="3:10">
      <c r="D112" s="572">
        <f>'Rent Roll CMHC'!D93</f>
        <v>91</v>
      </c>
      <c r="E112" s="571" t="str">
        <f>IF('Rent Roll CMHC'!M93="Yes",'Rent Roll CMHC'!A93&amp;" (Affordable)",'Rent Roll CMHC'!A93)</f>
        <v>2 Bedroom</v>
      </c>
      <c r="F112" s="561">
        <f>'Rent Roll CMHC'!J93</f>
        <v>855</v>
      </c>
      <c r="G112" s="563">
        <f>'Rent Roll CMHC'!F93</f>
        <v>3155</v>
      </c>
      <c r="H112" s="573">
        <f t="shared" si="4"/>
        <v>3.6900584795321638</v>
      </c>
    </row>
    <row r="113" spans="4:8">
      <c r="D113" s="572">
        <f>'Rent Roll CMHC'!D94</f>
        <v>92</v>
      </c>
      <c r="E113" s="571" t="str">
        <f>IF('Rent Roll CMHC'!M94="Yes",'Rent Roll CMHC'!A94&amp;" (Affordable)",'Rent Roll CMHC'!A94)</f>
        <v>2 Bedroom</v>
      </c>
      <c r="F113" s="561">
        <f>'Rent Roll CMHC'!J94</f>
        <v>855</v>
      </c>
      <c r="G113" s="563">
        <f>'Rent Roll CMHC'!F94</f>
        <v>3155</v>
      </c>
      <c r="H113" s="573">
        <f t="shared" si="4"/>
        <v>3.6900584795321638</v>
      </c>
    </row>
    <row r="114" spans="4:8">
      <c r="D114" s="572">
        <f>'Rent Roll CMHC'!D95</f>
        <v>93</v>
      </c>
      <c r="E114" s="571" t="str">
        <f>IF('Rent Roll CMHC'!M95="Yes",'Rent Roll CMHC'!A95&amp;" (Affordable)",'Rent Roll CMHC'!A95)</f>
        <v>2 Bedroom</v>
      </c>
      <c r="F114" s="561">
        <f>'Rent Roll CMHC'!J95</f>
        <v>855</v>
      </c>
      <c r="G114" s="563">
        <f>'Rent Roll CMHC'!F95</f>
        <v>3155</v>
      </c>
      <c r="H114" s="573">
        <f t="shared" si="4"/>
        <v>3.6900584795321638</v>
      </c>
    </row>
    <row r="115" spans="4:8">
      <c r="D115" s="572">
        <f>'Rent Roll CMHC'!D96</f>
        <v>94</v>
      </c>
      <c r="E115" s="571" t="str">
        <f>IF('Rent Roll CMHC'!M96="Yes",'Rent Roll CMHC'!A96&amp;" (Affordable)",'Rent Roll CMHC'!A96)</f>
        <v>2 Bedroom</v>
      </c>
      <c r="F115" s="561">
        <f>'Rent Roll CMHC'!J96</f>
        <v>855</v>
      </c>
      <c r="G115" s="563">
        <f>'Rent Roll CMHC'!F96</f>
        <v>3155</v>
      </c>
      <c r="H115" s="573">
        <f t="shared" si="4"/>
        <v>3.6900584795321638</v>
      </c>
    </row>
    <row r="116" spans="4:8">
      <c r="D116" s="572">
        <f>'Rent Roll CMHC'!D97</f>
        <v>95</v>
      </c>
      <c r="E116" s="571" t="str">
        <f>IF('Rent Roll CMHC'!M97="Yes",'Rent Roll CMHC'!A97&amp;" (Affordable)",'Rent Roll CMHC'!A97)</f>
        <v>2 Bedroom</v>
      </c>
      <c r="F116" s="561">
        <f>'Rent Roll CMHC'!J97</f>
        <v>855</v>
      </c>
      <c r="G116" s="563">
        <f>'Rent Roll CMHC'!F97</f>
        <v>3155</v>
      </c>
      <c r="H116" s="573">
        <f t="shared" si="4"/>
        <v>3.6900584795321638</v>
      </c>
    </row>
    <row r="117" spans="4:8">
      <c r="D117" s="572">
        <f>'Rent Roll CMHC'!D98</f>
        <v>96</v>
      </c>
      <c r="E117" s="571" t="str">
        <f>IF('Rent Roll CMHC'!M98="Yes",'Rent Roll CMHC'!A98&amp;" (Affordable)",'Rent Roll CMHC'!A98)</f>
        <v>2 Bedroom</v>
      </c>
      <c r="F117" s="561">
        <f>'Rent Roll CMHC'!J98</f>
        <v>855</v>
      </c>
      <c r="G117" s="563">
        <f>'Rent Roll CMHC'!F98</f>
        <v>3155</v>
      </c>
      <c r="H117" s="573">
        <f t="shared" ref="H117:H135" si="5">IFERROR(+G117/F117,"-")</f>
        <v>3.6900584795321638</v>
      </c>
    </row>
    <row r="118" spans="4:8">
      <c r="D118" s="572">
        <f>'Rent Roll CMHC'!D99</f>
        <v>97</v>
      </c>
      <c r="E118" s="571" t="str">
        <f>IF('Rent Roll CMHC'!M99="Yes",'Rent Roll CMHC'!A99&amp;" (Affordable)",'Rent Roll CMHC'!A99)</f>
        <v>2 Bedroom</v>
      </c>
      <c r="F118" s="561">
        <f>'Rent Roll CMHC'!J99</f>
        <v>855</v>
      </c>
      <c r="G118" s="563">
        <f>'Rent Roll CMHC'!F99</f>
        <v>3155</v>
      </c>
      <c r="H118" s="573">
        <f t="shared" si="5"/>
        <v>3.6900584795321638</v>
      </c>
    </row>
    <row r="119" spans="4:8">
      <c r="D119" s="572">
        <f>'Rent Roll CMHC'!D100</f>
        <v>98</v>
      </c>
      <c r="E119" s="571" t="str">
        <f>IF('Rent Roll CMHC'!M100="Yes",'Rent Roll CMHC'!A100&amp;" (Affordable)",'Rent Roll CMHC'!A100)</f>
        <v>2 Bedroom</v>
      </c>
      <c r="F119" s="561">
        <f>'Rent Roll CMHC'!J100</f>
        <v>855</v>
      </c>
      <c r="G119" s="563">
        <f>'Rent Roll CMHC'!F100</f>
        <v>3155</v>
      </c>
      <c r="H119" s="573">
        <f t="shared" si="5"/>
        <v>3.6900584795321638</v>
      </c>
    </row>
    <row r="120" spans="4:8">
      <c r="D120" s="572">
        <f>'Rent Roll CMHC'!D101</f>
        <v>99</v>
      </c>
      <c r="E120" s="571" t="str">
        <f>IF('Rent Roll CMHC'!M101="Yes",'Rent Roll CMHC'!A101&amp;" (Affordable)",'Rent Roll CMHC'!A101)</f>
        <v>2 Bedroom</v>
      </c>
      <c r="F120" s="561">
        <f>'Rent Roll CMHC'!J101</f>
        <v>855</v>
      </c>
      <c r="G120" s="563">
        <f>'Rent Roll CMHC'!F101</f>
        <v>3155</v>
      </c>
      <c r="H120" s="573">
        <f t="shared" si="5"/>
        <v>3.6900584795321638</v>
      </c>
    </row>
    <row r="121" spans="4:8">
      <c r="D121" s="572">
        <f>'Rent Roll CMHC'!D102</f>
        <v>100</v>
      </c>
      <c r="E121" s="571" t="str">
        <f>IF('Rent Roll CMHC'!M102="Yes",'Rent Roll CMHC'!A102&amp;" (Affordable)",'Rent Roll CMHC'!A102)</f>
        <v>2 Bedroom</v>
      </c>
      <c r="F121" s="561">
        <f>'Rent Roll CMHC'!J102</f>
        <v>855</v>
      </c>
      <c r="G121" s="563">
        <f>'Rent Roll CMHC'!F102</f>
        <v>3155</v>
      </c>
      <c r="H121" s="573">
        <f t="shared" si="5"/>
        <v>3.6900584795321638</v>
      </c>
    </row>
    <row r="122" spans="4:8">
      <c r="D122" s="572">
        <f>'Rent Roll CMHC'!D103</f>
        <v>101</v>
      </c>
      <c r="E122" s="571" t="str">
        <f>IF('Rent Roll CMHC'!M103="Yes",'Rent Roll CMHC'!A103&amp;" (Affordable)",'Rent Roll CMHC'!A103)</f>
        <v>2 Bedroom</v>
      </c>
      <c r="F122" s="561">
        <f>'Rent Roll CMHC'!J103</f>
        <v>855</v>
      </c>
      <c r="G122" s="563">
        <f>'Rent Roll CMHC'!F103</f>
        <v>3155</v>
      </c>
      <c r="H122" s="573">
        <f t="shared" si="5"/>
        <v>3.6900584795321638</v>
      </c>
    </row>
    <row r="123" spans="4:8">
      <c r="D123" s="572">
        <f>'Rent Roll CMHC'!D104</f>
        <v>102</v>
      </c>
      <c r="E123" s="571" t="str">
        <f>IF('Rent Roll CMHC'!M104="Yes",'Rent Roll CMHC'!A104&amp;" (Affordable)",'Rent Roll CMHC'!A104)</f>
        <v>2 Bedroom</v>
      </c>
      <c r="F123" s="561">
        <f>'Rent Roll CMHC'!J104</f>
        <v>855</v>
      </c>
      <c r="G123" s="563">
        <f>'Rent Roll CMHC'!F104</f>
        <v>3155</v>
      </c>
      <c r="H123" s="573">
        <f t="shared" si="5"/>
        <v>3.6900584795321638</v>
      </c>
    </row>
    <row r="124" spans="4:8">
      <c r="D124" s="572">
        <f>'Rent Roll CMHC'!D105</f>
        <v>103</v>
      </c>
      <c r="E124" s="571" t="str">
        <f>IF('Rent Roll CMHC'!M105="Yes",'Rent Roll CMHC'!A105&amp;" (Affordable)",'Rent Roll CMHC'!A105)</f>
        <v>2 Bedroom</v>
      </c>
      <c r="F124" s="561">
        <f>'Rent Roll CMHC'!J105</f>
        <v>855</v>
      </c>
      <c r="G124" s="563">
        <f>'Rent Roll CMHC'!F105</f>
        <v>3155</v>
      </c>
      <c r="H124" s="573">
        <f t="shared" si="5"/>
        <v>3.6900584795321638</v>
      </c>
    </row>
    <row r="125" spans="4:8">
      <c r="D125" s="572">
        <f>'Rent Roll CMHC'!D106</f>
        <v>104</v>
      </c>
      <c r="E125" s="571" t="str">
        <f>IF('Rent Roll CMHC'!M106="Yes",'Rent Roll CMHC'!A106&amp;" (Affordable)",'Rent Roll CMHC'!A106)</f>
        <v>2 Bedroom</v>
      </c>
      <c r="F125" s="561">
        <f>'Rent Roll CMHC'!J106</f>
        <v>855</v>
      </c>
      <c r="G125" s="563">
        <f>'Rent Roll CMHC'!F106</f>
        <v>3155</v>
      </c>
      <c r="H125" s="573">
        <f t="shared" si="5"/>
        <v>3.6900584795321638</v>
      </c>
    </row>
    <row r="126" spans="4:8">
      <c r="D126" s="572">
        <f>'Rent Roll CMHC'!D107</f>
        <v>105</v>
      </c>
      <c r="E126" s="571" t="str">
        <f>IF('Rent Roll CMHC'!M107="Yes",'Rent Roll CMHC'!A107&amp;" (Affordable)",'Rent Roll CMHC'!A107)</f>
        <v>2 Bedroom</v>
      </c>
      <c r="F126" s="561">
        <f>'Rent Roll CMHC'!J107</f>
        <v>855</v>
      </c>
      <c r="G126" s="563">
        <f>'Rent Roll CMHC'!F107</f>
        <v>3155</v>
      </c>
      <c r="H126" s="573">
        <f t="shared" si="5"/>
        <v>3.6900584795321638</v>
      </c>
    </row>
    <row r="127" spans="4:8">
      <c r="D127" s="572">
        <f>'Rent Roll CMHC'!D108</f>
        <v>106</v>
      </c>
      <c r="E127" s="571" t="str">
        <f>IF('Rent Roll CMHC'!M108="Yes",'Rent Roll CMHC'!A108&amp;" (Affordable)",'Rent Roll CMHC'!A108)</f>
        <v>2 Bedroom</v>
      </c>
      <c r="F127" s="561">
        <f>'Rent Roll CMHC'!J108</f>
        <v>855</v>
      </c>
      <c r="G127" s="563">
        <f>'Rent Roll CMHC'!F108</f>
        <v>3155</v>
      </c>
      <c r="H127" s="573">
        <f t="shared" si="5"/>
        <v>3.6900584795321638</v>
      </c>
    </row>
    <row r="128" spans="4:8">
      <c r="D128" s="572">
        <f>'Rent Roll CMHC'!D109</f>
        <v>107</v>
      </c>
      <c r="E128" s="571" t="str">
        <f>IF('Rent Roll CMHC'!M109="Yes",'Rent Roll CMHC'!A109&amp;" (Affordable)",'Rent Roll CMHC'!A109)</f>
        <v>2 Bedroom</v>
      </c>
      <c r="F128" s="561">
        <f>'Rent Roll CMHC'!J109</f>
        <v>855</v>
      </c>
      <c r="G128" s="563">
        <f>'Rent Roll CMHC'!F109</f>
        <v>3155</v>
      </c>
      <c r="H128" s="573">
        <f t="shared" si="5"/>
        <v>3.6900584795321638</v>
      </c>
    </row>
    <row r="129" spans="4:8">
      <c r="D129" s="572">
        <f>'Rent Roll CMHC'!D110</f>
        <v>108</v>
      </c>
      <c r="E129" s="571" t="str">
        <f>IF('Rent Roll CMHC'!M110="Yes",'Rent Roll CMHC'!A110&amp;" (Affordable)",'Rent Roll CMHC'!A110)</f>
        <v>2 Bedroom</v>
      </c>
      <c r="F129" s="561">
        <f>'Rent Roll CMHC'!J110</f>
        <v>855</v>
      </c>
      <c r="G129" s="563">
        <f>'Rent Roll CMHC'!F110</f>
        <v>3155</v>
      </c>
      <c r="H129" s="573">
        <f t="shared" si="5"/>
        <v>3.6900584795321638</v>
      </c>
    </row>
    <row r="130" spans="4:8">
      <c r="D130" s="572">
        <f>'Rent Roll CMHC'!D111</f>
        <v>109</v>
      </c>
      <c r="E130" s="571" t="str">
        <f>IF('Rent Roll CMHC'!M111="Yes",'Rent Roll CMHC'!A111&amp;" (Affordable)",'Rent Roll CMHC'!A111)</f>
        <v>2 Bedroom</v>
      </c>
      <c r="F130" s="561">
        <f>'Rent Roll CMHC'!J111</f>
        <v>855</v>
      </c>
      <c r="G130" s="563">
        <f>'Rent Roll CMHC'!F111</f>
        <v>3155</v>
      </c>
      <c r="H130" s="573">
        <f t="shared" si="5"/>
        <v>3.6900584795321638</v>
      </c>
    </row>
    <row r="131" spans="4:8">
      <c r="D131" s="572">
        <f>'Rent Roll CMHC'!D112</f>
        <v>110</v>
      </c>
      <c r="E131" s="571" t="str">
        <f>IF('Rent Roll CMHC'!M112="Yes",'Rent Roll CMHC'!A112&amp;" (Affordable)",'Rent Roll CMHC'!A112)</f>
        <v>2 Bedroom</v>
      </c>
      <c r="F131" s="561">
        <f>'Rent Roll CMHC'!J112</f>
        <v>855</v>
      </c>
      <c r="G131" s="563">
        <f>'Rent Roll CMHC'!F112</f>
        <v>3155</v>
      </c>
      <c r="H131" s="573">
        <f t="shared" si="5"/>
        <v>3.6900584795321638</v>
      </c>
    </row>
    <row r="132" spans="4:8">
      <c r="D132" s="572">
        <f>'Rent Roll CMHC'!D113</f>
        <v>111</v>
      </c>
      <c r="E132" s="571" t="str">
        <f>IF('Rent Roll CMHC'!M113="Yes",'Rent Roll CMHC'!A113&amp;" (Affordable)",'Rent Roll CMHC'!A113)</f>
        <v>2 Bedroom</v>
      </c>
      <c r="F132" s="561">
        <f>'Rent Roll CMHC'!J113</f>
        <v>855</v>
      </c>
      <c r="G132" s="563">
        <f>'Rent Roll CMHC'!F113</f>
        <v>3155</v>
      </c>
      <c r="H132" s="573">
        <f t="shared" si="5"/>
        <v>3.6900584795321638</v>
      </c>
    </row>
    <row r="133" spans="4:8">
      <c r="D133" s="572">
        <f>'Rent Roll CMHC'!D114</f>
        <v>112</v>
      </c>
      <c r="E133" s="571" t="str">
        <f>IF('Rent Roll CMHC'!M114="Yes",'Rent Roll CMHC'!A114&amp;" (Affordable)",'Rent Roll CMHC'!A114)</f>
        <v>2 Bedroom</v>
      </c>
      <c r="F133" s="561">
        <f>'Rent Roll CMHC'!J114</f>
        <v>855</v>
      </c>
      <c r="G133" s="563">
        <f>'Rent Roll CMHC'!F114</f>
        <v>3155</v>
      </c>
      <c r="H133" s="573">
        <f t="shared" si="5"/>
        <v>3.6900584795321638</v>
      </c>
    </row>
    <row r="134" spans="4:8">
      <c r="D134" s="572">
        <f>'Rent Roll CMHC'!D115</f>
        <v>113</v>
      </c>
      <c r="E134" s="571" t="str">
        <f>IF('Rent Roll CMHC'!M115="Yes",'Rent Roll CMHC'!A115&amp;" (Affordable)",'Rent Roll CMHC'!A115)</f>
        <v>2 Bedroom</v>
      </c>
      <c r="F134" s="561">
        <f>'Rent Roll CMHC'!J115</f>
        <v>855</v>
      </c>
      <c r="G134" s="563">
        <f>'Rent Roll CMHC'!F115</f>
        <v>3155</v>
      </c>
      <c r="H134" s="573">
        <f t="shared" si="5"/>
        <v>3.6900584795321638</v>
      </c>
    </row>
    <row r="135" spans="4:8">
      <c r="D135" s="572">
        <f>'Rent Roll CMHC'!D116</f>
        <v>114</v>
      </c>
      <c r="E135" s="571" t="str">
        <f>IF('Rent Roll CMHC'!M116="Yes",'Rent Roll CMHC'!A116&amp;" (Affordable)",'Rent Roll CMHC'!A116)</f>
        <v>2 Bedroom</v>
      </c>
      <c r="F135" s="561">
        <f>'Rent Roll CMHC'!J116</f>
        <v>855</v>
      </c>
      <c r="G135" s="563">
        <f>'Rent Roll CMHC'!F116</f>
        <v>3155</v>
      </c>
      <c r="H135" s="573">
        <f t="shared" si="5"/>
        <v>3.6900584795321638</v>
      </c>
    </row>
    <row r="136" spans="4:8">
      <c r="D136" s="572">
        <f>'Rent Roll CMHC'!D117</f>
        <v>115</v>
      </c>
      <c r="E136" s="571" t="str">
        <f>IF('Rent Roll CMHC'!M117="Yes",'Rent Roll CMHC'!A117&amp;" (Affordable)",'Rent Roll CMHC'!A117)</f>
        <v>2 Bedroom</v>
      </c>
      <c r="F136" s="561">
        <f>'Rent Roll CMHC'!J117</f>
        <v>855</v>
      </c>
      <c r="G136" s="563">
        <f>'Rent Roll CMHC'!F117</f>
        <v>3155</v>
      </c>
      <c r="H136" s="573">
        <f>IFERROR(+G136/F136,"-")</f>
        <v>3.6900584795321638</v>
      </c>
    </row>
    <row r="137" spans="4:8">
      <c r="D137" s="572">
        <f>'Rent Roll CMHC'!D118</f>
        <v>116</v>
      </c>
      <c r="E137" s="571" t="str">
        <f>IF('Rent Roll CMHC'!M118="Yes",'Rent Roll CMHC'!A118&amp;" (Affordable)",'Rent Roll CMHC'!A118)</f>
        <v>2 Bedroom</v>
      </c>
      <c r="F137" s="561">
        <f>'Rent Roll CMHC'!J118</f>
        <v>855</v>
      </c>
      <c r="G137" s="563">
        <f>'Rent Roll CMHC'!F118</f>
        <v>3155</v>
      </c>
      <c r="H137" s="573">
        <f t="shared" ref="H137:H191" si="6">IFERROR(+G137/F137,"-")</f>
        <v>3.6900584795321638</v>
      </c>
    </row>
    <row r="138" spans="4:8">
      <c r="D138" s="572">
        <f>'Rent Roll CMHC'!D119</f>
        <v>117</v>
      </c>
      <c r="E138" s="571" t="str">
        <f>IF('Rent Roll CMHC'!M119="Yes",'Rent Roll CMHC'!A119&amp;" (Affordable)",'Rent Roll CMHC'!A119)</f>
        <v>2 Bedroom</v>
      </c>
      <c r="F138" s="561">
        <f>'Rent Roll CMHC'!J119</f>
        <v>855</v>
      </c>
      <c r="G138" s="563">
        <f>'Rent Roll CMHC'!F119</f>
        <v>3155</v>
      </c>
      <c r="H138" s="573">
        <f t="shared" si="6"/>
        <v>3.6900584795321638</v>
      </c>
    </row>
    <row r="139" spans="4:8">
      <c r="D139" s="572">
        <f>'Rent Roll CMHC'!D120</f>
        <v>118</v>
      </c>
      <c r="E139" s="571" t="str">
        <f>IF('Rent Roll CMHC'!M120="Yes",'Rent Roll CMHC'!A120&amp;" (Affordable)",'Rent Roll CMHC'!A120)</f>
        <v>2 Bedroom</v>
      </c>
      <c r="F139" s="561">
        <f>'Rent Roll CMHC'!J120</f>
        <v>855</v>
      </c>
      <c r="G139" s="563">
        <f>'Rent Roll CMHC'!F120</f>
        <v>3155</v>
      </c>
      <c r="H139" s="573">
        <f t="shared" si="6"/>
        <v>3.6900584795321638</v>
      </c>
    </row>
    <row r="140" spans="4:8">
      <c r="D140" s="572">
        <f>'Rent Roll CMHC'!D121</f>
        <v>119</v>
      </c>
      <c r="E140" s="571" t="str">
        <f>IF('Rent Roll CMHC'!M121="Yes",'Rent Roll CMHC'!A121&amp;" (Affordable)",'Rent Roll CMHC'!A121)</f>
        <v>2 Bedroom</v>
      </c>
      <c r="F140" s="561">
        <f>'Rent Roll CMHC'!J121</f>
        <v>855</v>
      </c>
      <c r="G140" s="563">
        <f>'Rent Roll CMHC'!F121</f>
        <v>3155</v>
      </c>
      <c r="H140" s="573">
        <f t="shared" si="6"/>
        <v>3.6900584795321638</v>
      </c>
    </row>
    <row r="141" spans="4:8">
      <c r="D141" s="572">
        <f>'Rent Roll CMHC'!D122</f>
        <v>120</v>
      </c>
      <c r="E141" s="571" t="str">
        <f>IF('Rent Roll CMHC'!M122="Yes",'Rent Roll CMHC'!A122&amp;" (Affordable)",'Rent Roll CMHC'!A122)</f>
        <v>2 Bedroom</v>
      </c>
      <c r="F141" s="561">
        <f>'Rent Roll CMHC'!J122</f>
        <v>855</v>
      </c>
      <c r="G141" s="563">
        <f>'Rent Roll CMHC'!F122</f>
        <v>3155</v>
      </c>
      <c r="H141" s="573">
        <f t="shared" si="6"/>
        <v>3.6900584795321638</v>
      </c>
    </row>
    <row r="142" spans="4:8">
      <c r="D142" s="572">
        <f>'Rent Roll CMHC'!D123</f>
        <v>121</v>
      </c>
      <c r="E142" s="571" t="str">
        <f>IF('Rent Roll CMHC'!M123="Yes",'Rent Roll CMHC'!A123&amp;" (Affordable)",'Rent Roll CMHC'!A123)</f>
        <v>2 Bedroom</v>
      </c>
      <c r="F142" s="561">
        <f>'Rent Roll CMHC'!J123</f>
        <v>855</v>
      </c>
      <c r="G142" s="563">
        <f>'Rent Roll CMHC'!F123</f>
        <v>3155</v>
      </c>
      <c r="H142" s="573">
        <f t="shared" si="6"/>
        <v>3.6900584795321638</v>
      </c>
    </row>
    <row r="143" spans="4:8">
      <c r="D143" s="572">
        <f>'Rent Roll CMHC'!D124</f>
        <v>122</v>
      </c>
      <c r="E143" s="571" t="str">
        <f>IF('Rent Roll CMHC'!M124="Yes",'Rent Roll CMHC'!A124&amp;" (Affordable)",'Rent Roll CMHC'!A124)</f>
        <v>2 Bedroom</v>
      </c>
      <c r="F143" s="561">
        <f>'Rent Roll CMHC'!J124</f>
        <v>855</v>
      </c>
      <c r="G143" s="563">
        <f>'Rent Roll CMHC'!F124</f>
        <v>3155</v>
      </c>
      <c r="H143" s="573">
        <f t="shared" si="6"/>
        <v>3.6900584795321638</v>
      </c>
    </row>
    <row r="144" spans="4:8">
      <c r="D144" s="572">
        <f>'Rent Roll CMHC'!D125</f>
        <v>123</v>
      </c>
      <c r="E144" s="571" t="str">
        <f>IF('Rent Roll CMHC'!M125="Yes",'Rent Roll CMHC'!A125&amp;" (Affordable)",'Rent Roll CMHC'!A125)</f>
        <v>2 Bedroom</v>
      </c>
      <c r="F144" s="561">
        <f>'Rent Roll CMHC'!J125</f>
        <v>855</v>
      </c>
      <c r="G144" s="563">
        <f>'Rent Roll CMHC'!F125</f>
        <v>3155</v>
      </c>
      <c r="H144" s="573">
        <f t="shared" si="6"/>
        <v>3.6900584795321638</v>
      </c>
    </row>
    <row r="145" spans="4:8">
      <c r="D145" s="572">
        <f>'Rent Roll CMHC'!D126</f>
        <v>124</v>
      </c>
      <c r="E145" s="571" t="str">
        <f>IF('Rent Roll CMHC'!M126="Yes",'Rent Roll CMHC'!A126&amp;" (Affordable)",'Rent Roll CMHC'!A126)</f>
        <v>2 Bedroom</v>
      </c>
      <c r="F145" s="561">
        <f>'Rent Roll CMHC'!J126</f>
        <v>855</v>
      </c>
      <c r="G145" s="563">
        <f>'Rent Roll CMHC'!F126</f>
        <v>3155</v>
      </c>
      <c r="H145" s="573">
        <f t="shared" si="6"/>
        <v>3.6900584795321638</v>
      </c>
    </row>
    <row r="146" spans="4:8">
      <c r="D146" s="572">
        <f>'Rent Roll CMHC'!D127</f>
        <v>125</v>
      </c>
      <c r="E146" s="571" t="str">
        <f>IF('Rent Roll CMHC'!M127="Yes",'Rent Roll CMHC'!A127&amp;" (Affordable)",'Rent Roll CMHC'!A127)</f>
        <v>2 Bedroom</v>
      </c>
      <c r="F146" s="561">
        <f>'Rent Roll CMHC'!J127</f>
        <v>855</v>
      </c>
      <c r="G146" s="563">
        <f>'Rent Roll CMHC'!F127</f>
        <v>3155</v>
      </c>
      <c r="H146" s="573">
        <f t="shared" si="6"/>
        <v>3.6900584795321638</v>
      </c>
    </row>
    <row r="147" spans="4:8">
      <c r="D147" s="572">
        <f>'Rent Roll CMHC'!D128</f>
        <v>126</v>
      </c>
      <c r="E147" s="571" t="str">
        <f>IF('Rent Roll CMHC'!M128="Yes",'Rent Roll CMHC'!A128&amp;" (Affordable)",'Rent Roll CMHC'!A128)</f>
        <v>2 Bedroom</v>
      </c>
      <c r="F147" s="561">
        <f>'Rent Roll CMHC'!J128</f>
        <v>855</v>
      </c>
      <c r="G147" s="563">
        <f>'Rent Roll CMHC'!F128</f>
        <v>3155</v>
      </c>
      <c r="H147" s="573">
        <f t="shared" si="6"/>
        <v>3.6900584795321638</v>
      </c>
    </row>
    <row r="148" spans="4:8">
      <c r="D148" s="572">
        <f>'Rent Roll CMHC'!D129</f>
        <v>127</v>
      </c>
      <c r="E148" s="571" t="str">
        <f>IF('Rent Roll CMHC'!M129="Yes",'Rent Roll CMHC'!A129&amp;" (Affordable)",'Rent Roll CMHC'!A129)</f>
        <v>2 Bedroom</v>
      </c>
      <c r="F148" s="561">
        <f>'Rent Roll CMHC'!J129</f>
        <v>855</v>
      </c>
      <c r="G148" s="563">
        <f>'Rent Roll CMHC'!F129</f>
        <v>3155</v>
      </c>
      <c r="H148" s="573">
        <f t="shared" si="6"/>
        <v>3.6900584795321638</v>
      </c>
    </row>
    <row r="149" spans="4:8">
      <c r="D149" s="572">
        <f>'Rent Roll CMHC'!D130</f>
        <v>128</v>
      </c>
      <c r="E149" s="571" t="str">
        <f>IF('Rent Roll CMHC'!M130="Yes",'Rent Roll CMHC'!A130&amp;" (Affordable)",'Rent Roll CMHC'!A130)</f>
        <v>2 Bedroom</v>
      </c>
      <c r="F149" s="561">
        <f>'Rent Roll CMHC'!J130</f>
        <v>855</v>
      </c>
      <c r="G149" s="563">
        <f>'Rent Roll CMHC'!F130</f>
        <v>3155</v>
      </c>
      <c r="H149" s="573">
        <f t="shared" si="6"/>
        <v>3.6900584795321638</v>
      </c>
    </row>
    <row r="150" spans="4:8">
      <c r="D150" s="572">
        <f>'Rent Roll CMHC'!D131</f>
        <v>129</v>
      </c>
      <c r="E150" s="571" t="str">
        <f>IF('Rent Roll CMHC'!M131="Yes",'Rent Roll CMHC'!A131&amp;" (Affordable)",'Rent Roll CMHC'!A131)</f>
        <v>2 Bedroom</v>
      </c>
      <c r="F150" s="561">
        <f>'Rent Roll CMHC'!J131</f>
        <v>855</v>
      </c>
      <c r="G150" s="563">
        <f>'Rent Roll CMHC'!F131</f>
        <v>3155</v>
      </c>
      <c r="H150" s="573">
        <f t="shared" si="6"/>
        <v>3.6900584795321638</v>
      </c>
    </row>
    <row r="151" spans="4:8">
      <c r="D151" s="572">
        <f>'Rent Roll CMHC'!D132</f>
        <v>130</v>
      </c>
      <c r="E151" s="571" t="str">
        <f>IF('Rent Roll CMHC'!M132="Yes",'Rent Roll CMHC'!A132&amp;" (Affordable)",'Rent Roll CMHC'!A132)</f>
        <v>2 Bedroom</v>
      </c>
      <c r="F151" s="561">
        <f>'Rent Roll CMHC'!J132</f>
        <v>855</v>
      </c>
      <c r="G151" s="563">
        <f>'Rent Roll CMHC'!F132</f>
        <v>3155</v>
      </c>
      <c r="H151" s="573">
        <f t="shared" si="6"/>
        <v>3.6900584795321638</v>
      </c>
    </row>
    <row r="152" spans="4:8">
      <c r="D152" s="572">
        <f>'Rent Roll CMHC'!D133</f>
        <v>131</v>
      </c>
      <c r="E152" s="571" t="str">
        <f>IF('Rent Roll CMHC'!M133="Yes",'Rent Roll CMHC'!A133&amp;" (Affordable)",'Rent Roll CMHC'!A133)</f>
        <v>2 Bedroom</v>
      </c>
      <c r="F152" s="561">
        <f>'Rent Roll CMHC'!J133</f>
        <v>855</v>
      </c>
      <c r="G152" s="563">
        <f>'Rent Roll CMHC'!F133</f>
        <v>3155</v>
      </c>
      <c r="H152" s="573">
        <f t="shared" si="6"/>
        <v>3.6900584795321638</v>
      </c>
    </row>
    <row r="153" spans="4:8">
      <c r="D153" s="572">
        <f>'Rent Roll CMHC'!D134</f>
        <v>132</v>
      </c>
      <c r="E153" s="571" t="str">
        <f>IF('Rent Roll CMHC'!M134="Yes",'Rent Roll CMHC'!A134&amp;" (Affordable)",'Rent Roll CMHC'!A134)</f>
        <v>2 Bedroom</v>
      </c>
      <c r="F153" s="561">
        <f>'Rent Roll CMHC'!J134</f>
        <v>855</v>
      </c>
      <c r="G153" s="563">
        <f>'Rent Roll CMHC'!F134</f>
        <v>3155</v>
      </c>
      <c r="H153" s="573">
        <f t="shared" si="6"/>
        <v>3.6900584795321638</v>
      </c>
    </row>
    <row r="154" spans="4:8">
      <c r="D154" s="572">
        <f>'Rent Roll CMHC'!D135</f>
        <v>133</v>
      </c>
      <c r="E154" s="571" t="str">
        <f>IF('Rent Roll CMHC'!M135="Yes",'Rent Roll CMHC'!A135&amp;" (Affordable)",'Rent Roll CMHC'!A135)</f>
        <v>2 Bedroom</v>
      </c>
      <c r="F154" s="561">
        <f>'Rent Roll CMHC'!J135</f>
        <v>855</v>
      </c>
      <c r="G154" s="563">
        <f>'Rent Roll CMHC'!F135</f>
        <v>3155</v>
      </c>
      <c r="H154" s="573">
        <f t="shared" si="6"/>
        <v>3.6900584795321638</v>
      </c>
    </row>
    <row r="155" spans="4:8">
      <c r="D155" s="572">
        <f>'Rent Roll CMHC'!D136</f>
        <v>134</v>
      </c>
      <c r="E155" s="571" t="str">
        <f>IF('Rent Roll CMHC'!M136="Yes",'Rent Roll CMHC'!A136&amp;" (Affordable)",'Rent Roll CMHC'!A136)</f>
        <v>2 Bedroom</v>
      </c>
      <c r="F155" s="561">
        <f>'Rent Roll CMHC'!J136</f>
        <v>855</v>
      </c>
      <c r="G155" s="563">
        <f>'Rent Roll CMHC'!F136</f>
        <v>3155</v>
      </c>
      <c r="H155" s="573">
        <f t="shared" si="6"/>
        <v>3.6900584795321638</v>
      </c>
    </row>
    <row r="156" spans="4:8">
      <c r="D156" s="572">
        <f>'Rent Roll CMHC'!D137</f>
        <v>135</v>
      </c>
      <c r="E156" s="571" t="str">
        <f>IF('Rent Roll CMHC'!M137="Yes",'Rent Roll CMHC'!A137&amp;" (Affordable)",'Rent Roll CMHC'!A137)</f>
        <v>2 Bedroom</v>
      </c>
      <c r="F156" s="561">
        <f>'Rent Roll CMHC'!J137</f>
        <v>855</v>
      </c>
      <c r="G156" s="563">
        <f>'Rent Roll CMHC'!F137</f>
        <v>3155</v>
      </c>
      <c r="H156" s="573">
        <f t="shared" si="6"/>
        <v>3.6900584795321638</v>
      </c>
    </row>
    <row r="157" spans="4:8">
      <c r="D157" s="572">
        <f>'Rent Roll CMHC'!D138</f>
        <v>136</v>
      </c>
      <c r="E157" s="571" t="str">
        <f>IF('Rent Roll CMHC'!M138="Yes",'Rent Roll CMHC'!A138&amp;" (Affordable)",'Rent Roll CMHC'!A138)</f>
        <v>2 Bedroom</v>
      </c>
      <c r="F157" s="561">
        <f>'Rent Roll CMHC'!J138</f>
        <v>855</v>
      </c>
      <c r="G157" s="563">
        <f>'Rent Roll CMHC'!F138</f>
        <v>3155</v>
      </c>
      <c r="H157" s="573">
        <f t="shared" si="6"/>
        <v>3.6900584795321638</v>
      </c>
    </row>
    <row r="158" spans="4:8">
      <c r="D158" s="572">
        <f>'Rent Roll CMHC'!D139</f>
        <v>137</v>
      </c>
      <c r="E158" s="571" t="str">
        <f>IF('Rent Roll CMHC'!M139="Yes",'Rent Roll CMHC'!A139&amp;" (Affordable)",'Rent Roll CMHC'!A139)</f>
        <v>2 Bedroom</v>
      </c>
      <c r="F158" s="561">
        <f>'Rent Roll CMHC'!J139</f>
        <v>855</v>
      </c>
      <c r="G158" s="563">
        <f>'Rent Roll CMHC'!F139</f>
        <v>3155</v>
      </c>
      <c r="H158" s="573">
        <f t="shared" si="6"/>
        <v>3.6900584795321638</v>
      </c>
    </row>
    <row r="159" spans="4:8">
      <c r="D159" s="572">
        <f>'Rent Roll CMHC'!D140</f>
        <v>138</v>
      </c>
      <c r="E159" s="571" t="str">
        <f>IF('Rent Roll CMHC'!M140="Yes",'Rent Roll CMHC'!A140&amp;" (Affordable)",'Rent Roll CMHC'!A140)</f>
        <v>2 Bedroom</v>
      </c>
      <c r="F159" s="561">
        <f>'Rent Roll CMHC'!J140</f>
        <v>855</v>
      </c>
      <c r="G159" s="563">
        <f>'Rent Roll CMHC'!F140</f>
        <v>3155</v>
      </c>
      <c r="H159" s="573">
        <f t="shared" si="6"/>
        <v>3.6900584795321638</v>
      </c>
    </row>
    <row r="160" spans="4:8">
      <c r="D160" s="572">
        <f>'Rent Roll CMHC'!D141</f>
        <v>139</v>
      </c>
      <c r="E160" s="571" t="str">
        <f>IF('Rent Roll CMHC'!M141="Yes",'Rent Roll CMHC'!A141&amp;" (Affordable)",'Rent Roll CMHC'!A141)</f>
        <v>2 Bedroom</v>
      </c>
      <c r="F160" s="561">
        <f>'Rent Roll CMHC'!J141</f>
        <v>855</v>
      </c>
      <c r="G160" s="563">
        <f>'Rent Roll CMHC'!F141</f>
        <v>3155</v>
      </c>
      <c r="H160" s="573">
        <f t="shared" si="6"/>
        <v>3.6900584795321638</v>
      </c>
    </row>
    <row r="161" spans="4:8">
      <c r="D161" s="572">
        <f>'Rent Roll CMHC'!D142</f>
        <v>140</v>
      </c>
      <c r="E161" s="571" t="str">
        <f>IF('Rent Roll CMHC'!M142="Yes",'Rent Roll CMHC'!A142&amp;" (Affordable)",'Rent Roll CMHC'!A142)</f>
        <v>2 Bedroom</v>
      </c>
      <c r="F161" s="561">
        <f>'Rent Roll CMHC'!J142</f>
        <v>855</v>
      </c>
      <c r="G161" s="563">
        <f>'Rent Roll CMHC'!F142</f>
        <v>3155</v>
      </c>
      <c r="H161" s="573">
        <f t="shared" si="6"/>
        <v>3.6900584795321638</v>
      </c>
    </row>
    <row r="162" spans="4:8">
      <c r="D162" s="572">
        <f>'Rent Roll CMHC'!D143</f>
        <v>141</v>
      </c>
      <c r="E162" s="571" t="str">
        <f>IF('Rent Roll CMHC'!M143="Yes",'Rent Roll CMHC'!A143&amp;" (Affordable)",'Rent Roll CMHC'!A143)</f>
        <v>2 Bedroom</v>
      </c>
      <c r="F162" s="561">
        <f>'Rent Roll CMHC'!J143</f>
        <v>855</v>
      </c>
      <c r="G162" s="563">
        <f>'Rent Roll CMHC'!F143</f>
        <v>3155</v>
      </c>
      <c r="H162" s="573">
        <f t="shared" si="6"/>
        <v>3.6900584795321638</v>
      </c>
    </row>
    <row r="163" spans="4:8">
      <c r="D163" s="572">
        <f>'Rent Roll CMHC'!D144</f>
        <v>142</v>
      </c>
      <c r="E163" s="571" t="str">
        <f>IF('Rent Roll CMHC'!M144="Yes",'Rent Roll CMHC'!A144&amp;" (Affordable)",'Rent Roll CMHC'!A144)</f>
        <v>2 Bedroom</v>
      </c>
      <c r="F163" s="561">
        <f>'Rent Roll CMHC'!J144</f>
        <v>855</v>
      </c>
      <c r="G163" s="563">
        <f>'Rent Roll CMHC'!F144</f>
        <v>3155</v>
      </c>
      <c r="H163" s="573">
        <f t="shared" si="6"/>
        <v>3.6900584795321638</v>
      </c>
    </row>
    <row r="164" spans="4:8">
      <c r="D164" s="572">
        <f>'Rent Roll CMHC'!D145</f>
        <v>143</v>
      </c>
      <c r="E164" s="571" t="str">
        <f>IF('Rent Roll CMHC'!M145="Yes",'Rent Roll CMHC'!A145&amp;" (Affordable)",'Rent Roll CMHC'!A145)</f>
        <v>2 Bedroom</v>
      </c>
      <c r="F164" s="561">
        <f>'Rent Roll CMHC'!J145</f>
        <v>855</v>
      </c>
      <c r="G164" s="563">
        <f>'Rent Roll CMHC'!F145</f>
        <v>3155</v>
      </c>
      <c r="H164" s="573">
        <f t="shared" si="6"/>
        <v>3.6900584795321638</v>
      </c>
    </row>
    <row r="165" spans="4:8">
      <c r="D165" s="572">
        <f>'Rent Roll CMHC'!D146</f>
        <v>144</v>
      </c>
      <c r="E165" s="571" t="str">
        <f>IF('Rent Roll CMHC'!M146="Yes",'Rent Roll CMHC'!A146&amp;" (Affordable)",'Rent Roll CMHC'!A146)</f>
        <v>2 Bedroom</v>
      </c>
      <c r="F165" s="561">
        <f>'Rent Roll CMHC'!J146</f>
        <v>855</v>
      </c>
      <c r="G165" s="563">
        <f>'Rent Roll CMHC'!F146</f>
        <v>3155</v>
      </c>
      <c r="H165" s="573">
        <f t="shared" si="6"/>
        <v>3.6900584795321638</v>
      </c>
    </row>
    <row r="166" spans="4:8">
      <c r="D166" s="572">
        <f>'Rent Roll CMHC'!D147</f>
        <v>145</v>
      </c>
      <c r="E166" s="571" t="str">
        <f>IF('Rent Roll CMHC'!M147="Yes",'Rent Roll CMHC'!A147&amp;" (Affordable)",'Rent Roll CMHC'!A147)</f>
        <v>2 Bedroom</v>
      </c>
      <c r="F166" s="561">
        <f>'Rent Roll CMHC'!J147</f>
        <v>855</v>
      </c>
      <c r="G166" s="563">
        <f>'Rent Roll CMHC'!F147</f>
        <v>3155</v>
      </c>
      <c r="H166" s="573">
        <f t="shared" si="6"/>
        <v>3.6900584795321638</v>
      </c>
    </row>
    <row r="167" spans="4:8">
      <c r="D167" s="572">
        <f>'Rent Roll CMHC'!D148</f>
        <v>146</v>
      </c>
      <c r="E167" s="571" t="str">
        <f>IF('Rent Roll CMHC'!M148="Yes",'Rent Roll CMHC'!A148&amp;" (Affordable)",'Rent Roll CMHC'!A148)</f>
        <v>2 Bedroom</v>
      </c>
      <c r="F167" s="561">
        <f>'Rent Roll CMHC'!J148</f>
        <v>855</v>
      </c>
      <c r="G167" s="563">
        <f>'Rent Roll CMHC'!F148</f>
        <v>3155</v>
      </c>
      <c r="H167" s="573">
        <f t="shared" si="6"/>
        <v>3.6900584795321638</v>
      </c>
    </row>
    <row r="168" spans="4:8">
      <c r="D168" s="572">
        <f>'Rent Roll CMHC'!D149</f>
        <v>147</v>
      </c>
      <c r="E168" s="571" t="str">
        <f>IF('Rent Roll CMHC'!M149="Yes",'Rent Roll CMHC'!A149&amp;" (Affordable)",'Rent Roll CMHC'!A149)</f>
        <v>2 Bedroom</v>
      </c>
      <c r="F168" s="561">
        <f>'Rent Roll CMHC'!J149</f>
        <v>855</v>
      </c>
      <c r="G168" s="563">
        <f>'Rent Roll CMHC'!F149</f>
        <v>3155</v>
      </c>
      <c r="H168" s="573">
        <f t="shared" si="6"/>
        <v>3.6900584795321638</v>
      </c>
    </row>
    <row r="169" spans="4:8">
      <c r="D169" s="572">
        <f>'Rent Roll CMHC'!D150</f>
        <v>148</v>
      </c>
      <c r="E169" s="571" t="str">
        <f>IF('Rent Roll CMHC'!M150="Yes",'Rent Roll CMHC'!A150&amp;" (Affordable)",'Rent Roll CMHC'!A150)</f>
        <v>2 Bedroom</v>
      </c>
      <c r="F169" s="561">
        <f>'Rent Roll CMHC'!J150</f>
        <v>855</v>
      </c>
      <c r="G169" s="563">
        <f>'Rent Roll CMHC'!F150</f>
        <v>3155</v>
      </c>
      <c r="H169" s="573">
        <f t="shared" si="6"/>
        <v>3.6900584795321638</v>
      </c>
    </row>
    <row r="170" spans="4:8">
      <c r="D170" s="572">
        <f>'Rent Roll CMHC'!D151</f>
        <v>149</v>
      </c>
      <c r="E170" s="571" t="str">
        <f>IF('Rent Roll CMHC'!M151="Yes",'Rent Roll CMHC'!A151&amp;" (Affordable)",'Rent Roll CMHC'!A151)</f>
        <v>2 Bedroom</v>
      </c>
      <c r="F170" s="561">
        <f>'Rent Roll CMHC'!J151</f>
        <v>855</v>
      </c>
      <c r="G170" s="563">
        <f>'Rent Roll CMHC'!F151</f>
        <v>3155</v>
      </c>
      <c r="H170" s="573">
        <f t="shared" si="6"/>
        <v>3.6900584795321638</v>
      </c>
    </row>
    <row r="171" spans="4:8">
      <c r="D171" s="572">
        <f>'Rent Roll CMHC'!D152</f>
        <v>150</v>
      </c>
      <c r="E171" s="571" t="str">
        <f>IF('Rent Roll CMHC'!M152="Yes",'Rent Roll CMHC'!A152&amp;" (Affordable)",'Rent Roll CMHC'!A152)</f>
        <v>2 Bedroom</v>
      </c>
      <c r="F171" s="561">
        <f>'Rent Roll CMHC'!J152</f>
        <v>855</v>
      </c>
      <c r="G171" s="563">
        <f>'Rent Roll CMHC'!F152</f>
        <v>3155</v>
      </c>
      <c r="H171" s="573">
        <f t="shared" si="6"/>
        <v>3.6900584795321638</v>
      </c>
    </row>
    <row r="172" spans="4:8">
      <c r="D172" s="572">
        <f>'Rent Roll CMHC'!D153</f>
        <v>151</v>
      </c>
      <c r="E172" s="571" t="str">
        <f>IF('Rent Roll CMHC'!M153="Yes",'Rent Roll CMHC'!A153&amp;" (Affordable)",'Rent Roll CMHC'!A153)</f>
        <v>2 Bedroom</v>
      </c>
      <c r="F172" s="561">
        <f>'Rent Roll CMHC'!J153</f>
        <v>855</v>
      </c>
      <c r="G172" s="563">
        <f>'Rent Roll CMHC'!F153</f>
        <v>3155</v>
      </c>
      <c r="H172" s="573">
        <f t="shared" si="6"/>
        <v>3.6900584795321638</v>
      </c>
    </row>
    <row r="173" spans="4:8">
      <c r="D173" s="572">
        <f>'Rent Roll CMHC'!D154</f>
        <v>152</v>
      </c>
      <c r="E173" s="571" t="str">
        <f>IF('Rent Roll CMHC'!M154="Yes",'Rent Roll CMHC'!A154&amp;" (Affordable)",'Rent Roll CMHC'!A154)</f>
        <v>2 Bedroom</v>
      </c>
      <c r="F173" s="561">
        <f>'Rent Roll CMHC'!J154</f>
        <v>855</v>
      </c>
      <c r="G173" s="563">
        <f>'Rent Roll CMHC'!F154</f>
        <v>3155</v>
      </c>
      <c r="H173" s="573">
        <f t="shared" si="6"/>
        <v>3.6900584795321638</v>
      </c>
    </row>
    <row r="174" spans="4:8">
      <c r="D174" s="572">
        <f>'Rent Roll CMHC'!D155</f>
        <v>153</v>
      </c>
      <c r="E174" s="571" t="str">
        <f>IF('Rent Roll CMHC'!M155="Yes",'Rent Roll CMHC'!A155&amp;" (Affordable)",'Rent Roll CMHC'!A155)</f>
        <v>3 Bedroom</v>
      </c>
      <c r="F174" s="561">
        <f>'Rent Roll CMHC'!J155</f>
        <v>1015</v>
      </c>
      <c r="G174" s="563">
        <f>'Rent Roll CMHC'!F155</f>
        <v>3675</v>
      </c>
      <c r="H174" s="573">
        <f t="shared" si="6"/>
        <v>3.6206896551724137</v>
      </c>
    </row>
    <row r="175" spans="4:8">
      <c r="D175" s="572">
        <f>'Rent Roll CMHC'!D156</f>
        <v>154</v>
      </c>
      <c r="E175" s="571" t="str">
        <f>IF('Rent Roll CMHC'!M156="Yes",'Rent Roll CMHC'!A156&amp;" (Affordable)",'Rent Roll CMHC'!A156)</f>
        <v>3 Bedroom</v>
      </c>
      <c r="F175" s="561">
        <f>'Rent Roll CMHC'!J156</f>
        <v>1015</v>
      </c>
      <c r="G175" s="563">
        <f>'Rent Roll CMHC'!F156</f>
        <v>3675</v>
      </c>
      <c r="H175" s="573">
        <f t="shared" si="6"/>
        <v>3.6206896551724137</v>
      </c>
    </row>
    <row r="176" spans="4:8">
      <c r="D176" s="572">
        <f>'Rent Roll CMHC'!D157</f>
        <v>155</v>
      </c>
      <c r="E176" s="571" t="str">
        <f>IF('Rent Roll CMHC'!M157="Yes",'Rent Roll CMHC'!A157&amp;" (Affordable)",'Rent Roll CMHC'!A157)</f>
        <v>3 Bedroom</v>
      </c>
      <c r="F176" s="561">
        <f>'Rent Roll CMHC'!J157</f>
        <v>1015</v>
      </c>
      <c r="G176" s="563">
        <f>'Rent Roll CMHC'!F157</f>
        <v>3675</v>
      </c>
      <c r="H176" s="573">
        <f t="shared" si="6"/>
        <v>3.6206896551724137</v>
      </c>
    </row>
    <row r="177" spans="4:8">
      <c r="D177" s="572">
        <f>'Rent Roll CMHC'!D158</f>
        <v>156</v>
      </c>
      <c r="E177" s="571" t="str">
        <f>IF('Rent Roll CMHC'!M158="Yes",'Rent Roll CMHC'!A158&amp;" (Affordable)",'Rent Roll CMHC'!A158)</f>
        <v>3 Bedroom</v>
      </c>
      <c r="F177" s="561">
        <f>'Rent Roll CMHC'!J158</f>
        <v>1015</v>
      </c>
      <c r="G177" s="563">
        <f>'Rent Roll CMHC'!F158</f>
        <v>3675</v>
      </c>
      <c r="H177" s="573">
        <f t="shared" si="6"/>
        <v>3.6206896551724137</v>
      </c>
    </row>
    <row r="178" spans="4:8">
      <c r="D178" s="572">
        <f>'Rent Roll CMHC'!D159</f>
        <v>157</v>
      </c>
      <c r="E178" s="571" t="str">
        <f>IF('Rent Roll CMHC'!M159="Yes",'Rent Roll CMHC'!A159&amp;" (Affordable)",'Rent Roll CMHC'!A159)</f>
        <v>3 Bedroom</v>
      </c>
      <c r="F178" s="561">
        <f>'Rent Roll CMHC'!J159</f>
        <v>1015</v>
      </c>
      <c r="G178" s="563">
        <f>'Rent Roll CMHC'!F159</f>
        <v>3675</v>
      </c>
      <c r="H178" s="573">
        <f t="shared" si="6"/>
        <v>3.6206896551724137</v>
      </c>
    </row>
    <row r="179" spans="4:8">
      <c r="D179" s="572">
        <f>'Rent Roll CMHC'!D160</f>
        <v>158</v>
      </c>
      <c r="E179" s="571" t="str">
        <f>IF('Rent Roll CMHC'!M160="Yes",'Rent Roll CMHC'!A160&amp;" (Affordable)",'Rent Roll CMHC'!A160)</f>
        <v>3 Bedroom</v>
      </c>
      <c r="F179" s="561">
        <f>'Rent Roll CMHC'!J160</f>
        <v>1015</v>
      </c>
      <c r="G179" s="563">
        <f>'Rent Roll CMHC'!F160</f>
        <v>3675</v>
      </c>
      <c r="H179" s="573">
        <f t="shared" si="6"/>
        <v>3.6206896551724137</v>
      </c>
    </row>
    <row r="180" spans="4:8">
      <c r="D180" s="572">
        <f>'Rent Roll CMHC'!D161</f>
        <v>159</v>
      </c>
      <c r="E180" s="571" t="str">
        <f>IF('Rent Roll CMHC'!M161="Yes",'Rent Roll CMHC'!A161&amp;" (Affordable)",'Rent Roll CMHC'!A161)</f>
        <v>3 Bedroom</v>
      </c>
      <c r="F180" s="561">
        <f>'Rent Roll CMHC'!J161</f>
        <v>1015</v>
      </c>
      <c r="G180" s="563">
        <f>'Rent Roll CMHC'!F161</f>
        <v>3675</v>
      </c>
      <c r="H180" s="573">
        <f t="shared" si="6"/>
        <v>3.6206896551724137</v>
      </c>
    </row>
    <row r="181" spans="4:8">
      <c r="D181" s="572">
        <f>'Rent Roll CMHC'!D162</f>
        <v>160</v>
      </c>
      <c r="E181" s="571" t="str">
        <f>IF('Rent Roll CMHC'!M162="Yes",'Rent Roll CMHC'!A162&amp;" (Affordable)",'Rent Roll CMHC'!A162)</f>
        <v>3 Bedroom</v>
      </c>
      <c r="F181" s="561">
        <f>'Rent Roll CMHC'!J162</f>
        <v>1015</v>
      </c>
      <c r="G181" s="563">
        <f>'Rent Roll CMHC'!F162</f>
        <v>3675</v>
      </c>
      <c r="H181" s="573">
        <f t="shared" si="6"/>
        <v>3.6206896551724137</v>
      </c>
    </row>
    <row r="182" spans="4:8">
      <c r="D182" s="572">
        <f>'Rent Roll CMHC'!D163</f>
        <v>161</v>
      </c>
      <c r="E182" s="571" t="str">
        <f>IF('Rent Roll CMHC'!M163="Yes",'Rent Roll CMHC'!A163&amp;" (Affordable)",'Rent Roll CMHC'!A163)</f>
        <v>3 Bedroom</v>
      </c>
      <c r="F182" s="561">
        <f>'Rent Roll CMHC'!J163</f>
        <v>1015</v>
      </c>
      <c r="G182" s="563">
        <f>'Rent Roll CMHC'!F163</f>
        <v>3675</v>
      </c>
      <c r="H182" s="573">
        <f t="shared" si="6"/>
        <v>3.6206896551724137</v>
      </c>
    </row>
    <row r="183" spans="4:8">
      <c r="D183" s="572">
        <f>'Rent Roll CMHC'!D164</f>
        <v>162</v>
      </c>
      <c r="E183" s="571" t="str">
        <f>IF('Rent Roll CMHC'!M164="Yes",'Rent Roll CMHC'!A164&amp;" (Affordable)",'Rent Roll CMHC'!A164)</f>
        <v>3 Bedroom</v>
      </c>
      <c r="F183" s="561">
        <f>'Rent Roll CMHC'!J164</f>
        <v>1015</v>
      </c>
      <c r="G183" s="563">
        <f>'Rent Roll CMHC'!F164</f>
        <v>3675</v>
      </c>
      <c r="H183" s="573">
        <f t="shared" si="6"/>
        <v>3.6206896551724137</v>
      </c>
    </row>
    <row r="184" spans="4:8">
      <c r="D184" s="572">
        <f>'Rent Roll CMHC'!D165</f>
        <v>163</v>
      </c>
      <c r="E184" s="571" t="str">
        <f>IF('Rent Roll CMHC'!M165="Yes",'Rent Roll CMHC'!A165&amp;" (Affordable)",'Rent Roll CMHC'!A165)</f>
        <v>3 Bedroom</v>
      </c>
      <c r="F184" s="561">
        <f>'Rent Roll CMHC'!J165</f>
        <v>1015</v>
      </c>
      <c r="G184" s="563">
        <f>'Rent Roll CMHC'!F165</f>
        <v>3675</v>
      </c>
      <c r="H184" s="573">
        <f t="shared" si="6"/>
        <v>3.6206896551724137</v>
      </c>
    </row>
    <row r="185" spans="4:8">
      <c r="D185" s="572">
        <f>'Rent Roll CMHC'!D166</f>
        <v>164</v>
      </c>
      <c r="E185" s="571" t="str">
        <f>IF('Rent Roll CMHC'!M166="Yes",'Rent Roll CMHC'!A166&amp;" (Affordable)",'Rent Roll CMHC'!A166)</f>
        <v>3 Bedroom</v>
      </c>
      <c r="F185" s="561">
        <f>'Rent Roll CMHC'!J166</f>
        <v>1015</v>
      </c>
      <c r="G185" s="563">
        <f>'Rent Roll CMHC'!F166</f>
        <v>3675</v>
      </c>
      <c r="H185" s="573">
        <f t="shared" si="6"/>
        <v>3.6206896551724137</v>
      </c>
    </row>
    <row r="186" spans="4:8">
      <c r="D186" s="572">
        <f>'Rent Roll CMHC'!D167</f>
        <v>165</v>
      </c>
      <c r="E186" s="571" t="str">
        <f>IF('Rent Roll CMHC'!M167="Yes",'Rent Roll CMHC'!A167&amp;" (Affordable)",'Rent Roll CMHC'!A167)</f>
        <v>3 Bedroom</v>
      </c>
      <c r="F186" s="561">
        <f>'Rent Roll CMHC'!J167</f>
        <v>1015</v>
      </c>
      <c r="G186" s="563">
        <f>'Rent Roll CMHC'!F167</f>
        <v>3675</v>
      </c>
      <c r="H186" s="573">
        <f t="shared" si="6"/>
        <v>3.6206896551724137</v>
      </c>
    </row>
    <row r="187" spans="4:8">
      <c r="D187" s="572">
        <f>'Rent Roll CMHC'!D168</f>
        <v>166</v>
      </c>
      <c r="E187" s="571" t="str">
        <f>IF('Rent Roll CMHC'!M168="Yes",'Rent Roll CMHC'!A168&amp;" (Affordable)",'Rent Roll CMHC'!A168)</f>
        <v>3 Bedroom</v>
      </c>
      <c r="F187" s="561">
        <f>'Rent Roll CMHC'!J168</f>
        <v>1015</v>
      </c>
      <c r="G187" s="563">
        <f>'Rent Roll CMHC'!F168</f>
        <v>3675</v>
      </c>
      <c r="H187" s="573">
        <f t="shared" si="6"/>
        <v>3.6206896551724137</v>
      </c>
    </row>
    <row r="188" spans="4:8">
      <c r="D188" s="572">
        <f>'Rent Roll CMHC'!D169</f>
        <v>167</v>
      </c>
      <c r="E188" s="571" t="str">
        <f>IF('Rent Roll CMHC'!M169="Yes",'Rent Roll CMHC'!A169&amp;" (Affordable)",'Rent Roll CMHC'!A169)</f>
        <v>3 Bedroom</v>
      </c>
      <c r="F188" s="561">
        <f>'Rent Roll CMHC'!J169</f>
        <v>1015</v>
      </c>
      <c r="G188" s="563">
        <f>'Rent Roll CMHC'!F169</f>
        <v>3675</v>
      </c>
      <c r="H188" s="573">
        <f t="shared" si="6"/>
        <v>3.6206896551724137</v>
      </c>
    </row>
    <row r="189" spans="4:8">
      <c r="D189" s="572">
        <f>'Rent Roll CMHC'!D170</f>
        <v>168</v>
      </c>
      <c r="E189" s="571" t="str">
        <f>IF('Rent Roll CMHC'!M170="Yes",'Rent Roll CMHC'!A170&amp;" (Affordable)",'Rent Roll CMHC'!A170)</f>
        <v>3 Bedroom</v>
      </c>
      <c r="F189" s="561">
        <f>'Rent Roll CMHC'!J170</f>
        <v>1015</v>
      </c>
      <c r="G189" s="563">
        <f>'Rent Roll CMHC'!F170</f>
        <v>3675</v>
      </c>
      <c r="H189" s="573">
        <f t="shared" si="6"/>
        <v>3.6206896551724137</v>
      </c>
    </row>
    <row r="190" spans="4:8">
      <c r="D190" s="572">
        <f>'Rent Roll CMHC'!D171</f>
        <v>169</v>
      </c>
      <c r="E190" s="571" t="str">
        <f>IF('Rent Roll CMHC'!M171="Yes",'Rent Roll CMHC'!A171&amp;" (Affordable)",'Rent Roll CMHC'!A171)</f>
        <v>3 Bedroom</v>
      </c>
      <c r="F190" s="561">
        <f>'Rent Roll CMHC'!J171</f>
        <v>1015</v>
      </c>
      <c r="G190" s="563">
        <f>'Rent Roll CMHC'!F171</f>
        <v>3675</v>
      </c>
      <c r="H190" s="573">
        <f t="shared" si="6"/>
        <v>3.6206896551724137</v>
      </c>
    </row>
    <row r="191" spans="4:8">
      <c r="D191" s="572">
        <f>'Rent Roll CMHC'!D172</f>
        <v>170</v>
      </c>
      <c r="E191" s="571" t="str">
        <f>IF('Rent Roll CMHC'!M172="Yes",'Rent Roll CMHC'!A172&amp;" (Affordable)",'Rent Roll CMHC'!A172)</f>
        <v>3 Bedroom</v>
      </c>
      <c r="F191" s="561">
        <f>'Rent Roll CMHC'!J172</f>
        <v>1015</v>
      </c>
      <c r="G191" s="563">
        <f>'Rent Roll CMHC'!F172</f>
        <v>3675</v>
      </c>
      <c r="H191" s="573">
        <f t="shared" si="6"/>
        <v>3.6206896551724137</v>
      </c>
    </row>
    <row r="192" spans="4:8">
      <c r="D192" s="572"/>
      <c r="E192" s="571"/>
      <c r="F192" s="561"/>
      <c r="G192" s="563"/>
      <c r="H192" s="573"/>
    </row>
    <row r="193" spans="4:8">
      <c r="D193" s="572"/>
      <c r="E193" s="571"/>
      <c r="F193" s="561"/>
      <c r="G193" s="563"/>
      <c r="H193" s="573"/>
    </row>
    <row r="194" spans="4:8">
      <c r="D194" s="572"/>
      <c r="E194" s="571"/>
      <c r="F194" s="561"/>
      <c r="G194" s="563"/>
      <c r="H194" s="573"/>
    </row>
    <row r="195" spans="4:8">
      <c r="D195" s="572"/>
      <c r="E195" s="571"/>
      <c r="F195" s="561"/>
      <c r="G195" s="563"/>
      <c r="H195" s="573"/>
    </row>
    <row r="196" spans="4:8">
      <c r="D196" s="572"/>
      <c r="E196" s="571"/>
      <c r="F196" s="561"/>
      <c r="G196" s="563"/>
      <c r="H196" s="573"/>
    </row>
    <row r="197" spans="4:8">
      <c r="D197" s="572"/>
      <c r="E197" s="571"/>
      <c r="F197" s="561"/>
      <c r="G197" s="563"/>
      <c r="H197" s="573"/>
    </row>
    <row r="198" spans="4:8">
      <c r="D198" s="572"/>
      <c r="E198" s="571"/>
      <c r="F198" s="561"/>
      <c r="G198" s="563"/>
      <c r="H198" s="573"/>
    </row>
    <row r="199" spans="4:8">
      <c r="D199" s="572"/>
      <c r="E199" s="571"/>
      <c r="F199" s="561"/>
      <c r="G199" s="563"/>
      <c r="H199" s="573"/>
    </row>
    <row r="200" spans="4:8">
      <c r="D200" s="572"/>
      <c r="E200" s="571"/>
      <c r="F200" s="561"/>
      <c r="G200" s="563"/>
      <c r="H200" s="573"/>
    </row>
    <row r="201" spans="4:8">
      <c r="D201" s="572"/>
      <c r="E201" s="571"/>
      <c r="F201" s="561"/>
      <c r="G201" s="563"/>
      <c r="H201" s="573"/>
    </row>
    <row r="202" spans="4:8">
      <c r="D202" s="572"/>
      <c r="E202" s="571"/>
      <c r="F202" s="561"/>
      <c r="G202" s="563"/>
      <c r="H202" s="573"/>
    </row>
    <row r="203" spans="4:8">
      <c r="D203" s="572"/>
      <c r="E203" s="571"/>
      <c r="F203" s="561"/>
      <c r="G203" s="563"/>
      <c r="H203" s="573"/>
    </row>
    <row r="204" spans="4:8">
      <c r="D204" s="572"/>
      <c r="E204" s="571"/>
      <c r="F204" s="561"/>
      <c r="G204" s="563"/>
      <c r="H204" s="573"/>
    </row>
    <row r="205" spans="4:8">
      <c r="D205" s="572"/>
      <c r="E205" s="571"/>
      <c r="F205" s="561"/>
      <c r="G205" s="563"/>
      <c r="H205" s="573"/>
    </row>
    <row r="206" spans="4:8">
      <c r="D206" s="572"/>
      <c r="E206" s="571"/>
      <c r="F206" s="561"/>
      <c r="G206" s="563"/>
      <c r="H206" s="573"/>
    </row>
    <row r="207" spans="4:8">
      <c r="D207" s="572"/>
      <c r="E207" s="571"/>
      <c r="F207" s="561"/>
      <c r="G207" s="563"/>
      <c r="H207" s="573"/>
    </row>
    <row r="208" spans="4:8">
      <c r="D208" s="572"/>
      <c r="E208" s="571"/>
      <c r="F208" s="561"/>
      <c r="G208" s="563"/>
      <c r="H208" s="573"/>
    </row>
    <row r="209" spans="4:8">
      <c r="D209" s="572"/>
      <c r="E209" s="571"/>
      <c r="F209" s="561"/>
      <c r="G209" s="563"/>
      <c r="H209" s="573"/>
    </row>
    <row r="210" spans="4:8">
      <c r="D210" s="572"/>
      <c r="E210" s="571"/>
      <c r="F210" s="561"/>
      <c r="G210" s="563"/>
      <c r="H210" s="573"/>
    </row>
    <row r="211" spans="4:8">
      <c r="D211" s="572"/>
      <c r="E211" s="571"/>
      <c r="F211" s="561"/>
      <c r="G211" s="563"/>
      <c r="H211" s="573"/>
    </row>
    <row r="212" spans="4:8">
      <c r="D212" s="572"/>
      <c r="E212" s="571"/>
      <c r="F212" s="561"/>
      <c r="G212" s="563"/>
      <c r="H212" s="573"/>
    </row>
    <row r="213" spans="4:8">
      <c r="D213" s="572"/>
      <c r="E213" s="571"/>
      <c r="F213" s="561"/>
      <c r="G213" s="563"/>
      <c r="H213" s="573"/>
    </row>
    <row r="214" spans="4:8">
      <c r="D214" s="572"/>
      <c r="E214" s="571"/>
      <c r="F214" s="561"/>
      <c r="G214" s="563"/>
      <c r="H214" s="573"/>
    </row>
    <row r="215" spans="4:8">
      <c r="D215" s="572"/>
      <c r="E215" s="571"/>
      <c r="F215" s="561"/>
      <c r="G215" s="563"/>
      <c r="H215" s="573"/>
    </row>
    <row r="216" spans="4:8">
      <c r="D216" s="572"/>
      <c r="E216" s="571"/>
      <c r="F216" s="561"/>
      <c r="G216" s="563"/>
      <c r="H216" s="573"/>
    </row>
    <row r="217" spans="4:8">
      <c r="D217" s="572"/>
      <c r="E217" s="571"/>
      <c r="F217" s="561"/>
      <c r="G217" s="563"/>
      <c r="H217" s="573"/>
    </row>
    <row r="218" spans="4:8">
      <c r="D218" s="572"/>
      <c r="E218" s="571"/>
      <c r="F218" s="561"/>
      <c r="G218" s="563"/>
      <c r="H218" s="573"/>
    </row>
    <row r="219" spans="4:8">
      <c r="D219" s="572"/>
      <c r="E219" s="571"/>
      <c r="F219" s="561"/>
      <c r="G219" s="563"/>
      <c r="H219" s="573"/>
    </row>
    <row r="220" spans="4:8">
      <c r="D220" s="572"/>
      <c r="E220" s="571"/>
      <c r="F220" s="561"/>
      <c r="G220" s="563"/>
      <c r="H220" s="573"/>
    </row>
    <row r="221" spans="4:8">
      <c r="D221" s="572"/>
      <c r="E221" s="571"/>
      <c r="F221" s="561"/>
      <c r="G221" s="563"/>
      <c r="H221" s="573"/>
    </row>
    <row r="222" spans="4:8">
      <c r="D222" s="572"/>
      <c r="E222" s="571"/>
      <c r="F222" s="561"/>
      <c r="G222" s="563"/>
      <c r="H222" s="573"/>
    </row>
    <row r="223" spans="4:8">
      <c r="D223" s="572"/>
      <c r="E223" s="571"/>
      <c r="F223" s="561"/>
      <c r="G223" s="563"/>
      <c r="H223" s="573"/>
    </row>
    <row r="224" spans="4:8">
      <c r="D224" s="572"/>
      <c r="E224" s="571"/>
      <c r="F224" s="561"/>
      <c r="G224" s="563"/>
      <c r="H224" s="573"/>
    </row>
    <row r="225" spans="4:8">
      <c r="D225" s="572"/>
      <c r="E225" s="571"/>
      <c r="F225" s="561"/>
      <c r="G225" s="563"/>
      <c r="H225" s="573"/>
    </row>
    <row r="226" spans="4:8">
      <c r="D226" s="572"/>
      <c r="E226" s="571"/>
      <c r="F226" s="561"/>
      <c r="G226" s="563"/>
      <c r="H226" s="573"/>
    </row>
    <row r="227" spans="4:8">
      <c r="D227" s="572"/>
      <c r="E227" s="571"/>
      <c r="F227" s="561"/>
      <c r="G227" s="563"/>
      <c r="H227" s="573"/>
    </row>
    <row r="228" spans="4:8">
      <c r="D228" s="572"/>
      <c r="E228" s="571"/>
      <c r="F228" s="561"/>
      <c r="G228" s="563"/>
      <c r="H228" s="573"/>
    </row>
    <row r="229" spans="4:8">
      <c r="D229" s="572"/>
      <c r="E229" s="571"/>
      <c r="F229" s="561"/>
      <c r="G229" s="563"/>
      <c r="H229" s="573"/>
    </row>
  </sheetData>
  <sheetProtection formatCells="0" insertRows="0" deleteRows="0" sort="0"/>
  <protectedRanges>
    <protectedRange sqref="C9:C13 C15:C16" name="Rent roll"/>
  </protectedRanges>
  <pageMargins left="0.7" right="0.7" top="0.75" bottom="0.75" header="0.3" footer="0.3"/>
  <pageSetup paperSize="9" scale="3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J80"/>
  <sheetViews>
    <sheetView topLeftCell="A40" zoomScale="115" zoomScaleNormal="115" workbookViewId="0">
      <selection activeCell="I28" sqref="I28"/>
    </sheetView>
  </sheetViews>
  <sheetFormatPr defaultColWidth="11.44140625" defaultRowHeight="13.2"/>
  <cols>
    <col min="1" max="1" width="11.44140625" style="70"/>
    <col min="2" max="2" width="21.33203125" style="70" customWidth="1"/>
    <col min="3" max="3" width="11.88671875" style="70" customWidth="1"/>
    <col min="4" max="4" width="12.6640625" style="70" customWidth="1"/>
    <col min="5" max="5" width="14" style="70" customWidth="1"/>
    <col min="6" max="6" width="22.88671875" style="70" customWidth="1"/>
    <col min="7" max="7" width="19.5546875" style="70" customWidth="1"/>
    <col min="8" max="8" width="13.6640625" style="70" customWidth="1"/>
    <col min="9" max="9" width="13.5546875" style="70" customWidth="1"/>
    <col min="10" max="10" width="11.88671875" style="70" customWidth="1"/>
    <col min="11" max="16384" width="11.44140625" style="70"/>
  </cols>
  <sheetData>
    <row r="2" spans="2:9">
      <c r="B2" s="704" t="str">
        <f>IF(AND('Input CMHC MLI Select'!D24&lt;=0,'Input CMHC MLI Select'!D37&lt;=0,'Input CMHC MLI Select'!D48&lt;=0),"Proforma CMHC Standard","Proforma - MLI Select "&amp;'Input CMHC MLI Select'!E52&amp;" pts ("&amp;_xlfn.TEXTJOIN(", ",TRUE,IF('Input CMHC MLI Select'!D24&gt;0,"Affordability",""),IF('Input CMHC MLI Select'!D37&gt;0,"Accessibility",""),IF('Input CMHC MLI Select'!D48&gt;0,"Energy efficiency",""))&amp;")")</f>
        <v>Proforma - MLI Select 50 pts (Energy efficiency)</v>
      </c>
      <c r="C2" s="705"/>
      <c r="D2" s="705"/>
      <c r="E2" s="705"/>
      <c r="F2" s="705"/>
      <c r="G2" s="705"/>
      <c r="H2" s="705"/>
      <c r="I2" s="706"/>
    </row>
    <row r="3" spans="2:9">
      <c r="B3" s="732" t="str">
        <f>'Proforma Construction'!B3</f>
        <v>2240 Birchmount Rd Scarborough</v>
      </c>
      <c r="C3" s="733"/>
      <c r="D3" s="733"/>
      <c r="E3" s="733"/>
      <c r="F3" s="733"/>
      <c r="G3" s="733"/>
      <c r="H3" s="733"/>
      <c r="I3" s="734"/>
    </row>
    <row r="4" spans="2:9">
      <c r="B4" s="580" t="s">
        <v>123</v>
      </c>
      <c r="C4" s="581" t="s">
        <v>124</v>
      </c>
      <c r="D4" s="581"/>
      <c r="E4" s="581" t="s">
        <v>125</v>
      </c>
      <c r="F4" s="581" t="s">
        <v>126</v>
      </c>
      <c r="G4" s="582" t="s">
        <v>127</v>
      </c>
      <c r="H4" s="581" t="s">
        <v>128</v>
      </c>
      <c r="I4" s="599" t="s">
        <v>129</v>
      </c>
    </row>
    <row r="5" spans="2:9">
      <c r="B5" s="74" t="s">
        <v>130</v>
      </c>
      <c r="C5" s="75"/>
      <c r="D5" s="75"/>
      <c r="E5" s="75"/>
      <c r="F5" s="75"/>
      <c r="G5" s="76"/>
      <c r="H5" s="75"/>
      <c r="I5" s="182"/>
    </row>
    <row r="6" spans="2:9">
      <c r="B6" s="77" t="str">
        <f>'Rent Roll'!C9</f>
        <v>Bachelor</v>
      </c>
      <c r="C6" s="114">
        <f>'Rent Roll'!D9</f>
        <v>0</v>
      </c>
      <c r="D6" s="114" t="s">
        <v>131</v>
      </c>
      <c r="E6" s="583">
        <f>'Rent Roll'!H9</f>
        <v>0</v>
      </c>
      <c r="F6" s="584">
        <f>'Rent Roll'!F9</f>
        <v>0</v>
      </c>
      <c r="G6" s="81" t="str">
        <f>IFERROR(E6/F6,"-")</f>
        <v>-</v>
      </c>
      <c r="H6" s="82">
        <f>E6*C6</f>
        <v>0</v>
      </c>
      <c r="I6" s="183">
        <f>C6*E6*12</f>
        <v>0</v>
      </c>
    </row>
    <row r="7" spans="2:9">
      <c r="B7" s="77" t="str">
        <f>'Rent Roll'!C10</f>
        <v>1 Bedroom</v>
      </c>
      <c r="C7" s="114">
        <f>'Rent Roll'!D10</f>
        <v>84</v>
      </c>
      <c r="D7" s="114" t="s">
        <v>131</v>
      </c>
      <c r="E7" s="583">
        <f>'Rent Roll'!H10</f>
        <v>2490</v>
      </c>
      <c r="F7" s="584">
        <f>'Rent Roll'!F10</f>
        <v>624</v>
      </c>
      <c r="G7" s="81">
        <f t="shared" ref="G7:G13" si="0">IFERROR(E7/F7,"-")</f>
        <v>3.9903846153846154</v>
      </c>
      <c r="H7" s="82">
        <f t="shared" ref="H7:H13" si="1">E7*C7</f>
        <v>209160</v>
      </c>
      <c r="I7" s="183">
        <f t="shared" ref="I7:I13" si="2">C7*E7*12</f>
        <v>2509920</v>
      </c>
    </row>
    <row r="8" spans="2:9">
      <c r="B8" s="77" t="str">
        <f>'Rent Roll'!C11</f>
        <v>2 Bedroom</v>
      </c>
      <c r="C8" s="114">
        <f>'Rent Roll'!D11</f>
        <v>68</v>
      </c>
      <c r="D8" s="114"/>
      <c r="E8" s="583">
        <f>'Rent Roll'!H11</f>
        <v>3155</v>
      </c>
      <c r="F8" s="584">
        <f>'Rent Roll'!F11</f>
        <v>855</v>
      </c>
      <c r="G8" s="81">
        <f t="shared" si="0"/>
        <v>3.6900584795321638</v>
      </c>
      <c r="H8" s="82">
        <f t="shared" si="1"/>
        <v>214540</v>
      </c>
      <c r="I8" s="183">
        <f t="shared" si="2"/>
        <v>2574480</v>
      </c>
    </row>
    <row r="9" spans="2:9">
      <c r="B9" s="77" t="str">
        <f>'Rent Roll'!C12</f>
        <v>3 Bedroom</v>
      </c>
      <c r="C9" s="114">
        <f>'Rent Roll'!D12</f>
        <v>18</v>
      </c>
      <c r="D9" s="114"/>
      <c r="E9" s="583">
        <f>'Rent Roll'!H12</f>
        <v>3675</v>
      </c>
      <c r="F9" s="584">
        <f>'Rent Roll'!F12</f>
        <v>1015</v>
      </c>
      <c r="G9" s="81">
        <f t="shared" si="0"/>
        <v>3.6206896551724137</v>
      </c>
      <c r="H9" s="82">
        <f t="shared" si="1"/>
        <v>66150</v>
      </c>
      <c r="I9" s="183">
        <f t="shared" si="2"/>
        <v>793800</v>
      </c>
    </row>
    <row r="10" spans="2:9">
      <c r="B10" s="77" t="str">
        <f>'Rent Roll'!C13</f>
        <v>4 Bedroom +</v>
      </c>
      <c r="C10" s="114">
        <f>'Rent Roll'!D13</f>
        <v>0</v>
      </c>
      <c r="D10" s="114"/>
      <c r="E10" s="583">
        <f>'Rent Roll'!H13</f>
        <v>0</v>
      </c>
      <c r="F10" s="584">
        <f>'Rent Roll'!F13</f>
        <v>0</v>
      </c>
      <c r="G10" s="81" t="str">
        <f t="shared" si="0"/>
        <v>-</v>
      </c>
      <c r="H10" s="82">
        <f t="shared" si="1"/>
        <v>0</v>
      </c>
      <c r="I10" s="183">
        <f t="shared" si="2"/>
        <v>0</v>
      </c>
    </row>
    <row r="11" spans="2:9">
      <c r="B11" s="84" t="s">
        <v>132</v>
      </c>
      <c r="C11" s="114"/>
      <c r="D11" s="585"/>
      <c r="E11" s="583"/>
      <c r="F11" s="584"/>
      <c r="G11" s="81"/>
      <c r="H11" s="82"/>
      <c r="I11" s="183"/>
    </row>
    <row r="12" spans="2:9">
      <c r="B12" s="77" t="str">
        <f>'Rent Roll'!C15</f>
        <v>2 Bedrooms (Affordable)</v>
      </c>
      <c r="C12" s="114">
        <f>'Rent Roll'!D15</f>
        <v>0</v>
      </c>
      <c r="D12" s="114"/>
      <c r="E12" s="583">
        <f>'Rent Roll'!H15</f>
        <v>0</v>
      </c>
      <c r="F12" s="584">
        <f>'Rent Roll'!F15</f>
        <v>0</v>
      </c>
      <c r="G12" s="81" t="str">
        <f t="shared" si="0"/>
        <v>-</v>
      </c>
      <c r="H12" s="82">
        <f t="shared" si="1"/>
        <v>0</v>
      </c>
      <c r="I12" s="183">
        <f t="shared" si="2"/>
        <v>0</v>
      </c>
    </row>
    <row r="13" spans="2:9">
      <c r="B13" s="77" t="str">
        <f>'Rent Roll'!C16</f>
        <v>1 Bedroom (Affordable)</v>
      </c>
      <c r="C13" s="114">
        <f>'Rent Roll'!D16</f>
        <v>0</v>
      </c>
      <c r="D13" s="114"/>
      <c r="E13" s="583">
        <f>'Rent Roll'!H16</f>
        <v>0</v>
      </c>
      <c r="F13" s="584">
        <f>'Rent Roll'!F16</f>
        <v>0</v>
      </c>
      <c r="G13" s="81" t="str">
        <f t="shared" si="0"/>
        <v>-</v>
      </c>
      <c r="H13" s="82">
        <f t="shared" si="1"/>
        <v>0</v>
      </c>
      <c r="I13" s="183">
        <f t="shared" si="2"/>
        <v>0</v>
      </c>
    </row>
    <row r="14" spans="2:9">
      <c r="B14" s="91" t="s">
        <v>106</v>
      </c>
      <c r="C14" s="92">
        <f>SUM(C6:C13)</f>
        <v>170</v>
      </c>
      <c r="D14" s="93"/>
      <c r="E14" s="94">
        <f>SUMPRODUCT(C6:C13,E6:E13)</f>
        <v>489850</v>
      </c>
      <c r="F14" s="98">
        <f>SUMPRODUCT(C6:C13,F6:F13)</f>
        <v>128826</v>
      </c>
      <c r="G14" s="96"/>
      <c r="H14" s="97">
        <f>SUM(H6:H13)</f>
        <v>489850</v>
      </c>
      <c r="I14" s="185">
        <f>SUM(I6:I13)</f>
        <v>5878200</v>
      </c>
    </row>
    <row r="15" spans="2:9">
      <c r="B15" s="91" t="s">
        <v>133</v>
      </c>
      <c r="C15" s="93"/>
      <c r="D15" s="93"/>
      <c r="E15" s="94">
        <f>IFERROR(E14/C14,"-")</f>
        <v>2881.4705882352941</v>
      </c>
      <c r="F15" s="98">
        <f>IFERROR(F14/C14,"-")</f>
        <v>757.8</v>
      </c>
      <c r="G15" s="99">
        <f>IFERROR(E15/F15,"-")</f>
        <v>3.8024156614348037</v>
      </c>
      <c r="H15" s="100"/>
      <c r="I15" s="186"/>
    </row>
    <row r="16" spans="2:9">
      <c r="B16" s="77"/>
      <c r="C16" s="78"/>
      <c r="D16" s="78"/>
      <c r="E16" s="89"/>
      <c r="F16" s="101"/>
      <c r="G16" s="81"/>
      <c r="H16" s="102"/>
      <c r="I16" s="183"/>
    </row>
    <row r="17" spans="2:9">
      <c r="B17" s="103" t="s">
        <v>134</v>
      </c>
      <c r="C17" s="78"/>
      <c r="D17" s="78"/>
      <c r="E17" s="104" t="s">
        <v>135</v>
      </c>
      <c r="F17" s="586" t="s">
        <v>136</v>
      </c>
      <c r="H17" s="104" t="s">
        <v>128</v>
      </c>
      <c r="I17" s="183"/>
    </row>
    <row r="18" spans="2:9">
      <c r="B18" s="77" t="s">
        <v>137</v>
      </c>
      <c r="C18" s="85"/>
      <c r="D18" s="85"/>
      <c r="E18" s="587">
        <f>'Proforma Construction'!E18</f>
        <v>200</v>
      </c>
      <c r="F18" s="86">
        <f>'Proforma Construction'!F18</f>
        <v>162</v>
      </c>
      <c r="G18" s="588" t="s">
        <v>137</v>
      </c>
      <c r="H18" s="82">
        <f>E18*F18</f>
        <v>32400</v>
      </c>
      <c r="I18" s="183">
        <f>H18*12</f>
        <v>388800</v>
      </c>
    </row>
    <row r="19" spans="2:9">
      <c r="B19" s="77" t="s">
        <v>138</v>
      </c>
      <c r="C19" s="85"/>
      <c r="D19" s="85"/>
      <c r="E19" s="587">
        <f>'Proforma Construction'!E19</f>
        <v>0</v>
      </c>
      <c r="F19" s="86">
        <f>'Proforma Construction'!F19</f>
        <v>30</v>
      </c>
      <c r="G19" s="588" t="s">
        <v>138</v>
      </c>
      <c r="H19" s="82">
        <f t="shared" ref="H19:H22" si="3">E19*F19</f>
        <v>0</v>
      </c>
      <c r="I19" s="183">
        <f t="shared" ref="I19:I22" si="4">H19*12</f>
        <v>0</v>
      </c>
    </row>
    <row r="20" spans="2:9">
      <c r="B20" s="77" t="s">
        <v>139</v>
      </c>
      <c r="C20" s="85"/>
      <c r="D20" s="85"/>
      <c r="E20" s="587">
        <f>'Proforma Construction'!E20</f>
        <v>40</v>
      </c>
      <c r="F20" s="86">
        <f>'Proforma Construction'!F20</f>
        <v>100</v>
      </c>
      <c r="G20" s="588" t="s">
        <v>139</v>
      </c>
      <c r="H20" s="82">
        <f t="shared" si="3"/>
        <v>4000</v>
      </c>
      <c r="I20" s="183">
        <f t="shared" si="4"/>
        <v>48000</v>
      </c>
    </row>
    <row r="21" spans="2:9">
      <c r="B21" s="77" t="s">
        <v>140</v>
      </c>
      <c r="C21" s="85"/>
      <c r="D21" s="85"/>
      <c r="E21" s="587">
        <f>'Proforma Construction'!E21</f>
        <v>20</v>
      </c>
      <c r="F21" s="86">
        <f>'Proforma Construction'!F21</f>
        <v>170</v>
      </c>
      <c r="G21" s="588" t="s">
        <v>140</v>
      </c>
      <c r="H21" s="82">
        <f t="shared" si="3"/>
        <v>3400</v>
      </c>
      <c r="I21" s="183">
        <f t="shared" si="4"/>
        <v>40800</v>
      </c>
    </row>
    <row r="22" spans="2:9">
      <c r="B22" s="77" t="s">
        <v>141</v>
      </c>
      <c r="C22" s="85"/>
      <c r="D22" s="85"/>
      <c r="E22" s="587">
        <f>'Proforma Construction'!E22</f>
        <v>40</v>
      </c>
      <c r="F22" s="86">
        <f>'Proforma Construction'!F22</f>
        <v>364.16666666666669</v>
      </c>
      <c r="G22" s="588" t="s">
        <v>141</v>
      </c>
      <c r="H22" s="82">
        <f t="shared" si="3"/>
        <v>14566.666666666668</v>
      </c>
      <c r="I22" s="183">
        <f t="shared" si="4"/>
        <v>174800</v>
      </c>
    </row>
    <row r="23" spans="2:9">
      <c r="B23" s="77"/>
      <c r="C23" s="78"/>
      <c r="D23" s="78"/>
      <c r="E23" s="89"/>
      <c r="F23" s="83"/>
      <c r="G23" s="81"/>
      <c r="H23" s="82"/>
      <c r="I23" s="183"/>
    </row>
    <row r="24" spans="2:9">
      <c r="B24" s="106" t="s">
        <v>142</v>
      </c>
      <c r="C24" s="78"/>
      <c r="D24" s="78"/>
      <c r="E24" s="89"/>
      <c r="F24" s="83"/>
      <c r="G24" s="81"/>
      <c r="H24" s="102"/>
      <c r="I24" s="187">
        <f>SUM(I18:I23)</f>
        <v>652400</v>
      </c>
    </row>
    <row r="25" spans="2:9">
      <c r="B25" s="106"/>
      <c r="C25" s="78"/>
      <c r="D25" s="78"/>
      <c r="E25" s="89"/>
      <c r="F25" s="83"/>
      <c r="G25" s="81"/>
      <c r="H25" s="102"/>
      <c r="I25" s="187"/>
    </row>
    <row r="26" spans="2:9">
      <c r="B26" s="107" t="s">
        <v>143</v>
      </c>
      <c r="C26" s="108"/>
      <c r="D26" s="108"/>
      <c r="E26" s="109"/>
      <c r="F26" s="110"/>
      <c r="G26" s="111"/>
      <c r="H26" s="112"/>
      <c r="I26" s="188">
        <f>I14+I24</f>
        <v>6530600</v>
      </c>
    </row>
    <row r="27" spans="2:9">
      <c r="B27" s="106"/>
      <c r="C27" s="78"/>
      <c r="D27" s="78"/>
      <c r="E27" s="89"/>
      <c r="F27" s="83"/>
      <c r="G27" s="81"/>
      <c r="H27" s="102"/>
      <c r="I27" s="187"/>
    </row>
    <row r="28" spans="2:9">
      <c r="B28" s="589" t="s">
        <v>144</v>
      </c>
      <c r="C28" s="78"/>
      <c r="D28" s="78"/>
      <c r="E28" s="590">
        <f>'Proforma Construction'!E28</f>
        <v>0.03</v>
      </c>
      <c r="F28" s="116" t="s">
        <v>145</v>
      </c>
      <c r="G28" s="81"/>
      <c r="H28" s="102"/>
      <c r="I28" s="189">
        <f>'Proforma Construction'!I28</f>
        <v>-197666</v>
      </c>
    </row>
    <row r="29" spans="2:9">
      <c r="B29" s="591" t="str">
        <f>'Proforma Construction'!B29</f>
        <v>2025 CMHC Vacancy Toronto North York ON</v>
      </c>
      <c r="C29" s="78"/>
      <c r="D29" s="78"/>
      <c r="E29" s="590">
        <f>'Proforma Construction'!E29</f>
        <v>3.2000000000000001E-2</v>
      </c>
      <c r="F29" s="83"/>
      <c r="G29" s="81"/>
      <c r="H29" s="102"/>
      <c r="I29" s="187"/>
    </row>
    <row r="30" spans="2:9">
      <c r="B30" s="591" t="str">
        <f>'Proforma Construction'!B30</f>
        <v>CMHC 4 Year Average Vacancy, Toronto North York ON</v>
      </c>
      <c r="C30" s="78"/>
      <c r="D30" s="78"/>
      <c r="E30" s="590">
        <f>'Proforma Construction'!E30</f>
        <v>1.6250000000000001E-2</v>
      </c>
      <c r="F30" s="83"/>
      <c r="G30" s="81"/>
      <c r="H30" s="102"/>
      <c r="I30" s="187"/>
    </row>
    <row r="31" spans="2:9">
      <c r="B31" s="591" t="str">
        <f>'Proforma Construction'!B31</f>
        <v>Appraisal</v>
      </c>
      <c r="C31" s="78"/>
      <c r="D31" s="78"/>
      <c r="E31" s="590">
        <f>'Proforma Construction'!E31</f>
        <v>0.03</v>
      </c>
      <c r="F31" s="83"/>
      <c r="G31" s="81"/>
      <c r="H31" s="102"/>
      <c r="I31" s="187"/>
    </row>
    <row r="32" spans="2:9">
      <c r="B32" s="119" t="s">
        <v>147</v>
      </c>
      <c r="C32" s="120"/>
      <c r="D32" s="120"/>
      <c r="E32" s="120"/>
      <c r="F32" s="121"/>
      <c r="G32" s="121"/>
      <c r="H32" s="121"/>
      <c r="I32" s="600">
        <f>I26+I28</f>
        <v>6332934</v>
      </c>
    </row>
    <row r="33" spans="2:9">
      <c r="B33" s="122"/>
      <c r="C33" s="123"/>
      <c r="D33" s="123"/>
      <c r="E33" s="123"/>
      <c r="F33" s="124"/>
      <c r="G33" s="124"/>
      <c r="H33" s="124"/>
      <c r="I33" s="190"/>
    </row>
    <row r="34" spans="2:9">
      <c r="B34" s="125" t="s">
        <v>148</v>
      </c>
      <c r="C34" s="126"/>
      <c r="D34" s="126"/>
      <c r="E34" s="126"/>
      <c r="F34" s="127"/>
      <c r="G34" s="127"/>
      <c r="H34" s="127"/>
      <c r="I34" s="191"/>
    </row>
    <row r="35" spans="2:9">
      <c r="B35" s="125" t="s">
        <v>149</v>
      </c>
      <c r="C35" s="127"/>
      <c r="D35" s="127"/>
      <c r="E35" s="128" t="s">
        <v>150</v>
      </c>
      <c r="F35" s="128" t="s">
        <v>63</v>
      </c>
      <c r="G35" s="128" t="s">
        <v>64</v>
      </c>
      <c r="H35" s="127"/>
      <c r="I35" s="191"/>
    </row>
    <row r="36" spans="2:9">
      <c r="B36" s="129" t="s">
        <v>151</v>
      </c>
      <c r="C36" s="130"/>
      <c r="D36" s="130"/>
      <c r="E36" s="592" t="str">
        <f>'Proforma Construction'!E36</f>
        <v>Appraisal</v>
      </c>
      <c r="F36" s="132">
        <f>IFERROR(I36/I32,"-")</f>
        <v>9.1091585669454314E-2</v>
      </c>
      <c r="G36" s="133">
        <f>IFERROR(I36/C14,"-")</f>
        <v>3393.3941176470589</v>
      </c>
      <c r="H36" s="130"/>
      <c r="I36" s="601">
        <f>'Proforma Construction'!I36</f>
        <v>576877</v>
      </c>
    </row>
    <row r="37" spans="2:9">
      <c r="B37" s="129" t="s">
        <v>152</v>
      </c>
      <c r="C37" s="127"/>
      <c r="D37" s="127"/>
      <c r="E37" s="592" t="str">
        <f>'Proforma Construction'!E37</f>
        <v>Appraisal</v>
      </c>
      <c r="F37" s="132">
        <f>IFERROR(I37/I32,"-")</f>
        <v>1.2079709025863842E-2</v>
      </c>
      <c r="G37" s="133">
        <f>IFERROR(I37/C14,"-")</f>
        <v>450</v>
      </c>
      <c r="H37" s="134"/>
      <c r="I37" s="601">
        <f>'Proforma Construction'!I37</f>
        <v>76500</v>
      </c>
    </row>
    <row r="38" spans="2:9">
      <c r="B38" s="129" t="s">
        <v>153</v>
      </c>
      <c r="C38" s="127"/>
      <c r="D38" s="127"/>
      <c r="E38" s="592" t="str">
        <f>'Proforma Construction'!E38</f>
        <v>Common Area</v>
      </c>
      <c r="F38" s="132">
        <f>IFERROR(I38/I32,"-")</f>
        <v>3.0333491553835867E-2</v>
      </c>
      <c r="G38" s="133">
        <f>IFERROR(I38/C14,"-")</f>
        <v>1130</v>
      </c>
      <c r="H38" s="134"/>
      <c r="I38" s="601">
        <f>'Proforma Construction'!I38</f>
        <v>192100</v>
      </c>
    </row>
    <row r="39" spans="2:9">
      <c r="B39" s="129" t="s">
        <v>65</v>
      </c>
      <c r="C39" s="127"/>
      <c r="D39" s="127"/>
      <c r="E39" s="142" t="s">
        <v>154</v>
      </c>
      <c r="F39" s="593">
        <f>'Input CMHC MLI Select'!D78</f>
        <v>4.2500000000000003E-2</v>
      </c>
      <c r="G39" s="594">
        <f>IFERROR(I39/+C56,"-")</f>
        <v>1583.2335</v>
      </c>
      <c r="H39" s="134"/>
      <c r="I39" s="602">
        <f>F39*I32</f>
        <v>269149.69500000001</v>
      </c>
    </row>
    <row r="40" spans="2:9">
      <c r="B40" s="129" t="s">
        <v>66</v>
      </c>
      <c r="C40" s="127"/>
      <c r="D40" s="127"/>
      <c r="E40" s="142" t="s">
        <v>154</v>
      </c>
      <c r="F40" s="593">
        <f>IFERROR(I40/I32,"-")</f>
        <v>2.2280352203259975E-2</v>
      </c>
      <c r="G40" s="594">
        <f>'Input CMHC MLI Select'!E79</f>
        <v>830</v>
      </c>
      <c r="H40" s="134"/>
      <c r="I40" s="602">
        <f>G40*C14</f>
        <v>141100</v>
      </c>
    </row>
    <row r="41" spans="2:9">
      <c r="B41" s="129" t="s">
        <v>67</v>
      </c>
      <c r="C41" s="130"/>
      <c r="D41" s="130"/>
      <c r="E41" s="142" t="s">
        <v>154</v>
      </c>
      <c r="F41" s="593">
        <f>IFERROR(I41/I32,"-")</f>
        <v>1.4898307798565404E-2</v>
      </c>
      <c r="G41" s="594">
        <f>'Input CMHC MLI Select'!E80</f>
        <v>555</v>
      </c>
      <c r="H41" s="130"/>
      <c r="I41" s="602">
        <f>G41*C14</f>
        <v>94350</v>
      </c>
    </row>
    <row r="42" spans="2:9">
      <c r="B42" s="129" t="s">
        <v>68</v>
      </c>
      <c r="C42" s="130"/>
      <c r="D42" s="130"/>
      <c r="E42" s="142" t="s">
        <v>154</v>
      </c>
      <c r="F42" s="593">
        <f>'Input CMHC MLI Select'!D81</f>
        <v>0.01</v>
      </c>
      <c r="G42" s="594">
        <f>IFERROR(I42/C56,"-")</f>
        <v>372.52552941176475</v>
      </c>
      <c r="H42" s="134"/>
      <c r="I42" s="602">
        <f>F42*I32</f>
        <v>63329.340000000004</v>
      </c>
    </row>
    <row r="43" spans="2:9">
      <c r="B43" s="129" t="s">
        <v>69</v>
      </c>
      <c r="C43" s="130"/>
      <c r="D43" s="130"/>
      <c r="E43" s="595" t="s">
        <v>154</v>
      </c>
      <c r="F43" s="593">
        <f>IFERROR(I43/+I32,"-")</f>
        <v>8.0531393505758938E-3</v>
      </c>
      <c r="G43" s="592">
        <f>'Proforma Construction'!G43</f>
        <v>300</v>
      </c>
      <c r="H43" s="596"/>
      <c r="I43" s="603">
        <f>'Proforma Construction'!I43</f>
        <v>51000</v>
      </c>
    </row>
    <row r="44" spans="2:9">
      <c r="B44" s="129" t="s">
        <v>70</v>
      </c>
      <c r="C44" s="130"/>
      <c r="D44" s="130"/>
      <c r="E44" s="595" t="s">
        <v>154</v>
      </c>
      <c r="F44" s="132">
        <f>IFERROR(I44/I32,"-")</f>
        <v>0</v>
      </c>
      <c r="G44" s="592">
        <f>'Proforma Construction'!G44</f>
        <v>0</v>
      </c>
      <c r="H44" s="134"/>
      <c r="I44" s="603">
        <f>'Proforma Construction'!I44</f>
        <v>0</v>
      </c>
    </row>
    <row r="45" spans="2:9">
      <c r="B45" s="135" t="s">
        <v>71</v>
      </c>
      <c r="C45" s="136"/>
      <c r="D45" s="136"/>
      <c r="E45" s="137"/>
      <c r="F45" s="138">
        <f>SUM(F36:F44)</f>
        <v>0.2312365856015553</v>
      </c>
      <c r="G45" s="139">
        <v>6863</v>
      </c>
      <c r="H45" s="140"/>
      <c r="I45" s="193">
        <f>SUM(I36:I44)</f>
        <v>1464406.0350000001</v>
      </c>
    </row>
    <row r="46" spans="2:9">
      <c r="B46" s="141"/>
      <c r="C46" s="127"/>
      <c r="D46" s="127"/>
      <c r="E46" s="127"/>
      <c r="F46" s="142"/>
      <c r="G46" s="127"/>
      <c r="H46" s="127"/>
      <c r="I46" s="191"/>
    </row>
    <row r="47" spans="2:9">
      <c r="B47" s="143" t="s">
        <v>155</v>
      </c>
      <c r="C47" s="144"/>
      <c r="D47" s="144"/>
      <c r="E47" s="144"/>
      <c r="F47" s="144"/>
      <c r="G47" s="144"/>
      <c r="H47" s="144"/>
      <c r="I47" s="194">
        <f>I32-I45</f>
        <v>4868527.9649999999</v>
      </c>
    </row>
    <row r="48" spans="2:9">
      <c r="B48" s="704" t="s">
        <v>156</v>
      </c>
      <c r="C48" s="705"/>
      <c r="D48" s="705"/>
      <c r="E48" s="705"/>
      <c r="F48" s="705"/>
      <c r="G48" s="705"/>
      <c r="H48" s="705"/>
      <c r="I48" s="706"/>
    </row>
    <row r="49" spans="2:9">
      <c r="B49" s="145"/>
      <c r="C49" s="146" t="s">
        <v>194</v>
      </c>
      <c r="D49" s="146" t="s">
        <v>158</v>
      </c>
      <c r="E49" s="146" t="s">
        <v>159</v>
      </c>
      <c r="F49" s="146" t="s">
        <v>160</v>
      </c>
      <c r="G49" s="146" t="s">
        <v>42</v>
      </c>
      <c r="H49" s="146" t="s">
        <v>161</v>
      </c>
      <c r="I49" s="195" t="s">
        <v>162</v>
      </c>
    </row>
    <row r="50" spans="2:9">
      <c r="B50" s="129" t="s">
        <v>163</v>
      </c>
      <c r="C50" s="148"/>
      <c r="D50" s="593">
        <f>E50/C61</f>
        <v>0.75998331047894063</v>
      </c>
      <c r="E50" s="592">
        <f>'Proforma Construction'!E50</f>
        <v>92500000</v>
      </c>
      <c r="F50" s="597">
        <f>'Proforma Construction'!F50</f>
        <v>3.6999999999999998E-2</v>
      </c>
      <c r="G50" s="149">
        <f>'Proforma Construction'!G50</f>
        <v>40</v>
      </c>
      <c r="H50" s="150">
        <f>I47/I50</f>
        <v>1.1026864498003595</v>
      </c>
      <c r="I50" s="196">
        <f>IF(G50="IO",F50*E50,PMT((F50/2+1)^(1/6)-1,G50*12,-(E50))*12)</f>
        <v>4415151.7105170228</v>
      </c>
    </row>
    <row r="51" spans="2:9">
      <c r="B51" s="125" t="s">
        <v>164</v>
      </c>
      <c r="C51" s="127"/>
      <c r="D51" s="127"/>
      <c r="E51" s="127"/>
      <c r="F51" s="127"/>
      <c r="G51" s="127"/>
      <c r="H51" s="127"/>
      <c r="I51" s="197">
        <f>I47-I50</f>
        <v>453376.25448297709</v>
      </c>
    </row>
    <row r="52" spans="2:9">
      <c r="B52" s="704" t="s">
        <v>165</v>
      </c>
      <c r="C52" s="705"/>
      <c r="D52" s="705"/>
      <c r="E52" s="705"/>
      <c r="F52" s="705"/>
      <c r="G52" s="705"/>
      <c r="H52" s="705"/>
      <c r="I52" s="706"/>
    </row>
    <row r="53" spans="2:9">
      <c r="B53" s="710" t="s">
        <v>156</v>
      </c>
      <c r="C53" s="711"/>
      <c r="D53" s="151"/>
      <c r="E53" s="151"/>
      <c r="F53" s="712" t="s">
        <v>166</v>
      </c>
      <c r="G53" s="712"/>
      <c r="H53" s="712"/>
      <c r="I53" s="713"/>
    </row>
    <row r="54" spans="2:9">
      <c r="B54" s="152" t="s">
        <v>167</v>
      </c>
      <c r="C54" s="153">
        <f>F14</f>
        <v>128826</v>
      </c>
      <c r="D54" s="154"/>
      <c r="E54" s="127"/>
      <c r="F54" s="152" t="s">
        <v>168</v>
      </c>
      <c r="G54" s="155"/>
      <c r="H54" s="156"/>
      <c r="I54" s="198">
        <f>C71</f>
        <v>92500000</v>
      </c>
    </row>
    <row r="55" spans="2:9">
      <c r="B55" s="157" t="s">
        <v>169</v>
      </c>
      <c r="C55" s="598">
        <f>IFERROR(C54/C14,"-")</f>
        <v>757.8</v>
      </c>
      <c r="D55" s="158"/>
      <c r="E55" s="159"/>
      <c r="F55" s="157" t="s">
        <v>170</v>
      </c>
      <c r="G55" s="160"/>
      <c r="H55" s="161"/>
      <c r="I55" s="199">
        <f>C61</f>
        <v>121713199.125</v>
      </c>
    </row>
    <row r="56" spans="2:9">
      <c r="B56" s="157" t="s">
        <v>171</v>
      </c>
      <c r="C56" s="162">
        <f>C14</f>
        <v>170</v>
      </c>
      <c r="D56" s="158"/>
      <c r="E56" s="127"/>
      <c r="F56" s="157" t="s">
        <v>158</v>
      </c>
      <c r="G56" s="160"/>
      <c r="H56" s="161"/>
      <c r="I56" s="200">
        <f>D50</f>
        <v>0.75998331047894063</v>
      </c>
    </row>
    <row r="57" spans="2:9">
      <c r="B57" s="157" t="s">
        <v>172</v>
      </c>
      <c r="C57" s="163">
        <f>H14</f>
        <v>489850</v>
      </c>
      <c r="D57" s="158"/>
      <c r="E57" s="127"/>
      <c r="F57" s="157" t="s">
        <v>157</v>
      </c>
      <c r="G57" s="160"/>
      <c r="H57" s="164"/>
      <c r="I57" s="200">
        <f>C50</f>
        <v>0</v>
      </c>
    </row>
    <row r="58" spans="2:9">
      <c r="B58" s="157" t="s">
        <v>155</v>
      </c>
      <c r="C58" s="163">
        <f>I47</f>
        <v>4868527.9649999999</v>
      </c>
      <c r="D58" s="158"/>
      <c r="E58" s="127"/>
      <c r="F58" s="157" t="s">
        <v>173</v>
      </c>
      <c r="G58" s="160"/>
      <c r="H58" s="164"/>
      <c r="I58" s="201">
        <f>IFERROR(I54/C54,"-")</f>
        <v>718.0227593808703</v>
      </c>
    </row>
    <row r="59" spans="2:9">
      <c r="B59" s="157" t="s">
        <v>174</v>
      </c>
      <c r="C59" s="163">
        <f>IFERROR(C58/C56,"-")</f>
        <v>28638.399794117646</v>
      </c>
      <c r="D59" s="158"/>
      <c r="E59" s="127"/>
      <c r="F59" s="165" t="s">
        <v>175</v>
      </c>
      <c r="G59" s="166"/>
      <c r="H59" s="167"/>
      <c r="I59" s="202">
        <f>IFERROR(I54/C56,"-")</f>
        <v>544117.6470588235</v>
      </c>
    </row>
    <row r="60" spans="2:9">
      <c r="B60" s="157" t="s">
        <v>176</v>
      </c>
      <c r="C60" s="168">
        <f>'Proforma Construction'!C60</f>
        <v>0.04</v>
      </c>
      <c r="D60" s="158"/>
      <c r="E60" s="130"/>
      <c r="F60" s="702" t="s">
        <v>177</v>
      </c>
      <c r="G60" s="702"/>
      <c r="H60" s="702"/>
      <c r="I60" s="703"/>
    </row>
    <row r="61" spans="2:9">
      <c r="B61" s="157" t="s">
        <v>178</v>
      </c>
      <c r="C61" s="163">
        <f>C58/C60</f>
        <v>121713199.125</v>
      </c>
      <c r="D61" s="169"/>
      <c r="E61" s="130"/>
      <c r="F61" s="152" t="s">
        <v>179</v>
      </c>
      <c r="G61" s="170"/>
      <c r="H61" s="171"/>
      <c r="I61" s="203">
        <f>I54</f>
        <v>92500000</v>
      </c>
    </row>
    <row r="62" spans="2:9">
      <c r="B62" s="165" t="s">
        <v>180</v>
      </c>
      <c r="C62" s="172">
        <f>IFERROR(C61/C56,"-")</f>
        <v>715959.99485294113</v>
      </c>
      <c r="D62" s="158"/>
      <c r="E62" s="130"/>
      <c r="F62" s="157" t="s">
        <v>181</v>
      </c>
      <c r="G62" s="164"/>
      <c r="H62" s="173"/>
      <c r="I62" s="204">
        <f>MIN(IF(C56&lt;=100,'Input CMHC MLI Select'!C74*C56,100*'Input CMHC MLI Select'!C74+(C56-100)*100),IF('Input CMHC MLI Select'!C63="NEW CONSTRUCTION",55000,IF('Input CMHC MLI Select'!C63="PURCHASE - REFINANCE",50000,"")))</f>
        <v>55000</v>
      </c>
    </row>
    <row r="63" spans="2:9">
      <c r="B63" s="174"/>
      <c r="C63" s="158"/>
      <c r="D63" s="158"/>
      <c r="E63" s="130"/>
      <c r="F63" s="157" t="s">
        <v>182</v>
      </c>
      <c r="G63" s="164"/>
      <c r="H63" s="173"/>
      <c r="I63" s="604">
        <f>I61*'Input CMHC MLI Select'!C73</f>
        <v>4786875</v>
      </c>
    </row>
    <row r="64" spans="2:9">
      <c r="B64" s="174"/>
      <c r="C64" s="158"/>
      <c r="D64" s="158"/>
      <c r="E64" s="130"/>
      <c r="F64" s="157" t="s">
        <v>183</v>
      </c>
      <c r="G64" s="164"/>
      <c r="H64" s="173"/>
      <c r="I64" s="204">
        <f>SUM(I62:I63)</f>
        <v>4841875</v>
      </c>
    </row>
    <row r="65" spans="2:10">
      <c r="B65" s="174"/>
      <c r="C65" s="158"/>
      <c r="D65" s="158"/>
      <c r="E65" s="130"/>
      <c r="F65" s="165" t="s">
        <v>184</v>
      </c>
      <c r="G65" s="167"/>
      <c r="H65" s="175"/>
      <c r="I65" s="205">
        <f>I61+I64</f>
        <v>97341875</v>
      </c>
      <c r="J65" s="206"/>
    </row>
    <row r="66" spans="2:10">
      <c r="B66" s="176"/>
      <c r="C66" s="177"/>
      <c r="D66" s="177"/>
      <c r="E66" s="178"/>
      <c r="F66" s="179"/>
      <c r="G66" s="180"/>
      <c r="H66" s="179"/>
      <c r="I66" s="207"/>
    </row>
    <row r="67" spans="2:10">
      <c r="B67" s="208"/>
      <c r="C67" s="158"/>
      <c r="D67" s="158"/>
      <c r="E67" s="130"/>
      <c r="F67" s="127"/>
      <c r="G67" s="208"/>
      <c r="H67" s="127"/>
      <c r="I67" s="127"/>
    </row>
    <row r="68" spans="2:10">
      <c r="B68" s="208"/>
      <c r="C68" s="158"/>
      <c r="D68" s="158"/>
      <c r="E68" s="130"/>
      <c r="F68" s="127"/>
      <c r="G68" s="208"/>
      <c r="H68" s="127"/>
      <c r="I68" s="127"/>
    </row>
    <row r="69" spans="2:10">
      <c r="B69" s="704" t="s">
        <v>185</v>
      </c>
      <c r="C69" s="705"/>
      <c r="D69" s="705"/>
      <c r="E69" s="705"/>
      <c r="F69" s="705"/>
      <c r="G69" s="705"/>
      <c r="H69" s="705"/>
      <c r="I69" s="706"/>
    </row>
    <row r="70" spans="2:10">
      <c r="B70" s="209" t="s">
        <v>186</v>
      </c>
      <c r="C70" s="210" t="s">
        <v>187</v>
      </c>
      <c r="D70" s="211" t="s">
        <v>188</v>
      </c>
      <c r="E70" s="212" t="s">
        <v>189</v>
      </c>
      <c r="F70" s="210"/>
      <c r="G70" s="213" t="s">
        <v>187</v>
      </c>
      <c r="H70" s="210" t="s">
        <v>190</v>
      </c>
      <c r="I70" s="211" t="s">
        <v>188</v>
      </c>
    </row>
    <row r="71" spans="2:10">
      <c r="B71" s="174" t="s">
        <v>179</v>
      </c>
      <c r="C71" s="214">
        <f>E50</f>
        <v>92500000</v>
      </c>
      <c r="D71" s="215">
        <f>C71/$C$75</f>
        <v>0.95025907401105636</v>
      </c>
      <c r="E71" s="141" t="s">
        <v>195</v>
      </c>
      <c r="F71" s="127"/>
      <c r="G71" s="216">
        <v>0</v>
      </c>
      <c r="H71" s="127">
        <f>IFERROR(G71/$C$56,"-")</f>
        <v>0</v>
      </c>
      <c r="I71" s="230">
        <f>G71/$G$75</f>
        <v>0</v>
      </c>
    </row>
    <row r="72" spans="2:10">
      <c r="B72" s="174" t="s">
        <v>196</v>
      </c>
      <c r="C72" s="218">
        <f>I62</f>
        <v>55000</v>
      </c>
      <c r="D72" s="215">
        <f>C72/$C$75</f>
        <v>5.6501890887143897E-4</v>
      </c>
      <c r="E72" s="174" t="s">
        <v>196</v>
      </c>
      <c r="F72" s="127"/>
      <c r="G72" s="216">
        <f>I62</f>
        <v>55000</v>
      </c>
      <c r="H72" s="127">
        <f t="shared" ref="H72:H75" si="5">IFERROR(G72/$C$56,"-")</f>
        <v>323.52941176470586</v>
      </c>
      <c r="I72" s="230">
        <f>G72/$G$75</f>
        <v>5.6501890887143897E-4</v>
      </c>
    </row>
    <row r="73" spans="2:10">
      <c r="B73" s="174" t="s">
        <v>197</v>
      </c>
      <c r="C73" s="214">
        <f>I63</f>
        <v>4786875</v>
      </c>
      <c r="D73" s="215">
        <f>C73/$C$75</f>
        <v>4.9175907080072169E-2</v>
      </c>
      <c r="E73" s="174" t="s">
        <v>197</v>
      </c>
      <c r="F73" s="127"/>
      <c r="G73" s="216">
        <f>I63</f>
        <v>4786875</v>
      </c>
      <c r="H73" s="127">
        <f t="shared" si="5"/>
        <v>28158.088235294119</v>
      </c>
      <c r="I73" s="230">
        <f>G73/$G$75</f>
        <v>4.9175907080072169E-2</v>
      </c>
    </row>
    <row r="74" spans="2:10">
      <c r="B74" s="174"/>
      <c r="C74" s="158"/>
      <c r="D74" s="219"/>
      <c r="E74" s="220" t="s">
        <v>198</v>
      </c>
      <c r="F74" s="221"/>
      <c r="G74" s="216">
        <f>G75-SUM(G71:G73)</f>
        <v>92500000</v>
      </c>
      <c r="H74" s="127">
        <f t="shared" si="5"/>
        <v>544117.6470588235</v>
      </c>
      <c r="I74" s="231">
        <f>G74/$G$75</f>
        <v>0.95025907401105636</v>
      </c>
    </row>
    <row r="75" spans="2:10">
      <c r="B75" s="224" t="s">
        <v>192</v>
      </c>
      <c r="C75" s="225">
        <f>SUM(C71:C74)</f>
        <v>97341875</v>
      </c>
      <c r="D75" s="226">
        <f>SUM(D71:D74)</f>
        <v>0.99999999999999989</v>
      </c>
      <c r="E75" s="227" t="s">
        <v>193</v>
      </c>
      <c r="F75" s="228"/>
      <c r="G75" s="229">
        <f>C75</f>
        <v>97341875</v>
      </c>
      <c r="H75" s="225">
        <f t="shared" si="5"/>
        <v>572599.26470588241</v>
      </c>
      <c r="I75" s="226">
        <f>G75/$G$75</f>
        <v>1</v>
      </c>
    </row>
    <row r="78" spans="2:10">
      <c r="G78" s="605"/>
    </row>
    <row r="80" spans="2:10">
      <c r="B80" s="606"/>
    </row>
  </sheetData>
  <protectedRanges>
    <protectedRange sqref="B3 E28 C60 E50:G50 E36:E38 I36:I38 B29:E31 E18:F22" name="Proforma Purchase refi"/>
  </protectedRanges>
  <mergeCells count="8">
    <mergeCell ref="F60:I60"/>
    <mergeCell ref="B69:I69"/>
    <mergeCell ref="B2:I2"/>
    <mergeCell ref="B3:I3"/>
    <mergeCell ref="B48:I48"/>
    <mergeCell ref="B52:I52"/>
    <mergeCell ref="B53:C53"/>
    <mergeCell ref="F53:I53"/>
  </mergeCells>
  <pageMargins left="0.7" right="0.7" top="0.75" bottom="0.75" header="0.3" footer="0.3"/>
  <pageSetup paperSize="9" scale="62"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63D"/>
    <pageSetUpPr fitToPage="1"/>
  </sheetPr>
  <dimension ref="A1:T98"/>
  <sheetViews>
    <sheetView showGridLines="0" tabSelected="1" topLeftCell="A37" zoomScale="85" zoomScaleNormal="85" zoomScaleSheetLayoutView="110" workbookViewId="0">
      <selection activeCell="M59" sqref="M59"/>
    </sheetView>
  </sheetViews>
  <sheetFormatPr defaultColWidth="11.109375" defaultRowHeight="13.8" outlineLevelRow="1"/>
  <cols>
    <col min="1" max="1" width="11.109375" style="409"/>
    <col min="2" max="2" width="2.6640625" style="409" customWidth="1"/>
    <col min="3" max="3" width="36.6640625" style="409" customWidth="1"/>
    <col min="4" max="4" width="16.88671875" style="409" customWidth="1"/>
    <col min="5" max="5" width="7.6640625" style="409" customWidth="1"/>
    <col min="6" max="6" width="17.88671875" style="409" customWidth="1"/>
    <col min="7" max="7" width="17.33203125" style="409" customWidth="1"/>
    <col min="8" max="8" width="12" style="410" customWidth="1"/>
    <col min="9" max="9" width="13.109375" style="411" customWidth="1"/>
    <col min="10" max="10" width="11" style="410" customWidth="1"/>
    <col min="11" max="11" width="2.6640625" style="404" customWidth="1"/>
    <col min="12" max="12" width="14.88671875" style="409" customWidth="1"/>
    <col min="13" max="13" width="15.6640625" style="409" customWidth="1"/>
    <col min="14" max="14" width="12" style="409" customWidth="1"/>
    <col min="15" max="15" width="24.109375" style="409" customWidth="1"/>
    <col min="16" max="16" width="16.44140625" style="409" customWidth="1"/>
    <col min="17" max="16384" width="11.109375" style="409"/>
  </cols>
  <sheetData>
    <row r="1" spans="1:13" ht="14.4">
      <c r="A1" s="412"/>
    </row>
    <row r="2" spans="1:13" ht="14.4">
      <c r="A2" s="412"/>
    </row>
    <row r="4" spans="1:13">
      <c r="C4" s="735" t="str">
        <f>'Proforma Construction'!B3</f>
        <v>2240 Birchmount Rd Scarborough</v>
      </c>
      <c r="D4" s="736"/>
      <c r="E4" s="736"/>
      <c r="F4" s="736"/>
      <c r="G4" s="736"/>
      <c r="H4" s="736"/>
      <c r="I4" s="736"/>
      <c r="J4" s="737"/>
      <c r="M4" s="453"/>
    </row>
    <row r="5" spans="1:13">
      <c r="M5" s="453"/>
    </row>
    <row r="6" spans="1:13">
      <c r="C6" s="738" t="s">
        <v>216</v>
      </c>
      <c r="D6" s="739"/>
      <c r="E6" s="739"/>
      <c r="F6" s="739"/>
      <c r="G6" s="739"/>
      <c r="H6" s="739"/>
      <c r="I6" s="739"/>
      <c r="J6" s="740"/>
      <c r="L6" s="454"/>
      <c r="M6" s="453"/>
    </row>
    <row r="7" spans="1:13" ht="6" customHeight="1">
      <c r="C7" s="413"/>
      <c r="D7" s="414"/>
      <c r="E7" s="414"/>
      <c r="F7" s="414"/>
      <c r="G7" s="414"/>
      <c r="H7" s="415"/>
      <c r="I7" s="455"/>
      <c r="J7" s="456"/>
      <c r="M7" s="453"/>
    </row>
    <row r="8" spans="1:13">
      <c r="C8" s="416" t="s">
        <v>217</v>
      </c>
      <c r="D8" s="417"/>
      <c r="E8" s="417"/>
      <c r="F8" s="418"/>
      <c r="G8" s="419" t="s">
        <v>106</v>
      </c>
      <c r="H8" s="418" t="s">
        <v>190</v>
      </c>
      <c r="I8" s="457" t="s">
        <v>218</v>
      </c>
      <c r="J8" s="458" t="s">
        <v>219</v>
      </c>
      <c r="M8" s="453"/>
    </row>
    <row r="9" spans="1:13" ht="12" customHeight="1">
      <c r="C9" s="413"/>
      <c r="D9" s="414"/>
      <c r="E9" s="414"/>
      <c r="F9" s="414"/>
      <c r="G9" s="420"/>
      <c r="H9" s="421"/>
      <c r="I9" s="455"/>
      <c r="J9" s="456"/>
      <c r="M9" s="453"/>
    </row>
    <row r="10" spans="1:13" ht="12" customHeight="1">
      <c r="C10" s="422" t="s">
        <v>220</v>
      </c>
      <c r="D10" s="404"/>
      <c r="E10" s="404"/>
      <c r="F10" s="404"/>
      <c r="G10" s="423">
        <v>10407367</v>
      </c>
      <c r="H10" s="409"/>
      <c r="I10" s="459">
        <f t="shared" ref="I10:I63" si="0">IFERROR(G10/$G$71,"0%")</f>
        <v>0.10883882923334724</v>
      </c>
      <c r="J10" s="460">
        <f t="shared" ref="J10:J41" si="1">IFERROR(G10/$D$85,"0")</f>
        <v>80.786231040317944</v>
      </c>
      <c r="M10" s="453"/>
    </row>
    <row r="11" spans="1:13" ht="12" customHeight="1">
      <c r="C11" s="422" t="s">
        <v>221</v>
      </c>
      <c r="D11" s="404"/>
      <c r="E11" s="404"/>
      <c r="F11" s="404"/>
      <c r="G11" s="423">
        <v>0</v>
      </c>
      <c r="H11" s="409"/>
      <c r="I11" s="459">
        <f t="shared" si="0"/>
        <v>0</v>
      </c>
      <c r="J11" s="460">
        <f t="shared" si="1"/>
        <v>0</v>
      </c>
      <c r="M11" s="453"/>
    </row>
    <row r="12" spans="1:13" ht="12" customHeight="1">
      <c r="C12" s="422" t="s">
        <v>222</v>
      </c>
      <c r="D12" s="404"/>
      <c r="E12" s="404"/>
      <c r="F12" s="404"/>
      <c r="G12" s="423">
        <v>0</v>
      </c>
      <c r="H12" s="409"/>
      <c r="I12" s="459">
        <f t="shared" si="0"/>
        <v>0</v>
      </c>
      <c r="J12" s="460">
        <f t="shared" si="1"/>
        <v>0</v>
      </c>
      <c r="M12" s="453"/>
    </row>
    <row r="13" spans="1:13" ht="12" customHeight="1">
      <c r="C13" s="424" t="s">
        <v>223</v>
      </c>
      <c r="D13" s="425"/>
      <c r="E13" s="426"/>
      <c r="F13" s="425"/>
      <c r="G13" s="427">
        <v>495589</v>
      </c>
      <c r="H13" s="428"/>
      <c r="I13" s="461">
        <f t="shared" si="0"/>
        <v>5.1828023880512069E-3</v>
      </c>
      <c r="J13" s="462">
        <f t="shared" si="1"/>
        <v>3.8469641221492554</v>
      </c>
      <c r="M13" s="453"/>
    </row>
    <row r="14" spans="1:13">
      <c r="C14" s="429" t="s">
        <v>224</v>
      </c>
      <c r="D14" s="430"/>
      <c r="E14" s="430"/>
      <c r="F14" s="430"/>
      <c r="G14" s="431">
        <f>SUM(G10:G13)</f>
        <v>10902956</v>
      </c>
      <c r="H14" s="430">
        <f>G14/$D$77</f>
        <v>64135.035294117646</v>
      </c>
      <c r="I14" s="463">
        <f t="shared" si="0"/>
        <v>0.11402163162139844</v>
      </c>
      <c r="J14" s="464">
        <f t="shared" si="1"/>
        <v>84.633195162467203</v>
      </c>
      <c r="L14" s="465"/>
      <c r="M14" s="453"/>
    </row>
    <row r="15" spans="1:13" s="404" customFormat="1">
      <c r="B15" s="409"/>
      <c r="C15" s="432" t="s">
        <v>225</v>
      </c>
      <c r="D15" s="433"/>
      <c r="E15" s="433"/>
      <c r="F15" s="433"/>
      <c r="G15" s="434">
        <v>64395800</v>
      </c>
      <c r="H15" s="435"/>
      <c r="I15" s="459">
        <f t="shared" si="0"/>
        <v>0.67344252196975296</v>
      </c>
      <c r="J15" s="460">
        <f>IFERROR(G15/$D$85,"0")</f>
        <v>499.86648657879618</v>
      </c>
      <c r="M15" s="453"/>
    </row>
    <row r="16" spans="1:13" s="404" customFormat="1">
      <c r="B16" s="409"/>
      <c r="C16" s="432" t="s">
        <v>226</v>
      </c>
      <c r="D16" s="433"/>
      <c r="E16" s="433"/>
      <c r="F16" s="433"/>
      <c r="G16" s="434"/>
      <c r="H16" s="435"/>
      <c r="I16" s="459">
        <f t="shared" si="0"/>
        <v>0</v>
      </c>
      <c r="J16" s="460">
        <f t="shared" si="1"/>
        <v>0</v>
      </c>
      <c r="M16" s="453"/>
    </row>
    <row r="17" spans="2:13" s="404" customFormat="1">
      <c r="B17" s="409"/>
      <c r="C17" s="432" t="s">
        <v>227</v>
      </c>
      <c r="D17" s="433"/>
      <c r="E17" s="433"/>
      <c r="F17" s="433"/>
      <c r="G17" s="434"/>
      <c r="H17" s="435"/>
      <c r="I17" s="459">
        <f t="shared" si="0"/>
        <v>0</v>
      </c>
      <c r="J17" s="460">
        <f t="shared" si="1"/>
        <v>0</v>
      </c>
      <c r="M17" s="453"/>
    </row>
    <row r="18" spans="2:13" s="404" customFormat="1">
      <c r="B18" s="409"/>
      <c r="C18" s="432" t="s">
        <v>228</v>
      </c>
      <c r="D18" s="433"/>
      <c r="E18" s="433"/>
      <c r="F18" s="433"/>
      <c r="G18" s="434"/>
      <c r="H18" s="435"/>
      <c r="I18" s="459">
        <f t="shared" si="0"/>
        <v>0</v>
      </c>
      <c r="J18" s="460">
        <f t="shared" si="1"/>
        <v>0</v>
      </c>
      <c r="M18" s="453"/>
    </row>
    <row r="19" spans="2:13" s="404" customFormat="1">
      <c r="B19" s="409"/>
      <c r="C19" s="432" t="s">
        <v>229</v>
      </c>
      <c r="D19" s="433"/>
      <c r="E19" s="433"/>
      <c r="F19" s="433"/>
      <c r="G19" s="434"/>
      <c r="H19" s="435"/>
      <c r="I19" s="459">
        <f t="shared" si="0"/>
        <v>0</v>
      </c>
      <c r="J19" s="460">
        <f t="shared" si="1"/>
        <v>0</v>
      </c>
      <c r="M19" s="453"/>
    </row>
    <row r="20" spans="2:13" s="404" customFormat="1">
      <c r="B20" s="409"/>
      <c r="C20" s="432" t="s">
        <v>230</v>
      </c>
      <c r="D20" s="433"/>
      <c r="E20" s="433"/>
      <c r="F20" s="433"/>
      <c r="G20" s="434"/>
      <c r="H20" s="435"/>
      <c r="I20" s="459">
        <f t="shared" si="0"/>
        <v>0</v>
      </c>
      <c r="J20" s="460">
        <f t="shared" si="1"/>
        <v>0</v>
      </c>
      <c r="M20" s="453"/>
    </row>
    <row r="21" spans="2:13" s="404" customFormat="1">
      <c r="B21" s="409"/>
      <c r="C21" s="432" t="s">
        <v>231</v>
      </c>
      <c r="D21" s="433"/>
      <c r="E21" s="433"/>
      <c r="F21" s="433"/>
      <c r="G21" s="434"/>
      <c r="H21" s="435"/>
      <c r="I21" s="459">
        <f t="shared" si="0"/>
        <v>0</v>
      </c>
      <c r="J21" s="460">
        <f t="shared" si="1"/>
        <v>0</v>
      </c>
      <c r="M21" s="453"/>
    </row>
    <row r="22" spans="2:13" s="404" customFormat="1">
      <c r="B22" s="409"/>
      <c r="C22" s="432" t="s">
        <v>232</v>
      </c>
      <c r="D22" s="433"/>
      <c r="E22" s="433"/>
      <c r="F22" s="433"/>
      <c r="G22" s="434"/>
      <c r="H22" s="435"/>
      <c r="I22" s="459">
        <f t="shared" si="0"/>
        <v>0</v>
      </c>
      <c r="J22" s="460">
        <f t="shared" si="1"/>
        <v>0</v>
      </c>
      <c r="M22" s="453"/>
    </row>
    <row r="23" spans="2:13" s="404" customFormat="1">
      <c r="B23" s="409"/>
      <c r="C23" s="432" t="s">
        <v>233</v>
      </c>
      <c r="D23" s="433"/>
      <c r="E23" s="433"/>
      <c r="F23" s="433"/>
      <c r="G23" s="434"/>
      <c r="H23" s="435"/>
      <c r="I23" s="459">
        <f t="shared" si="0"/>
        <v>0</v>
      </c>
      <c r="J23" s="460">
        <f t="shared" si="1"/>
        <v>0</v>
      </c>
      <c r="M23" s="453"/>
    </row>
    <row r="24" spans="2:13" s="404" customFormat="1">
      <c r="B24" s="409"/>
      <c r="C24" s="432" t="s">
        <v>234</v>
      </c>
      <c r="D24" s="433"/>
      <c r="E24" s="433"/>
      <c r="F24" s="433"/>
      <c r="G24" s="434"/>
      <c r="H24" s="435"/>
      <c r="I24" s="459">
        <f t="shared" si="0"/>
        <v>0</v>
      </c>
      <c r="J24" s="460">
        <f t="shared" si="1"/>
        <v>0</v>
      </c>
      <c r="M24" s="453"/>
    </row>
    <row r="25" spans="2:13" s="404" customFormat="1">
      <c r="B25" s="409"/>
      <c r="C25" s="432" t="s">
        <v>235</v>
      </c>
      <c r="D25" s="433"/>
      <c r="E25" s="433"/>
      <c r="F25" s="433"/>
      <c r="G25" s="434"/>
      <c r="H25" s="435"/>
      <c r="I25" s="459">
        <f t="shared" si="0"/>
        <v>0</v>
      </c>
      <c r="J25" s="460">
        <f t="shared" si="1"/>
        <v>0</v>
      </c>
      <c r="M25" s="453"/>
    </row>
    <row r="26" spans="2:13" s="404" customFormat="1">
      <c r="B26" s="409"/>
      <c r="C26" s="432" t="s">
        <v>236</v>
      </c>
      <c r="D26" s="433"/>
      <c r="E26" s="433"/>
      <c r="F26" s="433"/>
      <c r="G26" s="434"/>
      <c r="H26" s="435"/>
      <c r="I26" s="459">
        <f t="shared" si="0"/>
        <v>0</v>
      </c>
      <c r="J26" s="460">
        <f t="shared" si="1"/>
        <v>0</v>
      </c>
      <c r="M26" s="453"/>
    </row>
    <row r="27" spans="2:13" s="404" customFormat="1">
      <c r="B27" s="409"/>
      <c r="C27" s="432" t="s">
        <v>237</v>
      </c>
      <c r="D27" s="433"/>
      <c r="E27" s="433"/>
      <c r="F27" s="433"/>
      <c r="G27" s="434"/>
      <c r="H27" s="435"/>
      <c r="I27" s="459">
        <f t="shared" si="0"/>
        <v>0</v>
      </c>
      <c r="J27" s="460">
        <f t="shared" si="1"/>
        <v>0</v>
      </c>
      <c r="M27" s="453"/>
    </row>
    <row r="28" spans="2:13" s="404" customFormat="1">
      <c r="B28" s="409"/>
      <c r="C28" s="436" t="s">
        <v>238</v>
      </c>
      <c r="D28" s="433"/>
      <c r="E28" s="433"/>
      <c r="F28" s="433"/>
      <c r="G28" s="434"/>
      <c r="H28" s="435"/>
      <c r="I28" s="459">
        <f t="shared" si="0"/>
        <v>0</v>
      </c>
      <c r="J28" s="460">
        <f t="shared" si="1"/>
        <v>0</v>
      </c>
      <c r="M28" s="453"/>
    </row>
    <row r="29" spans="2:13" s="404" customFormat="1">
      <c r="B29" s="409"/>
      <c r="C29" s="436" t="s">
        <v>239</v>
      </c>
      <c r="D29" s="433"/>
      <c r="E29" s="433"/>
      <c r="F29" s="433"/>
      <c r="G29" s="434"/>
      <c r="H29" s="435"/>
      <c r="I29" s="459">
        <f t="shared" si="0"/>
        <v>0</v>
      </c>
      <c r="J29" s="460">
        <f t="shared" si="1"/>
        <v>0</v>
      </c>
      <c r="M29" s="453"/>
    </row>
    <row r="30" spans="2:13" s="404" customFormat="1">
      <c r="B30" s="409"/>
      <c r="C30" s="436" t="s">
        <v>240</v>
      </c>
      <c r="D30" s="433"/>
      <c r="E30" s="433"/>
      <c r="F30" s="433"/>
      <c r="G30" s="434"/>
      <c r="H30" s="435"/>
      <c r="I30" s="459">
        <f t="shared" si="0"/>
        <v>0</v>
      </c>
      <c r="J30" s="460">
        <f t="shared" si="1"/>
        <v>0</v>
      </c>
      <c r="M30" s="453"/>
    </row>
    <row r="31" spans="2:13" s="404" customFormat="1">
      <c r="B31" s="409"/>
      <c r="C31" s="436" t="s">
        <v>241</v>
      </c>
      <c r="D31" s="433"/>
      <c r="E31" s="433"/>
      <c r="F31" s="433"/>
      <c r="G31" s="434"/>
      <c r="H31" s="435"/>
      <c r="I31" s="459">
        <f t="shared" si="0"/>
        <v>0</v>
      </c>
      <c r="J31" s="460">
        <f t="shared" si="1"/>
        <v>0</v>
      </c>
      <c r="M31" s="453"/>
    </row>
    <row r="32" spans="2:13" s="404" customFormat="1">
      <c r="B32" s="409"/>
      <c r="C32" s="436" t="s">
        <v>242</v>
      </c>
      <c r="D32" s="433"/>
      <c r="E32" s="433"/>
      <c r="F32" s="433"/>
      <c r="G32" s="434"/>
      <c r="H32" s="435"/>
      <c r="I32" s="459">
        <f t="shared" si="0"/>
        <v>0</v>
      </c>
      <c r="J32" s="460">
        <f t="shared" si="1"/>
        <v>0</v>
      </c>
      <c r="M32" s="453"/>
    </row>
    <row r="33" spans="2:15" s="404" customFormat="1">
      <c r="B33" s="409"/>
      <c r="C33" s="436" t="s">
        <v>243</v>
      </c>
      <c r="D33" s="433"/>
      <c r="E33" s="433"/>
      <c r="F33" s="433"/>
      <c r="G33" s="434"/>
      <c r="H33" s="435"/>
      <c r="I33" s="459">
        <f t="shared" si="0"/>
        <v>0</v>
      </c>
      <c r="J33" s="460">
        <f t="shared" si="1"/>
        <v>0</v>
      </c>
      <c r="M33" s="453"/>
    </row>
    <row r="34" spans="2:15" s="404" customFormat="1">
      <c r="B34" s="409"/>
      <c r="C34" s="436" t="s">
        <v>244</v>
      </c>
      <c r="D34" s="433"/>
      <c r="E34" s="433"/>
      <c r="F34" s="433"/>
      <c r="G34" s="434"/>
      <c r="H34" s="435"/>
      <c r="I34" s="459">
        <f t="shared" si="0"/>
        <v>0</v>
      </c>
      <c r="J34" s="460">
        <f t="shared" si="1"/>
        <v>0</v>
      </c>
      <c r="M34" s="453"/>
    </row>
    <row r="35" spans="2:15" s="404" customFormat="1">
      <c r="B35" s="409"/>
      <c r="C35" s="436" t="s">
        <v>245</v>
      </c>
      <c r="D35" s="433"/>
      <c r="E35" s="433"/>
      <c r="F35" s="433"/>
      <c r="G35" s="434"/>
      <c r="H35" s="435"/>
      <c r="I35" s="459">
        <f t="shared" si="0"/>
        <v>0</v>
      </c>
      <c r="J35" s="460">
        <f t="shared" si="1"/>
        <v>0</v>
      </c>
      <c r="M35" s="453"/>
    </row>
    <row r="36" spans="2:15" s="404" customFormat="1">
      <c r="B36" s="409"/>
      <c r="C36" s="436" t="s">
        <v>246</v>
      </c>
      <c r="D36" s="433"/>
      <c r="E36" s="433"/>
      <c r="F36" s="433"/>
      <c r="G36" s="434"/>
      <c r="H36" s="435"/>
      <c r="I36" s="459">
        <f t="shared" si="0"/>
        <v>0</v>
      </c>
      <c r="J36" s="460">
        <f t="shared" si="1"/>
        <v>0</v>
      </c>
      <c r="M36" s="453"/>
    </row>
    <row r="37" spans="2:15" s="404" customFormat="1">
      <c r="B37" s="409"/>
      <c r="C37" s="436" t="s">
        <v>247</v>
      </c>
      <c r="D37" s="433"/>
      <c r="E37" s="433"/>
      <c r="F37" s="433"/>
      <c r="G37" s="434"/>
      <c r="H37" s="435"/>
      <c r="I37" s="459">
        <f t="shared" si="0"/>
        <v>0</v>
      </c>
      <c r="J37" s="460">
        <f t="shared" si="1"/>
        <v>0</v>
      </c>
      <c r="M37" s="453"/>
    </row>
    <row r="38" spans="2:15" s="404" customFormat="1">
      <c r="B38" s="409"/>
      <c r="C38" s="436" t="s">
        <v>248</v>
      </c>
      <c r="D38" s="433"/>
      <c r="E38" s="433"/>
      <c r="F38" s="433"/>
      <c r="G38" s="434"/>
      <c r="H38" s="435"/>
      <c r="I38" s="459">
        <f t="shared" si="0"/>
        <v>0</v>
      </c>
      <c r="J38" s="460">
        <f t="shared" si="1"/>
        <v>0</v>
      </c>
      <c r="M38" s="453"/>
    </row>
    <row r="39" spans="2:15" s="404" customFormat="1">
      <c r="B39" s="409"/>
      <c r="C39" s="436" t="s">
        <v>249</v>
      </c>
      <c r="D39" s="433"/>
      <c r="E39" s="433"/>
      <c r="F39" s="433"/>
      <c r="G39" s="434"/>
      <c r="H39" s="435"/>
      <c r="I39" s="459">
        <f t="shared" si="0"/>
        <v>0</v>
      </c>
      <c r="J39" s="460">
        <f t="shared" si="1"/>
        <v>0</v>
      </c>
      <c r="M39" s="453"/>
    </row>
    <row r="40" spans="2:15" s="404" customFormat="1">
      <c r="B40" s="409"/>
      <c r="C40" s="436" t="s">
        <v>250</v>
      </c>
      <c r="D40" s="433"/>
      <c r="E40" s="433"/>
      <c r="F40" s="433"/>
      <c r="G40" s="434"/>
      <c r="H40" s="435"/>
      <c r="I40" s="459">
        <f t="shared" si="0"/>
        <v>0</v>
      </c>
      <c r="J40" s="460">
        <f t="shared" si="1"/>
        <v>0</v>
      </c>
      <c r="M40" s="453"/>
    </row>
    <row r="41" spans="2:15" s="404" customFormat="1">
      <c r="B41" s="409"/>
      <c r="C41" s="436" t="s">
        <v>251</v>
      </c>
      <c r="D41" s="433"/>
      <c r="E41" s="433"/>
      <c r="F41" s="433"/>
      <c r="G41" s="434"/>
      <c r="H41" s="435"/>
      <c r="I41" s="459">
        <f t="shared" si="0"/>
        <v>0</v>
      </c>
      <c r="J41" s="460">
        <f t="shared" si="1"/>
        <v>0</v>
      </c>
      <c r="M41" s="453"/>
    </row>
    <row r="42" spans="2:15" s="404" customFormat="1">
      <c r="B42" s="409"/>
      <c r="C42" s="436" t="s">
        <v>252</v>
      </c>
      <c r="D42" s="433"/>
      <c r="E42" s="433"/>
      <c r="F42" s="433"/>
      <c r="G42" s="434"/>
      <c r="H42" s="435"/>
      <c r="I42" s="459">
        <f t="shared" si="0"/>
        <v>0</v>
      </c>
      <c r="J42" s="460">
        <f t="shared" ref="J42:J63" si="2">IFERROR(G42/$D$85,"0")</f>
        <v>0</v>
      </c>
      <c r="M42" s="453"/>
    </row>
    <row r="43" spans="2:15" s="404" customFormat="1">
      <c r="B43" s="409"/>
      <c r="C43" s="436" t="s">
        <v>253</v>
      </c>
      <c r="D43" s="433"/>
      <c r="E43" s="433"/>
      <c r="F43" s="433"/>
      <c r="G43" s="434"/>
      <c r="H43" s="435"/>
      <c r="I43" s="459">
        <f t="shared" si="0"/>
        <v>0</v>
      </c>
      <c r="J43" s="460">
        <f t="shared" si="2"/>
        <v>0</v>
      </c>
      <c r="M43" s="453"/>
    </row>
    <row r="44" spans="2:15" s="404" customFormat="1">
      <c r="B44" s="409"/>
      <c r="C44" s="436" t="s">
        <v>254</v>
      </c>
      <c r="D44" s="433"/>
      <c r="E44" s="433"/>
      <c r="F44" s="433"/>
      <c r="G44" s="434"/>
      <c r="H44" s="435"/>
      <c r="I44" s="459">
        <f t="shared" si="0"/>
        <v>0</v>
      </c>
      <c r="J44" s="460">
        <f t="shared" si="2"/>
        <v>0</v>
      </c>
      <c r="M44" s="453"/>
    </row>
    <row r="45" spans="2:15" s="404" customFormat="1">
      <c r="B45" s="409"/>
      <c r="C45" s="436" t="s">
        <v>255</v>
      </c>
      <c r="D45" s="433"/>
      <c r="E45" s="433"/>
      <c r="F45" s="433"/>
      <c r="G45" s="434"/>
      <c r="H45" s="435"/>
      <c r="I45" s="459">
        <f t="shared" si="0"/>
        <v>0</v>
      </c>
      <c r="J45" s="460">
        <f t="shared" si="2"/>
        <v>0</v>
      </c>
      <c r="M45" s="453"/>
    </row>
    <row r="46" spans="2:15" s="404" customFormat="1">
      <c r="B46" s="409"/>
      <c r="C46" s="436" t="s">
        <v>256</v>
      </c>
      <c r="D46" s="433"/>
      <c r="E46" s="433"/>
      <c r="F46" s="433"/>
      <c r="G46" s="434"/>
      <c r="H46" s="435"/>
      <c r="I46" s="459">
        <f t="shared" si="0"/>
        <v>0</v>
      </c>
      <c r="J46" s="460">
        <f t="shared" si="2"/>
        <v>0</v>
      </c>
      <c r="M46" s="453"/>
    </row>
    <row r="47" spans="2:15" s="404" customFormat="1">
      <c r="B47" s="409"/>
      <c r="C47" s="436" t="s">
        <v>257</v>
      </c>
      <c r="D47" s="433"/>
      <c r="E47" s="433"/>
      <c r="F47" s="433"/>
      <c r="G47" s="434"/>
      <c r="H47" s="435"/>
      <c r="I47" s="459">
        <f t="shared" si="0"/>
        <v>0</v>
      </c>
      <c r="J47" s="460">
        <f t="shared" si="2"/>
        <v>0</v>
      </c>
      <c r="M47" s="453"/>
    </row>
    <row r="48" spans="2:15" s="405" customFormat="1">
      <c r="C48" s="436" t="s">
        <v>258</v>
      </c>
      <c r="D48" s="437"/>
      <c r="E48" s="438">
        <f>IFERROR(G48/SUM(G15:G47),"")</f>
        <v>0.02</v>
      </c>
      <c r="F48" s="439" t="s">
        <v>259</v>
      </c>
      <c r="G48" s="440">
        <v>1287916</v>
      </c>
      <c r="H48" s="437"/>
      <c r="I48" s="466">
        <f t="shared" si="0"/>
        <v>1.3468850439395059E-2</v>
      </c>
      <c r="J48" s="467">
        <f t="shared" si="2"/>
        <v>9.997329731575924</v>
      </c>
      <c r="K48" s="468"/>
      <c r="L48" s="404"/>
      <c r="M48" s="404"/>
      <c r="N48" s="404"/>
      <c r="O48" s="404"/>
    </row>
    <row r="49" spans="3:15" s="405" customFormat="1">
      <c r="C49" s="441" t="s">
        <v>260</v>
      </c>
      <c r="D49" s="442"/>
      <c r="E49" s="442"/>
      <c r="F49" s="443"/>
      <c r="G49" s="443">
        <f>SUM(G15:G48)</f>
        <v>65683716</v>
      </c>
      <c r="H49" s="442">
        <f>G49/$D$77</f>
        <v>386374.8</v>
      </c>
      <c r="I49" s="469">
        <f t="shared" si="0"/>
        <v>0.68691137240914801</v>
      </c>
      <c r="J49" s="464">
        <f t="shared" si="2"/>
        <v>509.86381631037216</v>
      </c>
      <c r="K49" s="468"/>
      <c r="L49" s="404"/>
      <c r="M49" s="404"/>
      <c r="N49" s="404"/>
      <c r="O49" s="404"/>
    </row>
    <row r="50" spans="3:15" s="406" customFormat="1">
      <c r="C50" s="432" t="s">
        <v>261</v>
      </c>
      <c r="D50" s="404"/>
      <c r="E50" s="404"/>
      <c r="F50" s="404"/>
      <c r="G50" s="423"/>
      <c r="H50" s="404"/>
      <c r="I50" s="470">
        <f t="shared" si="0"/>
        <v>0</v>
      </c>
      <c r="J50" s="460">
        <f t="shared" si="2"/>
        <v>0</v>
      </c>
      <c r="K50" s="471"/>
      <c r="L50" s="404"/>
      <c r="M50" s="404"/>
      <c r="N50" s="404"/>
      <c r="O50" s="404"/>
    </row>
    <row r="51" spans="3:15" s="407" customFormat="1">
      <c r="C51" s="432" t="s">
        <v>262</v>
      </c>
      <c r="D51" s="444"/>
      <c r="E51" s="444"/>
      <c r="F51" s="444"/>
      <c r="G51" s="434">
        <v>1931874</v>
      </c>
      <c r="H51" s="445"/>
      <c r="I51" s="470">
        <f t="shared" si="0"/>
        <v>2.0203275659092589E-2</v>
      </c>
      <c r="J51" s="460">
        <f t="shared" si="2"/>
        <v>14.995994597363886</v>
      </c>
      <c r="L51" s="404"/>
      <c r="M51" s="404"/>
      <c r="N51" s="404"/>
      <c r="O51" s="404"/>
    </row>
    <row r="52" spans="3:15" s="407" customFormat="1">
      <c r="C52" s="432" t="s">
        <v>263</v>
      </c>
      <c r="D52" s="444"/>
      <c r="E52" s="444"/>
      <c r="F52" s="444"/>
      <c r="G52" s="434"/>
      <c r="H52" s="445"/>
      <c r="I52" s="470">
        <f t="shared" si="0"/>
        <v>0</v>
      </c>
      <c r="J52" s="460">
        <f t="shared" si="2"/>
        <v>0</v>
      </c>
      <c r="L52" s="404"/>
      <c r="M52" s="404"/>
      <c r="N52" s="404"/>
      <c r="O52" s="404"/>
    </row>
    <row r="53" spans="3:15" s="408" customFormat="1">
      <c r="C53" s="432" t="s">
        <v>264</v>
      </c>
      <c r="D53" s="444"/>
      <c r="E53" s="444"/>
      <c r="F53" s="444"/>
      <c r="G53" s="434"/>
      <c r="H53" s="445"/>
      <c r="I53" s="470">
        <f t="shared" si="0"/>
        <v>0</v>
      </c>
      <c r="J53" s="460">
        <f t="shared" si="2"/>
        <v>0</v>
      </c>
      <c r="K53" s="407"/>
      <c r="L53" s="404"/>
      <c r="M53" s="404"/>
      <c r="N53" s="404"/>
      <c r="O53" s="404"/>
    </row>
    <row r="54" spans="3:15" s="404" customFormat="1">
      <c r="C54" s="432" t="s">
        <v>265</v>
      </c>
      <c r="D54" s="444"/>
      <c r="E54" s="444"/>
      <c r="F54" s="444"/>
      <c r="G54" s="434"/>
      <c r="H54" s="445"/>
      <c r="I54" s="470">
        <f t="shared" si="0"/>
        <v>0</v>
      </c>
      <c r="J54" s="460">
        <f t="shared" si="2"/>
        <v>0</v>
      </c>
    </row>
    <row r="55" spans="3:15" s="404" customFormat="1">
      <c r="C55" s="432" t="s">
        <v>266</v>
      </c>
      <c r="D55" s="444"/>
      <c r="E55" s="444"/>
      <c r="F55" s="444"/>
      <c r="G55" s="434"/>
      <c r="H55" s="445"/>
      <c r="I55" s="470">
        <f t="shared" si="0"/>
        <v>0</v>
      </c>
      <c r="J55" s="460">
        <f t="shared" si="2"/>
        <v>0</v>
      </c>
    </row>
    <row r="56" spans="3:15" s="404" customFormat="1">
      <c r="C56" s="432" t="s">
        <v>267</v>
      </c>
      <c r="D56" s="446"/>
      <c r="E56" s="446"/>
      <c r="F56" s="446"/>
      <c r="G56" s="434"/>
      <c r="H56" s="445"/>
      <c r="I56" s="470">
        <f t="shared" si="0"/>
        <v>0</v>
      </c>
      <c r="J56" s="460">
        <f t="shared" si="2"/>
        <v>0</v>
      </c>
    </row>
    <row r="57" spans="3:15" s="404" customFormat="1">
      <c r="C57" s="432" t="s">
        <v>268</v>
      </c>
      <c r="D57" s="446"/>
      <c r="E57" s="446"/>
      <c r="F57" s="446"/>
      <c r="G57" s="434"/>
      <c r="H57" s="445"/>
      <c r="I57" s="470">
        <f t="shared" si="0"/>
        <v>0</v>
      </c>
      <c r="J57" s="460">
        <f t="shared" si="2"/>
        <v>0</v>
      </c>
    </row>
    <row r="58" spans="3:15" s="404" customFormat="1">
      <c r="C58" s="432" t="s">
        <v>269</v>
      </c>
      <c r="D58" s="446"/>
      <c r="E58" s="446"/>
      <c r="F58" s="446"/>
      <c r="G58" s="434">
        <v>7192106</v>
      </c>
      <c r="H58" s="445"/>
      <c r="I58" s="470">
        <f t="shared" si="0"/>
        <v>7.5214066801154611E-2</v>
      </c>
      <c r="J58" s="460">
        <f t="shared" si="2"/>
        <v>55.82806265815907</v>
      </c>
    </row>
    <row r="59" spans="3:15" s="404" customFormat="1">
      <c r="C59" s="432" t="s">
        <v>152</v>
      </c>
      <c r="D59" s="446"/>
      <c r="E59" s="446"/>
      <c r="F59" s="446"/>
      <c r="G59" s="434"/>
      <c r="H59" s="445"/>
      <c r="I59" s="470">
        <f t="shared" si="0"/>
        <v>0</v>
      </c>
      <c r="J59" s="460">
        <f t="shared" si="2"/>
        <v>0</v>
      </c>
    </row>
    <row r="60" spans="3:15" s="404" customFormat="1">
      <c r="C60" s="432" t="s">
        <v>270</v>
      </c>
      <c r="D60" s="446"/>
      <c r="E60" s="446"/>
      <c r="F60" s="446"/>
      <c r="G60" s="434"/>
      <c r="H60" s="445"/>
      <c r="I60" s="470">
        <f t="shared" si="0"/>
        <v>0</v>
      </c>
      <c r="J60" s="460">
        <f t="shared" si="2"/>
        <v>0</v>
      </c>
    </row>
    <row r="61" spans="3:15" s="404" customFormat="1">
      <c r="C61" s="432" t="s">
        <v>151</v>
      </c>
      <c r="D61" s="446"/>
      <c r="E61" s="446"/>
      <c r="F61" s="446"/>
      <c r="G61" s="434"/>
      <c r="H61" s="445"/>
      <c r="I61" s="470">
        <f t="shared" si="0"/>
        <v>0</v>
      </c>
      <c r="J61" s="460">
        <f t="shared" si="2"/>
        <v>0</v>
      </c>
    </row>
    <row r="62" spans="3:15" s="404" customFormat="1">
      <c r="C62" s="447" t="s">
        <v>271</v>
      </c>
      <c r="D62" s="446"/>
      <c r="E62" s="446"/>
      <c r="F62" s="446"/>
      <c r="G62" s="423">
        <v>1692805</v>
      </c>
      <c r="H62" s="445"/>
      <c r="I62" s="470">
        <f t="shared" si="0"/>
        <v>1.7703124557859485E-2</v>
      </c>
      <c r="J62" s="460">
        <f t="shared" si="2"/>
        <v>13.140243429121451</v>
      </c>
    </row>
    <row r="63" spans="3:15" s="404" customFormat="1">
      <c r="C63" s="448" t="s">
        <v>272</v>
      </c>
      <c r="D63" s="449"/>
      <c r="E63" s="449"/>
      <c r="F63" s="449"/>
      <c r="G63" s="450">
        <f>SUM(G50:G62)</f>
        <v>10816785</v>
      </c>
      <c r="H63" s="442">
        <f>G63/$D$77</f>
        <v>63628.147058823532</v>
      </c>
      <c r="I63" s="469">
        <f t="shared" si="0"/>
        <v>0.11312046701810669</v>
      </c>
      <c r="J63" s="464">
        <f t="shared" si="2"/>
        <v>83.9643006846444</v>
      </c>
    </row>
    <row r="64" spans="3:15" s="404" customFormat="1">
      <c r="C64" s="451"/>
      <c r="D64" s="433"/>
      <c r="E64" s="433"/>
      <c r="F64" s="433"/>
      <c r="G64" s="452"/>
      <c r="H64" s="433"/>
      <c r="I64" s="470"/>
      <c r="J64" s="460"/>
    </row>
    <row r="65" spans="3:20" s="404" customFormat="1">
      <c r="C65" s="472" t="s">
        <v>273</v>
      </c>
      <c r="D65" s="473"/>
      <c r="E65" s="474">
        <f>IFERROR(G65/SUM(G49,G50:G62),"")</f>
        <v>2.4241848690637988E-2</v>
      </c>
      <c r="F65" s="473" t="s">
        <v>274</v>
      </c>
      <c r="G65" s="475">
        <f>G49*2%+G63*5%</f>
        <v>1854513.57</v>
      </c>
      <c r="H65" s="476"/>
      <c r="I65" s="470">
        <f>IFERROR(G65/$G$71,"0%")</f>
        <v>1.9394250799088297E-2</v>
      </c>
      <c r="J65" s="460">
        <f>IFERROR(G65/$D$85,"0")</f>
        <v>14.395491360439664</v>
      </c>
    </row>
    <row r="66" spans="3:20" s="404" customFormat="1">
      <c r="C66" s="472" t="s">
        <v>275</v>
      </c>
      <c r="D66" s="473"/>
      <c r="E66" s="474"/>
      <c r="F66" s="473"/>
      <c r="G66" s="475">
        <f>J93</f>
        <v>3300000</v>
      </c>
      <c r="H66" s="476"/>
      <c r="I66" s="470">
        <f>IFERROR(G66/$G$71,"0%")</f>
        <v>3.4510951374160811E-2</v>
      </c>
      <c r="J66" s="460">
        <f>IFERROR(G66/$D$85,"0")</f>
        <v>25.615947091425642</v>
      </c>
    </row>
    <row r="67" spans="3:20" s="404" customFormat="1">
      <c r="C67" s="472" t="s">
        <v>276</v>
      </c>
      <c r="D67" s="473"/>
      <c r="E67" s="477"/>
      <c r="F67" s="473"/>
      <c r="G67" s="475">
        <f>'Proforma Construction'!E50*1.5%</f>
        <v>1387500</v>
      </c>
      <c r="H67" s="476"/>
      <c r="I67" s="470">
        <f t="shared" ref="I67:I69" si="3">IFERROR(G67/$G$71,"0%")</f>
        <v>1.4510286373226705E-2</v>
      </c>
      <c r="J67" s="460">
        <f>IFERROR(G67/$D$85,"0")</f>
        <v>10.770341390713055</v>
      </c>
    </row>
    <row r="68" spans="3:20" s="404" customFormat="1">
      <c r="C68" s="472" t="s">
        <v>277</v>
      </c>
      <c r="D68" s="473"/>
      <c r="E68" s="477"/>
      <c r="F68" s="473"/>
      <c r="G68" s="478">
        <v>0</v>
      </c>
      <c r="H68" s="476"/>
      <c r="I68" s="470">
        <f t="shared" si="3"/>
        <v>0</v>
      </c>
      <c r="J68" s="460">
        <f>IFERROR(G68/$D$85,"0")</f>
        <v>0</v>
      </c>
    </row>
    <row r="69" spans="3:20" s="404" customFormat="1">
      <c r="C69" s="472" t="s">
        <v>755</v>
      </c>
      <c r="D69" s="473"/>
      <c r="E69" s="479"/>
      <c r="F69" s="480"/>
      <c r="G69" s="478">
        <v>1676350</v>
      </c>
      <c r="H69" s="481"/>
      <c r="I69" s="470">
        <f t="shared" si="3"/>
        <v>1.7531040404871055E-2</v>
      </c>
      <c r="J69" s="460">
        <f>IFERROR(G69/$D$85,"0")</f>
        <v>13.012513002033751</v>
      </c>
    </row>
    <row r="70" spans="3:20" s="404" customFormat="1">
      <c r="C70" s="424"/>
      <c r="D70" s="482">
        <v>275000</v>
      </c>
      <c r="E70" s="483"/>
      <c r="F70" s="483"/>
      <c r="G70" s="484"/>
      <c r="H70" s="485"/>
      <c r="I70" s="461"/>
      <c r="J70" s="462"/>
    </row>
    <row r="71" spans="3:20" s="404" customFormat="1">
      <c r="C71" s="448" t="s">
        <v>278</v>
      </c>
      <c r="D71" s="449"/>
      <c r="E71" s="449"/>
      <c r="F71" s="449"/>
      <c r="G71" s="450">
        <f>SUM(G14,G49,G63,G65,G66,G67,G69,G68)</f>
        <v>95621820.569999993</v>
      </c>
      <c r="H71" s="442">
        <f>G71/$D$77</f>
        <v>562481.29747058824</v>
      </c>
      <c r="I71" s="469">
        <f>IFERROR(G71/$G$71,"0%")</f>
        <v>1</v>
      </c>
      <c r="J71" s="464">
        <f>IFERROR(G71/$D$85,"0")</f>
        <v>742.25560500209576</v>
      </c>
    </row>
    <row r="72" spans="3:20" s="404" customFormat="1"/>
    <row r="73" spans="3:20" s="404" customFormat="1" outlineLevel="1">
      <c r="C73" s="738" t="s">
        <v>165</v>
      </c>
      <c r="D73" s="739"/>
      <c r="E73" s="739"/>
      <c r="F73" s="739"/>
      <c r="G73" s="739"/>
      <c r="H73" s="739"/>
      <c r="I73" s="739"/>
      <c r="J73" s="740"/>
    </row>
    <row r="74" spans="3:20" s="404" customFormat="1" outlineLevel="1">
      <c r="C74" s="486"/>
      <c r="D74" s="487"/>
      <c r="E74" s="487"/>
      <c r="F74" s="487"/>
      <c r="G74" s="487"/>
      <c r="H74" s="487"/>
      <c r="I74" s="532"/>
      <c r="J74" s="533"/>
    </row>
    <row r="75" spans="3:20" s="404" customFormat="1" outlineLevel="1">
      <c r="C75" s="741" t="s">
        <v>279</v>
      </c>
      <c r="D75" s="742"/>
      <c r="E75" s="490"/>
      <c r="F75" s="491" t="s">
        <v>280</v>
      </c>
      <c r="G75" s="492"/>
      <c r="H75" s="492"/>
      <c r="I75" s="534"/>
      <c r="J75" s="535"/>
    </row>
    <row r="76" spans="3:20" outlineLevel="1">
      <c r="C76" s="493"/>
      <c r="D76" s="494"/>
      <c r="E76" s="495"/>
      <c r="F76" s="496"/>
      <c r="G76" s="497"/>
      <c r="H76" s="498" t="s">
        <v>106</v>
      </c>
      <c r="I76" s="536" t="s">
        <v>218</v>
      </c>
      <c r="J76" s="537" t="s">
        <v>219</v>
      </c>
      <c r="L76" s="404"/>
      <c r="M76" s="404"/>
      <c r="N76" s="404"/>
      <c r="O76" s="404"/>
      <c r="P76" s="404"/>
      <c r="Q76" s="404"/>
      <c r="R76" s="404"/>
      <c r="S76" s="404"/>
      <c r="T76" s="404"/>
    </row>
    <row r="77" spans="3:20" outlineLevel="1">
      <c r="C77" s="499" t="s">
        <v>124</v>
      </c>
      <c r="D77" s="500">
        <f>'Proforma Construction'!C14</f>
        <v>170</v>
      </c>
      <c r="E77" s="495"/>
      <c r="F77" s="501" t="s">
        <v>281</v>
      </c>
      <c r="G77" s="502"/>
      <c r="H77" s="503">
        <f>G14</f>
        <v>10902956</v>
      </c>
      <c r="I77" s="538">
        <f>H77/$G$71</f>
        <v>0.11402163162139844</v>
      </c>
      <c r="J77" s="539">
        <f t="shared" ref="J77:J85" si="4">H77/$D$85</f>
        <v>84.633195162467203</v>
      </c>
      <c r="L77" s="404"/>
      <c r="M77" s="404"/>
      <c r="N77" s="404"/>
      <c r="O77" s="404"/>
      <c r="P77" s="404"/>
      <c r="Q77" s="404"/>
      <c r="R77" s="404"/>
      <c r="S77" s="404"/>
      <c r="T77" s="404"/>
    </row>
    <row r="78" spans="3:20" outlineLevel="1">
      <c r="C78" s="499" t="str">
        <f>'Proforma Construction'!B6</f>
        <v>Bachelor</v>
      </c>
      <c r="D78" s="500">
        <f>'Proforma Construction'!F6*'Proforma Construction'!C6</f>
        <v>0</v>
      </c>
      <c r="E78" s="495"/>
      <c r="F78" s="501" t="s">
        <v>282</v>
      </c>
      <c r="G78" s="502"/>
      <c r="H78" s="504">
        <f>G49</f>
        <v>65683716</v>
      </c>
      <c r="I78" s="538">
        <f t="shared" ref="I78:I79" si="5">H78/$G$71</f>
        <v>0.68691137240914801</v>
      </c>
      <c r="J78" s="539">
        <f t="shared" si="4"/>
        <v>509.86381631037216</v>
      </c>
      <c r="L78" s="404"/>
      <c r="M78" s="404"/>
      <c r="N78" s="404"/>
      <c r="O78" s="404"/>
      <c r="P78" s="404"/>
      <c r="Q78" s="404"/>
      <c r="R78" s="404"/>
      <c r="S78" s="404"/>
      <c r="T78" s="404"/>
    </row>
    <row r="79" spans="3:20" outlineLevel="1">
      <c r="C79" s="499" t="str">
        <f>'Proforma Construction'!B7</f>
        <v>1 Bedroom</v>
      </c>
      <c r="D79" s="500">
        <f>'Proforma Construction'!F7*'Proforma Construction'!C7</f>
        <v>52416</v>
      </c>
      <c r="E79" s="495"/>
      <c r="F79" s="501" t="s">
        <v>283</v>
      </c>
      <c r="G79" s="502"/>
      <c r="H79" s="504">
        <f>G63</f>
        <v>10816785</v>
      </c>
      <c r="I79" s="538">
        <f t="shared" si="5"/>
        <v>0.11312046701810669</v>
      </c>
      <c r="J79" s="539">
        <f t="shared" si="4"/>
        <v>83.9643006846444</v>
      </c>
      <c r="L79" s="404"/>
      <c r="M79" s="404"/>
      <c r="N79" s="404"/>
      <c r="O79" s="404"/>
      <c r="P79" s="404"/>
      <c r="Q79" s="404"/>
      <c r="R79" s="404"/>
      <c r="S79" s="404"/>
      <c r="T79" s="404"/>
    </row>
    <row r="80" spans="3:20" outlineLevel="1">
      <c r="C80" s="499" t="str">
        <f>'Proforma Construction'!B8</f>
        <v>2 Bedroom</v>
      </c>
      <c r="D80" s="500">
        <f>'Proforma Construction'!F8*'Proforma Construction'!C8</f>
        <v>58140</v>
      </c>
      <c r="E80" s="495"/>
      <c r="F80" s="501" t="s">
        <v>258</v>
      </c>
      <c r="G80" s="502"/>
      <c r="H80" s="504">
        <f>G65</f>
        <v>1854513.57</v>
      </c>
      <c r="I80" s="538">
        <f t="shared" ref="I80:I85" si="6">H80/$G$71</f>
        <v>1.9394250799088297E-2</v>
      </c>
      <c r="J80" s="539">
        <f t="shared" si="4"/>
        <v>14.395491360439664</v>
      </c>
      <c r="L80" s="404"/>
      <c r="M80" s="404"/>
      <c r="N80" s="404"/>
      <c r="O80" s="404"/>
      <c r="P80" s="404"/>
      <c r="Q80" s="404"/>
      <c r="R80" s="404"/>
      <c r="S80" s="404"/>
      <c r="T80" s="404"/>
    </row>
    <row r="81" spans="3:20" outlineLevel="1">
      <c r="C81" s="499" t="str">
        <f>'Proforma Construction'!B9</f>
        <v>3 Bedroom</v>
      </c>
      <c r="D81" s="500">
        <f>'Proforma Construction'!F9*'Proforma Construction'!C9</f>
        <v>18270</v>
      </c>
      <c r="E81" s="495"/>
      <c r="F81" s="501" t="str">
        <f>C66</f>
        <v>Interest Reserve</v>
      </c>
      <c r="G81" s="502"/>
      <c r="H81" s="504">
        <f>G66</f>
        <v>3300000</v>
      </c>
      <c r="I81" s="538">
        <f t="shared" si="6"/>
        <v>3.4510951374160811E-2</v>
      </c>
      <c r="J81" s="539">
        <f t="shared" si="4"/>
        <v>25.615947091425642</v>
      </c>
      <c r="L81" s="404"/>
      <c r="M81" s="404"/>
      <c r="N81" s="404"/>
      <c r="O81" s="404"/>
      <c r="P81" s="404"/>
      <c r="Q81" s="404"/>
      <c r="R81" s="404"/>
      <c r="S81" s="404"/>
      <c r="T81" s="404"/>
    </row>
    <row r="82" spans="3:20" outlineLevel="1">
      <c r="C82" s="499" t="str">
        <f>'Proforma Construction'!B11</f>
        <v>Affordable Rental Units</v>
      </c>
      <c r="D82" s="500"/>
      <c r="E82" s="495"/>
      <c r="F82" s="501" t="str">
        <f>C67</f>
        <v>Financing Fees</v>
      </c>
      <c r="G82" s="502"/>
      <c r="H82" s="504">
        <f>G67</f>
        <v>1387500</v>
      </c>
      <c r="I82" s="538">
        <f t="shared" si="6"/>
        <v>1.4510286373226705E-2</v>
      </c>
      <c r="J82" s="539">
        <f t="shared" si="4"/>
        <v>10.770341390713055</v>
      </c>
      <c r="L82" s="404"/>
      <c r="M82" s="404"/>
      <c r="N82" s="404"/>
      <c r="O82" s="404"/>
      <c r="P82" s="404"/>
      <c r="Q82" s="404"/>
      <c r="R82" s="404"/>
      <c r="S82" s="404"/>
      <c r="T82" s="404"/>
    </row>
    <row r="83" spans="3:20" outlineLevel="1">
      <c r="C83" s="499" t="str">
        <f>'Proforma Construction'!B12</f>
        <v>2 Bedrooms (Affordable)</v>
      </c>
      <c r="D83" s="500">
        <f>'Proforma Construction'!F11*'Proforma Construction'!C11</f>
        <v>0</v>
      </c>
      <c r="E83" s="495"/>
      <c r="F83" s="501" t="str">
        <f>C68</f>
        <v>GST</v>
      </c>
      <c r="G83" s="502"/>
      <c r="H83" s="504">
        <f>G68</f>
        <v>0</v>
      </c>
      <c r="I83" s="538">
        <f t="shared" si="6"/>
        <v>0</v>
      </c>
      <c r="J83" s="539">
        <f t="shared" si="4"/>
        <v>0</v>
      </c>
      <c r="L83" s="404"/>
      <c r="M83" s="404"/>
      <c r="N83" s="404"/>
      <c r="O83" s="404"/>
      <c r="P83" s="404"/>
      <c r="Q83" s="404"/>
      <c r="R83" s="404"/>
      <c r="S83" s="404"/>
      <c r="T83" s="404"/>
    </row>
    <row r="84" spans="3:20" outlineLevel="1">
      <c r="C84" s="499" t="str">
        <f>'Proforma Construction'!B13</f>
        <v>1 Bedroom (Affordable)</v>
      </c>
      <c r="D84" s="500">
        <f>'Proforma Construction'!F12*'Proforma Construction'!C12</f>
        <v>0</v>
      </c>
      <c r="E84" s="495"/>
      <c r="F84" s="501" t="str">
        <f>C69</f>
        <v>Marketing</v>
      </c>
      <c r="G84" s="502"/>
      <c r="H84" s="504">
        <f>G69</f>
        <v>1676350</v>
      </c>
      <c r="I84" s="538">
        <f t="shared" si="6"/>
        <v>1.7531040404871055E-2</v>
      </c>
      <c r="J84" s="539">
        <f t="shared" si="4"/>
        <v>13.012513002033751</v>
      </c>
      <c r="L84" s="404"/>
      <c r="M84" s="404"/>
      <c r="N84" s="404"/>
      <c r="O84" s="404"/>
      <c r="P84" s="404"/>
      <c r="Q84" s="404"/>
      <c r="R84" s="404"/>
      <c r="S84" s="404"/>
      <c r="T84" s="404"/>
    </row>
    <row r="85" spans="3:20" outlineLevel="1">
      <c r="C85" s="441" t="s">
        <v>284</v>
      </c>
      <c r="D85" s="505">
        <f>SUM(D78:D84)</f>
        <v>128826</v>
      </c>
      <c r="E85" s="495"/>
      <c r="F85" s="506" t="s">
        <v>106</v>
      </c>
      <c r="G85" s="507"/>
      <c r="H85" s="508">
        <f>SUM(H77:H84)</f>
        <v>95621820.569999993</v>
      </c>
      <c r="I85" s="540">
        <f t="shared" si="6"/>
        <v>1</v>
      </c>
      <c r="J85" s="541">
        <f t="shared" si="4"/>
        <v>742.25560500209576</v>
      </c>
      <c r="L85" s="404"/>
      <c r="M85" s="404"/>
      <c r="N85" s="404"/>
      <c r="O85" s="404"/>
      <c r="P85" s="404"/>
      <c r="Q85" s="404"/>
      <c r="R85" s="404"/>
      <c r="S85" s="404"/>
      <c r="T85" s="404"/>
    </row>
    <row r="86" spans="3:20" outlineLevel="1">
      <c r="C86" s="488" t="s">
        <v>285</v>
      </c>
      <c r="D86" s="489"/>
      <c r="E86" s="495"/>
      <c r="F86" s="408"/>
      <c r="G86" s="509"/>
      <c r="H86" s="509"/>
      <c r="I86" s="509"/>
      <c r="J86" s="542"/>
      <c r="L86" s="404"/>
      <c r="M86" s="404"/>
      <c r="N86" s="404"/>
      <c r="O86" s="404"/>
    </row>
    <row r="87" spans="3:20" outlineLevel="1">
      <c r="C87" s="510" t="s">
        <v>286</v>
      </c>
      <c r="D87" s="511"/>
      <c r="E87" s="495"/>
      <c r="F87" s="488" t="s">
        <v>275</v>
      </c>
      <c r="G87" s="512"/>
      <c r="H87" s="512"/>
      <c r="I87" s="512"/>
      <c r="J87" s="489"/>
      <c r="L87" s="404"/>
      <c r="M87" s="404"/>
      <c r="N87" s="404"/>
      <c r="O87" s="404"/>
    </row>
    <row r="88" spans="3:20" outlineLevel="1">
      <c r="C88" s="513" t="s">
        <v>287</v>
      </c>
      <c r="D88" s="514">
        <f>'Proforma Construction'!E50</f>
        <v>92500000</v>
      </c>
      <c r="E88" s="495"/>
      <c r="F88" s="493"/>
      <c r="G88" s="515"/>
      <c r="H88" s="515"/>
      <c r="I88" s="515"/>
      <c r="J88" s="494"/>
      <c r="L88" s="404"/>
      <c r="M88" s="404"/>
      <c r="N88" s="404"/>
      <c r="O88" s="404"/>
    </row>
    <row r="89" spans="3:20" outlineLevel="1">
      <c r="C89" s="516" t="s">
        <v>288</v>
      </c>
      <c r="D89" s="517">
        <f>IFERROR(D88/D85,"")</f>
        <v>718.0227593808703</v>
      </c>
      <c r="E89" s="495"/>
      <c r="F89" s="518" t="s">
        <v>159</v>
      </c>
      <c r="G89" s="519"/>
      <c r="H89" s="520" t="s">
        <v>289</v>
      </c>
      <c r="I89" s="520" t="s">
        <v>290</v>
      </c>
      <c r="J89" s="543">
        <f>D88</f>
        <v>92500000</v>
      </c>
      <c r="L89" s="404"/>
      <c r="M89" s="404"/>
      <c r="N89" s="404"/>
      <c r="O89" s="404"/>
    </row>
    <row r="90" spans="3:20" outlineLevel="1">
      <c r="C90" s="516" t="s">
        <v>291</v>
      </c>
      <c r="D90" s="517">
        <f>IFERROR(D88/D77,"")</f>
        <v>544117.6470588235</v>
      </c>
      <c r="E90" s="495"/>
      <c r="F90" s="518" t="s">
        <v>292</v>
      </c>
      <c r="G90" s="521"/>
      <c r="H90" s="522">
        <v>4.4499999999999998E-2</v>
      </c>
      <c r="I90" s="522">
        <v>1.4999999999999999E-2</v>
      </c>
      <c r="J90" s="544">
        <f>H90+I90</f>
        <v>5.9499999999999997E-2</v>
      </c>
      <c r="L90" s="404"/>
      <c r="M90" s="404"/>
      <c r="N90" s="404"/>
      <c r="O90" s="404"/>
    </row>
    <row r="91" spans="3:20" outlineLevel="1">
      <c r="C91" s="523" t="s">
        <v>157</v>
      </c>
      <c r="D91" s="524">
        <f>IFERROR(D88/G71,"")</f>
        <v>0.96735242488178041</v>
      </c>
      <c r="E91" s="495"/>
      <c r="F91" s="518" t="s">
        <v>293</v>
      </c>
      <c r="G91" s="519"/>
      <c r="H91" s="519"/>
      <c r="I91" s="519"/>
      <c r="J91" s="545">
        <v>1</v>
      </c>
      <c r="L91" s="404"/>
      <c r="M91" s="404"/>
      <c r="N91" s="404"/>
      <c r="O91" s="404"/>
    </row>
    <row r="92" spans="3:20" outlineLevel="1">
      <c r="C92" s="525" t="s">
        <v>158</v>
      </c>
      <c r="D92" s="526">
        <f>'Proforma Construction'!D50</f>
        <v>0.75998331047894063</v>
      </c>
      <c r="E92" s="495"/>
      <c r="F92" s="518" t="s">
        <v>294</v>
      </c>
      <c r="G92" s="519"/>
      <c r="H92" s="519"/>
      <c r="I92" s="519"/>
      <c r="J92" s="546">
        <v>0.6</v>
      </c>
      <c r="L92" s="404"/>
      <c r="M92" s="404"/>
      <c r="N92" s="404"/>
      <c r="O92" s="404"/>
    </row>
    <row r="93" spans="3:20" outlineLevel="1">
      <c r="C93" s="527"/>
      <c r="D93" s="528"/>
      <c r="E93" s="529"/>
      <c r="F93" s="530" t="s">
        <v>295</v>
      </c>
      <c r="G93" s="531"/>
      <c r="H93" s="531"/>
      <c r="I93" s="531"/>
      <c r="J93" s="547">
        <f>ROUND(J89*J90*J91*J92,-4)</f>
        <v>3300000</v>
      </c>
      <c r="L93" s="404"/>
      <c r="M93" s="404"/>
      <c r="N93" s="404"/>
      <c r="O93" s="404"/>
    </row>
    <row r="94" spans="3:20" outlineLevel="1">
      <c r="H94" s="409"/>
      <c r="I94" s="409"/>
      <c r="J94" s="409"/>
      <c r="L94" s="404"/>
      <c r="M94" s="404"/>
      <c r="N94" s="404"/>
      <c r="O94" s="404"/>
    </row>
    <row r="95" spans="3:20" outlineLevel="1">
      <c r="H95" s="409"/>
      <c r="I95" s="409"/>
      <c r="J95" s="409"/>
      <c r="L95" s="404"/>
      <c r="M95" s="404"/>
      <c r="N95" s="404"/>
      <c r="O95" s="404"/>
    </row>
    <row r="96" spans="3:20" outlineLevel="1">
      <c r="H96" s="409"/>
      <c r="I96" s="409"/>
      <c r="J96" s="409"/>
      <c r="M96" s="453"/>
    </row>
    <row r="97" spans="8:13" outlineLevel="1">
      <c r="H97" s="409"/>
      <c r="I97" s="409"/>
      <c r="J97" s="409"/>
      <c r="M97" s="453"/>
    </row>
    <row r="98" spans="8:13">
      <c r="H98" s="409"/>
      <c r="I98" s="409"/>
      <c r="J98" s="409"/>
      <c r="K98" s="409"/>
    </row>
  </sheetData>
  <mergeCells count="4">
    <mergeCell ref="C4:J4"/>
    <mergeCell ref="C6:J6"/>
    <mergeCell ref="C73:J73"/>
    <mergeCell ref="C75:D75"/>
  </mergeCells>
  <pageMargins left="0.70866141732283505" right="0.70866141732283505" top="0.74803149606299202" bottom="0.74803149606299202" header="0.31496062992126" footer="0.31496062992126"/>
  <pageSetup scale="4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2:T133"/>
  <sheetViews>
    <sheetView zoomScale="50" zoomScaleNormal="50" workbookViewId="0">
      <selection activeCell="X35" sqref="X35"/>
    </sheetView>
  </sheetViews>
  <sheetFormatPr defaultColWidth="9.44140625" defaultRowHeight="14.4"/>
  <cols>
    <col min="1" max="2" width="9.44140625" style="304"/>
    <col min="3" max="3" width="24.109375" style="304" customWidth="1"/>
    <col min="4" max="4" width="9.44140625" style="304" customWidth="1"/>
    <col min="5" max="5" width="21.6640625" style="304" customWidth="1"/>
    <col min="6" max="6" width="11" style="304" customWidth="1"/>
    <col min="7" max="7" width="12.33203125" style="304" customWidth="1"/>
    <col min="8" max="8" width="9.44140625" style="304" customWidth="1"/>
    <col min="9" max="9" width="21.6640625" style="304" customWidth="1"/>
    <col min="10" max="10" width="12.6640625" style="304" customWidth="1"/>
    <col min="11" max="11" width="9.109375" style="304" customWidth="1"/>
    <col min="12" max="12" width="23.33203125" style="304" customWidth="1"/>
    <col min="13" max="13" width="13.109375" style="304" customWidth="1"/>
    <col min="14" max="14" width="15.109375" style="304" customWidth="1"/>
    <col min="15" max="15" width="11" style="304" customWidth="1"/>
    <col min="16" max="16" width="19.6640625" style="304" customWidth="1"/>
    <col min="17" max="17" width="16.44140625" style="306" customWidth="1"/>
    <col min="18" max="18" width="10.6640625" style="304" customWidth="1"/>
    <col min="19" max="19" width="16.44140625" style="306" customWidth="1"/>
    <col min="20" max="20" width="18.6640625" style="304" customWidth="1"/>
    <col min="21" max="16384" width="9.44140625" style="304"/>
  </cols>
  <sheetData>
    <row r="12" spans="1:16" s="304" customFormat="1">
      <c r="A12" s="767" t="s">
        <v>296</v>
      </c>
      <c r="B12" s="768"/>
      <c r="C12" s="768"/>
      <c r="D12" s="768"/>
      <c r="E12" s="768"/>
      <c r="F12" s="768"/>
      <c r="G12" s="768"/>
      <c r="H12" s="768"/>
      <c r="I12" s="768"/>
      <c r="J12" s="768"/>
      <c r="K12" s="768"/>
      <c r="L12" s="768"/>
      <c r="M12" s="768"/>
      <c r="N12" s="768"/>
      <c r="O12" s="768"/>
      <c r="P12" s="769"/>
    </row>
    <row r="13" spans="1:16" s="304" customFormat="1">
      <c r="A13" s="770"/>
      <c r="B13" s="771"/>
      <c r="C13" s="771"/>
      <c r="D13" s="771"/>
      <c r="E13" s="771"/>
      <c r="F13" s="771"/>
      <c r="G13" s="771"/>
      <c r="H13" s="771"/>
      <c r="I13" s="771"/>
      <c r="J13" s="771"/>
      <c r="K13" s="771"/>
      <c r="L13" s="771"/>
      <c r="M13" s="771"/>
      <c r="N13" s="771"/>
      <c r="O13" s="771"/>
      <c r="P13" s="772"/>
    </row>
    <row r="14" spans="1:16" s="304" customFormat="1">
      <c r="A14" s="773"/>
      <c r="B14" s="774"/>
      <c r="C14" s="774"/>
      <c r="D14" s="774"/>
      <c r="E14" s="774"/>
      <c r="F14" s="774"/>
      <c r="G14" s="774"/>
      <c r="H14" s="774"/>
      <c r="I14" s="774"/>
      <c r="J14" s="774"/>
      <c r="K14" s="774"/>
      <c r="L14" s="774"/>
      <c r="M14" s="774"/>
      <c r="N14" s="774"/>
      <c r="O14" s="774"/>
      <c r="P14" s="775"/>
    </row>
    <row r="15" spans="1:16" s="304" customFormat="1" ht="18">
      <c r="A15" s="307" t="s">
        <v>297</v>
      </c>
      <c r="B15" s="308"/>
      <c r="C15" s="308"/>
      <c r="D15" s="308"/>
      <c r="E15" s="308"/>
      <c r="F15" s="308"/>
      <c r="G15" s="308"/>
      <c r="H15" s="308"/>
      <c r="I15" s="308"/>
      <c r="J15" s="308"/>
      <c r="K15" s="308"/>
      <c r="L15" s="308"/>
      <c r="M15" s="308"/>
      <c r="N15" s="308"/>
      <c r="O15" s="308"/>
      <c r="P15" s="352"/>
    </row>
    <row r="16" spans="1:16" s="304" customFormat="1" ht="18">
      <c r="A16" s="918" t="s">
        <v>298</v>
      </c>
      <c r="B16" s="919"/>
      <c r="C16" s="919"/>
      <c r="D16" s="309" t="s">
        <v>299</v>
      </c>
      <c r="E16" s="309"/>
      <c r="F16" s="309"/>
      <c r="G16" s="309"/>
      <c r="H16" s="309"/>
      <c r="I16" s="919" t="s">
        <v>300</v>
      </c>
      <c r="J16" s="919"/>
      <c r="K16" s="919" t="s">
        <v>301</v>
      </c>
      <c r="L16" s="919"/>
      <c r="M16" s="920" t="s">
        <v>302</v>
      </c>
      <c r="N16" s="920"/>
      <c r="O16" s="919" t="s">
        <v>303</v>
      </c>
      <c r="P16" s="921"/>
    </row>
    <row r="17" spans="1:16" s="304" customFormat="1" ht="18">
      <c r="A17" s="904"/>
      <c r="B17" s="869"/>
      <c r="C17" s="869"/>
      <c r="D17" s="869"/>
      <c r="E17" s="869"/>
      <c r="F17" s="869"/>
      <c r="G17" s="869"/>
      <c r="H17" s="869"/>
      <c r="I17" s="914"/>
      <c r="J17" s="914"/>
      <c r="K17" s="869"/>
      <c r="L17" s="869"/>
      <c r="M17" s="869"/>
      <c r="N17" s="869"/>
      <c r="O17" s="869"/>
      <c r="P17" s="922"/>
    </row>
    <row r="18" spans="1:16" s="304" customFormat="1" ht="18">
      <c r="A18" s="911" t="s">
        <v>304</v>
      </c>
      <c r="B18" s="908"/>
      <c r="C18" s="908"/>
      <c r="D18" s="908" t="s">
        <v>305</v>
      </c>
      <c r="E18" s="908"/>
      <c r="F18" s="908"/>
      <c r="G18" s="908"/>
      <c r="H18" s="908"/>
      <c r="I18" s="908"/>
      <c r="J18" s="908" t="s">
        <v>306</v>
      </c>
      <c r="K18" s="908"/>
      <c r="L18" s="912" t="s">
        <v>307</v>
      </c>
      <c r="M18" s="912"/>
      <c r="N18" s="912" t="s">
        <v>308</v>
      </c>
      <c r="O18" s="912"/>
      <c r="P18" s="353"/>
    </row>
    <row r="19" spans="1:16" s="304" customFormat="1" ht="18">
      <c r="A19" s="904"/>
      <c r="B19" s="869"/>
      <c r="C19" s="869"/>
      <c r="D19" s="869"/>
      <c r="E19" s="869"/>
      <c r="F19" s="869"/>
      <c r="G19" s="869"/>
      <c r="H19" s="869"/>
      <c r="I19" s="869"/>
      <c r="J19" s="869"/>
      <c r="K19" s="869"/>
      <c r="L19" s="917"/>
      <c r="M19" s="917"/>
      <c r="N19" s="915"/>
      <c r="O19" s="915"/>
      <c r="P19" s="354"/>
    </row>
    <row r="20" spans="1:16" s="304" customFormat="1" ht="18">
      <c r="A20" s="911" t="s">
        <v>309</v>
      </c>
      <c r="B20" s="908"/>
      <c r="C20" s="908"/>
      <c r="D20" s="908" t="s">
        <v>310</v>
      </c>
      <c r="E20" s="908"/>
      <c r="F20" s="311" t="s">
        <v>311</v>
      </c>
      <c r="G20" s="311"/>
      <c r="H20" s="311" t="s">
        <v>312</v>
      </c>
      <c r="I20" s="311"/>
      <c r="J20" s="311"/>
      <c r="K20" s="311" t="s">
        <v>313</v>
      </c>
      <c r="L20" s="311"/>
      <c r="M20" s="311"/>
      <c r="N20" s="311"/>
      <c r="O20" s="912"/>
      <c r="P20" s="913"/>
    </row>
    <row r="21" spans="1:16" s="304" customFormat="1" ht="18">
      <c r="A21" s="904"/>
      <c r="B21" s="869"/>
      <c r="C21" s="869"/>
      <c r="D21" s="914"/>
      <c r="E21" s="914"/>
      <c r="F21" s="869"/>
      <c r="G21" s="869"/>
      <c r="H21" s="915"/>
      <c r="I21" s="915"/>
      <c r="J21" s="915"/>
      <c r="K21" s="915"/>
      <c r="L21" s="915"/>
      <c r="M21" s="915"/>
      <c r="N21" s="915"/>
      <c r="O21" s="915"/>
      <c r="P21" s="916"/>
    </row>
    <row r="22" spans="1:16" s="304" customFormat="1" ht="18">
      <c r="A22" s="911" t="s">
        <v>314</v>
      </c>
      <c r="B22" s="908"/>
      <c r="C22" s="908"/>
      <c r="D22" s="908" t="s">
        <v>305</v>
      </c>
      <c r="E22" s="908"/>
      <c r="F22" s="908"/>
      <c r="G22" s="908"/>
      <c r="H22" s="908"/>
      <c r="I22" s="908"/>
      <c r="J22" s="908" t="s">
        <v>306</v>
      </c>
      <c r="K22" s="908"/>
      <c r="L22" s="912" t="s">
        <v>307</v>
      </c>
      <c r="M22" s="912"/>
      <c r="N22" s="912" t="s">
        <v>308</v>
      </c>
      <c r="O22" s="912"/>
      <c r="P22" s="353"/>
    </row>
    <row r="23" spans="1:16" s="304" customFormat="1" ht="18">
      <c r="A23" s="904"/>
      <c r="B23" s="869"/>
      <c r="C23" s="869"/>
      <c r="D23" s="905"/>
      <c r="E23" s="905"/>
      <c r="F23" s="905"/>
      <c r="G23" s="905"/>
      <c r="H23" s="905"/>
      <c r="I23" s="905"/>
      <c r="J23" s="905"/>
      <c r="K23" s="905"/>
      <c r="L23" s="906"/>
      <c r="M23" s="906"/>
      <c r="N23" s="907"/>
      <c r="O23" s="907"/>
      <c r="P23" s="355"/>
    </row>
    <row r="24" spans="1:16" s="304" customFormat="1" ht="18">
      <c r="A24" s="312" t="s">
        <v>315</v>
      </c>
      <c r="B24" s="311"/>
      <c r="C24" s="311"/>
      <c r="D24" s="313" t="s">
        <v>305</v>
      </c>
      <c r="E24" s="313"/>
      <c r="F24" s="313"/>
      <c r="G24" s="313"/>
      <c r="H24" s="313"/>
      <c r="I24" s="313"/>
      <c r="J24" s="313" t="s">
        <v>316</v>
      </c>
      <c r="K24" s="313"/>
      <c r="L24" s="313"/>
      <c r="M24" s="908" t="s">
        <v>302</v>
      </c>
      <c r="N24" s="908"/>
      <c r="O24" s="313"/>
      <c r="P24" s="356"/>
    </row>
    <row r="25" spans="1:16" s="304" customFormat="1" ht="18">
      <c r="A25" s="904"/>
      <c r="B25" s="869"/>
      <c r="C25" s="869"/>
      <c r="D25" s="905" t="s">
        <v>317</v>
      </c>
      <c r="E25" s="905"/>
      <c r="F25" s="905"/>
      <c r="G25" s="905"/>
      <c r="H25" s="905"/>
      <c r="I25" s="905"/>
      <c r="J25" s="905"/>
      <c r="K25" s="905"/>
      <c r="L25" s="905"/>
      <c r="M25" s="905"/>
      <c r="N25" s="905"/>
      <c r="O25" s="909"/>
      <c r="P25" s="910"/>
    </row>
    <row r="26" spans="1:16" s="304" customFormat="1" ht="18">
      <c r="A26" s="312" t="s">
        <v>318</v>
      </c>
      <c r="B26" s="311"/>
      <c r="C26" s="311"/>
      <c r="D26" s="313" t="s">
        <v>305</v>
      </c>
      <c r="E26" s="313"/>
      <c r="F26" s="313"/>
      <c r="G26" s="313"/>
      <c r="H26" s="313"/>
      <c r="I26" s="313"/>
      <c r="J26" s="313" t="s">
        <v>319</v>
      </c>
      <c r="K26" s="313"/>
      <c r="L26" s="313"/>
      <c r="M26" s="895" t="s">
        <v>302</v>
      </c>
      <c r="N26" s="895"/>
      <c r="O26" s="313"/>
      <c r="P26" s="356"/>
    </row>
    <row r="27" spans="1:16" s="304" customFormat="1" ht="18">
      <c r="A27" s="896"/>
      <c r="B27" s="897"/>
      <c r="C27" s="897"/>
      <c r="D27" s="897"/>
      <c r="E27" s="897"/>
      <c r="F27" s="897"/>
      <c r="G27" s="897"/>
      <c r="H27" s="897"/>
      <c r="I27" s="897"/>
      <c r="J27" s="897"/>
      <c r="K27" s="897"/>
      <c r="L27" s="897"/>
      <c r="M27" s="897"/>
      <c r="N27" s="897"/>
      <c r="O27" s="898"/>
      <c r="P27" s="899"/>
    </row>
    <row r="28" spans="1:16" s="304" customFormat="1" ht="18">
      <c r="A28" s="314"/>
      <c r="B28" s="315"/>
      <c r="C28" s="315"/>
      <c r="D28" s="315"/>
      <c r="E28" s="315"/>
      <c r="F28" s="315"/>
      <c r="G28" s="315"/>
      <c r="H28" s="315"/>
      <c r="I28" s="315"/>
      <c r="J28" s="315"/>
      <c r="K28" s="315"/>
      <c r="L28" s="315"/>
      <c r="M28" s="315"/>
      <c r="N28" s="315"/>
      <c r="O28" s="315"/>
      <c r="P28" s="357"/>
    </row>
    <row r="29" spans="1:16" s="304" customFormat="1" ht="18">
      <c r="A29" s="316" t="s">
        <v>320</v>
      </c>
      <c r="B29" s="317"/>
      <c r="C29" s="317"/>
      <c r="D29" s="317"/>
      <c r="E29" s="318" t="s">
        <v>57</v>
      </c>
      <c r="F29" s="900" t="s">
        <v>321</v>
      </c>
      <c r="G29" s="900"/>
      <c r="H29" s="900"/>
      <c r="I29" s="900"/>
      <c r="J29" s="900"/>
      <c r="K29" s="900"/>
      <c r="L29" s="900"/>
      <c r="M29" s="900"/>
      <c r="N29" s="900"/>
      <c r="O29" s="900"/>
      <c r="P29" s="901"/>
    </row>
    <row r="30" spans="1:16" s="304" customFormat="1" ht="18">
      <c r="A30" s="319" t="s">
        <v>322</v>
      </c>
      <c r="B30" s="320"/>
      <c r="C30" s="320"/>
      <c r="D30" s="320"/>
      <c r="E30" s="321" t="s">
        <v>57</v>
      </c>
      <c r="F30" s="902" t="s">
        <v>323</v>
      </c>
      <c r="G30" s="902"/>
      <c r="H30" s="902"/>
      <c r="I30" s="902"/>
      <c r="J30" s="902"/>
      <c r="K30" s="902"/>
      <c r="L30" s="902"/>
      <c r="M30" s="902"/>
      <c r="N30" s="902"/>
      <c r="O30" s="902"/>
      <c r="P30" s="903"/>
    </row>
    <row r="31" spans="1:16" s="304" customFormat="1" ht="18">
      <c r="A31" s="319" t="s">
        <v>324</v>
      </c>
      <c r="B31" s="320"/>
      <c r="C31" s="320"/>
      <c r="D31" s="320"/>
      <c r="E31" s="321" t="s">
        <v>57</v>
      </c>
      <c r="F31" s="902" t="s">
        <v>321</v>
      </c>
      <c r="G31" s="902"/>
      <c r="H31" s="902"/>
      <c r="I31" s="902"/>
      <c r="J31" s="902"/>
      <c r="K31" s="902"/>
      <c r="L31" s="902"/>
      <c r="M31" s="902"/>
      <c r="N31" s="902"/>
      <c r="O31" s="902"/>
      <c r="P31" s="903"/>
    </row>
    <row r="32" spans="1:16" s="304" customFormat="1" ht="18">
      <c r="A32" s="322" t="s">
        <v>325</v>
      </c>
      <c r="B32" s="323"/>
      <c r="C32" s="323"/>
      <c r="D32" s="323"/>
      <c r="E32" s="324" t="s">
        <v>57</v>
      </c>
      <c r="F32" s="886" t="s">
        <v>323</v>
      </c>
      <c r="G32" s="886"/>
      <c r="H32" s="886"/>
      <c r="I32" s="886"/>
      <c r="J32" s="886"/>
      <c r="K32" s="886"/>
      <c r="L32" s="886"/>
      <c r="M32" s="886"/>
      <c r="N32" s="886"/>
      <c r="O32" s="886"/>
      <c r="P32" s="887"/>
    </row>
    <row r="33" spans="1:20" ht="18">
      <c r="A33" s="325" t="s">
        <v>326</v>
      </c>
      <c r="B33" s="326"/>
      <c r="C33" s="326"/>
      <c r="D33" s="326"/>
      <c r="E33" s="326"/>
      <c r="F33" s="326"/>
      <c r="G33" s="326"/>
      <c r="H33" s="327" t="s">
        <v>327</v>
      </c>
      <c r="I33" s="326"/>
      <c r="J33" s="326"/>
      <c r="K33" s="326"/>
      <c r="L33" s="326"/>
      <c r="M33" s="326"/>
      <c r="N33" s="326"/>
      <c r="O33" s="326"/>
      <c r="P33" s="358"/>
    </row>
    <row r="34" spans="1:20" ht="18">
      <c r="A34" s="328" t="s">
        <v>328</v>
      </c>
      <c r="B34" s="329"/>
      <c r="C34" s="329"/>
      <c r="D34" s="329" t="s">
        <v>329</v>
      </c>
      <c r="E34" s="329"/>
      <c r="F34" s="888" t="s">
        <v>187</v>
      </c>
      <c r="G34" s="889"/>
      <c r="H34" s="890" t="s">
        <v>330</v>
      </c>
      <c r="I34" s="891"/>
      <c r="J34" s="891"/>
      <c r="K34" s="359" t="s">
        <v>329</v>
      </c>
      <c r="L34" s="359"/>
      <c r="M34" s="359"/>
      <c r="N34" s="330" t="s">
        <v>109</v>
      </c>
      <c r="O34" s="888" t="s">
        <v>331</v>
      </c>
      <c r="P34" s="892"/>
    </row>
    <row r="35" spans="1:20" ht="18">
      <c r="A35" s="883"/>
      <c r="B35" s="854"/>
      <c r="C35" s="893"/>
      <c r="D35" s="853"/>
      <c r="E35" s="893"/>
      <c r="F35" s="894"/>
      <c r="G35" s="851"/>
      <c r="H35" s="854"/>
      <c r="I35" s="854"/>
      <c r="J35" s="854"/>
      <c r="K35" s="854"/>
      <c r="L35" s="854"/>
      <c r="M35" s="854"/>
      <c r="N35" s="360"/>
      <c r="O35" s="851"/>
      <c r="P35" s="884"/>
    </row>
    <row r="36" spans="1:20" ht="18">
      <c r="A36" s="883"/>
      <c r="B36" s="854"/>
      <c r="C36" s="854"/>
      <c r="D36" s="854"/>
      <c r="E36" s="854"/>
      <c r="F36" s="851"/>
      <c r="G36" s="851"/>
      <c r="H36" s="854"/>
      <c r="I36" s="854"/>
      <c r="J36" s="854"/>
      <c r="K36" s="854"/>
      <c r="L36" s="854"/>
      <c r="M36" s="854"/>
      <c r="N36" s="360"/>
      <c r="O36" s="851"/>
      <c r="P36" s="884"/>
    </row>
    <row r="37" spans="1:20" ht="18">
      <c r="A37" s="883"/>
      <c r="B37" s="854"/>
      <c r="C37" s="854"/>
      <c r="D37" s="854"/>
      <c r="E37" s="854"/>
      <c r="F37" s="851"/>
      <c r="G37" s="852"/>
      <c r="H37" s="853"/>
      <c r="I37" s="854"/>
      <c r="J37" s="854"/>
      <c r="K37" s="854"/>
      <c r="L37" s="854"/>
      <c r="M37" s="854"/>
      <c r="N37" s="360"/>
      <c r="O37" s="851"/>
      <c r="P37" s="884"/>
    </row>
    <row r="38" spans="1:20" ht="18">
      <c r="A38" s="883"/>
      <c r="B38" s="854"/>
      <c r="C38" s="854"/>
      <c r="D38" s="854"/>
      <c r="E38" s="854"/>
      <c r="F38" s="851"/>
      <c r="G38" s="852"/>
      <c r="H38" s="853"/>
      <c r="I38" s="854"/>
      <c r="J38" s="854"/>
      <c r="K38" s="854"/>
      <c r="L38" s="854"/>
      <c r="M38" s="854"/>
      <c r="N38" s="360"/>
      <c r="O38" s="851"/>
      <c r="P38" s="884"/>
    </row>
    <row r="39" spans="1:20" ht="18">
      <c r="A39" s="857" t="s">
        <v>332</v>
      </c>
      <c r="B39" s="858"/>
      <c r="C39" s="858"/>
      <c r="D39" s="858"/>
      <c r="E39" s="858"/>
      <c r="F39" s="859">
        <f>SUM(F35:G38)</f>
        <v>0</v>
      </c>
      <c r="G39" s="860"/>
      <c r="H39" s="861" t="s">
        <v>332</v>
      </c>
      <c r="I39" s="858"/>
      <c r="J39" s="858"/>
      <c r="K39" s="858"/>
      <c r="L39" s="858"/>
      <c r="M39" s="858"/>
      <c r="N39" s="858"/>
      <c r="O39" s="859">
        <f>SUM(O35:P38)</f>
        <v>0</v>
      </c>
      <c r="P39" s="885"/>
    </row>
    <row r="40" spans="1:20" ht="18">
      <c r="A40" s="325" t="s">
        <v>333</v>
      </c>
      <c r="B40" s="326"/>
      <c r="C40" s="326"/>
      <c r="D40" s="326"/>
      <c r="E40" s="326"/>
      <c r="F40" s="326"/>
      <c r="G40" s="326"/>
      <c r="H40" s="327" t="s">
        <v>334</v>
      </c>
      <c r="I40" s="326"/>
      <c r="J40" s="326"/>
      <c r="K40" s="326"/>
      <c r="L40" s="326"/>
      <c r="M40" s="326"/>
      <c r="N40" s="326"/>
      <c r="O40" s="326"/>
      <c r="P40" s="358"/>
    </row>
    <row r="41" spans="1:20" ht="18">
      <c r="A41" s="331" t="s">
        <v>335</v>
      </c>
      <c r="B41" s="332"/>
      <c r="C41" s="332"/>
      <c r="D41" s="332" t="s">
        <v>336</v>
      </c>
      <c r="E41" s="333" t="s">
        <v>337</v>
      </c>
      <c r="F41" s="806" t="s">
        <v>338</v>
      </c>
      <c r="G41" s="807"/>
      <c r="H41" s="879" t="s">
        <v>339</v>
      </c>
      <c r="I41" s="831"/>
      <c r="J41" s="831" t="s">
        <v>340</v>
      </c>
      <c r="K41" s="831"/>
      <c r="L41" s="332" t="s">
        <v>341</v>
      </c>
      <c r="M41" s="806" t="s">
        <v>342</v>
      </c>
      <c r="N41" s="806"/>
      <c r="O41" s="806" t="s">
        <v>331</v>
      </c>
      <c r="P41" s="808"/>
    </row>
    <row r="42" spans="1:20" ht="18">
      <c r="A42" s="864"/>
      <c r="B42" s="865"/>
      <c r="C42" s="865"/>
      <c r="D42" s="335"/>
      <c r="E42" s="336"/>
      <c r="F42" s="866"/>
      <c r="G42" s="867"/>
      <c r="H42" s="868"/>
      <c r="I42" s="869"/>
      <c r="J42" s="880"/>
      <c r="K42" s="880"/>
      <c r="L42" s="361"/>
      <c r="M42" s="870">
        <v>0</v>
      </c>
      <c r="N42" s="870"/>
      <c r="O42" s="881"/>
      <c r="P42" s="882"/>
    </row>
    <row r="43" spans="1:20" ht="18">
      <c r="A43" s="872"/>
      <c r="B43" s="873"/>
      <c r="C43" s="873"/>
      <c r="D43" s="337"/>
      <c r="E43" s="321"/>
      <c r="F43" s="851"/>
      <c r="G43" s="852"/>
      <c r="H43" s="853"/>
      <c r="I43" s="854"/>
      <c r="J43" s="854"/>
      <c r="K43" s="854"/>
      <c r="L43" s="362"/>
      <c r="M43" s="855">
        <v>0</v>
      </c>
      <c r="N43" s="855"/>
      <c r="O43" s="874"/>
      <c r="P43" s="875"/>
    </row>
    <row r="44" spans="1:20" ht="18">
      <c r="A44" s="872"/>
      <c r="B44" s="873"/>
      <c r="C44" s="873"/>
      <c r="D44" s="337"/>
      <c r="E44" s="321"/>
      <c r="F44" s="851"/>
      <c r="G44" s="852"/>
      <c r="H44" s="853"/>
      <c r="I44" s="854"/>
      <c r="J44" s="854"/>
      <c r="K44" s="854"/>
      <c r="L44" s="363"/>
      <c r="M44" s="855">
        <v>0</v>
      </c>
      <c r="N44" s="855"/>
      <c r="O44" s="874"/>
      <c r="P44" s="875"/>
    </row>
    <row r="45" spans="1:20" ht="18">
      <c r="A45" s="872"/>
      <c r="B45" s="873"/>
      <c r="C45" s="873"/>
      <c r="D45" s="337"/>
      <c r="E45" s="321"/>
      <c r="F45" s="851"/>
      <c r="G45" s="852"/>
      <c r="H45" s="853"/>
      <c r="I45" s="854"/>
      <c r="J45" s="854"/>
      <c r="K45" s="854"/>
      <c r="L45" s="310"/>
      <c r="M45" s="855"/>
      <c r="N45" s="855"/>
      <c r="O45" s="874">
        <f>L45-M45</f>
        <v>0</v>
      </c>
      <c r="P45" s="875"/>
    </row>
    <row r="46" spans="1:20" ht="18">
      <c r="A46" s="857" t="s">
        <v>343</v>
      </c>
      <c r="B46" s="858"/>
      <c r="C46" s="858"/>
      <c r="D46" s="858"/>
      <c r="E46" s="858"/>
      <c r="F46" s="859">
        <f>SUM(F42:G45)</f>
        <v>0</v>
      </c>
      <c r="G46" s="860"/>
      <c r="H46" s="338" t="s">
        <v>344</v>
      </c>
      <c r="I46" s="364"/>
      <c r="J46" s="364"/>
      <c r="K46" s="365"/>
      <c r="L46" s="365">
        <f>SUM(L42:L45)</f>
        <v>0</v>
      </c>
      <c r="M46" s="876">
        <f>SUM(M42:M45)</f>
        <v>0</v>
      </c>
      <c r="N46" s="876">
        <f>SUM(N42:N45)</f>
        <v>0</v>
      </c>
      <c r="O46" s="877">
        <f>SUM(O42:P45)</f>
        <v>0</v>
      </c>
      <c r="P46" s="878"/>
      <c r="T46" s="368"/>
    </row>
    <row r="47" spans="1:20" ht="18">
      <c r="A47" s="325" t="s">
        <v>345</v>
      </c>
      <c r="B47" s="326"/>
      <c r="C47" s="326"/>
      <c r="D47" s="326"/>
      <c r="E47" s="326"/>
      <c r="F47" s="326"/>
      <c r="G47" s="339"/>
      <c r="H47" s="326" t="s">
        <v>346</v>
      </c>
      <c r="I47" s="326"/>
      <c r="J47" s="326"/>
      <c r="K47" s="326"/>
      <c r="L47" s="326"/>
      <c r="M47" s="326"/>
      <c r="N47" s="326"/>
      <c r="O47" s="326"/>
      <c r="P47" s="358"/>
    </row>
    <row r="48" spans="1:20" ht="18">
      <c r="A48" s="328" t="s">
        <v>347</v>
      </c>
      <c r="B48" s="329"/>
      <c r="C48" s="329"/>
      <c r="D48" s="332" t="s">
        <v>348</v>
      </c>
      <c r="E48" s="333" t="s">
        <v>349</v>
      </c>
      <c r="F48" s="806" t="s">
        <v>338</v>
      </c>
      <c r="G48" s="807"/>
      <c r="H48" s="340" t="s">
        <v>350</v>
      </c>
      <c r="I48" s="329"/>
      <c r="J48" s="329"/>
      <c r="K48" s="329" t="s">
        <v>109</v>
      </c>
      <c r="L48" s="329" t="s">
        <v>337</v>
      </c>
      <c r="M48" s="806" t="s">
        <v>336</v>
      </c>
      <c r="N48" s="806"/>
      <c r="O48" s="806" t="s">
        <v>187</v>
      </c>
      <c r="P48" s="808"/>
    </row>
    <row r="49" spans="1:19" ht="18">
      <c r="A49" s="864"/>
      <c r="B49" s="865"/>
      <c r="C49" s="865"/>
      <c r="D49" s="335"/>
      <c r="E49" s="341"/>
      <c r="F49" s="866"/>
      <c r="G49" s="867"/>
      <c r="H49" s="868"/>
      <c r="I49" s="869"/>
      <c r="J49" s="869"/>
      <c r="K49" s="334"/>
      <c r="L49" s="366"/>
      <c r="M49" s="866"/>
      <c r="N49" s="866"/>
      <c r="O49" s="870"/>
      <c r="P49" s="871"/>
    </row>
    <row r="50" spans="1:19" ht="18">
      <c r="A50" s="849"/>
      <c r="B50" s="850"/>
      <c r="C50" s="850"/>
      <c r="D50" s="337"/>
      <c r="E50" s="342"/>
      <c r="F50" s="851"/>
      <c r="G50" s="852"/>
      <c r="H50" s="853"/>
      <c r="I50" s="854"/>
      <c r="J50" s="854"/>
      <c r="K50" s="334"/>
      <c r="L50" s="335"/>
      <c r="M50" s="851"/>
      <c r="N50" s="851"/>
      <c r="O50" s="855"/>
      <c r="P50" s="856"/>
    </row>
    <row r="51" spans="1:19" ht="18">
      <c r="A51" s="849"/>
      <c r="B51" s="850"/>
      <c r="C51" s="850"/>
      <c r="D51" s="337"/>
      <c r="E51" s="342"/>
      <c r="F51" s="851"/>
      <c r="G51" s="852"/>
      <c r="H51" s="853"/>
      <c r="I51" s="854"/>
      <c r="J51" s="854"/>
      <c r="K51" s="334"/>
      <c r="L51" s="335"/>
      <c r="M51" s="851"/>
      <c r="N51" s="851"/>
      <c r="O51" s="855"/>
      <c r="P51" s="856"/>
    </row>
    <row r="52" spans="1:19" ht="18">
      <c r="A52" s="849"/>
      <c r="B52" s="850"/>
      <c r="C52" s="850"/>
      <c r="D52" s="337"/>
      <c r="E52" s="343"/>
      <c r="F52" s="851"/>
      <c r="G52" s="852"/>
      <c r="H52" s="853"/>
      <c r="I52" s="854"/>
      <c r="J52" s="854"/>
      <c r="K52" s="334"/>
      <c r="L52" s="335"/>
      <c r="M52" s="851"/>
      <c r="N52" s="851"/>
      <c r="O52" s="855"/>
      <c r="P52" s="856"/>
    </row>
    <row r="53" spans="1:19" ht="18">
      <c r="A53" s="849"/>
      <c r="B53" s="850"/>
      <c r="C53" s="850"/>
      <c r="D53" s="337"/>
      <c r="E53" s="342"/>
      <c r="F53" s="851"/>
      <c r="G53" s="852"/>
      <c r="H53" s="853"/>
      <c r="I53" s="854"/>
      <c r="J53" s="854"/>
      <c r="K53" s="334"/>
      <c r="L53" s="335"/>
      <c r="M53" s="851"/>
      <c r="N53" s="851"/>
      <c r="O53" s="855"/>
      <c r="P53" s="856"/>
    </row>
    <row r="54" spans="1:19" ht="18">
      <c r="A54" s="857" t="s">
        <v>343</v>
      </c>
      <c r="B54" s="858"/>
      <c r="C54" s="858"/>
      <c r="D54" s="858"/>
      <c r="E54" s="858"/>
      <c r="F54" s="859">
        <f>SUM(F49:G53)</f>
        <v>0</v>
      </c>
      <c r="G54" s="860"/>
      <c r="H54" s="861" t="s">
        <v>343</v>
      </c>
      <c r="I54" s="858"/>
      <c r="J54" s="858"/>
      <c r="K54" s="858"/>
      <c r="L54" s="858"/>
      <c r="M54" s="858"/>
      <c r="N54" s="858"/>
      <c r="O54" s="862">
        <f>SUM(O49:P53)</f>
        <v>0</v>
      </c>
      <c r="P54" s="863"/>
    </row>
    <row r="55" spans="1:19">
      <c r="A55" s="767" t="s">
        <v>296</v>
      </c>
      <c r="B55" s="768"/>
      <c r="C55" s="768"/>
      <c r="D55" s="768"/>
      <c r="E55" s="768"/>
      <c r="F55" s="768"/>
      <c r="G55" s="768"/>
      <c r="H55" s="768"/>
      <c r="I55" s="768"/>
      <c r="J55" s="768"/>
      <c r="K55" s="768"/>
      <c r="L55" s="768"/>
      <c r="M55" s="768"/>
      <c r="N55" s="768"/>
      <c r="O55" s="768"/>
      <c r="P55" s="769"/>
    </row>
    <row r="56" spans="1:19">
      <c r="A56" s="770"/>
      <c r="B56" s="771"/>
      <c r="C56" s="771"/>
      <c r="D56" s="771"/>
      <c r="E56" s="771"/>
      <c r="F56" s="771"/>
      <c r="G56" s="771"/>
      <c r="H56" s="771"/>
      <c r="I56" s="771"/>
      <c r="J56" s="771"/>
      <c r="K56" s="771"/>
      <c r="L56" s="771"/>
      <c r="M56" s="771"/>
      <c r="N56" s="771"/>
      <c r="O56" s="771"/>
      <c r="P56" s="772"/>
    </row>
    <row r="57" spans="1:19">
      <c r="A57" s="773"/>
      <c r="B57" s="774"/>
      <c r="C57" s="774"/>
      <c r="D57" s="774"/>
      <c r="E57" s="774"/>
      <c r="F57" s="774"/>
      <c r="G57" s="774"/>
      <c r="H57" s="774"/>
      <c r="I57" s="774"/>
      <c r="J57" s="774"/>
      <c r="K57" s="774"/>
      <c r="L57" s="774"/>
      <c r="M57" s="774"/>
      <c r="N57" s="774"/>
      <c r="O57" s="774"/>
      <c r="P57" s="775"/>
      <c r="Q57" s="369"/>
    </row>
    <row r="58" spans="1:19" s="305" customFormat="1" ht="18">
      <c r="A58" s="325" t="s">
        <v>351</v>
      </c>
      <c r="B58" s="326"/>
      <c r="C58" s="326"/>
      <c r="D58" s="326"/>
      <c r="E58" s="326"/>
      <c r="F58" s="326"/>
      <c r="G58" s="326"/>
      <c r="H58" s="326"/>
      <c r="I58" s="326"/>
      <c r="J58" s="326"/>
      <c r="K58" s="326"/>
      <c r="L58" s="326"/>
      <c r="M58" s="326"/>
      <c r="N58" s="326"/>
      <c r="O58" s="326"/>
      <c r="P58" s="358"/>
      <c r="Q58" s="370"/>
    </row>
    <row r="59" spans="1:19" ht="36">
      <c r="A59" s="344" t="s">
        <v>352</v>
      </c>
      <c r="B59" s="345"/>
      <c r="C59" s="345"/>
      <c r="D59" s="345" t="s">
        <v>353</v>
      </c>
      <c r="E59" s="346" t="s">
        <v>354</v>
      </c>
      <c r="F59" s="345" t="s">
        <v>109</v>
      </c>
      <c r="G59" s="347" t="s">
        <v>349</v>
      </c>
      <c r="H59" s="846" t="s">
        <v>355</v>
      </c>
      <c r="I59" s="846"/>
      <c r="J59" s="347" t="s">
        <v>331</v>
      </c>
      <c r="K59" s="847" t="s">
        <v>356</v>
      </c>
      <c r="L59" s="847"/>
      <c r="M59" s="847" t="s">
        <v>357</v>
      </c>
      <c r="N59" s="847"/>
      <c r="O59" s="847" t="s">
        <v>358</v>
      </c>
      <c r="P59" s="848"/>
      <c r="Q59" s="370" t="s">
        <v>40</v>
      </c>
    </row>
    <row r="60" spans="1:19" ht="18">
      <c r="A60" s="843"/>
      <c r="B60" s="844"/>
      <c r="C60" s="844"/>
      <c r="D60" s="348"/>
      <c r="E60" s="349"/>
      <c r="F60" s="348"/>
      <c r="G60" s="350"/>
      <c r="H60" s="840"/>
      <c r="I60" s="840"/>
      <c r="J60" s="845"/>
      <c r="K60" s="845"/>
      <c r="L60" s="367"/>
      <c r="M60" s="841">
        <f t="shared" ref="M60:M75" si="0">J60-L60</f>
        <v>0</v>
      </c>
      <c r="N60" s="841"/>
      <c r="O60" s="841">
        <f>M60*G60</f>
        <v>0</v>
      </c>
      <c r="P60" s="842"/>
      <c r="Q60" s="371">
        <f>IF(L60&gt;0,L60/J60,0)</f>
        <v>0</v>
      </c>
    </row>
    <row r="61" spans="1:19" ht="18">
      <c r="A61" s="843"/>
      <c r="B61" s="844"/>
      <c r="C61" s="844"/>
      <c r="D61" s="348"/>
      <c r="E61" s="349"/>
      <c r="F61" s="348"/>
      <c r="G61" s="350"/>
      <c r="H61" s="840"/>
      <c r="I61" s="840"/>
      <c r="J61" s="845"/>
      <c r="K61" s="845"/>
      <c r="L61" s="367"/>
      <c r="M61" s="841">
        <f t="shared" si="0"/>
        <v>0</v>
      </c>
      <c r="N61" s="841"/>
      <c r="O61" s="841">
        <f>M61*G61</f>
        <v>0</v>
      </c>
      <c r="P61" s="842"/>
      <c r="Q61" s="371">
        <f t="shared" ref="Q61:Q66" si="1">IF(L61&gt;0,L61/J61,0)</f>
        <v>0</v>
      </c>
      <c r="R61" s="371"/>
      <c r="S61" s="372"/>
    </row>
    <row r="62" spans="1:19" ht="18">
      <c r="A62" s="843"/>
      <c r="B62" s="844"/>
      <c r="C62" s="844"/>
      <c r="D62" s="348"/>
      <c r="E62" s="351"/>
      <c r="F62" s="348"/>
      <c r="G62" s="350"/>
      <c r="H62" s="840"/>
      <c r="I62" s="840"/>
      <c r="J62" s="845"/>
      <c r="K62" s="845"/>
      <c r="L62" s="367"/>
      <c r="M62" s="841">
        <f t="shared" si="0"/>
        <v>0</v>
      </c>
      <c r="N62" s="841"/>
      <c r="O62" s="841">
        <f>M62*G62</f>
        <v>0</v>
      </c>
      <c r="P62" s="842"/>
      <c r="Q62" s="371">
        <f t="shared" si="1"/>
        <v>0</v>
      </c>
      <c r="R62" s="371"/>
      <c r="S62" s="372"/>
    </row>
    <row r="63" spans="1:19" ht="18">
      <c r="A63" s="843"/>
      <c r="B63" s="844"/>
      <c r="C63" s="844"/>
      <c r="D63" s="348"/>
      <c r="E63" s="351"/>
      <c r="F63" s="348"/>
      <c r="G63" s="350"/>
      <c r="H63" s="840"/>
      <c r="I63" s="840"/>
      <c r="J63" s="845"/>
      <c r="K63" s="845"/>
      <c r="L63" s="367"/>
      <c r="M63" s="841">
        <f t="shared" si="0"/>
        <v>0</v>
      </c>
      <c r="N63" s="841"/>
      <c r="O63" s="841">
        <f>M63*G62</f>
        <v>0</v>
      </c>
      <c r="P63" s="842"/>
      <c r="Q63" s="371">
        <f t="shared" si="1"/>
        <v>0</v>
      </c>
      <c r="R63" s="371"/>
      <c r="S63" s="372"/>
    </row>
    <row r="64" spans="1:19" ht="18">
      <c r="A64" s="843"/>
      <c r="B64" s="844"/>
      <c r="C64" s="844"/>
      <c r="D64" s="348"/>
      <c r="E64" s="351"/>
      <c r="F64" s="348"/>
      <c r="G64" s="350"/>
      <c r="H64" s="840"/>
      <c r="I64" s="840"/>
      <c r="J64" s="845"/>
      <c r="K64" s="845"/>
      <c r="L64" s="367"/>
      <c r="M64" s="841">
        <f t="shared" si="0"/>
        <v>0</v>
      </c>
      <c r="N64" s="841"/>
      <c r="O64" s="841">
        <f t="shared" ref="O64:O75" si="2">M64*G64</f>
        <v>0</v>
      </c>
      <c r="P64" s="842"/>
      <c r="Q64" s="371">
        <f t="shared" si="1"/>
        <v>0</v>
      </c>
      <c r="R64" s="371"/>
      <c r="S64" s="372"/>
    </row>
    <row r="65" spans="1:19" ht="18">
      <c r="A65" s="843"/>
      <c r="B65" s="844"/>
      <c r="C65" s="844"/>
      <c r="D65" s="348"/>
      <c r="E65" s="351"/>
      <c r="F65" s="348"/>
      <c r="G65" s="350"/>
      <c r="H65" s="840"/>
      <c r="I65" s="840"/>
      <c r="J65" s="845"/>
      <c r="K65" s="845"/>
      <c r="L65" s="367"/>
      <c r="M65" s="841">
        <f t="shared" si="0"/>
        <v>0</v>
      </c>
      <c r="N65" s="841"/>
      <c r="O65" s="841">
        <f t="shared" si="2"/>
        <v>0</v>
      </c>
      <c r="P65" s="842"/>
      <c r="Q65" s="371">
        <f t="shared" si="1"/>
        <v>0</v>
      </c>
      <c r="R65" s="371"/>
      <c r="S65" s="372"/>
    </row>
    <row r="66" spans="1:19" ht="18">
      <c r="A66" s="843"/>
      <c r="B66" s="844"/>
      <c r="C66" s="844"/>
      <c r="D66" s="348"/>
      <c r="E66" s="351"/>
      <c r="F66" s="348"/>
      <c r="G66" s="350"/>
      <c r="H66" s="840"/>
      <c r="I66" s="840"/>
      <c r="J66" s="845"/>
      <c r="K66" s="845"/>
      <c r="L66" s="367"/>
      <c r="M66" s="841">
        <f t="shared" si="0"/>
        <v>0</v>
      </c>
      <c r="N66" s="841"/>
      <c r="O66" s="841">
        <f t="shared" si="2"/>
        <v>0</v>
      </c>
      <c r="P66" s="842"/>
      <c r="Q66" s="371">
        <f t="shared" si="1"/>
        <v>0</v>
      </c>
      <c r="R66" s="371"/>
      <c r="S66" s="372"/>
    </row>
    <row r="67" spans="1:19" ht="18">
      <c r="A67" s="838"/>
      <c r="B67" s="839"/>
      <c r="C67" s="839"/>
      <c r="D67" s="348"/>
      <c r="E67" s="373"/>
      <c r="F67" s="348"/>
      <c r="G67" s="350"/>
      <c r="H67" s="840"/>
      <c r="I67" s="840"/>
      <c r="J67" s="393"/>
      <c r="K67" s="393"/>
      <c r="L67" s="393"/>
      <c r="M67" s="841">
        <f t="shared" si="0"/>
        <v>0</v>
      </c>
      <c r="N67" s="841"/>
      <c r="O67" s="841">
        <f t="shared" si="2"/>
        <v>0</v>
      </c>
      <c r="P67" s="842"/>
      <c r="Q67" s="371">
        <f>IF(L68&gt;0,L68/J68,0)</f>
        <v>0</v>
      </c>
      <c r="R67" s="371"/>
      <c r="S67" s="372"/>
    </row>
    <row r="68" spans="1:19" ht="18">
      <c r="A68" s="838"/>
      <c r="B68" s="839"/>
      <c r="C68" s="839"/>
      <c r="D68" s="348"/>
      <c r="E68" s="373"/>
      <c r="F68" s="348"/>
      <c r="G68" s="350"/>
      <c r="H68" s="840"/>
      <c r="I68" s="840"/>
      <c r="J68" s="393"/>
      <c r="K68" s="393"/>
      <c r="L68" s="393"/>
      <c r="M68" s="841">
        <f t="shared" si="0"/>
        <v>0</v>
      </c>
      <c r="N68" s="841"/>
      <c r="O68" s="841">
        <f t="shared" si="2"/>
        <v>0</v>
      </c>
      <c r="P68" s="842"/>
      <c r="Q68" s="371">
        <f>IF(L69&gt;0,L69/J69,0)</f>
        <v>0</v>
      </c>
      <c r="R68" s="371"/>
      <c r="S68" s="372"/>
    </row>
    <row r="69" spans="1:19" ht="18">
      <c r="A69" s="838"/>
      <c r="B69" s="839"/>
      <c r="C69" s="839"/>
      <c r="D69" s="348"/>
      <c r="E69" s="373"/>
      <c r="F69" s="348"/>
      <c r="G69" s="350"/>
      <c r="H69" s="840"/>
      <c r="I69" s="840"/>
      <c r="J69" s="393"/>
      <c r="K69" s="393"/>
      <c r="L69" s="393"/>
      <c r="M69" s="841">
        <f t="shared" si="0"/>
        <v>0</v>
      </c>
      <c r="N69" s="841"/>
      <c r="O69" s="841">
        <f t="shared" si="2"/>
        <v>0</v>
      </c>
      <c r="P69" s="842"/>
      <c r="Q69" s="371">
        <f t="shared" ref="Q69:Q74" si="3">IF(L70&gt;0,L70/J70,0)</f>
        <v>0</v>
      </c>
      <c r="R69" s="371"/>
      <c r="S69" s="372"/>
    </row>
    <row r="70" spans="1:19" ht="18">
      <c r="A70" s="838"/>
      <c r="B70" s="839"/>
      <c r="C70" s="839"/>
      <c r="D70" s="348"/>
      <c r="E70" s="373"/>
      <c r="F70" s="348"/>
      <c r="G70" s="350"/>
      <c r="H70" s="840"/>
      <c r="I70" s="840"/>
      <c r="J70" s="393"/>
      <c r="K70" s="393"/>
      <c r="L70" s="393"/>
      <c r="M70" s="841">
        <f t="shared" si="0"/>
        <v>0</v>
      </c>
      <c r="N70" s="841"/>
      <c r="O70" s="841">
        <f t="shared" si="2"/>
        <v>0</v>
      </c>
      <c r="P70" s="842"/>
      <c r="Q70" s="371">
        <f t="shared" si="3"/>
        <v>0</v>
      </c>
      <c r="R70" s="371"/>
      <c r="S70" s="372"/>
    </row>
    <row r="71" spans="1:19" ht="18">
      <c r="A71" s="838"/>
      <c r="B71" s="839"/>
      <c r="C71" s="839"/>
      <c r="D71" s="348"/>
      <c r="E71" s="373"/>
      <c r="F71" s="348"/>
      <c r="G71" s="350"/>
      <c r="H71" s="840"/>
      <c r="I71" s="840"/>
      <c r="J71" s="393"/>
      <c r="K71" s="393"/>
      <c r="L71" s="393"/>
      <c r="M71" s="841">
        <f t="shared" si="0"/>
        <v>0</v>
      </c>
      <c r="N71" s="841"/>
      <c r="O71" s="841">
        <f t="shared" si="2"/>
        <v>0</v>
      </c>
      <c r="P71" s="842"/>
      <c r="Q71" s="371">
        <f t="shared" si="3"/>
        <v>0</v>
      </c>
      <c r="R71" s="371"/>
      <c r="S71" s="372"/>
    </row>
    <row r="72" spans="1:19" ht="18">
      <c r="A72" s="838"/>
      <c r="B72" s="839"/>
      <c r="C72" s="839"/>
      <c r="D72" s="348"/>
      <c r="E72" s="373"/>
      <c r="F72" s="348"/>
      <c r="G72" s="350"/>
      <c r="H72" s="840"/>
      <c r="I72" s="840"/>
      <c r="J72" s="393"/>
      <c r="K72" s="393"/>
      <c r="L72" s="393"/>
      <c r="M72" s="841">
        <f t="shared" si="0"/>
        <v>0</v>
      </c>
      <c r="N72" s="841"/>
      <c r="O72" s="841">
        <f t="shared" si="2"/>
        <v>0</v>
      </c>
      <c r="P72" s="842"/>
      <c r="Q72" s="371">
        <f t="shared" si="3"/>
        <v>0</v>
      </c>
      <c r="R72" s="371"/>
      <c r="S72" s="372"/>
    </row>
    <row r="73" spans="1:19" ht="18">
      <c r="A73" s="838"/>
      <c r="B73" s="839"/>
      <c r="C73" s="839"/>
      <c r="D73" s="348"/>
      <c r="E73" s="373"/>
      <c r="F73" s="348"/>
      <c r="G73" s="350"/>
      <c r="H73" s="840"/>
      <c r="I73" s="840"/>
      <c r="J73" s="393"/>
      <c r="K73" s="393"/>
      <c r="L73" s="393"/>
      <c r="M73" s="841">
        <f t="shared" si="0"/>
        <v>0</v>
      </c>
      <c r="N73" s="841"/>
      <c r="O73" s="841">
        <f t="shared" si="2"/>
        <v>0</v>
      </c>
      <c r="P73" s="842"/>
      <c r="Q73" s="371">
        <f t="shared" si="3"/>
        <v>0</v>
      </c>
      <c r="R73" s="371"/>
      <c r="S73" s="372"/>
    </row>
    <row r="74" spans="1:19" ht="18">
      <c r="A74" s="838"/>
      <c r="B74" s="839"/>
      <c r="C74" s="839"/>
      <c r="D74" s="348"/>
      <c r="E74" s="373"/>
      <c r="F74" s="348"/>
      <c r="G74" s="350"/>
      <c r="H74" s="840"/>
      <c r="I74" s="840"/>
      <c r="J74" s="393"/>
      <c r="K74" s="393"/>
      <c r="L74" s="393"/>
      <c r="M74" s="841">
        <f t="shared" si="0"/>
        <v>0</v>
      </c>
      <c r="N74" s="841"/>
      <c r="O74" s="841">
        <f t="shared" si="2"/>
        <v>0</v>
      </c>
      <c r="P74" s="842"/>
      <c r="Q74" s="371">
        <f t="shared" si="3"/>
        <v>0</v>
      </c>
      <c r="R74" s="371"/>
      <c r="S74" s="372"/>
    </row>
    <row r="75" spans="1:19" ht="18">
      <c r="A75" s="838"/>
      <c r="B75" s="839"/>
      <c r="C75" s="839"/>
      <c r="D75" s="348"/>
      <c r="E75" s="373"/>
      <c r="F75" s="348"/>
      <c r="G75" s="350"/>
      <c r="H75" s="840"/>
      <c r="I75" s="840"/>
      <c r="J75" s="393"/>
      <c r="K75" s="393"/>
      <c r="L75" s="393"/>
      <c r="M75" s="841">
        <f t="shared" si="0"/>
        <v>0</v>
      </c>
      <c r="N75" s="841"/>
      <c r="O75" s="841">
        <f t="shared" si="2"/>
        <v>0</v>
      </c>
      <c r="P75" s="842"/>
      <c r="Q75" s="372"/>
      <c r="R75" s="371"/>
      <c r="S75" s="372"/>
    </row>
    <row r="76" spans="1:19" ht="18">
      <c r="A76" s="832" t="s">
        <v>359</v>
      </c>
      <c r="B76" s="833"/>
      <c r="C76" s="833"/>
      <c r="D76" s="833"/>
      <c r="E76" s="833"/>
      <c r="F76" s="833"/>
      <c r="G76" s="833"/>
      <c r="H76" s="833"/>
      <c r="I76" s="394"/>
      <c r="J76" s="395"/>
      <c r="K76" s="834"/>
      <c r="L76" s="834"/>
      <c r="M76" s="835"/>
      <c r="N76" s="835"/>
      <c r="O76" s="836">
        <f>SUMPRODUCT(G60:G75,J60:J75)</f>
        <v>0</v>
      </c>
      <c r="P76" s="837"/>
      <c r="Q76" s="372"/>
      <c r="R76" s="371"/>
      <c r="S76" s="372"/>
    </row>
    <row r="77" spans="1:19" ht="18">
      <c r="A77" s="832" t="s">
        <v>360</v>
      </c>
      <c r="B77" s="833"/>
      <c r="C77" s="833"/>
      <c r="D77" s="833"/>
      <c r="E77" s="833"/>
      <c r="F77" s="833"/>
      <c r="G77" s="833"/>
      <c r="H77" s="833"/>
      <c r="I77" s="394"/>
      <c r="J77" s="395"/>
      <c r="K77" s="834"/>
      <c r="L77" s="834"/>
      <c r="M77" s="835"/>
      <c r="N77" s="835"/>
      <c r="O77" s="836">
        <f>SUMPRODUCT(G60:G75,L60:L75)</f>
        <v>0</v>
      </c>
      <c r="P77" s="837"/>
      <c r="Q77" s="371"/>
      <c r="R77" s="402"/>
      <c r="S77" s="403"/>
    </row>
    <row r="78" spans="1:19" ht="18">
      <c r="A78" s="818" t="s">
        <v>361</v>
      </c>
      <c r="B78" s="819"/>
      <c r="C78" s="819"/>
      <c r="D78" s="819"/>
      <c r="E78" s="819"/>
      <c r="F78" s="819"/>
      <c r="G78" s="819"/>
      <c r="H78" s="819"/>
      <c r="I78" s="819"/>
      <c r="J78" s="819"/>
      <c r="K78" s="819"/>
      <c r="L78" s="819"/>
      <c r="M78" s="821"/>
      <c r="N78" s="821"/>
      <c r="O78" s="828">
        <f>O76-O77</f>
        <v>0</v>
      </c>
      <c r="P78" s="829"/>
    </row>
    <row r="79" spans="1:19" ht="18">
      <c r="A79" s="325" t="s">
        <v>362</v>
      </c>
      <c r="B79" s="326"/>
      <c r="C79" s="326"/>
      <c r="D79" s="326"/>
      <c r="E79" s="326"/>
      <c r="F79" s="326"/>
      <c r="G79" s="326"/>
      <c r="H79" s="326"/>
      <c r="I79" s="326"/>
      <c r="J79" s="326"/>
      <c r="K79" s="326"/>
      <c r="L79" s="326"/>
      <c r="M79" s="326"/>
      <c r="N79" s="326"/>
      <c r="O79" s="326"/>
      <c r="P79" s="358"/>
    </row>
    <row r="80" spans="1:19" ht="18">
      <c r="A80" s="830" t="s">
        <v>363</v>
      </c>
      <c r="B80" s="831"/>
      <c r="C80" s="831"/>
      <c r="D80" s="831" t="s">
        <v>328</v>
      </c>
      <c r="E80" s="831"/>
      <c r="F80" s="831" t="s">
        <v>364</v>
      </c>
      <c r="G80" s="831"/>
      <c r="H80" s="831"/>
      <c r="I80" s="831" t="s">
        <v>365</v>
      </c>
      <c r="J80" s="831"/>
      <c r="K80" s="831"/>
      <c r="L80" s="831"/>
      <c r="M80" s="806" t="s">
        <v>366</v>
      </c>
      <c r="N80" s="806"/>
      <c r="O80" s="806" t="s">
        <v>367</v>
      </c>
      <c r="P80" s="808"/>
    </row>
    <row r="81" spans="1:16" s="304" customFormat="1" ht="18">
      <c r="A81" s="823"/>
      <c r="B81" s="824"/>
      <c r="C81" s="824"/>
      <c r="D81" s="825"/>
      <c r="E81" s="825"/>
      <c r="F81" s="825"/>
      <c r="G81" s="825"/>
      <c r="H81" s="825"/>
      <c r="I81" s="825"/>
      <c r="J81" s="825"/>
      <c r="K81" s="825"/>
      <c r="L81" s="825"/>
      <c r="M81" s="826"/>
      <c r="N81" s="826"/>
      <c r="O81" s="826"/>
      <c r="P81" s="827"/>
    </row>
    <row r="82" spans="1:16" s="304" customFormat="1" ht="18">
      <c r="A82" s="813"/>
      <c r="B82" s="814"/>
      <c r="C82" s="814"/>
      <c r="D82" s="815"/>
      <c r="E82" s="815"/>
      <c r="F82" s="815"/>
      <c r="G82" s="815"/>
      <c r="H82" s="815"/>
      <c r="I82" s="815"/>
      <c r="J82" s="815"/>
      <c r="K82" s="815"/>
      <c r="L82" s="815"/>
      <c r="M82" s="816"/>
      <c r="N82" s="816"/>
      <c r="O82" s="816"/>
      <c r="P82" s="817"/>
    </row>
    <row r="83" spans="1:16" s="304" customFormat="1" ht="18">
      <c r="A83" s="813"/>
      <c r="B83" s="814"/>
      <c r="C83" s="814"/>
      <c r="D83" s="815"/>
      <c r="E83" s="815"/>
      <c r="F83" s="815"/>
      <c r="G83" s="815"/>
      <c r="H83" s="815"/>
      <c r="I83" s="815"/>
      <c r="J83" s="815"/>
      <c r="K83" s="815"/>
      <c r="L83" s="815"/>
      <c r="M83" s="816"/>
      <c r="N83" s="816"/>
      <c r="O83" s="816"/>
      <c r="P83" s="817"/>
    </row>
    <row r="84" spans="1:16" s="304" customFormat="1" ht="18">
      <c r="A84" s="818"/>
      <c r="B84" s="819"/>
      <c r="C84" s="819"/>
      <c r="D84" s="820"/>
      <c r="E84" s="820"/>
      <c r="F84" s="820"/>
      <c r="G84" s="820"/>
      <c r="H84" s="820"/>
      <c r="I84" s="820"/>
      <c r="J84" s="820"/>
      <c r="K84" s="820"/>
      <c r="L84" s="820"/>
      <c r="M84" s="821"/>
      <c r="N84" s="821"/>
      <c r="O84" s="821"/>
      <c r="P84" s="822"/>
    </row>
    <row r="85" spans="1:16" s="304" customFormat="1" ht="18">
      <c r="A85" s="802" t="s">
        <v>343</v>
      </c>
      <c r="B85" s="803"/>
      <c r="C85" s="803"/>
      <c r="D85" s="803"/>
      <c r="E85" s="803"/>
      <c r="F85" s="803"/>
      <c r="G85" s="803"/>
      <c r="H85" s="803"/>
      <c r="I85" s="803"/>
      <c r="J85" s="803"/>
      <c r="K85" s="803"/>
      <c r="L85" s="803"/>
      <c r="M85" s="804"/>
      <c r="N85" s="804"/>
      <c r="O85" s="804">
        <f>SUM(O81:P84)</f>
        <v>0</v>
      </c>
      <c r="P85" s="805"/>
    </row>
    <row r="86" spans="1:16" s="304" customFormat="1">
      <c r="A86" s="767" t="s">
        <v>296</v>
      </c>
      <c r="B86" s="768"/>
      <c r="C86" s="768"/>
      <c r="D86" s="768"/>
      <c r="E86" s="768"/>
      <c r="F86" s="768"/>
      <c r="G86" s="768"/>
      <c r="H86" s="768"/>
      <c r="I86" s="768"/>
      <c r="J86" s="768"/>
      <c r="K86" s="768"/>
      <c r="L86" s="768"/>
      <c r="M86" s="768"/>
      <c r="N86" s="768"/>
      <c r="O86" s="768"/>
      <c r="P86" s="769"/>
    </row>
    <row r="87" spans="1:16" s="304" customFormat="1">
      <c r="A87" s="770"/>
      <c r="B87" s="771"/>
      <c r="C87" s="771"/>
      <c r="D87" s="771"/>
      <c r="E87" s="771"/>
      <c r="F87" s="771"/>
      <c r="G87" s="771"/>
      <c r="H87" s="771"/>
      <c r="I87" s="771"/>
      <c r="J87" s="771"/>
      <c r="K87" s="771"/>
      <c r="L87" s="771"/>
      <c r="M87" s="771"/>
      <c r="N87" s="771"/>
      <c r="O87" s="771"/>
      <c r="P87" s="772"/>
    </row>
    <row r="88" spans="1:16" s="304" customFormat="1">
      <c r="A88" s="773"/>
      <c r="B88" s="774"/>
      <c r="C88" s="774"/>
      <c r="D88" s="774"/>
      <c r="E88" s="774"/>
      <c r="F88" s="774"/>
      <c r="G88" s="774"/>
      <c r="H88" s="774"/>
      <c r="I88" s="774"/>
      <c r="J88" s="774"/>
      <c r="K88" s="774"/>
      <c r="L88" s="774"/>
      <c r="M88" s="774"/>
      <c r="N88" s="774"/>
      <c r="O88" s="774"/>
      <c r="P88" s="775"/>
    </row>
    <row r="89" spans="1:16" s="304" customFormat="1" ht="18">
      <c r="A89" s="374" t="s">
        <v>368</v>
      </c>
      <c r="B89" s="375"/>
      <c r="C89" s="375"/>
      <c r="D89" s="375"/>
      <c r="E89" s="375"/>
      <c r="F89" s="375"/>
      <c r="G89" s="375"/>
      <c r="H89" s="375"/>
      <c r="I89" s="375"/>
      <c r="J89" s="375"/>
      <c r="K89" s="375"/>
      <c r="L89" s="375"/>
      <c r="M89" s="375"/>
      <c r="N89" s="375"/>
      <c r="O89" s="375"/>
      <c r="P89" s="396"/>
    </row>
    <row r="90" spans="1:16" s="304" customFormat="1" ht="18">
      <c r="A90" s="331" t="s">
        <v>369</v>
      </c>
      <c r="B90" s="332"/>
      <c r="C90" s="332"/>
      <c r="D90" s="332"/>
      <c r="E90" s="332"/>
      <c r="F90" s="806" t="s">
        <v>106</v>
      </c>
      <c r="G90" s="807"/>
      <c r="H90" s="340" t="s">
        <v>370</v>
      </c>
      <c r="I90" s="332"/>
      <c r="J90" s="332"/>
      <c r="K90" s="332"/>
      <c r="L90" s="332"/>
      <c r="M90" s="332"/>
      <c r="N90" s="332"/>
      <c r="O90" s="806" t="s">
        <v>106</v>
      </c>
      <c r="P90" s="808"/>
    </row>
    <row r="91" spans="1:16" s="304" customFormat="1" ht="18">
      <c r="A91" s="376" t="s">
        <v>326</v>
      </c>
      <c r="B91" s="377"/>
      <c r="C91" s="377"/>
      <c r="D91" s="378"/>
      <c r="E91" s="378"/>
      <c r="F91" s="809">
        <f>F39</f>
        <v>0</v>
      </c>
      <c r="G91" s="810"/>
      <c r="H91" s="379" t="s">
        <v>371</v>
      </c>
      <c r="I91" s="377"/>
      <c r="J91" s="377"/>
      <c r="K91" s="811"/>
      <c r="L91" s="811"/>
      <c r="M91" s="811"/>
      <c r="N91" s="811"/>
      <c r="O91" s="809">
        <f>SUM(M42:N45)</f>
        <v>0</v>
      </c>
      <c r="P91" s="812"/>
    </row>
    <row r="92" spans="1:16" s="304" customFormat="1" ht="18">
      <c r="A92" s="376" t="s">
        <v>372</v>
      </c>
      <c r="B92" s="380"/>
      <c r="C92" s="380"/>
      <c r="D92" s="378"/>
      <c r="E92" s="378"/>
      <c r="F92" s="776">
        <f>O39</f>
        <v>0</v>
      </c>
      <c r="G92" s="777"/>
      <c r="H92" s="381" t="s">
        <v>373</v>
      </c>
      <c r="I92" s="380"/>
      <c r="J92" s="380"/>
      <c r="K92" s="397"/>
      <c r="L92" s="397"/>
      <c r="M92" s="397"/>
      <c r="N92" s="397"/>
      <c r="O92" s="776">
        <f>O54</f>
        <v>0</v>
      </c>
      <c r="P92" s="795"/>
    </row>
    <row r="93" spans="1:16" s="304" customFormat="1" ht="18">
      <c r="A93" s="382" t="s">
        <v>374</v>
      </c>
      <c r="B93" s="383"/>
      <c r="C93" s="380"/>
      <c r="D93" s="378"/>
      <c r="E93" s="378"/>
      <c r="F93" s="776">
        <f>F46</f>
        <v>0</v>
      </c>
      <c r="G93" s="777"/>
      <c r="H93" s="381" t="s">
        <v>375</v>
      </c>
      <c r="I93" s="380"/>
      <c r="J93" s="380"/>
      <c r="K93" s="794"/>
      <c r="L93" s="794"/>
      <c r="M93" s="794"/>
      <c r="N93" s="794"/>
      <c r="O93" s="776">
        <f>O77</f>
        <v>0</v>
      </c>
      <c r="P93" s="795"/>
    </row>
    <row r="94" spans="1:16" s="304" customFormat="1" ht="18">
      <c r="A94" s="384" t="s">
        <v>334</v>
      </c>
      <c r="B94" s="380"/>
      <c r="C94" s="380"/>
      <c r="D94" s="378"/>
      <c r="E94" s="378"/>
      <c r="F94" s="776">
        <f>O46</f>
        <v>0</v>
      </c>
      <c r="G94" s="777"/>
      <c r="H94" s="796"/>
      <c r="I94" s="797"/>
      <c r="J94" s="797"/>
      <c r="K94" s="797"/>
      <c r="L94" s="797"/>
      <c r="M94" s="797"/>
      <c r="N94" s="797"/>
      <c r="O94" s="797"/>
      <c r="P94" s="798"/>
    </row>
    <row r="95" spans="1:16" s="304" customFormat="1" ht="18">
      <c r="A95" s="384" t="s">
        <v>345</v>
      </c>
      <c r="B95" s="380"/>
      <c r="C95" s="380"/>
      <c r="D95" s="378"/>
      <c r="E95" s="378"/>
      <c r="F95" s="776">
        <f>F54</f>
        <v>0</v>
      </c>
      <c r="G95" s="777"/>
      <c r="H95" s="799"/>
      <c r="I95" s="800"/>
      <c r="J95" s="800"/>
      <c r="K95" s="800"/>
      <c r="L95" s="800"/>
      <c r="M95" s="800"/>
      <c r="N95" s="800"/>
      <c r="O95" s="800"/>
      <c r="P95" s="801"/>
    </row>
    <row r="96" spans="1:16" s="304" customFormat="1" ht="18">
      <c r="A96" s="376" t="s">
        <v>376</v>
      </c>
      <c r="B96" s="377"/>
      <c r="C96" s="377"/>
      <c r="D96" s="378"/>
      <c r="E96" s="378"/>
      <c r="F96" s="776">
        <f>O76</f>
        <v>0</v>
      </c>
      <c r="G96" s="777"/>
      <c r="H96" s="799"/>
      <c r="I96" s="800"/>
      <c r="J96" s="800"/>
      <c r="K96" s="800"/>
      <c r="L96" s="800"/>
      <c r="M96" s="800"/>
      <c r="N96" s="800"/>
      <c r="O96" s="800"/>
      <c r="P96" s="801"/>
    </row>
    <row r="97" spans="1:16" s="304" customFormat="1" ht="18">
      <c r="A97" s="376" t="s">
        <v>362</v>
      </c>
      <c r="B97" s="377"/>
      <c r="C97" s="377"/>
      <c r="D97" s="378"/>
      <c r="E97" s="378"/>
      <c r="F97" s="776">
        <f>O85</f>
        <v>0</v>
      </c>
      <c r="G97" s="777"/>
      <c r="H97" s="778"/>
      <c r="I97" s="779"/>
      <c r="J97" s="779"/>
      <c r="K97" s="779"/>
      <c r="L97" s="779"/>
      <c r="M97" s="779"/>
      <c r="N97" s="779"/>
      <c r="O97" s="779"/>
      <c r="P97" s="780"/>
    </row>
    <row r="98" spans="1:16" s="304" customFormat="1" ht="18">
      <c r="A98" s="781" t="s">
        <v>377</v>
      </c>
      <c r="B98" s="782"/>
      <c r="C98" s="782"/>
      <c r="D98" s="782"/>
      <c r="E98" s="782"/>
      <c r="F98" s="783">
        <f>SUM(F91:G97)</f>
        <v>0</v>
      </c>
      <c r="G98" s="784"/>
      <c r="H98" s="785" t="s">
        <v>378</v>
      </c>
      <c r="I98" s="782"/>
      <c r="J98" s="782"/>
      <c r="K98" s="782"/>
      <c r="L98" s="782"/>
      <c r="M98" s="782"/>
      <c r="N98" s="782"/>
      <c r="O98" s="783">
        <f>SUM(O91:P93)</f>
        <v>0</v>
      </c>
      <c r="P98" s="786"/>
    </row>
    <row r="99" spans="1:16" s="304" customFormat="1" ht="21">
      <c r="A99" s="787"/>
      <c r="B99" s="788"/>
      <c r="C99" s="788"/>
      <c r="D99" s="788"/>
      <c r="E99" s="788"/>
      <c r="F99" s="788"/>
      <c r="G99" s="789"/>
      <c r="H99" s="790" t="s">
        <v>379</v>
      </c>
      <c r="I99" s="791"/>
      <c r="J99" s="791"/>
      <c r="K99" s="791"/>
      <c r="L99" s="791"/>
      <c r="M99" s="791"/>
      <c r="N99" s="791"/>
      <c r="O99" s="792">
        <f>F98-O98</f>
        <v>0</v>
      </c>
      <c r="P99" s="793"/>
    </row>
    <row r="100" spans="1:16" s="304" customFormat="1" ht="18">
      <c r="A100" s="385" t="s">
        <v>380</v>
      </c>
      <c r="B100" s="386"/>
      <c r="C100" s="386"/>
      <c r="D100" s="386"/>
      <c r="E100" s="386"/>
      <c r="F100" s="386"/>
      <c r="G100" s="386"/>
      <c r="H100" s="387"/>
      <c r="I100" s="387"/>
      <c r="J100" s="387"/>
      <c r="K100" s="387"/>
      <c r="L100" s="387"/>
      <c r="M100" s="387"/>
      <c r="N100" s="387"/>
      <c r="O100" s="387"/>
      <c r="P100" s="398"/>
    </row>
    <row r="101" spans="1:16" s="304" customFormat="1">
      <c r="A101" s="759" t="s">
        <v>381</v>
      </c>
      <c r="B101" s="760"/>
      <c r="C101" s="760"/>
      <c r="D101" s="760"/>
      <c r="E101" s="760"/>
      <c r="F101" s="760"/>
      <c r="G101" s="760"/>
      <c r="H101" s="760"/>
      <c r="I101" s="760"/>
      <c r="J101" s="760"/>
      <c r="K101" s="760"/>
      <c r="L101" s="760"/>
      <c r="M101" s="760"/>
      <c r="N101" s="760"/>
      <c r="O101" s="760"/>
      <c r="P101" s="761"/>
    </row>
    <row r="102" spans="1:16" s="304" customFormat="1">
      <c r="A102" s="762"/>
      <c r="B102" s="763"/>
      <c r="C102" s="763"/>
      <c r="D102" s="763"/>
      <c r="E102" s="763"/>
      <c r="F102" s="763"/>
      <c r="G102" s="763"/>
      <c r="H102" s="763"/>
      <c r="I102" s="763"/>
      <c r="J102" s="763"/>
      <c r="K102" s="763"/>
      <c r="L102" s="763"/>
      <c r="M102" s="763"/>
      <c r="N102" s="763"/>
      <c r="O102" s="763"/>
      <c r="P102" s="764"/>
    </row>
    <row r="103" spans="1:16" s="304" customFormat="1">
      <c r="A103" s="762"/>
      <c r="B103" s="763"/>
      <c r="C103" s="763"/>
      <c r="D103" s="763"/>
      <c r="E103" s="763"/>
      <c r="F103" s="763"/>
      <c r="G103" s="763"/>
      <c r="H103" s="763"/>
      <c r="I103" s="763"/>
      <c r="J103" s="763"/>
      <c r="K103" s="763"/>
      <c r="L103" s="763"/>
      <c r="M103" s="763"/>
      <c r="N103" s="763"/>
      <c r="O103" s="763"/>
      <c r="P103" s="764"/>
    </row>
    <row r="104" spans="1:16" s="304" customFormat="1">
      <c r="A104" s="762"/>
      <c r="B104" s="763"/>
      <c r="C104" s="763"/>
      <c r="D104" s="763"/>
      <c r="E104" s="763"/>
      <c r="F104" s="763"/>
      <c r="G104" s="763"/>
      <c r="H104" s="763"/>
      <c r="I104" s="763"/>
      <c r="J104" s="763"/>
      <c r="K104" s="763"/>
      <c r="L104" s="763"/>
      <c r="M104" s="763"/>
      <c r="N104" s="763"/>
      <c r="O104" s="763"/>
      <c r="P104" s="764"/>
    </row>
    <row r="105" spans="1:16" s="304" customFormat="1">
      <c r="A105" s="762"/>
      <c r="B105" s="763"/>
      <c r="C105" s="763"/>
      <c r="D105" s="763"/>
      <c r="E105" s="763"/>
      <c r="F105" s="763"/>
      <c r="G105" s="763"/>
      <c r="H105" s="763"/>
      <c r="I105" s="763"/>
      <c r="J105" s="763"/>
      <c r="K105" s="763"/>
      <c r="L105" s="763"/>
      <c r="M105" s="763"/>
      <c r="N105" s="763"/>
      <c r="O105" s="763"/>
      <c r="P105" s="764"/>
    </row>
    <row r="106" spans="1:16" s="304" customFormat="1">
      <c r="A106" s="762"/>
      <c r="B106" s="763"/>
      <c r="C106" s="763"/>
      <c r="D106" s="763"/>
      <c r="E106" s="763"/>
      <c r="F106" s="763"/>
      <c r="G106" s="763"/>
      <c r="H106" s="763"/>
      <c r="I106" s="763"/>
      <c r="J106" s="763"/>
      <c r="K106" s="763"/>
      <c r="L106" s="763"/>
      <c r="M106" s="763"/>
      <c r="N106" s="763"/>
      <c r="O106" s="763"/>
      <c r="P106" s="764"/>
    </row>
    <row r="107" spans="1:16" s="304" customFormat="1" ht="18">
      <c r="A107" s="388"/>
      <c r="B107" s="389"/>
      <c r="C107" s="389"/>
      <c r="D107" s="389"/>
      <c r="E107" s="389"/>
      <c r="F107" s="389"/>
      <c r="G107" s="389"/>
      <c r="H107" s="389"/>
      <c r="I107" s="389"/>
      <c r="J107" s="389"/>
      <c r="K107" s="389"/>
      <c r="L107" s="389"/>
      <c r="M107" s="389"/>
      <c r="N107" s="389"/>
      <c r="O107" s="389"/>
      <c r="P107" s="399"/>
    </row>
    <row r="108" spans="1:16" s="304" customFormat="1" ht="18">
      <c r="A108" s="388"/>
      <c r="B108" s="765"/>
      <c r="C108" s="765"/>
      <c r="D108" s="765"/>
      <c r="E108" s="765"/>
      <c r="F108" s="389"/>
      <c r="G108" s="389"/>
      <c r="H108" s="389"/>
      <c r="I108" s="389"/>
      <c r="J108" s="389"/>
      <c r="K108" s="389"/>
      <c r="L108" s="389"/>
      <c r="M108" s="389"/>
      <c r="N108" s="389"/>
      <c r="O108" s="389"/>
      <c r="P108" s="399"/>
    </row>
    <row r="109" spans="1:16" s="304" customFormat="1" ht="18">
      <c r="A109" s="390" t="s">
        <v>382</v>
      </c>
      <c r="B109" s="766"/>
      <c r="C109" s="766"/>
      <c r="D109" s="766"/>
      <c r="E109" s="766"/>
      <c r="F109" s="391"/>
      <c r="G109" s="391"/>
      <c r="H109" s="391" t="s">
        <v>383</v>
      </c>
      <c r="I109" s="743"/>
      <c r="J109" s="743"/>
      <c r="K109" s="391"/>
      <c r="L109" s="391"/>
      <c r="M109" s="391"/>
      <c r="N109" s="391"/>
      <c r="O109" s="391"/>
      <c r="P109" s="400"/>
    </row>
    <row r="110" spans="1:16" s="304" customFormat="1" ht="18">
      <c r="A110" s="390"/>
      <c r="B110" s="391"/>
      <c r="C110" s="392"/>
      <c r="D110" s="391"/>
      <c r="E110" s="391"/>
      <c r="F110" s="391"/>
      <c r="G110" s="391"/>
      <c r="H110" s="391"/>
      <c r="I110" s="391"/>
      <c r="J110" s="391"/>
      <c r="K110" s="391"/>
      <c r="L110" s="391"/>
      <c r="M110" s="391"/>
      <c r="N110" s="391"/>
      <c r="O110" s="391"/>
      <c r="P110" s="400"/>
    </row>
    <row r="111" spans="1:16" s="304" customFormat="1" ht="18">
      <c r="A111" s="385" t="s">
        <v>384</v>
      </c>
      <c r="B111" s="386"/>
      <c r="C111" s="386"/>
      <c r="D111" s="386"/>
      <c r="E111" s="386"/>
      <c r="F111" s="386"/>
      <c r="G111" s="386"/>
      <c r="H111" s="386"/>
      <c r="I111" s="386"/>
      <c r="J111" s="386"/>
      <c r="K111" s="386"/>
      <c r="L111" s="386"/>
      <c r="M111" s="386"/>
      <c r="N111" s="386"/>
      <c r="O111" s="386"/>
      <c r="P111" s="401"/>
    </row>
    <row r="112" spans="1:16" s="304" customFormat="1">
      <c r="A112" s="744" t="s">
        <v>385</v>
      </c>
      <c r="B112" s="745"/>
      <c r="C112" s="745"/>
      <c r="D112" s="745"/>
      <c r="E112" s="745"/>
      <c r="F112" s="745"/>
      <c r="G112" s="746"/>
      <c r="H112" s="753" t="s">
        <v>386</v>
      </c>
      <c r="I112" s="745"/>
      <c r="J112" s="745"/>
      <c r="K112" s="745"/>
      <c r="L112" s="745"/>
      <c r="M112" s="745"/>
      <c r="N112" s="745"/>
      <c r="O112" s="745"/>
      <c r="P112" s="754"/>
    </row>
    <row r="113" spans="1:16" s="304" customFormat="1">
      <c r="A113" s="747"/>
      <c r="B113" s="748"/>
      <c r="C113" s="748"/>
      <c r="D113" s="748"/>
      <c r="E113" s="748"/>
      <c r="F113" s="748"/>
      <c r="G113" s="749"/>
      <c r="H113" s="755"/>
      <c r="I113" s="748"/>
      <c r="J113" s="748"/>
      <c r="K113" s="748"/>
      <c r="L113" s="748"/>
      <c r="M113" s="748"/>
      <c r="N113" s="748"/>
      <c r="O113" s="748"/>
      <c r="P113" s="756"/>
    </row>
    <row r="114" spans="1:16" s="304" customFormat="1">
      <c r="A114" s="747"/>
      <c r="B114" s="748"/>
      <c r="C114" s="748"/>
      <c r="D114" s="748"/>
      <c r="E114" s="748"/>
      <c r="F114" s="748"/>
      <c r="G114" s="749"/>
      <c r="H114" s="755"/>
      <c r="I114" s="748"/>
      <c r="J114" s="748"/>
      <c r="K114" s="748"/>
      <c r="L114" s="748"/>
      <c r="M114" s="748"/>
      <c r="N114" s="748"/>
      <c r="O114" s="748"/>
      <c r="P114" s="756"/>
    </row>
    <row r="115" spans="1:16" s="304" customFormat="1">
      <c r="A115" s="747"/>
      <c r="B115" s="748"/>
      <c r="C115" s="748"/>
      <c r="D115" s="748"/>
      <c r="E115" s="748"/>
      <c r="F115" s="748"/>
      <c r="G115" s="749"/>
      <c r="H115" s="755"/>
      <c r="I115" s="748"/>
      <c r="J115" s="748"/>
      <c r="K115" s="748"/>
      <c r="L115" s="748"/>
      <c r="M115" s="748"/>
      <c r="N115" s="748"/>
      <c r="O115" s="748"/>
      <c r="P115" s="756"/>
    </row>
    <row r="116" spans="1:16" s="304" customFormat="1">
      <c r="A116" s="747"/>
      <c r="B116" s="748"/>
      <c r="C116" s="748"/>
      <c r="D116" s="748"/>
      <c r="E116" s="748"/>
      <c r="F116" s="748"/>
      <c r="G116" s="749"/>
      <c r="H116" s="755"/>
      <c r="I116" s="748"/>
      <c r="J116" s="748"/>
      <c r="K116" s="748"/>
      <c r="L116" s="748"/>
      <c r="M116" s="748"/>
      <c r="N116" s="748"/>
      <c r="O116" s="748"/>
      <c r="P116" s="756"/>
    </row>
    <row r="117" spans="1:16" s="304" customFormat="1">
      <c r="A117" s="747"/>
      <c r="B117" s="748"/>
      <c r="C117" s="748"/>
      <c r="D117" s="748"/>
      <c r="E117" s="748"/>
      <c r="F117" s="748"/>
      <c r="G117" s="749"/>
      <c r="H117" s="755"/>
      <c r="I117" s="748"/>
      <c r="J117" s="748"/>
      <c r="K117" s="748"/>
      <c r="L117" s="748"/>
      <c r="M117" s="748"/>
      <c r="N117" s="748"/>
      <c r="O117" s="748"/>
      <c r="P117" s="756"/>
    </row>
    <row r="118" spans="1:16" s="304" customFormat="1">
      <c r="A118" s="747"/>
      <c r="B118" s="748"/>
      <c r="C118" s="748"/>
      <c r="D118" s="748"/>
      <c r="E118" s="748"/>
      <c r="F118" s="748"/>
      <c r="G118" s="749"/>
      <c r="H118" s="755"/>
      <c r="I118" s="748"/>
      <c r="J118" s="748"/>
      <c r="K118" s="748"/>
      <c r="L118" s="748"/>
      <c r="M118" s="748"/>
      <c r="N118" s="748"/>
      <c r="O118" s="748"/>
      <c r="P118" s="756"/>
    </row>
    <row r="119" spans="1:16" s="304" customFormat="1">
      <c r="A119" s="747"/>
      <c r="B119" s="748"/>
      <c r="C119" s="748"/>
      <c r="D119" s="748"/>
      <c r="E119" s="748"/>
      <c r="F119" s="748"/>
      <c r="G119" s="749"/>
      <c r="H119" s="755"/>
      <c r="I119" s="748"/>
      <c r="J119" s="748"/>
      <c r="K119" s="748"/>
      <c r="L119" s="748"/>
      <c r="M119" s="748"/>
      <c r="N119" s="748"/>
      <c r="O119" s="748"/>
      <c r="P119" s="756"/>
    </row>
    <row r="120" spans="1:16" s="304" customFormat="1">
      <c r="A120" s="747"/>
      <c r="B120" s="748"/>
      <c r="C120" s="748"/>
      <c r="D120" s="748"/>
      <c r="E120" s="748"/>
      <c r="F120" s="748"/>
      <c r="G120" s="749"/>
      <c r="H120" s="755"/>
      <c r="I120" s="748"/>
      <c r="J120" s="748"/>
      <c r="K120" s="748"/>
      <c r="L120" s="748"/>
      <c r="M120" s="748"/>
      <c r="N120" s="748"/>
      <c r="O120" s="748"/>
      <c r="P120" s="756"/>
    </row>
    <row r="121" spans="1:16" s="304" customFormat="1">
      <c r="A121" s="747"/>
      <c r="B121" s="748"/>
      <c r="C121" s="748"/>
      <c r="D121" s="748"/>
      <c r="E121" s="748"/>
      <c r="F121" s="748"/>
      <c r="G121" s="749"/>
      <c r="H121" s="755"/>
      <c r="I121" s="748"/>
      <c r="J121" s="748"/>
      <c r="K121" s="748"/>
      <c r="L121" s="748"/>
      <c r="M121" s="748"/>
      <c r="N121" s="748"/>
      <c r="O121" s="748"/>
      <c r="P121" s="756"/>
    </row>
    <row r="122" spans="1:16" s="304" customFormat="1">
      <c r="A122" s="747"/>
      <c r="B122" s="748"/>
      <c r="C122" s="748"/>
      <c r="D122" s="748"/>
      <c r="E122" s="748"/>
      <c r="F122" s="748"/>
      <c r="G122" s="749"/>
      <c r="H122" s="755"/>
      <c r="I122" s="748"/>
      <c r="J122" s="748"/>
      <c r="K122" s="748"/>
      <c r="L122" s="748"/>
      <c r="M122" s="748"/>
      <c r="N122" s="748"/>
      <c r="O122" s="748"/>
      <c r="P122" s="756"/>
    </row>
    <row r="123" spans="1:16" s="304" customFormat="1">
      <c r="A123" s="747"/>
      <c r="B123" s="748"/>
      <c r="C123" s="748"/>
      <c r="D123" s="748"/>
      <c r="E123" s="748"/>
      <c r="F123" s="748"/>
      <c r="G123" s="749"/>
      <c r="H123" s="755"/>
      <c r="I123" s="748"/>
      <c r="J123" s="748"/>
      <c r="K123" s="748"/>
      <c r="L123" s="748"/>
      <c r="M123" s="748"/>
      <c r="N123" s="748"/>
      <c r="O123" s="748"/>
      <c r="P123" s="756"/>
    </row>
    <row r="124" spans="1:16" s="304" customFormat="1">
      <c r="A124" s="747"/>
      <c r="B124" s="748"/>
      <c r="C124" s="748"/>
      <c r="D124" s="748"/>
      <c r="E124" s="748"/>
      <c r="F124" s="748"/>
      <c r="G124" s="749"/>
      <c r="H124" s="755"/>
      <c r="I124" s="748"/>
      <c r="J124" s="748"/>
      <c r="K124" s="748"/>
      <c r="L124" s="748"/>
      <c r="M124" s="748"/>
      <c r="N124" s="748"/>
      <c r="O124" s="748"/>
      <c r="P124" s="756"/>
    </row>
    <row r="125" spans="1:16" s="304" customFormat="1">
      <c r="A125" s="747"/>
      <c r="B125" s="748"/>
      <c r="C125" s="748"/>
      <c r="D125" s="748"/>
      <c r="E125" s="748"/>
      <c r="F125" s="748"/>
      <c r="G125" s="749"/>
      <c r="H125" s="755"/>
      <c r="I125" s="748"/>
      <c r="J125" s="748"/>
      <c r="K125" s="748"/>
      <c r="L125" s="748"/>
      <c r="M125" s="748"/>
      <c r="N125" s="748"/>
      <c r="O125" s="748"/>
      <c r="P125" s="756"/>
    </row>
    <row r="126" spans="1:16" s="304" customFormat="1">
      <c r="A126" s="747"/>
      <c r="B126" s="748"/>
      <c r="C126" s="748"/>
      <c r="D126" s="748"/>
      <c r="E126" s="748"/>
      <c r="F126" s="748"/>
      <c r="G126" s="749"/>
      <c r="H126" s="755"/>
      <c r="I126" s="748"/>
      <c r="J126" s="748"/>
      <c r="K126" s="748"/>
      <c r="L126" s="748"/>
      <c r="M126" s="748"/>
      <c r="N126" s="748"/>
      <c r="O126" s="748"/>
      <c r="P126" s="756"/>
    </row>
    <row r="127" spans="1:16" s="304" customFormat="1">
      <c r="A127" s="747"/>
      <c r="B127" s="748"/>
      <c r="C127" s="748"/>
      <c r="D127" s="748"/>
      <c r="E127" s="748"/>
      <c r="F127" s="748"/>
      <c r="G127" s="749"/>
      <c r="H127" s="755"/>
      <c r="I127" s="748"/>
      <c r="J127" s="748"/>
      <c r="K127" s="748"/>
      <c r="L127" s="748"/>
      <c r="M127" s="748"/>
      <c r="N127" s="748"/>
      <c r="O127" s="748"/>
      <c r="P127" s="756"/>
    </row>
    <row r="128" spans="1:16" s="304" customFormat="1">
      <c r="A128" s="747"/>
      <c r="B128" s="748"/>
      <c r="C128" s="748"/>
      <c r="D128" s="748"/>
      <c r="E128" s="748"/>
      <c r="F128" s="748"/>
      <c r="G128" s="749"/>
      <c r="H128" s="755"/>
      <c r="I128" s="748"/>
      <c r="J128" s="748"/>
      <c r="K128" s="748"/>
      <c r="L128" s="748"/>
      <c r="M128" s="748"/>
      <c r="N128" s="748"/>
      <c r="O128" s="748"/>
      <c r="P128" s="756"/>
    </row>
    <row r="129" spans="1:16" s="304" customFormat="1">
      <c r="A129" s="747"/>
      <c r="B129" s="748"/>
      <c r="C129" s="748"/>
      <c r="D129" s="748"/>
      <c r="E129" s="748"/>
      <c r="F129" s="748"/>
      <c r="G129" s="749"/>
      <c r="H129" s="755"/>
      <c r="I129" s="748"/>
      <c r="J129" s="748"/>
      <c r="K129" s="748"/>
      <c r="L129" s="748"/>
      <c r="M129" s="748"/>
      <c r="N129" s="748"/>
      <c r="O129" s="748"/>
      <c r="P129" s="756"/>
    </row>
    <row r="130" spans="1:16" s="304" customFormat="1">
      <c r="A130" s="747"/>
      <c r="B130" s="748"/>
      <c r="C130" s="748"/>
      <c r="D130" s="748"/>
      <c r="E130" s="748"/>
      <c r="F130" s="748"/>
      <c r="G130" s="749"/>
      <c r="H130" s="755"/>
      <c r="I130" s="748"/>
      <c r="J130" s="748"/>
      <c r="K130" s="748"/>
      <c r="L130" s="748"/>
      <c r="M130" s="748"/>
      <c r="N130" s="748"/>
      <c r="O130" s="748"/>
      <c r="P130" s="756"/>
    </row>
    <row r="131" spans="1:16" s="304" customFormat="1">
      <c r="A131" s="747"/>
      <c r="B131" s="748"/>
      <c r="C131" s="748"/>
      <c r="D131" s="748"/>
      <c r="E131" s="748"/>
      <c r="F131" s="748"/>
      <c r="G131" s="749"/>
      <c r="H131" s="755"/>
      <c r="I131" s="748"/>
      <c r="J131" s="748"/>
      <c r="K131" s="748"/>
      <c r="L131" s="748"/>
      <c r="M131" s="748"/>
      <c r="N131" s="748"/>
      <c r="O131" s="748"/>
      <c r="P131" s="756"/>
    </row>
    <row r="132" spans="1:16" s="304" customFormat="1">
      <c r="A132" s="747"/>
      <c r="B132" s="748"/>
      <c r="C132" s="748"/>
      <c r="D132" s="748"/>
      <c r="E132" s="748"/>
      <c r="F132" s="748"/>
      <c r="G132" s="749"/>
      <c r="H132" s="755"/>
      <c r="I132" s="748"/>
      <c r="J132" s="748"/>
      <c r="K132" s="748"/>
      <c r="L132" s="748"/>
      <c r="M132" s="748"/>
      <c r="N132" s="748"/>
      <c r="O132" s="748"/>
      <c r="P132" s="756"/>
    </row>
    <row r="133" spans="1:16" s="304" customFormat="1">
      <c r="A133" s="750"/>
      <c r="B133" s="751"/>
      <c r="C133" s="751"/>
      <c r="D133" s="751"/>
      <c r="E133" s="751"/>
      <c r="F133" s="751"/>
      <c r="G133" s="752"/>
      <c r="H133" s="757"/>
      <c r="I133" s="751"/>
      <c r="J133" s="751"/>
      <c r="K133" s="751"/>
      <c r="L133" s="751"/>
      <c r="M133" s="751"/>
      <c r="N133" s="751"/>
      <c r="O133" s="751"/>
      <c r="P133" s="758"/>
    </row>
  </sheetData>
  <mergeCells count="305">
    <mergeCell ref="A16:C16"/>
    <mergeCell ref="I16:J16"/>
    <mergeCell ref="K16:L16"/>
    <mergeCell ref="M16:N16"/>
    <mergeCell ref="O16:P16"/>
    <mergeCell ref="A17:C17"/>
    <mergeCell ref="D17:H17"/>
    <mergeCell ref="I17:J17"/>
    <mergeCell ref="K17:L17"/>
    <mergeCell ref="M17:N17"/>
    <mergeCell ref="O17:P17"/>
    <mergeCell ref="A18:C18"/>
    <mergeCell ref="D18:I18"/>
    <mergeCell ref="J18:K18"/>
    <mergeCell ref="L18:M18"/>
    <mergeCell ref="N18:O18"/>
    <mergeCell ref="A19:C19"/>
    <mergeCell ref="D19:I19"/>
    <mergeCell ref="J19:K19"/>
    <mergeCell ref="L19:M19"/>
    <mergeCell ref="N19:O19"/>
    <mergeCell ref="A20:C20"/>
    <mergeCell ref="D20:E20"/>
    <mergeCell ref="O20:P20"/>
    <mergeCell ref="A21:C21"/>
    <mergeCell ref="D21:E21"/>
    <mergeCell ref="F21:G21"/>
    <mergeCell ref="H21:J21"/>
    <mergeCell ref="K21:P21"/>
    <mergeCell ref="A22:C22"/>
    <mergeCell ref="D22:I22"/>
    <mergeCell ref="J22:K22"/>
    <mergeCell ref="L22:M22"/>
    <mergeCell ref="N22:O22"/>
    <mergeCell ref="A23:C23"/>
    <mergeCell ref="D23:I23"/>
    <mergeCell ref="J23:K23"/>
    <mergeCell ref="L23:M23"/>
    <mergeCell ref="N23:O23"/>
    <mergeCell ref="M24:N24"/>
    <mergeCell ref="A25:C25"/>
    <mergeCell ref="D25:I25"/>
    <mergeCell ref="J25:L25"/>
    <mergeCell ref="M25:N25"/>
    <mergeCell ref="O25:P25"/>
    <mergeCell ref="M26:N26"/>
    <mergeCell ref="A27:C27"/>
    <mergeCell ref="D27:I27"/>
    <mergeCell ref="J27:L27"/>
    <mergeCell ref="M27:N27"/>
    <mergeCell ref="O27:P27"/>
    <mergeCell ref="F29:P29"/>
    <mergeCell ref="F30:P30"/>
    <mergeCell ref="F31:P31"/>
    <mergeCell ref="F32:P32"/>
    <mergeCell ref="F34:G34"/>
    <mergeCell ref="H34:J34"/>
    <mergeCell ref="O34:P34"/>
    <mergeCell ref="A35:C35"/>
    <mergeCell ref="D35:E35"/>
    <mergeCell ref="F35:G35"/>
    <mergeCell ref="H35:J35"/>
    <mergeCell ref="K35:M35"/>
    <mergeCell ref="O35:P35"/>
    <mergeCell ref="A36:C36"/>
    <mergeCell ref="D36:E36"/>
    <mergeCell ref="F36:G36"/>
    <mergeCell ref="H36:J36"/>
    <mergeCell ref="K36:M36"/>
    <mergeCell ref="O36:P36"/>
    <mergeCell ref="A37:C37"/>
    <mergeCell ref="D37:E37"/>
    <mergeCell ref="F37:G37"/>
    <mergeCell ref="H37:J37"/>
    <mergeCell ref="K37:M37"/>
    <mergeCell ref="O37:P37"/>
    <mergeCell ref="A38:C38"/>
    <mergeCell ref="D38:E38"/>
    <mergeCell ref="F38:G38"/>
    <mergeCell ref="H38:J38"/>
    <mergeCell ref="K38:M38"/>
    <mergeCell ref="O38:P38"/>
    <mergeCell ref="A39:E39"/>
    <mergeCell ref="F39:G39"/>
    <mergeCell ref="H39:N39"/>
    <mergeCell ref="O39:P39"/>
    <mergeCell ref="F41:G41"/>
    <mergeCell ref="H41:I41"/>
    <mergeCell ref="J41:K41"/>
    <mergeCell ref="M41:N41"/>
    <mergeCell ref="O41:P41"/>
    <mergeCell ref="A42:C42"/>
    <mergeCell ref="F42:G42"/>
    <mergeCell ref="H42:I42"/>
    <mergeCell ref="J42:K42"/>
    <mergeCell ref="M42:N42"/>
    <mergeCell ref="O42:P42"/>
    <mergeCell ref="A43:C43"/>
    <mergeCell ref="F43:G43"/>
    <mergeCell ref="H43:I43"/>
    <mergeCell ref="J43:K43"/>
    <mergeCell ref="M43:N43"/>
    <mergeCell ref="O43:P43"/>
    <mergeCell ref="A44:C44"/>
    <mergeCell ref="F44:G44"/>
    <mergeCell ref="H44:I44"/>
    <mergeCell ref="J44:K44"/>
    <mergeCell ref="M44:N44"/>
    <mergeCell ref="O44:P44"/>
    <mergeCell ref="A45:C45"/>
    <mergeCell ref="F45:G45"/>
    <mergeCell ref="H45:I45"/>
    <mergeCell ref="J45:K45"/>
    <mergeCell ref="M45:N45"/>
    <mergeCell ref="O45:P45"/>
    <mergeCell ref="A46:E46"/>
    <mergeCell ref="F46:G46"/>
    <mergeCell ref="M46:N46"/>
    <mergeCell ref="O46:P46"/>
    <mergeCell ref="F48:G48"/>
    <mergeCell ref="M48:N48"/>
    <mergeCell ref="O48:P48"/>
    <mergeCell ref="A49:C49"/>
    <mergeCell ref="F49:G49"/>
    <mergeCell ref="H49:J49"/>
    <mergeCell ref="M49:N49"/>
    <mergeCell ref="O49:P49"/>
    <mergeCell ref="A50:C50"/>
    <mergeCell ref="F50:G50"/>
    <mergeCell ref="H50:J50"/>
    <mergeCell ref="M50:N50"/>
    <mergeCell ref="O50:P50"/>
    <mergeCell ref="A51:C51"/>
    <mergeCell ref="F51:G51"/>
    <mergeCell ref="H51:J51"/>
    <mergeCell ref="M51:N51"/>
    <mergeCell ref="O51:P51"/>
    <mergeCell ref="A52:C52"/>
    <mergeCell ref="F52:G52"/>
    <mergeCell ref="H52:J52"/>
    <mergeCell ref="M52:N52"/>
    <mergeCell ref="O52:P52"/>
    <mergeCell ref="A53:C53"/>
    <mergeCell ref="F53:G53"/>
    <mergeCell ref="H53:J53"/>
    <mergeCell ref="M53:N53"/>
    <mergeCell ref="O53:P53"/>
    <mergeCell ref="A54:E54"/>
    <mergeCell ref="F54:G54"/>
    <mergeCell ref="H54:N54"/>
    <mergeCell ref="O54:P54"/>
    <mergeCell ref="H59:I59"/>
    <mergeCell ref="K59:L59"/>
    <mergeCell ref="M59:N59"/>
    <mergeCell ref="O59:P59"/>
    <mergeCell ref="A60:C60"/>
    <mergeCell ref="H60:I60"/>
    <mergeCell ref="J60:K60"/>
    <mergeCell ref="M60:N60"/>
    <mergeCell ref="O60:P60"/>
    <mergeCell ref="A61:C61"/>
    <mergeCell ref="H61:I61"/>
    <mergeCell ref="J61:K61"/>
    <mergeCell ref="M61:N61"/>
    <mergeCell ref="O61:P61"/>
    <mergeCell ref="A62:C62"/>
    <mergeCell ref="H62:I62"/>
    <mergeCell ref="J62:K62"/>
    <mergeCell ref="M62:N62"/>
    <mergeCell ref="O62:P62"/>
    <mergeCell ref="A63:C63"/>
    <mergeCell ref="H63:I63"/>
    <mergeCell ref="J63:K63"/>
    <mergeCell ref="M63:N63"/>
    <mergeCell ref="O63:P63"/>
    <mergeCell ref="A64:C64"/>
    <mergeCell ref="H64:I64"/>
    <mergeCell ref="J64:K64"/>
    <mergeCell ref="M64:N64"/>
    <mergeCell ref="O64:P64"/>
    <mergeCell ref="A65:C65"/>
    <mergeCell ref="H65:I65"/>
    <mergeCell ref="J65:K65"/>
    <mergeCell ref="M65:N65"/>
    <mergeCell ref="O65:P65"/>
    <mergeCell ref="A66:C66"/>
    <mergeCell ref="H66:I66"/>
    <mergeCell ref="J66:K66"/>
    <mergeCell ref="M66:N66"/>
    <mergeCell ref="O66:P66"/>
    <mergeCell ref="A67:C67"/>
    <mergeCell ref="H67:I67"/>
    <mergeCell ref="M67:N67"/>
    <mergeCell ref="O67:P67"/>
    <mergeCell ref="A68:C68"/>
    <mergeCell ref="H68:I68"/>
    <mergeCell ref="M68:N68"/>
    <mergeCell ref="O68:P68"/>
    <mergeCell ref="A69:C69"/>
    <mergeCell ref="H69:I69"/>
    <mergeCell ref="M69:N69"/>
    <mergeCell ref="O69:P69"/>
    <mergeCell ref="A70:C70"/>
    <mergeCell ref="H70:I70"/>
    <mergeCell ref="M70:N70"/>
    <mergeCell ref="O70:P70"/>
    <mergeCell ref="A71:C71"/>
    <mergeCell ref="H71:I71"/>
    <mergeCell ref="M71:N71"/>
    <mergeCell ref="O71:P71"/>
    <mergeCell ref="A72:C72"/>
    <mergeCell ref="H72:I72"/>
    <mergeCell ref="M72:N72"/>
    <mergeCell ref="O72:P72"/>
    <mergeCell ref="A73:C73"/>
    <mergeCell ref="H73:I73"/>
    <mergeCell ref="M73:N73"/>
    <mergeCell ref="O73:P73"/>
    <mergeCell ref="A74:C74"/>
    <mergeCell ref="H74:I74"/>
    <mergeCell ref="M74:N74"/>
    <mergeCell ref="O74:P74"/>
    <mergeCell ref="A75:C75"/>
    <mergeCell ref="H75:I75"/>
    <mergeCell ref="M75:N75"/>
    <mergeCell ref="O75:P75"/>
    <mergeCell ref="A76:E76"/>
    <mergeCell ref="F76:H76"/>
    <mergeCell ref="K76:L76"/>
    <mergeCell ref="M76:N76"/>
    <mergeCell ref="O76:P76"/>
    <mergeCell ref="A77:E77"/>
    <mergeCell ref="F77:H77"/>
    <mergeCell ref="K77:L77"/>
    <mergeCell ref="M77:N77"/>
    <mergeCell ref="O77:P77"/>
    <mergeCell ref="A78:L78"/>
    <mergeCell ref="M78:N78"/>
    <mergeCell ref="O78:P78"/>
    <mergeCell ref="A80:C80"/>
    <mergeCell ref="D80:E80"/>
    <mergeCell ref="F80:H80"/>
    <mergeCell ref="I80:L80"/>
    <mergeCell ref="M80:N80"/>
    <mergeCell ref="O80:P80"/>
    <mergeCell ref="A81:C81"/>
    <mergeCell ref="D81:E81"/>
    <mergeCell ref="F81:H81"/>
    <mergeCell ref="I81:L81"/>
    <mergeCell ref="M81:N81"/>
    <mergeCell ref="O81:P81"/>
    <mergeCell ref="A82:C82"/>
    <mergeCell ref="D82:E82"/>
    <mergeCell ref="F82:H82"/>
    <mergeCell ref="I82:L82"/>
    <mergeCell ref="M82:N82"/>
    <mergeCell ref="O82:P82"/>
    <mergeCell ref="A83:C83"/>
    <mergeCell ref="D83:E83"/>
    <mergeCell ref="F83:H83"/>
    <mergeCell ref="I83:L83"/>
    <mergeCell ref="M83:N83"/>
    <mergeCell ref="O83:P83"/>
    <mergeCell ref="A84:C84"/>
    <mergeCell ref="D84:E84"/>
    <mergeCell ref="F84:H84"/>
    <mergeCell ref="I84:L84"/>
    <mergeCell ref="M84:N84"/>
    <mergeCell ref="O84:P84"/>
    <mergeCell ref="F96:G96"/>
    <mergeCell ref="H96:P96"/>
    <mergeCell ref="A85:L85"/>
    <mergeCell ref="M85:N85"/>
    <mergeCell ref="O85:P85"/>
    <mergeCell ref="F90:G90"/>
    <mergeCell ref="O90:P90"/>
    <mergeCell ref="F91:G91"/>
    <mergeCell ref="K91:N91"/>
    <mergeCell ref="O91:P91"/>
    <mergeCell ref="F92:G92"/>
    <mergeCell ref="O92:P92"/>
    <mergeCell ref="I109:J109"/>
    <mergeCell ref="A112:G133"/>
    <mergeCell ref="H112:P133"/>
    <mergeCell ref="A101:P106"/>
    <mergeCell ref="B108:E109"/>
    <mergeCell ref="A86:P88"/>
    <mergeCell ref="A55:P57"/>
    <mergeCell ref="A12:P14"/>
    <mergeCell ref="F97:G97"/>
    <mergeCell ref="H97:P97"/>
    <mergeCell ref="A98:E98"/>
    <mergeCell ref="F98:G98"/>
    <mergeCell ref="H98:N98"/>
    <mergeCell ref="O98:P98"/>
    <mergeCell ref="A99:G99"/>
    <mergeCell ref="H99:N99"/>
    <mergeCell ref="O99:P99"/>
    <mergeCell ref="F93:G93"/>
    <mergeCell ref="K93:N93"/>
    <mergeCell ref="O93:P93"/>
    <mergeCell ref="F94:G94"/>
    <mergeCell ref="H94:P94"/>
    <mergeCell ref="F95:G95"/>
    <mergeCell ref="H95:P95"/>
  </mergeCells>
  <dataValidations count="4">
    <dataValidation type="list" allowBlank="1" showInputMessage="1" showErrorMessage="1" sqref="O17" xr:uid="{00000000-0002-0000-0700-000000000000}">
      <formula1>"Single,Common Law,Married,Divorced,Widowed"</formula1>
    </dataValidation>
    <dataValidation type="list" allowBlank="1" showInputMessage="1" showErrorMessage="1" sqref="E29:E32" xr:uid="{00000000-0002-0000-0700-000001000000}">
      <formula1>"YES,NO"</formula1>
    </dataValidation>
    <dataValidation type="list" allowBlank="1" showInputMessage="1" showErrorMessage="1" sqref="F60:F75 I76:I77" xr:uid="{00000000-0002-0000-0700-000002000000}">
      <formula1>"Residence,Vacation,Retail,Apartment,Commercial,Office,Industrial,Mixed,Land"</formula1>
    </dataValidation>
    <dataValidation type="list" allowBlank="1" showInputMessage="1" showErrorMessage="1" sqref="N35:N38" xr:uid="{00000000-0002-0000-0700-000003000000}">
      <formula1>"Stocks,Bonds,RRSP,TFSA,Jewelry,Metals,Other"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2:T133"/>
  <sheetViews>
    <sheetView topLeftCell="A20" zoomScale="70" zoomScaleNormal="70" workbookViewId="0">
      <selection activeCell="V46" sqref="V46"/>
    </sheetView>
  </sheetViews>
  <sheetFormatPr defaultColWidth="9.44140625" defaultRowHeight="14.4"/>
  <cols>
    <col min="1" max="2" width="9.44140625" style="304"/>
    <col min="3" max="3" width="24.109375" style="304" customWidth="1"/>
    <col min="4" max="4" width="9.44140625" style="304" customWidth="1"/>
    <col min="5" max="5" width="21.6640625" style="304" customWidth="1"/>
    <col min="6" max="6" width="11" style="304" customWidth="1"/>
    <col min="7" max="7" width="12.33203125" style="304" customWidth="1"/>
    <col min="8" max="8" width="9.44140625" style="304" customWidth="1"/>
    <col min="9" max="9" width="21.6640625" style="304" customWidth="1"/>
    <col min="10" max="10" width="12.6640625" style="304" customWidth="1"/>
    <col min="11" max="11" width="9.109375" style="304" customWidth="1"/>
    <col min="12" max="12" width="23.33203125" style="304" customWidth="1"/>
    <col min="13" max="13" width="13.109375" style="304" customWidth="1"/>
    <col min="14" max="14" width="15.109375" style="304" customWidth="1"/>
    <col min="15" max="15" width="11" style="304" customWidth="1"/>
    <col min="16" max="16" width="19.6640625" style="304" customWidth="1"/>
    <col min="17" max="17" width="16.44140625" style="306" customWidth="1"/>
    <col min="18" max="18" width="10.6640625" style="304" customWidth="1"/>
    <col min="19" max="19" width="16.44140625" style="306" customWidth="1"/>
    <col min="20" max="20" width="18.6640625" style="304" customWidth="1"/>
    <col min="21" max="16384" width="9.44140625" style="304"/>
  </cols>
  <sheetData>
    <row r="12" spans="1:16" s="304" customFormat="1">
      <c r="A12" s="767" t="s">
        <v>296</v>
      </c>
      <c r="B12" s="768"/>
      <c r="C12" s="768"/>
      <c r="D12" s="768"/>
      <c r="E12" s="768"/>
      <c r="F12" s="768"/>
      <c r="G12" s="768"/>
      <c r="H12" s="768"/>
      <c r="I12" s="768"/>
      <c r="J12" s="768"/>
      <c r="K12" s="768"/>
      <c r="L12" s="768"/>
      <c r="M12" s="768"/>
      <c r="N12" s="768"/>
      <c r="O12" s="768"/>
      <c r="P12" s="769"/>
    </row>
    <row r="13" spans="1:16" s="304" customFormat="1">
      <c r="A13" s="770"/>
      <c r="B13" s="771"/>
      <c r="C13" s="771"/>
      <c r="D13" s="771"/>
      <c r="E13" s="771"/>
      <c r="F13" s="771"/>
      <c r="G13" s="771"/>
      <c r="H13" s="771"/>
      <c r="I13" s="771"/>
      <c r="J13" s="771"/>
      <c r="K13" s="771"/>
      <c r="L13" s="771"/>
      <c r="M13" s="771"/>
      <c r="N13" s="771"/>
      <c r="O13" s="771"/>
      <c r="P13" s="772"/>
    </row>
    <row r="14" spans="1:16" s="304" customFormat="1">
      <c r="A14" s="770"/>
      <c r="B14" s="771"/>
      <c r="C14" s="771"/>
      <c r="D14" s="771"/>
      <c r="E14" s="771"/>
      <c r="F14" s="771"/>
      <c r="G14" s="771"/>
      <c r="H14" s="771"/>
      <c r="I14" s="771"/>
      <c r="J14" s="771"/>
      <c r="K14" s="771"/>
      <c r="L14" s="771"/>
      <c r="M14" s="771"/>
      <c r="N14" s="771"/>
      <c r="O14" s="771"/>
      <c r="P14" s="772"/>
    </row>
    <row r="15" spans="1:16" s="304" customFormat="1" ht="18">
      <c r="A15" s="307" t="s">
        <v>297</v>
      </c>
      <c r="B15" s="308"/>
      <c r="C15" s="308"/>
      <c r="D15" s="308"/>
      <c r="E15" s="308"/>
      <c r="F15" s="308"/>
      <c r="G15" s="308"/>
      <c r="H15" s="308"/>
      <c r="I15" s="308"/>
      <c r="J15" s="308"/>
      <c r="K15" s="308"/>
      <c r="L15" s="308"/>
      <c r="M15" s="308"/>
      <c r="N15" s="308"/>
      <c r="O15" s="308"/>
      <c r="P15" s="352"/>
    </row>
    <row r="16" spans="1:16" s="304" customFormat="1" ht="18">
      <c r="A16" s="918" t="s">
        <v>298</v>
      </c>
      <c r="B16" s="919"/>
      <c r="C16" s="919"/>
      <c r="D16" s="309" t="s">
        <v>299</v>
      </c>
      <c r="E16" s="309"/>
      <c r="F16" s="309"/>
      <c r="G16" s="309"/>
      <c r="H16" s="309"/>
      <c r="I16" s="919" t="s">
        <v>300</v>
      </c>
      <c r="J16" s="919"/>
      <c r="K16" s="919" t="s">
        <v>301</v>
      </c>
      <c r="L16" s="919"/>
      <c r="M16" s="920" t="s">
        <v>302</v>
      </c>
      <c r="N16" s="920"/>
      <c r="O16" s="919" t="s">
        <v>303</v>
      </c>
      <c r="P16" s="921"/>
    </row>
    <row r="17" spans="1:16" s="304" customFormat="1" ht="18">
      <c r="A17" s="904"/>
      <c r="B17" s="869"/>
      <c r="C17" s="869"/>
      <c r="D17" s="869"/>
      <c r="E17" s="869"/>
      <c r="F17" s="869"/>
      <c r="G17" s="869"/>
      <c r="H17" s="869"/>
      <c r="I17" s="914"/>
      <c r="J17" s="914"/>
      <c r="K17" s="869"/>
      <c r="L17" s="869"/>
      <c r="M17" s="869"/>
      <c r="N17" s="869"/>
      <c r="O17" s="869"/>
      <c r="P17" s="922"/>
    </row>
    <row r="18" spans="1:16" s="304" customFormat="1" ht="18">
      <c r="A18" s="954" t="s">
        <v>304</v>
      </c>
      <c r="B18" s="955"/>
      <c r="C18" s="955"/>
      <c r="D18" s="908" t="s">
        <v>305</v>
      </c>
      <c r="E18" s="908"/>
      <c r="F18" s="908"/>
      <c r="G18" s="908"/>
      <c r="H18" s="908"/>
      <c r="I18" s="908"/>
      <c r="J18" s="908" t="s">
        <v>306</v>
      </c>
      <c r="K18" s="908"/>
      <c r="L18" s="912" t="s">
        <v>307</v>
      </c>
      <c r="M18" s="912"/>
      <c r="N18" s="912" t="s">
        <v>308</v>
      </c>
      <c r="O18" s="912"/>
      <c r="P18" s="353"/>
    </row>
    <row r="19" spans="1:16" s="304" customFormat="1" ht="18">
      <c r="A19" s="904"/>
      <c r="B19" s="869"/>
      <c r="C19" s="869"/>
      <c r="D19" s="869"/>
      <c r="E19" s="869"/>
      <c r="F19" s="869"/>
      <c r="G19" s="869"/>
      <c r="H19" s="869"/>
      <c r="I19" s="869"/>
      <c r="J19" s="869"/>
      <c r="K19" s="869"/>
      <c r="L19" s="917"/>
      <c r="M19" s="917"/>
      <c r="N19" s="915"/>
      <c r="O19" s="915"/>
      <c r="P19" s="354"/>
    </row>
    <row r="20" spans="1:16" s="304" customFormat="1" ht="18">
      <c r="A20" s="954" t="s">
        <v>309</v>
      </c>
      <c r="B20" s="955"/>
      <c r="C20" s="955"/>
      <c r="D20" s="955" t="s">
        <v>310</v>
      </c>
      <c r="E20" s="955"/>
      <c r="F20" s="311" t="s">
        <v>311</v>
      </c>
      <c r="G20" s="311"/>
      <c r="H20" s="311" t="s">
        <v>312</v>
      </c>
      <c r="I20" s="311"/>
      <c r="J20" s="311"/>
      <c r="K20" s="311" t="s">
        <v>313</v>
      </c>
      <c r="L20" s="311"/>
      <c r="M20" s="311"/>
      <c r="N20" s="311"/>
      <c r="O20" s="956"/>
      <c r="P20" s="957"/>
    </row>
    <row r="21" spans="1:16" s="304" customFormat="1" ht="18">
      <c r="A21" s="904"/>
      <c r="B21" s="869"/>
      <c r="C21" s="869"/>
      <c r="D21" s="914"/>
      <c r="E21" s="914"/>
      <c r="F21" s="869"/>
      <c r="G21" s="869"/>
      <c r="H21" s="915"/>
      <c r="I21" s="915"/>
      <c r="J21" s="915"/>
      <c r="K21" s="915"/>
      <c r="L21" s="915"/>
      <c r="M21" s="915"/>
      <c r="N21" s="915"/>
      <c r="O21" s="915"/>
      <c r="P21" s="916"/>
    </row>
    <row r="22" spans="1:16" s="304" customFormat="1" ht="18">
      <c r="A22" s="911" t="s">
        <v>314</v>
      </c>
      <c r="B22" s="908"/>
      <c r="C22" s="908"/>
      <c r="D22" s="955" t="s">
        <v>305</v>
      </c>
      <c r="E22" s="955"/>
      <c r="F22" s="908"/>
      <c r="G22" s="908"/>
      <c r="H22" s="908"/>
      <c r="I22" s="908"/>
      <c r="J22" s="908" t="s">
        <v>306</v>
      </c>
      <c r="K22" s="908"/>
      <c r="L22" s="912" t="s">
        <v>307</v>
      </c>
      <c r="M22" s="912"/>
      <c r="N22" s="912" t="s">
        <v>308</v>
      </c>
      <c r="O22" s="912"/>
      <c r="P22" s="353"/>
    </row>
    <row r="23" spans="1:16" s="304" customFormat="1" ht="18">
      <c r="A23" s="904"/>
      <c r="B23" s="869"/>
      <c r="C23" s="869"/>
      <c r="D23" s="869"/>
      <c r="E23" s="869"/>
      <c r="F23" s="869"/>
      <c r="G23" s="869"/>
      <c r="H23" s="869"/>
      <c r="I23" s="869"/>
      <c r="J23" s="905"/>
      <c r="K23" s="905"/>
      <c r="L23" s="917">
        <v>23550</v>
      </c>
      <c r="M23" s="917"/>
      <c r="N23" s="915"/>
      <c r="O23" s="915"/>
      <c r="P23" s="355"/>
    </row>
    <row r="24" spans="1:16" s="304" customFormat="1" ht="18">
      <c r="A24" s="312" t="s">
        <v>315</v>
      </c>
      <c r="B24" s="311"/>
      <c r="C24" s="311"/>
      <c r="D24" s="313" t="s">
        <v>305</v>
      </c>
      <c r="E24" s="313"/>
      <c r="F24" s="313"/>
      <c r="G24" s="313"/>
      <c r="H24" s="313"/>
      <c r="I24" s="313"/>
      <c r="J24" s="313" t="s">
        <v>316</v>
      </c>
      <c r="K24" s="313"/>
      <c r="L24" s="313"/>
      <c r="M24" s="908" t="s">
        <v>302</v>
      </c>
      <c r="N24" s="908"/>
      <c r="O24" s="313"/>
      <c r="P24" s="356"/>
    </row>
    <row r="25" spans="1:16" s="304" customFormat="1" ht="18">
      <c r="A25" s="904" t="s">
        <v>387</v>
      </c>
      <c r="B25" s="869"/>
      <c r="C25" s="869"/>
      <c r="D25" s="869" t="s">
        <v>317</v>
      </c>
      <c r="E25" s="869"/>
      <c r="F25" s="869"/>
      <c r="G25" s="869"/>
      <c r="H25" s="869"/>
      <c r="I25" s="869"/>
      <c r="J25" s="952"/>
      <c r="K25" s="952"/>
      <c r="L25" s="952"/>
      <c r="M25" s="905"/>
      <c r="N25" s="905"/>
      <c r="O25" s="909"/>
      <c r="P25" s="953"/>
    </row>
    <row r="26" spans="1:16" s="304" customFormat="1" ht="18">
      <c r="A26" s="312" t="s">
        <v>318</v>
      </c>
      <c r="B26" s="311"/>
      <c r="C26" s="311"/>
      <c r="D26" s="313" t="s">
        <v>305</v>
      </c>
      <c r="E26" s="313"/>
      <c r="F26" s="313"/>
      <c r="G26" s="313"/>
      <c r="H26" s="313"/>
      <c r="I26" s="313"/>
      <c r="J26" s="313" t="s">
        <v>319</v>
      </c>
      <c r="K26" s="313"/>
      <c r="L26" s="313"/>
      <c r="M26" s="895" t="s">
        <v>302</v>
      </c>
      <c r="N26" s="895"/>
      <c r="O26" s="313"/>
      <c r="P26" s="356"/>
    </row>
    <row r="27" spans="1:16" s="304" customFormat="1" ht="18">
      <c r="A27" s="904"/>
      <c r="B27" s="869"/>
      <c r="C27" s="869"/>
      <c r="D27" s="869"/>
      <c r="E27" s="869"/>
      <c r="F27" s="869"/>
      <c r="G27" s="869"/>
      <c r="H27" s="869"/>
      <c r="I27" s="869"/>
      <c r="J27" s="869"/>
      <c r="K27" s="869"/>
      <c r="L27" s="869"/>
      <c r="M27" s="905"/>
      <c r="N27" s="905"/>
      <c r="O27" s="898"/>
      <c r="P27" s="899"/>
    </row>
    <row r="28" spans="1:16" s="304" customFormat="1" ht="18">
      <c r="A28" s="314"/>
      <c r="B28" s="315"/>
      <c r="C28" s="315"/>
      <c r="D28" s="315"/>
      <c r="E28" s="315"/>
      <c r="F28" s="315"/>
      <c r="G28" s="315"/>
      <c r="H28" s="315"/>
      <c r="I28" s="315"/>
      <c r="J28" s="315"/>
      <c r="K28" s="315"/>
      <c r="L28" s="315"/>
      <c r="M28" s="315"/>
      <c r="N28" s="315"/>
      <c r="O28" s="315"/>
      <c r="P28" s="357"/>
    </row>
    <row r="29" spans="1:16" s="304" customFormat="1" ht="18">
      <c r="A29" s="316" t="s">
        <v>320</v>
      </c>
      <c r="B29" s="317"/>
      <c r="C29" s="317"/>
      <c r="D29" s="317"/>
      <c r="E29" s="318" t="s">
        <v>57</v>
      </c>
      <c r="F29" s="900" t="s">
        <v>321</v>
      </c>
      <c r="G29" s="900"/>
      <c r="H29" s="900"/>
      <c r="I29" s="900"/>
      <c r="J29" s="900"/>
      <c r="K29" s="900"/>
      <c r="L29" s="900"/>
      <c r="M29" s="900"/>
      <c r="N29" s="900"/>
      <c r="O29" s="900"/>
      <c r="P29" s="901"/>
    </row>
    <row r="30" spans="1:16" s="304" customFormat="1" ht="18">
      <c r="A30" s="319" t="s">
        <v>322</v>
      </c>
      <c r="B30" s="320"/>
      <c r="C30" s="320"/>
      <c r="D30" s="320"/>
      <c r="E30" s="321" t="s">
        <v>57</v>
      </c>
      <c r="F30" s="900" t="s">
        <v>323</v>
      </c>
      <c r="G30" s="900"/>
      <c r="H30" s="900"/>
      <c r="I30" s="900"/>
      <c r="J30" s="900"/>
      <c r="K30" s="900"/>
      <c r="L30" s="900"/>
      <c r="M30" s="900"/>
      <c r="N30" s="900"/>
      <c r="O30" s="900"/>
      <c r="P30" s="901"/>
    </row>
    <row r="31" spans="1:16" s="304" customFormat="1" ht="18">
      <c r="A31" s="319" t="s">
        <v>324</v>
      </c>
      <c r="B31" s="320"/>
      <c r="C31" s="320"/>
      <c r="D31" s="320"/>
      <c r="E31" s="321" t="s">
        <v>57</v>
      </c>
      <c r="F31" s="900" t="s">
        <v>321</v>
      </c>
      <c r="G31" s="900"/>
      <c r="H31" s="900"/>
      <c r="I31" s="900"/>
      <c r="J31" s="900"/>
      <c r="K31" s="900"/>
      <c r="L31" s="900"/>
      <c r="M31" s="900"/>
      <c r="N31" s="900"/>
      <c r="O31" s="900"/>
      <c r="P31" s="901"/>
    </row>
    <row r="32" spans="1:16" s="304" customFormat="1" ht="18">
      <c r="A32" s="322" t="s">
        <v>325</v>
      </c>
      <c r="B32" s="323"/>
      <c r="C32" s="323"/>
      <c r="D32" s="323"/>
      <c r="E32" s="324" t="s">
        <v>57</v>
      </c>
      <c r="F32" s="948" t="s">
        <v>323</v>
      </c>
      <c r="G32" s="948"/>
      <c r="H32" s="948"/>
      <c r="I32" s="948"/>
      <c r="J32" s="948"/>
      <c r="K32" s="948"/>
      <c r="L32" s="948"/>
      <c r="M32" s="948"/>
      <c r="N32" s="948"/>
      <c r="O32" s="948"/>
      <c r="P32" s="949"/>
    </row>
    <row r="33" spans="1:20" ht="18">
      <c r="A33" s="325" t="s">
        <v>326</v>
      </c>
      <c r="B33" s="326"/>
      <c r="C33" s="326"/>
      <c r="D33" s="326"/>
      <c r="E33" s="326"/>
      <c r="F33" s="326"/>
      <c r="G33" s="326"/>
      <c r="H33" s="327" t="s">
        <v>327</v>
      </c>
      <c r="I33" s="326"/>
      <c r="J33" s="326"/>
      <c r="K33" s="326"/>
      <c r="L33" s="326"/>
      <c r="M33" s="326"/>
      <c r="N33" s="326"/>
      <c r="O33" s="326"/>
      <c r="P33" s="358"/>
    </row>
    <row r="34" spans="1:20" ht="18">
      <c r="A34" s="328" t="s">
        <v>328</v>
      </c>
      <c r="B34" s="329"/>
      <c r="C34" s="329"/>
      <c r="D34" s="329" t="s">
        <v>329</v>
      </c>
      <c r="E34" s="329"/>
      <c r="F34" s="940" t="s">
        <v>187</v>
      </c>
      <c r="G34" s="940"/>
      <c r="H34" s="890" t="s">
        <v>330</v>
      </c>
      <c r="I34" s="891"/>
      <c r="J34" s="891"/>
      <c r="K34" s="359" t="s">
        <v>329</v>
      </c>
      <c r="L34" s="359"/>
      <c r="M34" s="359"/>
      <c r="N34" s="330" t="s">
        <v>109</v>
      </c>
      <c r="O34" s="940" t="s">
        <v>331</v>
      </c>
      <c r="P34" s="950"/>
    </row>
    <row r="35" spans="1:20" ht="18">
      <c r="A35" s="883"/>
      <c r="B35" s="854"/>
      <c r="C35" s="854"/>
      <c r="D35" s="951"/>
      <c r="E35" s="951"/>
      <c r="F35" s="851"/>
      <c r="G35" s="851"/>
      <c r="H35" s="854"/>
      <c r="I35" s="854"/>
      <c r="J35" s="854"/>
      <c r="K35" s="854"/>
      <c r="L35" s="854"/>
      <c r="M35" s="854"/>
      <c r="N35" s="360"/>
      <c r="O35" s="851"/>
      <c r="P35" s="884"/>
    </row>
    <row r="36" spans="1:20" ht="18">
      <c r="A36" s="883"/>
      <c r="B36" s="854"/>
      <c r="C36" s="854"/>
      <c r="D36" s="869"/>
      <c r="E36" s="869"/>
      <c r="F36" s="851"/>
      <c r="G36" s="851"/>
      <c r="H36" s="854"/>
      <c r="I36" s="854"/>
      <c r="J36" s="854"/>
      <c r="K36" s="854"/>
      <c r="L36" s="854"/>
      <c r="M36" s="854"/>
      <c r="N36" s="360"/>
      <c r="O36" s="851"/>
      <c r="P36" s="884"/>
    </row>
    <row r="37" spans="1:20" ht="18">
      <c r="A37" s="883"/>
      <c r="B37" s="854"/>
      <c r="C37" s="854"/>
      <c r="D37" s="869"/>
      <c r="E37" s="869"/>
      <c r="F37" s="851"/>
      <c r="G37" s="851"/>
      <c r="H37" s="853"/>
      <c r="I37" s="854"/>
      <c r="J37" s="854"/>
      <c r="K37" s="854"/>
      <c r="L37" s="854"/>
      <c r="M37" s="854"/>
      <c r="N37" s="360"/>
      <c r="O37" s="851"/>
      <c r="P37" s="884"/>
    </row>
    <row r="38" spans="1:20" ht="18">
      <c r="A38" s="883"/>
      <c r="B38" s="854"/>
      <c r="C38" s="854"/>
      <c r="D38" s="869"/>
      <c r="E38" s="869"/>
      <c r="F38" s="851"/>
      <c r="G38" s="851"/>
      <c r="H38" s="853"/>
      <c r="I38" s="854"/>
      <c r="J38" s="854"/>
      <c r="K38" s="854"/>
      <c r="L38" s="854"/>
      <c r="M38" s="854"/>
      <c r="N38" s="360"/>
      <c r="O38" s="851"/>
      <c r="P38" s="884"/>
    </row>
    <row r="39" spans="1:20" ht="18">
      <c r="A39" s="857" t="s">
        <v>332</v>
      </c>
      <c r="B39" s="858"/>
      <c r="C39" s="858"/>
      <c r="D39" s="858"/>
      <c r="E39" s="858"/>
      <c r="F39" s="859">
        <f>SUM(F35:G38)</f>
        <v>0</v>
      </c>
      <c r="G39" s="860"/>
      <c r="H39" s="861" t="s">
        <v>332</v>
      </c>
      <c r="I39" s="858"/>
      <c r="J39" s="858"/>
      <c r="K39" s="858"/>
      <c r="L39" s="858"/>
      <c r="M39" s="858"/>
      <c r="N39" s="858"/>
      <c r="O39" s="859">
        <f>SUM(O35:P38)</f>
        <v>0</v>
      </c>
      <c r="P39" s="885"/>
    </row>
    <row r="40" spans="1:20" ht="18">
      <c r="A40" s="325" t="s">
        <v>333</v>
      </c>
      <c r="B40" s="326"/>
      <c r="C40" s="326"/>
      <c r="D40" s="326"/>
      <c r="E40" s="326"/>
      <c r="F40" s="326"/>
      <c r="G40" s="326"/>
      <c r="H40" s="327" t="s">
        <v>334</v>
      </c>
      <c r="I40" s="326"/>
      <c r="J40" s="326"/>
      <c r="K40" s="326"/>
      <c r="L40" s="326"/>
      <c r="M40" s="326"/>
      <c r="N40" s="326"/>
      <c r="O40" s="326"/>
      <c r="P40" s="358"/>
    </row>
    <row r="41" spans="1:20" ht="18">
      <c r="A41" s="331" t="s">
        <v>335</v>
      </c>
      <c r="B41" s="332"/>
      <c r="C41" s="332"/>
      <c r="D41" s="332" t="s">
        <v>336</v>
      </c>
      <c r="E41" s="333" t="s">
        <v>337</v>
      </c>
      <c r="F41" s="806" t="s">
        <v>338</v>
      </c>
      <c r="G41" s="806"/>
      <c r="H41" s="879" t="s">
        <v>339</v>
      </c>
      <c r="I41" s="831"/>
      <c r="J41" s="831" t="s">
        <v>340</v>
      </c>
      <c r="K41" s="831"/>
      <c r="L41" s="332" t="s">
        <v>341</v>
      </c>
      <c r="M41" s="806" t="s">
        <v>342</v>
      </c>
      <c r="N41" s="806"/>
      <c r="O41" s="806" t="s">
        <v>331</v>
      </c>
      <c r="P41" s="808"/>
    </row>
    <row r="42" spans="1:20" ht="18">
      <c r="A42" s="864"/>
      <c r="B42" s="865"/>
      <c r="C42" s="865"/>
      <c r="D42" s="335"/>
      <c r="E42" s="336"/>
      <c r="F42" s="938"/>
      <c r="G42" s="939"/>
      <c r="H42" s="868"/>
      <c r="I42" s="869"/>
      <c r="J42" s="880"/>
      <c r="K42" s="880"/>
      <c r="L42" s="361"/>
      <c r="M42" s="870">
        <v>0</v>
      </c>
      <c r="N42" s="870"/>
      <c r="O42" s="881"/>
      <c r="P42" s="882"/>
    </row>
    <row r="43" spans="1:20" ht="18">
      <c r="A43" s="872"/>
      <c r="B43" s="873"/>
      <c r="C43" s="873"/>
      <c r="D43" s="337"/>
      <c r="E43" s="321"/>
      <c r="F43" s="941"/>
      <c r="G43" s="942"/>
      <c r="H43" s="868"/>
      <c r="I43" s="869"/>
      <c r="J43" s="869"/>
      <c r="K43" s="869"/>
      <c r="L43" s="362"/>
      <c r="M43" s="870">
        <v>0</v>
      </c>
      <c r="N43" s="870"/>
      <c r="O43" s="881"/>
      <c r="P43" s="882"/>
    </row>
    <row r="44" spans="1:20" ht="18">
      <c r="A44" s="872"/>
      <c r="B44" s="873"/>
      <c r="C44" s="873"/>
      <c r="D44" s="337"/>
      <c r="E44" s="321"/>
      <c r="F44" s="941"/>
      <c r="G44" s="942"/>
      <c r="H44" s="868"/>
      <c r="I44" s="869"/>
      <c r="J44" s="869"/>
      <c r="K44" s="869"/>
      <c r="L44" s="363"/>
      <c r="M44" s="870">
        <v>0</v>
      </c>
      <c r="N44" s="870"/>
      <c r="O44" s="881"/>
      <c r="P44" s="882"/>
    </row>
    <row r="45" spans="1:20" ht="18">
      <c r="A45" s="872"/>
      <c r="B45" s="873"/>
      <c r="C45" s="873"/>
      <c r="D45" s="337"/>
      <c r="E45" s="321"/>
      <c r="F45" s="941"/>
      <c r="G45" s="942"/>
      <c r="H45" s="868"/>
      <c r="I45" s="869"/>
      <c r="J45" s="869"/>
      <c r="K45" s="869"/>
      <c r="L45" s="310"/>
      <c r="M45" s="870"/>
      <c r="N45" s="870"/>
      <c r="O45" s="881">
        <f>L45-M45</f>
        <v>0</v>
      </c>
      <c r="P45" s="882"/>
    </row>
    <row r="46" spans="1:20" ht="18">
      <c r="A46" s="857" t="s">
        <v>343</v>
      </c>
      <c r="B46" s="858"/>
      <c r="C46" s="858"/>
      <c r="D46" s="858"/>
      <c r="E46" s="858"/>
      <c r="F46" s="943">
        <f>SUM(F42:G45)</f>
        <v>0</v>
      </c>
      <c r="G46" s="944"/>
      <c r="H46" s="338" t="s">
        <v>344</v>
      </c>
      <c r="I46" s="364"/>
      <c r="J46" s="364"/>
      <c r="K46" s="365"/>
      <c r="L46" s="365">
        <f>SUM(L42:L45)</f>
        <v>0</v>
      </c>
      <c r="M46" s="945">
        <f>SUM(M42:M45)</f>
        <v>0</v>
      </c>
      <c r="N46" s="945">
        <f>SUM(N42:N45)</f>
        <v>0</v>
      </c>
      <c r="O46" s="946">
        <f>SUM(O42:P45)</f>
        <v>0</v>
      </c>
      <c r="P46" s="947"/>
      <c r="T46" s="368"/>
    </row>
    <row r="47" spans="1:20" ht="18">
      <c r="A47" s="325" t="s">
        <v>345</v>
      </c>
      <c r="B47" s="326"/>
      <c r="C47" s="326"/>
      <c r="D47" s="326"/>
      <c r="E47" s="326"/>
      <c r="F47" s="326"/>
      <c r="G47" s="339"/>
      <c r="H47" s="326" t="s">
        <v>346</v>
      </c>
      <c r="I47" s="326"/>
      <c r="J47" s="326"/>
      <c r="K47" s="326"/>
      <c r="L47" s="326"/>
      <c r="M47" s="326"/>
      <c r="N47" s="326"/>
      <c r="O47" s="326"/>
      <c r="P47" s="358"/>
    </row>
    <row r="48" spans="1:20" ht="18">
      <c r="A48" s="328" t="s">
        <v>347</v>
      </c>
      <c r="B48" s="329"/>
      <c r="C48" s="329"/>
      <c r="D48" s="332" t="s">
        <v>348</v>
      </c>
      <c r="E48" s="333" t="s">
        <v>349</v>
      </c>
      <c r="F48" s="940" t="s">
        <v>338</v>
      </c>
      <c r="G48" s="940"/>
      <c r="H48" s="340" t="s">
        <v>350</v>
      </c>
      <c r="I48" s="329"/>
      <c r="J48" s="329"/>
      <c r="K48" s="329" t="s">
        <v>109</v>
      </c>
      <c r="L48" s="329" t="s">
        <v>337</v>
      </c>
      <c r="M48" s="806" t="s">
        <v>336</v>
      </c>
      <c r="N48" s="806"/>
      <c r="O48" s="806" t="s">
        <v>187</v>
      </c>
      <c r="P48" s="808"/>
    </row>
    <row r="49" spans="1:19" ht="18">
      <c r="A49" s="864"/>
      <c r="B49" s="865"/>
      <c r="C49" s="865"/>
      <c r="D49" s="335"/>
      <c r="E49" s="341"/>
      <c r="F49" s="866"/>
      <c r="G49" s="867"/>
      <c r="H49" s="868"/>
      <c r="I49" s="869"/>
      <c r="J49" s="869"/>
      <c r="K49" s="334"/>
      <c r="L49" s="366"/>
      <c r="M49" s="866"/>
      <c r="N49" s="866"/>
      <c r="O49" s="870"/>
      <c r="P49" s="871"/>
    </row>
    <row r="50" spans="1:19" ht="18">
      <c r="A50" s="849"/>
      <c r="B50" s="850"/>
      <c r="C50" s="850"/>
      <c r="D50" s="337"/>
      <c r="E50" s="342"/>
      <c r="F50" s="866"/>
      <c r="G50" s="867"/>
      <c r="H50" s="868"/>
      <c r="I50" s="869"/>
      <c r="J50" s="869"/>
      <c r="K50" s="334"/>
      <c r="L50" s="335"/>
      <c r="M50" s="851"/>
      <c r="N50" s="851"/>
      <c r="O50" s="870"/>
      <c r="P50" s="871"/>
    </row>
    <row r="51" spans="1:19" ht="18">
      <c r="A51" s="849"/>
      <c r="B51" s="850"/>
      <c r="C51" s="850"/>
      <c r="D51" s="337"/>
      <c r="E51" s="342"/>
      <c r="F51" s="851"/>
      <c r="G51" s="852"/>
      <c r="H51" s="868"/>
      <c r="I51" s="869"/>
      <c r="J51" s="869"/>
      <c r="K51" s="334"/>
      <c r="L51" s="335"/>
      <c r="M51" s="851"/>
      <c r="N51" s="851"/>
      <c r="O51" s="870"/>
      <c r="P51" s="871"/>
    </row>
    <row r="52" spans="1:19" ht="18">
      <c r="A52" s="849"/>
      <c r="B52" s="850"/>
      <c r="C52" s="850"/>
      <c r="D52" s="337"/>
      <c r="E52" s="343"/>
      <c r="F52" s="938"/>
      <c r="G52" s="939"/>
      <c r="H52" s="868"/>
      <c r="I52" s="869"/>
      <c r="J52" s="869"/>
      <c r="K52" s="334"/>
      <c r="L52" s="335"/>
      <c r="M52" s="851"/>
      <c r="N52" s="851"/>
      <c r="O52" s="870"/>
      <c r="P52" s="871"/>
    </row>
    <row r="53" spans="1:19" ht="18">
      <c r="A53" s="849"/>
      <c r="B53" s="850"/>
      <c r="C53" s="850"/>
      <c r="D53" s="337"/>
      <c r="E53" s="342"/>
      <c r="F53" s="851"/>
      <c r="G53" s="852"/>
      <c r="H53" s="868"/>
      <c r="I53" s="869"/>
      <c r="J53" s="869"/>
      <c r="K53" s="334"/>
      <c r="L53" s="335"/>
      <c r="M53" s="851"/>
      <c r="N53" s="851"/>
      <c r="O53" s="870"/>
      <c r="P53" s="871"/>
    </row>
    <row r="54" spans="1:19" ht="18">
      <c r="A54" s="857" t="s">
        <v>343</v>
      </c>
      <c r="B54" s="858"/>
      <c r="C54" s="858"/>
      <c r="D54" s="858"/>
      <c r="E54" s="858"/>
      <c r="F54" s="859">
        <f>SUM(F49:G53)</f>
        <v>0</v>
      </c>
      <c r="G54" s="860"/>
      <c r="H54" s="861" t="s">
        <v>343</v>
      </c>
      <c r="I54" s="858"/>
      <c r="J54" s="858"/>
      <c r="K54" s="858"/>
      <c r="L54" s="858"/>
      <c r="M54" s="858"/>
      <c r="N54" s="858"/>
      <c r="O54" s="862">
        <f>SUM(O49:P53)</f>
        <v>0</v>
      </c>
      <c r="P54" s="937"/>
    </row>
    <row r="55" spans="1:19">
      <c r="A55" s="767" t="s">
        <v>296</v>
      </c>
      <c r="B55" s="768"/>
      <c r="C55" s="768"/>
      <c r="D55" s="768"/>
      <c r="E55" s="768"/>
      <c r="F55" s="768"/>
      <c r="G55" s="768"/>
      <c r="H55" s="768"/>
      <c r="I55" s="768"/>
      <c r="J55" s="768"/>
      <c r="K55" s="768"/>
      <c r="L55" s="768"/>
      <c r="M55" s="768"/>
      <c r="N55" s="768"/>
      <c r="O55" s="768"/>
      <c r="P55" s="769"/>
    </row>
    <row r="56" spans="1:19">
      <c r="A56" s="770"/>
      <c r="B56" s="771"/>
      <c r="C56" s="771"/>
      <c r="D56" s="771"/>
      <c r="E56" s="771"/>
      <c r="F56" s="771"/>
      <c r="G56" s="771"/>
      <c r="H56" s="771"/>
      <c r="I56" s="771"/>
      <c r="J56" s="771"/>
      <c r="K56" s="771"/>
      <c r="L56" s="771"/>
      <c r="M56" s="771"/>
      <c r="N56" s="771"/>
      <c r="O56" s="771"/>
      <c r="P56" s="772"/>
    </row>
    <row r="57" spans="1:19">
      <c r="A57" s="770"/>
      <c r="B57" s="771"/>
      <c r="C57" s="771"/>
      <c r="D57" s="771"/>
      <c r="E57" s="771"/>
      <c r="F57" s="771"/>
      <c r="G57" s="771"/>
      <c r="H57" s="771"/>
      <c r="I57" s="771"/>
      <c r="J57" s="771"/>
      <c r="K57" s="771"/>
      <c r="L57" s="771"/>
      <c r="M57" s="771"/>
      <c r="N57" s="771"/>
      <c r="O57" s="771"/>
      <c r="P57" s="772"/>
      <c r="Q57" s="369"/>
    </row>
    <row r="58" spans="1:19" s="305" customFormat="1" ht="18">
      <c r="A58" s="325" t="s">
        <v>351</v>
      </c>
      <c r="B58" s="326"/>
      <c r="C58" s="326"/>
      <c r="D58" s="326"/>
      <c r="E58" s="326"/>
      <c r="F58" s="326"/>
      <c r="G58" s="326"/>
      <c r="H58" s="326"/>
      <c r="I58" s="326"/>
      <c r="J58" s="326"/>
      <c r="K58" s="326"/>
      <c r="L58" s="326"/>
      <c r="M58" s="326"/>
      <c r="N58" s="326"/>
      <c r="O58" s="326"/>
      <c r="P58" s="358"/>
      <c r="Q58" s="370"/>
    </row>
    <row r="59" spans="1:19" ht="36">
      <c r="A59" s="344" t="s">
        <v>352</v>
      </c>
      <c r="B59" s="345"/>
      <c r="C59" s="345"/>
      <c r="D59" s="345" t="s">
        <v>353</v>
      </c>
      <c r="E59" s="346" t="s">
        <v>354</v>
      </c>
      <c r="F59" s="345" t="s">
        <v>109</v>
      </c>
      <c r="G59" s="347" t="s">
        <v>349</v>
      </c>
      <c r="H59" s="934" t="s">
        <v>355</v>
      </c>
      <c r="I59" s="934"/>
      <c r="J59" s="347" t="s">
        <v>331</v>
      </c>
      <c r="K59" s="935" t="s">
        <v>356</v>
      </c>
      <c r="L59" s="934"/>
      <c r="M59" s="935" t="s">
        <v>357</v>
      </c>
      <c r="N59" s="935"/>
      <c r="O59" s="935" t="s">
        <v>358</v>
      </c>
      <c r="P59" s="936"/>
      <c r="Q59" s="370" t="s">
        <v>40</v>
      </c>
    </row>
    <row r="60" spans="1:19" ht="18">
      <c r="A60" s="843"/>
      <c r="B60" s="844"/>
      <c r="C60" s="844"/>
      <c r="D60" s="348"/>
      <c r="E60" s="349"/>
      <c r="F60" s="348"/>
      <c r="G60" s="350"/>
      <c r="H60" s="840"/>
      <c r="I60" s="840"/>
      <c r="J60" s="845"/>
      <c r="K60" s="845"/>
      <c r="L60" s="367"/>
      <c r="M60" s="841">
        <f t="shared" ref="M60:M75" si="0">J60-L60</f>
        <v>0</v>
      </c>
      <c r="N60" s="841"/>
      <c r="O60" s="841">
        <f>M60*G60</f>
        <v>0</v>
      </c>
      <c r="P60" s="842"/>
      <c r="Q60" s="371">
        <f>IF(L60&gt;0,L60/J60,0)</f>
        <v>0</v>
      </c>
    </row>
    <row r="61" spans="1:19" ht="18">
      <c r="A61" s="843"/>
      <c r="B61" s="844"/>
      <c r="C61" s="844"/>
      <c r="D61" s="348"/>
      <c r="E61" s="349"/>
      <c r="F61" s="348"/>
      <c r="G61" s="350"/>
      <c r="H61" s="840"/>
      <c r="I61" s="840"/>
      <c r="J61" s="845"/>
      <c r="K61" s="845"/>
      <c r="L61" s="367"/>
      <c r="M61" s="841">
        <f t="shared" si="0"/>
        <v>0</v>
      </c>
      <c r="N61" s="841"/>
      <c r="O61" s="841">
        <f>M61*G61</f>
        <v>0</v>
      </c>
      <c r="P61" s="842"/>
      <c r="Q61" s="371">
        <f t="shared" ref="Q61:Q66" si="1">IF(L61&gt;0,L61/J61,0)</f>
        <v>0</v>
      </c>
      <c r="R61" s="371"/>
      <c r="S61" s="372"/>
    </row>
    <row r="62" spans="1:19" ht="18">
      <c r="A62" s="843"/>
      <c r="B62" s="844"/>
      <c r="C62" s="844"/>
      <c r="D62" s="348"/>
      <c r="E62" s="351"/>
      <c r="F62" s="348"/>
      <c r="G62" s="350"/>
      <c r="H62" s="840"/>
      <c r="I62" s="840"/>
      <c r="J62" s="845"/>
      <c r="K62" s="845"/>
      <c r="L62" s="367"/>
      <c r="M62" s="841">
        <f t="shared" si="0"/>
        <v>0</v>
      </c>
      <c r="N62" s="841"/>
      <c r="O62" s="841">
        <f>M62*G62</f>
        <v>0</v>
      </c>
      <c r="P62" s="842"/>
      <c r="Q62" s="371">
        <f t="shared" si="1"/>
        <v>0</v>
      </c>
      <c r="R62" s="371"/>
      <c r="S62" s="372"/>
    </row>
    <row r="63" spans="1:19" ht="18">
      <c r="A63" s="843"/>
      <c r="B63" s="844"/>
      <c r="C63" s="844"/>
      <c r="D63" s="348"/>
      <c r="E63" s="351"/>
      <c r="F63" s="348"/>
      <c r="G63" s="350"/>
      <c r="H63" s="840"/>
      <c r="I63" s="840"/>
      <c r="J63" s="845"/>
      <c r="K63" s="845"/>
      <c r="L63" s="367"/>
      <c r="M63" s="841">
        <f t="shared" si="0"/>
        <v>0</v>
      </c>
      <c r="N63" s="841"/>
      <c r="O63" s="841">
        <f>M63*G62</f>
        <v>0</v>
      </c>
      <c r="P63" s="842"/>
      <c r="Q63" s="371">
        <f t="shared" si="1"/>
        <v>0</v>
      </c>
      <c r="R63" s="371"/>
      <c r="S63" s="372"/>
    </row>
    <row r="64" spans="1:19" ht="18">
      <c r="A64" s="843"/>
      <c r="B64" s="844"/>
      <c r="C64" s="844"/>
      <c r="D64" s="348"/>
      <c r="E64" s="351"/>
      <c r="F64" s="348"/>
      <c r="G64" s="350"/>
      <c r="H64" s="840"/>
      <c r="I64" s="840"/>
      <c r="J64" s="845"/>
      <c r="K64" s="845"/>
      <c r="L64" s="367"/>
      <c r="M64" s="841">
        <f t="shared" si="0"/>
        <v>0</v>
      </c>
      <c r="N64" s="841"/>
      <c r="O64" s="841">
        <f t="shared" ref="O64:O75" si="2">M64*G64</f>
        <v>0</v>
      </c>
      <c r="P64" s="842"/>
      <c r="Q64" s="371">
        <f t="shared" si="1"/>
        <v>0</v>
      </c>
      <c r="R64" s="371"/>
      <c r="S64" s="372"/>
    </row>
    <row r="65" spans="1:19" ht="18">
      <c r="A65" s="843"/>
      <c r="B65" s="844"/>
      <c r="C65" s="844"/>
      <c r="D65" s="348"/>
      <c r="E65" s="351"/>
      <c r="F65" s="348"/>
      <c r="G65" s="350"/>
      <c r="H65" s="840"/>
      <c r="I65" s="840"/>
      <c r="J65" s="845"/>
      <c r="K65" s="845"/>
      <c r="L65" s="367"/>
      <c r="M65" s="841">
        <f t="shared" si="0"/>
        <v>0</v>
      </c>
      <c r="N65" s="841"/>
      <c r="O65" s="841">
        <f t="shared" si="2"/>
        <v>0</v>
      </c>
      <c r="P65" s="842"/>
      <c r="Q65" s="371">
        <f t="shared" si="1"/>
        <v>0</v>
      </c>
      <c r="R65" s="371"/>
      <c r="S65" s="372"/>
    </row>
    <row r="66" spans="1:19" ht="18">
      <c r="A66" s="843"/>
      <c r="B66" s="844"/>
      <c r="C66" s="844"/>
      <c r="D66" s="348"/>
      <c r="E66" s="351"/>
      <c r="F66" s="348"/>
      <c r="G66" s="350"/>
      <c r="H66" s="840"/>
      <c r="I66" s="840"/>
      <c r="J66" s="845"/>
      <c r="K66" s="845"/>
      <c r="L66" s="367"/>
      <c r="M66" s="841">
        <f t="shared" si="0"/>
        <v>0</v>
      </c>
      <c r="N66" s="841"/>
      <c r="O66" s="841">
        <f t="shared" si="2"/>
        <v>0</v>
      </c>
      <c r="P66" s="842"/>
      <c r="Q66" s="371">
        <f t="shared" si="1"/>
        <v>0</v>
      </c>
      <c r="R66" s="371"/>
      <c r="S66" s="372"/>
    </row>
    <row r="67" spans="1:19" ht="18">
      <c r="A67" s="838"/>
      <c r="B67" s="839"/>
      <c r="C67" s="839"/>
      <c r="D67" s="348"/>
      <c r="E67" s="373"/>
      <c r="F67" s="348"/>
      <c r="G67" s="350"/>
      <c r="H67" s="840"/>
      <c r="I67" s="840"/>
      <c r="J67" s="393"/>
      <c r="K67" s="393"/>
      <c r="L67" s="393"/>
      <c r="M67" s="841">
        <f t="shared" si="0"/>
        <v>0</v>
      </c>
      <c r="N67" s="841"/>
      <c r="O67" s="841">
        <f t="shared" si="2"/>
        <v>0</v>
      </c>
      <c r="P67" s="842"/>
      <c r="Q67" s="371">
        <f>IF(L68&gt;0,L68/J68,0)</f>
        <v>0</v>
      </c>
      <c r="R67" s="371"/>
      <c r="S67" s="372"/>
    </row>
    <row r="68" spans="1:19" ht="18">
      <c r="A68" s="838"/>
      <c r="B68" s="839"/>
      <c r="C68" s="839"/>
      <c r="D68" s="348"/>
      <c r="E68" s="373"/>
      <c r="F68" s="348"/>
      <c r="G68" s="350"/>
      <c r="H68" s="840"/>
      <c r="I68" s="840"/>
      <c r="J68" s="393"/>
      <c r="K68" s="393"/>
      <c r="L68" s="393"/>
      <c r="M68" s="841">
        <f t="shared" si="0"/>
        <v>0</v>
      </c>
      <c r="N68" s="841"/>
      <c r="O68" s="841">
        <f t="shared" si="2"/>
        <v>0</v>
      </c>
      <c r="P68" s="842"/>
      <c r="Q68" s="371">
        <f>IF(L69&gt;0,L69/J69,0)</f>
        <v>0</v>
      </c>
      <c r="R68" s="371"/>
      <c r="S68" s="372"/>
    </row>
    <row r="69" spans="1:19" ht="18">
      <c r="A69" s="838"/>
      <c r="B69" s="839"/>
      <c r="C69" s="839"/>
      <c r="D69" s="348"/>
      <c r="E69" s="373"/>
      <c r="F69" s="348"/>
      <c r="G69" s="350"/>
      <c r="H69" s="840"/>
      <c r="I69" s="840"/>
      <c r="J69" s="393"/>
      <c r="K69" s="393"/>
      <c r="L69" s="393"/>
      <c r="M69" s="841">
        <f t="shared" si="0"/>
        <v>0</v>
      </c>
      <c r="N69" s="841"/>
      <c r="O69" s="841">
        <f t="shared" si="2"/>
        <v>0</v>
      </c>
      <c r="P69" s="842"/>
      <c r="Q69" s="371">
        <f t="shared" ref="Q69:Q74" si="3">IF(L70&gt;0,L70/J70,0)</f>
        <v>0</v>
      </c>
      <c r="R69" s="371"/>
      <c r="S69" s="372"/>
    </row>
    <row r="70" spans="1:19" ht="18">
      <c r="A70" s="838"/>
      <c r="B70" s="839"/>
      <c r="C70" s="839"/>
      <c r="D70" s="348"/>
      <c r="E70" s="373"/>
      <c r="F70" s="348"/>
      <c r="G70" s="350"/>
      <c r="H70" s="840"/>
      <c r="I70" s="840"/>
      <c r="J70" s="393"/>
      <c r="K70" s="393"/>
      <c r="L70" s="393"/>
      <c r="M70" s="841">
        <f t="shared" si="0"/>
        <v>0</v>
      </c>
      <c r="N70" s="841"/>
      <c r="O70" s="841">
        <f t="shared" si="2"/>
        <v>0</v>
      </c>
      <c r="P70" s="842"/>
      <c r="Q70" s="371">
        <f t="shared" si="3"/>
        <v>0</v>
      </c>
      <c r="R70" s="371"/>
      <c r="S70" s="372"/>
    </row>
    <row r="71" spans="1:19" ht="18">
      <c r="A71" s="838"/>
      <c r="B71" s="839"/>
      <c r="C71" s="839"/>
      <c r="D71" s="348"/>
      <c r="E71" s="373"/>
      <c r="F71" s="348"/>
      <c r="G71" s="350"/>
      <c r="H71" s="840"/>
      <c r="I71" s="840"/>
      <c r="J71" s="393"/>
      <c r="K71" s="393"/>
      <c r="L71" s="393"/>
      <c r="M71" s="841">
        <f t="shared" si="0"/>
        <v>0</v>
      </c>
      <c r="N71" s="841"/>
      <c r="O71" s="841">
        <f t="shared" si="2"/>
        <v>0</v>
      </c>
      <c r="P71" s="842"/>
      <c r="Q71" s="371">
        <f t="shared" si="3"/>
        <v>0</v>
      </c>
      <c r="R71" s="371"/>
      <c r="S71" s="372"/>
    </row>
    <row r="72" spans="1:19" ht="18">
      <c r="A72" s="838"/>
      <c r="B72" s="839"/>
      <c r="C72" s="839"/>
      <c r="D72" s="348"/>
      <c r="E72" s="373"/>
      <c r="F72" s="348"/>
      <c r="G72" s="350"/>
      <c r="H72" s="840"/>
      <c r="I72" s="840"/>
      <c r="J72" s="393"/>
      <c r="K72" s="393"/>
      <c r="L72" s="393"/>
      <c r="M72" s="841">
        <f t="shared" si="0"/>
        <v>0</v>
      </c>
      <c r="N72" s="841"/>
      <c r="O72" s="841">
        <f t="shared" si="2"/>
        <v>0</v>
      </c>
      <c r="P72" s="842"/>
      <c r="Q72" s="371">
        <f t="shared" si="3"/>
        <v>0</v>
      </c>
      <c r="R72" s="371"/>
      <c r="S72" s="372"/>
    </row>
    <row r="73" spans="1:19" ht="18">
      <c r="A73" s="838"/>
      <c r="B73" s="839"/>
      <c r="C73" s="839"/>
      <c r="D73" s="348"/>
      <c r="E73" s="373"/>
      <c r="F73" s="348"/>
      <c r="G73" s="350"/>
      <c r="H73" s="840"/>
      <c r="I73" s="840"/>
      <c r="J73" s="393"/>
      <c r="K73" s="393"/>
      <c r="L73" s="393"/>
      <c r="M73" s="841">
        <f t="shared" si="0"/>
        <v>0</v>
      </c>
      <c r="N73" s="841"/>
      <c r="O73" s="841">
        <f t="shared" si="2"/>
        <v>0</v>
      </c>
      <c r="P73" s="842"/>
      <c r="Q73" s="371">
        <f t="shared" si="3"/>
        <v>0</v>
      </c>
      <c r="R73" s="371"/>
      <c r="S73" s="372"/>
    </row>
    <row r="74" spans="1:19" ht="18">
      <c r="A74" s="838"/>
      <c r="B74" s="839"/>
      <c r="C74" s="839"/>
      <c r="D74" s="348"/>
      <c r="E74" s="373"/>
      <c r="F74" s="348"/>
      <c r="G74" s="350"/>
      <c r="H74" s="840"/>
      <c r="I74" s="840"/>
      <c r="J74" s="393"/>
      <c r="K74" s="393"/>
      <c r="L74" s="393"/>
      <c r="M74" s="841">
        <f t="shared" si="0"/>
        <v>0</v>
      </c>
      <c r="N74" s="841"/>
      <c r="O74" s="841">
        <f t="shared" si="2"/>
        <v>0</v>
      </c>
      <c r="P74" s="842"/>
      <c r="Q74" s="371">
        <f t="shared" si="3"/>
        <v>0</v>
      </c>
      <c r="R74" s="371"/>
      <c r="S74" s="372"/>
    </row>
    <row r="75" spans="1:19" ht="18">
      <c r="A75" s="838"/>
      <c r="B75" s="839"/>
      <c r="C75" s="839"/>
      <c r="D75" s="348"/>
      <c r="E75" s="373"/>
      <c r="F75" s="348"/>
      <c r="G75" s="350"/>
      <c r="H75" s="840"/>
      <c r="I75" s="840"/>
      <c r="J75" s="393"/>
      <c r="K75" s="393"/>
      <c r="L75" s="393"/>
      <c r="M75" s="841">
        <f t="shared" si="0"/>
        <v>0</v>
      </c>
      <c r="N75" s="841"/>
      <c r="O75" s="841">
        <f t="shared" si="2"/>
        <v>0</v>
      </c>
      <c r="P75" s="842"/>
      <c r="Q75" s="372"/>
      <c r="R75" s="371"/>
      <c r="S75" s="372"/>
    </row>
    <row r="76" spans="1:19" ht="18">
      <c r="A76" s="832" t="s">
        <v>359</v>
      </c>
      <c r="B76" s="833"/>
      <c r="C76" s="833"/>
      <c r="D76" s="833"/>
      <c r="E76" s="833"/>
      <c r="F76" s="833"/>
      <c r="G76" s="833"/>
      <c r="H76" s="833"/>
      <c r="I76" s="394"/>
      <c r="J76" s="395"/>
      <c r="K76" s="834"/>
      <c r="L76" s="834"/>
      <c r="M76" s="835"/>
      <c r="N76" s="835"/>
      <c r="O76" s="836">
        <f>SUMPRODUCT(G60:G75,J60:J75)</f>
        <v>0</v>
      </c>
      <c r="P76" s="837"/>
      <c r="Q76" s="372"/>
      <c r="R76" s="371"/>
      <c r="S76" s="372"/>
    </row>
    <row r="77" spans="1:19" ht="18">
      <c r="A77" s="832" t="s">
        <v>360</v>
      </c>
      <c r="B77" s="833"/>
      <c r="C77" s="833"/>
      <c r="D77" s="833"/>
      <c r="E77" s="833"/>
      <c r="F77" s="833"/>
      <c r="G77" s="833"/>
      <c r="H77" s="833"/>
      <c r="I77" s="394"/>
      <c r="J77" s="395"/>
      <c r="K77" s="834"/>
      <c r="L77" s="834"/>
      <c r="M77" s="835"/>
      <c r="N77" s="835"/>
      <c r="O77" s="836">
        <f>SUMPRODUCT(G60:G75,L60:L75)</f>
        <v>0</v>
      </c>
      <c r="P77" s="837"/>
      <c r="Q77" s="371"/>
      <c r="R77" s="402"/>
      <c r="S77" s="403"/>
    </row>
    <row r="78" spans="1:19" ht="18">
      <c r="A78" s="818" t="s">
        <v>361</v>
      </c>
      <c r="B78" s="819"/>
      <c r="C78" s="819"/>
      <c r="D78" s="819"/>
      <c r="E78" s="819"/>
      <c r="F78" s="819"/>
      <c r="G78" s="819"/>
      <c r="H78" s="819"/>
      <c r="I78" s="819"/>
      <c r="J78" s="819"/>
      <c r="K78" s="819"/>
      <c r="L78" s="819"/>
      <c r="M78" s="821"/>
      <c r="N78" s="821"/>
      <c r="O78" s="828">
        <f>O76-O77</f>
        <v>0</v>
      </c>
      <c r="P78" s="829"/>
    </row>
    <row r="79" spans="1:19" ht="18">
      <c r="A79" s="325" t="s">
        <v>362</v>
      </c>
      <c r="B79" s="326"/>
      <c r="C79" s="326"/>
      <c r="D79" s="326"/>
      <c r="E79" s="326"/>
      <c r="F79" s="326"/>
      <c r="G79" s="326"/>
      <c r="H79" s="326"/>
      <c r="I79" s="326"/>
      <c r="J79" s="326"/>
      <c r="K79" s="326"/>
      <c r="L79" s="326"/>
      <c r="M79" s="326"/>
      <c r="N79" s="326"/>
      <c r="O79" s="326"/>
      <c r="P79" s="358"/>
    </row>
    <row r="80" spans="1:19" ht="18">
      <c r="A80" s="830" t="s">
        <v>363</v>
      </c>
      <c r="B80" s="831"/>
      <c r="C80" s="831"/>
      <c r="D80" s="831" t="s">
        <v>328</v>
      </c>
      <c r="E80" s="831"/>
      <c r="F80" s="831" t="s">
        <v>364</v>
      </c>
      <c r="G80" s="831"/>
      <c r="H80" s="831"/>
      <c r="I80" s="831" t="s">
        <v>365</v>
      </c>
      <c r="J80" s="831"/>
      <c r="K80" s="831"/>
      <c r="L80" s="831"/>
      <c r="M80" s="806" t="s">
        <v>366</v>
      </c>
      <c r="N80" s="806"/>
      <c r="O80" s="806" t="s">
        <v>367</v>
      </c>
      <c r="P80" s="808"/>
    </row>
    <row r="81" spans="1:16" s="304" customFormat="1" ht="18">
      <c r="A81" s="823"/>
      <c r="B81" s="824"/>
      <c r="C81" s="824"/>
      <c r="D81" s="932"/>
      <c r="E81" s="932"/>
      <c r="F81" s="932"/>
      <c r="G81" s="932"/>
      <c r="H81" s="932"/>
      <c r="I81" s="932"/>
      <c r="J81" s="932"/>
      <c r="K81" s="932"/>
      <c r="L81" s="932"/>
      <c r="M81" s="933"/>
      <c r="N81" s="933"/>
      <c r="O81" s="826"/>
      <c r="P81" s="827"/>
    </row>
    <row r="82" spans="1:16" s="304" customFormat="1" ht="18">
      <c r="A82" s="823"/>
      <c r="B82" s="824"/>
      <c r="C82" s="824"/>
      <c r="D82" s="815"/>
      <c r="E82" s="815"/>
      <c r="F82" s="815"/>
      <c r="G82" s="815"/>
      <c r="H82" s="815"/>
      <c r="I82" s="815"/>
      <c r="J82" s="815"/>
      <c r="K82" s="815"/>
      <c r="L82" s="815"/>
      <c r="M82" s="816"/>
      <c r="N82" s="816"/>
      <c r="O82" s="816"/>
      <c r="P82" s="817"/>
    </row>
    <row r="83" spans="1:16" s="304" customFormat="1" ht="18">
      <c r="A83" s="813"/>
      <c r="B83" s="814"/>
      <c r="C83" s="814"/>
      <c r="D83" s="815"/>
      <c r="E83" s="815"/>
      <c r="F83" s="815"/>
      <c r="G83" s="815"/>
      <c r="H83" s="815"/>
      <c r="I83" s="815"/>
      <c r="J83" s="815"/>
      <c r="K83" s="815"/>
      <c r="L83" s="815"/>
      <c r="M83" s="816"/>
      <c r="N83" s="816"/>
      <c r="O83" s="816"/>
      <c r="P83" s="817"/>
    </row>
    <row r="84" spans="1:16" s="304" customFormat="1" ht="18">
      <c r="A84" s="927"/>
      <c r="B84" s="928"/>
      <c r="C84" s="928"/>
      <c r="D84" s="929"/>
      <c r="E84" s="929"/>
      <c r="F84" s="929"/>
      <c r="G84" s="929"/>
      <c r="H84" s="929"/>
      <c r="I84" s="929"/>
      <c r="J84" s="929"/>
      <c r="K84" s="929"/>
      <c r="L84" s="929"/>
      <c r="M84" s="930"/>
      <c r="N84" s="930"/>
      <c r="O84" s="930"/>
      <c r="P84" s="931"/>
    </row>
    <row r="85" spans="1:16" s="304" customFormat="1" ht="18">
      <c r="A85" s="802" t="s">
        <v>343</v>
      </c>
      <c r="B85" s="803"/>
      <c r="C85" s="803"/>
      <c r="D85" s="803"/>
      <c r="E85" s="803"/>
      <c r="F85" s="803"/>
      <c r="G85" s="803"/>
      <c r="H85" s="803"/>
      <c r="I85" s="803"/>
      <c r="J85" s="803"/>
      <c r="K85" s="803"/>
      <c r="L85" s="803"/>
      <c r="M85" s="804"/>
      <c r="N85" s="804"/>
      <c r="O85" s="804">
        <f>SUM(O81:P84)</f>
        <v>0</v>
      </c>
      <c r="P85" s="805"/>
    </row>
    <row r="86" spans="1:16" s="304" customFormat="1">
      <c r="A86" s="767" t="s">
        <v>296</v>
      </c>
      <c r="B86" s="768"/>
      <c r="C86" s="768"/>
      <c r="D86" s="768"/>
      <c r="E86" s="768"/>
      <c r="F86" s="768"/>
      <c r="G86" s="768"/>
      <c r="H86" s="768"/>
      <c r="I86" s="768"/>
      <c r="J86" s="768"/>
      <c r="K86" s="768"/>
      <c r="L86" s="768"/>
      <c r="M86" s="768"/>
      <c r="N86" s="768"/>
      <c r="O86" s="768"/>
      <c r="P86" s="769"/>
    </row>
    <row r="87" spans="1:16" s="304" customFormat="1">
      <c r="A87" s="770"/>
      <c r="B87" s="771"/>
      <c r="C87" s="771"/>
      <c r="D87" s="771"/>
      <c r="E87" s="771"/>
      <c r="F87" s="771"/>
      <c r="G87" s="771"/>
      <c r="H87" s="771"/>
      <c r="I87" s="771"/>
      <c r="J87" s="771"/>
      <c r="K87" s="771"/>
      <c r="L87" s="771"/>
      <c r="M87" s="771"/>
      <c r="N87" s="771"/>
      <c r="O87" s="771"/>
      <c r="P87" s="772"/>
    </row>
    <row r="88" spans="1:16" s="304" customFormat="1">
      <c r="A88" s="773"/>
      <c r="B88" s="774"/>
      <c r="C88" s="774"/>
      <c r="D88" s="774"/>
      <c r="E88" s="774"/>
      <c r="F88" s="774"/>
      <c r="G88" s="774"/>
      <c r="H88" s="774"/>
      <c r="I88" s="774"/>
      <c r="J88" s="774"/>
      <c r="K88" s="774"/>
      <c r="L88" s="774"/>
      <c r="M88" s="774"/>
      <c r="N88" s="774"/>
      <c r="O88" s="774"/>
      <c r="P88" s="775"/>
    </row>
    <row r="89" spans="1:16" s="304" customFormat="1" ht="18">
      <c r="A89" s="374" t="s">
        <v>368</v>
      </c>
      <c r="B89" s="375"/>
      <c r="C89" s="375"/>
      <c r="D89" s="375"/>
      <c r="E89" s="375"/>
      <c r="F89" s="375"/>
      <c r="G89" s="375"/>
      <c r="H89" s="375"/>
      <c r="I89" s="375"/>
      <c r="J89" s="375"/>
      <c r="K89" s="375"/>
      <c r="L89" s="375"/>
      <c r="M89" s="375"/>
      <c r="N89" s="375"/>
      <c r="O89" s="375"/>
      <c r="P89" s="396"/>
    </row>
    <row r="90" spans="1:16" s="304" customFormat="1" ht="18">
      <c r="A90" s="331" t="s">
        <v>369</v>
      </c>
      <c r="B90" s="332"/>
      <c r="C90" s="332"/>
      <c r="D90" s="332"/>
      <c r="E90" s="332"/>
      <c r="F90" s="806" t="s">
        <v>106</v>
      </c>
      <c r="G90" s="807"/>
      <c r="H90" s="340" t="s">
        <v>370</v>
      </c>
      <c r="I90" s="332"/>
      <c r="J90" s="332"/>
      <c r="K90" s="332"/>
      <c r="L90" s="332"/>
      <c r="M90" s="332"/>
      <c r="N90" s="332"/>
      <c r="O90" s="806" t="s">
        <v>106</v>
      </c>
      <c r="P90" s="808"/>
    </row>
    <row r="91" spans="1:16" s="304" customFormat="1" ht="18">
      <c r="A91" s="376" t="s">
        <v>326</v>
      </c>
      <c r="B91" s="377"/>
      <c r="C91" s="377"/>
      <c r="D91" s="378"/>
      <c r="E91" s="378"/>
      <c r="F91" s="925">
        <f>F39</f>
        <v>0</v>
      </c>
      <c r="G91" s="926"/>
      <c r="H91" s="379" t="s">
        <v>371</v>
      </c>
      <c r="I91" s="377"/>
      <c r="J91" s="377"/>
      <c r="K91" s="811"/>
      <c r="L91" s="811"/>
      <c r="M91" s="811"/>
      <c r="N91" s="811"/>
      <c r="O91" s="809">
        <f>SUM(M42:N45)</f>
        <v>0</v>
      </c>
      <c r="P91" s="812"/>
    </row>
    <row r="92" spans="1:16" s="304" customFormat="1" ht="18">
      <c r="A92" s="376" t="s">
        <v>372</v>
      </c>
      <c r="B92" s="380"/>
      <c r="C92" s="380"/>
      <c r="D92" s="378"/>
      <c r="E92" s="378"/>
      <c r="F92" s="923">
        <f>O39</f>
        <v>0</v>
      </c>
      <c r="G92" s="924"/>
      <c r="H92" s="381" t="s">
        <v>373</v>
      </c>
      <c r="I92" s="380"/>
      <c r="J92" s="380"/>
      <c r="K92" s="397"/>
      <c r="L92" s="397"/>
      <c r="M92" s="397"/>
      <c r="N92" s="397"/>
      <c r="O92" s="809">
        <f>O54</f>
        <v>0</v>
      </c>
      <c r="P92" s="812"/>
    </row>
    <row r="93" spans="1:16" s="304" customFormat="1" ht="18">
      <c r="A93" s="382" t="s">
        <v>374</v>
      </c>
      <c r="B93" s="383"/>
      <c r="C93" s="380"/>
      <c r="D93" s="378"/>
      <c r="E93" s="378"/>
      <c r="F93" s="923">
        <f>F46</f>
        <v>0</v>
      </c>
      <c r="G93" s="924"/>
      <c r="H93" s="381" t="s">
        <v>375</v>
      </c>
      <c r="I93" s="380"/>
      <c r="J93" s="380"/>
      <c r="K93" s="794"/>
      <c r="L93" s="794"/>
      <c r="M93" s="794"/>
      <c r="N93" s="794"/>
      <c r="O93" s="809">
        <f>O77</f>
        <v>0</v>
      </c>
      <c r="P93" s="812"/>
    </row>
    <row r="94" spans="1:16" s="304" customFormat="1" ht="18">
      <c r="A94" s="384" t="s">
        <v>334</v>
      </c>
      <c r="B94" s="380"/>
      <c r="C94" s="380"/>
      <c r="D94" s="378"/>
      <c r="E94" s="378"/>
      <c r="F94" s="923">
        <f>O46</f>
        <v>0</v>
      </c>
      <c r="G94" s="924"/>
      <c r="H94" s="796"/>
      <c r="I94" s="797"/>
      <c r="J94" s="797"/>
      <c r="K94" s="797"/>
      <c r="L94" s="797"/>
      <c r="M94" s="797"/>
      <c r="N94" s="797"/>
      <c r="O94" s="797"/>
      <c r="P94" s="798"/>
    </row>
    <row r="95" spans="1:16" s="304" customFormat="1" ht="18">
      <c r="A95" s="384" t="s">
        <v>345</v>
      </c>
      <c r="B95" s="380"/>
      <c r="C95" s="380"/>
      <c r="D95" s="378"/>
      <c r="E95" s="378"/>
      <c r="F95" s="923">
        <f>F54</f>
        <v>0</v>
      </c>
      <c r="G95" s="924"/>
      <c r="H95" s="800"/>
      <c r="I95" s="800"/>
      <c r="J95" s="800"/>
      <c r="K95" s="800"/>
      <c r="L95" s="800"/>
      <c r="M95" s="800"/>
      <c r="N95" s="800"/>
      <c r="O95" s="800"/>
      <c r="P95" s="801"/>
    </row>
    <row r="96" spans="1:16" s="304" customFormat="1" ht="18">
      <c r="A96" s="376" t="s">
        <v>376</v>
      </c>
      <c r="B96" s="377"/>
      <c r="C96" s="377"/>
      <c r="D96" s="378"/>
      <c r="E96" s="378"/>
      <c r="F96" s="776">
        <f>O76</f>
        <v>0</v>
      </c>
      <c r="G96" s="777"/>
      <c r="H96" s="800"/>
      <c r="I96" s="800"/>
      <c r="J96" s="800"/>
      <c r="K96" s="800"/>
      <c r="L96" s="800"/>
      <c r="M96" s="800"/>
      <c r="N96" s="800"/>
      <c r="O96" s="800"/>
      <c r="P96" s="801"/>
    </row>
    <row r="97" spans="1:16" s="304" customFormat="1" ht="18">
      <c r="A97" s="376" t="s">
        <v>362</v>
      </c>
      <c r="B97" s="377"/>
      <c r="C97" s="377"/>
      <c r="D97" s="378"/>
      <c r="E97" s="378"/>
      <c r="F97" s="923">
        <f>O85</f>
        <v>0</v>
      </c>
      <c r="G97" s="924"/>
      <c r="H97" s="778"/>
      <c r="I97" s="779"/>
      <c r="J97" s="779"/>
      <c r="K97" s="779"/>
      <c r="L97" s="779"/>
      <c r="M97" s="779"/>
      <c r="N97" s="779"/>
      <c r="O97" s="779"/>
      <c r="P97" s="780"/>
    </row>
    <row r="98" spans="1:16" s="304" customFormat="1" ht="18">
      <c r="A98" s="781" t="s">
        <v>377</v>
      </c>
      <c r="B98" s="782"/>
      <c r="C98" s="782"/>
      <c r="D98" s="782"/>
      <c r="E98" s="782"/>
      <c r="F98" s="783">
        <f>SUM(F91:G97)</f>
        <v>0</v>
      </c>
      <c r="G98" s="783"/>
      <c r="H98" s="785" t="s">
        <v>378</v>
      </c>
      <c r="I98" s="782"/>
      <c r="J98" s="782"/>
      <c r="K98" s="782"/>
      <c r="L98" s="782"/>
      <c r="M98" s="782"/>
      <c r="N98" s="782"/>
      <c r="O98" s="783">
        <f>SUM(O91:P93)</f>
        <v>0</v>
      </c>
      <c r="P98" s="786"/>
    </row>
    <row r="99" spans="1:16" s="304" customFormat="1" ht="21">
      <c r="A99" s="787"/>
      <c r="B99" s="788"/>
      <c r="C99" s="788"/>
      <c r="D99" s="788"/>
      <c r="E99" s="788"/>
      <c r="F99" s="788"/>
      <c r="G99" s="788"/>
      <c r="H99" s="790" t="s">
        <v>379</v>
      </c>
      <c r="I99" s="791"/>
      <c r="J99" s="791"/>
      <c r="K99" s="791"/>
      <c r="L99" s="791"/>
      <c r="M99" s="791"/>
      <c r="N99" s="791"/>
      <c r="O99" s="792">
        <f>F98-O98</f>
        <v>0</v>
      </c>
      <c r="P99" s="793"/>
    </row>
    <row r="100" spans="1:16" s="304" customFormat="1" ht="18">
      <c r="A100" s="385" t="s">
        <v>380</v>
      </c>
      <c r="B100" s="386"/>
      <c r="C100" s="386"/>
      <c r="D100" s="386"/>
      <c r="E100" s="386"/>
      <c r="F100" s="386"/>
      <c r="G100" s="386"/>
      <c r="H100" s="387"/>
      <c r="I100" s="387"/>
      <c r="J100" s="387"/>
      <c r="K100" s="387"/>
      <c r="L100" s="387"/>
      <c r="M100" s="387"/>
      <c r="N100" s="387"/>
      <c r="O100" s="387"/>
      <c r="P100" s="398"/>
    </row>
    <row r="101" spans="1:16" s="304" customFormat="1">
      <c r="A101" s="759" t="s">
        <v>381</v>
      </c>
      <c r="B101" s="760"/>
      <c r="C101" s="760"/>
      <c r="D101" s="760"/>
      <c r="E101" s="760"/>
      <c r="F101" s="760"/>
      <c r="G101" s="760"/>
      <c r="H101" s="760"/>
      <c r="I101" s="760"/>
      <c r="J101" s="760"/>
      <c r="K101" s="760"/>
      <c r="L101" s="760"/>
      <c r="M101" s="760"/>
      <c r="N101" s="760"/>
      <c r="O101" s="760"/>
      <c r="P101" s="761"/>
    </row>
    <row r="102" spans="1:16" s="304" customFormat="1">
      <c r="A102" s="762"/>
      <c r="B102" s="763"/>
      <c r="C102" s="763"/>
      <c r="D102" s="763"/>
      <c r="E102" s="763"/>
      <c r="F102" s="763"/>
      <c r="G102" s="763"/>
      <c r="H102" s="763"/>
      <c r="I102" s="763"/>
      <c r="J102" s="763"/>
      <c r="K102" s="763"/>
      <c r="L102" s="763"/>
      <c r="M102" s="763"/>
      <c r="N102" s="763"/>
      <c r="O102" s="763"/>
      <c r="P102" s="764"/>
    </row>
    <row r="103" spans="1:16" s="304" customFormat="1">
      <c r="A103" s="762"/>
      <c r="B103" s="763"/>
      <c r="C103" s="763"/>
      <c r="D103" s="763"/>
      <c r="E103" s="763"/>
      <c r="F103" s="763"/>
      <c r="G103" s="763"/>
      <c r="H103" s="763"/>
      <c r="I103" s="763"/>
      <c r="J103" s="763"/>
      <c r="K103" s="763"/>
      <c r="L103" s="763"/>
      <c r="M103" s="763"/>
      <c r="N103" s="763"/>
      <c r="O103" s="763"/>
      <c r="P103" s="764"/>
    </row>
    <row r="104" spans="1:16" s="304" customFormat="1">
      <c r="A104" s="762"/>
      <c r="B104" s="763"/>
      <c r="C104" s="763"/>
      <c r="D104" s="763"/>
      <c r="E104" s="763"/>
      <c r="F104" s="763"/>
      <c r="G104" s="763"/>
      <c r="H104" s="763"/>
      <c r="I104" s="763"/>
      <c r="J104" s="763"/>
      <c r="K104" s="763"/>
      <c r="L104" s="763"/>
      <c r="M104" s="763"/>
      <c r="N104" s="763"/>
      <c r="O104" s="763"/>
      <c r="P104" s="764"/>
    </row>
    <row r="105" spans="1:16" s="304" customFormat="1">
      <c r="A105" s="762"/>
      <c r="B105" s="763"/>
      <c r="C105" s="763"/>
      <c r="D105" s="763"/>
      <c r="E105" s="763"/>
      <c r="F105" s="763"/>
      <c r="G105" s="763"/>
      <c r="H105" s="763"/>
      <c r="I105" s="763"/>
      <c r="J105" s="763"/>
      <c r="K105" s="763"/>
      <c r="L105" s="763"/>
      <c r="M105" s="763"/>
      <c r="N105" s="763"/>
      <c r="O105" s="763"/>
      <c r="P105" s="764"/>
    </row>
    <row r="106" spans="1:16" s="304" customFormat="1">
      <c r="A106" s="762"/>
      <c r="B106" s="763"/>
      <c r="C106" s="763"/>
      <c r="D106" s="763"/>
      <c r="E106" s="763"/>
      <c r="F106" s="763"/>
      <c r="G106" s="763"/>
      <c r="H106" s="763"/>
      <c r="I106" s="763"/>
      <c r="J106" s="763"/>
      <c r="K106" s="763"/>
      <c r="L106" s="763"/>
      <c r="M106" s="763"/>
      <c r="N106" s="763"/>
      <c r="O106" s="763"/>
      <c r="P106" s="764"/>
    </row>
    <row r="107" spans="1:16" s="304" customFormat="1" ht="18">
      <c r="A107" s="388"/>
      <c r="B107" s="389"/>
      <c r="C107" s="389"/>
      <c r="D107" s="389"/>
      <c r="E107" s="389"/>
      <c r="F107" s="389"/>
      <c r="G107" s="389"/>
      <c r="H107" s="389"/>
      <c r="I107" s="389"/>
      <c r="J107" s="389"/>
      <c r="K107" s="389"/>
      <c r="L107" s="389"/>
      <c r="M107" s="389"/>
      <c r="N107" s="389"/>
      <c r="O107" s="389"/>
      <c r="P107" s="399"/>
    </row>
    <row r="108" spans="1:16" s="304" customFormat="1" ht="18">
      <c r="A108" s="388"/>
      <c r="B108" s="765"/>
      <c r="C108" s="765"/>
      <c r="D108" s="765"/>
      <c r="E108" s="765"/>
      <c r="F108" s="389"/>
      <c r="G108" s="389"/>
      <c r="H108" s="389"/>
      <c r="I108" s="389"/>
      <c r="J108" s="389"/>
      <c r="K108" s="389"/>
      <c r="L108" s="389"/>
      <c r="M108" s="389"/>
      <c r="N108" s="389"/>
      <c r="O108" s="389"/>
      <c r="P108" s="399"/>
    </row>
    <row r="109" spans="1:16" s="304" customFormat="1" ht="18">
      <c r="A109" s="390" t="s">
        <v>382</v>
      </c>
      <c r="B109" s="766"/>
      <c r="C109" s="766"/>
      <c r="D109" s="766"/>
      <c r="E109" s="766"/>
      <c r="F109" s="391"/>
      <c r="G109" s="391"/>
      <c r="H109" s="391" t="s">
        <v>383</v>
      </c>
      <c r="I109" s="743"/>
      <c r="J109" s="743"/>
      <c r="K109" s="391"/>
      <c r="L109" s="391"/>
      <c r="M109" s="391"/>
      <c r="N109" s="391"/>
      <c r="O109" s="391"/>
      <c r="P109" s="400"/>
    </row>
    <row r="110" spans="1:16" s="304" customFormat="1" ht="18">
      <c r="A110" s="390"/>
      <c r="B110" s="391"/>
      <c r="C110" s="392"/>
      <c r="D110" s="391"/>
      <c r="E110" s="391"/>
      <c r="F110" s="391"/>
      <c r="G110" s="391"/>
      <c r="H110" s="391"/>
      <c r="I110" s="391"/>
      <c r="J110" s="391"/>
      <c r="K110" s="391"/>
      <c r="L110" s="391"/>
      <c r="M110" s="391"/>
      <c r="N110" s="391"/>
      <c r="O110" s="391"/>
      <c r="P110" s="400"/>
    </row>
    <row r="111" spans="1:16" s="304" customFormat="1" ht="18">
      <c r="A111" s="385" t="s">
        <v>384</v>
      </c>
      <c r="B111" s="386"/>
      <c r="C111" s="386"/>
      <c r="D111" s="386"/>
      <c r="E111" s="386"/>
      <c r="F111" s="386"/>
      <c r="G111" s="386"/>
      <c r="H111" s="386"/>
      <c r="I111" s="386"/>
      <c r="J111" s="386"/>
      <c r="K111" s="386"/>
      <c r="L111" s="386"/>
      <c r="M111" s="386"/>
      <c r="N111" s="386"/>
      <c r="O111" s="386"/>
      <c r="P111" s="401"/>
    </row>
    <row r="112" spans="1:16" s="304" customFormat="1">
      <c r="A112" s="744" t="s">
        <v>385</v>
      </c>
      <c r="B112" s="745"/>
      <c r="C112" s="745"/>
      <c r="D112" s="745"/>
      <c r="E112" s="745"/>
      <c r="F112" s="745"/>
      <c r="G112" s="746"/>
      <c r="H112" s="753" t="s">
        <v>386</v>
      </c>
      <c r="I112" s="745"/>
      <c r="J112" s="745"/>
      <c r="K112" s="745"/>
      <c r="L112" s="745"/>
      <c r="M112" s="745"/>
      <c r="N112" s="745"/>
      <c r="O112" s="745"/>
      <c r="P112" s="754"/>
    </row>
    <row r="113" spans="1:16" s="304" customFormat="1">
      <c r="A113" s="747"/>
      <c r="B113" s="748"/>
      <c r="C113" s="748"/>
      <c r="D113" s="748"/>
      <c r="E113" s="748"/>
      <c r="F113" s="748"/>
      <c r="G113" s="749"/>
      <c r="H113" s="755"/>
      <c r="I113" s="748"/>
      <c r="J113" s="748"/>
      <c r="K113" s="748"/>
      <c r="L113" s="748"/>
      <c r="M113" s="748"/>
      <c r="N113" s="748"/>
      <c r="O113" s="748"/>
      <c r="P113" s="756"/>
    </row>
    <row r="114" spans="1:16" s="304" customFormat="1">
      <c r="A114" s="747"/>
      <c r="B114" s="748"/>
      <c r="C114" s="748"/>
      <c r="D114" s="748"/>
      <c r="E114" s="748"/>
      <c r="F114" s="748"/>
      <c r="G114" s="749"/>
      <c r="H114" s="755"/>
      <c r="I114" s="748"/>
      <c r="J114" s="748"/>
      <c r="K114" s="748"/>
      <c r="L114" s="748"/>
      <c r="M114" s="748"/>
      <c r="N114" s="748"/>
      <c r="O114" s="748"/>
      <c r="P114" s="756"/>
    </row>
    <row r="115" spans="1:16" s="304" customFormat="1">
      <c r="A115" s="747"/>
      <c r="B115" s="748"/>
      <c r="C115" s="748"/>
      <c r="D115" s="748"/>
      <c r="E115" s="748"/>
      <c r="F115" s="748"/>
      <c r="G115" s="749"/>
      <c r="H115" s="755"/>
      <c r="I115" s="748"/>
      <c r="J115" s="748"/>
      <c r="K115" s="748"/>
      <c r="L115" s="748"/>
      <c r="M115" s="748"/>
      <c r="N115" s="748"/>
      <c r="O115" s="748"/>
      <c r="P115" s="756"/>
    </row>
    <row r="116" spans="1:16" s="304" customFormat="1">
      <c r="A116" s="747"/>
      <c r="B116" s="748"/>
      <c r="C116" s="748"/>
      <c r="D116" s="748"/>
      <c r="E116" s="748"/>
      <c r="F116" s="748"/>
      <c r="G116" s="749"/>
      <c r="H116" s="755"/>
      <c r="I116" s="748"/>
      <c r="J116" s="748"/>
      <c r="K116" s="748"/>
      <c r="L116" s="748"/>
      <c r="M116" s="748"/>
      <c r="N116" s="748"/>
      <c r="O116" s="748"/>
      <c r="P116" s="756"/>
    </row>
    <row r="117" spans="1:16" s="304" customFormat="1">
      <c r="A117" s="747"/>
      <c r="B117" s="748"/>
      <c r="C117" s="748"/>
      <c r="D117" s="748"/>
      <c r="E117" s="748"/>
      <c r="F117" s="748"/>
      <c r="G117" s="749"/>
      <c r="H117" s="755"/>
      <c r="I117" s="748"/>
      <c r="J117" s="748"/>
      <c r="K117" s="748"/>
      <c r="L117" s="748"/>
      <c r="M117" s="748"/>
      <c r="N117" s="748"/>
      <c r="O117" s="748"/>
      <c r="P117" s="756"/>
    </row>
    <row r="118" spans="1:16" s="304" customFormat="1">
      <c r="A118" s="747"/>
      <c r="B118" s="748"/>
      <c r="C118" s="748"/>
      <c r="D118" s="748"/>
      <c r="E118" s="748"/>
      <c r="F118" s="748"/>
      <c r="G118" s="749"/>
      <c r="H118" s="755"/>
      <c r="I118" s="748"/>
      <c r="J118" s="748"/>
      <c r="K118" s="748"/>
      <c r="L118" s="748"/>
      <c r="M118" s="748"/>
      <c r="N118" s="748"/>
      <c r="O118" s="748"/>
      <c r="P118" s="756"/>
    </row>
    <row r="119" spans="1:16" s="304" customFormat="1">
      <c r="A119" s="747"/>
      <c r="B119" s="748"/>
      <c r="C119" s="748"/>
      <c r="D119" s="748"/>
      <c r="E119" s="748"/>
      <c r="F119" s="748"/>
      <c r="G119" s="749"/>
      <c r="H119" s="755"/>
      <c r="I119" s="748"/>
      <c r="J119" s="748"/>
      <c r="K119" s="748"/>
      <c r="L119" s="748"/>
      <c r="M119" s="748"/>
      <c r="N119" s="748"/>
      <c r="O119" s="748"/>
      <c r="P119" s="756"/>
    </row>
    <row r="120" spans="1:16" s="304" customFormat="1">
      <c r="A120" s="747"/>
      <c r="B120" s="748"/>
      <c r="C120" s="748"/>
      <c r="D120" s="748"/>
      <c r="E120" s="748"/>
      <c r="F120" s="748"/>
      <c r="G120" s="749"/>
      <c r="H120" s="755"/>
      <c r="I120" s="748"/>
      <c r="J120" s="748"/>
      <c r="K120" s="748"/>
      <c r="L120" s="748"/>
      <c r="M120" s="748"/>
      <c r="N120" s="748"/>
      <c r="O120" s="748"/>
      <c r="P120" s="756"/>
    </row>
    <row r="121" spans="1:16" s="304" customFormat="1">
      <c r="A121" s="747"/>
      <c r="B121" s="748"/>
      <c r="C121" s="748"/>
      <c r="D121" s="748"/>
      <c r="E121" s="748"/>
      <c r="F121" s="748"/>
      <c r="G121" s="749"/>
      <c r="H121" s="755"/>
      <c r="I121" s="748"/>
      <c r="J121" s="748"/>
      <c r="K121" s="748"/>
      <c r="L121" s="748"/>
      <c r="M121" s="748"/>
      <c r="N121" s="748"/>
      <c r="O121" s="748"/>
      <c r="P121" s="756"/>
    </row>
    <row r="122" spans="1:16" s="304" customFormat="1">
      <c r="A122" s="747"/>
      <c r="B122" s="748"/>
      <c r="C122" s="748"/>
      <c r="D122" s="748"/>
      <c r="E122" s="748"/>
      <c r="F122" s="748"/>
      <c r="G122" s="749"/>
      <c r="H122" s="755"/>
      <c r="I122" s="748"/>
      <c r="J122" s="748"/>
      <c r="K122" s="748"/>
      <c r="L122" s="748"/>
      <c r="M122" s="748"/>
      <c r="N122" s="748"/>
      <c r="O122" s="748"/>
      <c r="P122" s="756"/>
    </row>
    <row r="123" spans="1:16" s="304" customFormat="1">
      <c r="A123" s="747"/>
      <c r="B123" s="748"/>
      <c r="C123" s="748"/>
      <c r="D123" s="748"/>
      <c r="E123" s="748"/>
      <c r="F123" s="748"/>
      <c r="G123" s="749"/>
      <c r="H123" s="755"/>
      <c r="I123" s="748"/>
      <c r="J123" s="748"/>
      <c r="K123" s="748"/>
      <c r="L123" s="748"/>
      <c r="M123" s="748"/>
      <c r="N123" s="748"/>
      <c r="O123" s="748"/>
      <c r="P123" s="756"/>
    </row>
    <row r="124" spans="1:16" s="304" customFormat="1">
      <c r="A124" s="747"/>
      <c r="B124" s="748"/>
      <c r="C124" s="748"/>
      <c r="D124" s="748"/>
      <c r="E124" s="748"/>
      <c r="F124" s="748"/>
      <c r="G124" s="749"/>
      <c r="H124" s="755"/>
      <c r="I124" s="748"/>
      <c r="J124" s="748"/>
      <c r="K124" s="748"/>
      <c r="L124" s="748"/>
      <c r="M124" s="748"/>
      <c r="N124" s="748"/>
      <c r="O124" s="748"/>
      <c r="P124" s="756"/>
    </row>
    <row r="125" spans="1:16" s="304" customFormat="1">
      <c r="A125" s="747"/>
      <c r="B125" s="748"/>
      <c r="C125" s="748"/>
      <c r="D125" s="748"/>
      <c r="E125" s="748"/>
      <c r="F125" s="748"/>
      <c r="G125" s="749"/>
      <c r="H125" s="755"/>
      <c r="I125" s="748"/>
      <c r="J125" s="748"/>
      <c r="K125" s="748"/>
      <c r="L125" s="748"/>
      <c r="M125" s="748"/>
      <c r="N125" s="748"/>
      <c r="O125" s="748"/>
      <c r="P125" s="756"/>
    </row>
    <row r="126" spans="1:16" s="304" customFormat="1">
      <c r="A126" s="747"/>
      <c r="B126" s="748"/>
      <c r="C126" s="748"/>
      <c r="D126" s="748"/>
      <c r="E126" s="748"/>
      <c r="F126" s="748"/>
      <c r="G126" s="749"/>
      <c r="H126" s="755"/>
      <c r="I126" s="748"/>
      <c r="J126" s="748"/>
      <c r="K126" s="748"/>
      <c r="L126" s="748"/>
      <c r="M126" s="748"/>
      <c r="N126" s="748"/>
      <c r="O126" s="748"/>
      <c r="P126" s="756"/>
    </row>
    <row r="127" spans="1:16" s="304" customFormat="1">
      <c r="A127" s="747"/>
      <c r="B127" s="748"/>
      <c r="C127" s="748"/>
      <c r="D127" s="748"/>
      <c r="E127" s="748"/>
      <c r="F127" s="748"/>
      <c r="G127" s="749"/>
      <c r="H127" s="755"/>
      <c r="I127" s="748"/>
      <c r="J127" s="748"/>
      <c r="K127" s="748"/>
      <c r="L127" s="748"/>
      <c r="M127" s="748"/>
      <c r="N127" s="748"/>
      <c r="O127" s="748"/>
      <c r="P127" s="756"/>
    </row>
    <row r="128" spans="1:16" s="304" customFormat="1">
      <c r="A128" s="747"/>
      <c r="B128" s="748"/>
      <c r="C128" s="748"/>
      <c r="D128" s="748"/>
      <c r="E128" s="748"/>
      <c r="F128" s="748"/>
      <c r="G128" s="749"/>
      <c r="H128" s="755"/>
      <c r="I128" s="748"/>
      <c r="J128" s="748"/>
      <c r="K128" s="748"/>
      <c r="L128" s="748"/>
      <c r="M128" s="748"/>
      <c r="N128" s="748"/>
      <c r="O128" s="748"/>
      <c r="P128" s="756"/>
    </row>
    <row r="129" spans="1:16" s="304" customFormat="1">
      <c r="A129" s="747"/>
      <c r="B129" s="748"/>
      <c r="C129" s="748"/>
      <c r="D129" s="748"/>
      <c r="E129" s="748"/>
      <c r="F129" s="748"/>
      <c r="G129" s="749"/>
      <c r="H129" s="755"/>
      <c r="I129" s="748"/>
      <c r="J129" s="748"/>
      <c r="K129" s="748"/>
      <c r="L129" s="748"/>
      <c r="M129" s="748"/>
      <c r="N129" s="748"/>
      <c r="O129" s="748"/>
      <c r="P129" s="756"/>
    </row>
    <row r="130" spans="1:16" s="304" customFormat="1">
      <c r="A130" s="747"/>
      <c r="B130" s="748"/>
      <c r="C130" s="748"/>
      <c r="D130" s="748"/>
      <c r="E130" s="748"/>
      <c r="F130" s="748"/>
      <c r="G130" s="749"/>
      <c r="H130" s="755"/>
      <c r="I130" s="748"/>
      <c r="J130" s="748"/>
      <c r="K130" s="748"/>
      <c r="L130" s="748"/>
      <c r="M130" s="748"/>
      <c r="N130" s="748"/>
      <c r="O130" s="748"/>
      <c r="P130" s="756"/>
    </row>
    <row r="131" spans="1:16" s="304" customFormat="1">
      <c r="A131" s="747"/>
      <c r="B131" s="748"/>
      <c r="C131" s="748"/>
      <c r="D131" s="748"/>
      <c r="E131" s="748"/>
      <c r="F131" s="748"/>
      <c r="G131" s="749"/>
      <c r="H131" s="755"/>
      <c r="I131" s="748"/>
      <c r="J131" s="748"/>
      <c r="K131" s="748"/>
      <c r="L131" s="748"/>
      <c r="M131" s="748"/>
      <c r="N131" s="748"/>
      <c r="O131" s="748"/>
      <c r="P131" s="756"/>
    </row>
    <row r="132" spans="1:16" s="304" customFormat="1">
      <c r="A132" s="747"/>
      <c r="B132" s="748"/>
      <c r="C132" s="748"/>
      <c r="D132" s="748"/>
      <c r="E132" s="748"/>
      <c r="F132" s="748"/>
      <c r="G132" s="749"/>
      <c r="H132" s="755"/>
      <c r="I132" s="748"/>
      <c r="J132" s="748"/>
      <c r="K132" s="748"/>
      <c r="L132" s="748"/>
      <c r="M132" s="748"/>
      <c r="N132" s="748"/>
      <c r="O132" s="748"/>
      <c r="P132" s="756"/>
    </row>
    <row r="133" spans="1:16" s="304" customFormat="1">
      <c r="A133" s="750"/>
      <c r="B133" s="751"/>
      <c r="C133" s="751"/>
      <c r="D133" s="751"/>
      <c r="E133" s="751"/>
      <c r="F133" s="751"/>
      <c r="G133" s="752"/>
      <c r="H133" s="757"/>
      <c r="I133" s="751"/>
      <c r="J133" s="751"/>
      <c r="K133" s="751"/>
      <c r="L133" s="751"/>
      <c r="M133" s="751"/>
      <c r="N133" s="751"/>
      <c r="O133" s="751"/>
      <c r="P133" s="758"/>
    </row>
  </sheetData>
  <mergeCells count="305">
    <mergeCell ref="A16:C16"/>
    <mergeCell ref="I16:J16"/>
    <mergeCell ref="K16:L16"/>
    <mergeCell ref="M16:N16"/>
    <mergeCell ref="O16:P16"/>
    <mergeCell ref="A17:C17"/>
    <mergeCell ref="D17:H17"/>
    <mergeCell ref="I17:J17"/>
    <mergeCell ref="K17:L17"/>
    <mergeCell ref="M17:N17"/>
    <mergeCell ref="O17:P17"/>
    <mergeCell ref="A18:C18"/>
    <mergeCell ref="D18:I18"/>
    <mergeCell ref="J18:K18"/>
    <mergeCell ref="L18:M18"/>
    <mergeCell ref="N18:O18"/>
    <mergeCell ref="A19:C19"/>
    <mergeCell ref="D19:I19"/>
    <mergeCell ref="J19:K19"/>
    <mergeCell ref="L19:M19"/>
    <mergeCell ref="N19:O19"/>
    <mergeCell ref="A20:C20"/>
    <mergeCell ref="D20:E20"/>
    <mergeCell ref="O20:P20"/>
    <mergeCell ref="A21:C21"/>
    <mergeCell ref="D21:E21"/>
    <mergeCell ref="F21:G21"/>
    <mergeCell ref="H21:J21"/>
    <mergeCell ref="K21:P21"/>
    <mergeCell ref="A22:C22"/>
    <mergeCell ref="D22:I22"/>
    <mergeCell ref="J22:K22"/>
    <mergeCell ref="L22:M22"/>
    <mergeCell ref="N22:O22"/>
    <mergeCell ref="A23:C23"/>
    <mergeCell ref="D23:I23"/>
    <mergeCell ref="J23:K23"/>
    <mergeCell ref="L23:M23"/>
    <mergeCell ref="N23:O23"/>
    <mergeCell ref="M24:N24"/>
    <mergeCell ref="A25:C25"/>
    <mergeCell ref="D25:I25"/>
    <mergeCell ref="J25:L25"/>
    <mergeCell ref="M25:N25"/>
    <mergeCell ref="O25:P25"/>
    <mergeCell ref="M26:N26"/>
    <mergeCell ref="A27:C27"/>
    <mergeCell ref="D27:I27"/>
    <mergeCell ref="J27:L27"/>
    <mergeCell ref="M27:N27"/>
    <mergeCell ref="O27:P27"/>
    <mergeCell ref="F29:P29"/>
    <mergeCell ref="F30:P30"/>
    <mergeCell ref="F31:P31"/>
    <mergeCell ref="F32:P32"/>
    <mergeCell ref="F34:G34"/>
    <mergeCell ref="H34:J34"/>
    <mergeCell ref="O34:P34"/>
    <mergeCell ref="A35:C35"/>
    <mergeCell ref="D35:E35"/>
    <mergeCell ref="F35:G35"/>
    <mergeCell ref="H35:J35"/>
    <mergeCell ref="K35:M35"/>
    <mergeCell ref="O35:P35"/>
    <mergeCell ref="A36:C36"/>
    <mergeCell ref="D36:E36"/>
    <mergeCell ref="F36:G36"/>
    <mergeCell ref="H36:J36"/>
    <mergeCell ref="K36:M36"/>
    <mergeCell ref="O36:P36"/>
    <mergeCell ref="A37:C37"/>
    <mergeCell ref="D37:E37"/>
    <mergeCell ref="F37:G37"/>
    <mergeCell ref="H37:J37"/>
    <mergeCell ref="K37:M37"/>
    <mergeCell ref="O37:P37"/>
    <mergeCell ref="A38:C38"/>
    <mergeCell ref="D38:E38"/>
    <mergeCell ref="F38:G38"/>
    <mergeCell ref="H38:J38"/>
    <mergeCell ref="K38:M38"/>
    <mergeCell ref="O38:P38"/>
    <mergeCell ref="A39:E39"/>
    <mergeCell ref="F39:G39"/>
    <mergeCell ref="H39:N39"/>
    <mergeCell ref="O39:P39"/>
    <mergeCell ref="F41:G41"/>
    <mergeCell ref="H41:I41"/>
    <mergeCell ref="J41:K41"/>
    <mergeCell ref="M41:N41"/>
    <mergeCell ref="O41:P41"/>
    <mergeCell ref="A42:C42"/>
    <mergeCell ref="F42:G42"/>
    <mergeCell ref="H42:I42"/>
    <mergeCell ref="J42:K42"/>
    <mergeCell ref="M42:N42"/>
    <mergeCell ref="O42:P42"/>
    <mergeCell ref="A43:C43"/>
    <mergeCell ref="F43:G43"/>
    <mergeCell ref="H43:I43"/>
    <mergeCell ref="J43:K43"/>
    <mergeCell ref="M43:N43"/>
    <mergeCell ref="O43:P43"/>
    <mergeCell ref="A44:C44"/>
    <mergeCell ref="F44:G44"/>
    <mergeCell ref="H44:I44"/>
    <mergeCell ref="J44:K44"/>
    <mergeCell ref="M44:N44"/>
    <mergeCell ref="O44:P44"/>
    <mergeCell ref="A45:C45"/>
    <mergeCell ref="F45:G45"/>
    <mergeCell ref="H45:I45"/>
    <mergeCell ref="J45:K45"/>
    <mergeCell ref="M45:N45"/>
    <mergeCell ref="O45:P45"/>
    <mergeCell ref="A46:E46"/>
    <mergeCell ref="F46:G46"/>
    <mergeCell ref="M46:N46"/>
    <mergeCell ref="O46:P46"/>
    <mergeCell ref="F48:G48"/>
    <mergeCell ref="M48:N48"/>
    <mergeCell ref="O48:P48"/>
    <mergeCell ref="A49:C49"/>
    <mergeCell ref="F49:G49"/>
    <mergeCell ref="H49:J49"/>
    <mergeCell ref="M49:N49"/>
    <mergeCell ref="O49:P49"/>
    <mergeCell ref="A50:C50"/>
    <mergeCell ref="F50:G50"/>
    <mergeCell ref="H50:J50"/>
    <mergeCell ref="M50:N50"/>
    <mergeCell ref="O50:P50"/>
    <mergeCell ref="A51:C51"/>
    <mergeCell ref="F51:G51"/>
    <mergeCell ref="H51:J51"/>
    <mergeCell ref="M51:N51"/>
    <mergeCell ref="O51:P51"/>
    <mergeCell ref="A52:C52"/>
    <mergeCell ref="F52:G52"/>
    <mergeCell ref="H52:J52"/>
    <mergeCell ref="M52:N52"/>
    <mergeCell ref="O52:P52"/>
    <mergeCell ref="A53:C53"/>
    <mergeCell ref="F53:G53"/>
    <mergeCell ref="H53:J53"/>
    <mergeCell ref="M53:N53"/>
    <mergeCell ref="O53:P53"/>
    <mergeCell ref="A54:E54"/>
    <mergeCell ref="F54:G54"/>
    <mergeCell ref="H54:N54"/>
    <mergeCell ref="O54:P54"/>
    <mergeCell ref="H59:I59"/>
    <mergeCell ref="K59:L59"/>
    <mergeCell ref="M59:N59"/>
    <mergeCell ref="O59:P59"/>
    <mergeCell ref="A60:C60"/>
    <mergeCell ref="H60:I60"/>
    <mergeCell ref="J60:K60"/>
    <mergeCell ref="M60:N60"/>
    <mergeCell ref="O60:P60"/>
    <mergeCell ref="A61:C61"/>
    <mergeCell ref="H61:I61"/>
    <mergeCell ref="J61:K61"/>
    <mergeCell ref="M61:N61"/>
    <mergeCell ref="O61:P61"/>
    <mergeCell ref="A62:C62"/>
    <mergeCell ref="H62:I62"/>
    <mergeCell ref="J62:K62"/>
    <mergeCell ref="M62:N62"/>
    <mergeCell ref="O62:P62"/>
    <mergeCell ref="A63:C63"/>
    <mergeCell ref="H63:I63"/>
    <mergeCell ref="J63:K63"/>
    <mergeCell ref="M63:N63"/>
    <mergeCell ref="O63:P63"/>
    <mergeCell ref="A64:C64"/>
    <mergeCell ref="H64:I64"/>
    <mergeCell ref="J64:K64"/>
    <mergeCell ref="M64:N64"/>
    <mergeCell ref="O64:P64"/>
    <mergeCell ref="A65:C65"/>
    <mergeCell ref="H65:I65"/>
    <mergeCell ref="J65:K65"/>
    <mergeCell ref="M65:N65"/>
    <mergeCell ref="O65:P65"/>
    <mergeCell ref="A66:C66"/>
    <mergeCell ref="H66:I66"/>
    <mergeCell ref="J66:K66"/>
    <mergeCell ref="M66:N66"/>
    <mergeCell ref="O66:P66"/>
    <mergeCell ref="A67:C67"/>
    <mergeCell ref="H67:I67"/>
    <mergeCell ref="M67:N67"/>
    <mergeCell ref="O67:P67"/>
    <mergeCell ref="A68:C68"/>
    <mergeCell ref="H68:I68"/>
    <mergeCell ref="M68:N68"/>
    <mergeCell ref="O68:P68"/>
    <mergeCell ref="A69:C69"/>
    <mergeCell ref="H69:I69"/>
    <mergeCell ref="M69:N69"/>
    <mergeCell ref="O69:P69"/>
    <mergeCell ref="A70:C70"/>
    <mergeCell ref="H70:I70"/>
    <mergeCell ref="M70:N70"/>
    <mergeCell ref="O70:P70"/>
    <mergeCell ref="A71:C71"/>
    <mergeCell ref="H71:I71"/>
    <mergeCell ref="M71:N71"/>
    <mergeCell ref="O71:P71"/>
    <mergeCell ref="A72:C72"/>
    <mergeCell ref="H72:I72"/>
    <mergeCell ref="M72:N72"/>
    <mergeCell ref="O72:P72"/>
    <mergeCell ref="A73:C73"/>
    <mergeCell ref="H73:I73"/>
    <mergeCell ref="M73:N73"/>
    <mergeCell ref="O73:P73"/>
    <mergeCell ref="A74:C74"/>
    <mergeCell ref="H74:I74"/>
    <mergeCell ref="M74:N74"/>
    <mergeCell ref="O74:P74"/>
    <mergeCell ref="A75:C75"/>
    <mergeCell ref="H75:I75"/>
    <mergeCell ref="M75:N75"/>
    <mergeCell ref="O75:P75"/>
    <mergeCell ref="A76:E76"/>
    <mergeCell ref="F76:H76"/>
    <mergeCell ref="K76:L76"/>
    <mergeCell ref="M76:N76"/>
    <mergeCell ref="O76:P76"/>
    <mergeCell ref="A77:E77"/>
    <mergeCell ref="F77:H77"/>
    <mergeCell ref="K77:L77"/>
    <mergeCell ref="M77:N77"/>
    <mergeCell ref="O77:P77"/>
    <mergeCell ref="A78:L78"/>
    <mergeCell ref="M78:N78"/>
    <mergeCell ref="O78:P78"/>
    <mergeCell ref="A80:C80"/>
    <mergeCell ref="D80:E80"/>
    <mergeCell ref="F80:H80"/>
    <mergeCell ref="I80:L80"/>
    <mergeCell ref="M80:N80"/>
    <mergeCell ref="O80:P80"/>
    <mergeCell ref="A81:C81"/>
    <mergeCell ref="D81:E81"/>
    <mergeCell ref="F81:H81"/>
    <mergeCell ref="I81:L81"/>
    <mergeCell ref="M81:N81"/>
    <mergeCell ref="O81:P81"/>
    <mergeCell ref="A82:C82"/>
    <mergeCell ref="D82:E82"/>
    <mergeCell ref="F82:H82"/>
    <mergeCell ref="I82:L82"/>
    <mergeCell ref="M82:N82"/>
    <mergeCell ref="O82:P82"/>
    <mergeCell ref="A83:C83"/>
    <mergeCell ref="D83:E83"/>
    <mergeCell ref="F83:H83"/>
    <mergeCell ref="I83:L83"/>
    <mergeCell ref="M83:N83"/>
    <mergeCell ref="O83:P83"/>
    <mergeCell ref="A84:C84"/>
    <mergeCell ref="D84:E84"/>
    <mergeCell ref="F84:H84"/>
    <mergeCell ref="I84:L84"/>
    <mergeCell ref="M84:N84"/>
    <mergeCell ref="O84:P84"/>
    <mergeCell ref="F96:G96"/>
    <mergeCell ref="H96:P96"/>
    <mergeCell ref="A85:L85"/>
    <mergeCell ref="M85:N85"/>
    <mergeCell ref="O85:P85"/>
    <mergeCell ref="F90:G90"/>
    <mergeCell ref="O90:P90"/>
    <mergeCell ref="F91:G91"/>
    <mergeCell ref="K91:N91"/>
    <mergeCell ref="O91:P91"/>
    <mergeCell ref="F92:G92"/>
    <mergeCell ref="O92:P92"/>
    <mergeCell ref="I109:J109"/>
    <mergeCell ref="A112:G133"/>
    <mergeCell ref="H112:P133"/>
    <mergeCell ref="A101:P106"/>
    <mergeCell ref="B108:E109"/>
    <mergeCell ref="A86:P88"/>
    <mergeCell ref="A55:P57"/>
    <mergeCell ref="A12:P14"/>
    <mergeCell ref="F97:G97"/>
    <mergeCell ref="H97:P97"/>
    <mergeCell ref="A98:E98"/>
    <mergeCell ref="F98:G98"/>
    <mergeCell ref="H98:N98"/>
    <mergeCell ref="O98:P98"/>
    <mergeCell ref="A99:G99"/>
    <mergeCell ref="H99:N99"/>
    <mergeCell ref="O99:P99"/>
    <mergeCell ref="F93:G93"/>
    <mergeCell ref="K93:N93"/>
    <mergeCell ref="O93:P93"/>
    <mergeCell ref="F94:G94"/>
    <mergeCell ref="H94:P94"/>
    <mergeCell ref="F95:G95"/>
    <mergeCell ref="H95:P95"/>
  </mergeCells>
  <dataValidations count="4">
    <dataValidation type="list" allowBlank="1" showInputMessage="1" showErrorMessage="1" sqref="O17" xr:uid="{00000000-0002-0000-0800-000000000000}">
      <formula1>"Single,Common Law,Married,Divorced,Widowed"</formula1>
    </dataValidation>
    <dataValidation type="list" allowBlank="1" showInputMessage="1" showErrorMessage="1" sqref="E29:E32" xr:uid="{00000000-0002-0000-0800-000001000000}">
      <formula1>"YES,NO"</formula1>
    </dataValidation>
    <dataValidation type="list" allowBlank="1" showInputMessage="1" showErrorMessage="1" sqref="F60:F75 I76:I77" xr:uid="{00000000-0002-0000-0800-000002000000}">
      <formula1>"Residence,Vacation,Retail,Apartment,Commercial,Office,Industrial,Mixed,Land"</formula1>
    </dataValidation>
    <dataValidation type="list" allowBlank="1" showInputMessage="1" showErrorMessage="1" sqref="N35:N38" xr:uid="{00000000-0002-0000-0800-000003000000}">
      <formula1>"Stocks,Bonds,RRSP,TFSA,Jewelry,Metals,Other"</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2:T133"/>
  <sheetViews>
    <sheetView topLeftCell="A19" zoomScale="50" zoomScaleNormal="50" workbookViewId="0">
      <selection activeCell="Q26" sqref="Q26:Q27"/>
    </sheetView>
  </sheetViews>
  <sheetFormatPr defaultColWidth="9.44140625" defaultRowHeight="14.4"/>
  <cols>
    <col min="1" max="2" width="9.44140625" style="304"/>
    <col min="3" max="3" width="24.109375" style="304" customWidth="1"/>
    <col min="4" max="4" width="9.44140625" style="304" customWidth="1"/>
    <col min="5" max="5" width="21.6640625" style="304" customWidth="1"/>
    <col min="6" max="6" width="11" style="304" customWidth="1"/>
    <col min="7" max="7" width="12.33203125" style="304" customWidth="1"/>
    <col min="8" max="8" width="9.44140625" style="304" customWidth="1"/>
    <col min="9" max="9" width="21.6640625" style="304" customWidth="1"/>
    <col min="10" max="10" width="12.6640625" style="304" customWidth="1"/>
    <col min="11" max="11" width="9.109375" style="304" customWidth="1"/>
    <col min="12" max="12" width="23.33203125" style="304" customWidth="1"/>
    <col min="13" max="13" width="13.109375" style="304" customWidth="1"/>
    <col min="14" max="14" width="15.109375" style="304" customWidth="1"/>
    <col min="15" max="15" width="11" style="304" customWidth="1"/>
    <col min="16" max="16" width="19.6640625" style="304" customWidth="1"/>
    <col min="17" max="17" width="16.44140625" style="306" customWidth="1"/>
    <col min="18" max="18" width="10.6640625" style="304" customWidth="1"/>
    <col min="19" max="19" width="16.44140625" style="306" customWidth="1"/>
    <col min="20" max="20" width="18.6640625" style="304" customWidth="1"/>
    <col min="21" max="16384" width="9.44140625" style="304"/>
  </cols>
  <sheetData>
    <row r="12" spans="1:16" s="304" customFormat="1">
      <c r="A12" s="767" t="s">
        <v>296</v>
      </c>
      <c r="B12" s="768"/>
      <c r="C12" s="768"/>
      <c r="D12" s="768"/>
      <c r="E12" s="768"/>
      <c r="F12" s="768"/>
      <c r="G12" s="768"/>
      <c r="H12" s="768"/>
      <c r="I12" s="768"/>
      <c r="J12" s="768"/>
      <c r="K12" s="768"/>
      <c r="L12" s="768"/>
      <c r="M12" s="768"/>
      <c r="N12" s="768"/>
      <c r="O12" s="768"/>
      <c r="P12" s="769"/>
    </row>
    <row r="13" spans="1:16" s="304" customFormat="1">
      <c r="A13" s="770"/>
      <c r="B13" s="771"/>
      <c r="C13" s="771"/>
      <c r="D13" s="771"/>
      <c r="E13" s="771"/>
      <c r="F13" s="771"/>
      <c r="G13" s="771"/>
      <c r="H13" s="771"/>
      <c r="I13" s="771"/>
      <c r="J13" s="771"/>
      <c r="K13" s="771"/>
      <c r="L13" s="771"/>
      <c r="M13" s="771"/>
      <c r="N13" s="771"/>
      <c r="O13" s="771"/>
      <c r="P13" s="772"/>
    </row>
    <row r="14" spans="1:16" s="304" customFormat="1">
      <c r="A14" s="773"/>
      <c r="B14" s="774"/>
      <c r="C14" s="774"/>
      <c r="D14" s="774"/>
      <c r="E14" s="774"/>
      <c r="F14" s="774"/>
      <c r="G14" s="774"/>
      <c r="H14" s="774"/>
      <c r="I14" s="774"/>
      <c r="J14" s="774"/>
      <c r="K14" s="774"/>
      <c r="L14" s="774"/>
      <c r="M14" s="774"/>
      <c r="N14" s="774"/>
      <c r="O14" s="774"/>
      <c r="P14" s="775"/>
    </row>
    <row r="15" spans="1:16" s="304" customFormat="1" ht="18">
      <c r="A15" s="307" t="s">
        <v>297</v>
      </c>
      <c r="B15" s="308"/>
      <c r="C15" s="308"/>
      <c r="D15" s="308"/>
      <c r="E15" s="308"/>
      <c r="F15" s="308"/>
      <c r="G15" s="308"/>
      <c r="H15" s="308"/>
      <c r="I15" s="308"/>
      <c r="J15" s="308"/>
      <c r="K15" s="308"/>
      <c r="L15" s="308"/>
      <c r="M15" s="308"/>
      <c r="N15" s="308"/>
      <c r="O15" s="308"/>
      <c r="P15" s="352"/>
    </row>
    <row r="16" spans="1:16" s="304" customFormat="1" ht="18">
      <c r="A16" s="918" t="s">
        <v>298</v>
      </c>
      <c r="B16" s="919"/>
      <c r="C16" s="919"/>
      <c r="D16" s="309" t="s">
        <v>299</v>
      </c>
      <c r="E16" s="309"/>
      <c r="F16" s="309"/>
      <c r="G16" s="309"/>
      <c r="H16" s="309"/>
      <c r="I16" s="919" t="s">
        <v>300</v>
      </c>
      <c r="J16" s="919"/>
      <c r="K16" s="919" t="s">
        <v>301</v>
      </c>
      <c r="L16" s="919"/>
      <c r="M16" s="920" t="s">
        <v>302</v>
      </c>
      <c r="N16" s="920"/>
      <c r="O16" s="919" t="s">
        <v>303</v>
      </c>
      <c r="P16" s="921"/>
    </row>
    <row r="17" spans="1:16" s="304" customFormat="1" ht="18">
      <c r="A17" s="904" t="s">
        <v>388</v>
      </c>
      <c r="B17" s="869"/>
      <c r="C17" s="869"/>
      <c r="D17" s="869" t="s">
        <v>389</v>
      </c>
      <c r="E17" s="869"/>
      <c r="F17" s="869"/>
      <c r="G17" s="869"/>
      <c r="H17" s="869"/>
      <c r="I17" s="914">
        <v>27206</v>
      </c>
      <c r="J17" s="914"/>
      <c r="K17" s="869" t="s">
        <v>390</v>
      </c>
      <c r="L17" s="869"/>
      <c r="M17" s="869"/>
      <c r="N17" s="869"/>
      <c r="O17" s="869" t="s">
        <v>391</v>
      </c>
      <c r="P17" s="922"/>
    </row>
    <row r="18" spans="1:16" s="304" customFormat="1" ht="18">
      <c r="A18" s="911" t="s">
        <v>304</v>
      </c>
      <c r="B18" s="908"/>
      <c r="C18" s="908"/>
      <c r="D18" s="908" t="s">
        <v>305</v>
      </c>
      <c r="E18" s="908"/>
      <c r="F18" s="908"/>
      <c r="G18" s="908"/>
      <c r="H18" s="908"/>
      <c r="I18" s="908"/>
      <c r="J18" s="908" t="s">
        <v>306</v>
      </c>
      <c r="K18" s="908"/>
      <c r="L18" s="912" t="s">
        <v>307</v>
      </c>
      <c r="M18" s="912"/>
      <c r="N18" s="912" t="s">
        <v>308</v>
      </c>
      <c r="O18" s="912"/>
      <c r="P18" s="353"/>
    </row>
    <row r="19" spans="1:16" s="304" customFormat="1" ht="18">
      <c r="A19" s="904" t="s">
        <v>392</v>
      </c>
      <c r="B19" s="869"/>
      <c r="C19" s="869"/>
      <c r="D19" s="869" t="s">
        <v>389</v>
      </c>
      <c r="E19" s="869"/>
      <c r="F19" s="869"/>
      <c r="G19" s="869"/>
      <c r="H19" s="869"/>
      <c r="I19" s="869"/>
      <c r="J19" s="869" t="s">
        <v>393</v>
      </c>
      <c r="K19" s="869"/>
      <c r="L19" s="917">
        <v>37027</v>
      </c>
      <c r="M19" s="917"/>
      <c r="N19" s="915">
        <v>3</v>
      </c>
      <c r="O19" s="915"/>
      <c r="P19" s="354"/>
    </row>
    <row r="20" spans="1:16" s="304" customFormat="1" ht="18">
      <c r="A20" s="911" t="s">
        <v>309</v>
      </c>
      <c r="B20" s="908"/>
      <c r="C20" s="908"/>
      <c r="D20" s="908" t="s">
        <v>310</v>
      </c>
      <c r="E20" s="908"/>
      <c r="F20" s="311" t="s">
        <v>311</v>
      </c>
      <c r="G20" s="311"/>
      <c r="H20" s="311" t="s">
        <v>312</v>
      </c>
      <c r="I20" s="311"/>
      <c r="J20" s="311"/>
      <c r="K20" s="311" t="s">
        <v>313</v>
      </c>
      <c r="L20" s="311"/>
      <c r="M20" s="311"/>
      <c r="N20" s="311"/>
      <c r="O20" s="912"/>
      <c r="P20" s="913"/>
    </row>
    <row r="21" spans="1:16" s="304" customFormat="1" ht="18">
      <c r="A21" s="904" t="s">
        <v>394</v>
      </c>
      <c r="B21" s="869"/>
      <c r="C21" s="869"/>
      <c r="D21" s="914"/>
      <c r="E21" s="914"/>
      <c r="F21" s="869"/>
      <c r="G21" s="869"/>
      <c r="H21" s="915"/>
      <c r="I21" s="915"/>
      <c r="J21" s="915"/>
      <c r="K21" s="915"/>
      <c r="L21" s="915"/>
      <c r="M21" s="915"/>
      <c r="N21" s="915"/>
      <c r="O21" s="915"/>
      <c r="P21" s="916"/>
    </row>
    <row r="22" spans="1:16" s="304" customFormat="1" ht="18">
      <c r="A22" s="911" t="s">
        <v>314</v>
      </c>
      <c r="B22" s="908"/>
      <c r="C22" s="908"/>
      <c r="D22" s="908" t="s">
        <v>305</v>
      </c>
      <c r="E22" s="908"/>
      <c r="F22" s="908"/>
      <c r="G22" s="908"/>
      <c r="H22" s="908"/>
      <c r="I22" s="908"/>
      <c r="J22" s="908" t="s">
        <v>306</v>
      </c>
      <c r="K22" s="908"/>
      <c r="L22" s="912" t="s">
        <v>307</v>
      </c>
      <c r="M22" s="912"/>
      <c r="N22" s="912" t="s">
        <v>308</v>
      </c>
      <c r="O22" s="912"/>
      <c r="P22" s="353"/>
    </row>
    <row r="23" spans="1:16" s="304" customFormat="1" ht="18">
      <c r="A23" s="904"/>
      <c r="B23" s="869"/>
      <c r="C23" s="869"/>
      <c r="D23" s="905"/>
      <c r="E23" s="905"/>
      <c r="F23" s="905"/>
      <c r="G23" s="905"/>
      <c r="H23" s="905"/>
      <c r="I23" s="905"/>
      <c r="J23" s="905"/>
      <c r="K23" s="905"/>
      <c r="L23" s="906">
        <v>23550</v>
      </c>
      <c r="M23" s="906"/>
      <c r="N23" s="907"/>
      <c r="O23" s="907"/>
      <c r="P23" s="355"/>
    </row>
    <row r="24" spans="1:16" s="304" customFormat="1" ht="18">
      <c r="A24" s="312" t="s">
        <v>315</v>
      </c>
      <c r="B24" s="311"/>
      <c r="C24" s="311"/>
      <c r="D24" s="313" t="s">
        <v>305</v>
      </c>
      <c r="E24" s="313"/>
      <c r="F24" s="313"/>
      <c r="G24" s="313"/>
      <c r="H24" s="313"/>
      <c r="I24" s="313"/>
      <c r="J24" s="313" t="s">
        <v>316</v>
      </c>
      <c r="K24" s="313"/>
      <c r="L24" s="313"/>
      <c r="M24" s="908" t="s">
        <v>302</v>
      </c>
      <c r="N24" s="908"/>
      <c r="O24" s="313"/>
      <c r="P24" s="356"/>
    </row>
    <row r="25" spans="1:16" s="304" customFormat="1" ht="18">
      <c r="A25" s="904" t="s">
        <v>387</v>
      </c>
      <c r="B25" s="869"/>
      <c r="C25" s="869"/>
      <c r="D25" s="905" t="s">
        <v>317</v>
      </c>
      <c r="E25" s="905"/>
      <c r="F25" s="905"/>
      <c r="G25" s="905"/>
      <c r="H25" s="905"/>
      <c r="I25" s="905"/>
      <c r="J25" s="905"/>
      <c r="K25" s="905"/>
      <c r="L25" s="905"/>
      <c r="M25" s="905"/>
      <c r="N25" s="905"/>
      <c r="O25" s="909"/>
      <c r="P25" s="910"/>
    </row>
    <row r="26" spans="1:16" s="304" customFormat="1" ht="18">
      <c r="A26" s="312" t="s">
        <v>318</v>
      </c>
      <c r="B26" s="311"/>
      <c r="C26" s="311"/>
      <c r="D26" s="313" t="s">
        <v>305</v>
      </c>
      <c r="E26" s="313"/>
      <c r="F26" s="313"/>
      <c r="G26" s="313"/>
      <c r="H26" s="313"/>
      <c r="I26" s="313"/>
      <c r="J26" s="313" t="s">
        <v>319</v>
      </c>
      <c r="K26" s="313"/>
      <c r="L26" s="313"/>
      <c r="M26" s="895" t="s">
        <v>302</v>
      </c>
      <c r="N26" s="895"/>
      <c r="O26" s="313"/>
      <c r="P26" s="356"/>
    </row>
    <row r="27" spans="1:16" s="304" customFormat="1" ht="18">
      <c r="A27" s="896"/>
      <c r="B27" s="897"/>
      <c r="C27" s="897"/>
      <c r="D27" s="897"/>
      <c r="E27" s="897"/>
      <c r="F27" s="897"/>
      <c r="G27" s="897"/>
      <c r="H27" s="897"/>
      <c r="I27" s="897"/>
      <c r="J27" s="897"/>
      <c r="K27" s="897"/>
      <c r="L27" s="897"/>
      <c r="M27" s="897"/>
      <c r="N27" s="897"/>
      <c r="O27" s="898"/>
      <c r="P27" s="899"/>
    </row>
    <row r="28" spans="1:16" s="304" customFormat="1" ht="18">
      <c r="A28" s="314"/>
      <c r="B28" s="315"/>
      <c r="C28" s="315"/>
      <c r="D28" s="315"/>
      <c r="E28" s="315"/>
      <c r="F28" s="315"/>
      <c r="G28" s="315"/>
      <c r="H28" s="315"/>
      <c r="I28" s="315"/>
      <c r="J28" s="315"/>
      <c r="K28" s="315"/>
      <c r="L28" s="315"/>
      <c r="M28" s="315"/>
      <c r="N28" s="315"/>
      <c r="O28" s="315"/>
      <c r="P28" s="357"/>
    </row>
    <row r="29" spans="1:16" s="304" customFormat="1" ht="18">
      <c r="A29" s="316" t="s">
        <v>320</v>
      </c>
      <c r="B29" s="317"/>
      <c r="C29" s="317"/>
      <c r="D29" s="317"/>
      <c r="E29" s="318" t="s">
        <v>57</v>
      </c>
      <c r="F29" s="900" t="s">
        <v>321</v>
      </c>
      <c r="G29" s="900"/>
      <c r="H29" s="900"/>
      <c r="I29" s="900"/>
      <c r="J29" s="900"/>
      <c r="K29" s="900"/>
      <c r="L29" s="900"/>
      <c r="M29" s="900"/>
      <c r="N29" s="900"/>
      <c r="O29" s="900"/>
      <c r="P29" s="901"/>
    </row>
    <row r="30" spans="1:16" s="304" customFormat="1" ht="18">
      <c r="A30" s="319" t="s">
        <v>322</v>
      </c>
      <c r="B30" s="320"/>
      <c r="C30" s="320"/>
      <c r="D30" s="320"/>
      <c r="E30" s="321" t="s">
        <v>57</v>
      </c>
      <c r="F30" s="902" t="s">
        <v>323</v>
      </c>
      <c r="G30" s="902"/>
      <c r="H30" s="902"/>
      <c r="I30" s="902"/>
      <c r="J30" s="902"/>
      <c r="K30" s="902"/>
      <c r="L30" s="902"/>
      <c r="M30" s="902"/>
      <c r="N30" s="902"/>
      <c r="O30" s="902"/>
      <c r="P30" s="903"/>
    </row>
    <row r="31" spans="1:16" s="304" customFormat="1" ht="18">
      <c r="A31" s="319" t="s">
        <v>324</v>
      </c>
      <c r="B31" s="320"/>
      <c r="C31" s="320"/>
      <c r="D31" s="320"/>
      <c r="E31" s="321" t="s">
        <v>57</v>
      </c>
      <c r="F31" s="902" t="s">
        <v>321</v>
      </c>
      <c r="G31" s="902"/>
      <c r="H31" s="902"/>
      <c r="I31" s="902"/>
      <c r="J31" s="902"/>
      <c r="K31" s="902"/>
      <c r="L31" s="902"/>
      <c r="M31" s="902"/>
      <c r="N31" s="902"/>
      <c r="O31" s="902"/>
      <c r="P31" s="903"/>
    </row>
    <row r="32" spans="1:16" s="304" customFormat="1" ht="18">
      <c r="A32" s="322" t="s">
        <v>325</v>
      </c>
      <c r="B32" s="323"/>
      <c r="C32" s="323"/>
      <c r="D32" s="323"/>
      <c r="E32" s="324" t="s">
        <v>57</v>
      </c>
      <c r="F32" s="886" t="s">
        <v>323</v>
      </c>
      <c r="G32" s="886"/>
      <c r="H32" s="886"/>
      <c r="I32" s="886"/>
      <c r="J32" s="886"/>
      <c r="K32" s="886"/>
      <c r="L32" s="886"/>
      <c r="M32" s="886"/>
      <c r="N32" s="886"/>
      <c r="O32" s="886"/>
      <c r="P32" s="887"/>
    </row>
    <row r="33" spans="1:20" ht="18">
      <c r="A33" s="325" t="s">
        <v>326</v>
      </c>
      <c r="B33" s="326"/>
      <c r="C33" s="326"/>
      <c r="D33" s="326"/>
      <c r="E33" s="326"/>
      <c r="F33" s="326"/>
      <c r="G33" s="326"/>
      <c r="H33" s="327" t="s">
        <v>327</v>
      </c>
      <c r="I33" s="326"/>
      <c r="J33" s="326"/>
      <c r="K33" s="326"/>
      <c r="L33" s="326"/>
      <c r="M33" s="326"/>
      <c r="N33" s="326"/>
      <c r="O33" s="326"/>
      <c r="P33" s="358"/>
    </row>
    <row r="34" spans="1:20" ht="18">
      <c r="A34" s="328" t="s">
        <v>328</v>
      </c>
      <c r="B34" s="329"/>
      <c r="C34" s="329"/>
      <c r="D34" s="329" t="s">
        <v>329</v>
      </c>
      <c r="E34" s="329"/>
      <c r="F34" s="888" t="s">
        <v>187</v>
      </c>
      <c r="G34" s="889"/>
      <c r="H34" s="890" t="s">
        <v>330</v>
      </c>
      <c r="I34" s="891"/>
      <c r="J34" s="891"/>
      <c r="K34" s="359" t="s">
        <v>329</v>
      </c>
      <c r="L34" s="359"/>
      <c r="M34" s="359"/>
      <c r="N34" s="330" t="s">
        <v>109</v>
      </c>
      <c r="O34" s="888" t="s">
        <v>331</v>
      </c>
      <c r="P34" s="892"/>
    </row>
    <row r="35" spans="1:20" ht="18">
      <c r="A35" s="883" t="s">
        <v>395</v>
      </c>
      <c r="B35" s="854"/>
      <c r="C35" s="893"/>
      <c r="D35" s="853"/>
      <c r="E35" s="893"/>
      <c r="F35" s="894">
        <v>251316</v>
      </c>
      <c r="G35" s="851"/>
      <c r="H35" s="854"/>
      <c r="I35" s="854"/>
      <c r="J35" s="854"/>
      <c r="K35" s="854"/>
      <c r="L35" s="854"/>
      <c r="M35" s="854"/>
      <c r="N35" s="360" t="s">
        <v>396</v>
      </c>
      <c r="O35" s="851"/>
      <c r="P35" s="884"/>
    </row>
    <row r="36" spans="1:20" ht="18">
      <c r="A36" s="883"/>
      <c r="B36" s="854"/>
      <c r="C36" s="854"/>
      <c r="D36" s="854"/>
      <c r="E36" s="854"/>
      <c r="F36" s="851"/>
      <c r="G36" s="851"/>
      <c r="H36" s="854"/>
      <c r="I36" s="854"/>
      <c r="J36" s="854"/>
      <c r="K36" s="854"/>
      <c r="L36" s="854"/>
      <c r="M36" s="854"/>
      <c r="N36" s="360" t="s">
        <v>396</v>
      </c>
      <c r="O36" s="851"/>
      <c r="P36" s="884"/>
    </row>
    <row r="37" spans="1:20" ht="18">
      <c r="A37" s="883"/>
      <c r="B37" s="854"/>
      <c r="C37" s="854"/>
      <c r="D37" s="854"/>
      <c r="E37" s="854"/>
      <c r="F37" s="851"/>
      <c r="G37" s="852"/>
      <c r="H37" s="853"/>
      <c r="I37" s="854"/>
      <c r="J37" s="854"/>
      <c r="K37" s="854"/>
      <c r="L37" s="854"/>
      <c r="M37" s="854"/>
      <c r="N37" s="360" t="s">
        <v>396</v>
      </c>
      <c r="O37" s="851"/>
      <c r="P37" s="884"/>
    </row>
    <row r="38" spans="1:20" ht="18">
      <c r="A38" s="883"/>
      <c r="B38" s="854"/>
      <c r="C38" s="854"/>
      <c r="D38" s="854"/>
      <c r="E38" s="854"/>
      <c r="F38" s="851"/>
      <c r="G38" s="852"/>
      <c r="H38" s="853"/>
      <c r="I38" s="854"/>
      <c r="J38" s="854"/>
      <c r="K38" s="854"/>
      <c r="L38" s="854"/>
      <c r="M38" s="854"/>
      <c r="N38" s="360" t="s">
        <v>396</v>
      </c>
      <c r="O38" s="851"/>
      <c r="P38" s="884"/>
    </row>
    <row r="39" spans="1:20" ht="18">
      <c r="A39" s="857" t="s">
        <v>332</v>
      </c>
      <c r="B39" s="858"/>
      <c r="C39" s="858"/>
      <c r="D39" s="858"/>
      <c r="E39" s="858"/>
      <c r="F39" s="859">
        <f>SUM(F35:G38)</f>
        <v>251316</v>
      </c>
      <c r="G39" s="860"/>
      <c r="H39" s="861" t="s">
        <v>332</v>
      </c>
      <c r="I39" s="858"/>
      <c r="J39" s="858"/>
      <c r="K39" s="858"/>
      <c r="L39" s="858"/>
      <c r="M39" s="858"/>
      <c r="N39" s="858"/>
      <c r="O39" s="859">
        <f>SUM(O35:P38)</f>
        <v>0</v>
      </c>
      <c r="P39" s="885"/>
    </row>
    <row r="40" spans="1:20" ht="18">
      <c r="A40" s="325" t="s">
        <v>333</v>
      </c>
      <c r="B40" s="326"/>
      <c r="C40" s="326"/>
      <c r="D40" s="326"/>
      <c r="E40" s="326"/>
      <c r="F40" s="326"/>
      <c r="G40" s="326"/>
      <c r="H40" s="327" t="s">
        <v>334</v>
      </c>
      <c r="I40" s="326"/>
      <c r="J40" s="326"/>
      <c r="K40" s="326"/>
      <c r="L40" s="326"/>
      <c r="M40" s="326"/>
      <c r="N40" s="326"/>
      <c r="O40" s="326"/>
      <c r="P40" s="358"/>
    </row>
    <row r="41" spans="1:20" ht="18">
      <c r="A41" s="331" t="s">
        <v>335</v>
      </c>
      <c r="B41" s="332"/>
      <c r="C41" s="332"/>
      <c r="D41" s="332" t="s">
        <v>336</v>
      </c>
      <c r="E41" s="333" t="s">
        <v>337</v>
      </c>
      <c r="F41" s="806" t="s">
        <v>338</v>
      </c>
      <c r="G41" s="807"/>
      <c r="H41" s="879" t="s">
        <v>339</v>
      </c>
      <c r="I41" s="831"/>
      <c r="J41" s="831" t="s">
        <v>340</v>
      </c>
      <c r="K41" s="831"/>
      <c r="L41" s="332" t="s">
        <v>341</v>
      </c>
      <c r="M41" s="806" t="s">
        <v>342</v>
      </c>
      <c r="N41" s="806"/>
      <c r="O41" s="806" t="s">
        <v>331</v>
      </c>
      <c r="P41" s="808"/>
    </row>
    <row r="42" spans="1:20" ht="18">
      <c r="A42" s="864"/>
      <c r="B42" s="865"/>
      <c r="C42" s="865"/>
      <c r="D42" s="335"/>
      <c r="E42" s="336"/>
      <c r="F42" s="866"/>
      <c r="G42" s="867"/>
      <c r="H42" s="868"/>
      <c r="I42" s="869"/>
      <c r="J42" s="880"/>
      <c r="K42" s="880"/>
      <c r="L42" s="361"/>
      <c r="M42" s="870">
        <v>0</v>
      </c>
      <c r="N42" s="870"/>
      <c r="O42" s="881"/>
      <c r="P42" s="882"/>
    </row>
    <row r="43" spans="1:20" ht="18">
      <c r="A43" s="872"/>
      <c r="B43" s="873"/>
      <c r="C43" s="873"/>
      <c r="D43" s="337"/>
      <c r="E43" s="321"/>
      <c r="F43" s="851"/>
      <c r="G43" s="852"/>
      <c r="H43" s="853"/>
      <c r="I43" s="854"/>
      <c r="J43" s="854"/>
      <c r="K43" s="854"/>
      <c r="L43" s="362"/>
      <c r="M43" s="855">
        <v>0</v>
      </c>
      <c r="N43" s="855"/>
      <c r="O43" s="874"/>
      <c r="P43" s="875"/>
    </row>
    <row r="44" spans="1:20" ht="18">
      <c r="A44" s="872"/>
      <c r="B44" s="873"/>
      <c r="C44" s="873"/>
      <c r="D44" s="337"/>
      <c r="E44" s="321"/>
      <c r="F44" s="851"/>
      <c r="G44" s="852"/>
      <c r="H44" s="853"/>
      <c r="I44" s="854"/>
      <c r="J44" s="854"/>
      <c r="K44" s="854"/>
      <c r="L44" s="363"/>
      <c r="M44" s="855">
        <v>0</v>
      </c>
      <c r="N44" s="855"/>
      <c r="O44" s="874"/>
      <c r="P44" s="875"/>
    </row>
    <row r="45" spans="1:20" ht="18">
      <c r="A45" s="872"/>
      <c r="B45" s="873"/>
      <c r="C45" s="873"/>
      <c r="D45" s="337"/>
      <c r="E45" s="321"/>
      <c r="F45" s="851"/>
      <c r="G45" s="852"/>
      <c r="H45" s="853"/>
      <c r="I45" s="854"/>
      <c r="J45" s="854"/>
      <c r="K45" s="854"/>
      <c r="L45" s="310"/>
      <c r="M45" s="855"/>
      <c r="N45" s="855"/>
      <c r="O45" s="874">
        <f>L45-M45</f>
        <v>0</v>
      </c>
      <c r="P45" s="875"/>
    </row>
    <row r="46" spans="1:20" ht="18">
      <c r="A46" s="857" t="s">
        <v>343</v>
      </c>
      <c r="B46" s="858"/>
      <c r="C46" s="858"/>
      <c r="D46" s="858"/>
      <c r="E46" s="858"/>
      <c r="F46" s="859">
        <f>SUM(F42:G45)</f>
        <v>0</v>
      </c>
      <c r="G46" s="860"/>
      <c r="H46" s="338" t="s">
        <v>344</v>
      </c>
      <c r="I46" s="364"/>
      <c r="J46" s="364"/>
      <c r="K46" s="365"/>
      <c r="L46" s="365">
        <f>SUM(L42:L45)</f>
        <v>0</v>
      </c>
      <c r="M46" s="876">
        <f>SUM(M42:M45)</f>
        <v>0</v>
      </c>
      <c r="N46" s="876">
        <f>SUM(N42:N45)</f>
        <v>0</v>
      </c>
      <c r="O46" s="877">
        <f>SUM(O42:P45)</f>
        <v>0</v>
      </c>
      <c r="P46" s="878"/>
      <c r="T46" s="368"/>
    </row>
    <row r="47" spans="1:20" ht="18">
      <c r="A47" s="325" t="s">
        <v>345</v>
      </c>
      <c r="B47" s="326"/>
      <c r="C47" s="326"/>
      <c r="D47" s="326"/>
      <c r="E47" s="326"/>
      <c r="F47" s="326"/>
      <c r="G47" s="339"/>
      <c r="H47" s="326" t="s">
        <v>346</v>
      </c>
      <c r="I47" s="326"/>
      <c r="J47" s="326"/>
      <c r="K47" s="326"/>
      <c r="L47" s="326"/>
      <c r="M47" s="326"/>
      <c r="N47" s="326"/>
      <c r="O47" s="326"/>
      <c r="P47" s="358"/>
    </row>
    <row r="48" spans="1:20" ht="18">
      <c r="A48" s="328" t="s">
        <v>347</v>
      </c>
      <c r="B48" s="329"/>
      <c r="C48" s="329"/>
      <c r="D48" s="332" t="s">
        <v>348</v>
      </c>
      <c r="E48" s="333" t="s">
        <v>349</v>
      </c>
      <c r="F48" s="806" t="s">
        <v>338</v>
      </c>
      <c r="G48" s="807"/>
      <c r="H48" s="340" t="s">
        <v>350</v>
      </c>
      <c r="I48" s="329"/>
      <c r="J48" s="329"/>
      <c r="K48" s="329" t="s">
        <v>109</v>
      </c>
      <c r="L48" s="329" t="s">
        <v>337</v>
      </c>
      <c r="M48" s="806" t="s">
        <v>336</v>
      </c>
      <c r="N48" s="806"/>
      <c r="O48" s="806" t="s">
        <v>187</v>
      </c>
      <c r="P48" s="808"/>
    </row>
    <row r="49" spans="1:19" ht="18">
      <c r="A49" s="864"/>
      <c r="B49" s="865"/>
      <c r="C49" s="865"/>
      <c r="D49" s="335"/>
      <c r="E49" s="341"/>
      <c r="F49" s="866"/>
      <c r="G49" s="867"/>
      <c r="H49" s="868"/>
      <c r="I49" s="869"/>
      <c r="J49" s="869"/>
      <c r="K49" s="334"/>
      <c r="L49" s="366"/>
      <c r="M49" s="866"/>
      <c r="N49" s="866"/>
      <c r="O49" s="870"/>
      <c r="P49" s="871"/>
    </row>
    <row r="50" spans="1:19" ht="18">
      <c r="A50" s="849"/>
      <c r="B50" s="850"/>
      <c r="C50" s="850"/>
      <c r="D50" s="337"/>
      <c r="E50" s="342"/>
      <c r="F50" s="851"/>
      <c r="G50" s="852"/>
      <c r="H50" s="853"/>
      <c r="I50" s="854"/>
      <c r="J50" s="854"/>
      <c r="K50" s="334"/>
      <c r="L50" s="335"/>
      <c r="M50" s="851"/>
      <c r="N50" s="851"/>
      <c r="O50" s="855"/>
      <c r="P50" s="856"/>
    </row>
    <row r="51" spans="1:19" ht="18">
      <c r="A51" s="849"/>
      <c r="B51" s="850"/>
      <c r="C51" s="850"/>
      <c r="D51" s="337"/>
      <c r="E51" s="342"/>
      <c r="F51" s="851"/>
      <c r="G51" s="852"/>
      <c r="H51" s="853"/>
      <c r="I51" s="854"/>
      <c r="J51" s="854"/>
      <c r="K51" s="334"/>
      <c r="L51" s="335"/>
      <c r="M51" s="851"/>
      <c r="N51" s="851"/>
      <c r="O51" s="855"/>
      <c r="P51" s="856"/>
    </row>
    <row r="52" spans="1:19" ht="18">
      <c r="A52" s="849"/>
      <c r="B52" s="850"/>
      <c r="C52" s="850"/>
      <c r="D52" s="337"/>
      <c r="E52" s="343"/>
      <c r="F52" s="851"/>
      <c r="G52" s="852"/>
      <c r="H52" s="853"/>
      <c r="I52" s="854"/>
      <c r="J52" s="854"/>
      <c r="K52" s="334"/>
      <c r="L52" s="335"/>
      <c r="M52" s="851"/>
      <c r="N52" s="851"/>
      <c r="O52" s="855"/>
      <c r="P52" s="856"/>
    </row>
    <row r="53" spans="1:19" ht="18">
      <c r="A53" s="849"/>
      <c r="B53" s="850"/>
      <c r="C53" s="850"/>
      <c r="D53" s="337"/>
      <c r="E53" s="342"/>
      <c r="F53" s="851"/>
      <c r="G53" s="852"/>
      <c r="H53" s="853"/>
      <c r="I53" s="854"/>
      <c r="J53" s="854"/>
      <c r="K53" s="334"/>
      <c r="L53" s="335"/>
      <c r="M53" s="851"/>
      <c r="N53" s="851"/>
      <c r="O53" s="855"/>
      <c r="P53" s="856"/>
    </row>
    <row r="54" spans="1:19" ht="18">
      <c r="A54" s="857" t="s">
        <v>343</v>
      </c>
      <c r="B54" s="858"/>
      <c r="C54" s="858"/>
      <c r="D54" s="858"/>
      <c r="E54" s="858"/>
      <c r="F54" s="859">
        <f>SUM(F49:G53)</f>
        <v>0</v>
      </c>
      <c r="G54" s="860"/>
      <c r="H54" s="861" t="s">
        <v>343</v>
      </c>
      <c r="I54" s="858"/>
      <c r="J54" s="858"/>
      <c r="K54" s="858"/>
      <c r="L54" s="858"/>
      <c r="M54" s="858"/>
      <c r="N54" s="858"/>
      <c r="O54" s="862">
        <f>SUM(O49:P53)</f>
        <v>0</v>
      </c>
      <c r="P54" s="863"/>
    </row>
    <row r="55" spans="1:19">
      <c r="A55" s="767" t="s">
        <v>296</v>
      </c>
      <c r="B55" s="768"/>
      <c r="C55" s="768"/>
      <c r="D55" s="768"/>
      <c r="E55" s="768"/>
      <c r="F55" s="768"/>
      <c r="G55" s="768"/>
      <c r="H55" s="768"/>
      <c r="I55" s="768"/>
      <c r="J55" s="768"/>
      <c r="K55" s="768"/>
      <c r="L55" s="768"/>
      <c r="M55" s="768"/>
      <c r="N55" s="768"/>
      <c r="O55" s="768"/>
      <c r="P55" s="769"/>
    </row>
    <row r="56" spans="1:19">
      <c r="A56" s="770"/>
      <c r="B56" s="771"/>
      <c r="C56" s="771"/>
      <c r="D56" s="771"/>
      <c r="E56" s="771"/>
      <c r="F56" s="771"/>
      <c r="G56" s="771"/>
      <c r="H56" s="771"/>
      <c r="I56" s="771"/>
      <c r="J56" s="771"/>
      <c r="K56" s="771"/>
      <c r="L56" s="771"/>
      <c r="M56" s="771"/>
      <c r="N56" s="771"/>
      <c r="O56" s="771"/>
      <c r="P56" s="772"/>
    </row>
    <row r="57" spans="1:19">
      <c r="A57" s="773"/>
      <c r="B57" s="774"/>
      <c r="C57" s="774"/>
      <c r="D57" s="774"/>
      <c r="E57" s="774"/>
      <c r="F57" s="774"/>
      <c r="G57" s="774"/>
      <c r="H57" s="774"/>
      <c r="I57" s="774"/>
      <c r="J57" s="774"/>
      <c r="K57" s="774"/>
      <c r="L57" s="774"/>
      <c r="M57" s="774"/>
      <c r="N57" s="774"/>
      <c r="O57" s="774"/>
      <c r="P57" s="775"/>
      <c r="Q57" s="369"/>
    </row>
    <row r="58" spans="1:19" s="305" customFormat="1" ht="18">
      <c r="A58" s="325" t="s">
        <v>351</v>
      </c>
      <c r="B58" s="326"/>
      <c r="C58" s="326"/>
      <c r="D58" s="326"/>
      <c r="E58" s="326"/>
      <c r="F58" s="326"/>
      <c r="G58" s="326"/>
      <c r="H58" s="326"/>
      <c r="I58" s="326"/>
      <c r="J58" s="326"/>
      <c r="K58" s="326"/>
      <c r="L58" s="326"/>
      <c r="M58" s="326"/>
      <c r="N58" s="326"/>
      <c r="O58" s="326"/>
      <c r="P58" s="358"/>
      <c r="Q58" s="370"/>
    </row>
    <row r="59" spans="1:19" ht="36">
      <c r="A59" s="344" t="s">
        <v>352</v>
      </c>
      <c r="B59" s="345"/>
      <c r="C59" s="345"/>
      <c r="D59" s="345" t="s">
        <v>353</v>
      </c>
      <c r="E59" s="346" t="s">
        <v>354</v>
      </c>
      <c r="F59" s="345" t="s">
        <v>109</v>
      </c>
      <c r="G59" s="347" t="s">
        <v>349</v>
      </c>
      <c r="H59" s="846" t="s">
        <v>355</v>
      </c>
      <c r="I59" s="846"/>
      <c r="J59" s="347" t="s">
        <v>331</v>
      </c>
      <c r="K59" s="847" t="s">
        <v>356</v>
      </c>
      <c r="L59" s="847"/>
      <c r="M59" s="847" t="s">
        <v>357</v>
      </c>
      <c r="N59" s="847"/>
      <c r="O59" s="847" t="s">
        <v>358</v>
      </c>
      <c r="P59" s="848"/>
      <c r="Q59" s="370" t="s">
        <v>40</v>
      </c>
    </row>
    <row r="60" spans="1:19" ht="18">
      <c r="A60" s="843"/>
      <c r="B60" s="844"/>
      <c r="C60" s="844"/>
      <c r="D60" s="348"/>
      <c r="E60" s="349"/>
      <c r="F60" s="348"/>
      <c r="G60" s="350"/>
      <c r="H60" s="840"/>
      <c r="I60" s="840"/>
      <c r="J60" s="845"/>
      <c r="K60" s="845"/>
      <c r="L60" s="367"/>
      <c r="M60" s="841">
        <f t="shared" ref="M60:M75" si="0">J60-L60</f>
        <v>0</v>
      </c>
      <c r="N60" s="841"/>
      <c r="O60" s="841">
        <f>M60*G60</f>
        <v>0</v>
      </c>
      <c r="P60" s="842"/>
      <c r="Q60" s="371">
        <f>IF(L60&gt;0,L60/J60,0)</f>
        <v>0</v>
      </c>
    </row>
    <row r="61" spans="1:19" ht="18">
      <c r="A61" s="843"/>
      <c r="B61" s="844"/>
      <c r="C61" s="844"/>
      <c r="D61" s="348"/>
      <c r="E61" s="349"/>
      <c r="F61" s="348"/>
      <c r="G61" s="350"/>
      <c r="H61" s="840"/>
      <c r="I61" s="840"/>
      <c r="J61" s="845"/>
      <c r="K61" s="845"/>
      <c r="L61" s="367"/>
      <c r="M61" s="841">
        <f t="shared" si="0"/>
        <v>0</v>
      </c>
      <c r="N61" s="841"/>
      <c r="O61" s="841">
        <f>M61*G61</f>
        <v>0</v>
      </c>
      <c r="P61" s="842"/>
      <c r="Q61" s="371">
        <f t="shared" ref="Q61:Q66" si="1">IF(L61&gt;0,L61/J61,0)</f>
        <v>0</v>
      </c>
      <c r="R61" s="371"/>
      <c r="S61" s="372"/>
    </row>
    <row r="62" spans="1:19" ht="18">
      <c r="A62" s="843"/>
      <c r="B62" s="844"/>
      <c r="C62" s="844"/>
      <c r="D62" s="348"/>
      <c r="E62" s="351"/>
      <c r="F62" s="348"/>
      <c r="G62" s="350"/>
      <c r="H62" s="840"/>
      <c r="I62" s="840"/>
      <c r="J62" s="845"/>
      <c r="K62" s="845"/>
      <c r="L62" s="367"/>
      <c r="M62" s="841">
        <f t="shared" si="0"/>
        <v>0</v>
      </c>
      <c r="N62" s="841"/>
      <c r="O62" s="841">
        <f>M62*G62</f>
        <v>0</v>
      </c>
      <c r="P62" s="842"/>
      <c r="Q62" s="371">
        <f t="shared" si="1"/>
        <v>0</v>
      </c>
      <c r="R62" s="371"/>
      <c r="S62" s="372"/>
    </row>
    <row r="63" spans="1:19" ht="18">
      <c r="A63" s="843"/>
      <c r="B63" s="844"/>
      <c r="C63" s="844"/>
      <c r="D63" s="348"/>
      <c r="E63" s="351"/>
      <c r="F63" s="348"/>
      <c r="G63" s="350"/>
      <c r="H63" s="840"/>
      <c r="I63" s="840"/>
      <c r="J63" s="845"/>
      <c r="K63" s="845"/>
      <c r="L63" s="367"/>
      <c r="M63" s="841">
        <f t="shared" si="0"/>
        <v>0</v>
      </c>
      <c r="N63" s="841"/>
      <c r="O63" s="841">
        <f>M63*G62</f>
        <v>0</v>
      </c>
      <c r="P63" s="842"/>
      <c r="Q63" s="371">
        <f t="shared" si="1"/>
        <v>0</v>
      </c>
      <c r="R63" s="371"/>
      <c r="S63" s="372"/>
    </row>
    <row r="64" spans="1:19" ht="18">
      <c r="A64" s="843"/>
      <c r="B64" s="844"/>
      <c r="C64" s="844"/>
      <c r="D64" s="348"/>
      <c r="E64" s="351"/>
      <c r="F64" s="348"/>
      <c r="G64" s="350"/>
      <c r="H64" s="840"/>
      <c r="I64" s="840"/>
      <c r="J64" s="845"/>
      <c r="K64" s="845"/>
      <c r="L64" s="367"/>
      <c r="M64" s="841">
        <f t="shared" si="0"/>
        <v>0</v>
      </c>
      <c r="N64" s="841"/>
      <c r="O64" s="841">
        <f t="shared" ref="O64:O75" si="2">M64*G64</f>
        <v>0</v>
      </c>
      <c r="P64" s="842"/>
      <c r="Q64" s="371">
        <f t="shared" si="1"/>
        <v>0</v>
      </c>
      <c r="R64" s="371"/>
      <c r="S64" s="372"/>
    </row>
    <row r="65" spans="1:19" ht="18">
      <c r="A65" s="843"/>
      <c r="B65" s="844"/>
      <c r="C65" s="844"/>
      <c r="D65" s="348"/>
      <c r="E65" s="351"/>
      <c r="F65" s="348"/>
      <c r="G65" s="350"/>
      <c r="H65" s="840"/>
      <c r="I65" s="840"/>
      <c r="J65" s="845"/>
      <c r="K65" s="845"/>
      <c r="L65" s="367"/>
      <c r="M65" s="841">
        <f t="shared" si="0"/>
        <v>0</v>
      </c>
      <c r="N65" s="841"/>
      <c r="O65" s="841">
        <f t="shared" si="2"/>
        <v>0</v>
      </c>
      <c r="P65" s="842"/>
      <c r="Q65" s="371">
        <f t="shared" si="1"/>
        <v>0</v>
      </c>
      <c r="R65" s="371"/>
      <c r="S65" s="372"/>
    </row>
    <row r="66" spans="1:19" ht="18">
      <c r="A66" s="843"/>
      <c r="B66" s="844"/>
      <c r="C66" s="844"/>
      <c r="D66" s="348"/>
      <c r="E66" s="351"/>
      <c r="F66" s="348"/>
      <c r="G66" s="350"/>
      <c r="H66" s="840"/>
      <c r="I66" s="840"/>
      <c r="J66" s="845"/>
      <c r="K66" s="845"/>
      <c r="L66" s="367"/>
      <c r="M66" s="841">
        <f t="shared" si="0"/>
        <v>0</v>
      </c>
      <c r="N66" s="841"/>
      <c r="O66" s="841">
        <f t="shared" si="2"/>
        <v>0</v>
      </c>
      <c r="P66" s="842"/>
      <c r="Q66" s="371">
        <f t="shared" si="1"/>
        <v>0</v>
      </c>
      <c r="R66" s="371"/>
      <c r="S66" s="372"/>
    </row>
    <row r="67" spans="1:19" ht="18">
      <c r="A67" s="838"/>
      <c r="B67" s="839"/>
      <c r="C67" s="839"/>
      <c r="D67" s="348"/>
      <c r="E67" s="373"/>
      <c r="F67" s="348"/>
      <c r="G67" s="350"/>
      <c r="H67" s="840"/>
      <c r="I67" s="840"/>
      <c r="J67" s="393"/>
      <c r="K67" s="393"/>
      <c r="L67" s="393"/>
      <c r="M67" s="841">
        <f t="shared" si="0"/>
        <v>0</v>
      </c>
      <c r="N67" s="841"/>
      <c r="O67" s="841">
        <f t="shared" si="2"/>
        <v>0</v>
      </c>
      <c r="P67" s="842"/>
      <c r="Q67" s="371">
        <f>IF(L68&gt;0,L68/J68,0)</f>
        <v>0</v>
      </c>
      <c r="R67" s="371"/>
      <c r="S67" s="372"/>
    </row>
    <row r="68" spans="1:19" ht="18">
      <c r="A68" s="838"/>
      <c r="B68" s="839"/>
      <c r="C68" s="839"/>
      <c r="D68" s="348"/>
      <c r="E68" s="373"/>
      <c r="F68" s="348"/>
      <c r="G68" s="350"/>
      <c r="H68" s="840"/>
      <c r="I68" s="840"/>
      <c r="J68" s="393"/>
      <c r="K68" s="393"/>
      <c r="L68" s="393"/>
      <c r="M68" s="841">
        <f t="shared" si="0"/>
        <v>0</v>
      </c>
      <c r="N68" s="841"/>
      <c r="O68" s="841">
        <f t="shared" si="2"/>
        <v>0</v>
      </c>
      <c r="P68" s="842"/>
      <c r="Q68" s="371">
        <f>IF(L69&gt;0,L69/J69,0)</f>
        <v>0</v>
      </c>
      <c r="R68" s="371"/>
      <c r="S68" s="372"/>
    </row>
    <row r="69" spans="1:19" ht="18">
      <c r="A69" s="838"/>
      <c r="B69" s="839"/>
      <c r="C69" s="839"/>
      <c r="D69" s="348"/>
      <c r="E69" s="373"/>
      <c r="F69" s="348"/>
      <c r="G69" s="350"/>
      <c r="H69" s="840"/>
      <c r="I69" s="840"/>
      <c r="J69" s="393"/>
      <c r="K69" s="393"/>
      <c r="L69" s="393"/>
      <c r="M69" s="841">
        <f t="shared" si="0"/>
        <v>0</v>
      </c>
      <c r="N69" s="841"/>
      <c r="O69" s="841">
        <f t="shared" si="2"/>
        <v>0</v>
      </c>
      <c r="P69" s="842"/>
      <c r="Q69" s="371">
        <f t="shared" ref="Q69:Q74" si="3">IF(L70&gt;0,L70/J70,0)</f>
        <v>0</v>
      </c>
      <c r="R69" s="371"/>
      <c r="S69" s="372"/>
    </row>
    <row r="70" spans="1:19" ht="18">
      <c r="A70" s="838"/>
      <c r="B70" s="839"/>
      <c r="C70" s="839"/>
      <c r="D70" s="348"/>
      <c r="E70" s="373"/>
      <c r="F70" s="348"/>
      <c r="G70" s="350"/>
      <c r="H70" s="840"/>
      <c r="I70" s="840"/>
      <c r="J70" s="393"/>
      <c r="K70" s="393"/>
      <c r="L70" s="393"/>
      <c r="M70" s="841">
        <f t="shared" si="0"/>
        <v>0</v>
      </c>
      <c r="N70" s="841"/>
      <c r="O70" s="841">
        <f t="shared" si="2"/>
        <v>0</v>
      </c>
      <c r="P70" s="842"/>
      <c r="Q70" s="371">
        <f t="shared" si="3"/>
        <v>0</v>
      </c>
      <c r="R70" s="371"/>
      <c r="S70" s="372"/>
    </row>
    <row r="71" spans="1:19" ht="18">
      <c r="A71" s="838"/>
      <c r="B71" s="839"/>
      <c r="C71" s="839"/>
      <c r="D71" s="348"/>
      <c r="E71" s="373"/>
      <c r="F71" s="348"/>
      <c r="G71" s="350"/>
      <c r="H71" s="840"/>
      <c r="I71" s="840"/>
      <c r="J71" s="393"/>
      <c r="K71" s="393"/>
      <c r="L71" s="393"/>
      <c r="M71" s="841">
        <f t="shared" si="0"/>
        <v>0</v>
      </c>
      <c r="N71" s="841"/>
      <c r="O71" s="841">
        <f t="shared" si="2"/>
        <v>0</v>
      </c>
      <c r="P71" s="842"/>
      <c r="Q71" s="371">
        <f t="shared" si="3"/>
        <v>0</v>
      </c>
      <c r="R71" s="371"/>
      <c r="S71" s="372"/>
    </row>
    <row r="72" spans="1:19" ht="18">
      <c r="A72" s="838"/>
      <c r="B72" s="839"/>
      <c r="C72" s="839"/>
      <c r="D72" s="348"/>
      <c r="E72" s="373"/>
      <c r="F72" s="348"/>
      <c r="G72" s="350"/>
      <c r="H72" s="840"/>
      <c r="I72" s="840"/>
      <c r="J72" s="393"/>
      <c r="K72" s="393"/>
      <c r="L72" s="393"/>
      <c r="M72" s="841">
        <f t="shared" si="0"/>
        <v>0</v>
      </c>
      <c r="N72" s="841"/>
      <c r="O72" s="841">
        <f t="shared" si="2"/>
        <v>0</v>
      </c>
      <c r="P72" s="842"/>
      <c r="Q72" s="371">
        <f t="shared" si="3"/>
        <v>0</v>
      </c>
      <c r="R72" s="371"/>
      <c r="S72" s="372"/>
    </row>
    <row r="73" spans="1:19" ht="18">
      <c r="A73" s="838"/>
      <c r="B73" s="839"/>
      <c r="C73" s="839"/>
      <c r="D73" s="348"/>
      <c r="E73" s="373"/>
      <c r="F73" s="348"/>
      <c r="G73" s="350"/>
      <c r="H73" s="840"/>
      <c r="I73" s="840"/>
      <c r="J73" s="393"/>
      <c r="K73" s="393"/>
      <c r="L73" s="393"/>
      <c r="M73" s="841">
        <f t="shared" si="0"/>
        <v>0</v>
      </c>
      <c r="N73" s="841"/>
      <c r="O73" s="841">
        <f t="shared" si="2"/>
        <v>0</v>
      </c>
      <c r="P73" s="842"/>
      <c r="Q73" s="371">
        <f t="shared" si="3"/>
        <v>0</v>
      </c>
      <c r="R73" s="371"/>
      <c r="S73" s="372"/>
    </row>
    <row r="74" spans="1:19" ht="18">
      <c r="A74" s="838"/>
      <c r="B74" s="839"/>
      <c r="C74" s="839"/>
      <c r="D74" s="348"/>
      <c r="E74" s="373"/>
      <c r="F74" s="348"/>
      <c r="G74" s="350"/>
      <c r="H74" s="840"/>
      <c r="I74" s="840"/>
      <c r="J74" s="393"/>
      <c r="K74" s="393"/>
      <c r="L74" s="393"/>
      <c r="M74" s="841">
        <f t="shared" si="0"/>
        <v>0</v>
      </c>
      <c r="N74" s="841"/>
      <c r="O74" s="841">
        <f t="shared" si="2"/>
        <v>0</v>
      </c>
      <c r="P74" s="842"/>
      <c r="Q74" s="371">
        <f t="shared" si="3"/>
        <v>0</v>
      </c>
      <c r="R74" s="371"/>
      <c r="S74" s="372"/>
    </row>
    <row r="75" spans="1:19" ht="18">
      <c r="A75" s="838"/>
      <c r="B75" s="839"/>
      <c r="C75" s="839"/>
      <c r="D75" s="348"/>
      <c r="E75" s="373"/>
      <c r="F75" s="348"/>
      <c r="G75" s="350"/>
      <c r="H75" s="840"/>
      <c r="I75" s="840"/>
      <c r="J75" s="393"/>
      <c r="K75" s="393"/>
      <c r="L75" s="393"/>
      <c r="M75" s="841">
        <f t="shared" si="0"/>
        <v>0</v>
      </c>
      <c r="N75" s="841"/>
      <c r="O75" s="841">
        <f t="shared" si="2"/>
        <v>0</v>
      </c>
      <c r="P75" s="842"/>
      <c r="Q75" s="372"/>
      <c r="R75" s="371"/>
      <c r="S75" s="372"/>
    </row>
    <row r="76" spans="1:19" ht="18">
      <c r="A76" s="832" t="s">
        <v>359</v>
      </c>
      <c r="B76" s="833"/>
      <c r="C76" s="833"/>
      <c r="D76" s="833"/>
      <c r="E76" s="833"/>
      <c r="F76" s="833"/>
      <c r="G76" s="833"/>
      <c r="H76" s="833"/>
      <c r="I76" s="394"/>
      <c r="J76" s="395"/>
      <c r="K76" s="834"/>
      <c r="L76" s="834"/>
      <c r="M76" s="835"/>
      <c r="N76" s="835"/>
      <c r="O76" s="836">
        <f>SUMPRODUCT(G60:G75,J60:J75)</f>
        <v>0</v>
      </c>
      <c r="P76" s="837"/>
      <c r="Q76" s="372"/>
      <c r="R76" s="371"/>
      <c r="S76" s="372"/>
    </row>
    <row r="77" spans="1:19" ht="18">
      <c r="A77" s="832" t="s">
        <v>360</v>
      </c>
      <c r="B77" s="833"/>
      <c r="C77" s="833"/>
      <c r="D77" s="833"/>
      <c r="E77" s="833"/>
      <c r="F77" s="833"/>
      <c r="G77" s="833"/>
      <c r="H77" s="833"/>
      <c r="I77" s="394"/>
      <c r="J77" s="395"/>
      <c r="K77" s="834"/>
      <c r="L77" s="834"/>
      <c r="M77" s="835"/>
      <c r="N77" s="835"/>
      <c r="O77" s="836">
        <f>SUMPRODUCT(G60:G75,L60:L75)</f>
        <v>0</v>
      </c>
      <c r="P77" s="837"/>
      <c r="Q77" s="371"/>
      <c r="R77" s="402"/>
      <c r="S77" s="403"/>
    </row>
    <row r="78" spans="1:19" ht="18">
      <c r="A78" s="818" t="s">
        <v>361</v>
      </c>
      <c r="B78" s="819"/>
      <c r="C78" s="819"/>
      <c r="D78" s="819"/>
      <c r="E78" s="819"/>
      <c r="F78" s="819"/>
      <c r="G78" s="819"/>
      <c r="H78" s="819"/>
      <c r="I78" s="819"/>
      <c r="J78" s="819"/>
      <c r="K78" s="819"/>
      <c r="L78" s="819"/>
      <c r="M78" s="821"/>
      <c r="N78" s="821"/>
      <c r="O78" s="828">
        <f>O76-O77</f>
        <v>0</v>
      </c>
      <c r="P78" s="829"/>
    </row>
    <row r="79" spans="1:19" ht="18">
      <c r="A79" s="325" t="s">
        <v>362</v>
      </c>
      <c r="B79" s="326"/>
      <c r="C79" s="326"/>
      <c r="D79" s="326"/>
      <c r="E79" s="326"/>
      <c r="F79" s="326"/>
      <c r="G79" s="326"/>
      <c r="H79" s="326"/>
      <c r="I79" s="326"/>
      <c r="J79" s="326"/>
      <c r="K79" s="326"/>
      <c r="L79" s="326"/>
      <c r="M79" s="326"/>
      <c r="N79" s="326"/>
      <c r="O79" s="326"/>
      <c r="P79" s="358"/>
    </row>
    <row r="80" spans="1:19" ht="18">
      <c r="A80" s="830" t="s">
        <v>363</v>
      </c>
      <c r="B80" s="831"/>
      <c r="C80" s="831"/>
      <c r="D80" s="831" t="s">
        <v>328</v>
      </c>
      <c r="E80" s="831"/>
      <c r="F80" s="831" t="s">
        <v>364</v>
      </c>
      <c r="G80" s="831"/>
      <c r="H80" s="831"/>
      <c r="I80" s="831" t="s">
        <v>365</v>
      </c>
      <c r="J80" s="831"/>
      <c r="K80" s="831"/>
      <c r="L80" s="831"/>
      <c r="M80" s="806" t="s">
        <v>366</v>
      </c>
      <c r="N80" s="806"/>
      <c r="O80" s="806" t="s">
        <v>367</v>
      </c>
      <c r="P80" s="808"/>
    </row>
    <row r="81" spans="1:16" s="304" customFormat="1" ht="18">
      <c r="A81" s="823"/>
      <c r="B81" s="824"/>
      <c r="C81" s="824"/>
      <c r="D81" s="825"/>
      <c r="E81" s="825"/>
      <c r="F81" s="825"/>
      <c r="G81" s="825"/>
      <c r="H81" s="825"/>
      <c r="I81" s="825"/>
      <c r="J81" s="825"/>
      <c r="K81" s="825"/>
      <c r="L81" s="825"/>
      <c r="M81" s="826"/>
      <c r="N81" s="826"/>
      <c r="O81" s="826"/>
      <c r="P81" s="827"/>
    </row>
    <row r="82" spans="1:16" s="304" customFormat="1" ht="18">
      <c r="A82" s="813"/>
      <c r="B82" s="814"/>
      <c r="C82" s="814"/>
      <c r="D82" s="815"/>
      <c r="E82" s="815"/>
      <c r="F82" s="815"/>
      <c r="G82" s="815"/>
      <c r="H82" s="815"/>
      <c r="I82" s="815"/>
      <c r="J82" s="815"/>
      <c r="K82" s="815"/>
      <c r="L82" s="815"/>
      <c r="M82" s="816"/>
      <c r="N82" s="816"/>
      <c r="O82" s="816"/>
      <c r="P82" s="817"/>
    </row>
    <row r="83" spans="1:16" s="304" customFormat="1" ht="18">
      <c r="A83" s="813"/>
      <c r="B83" s="814"/>
      <c r="C83" s="814"/>
      <c r="D83" s="815"/>
      <c r="E83" s="815"/>
      <c r="F83" s="815"/>
      <c r="G83" s="815"/>
      <c r="H83" s="815"/>
      <c r="I83" s="815"/>
      <c r="J83" s="815"/>
      <c r="K83" s="815"/>
      <c r="L83" s="815"/>
      <c r="M83" s="816"/>
      <c r="N83" s="816"/>
      <c r="O83" s="816"/>
      <c r="P83" s="817"/>
    </row>
    <row r="84" spans="1:16" s="304" customFormat="1" ht="18">
      <c r="A84" s="818"/>
      <c r="B84" s="819"/>
      <c r="C84" s="819"/>
      <c r="D84" s="820"/>
      <c r="E84" s="820"/>
      <c r="F84" s="820"/>
      <c r="G84" s="820"/>
      <c r="H84" s="820"/>
      <c r="I84" s="820"/>
      <c r="J84" s="820"/>
      <c r="K84" s="820"/>
      <c r="L84" s="820"/>
      <c r="M84" s="821"/>
      <c r="N84" s="821"/>
      <c r="O84" s="821"/>
      <c r="P84" s="822"/>
    </row>
    <row r="85" spans="1:16" s="304" customFormat="1" ht="18">
      <c r="A85" s="802" t="s">
        <v>343</v>
      </c>
      <c r="B85" s="803"/>
      <c r="C85" s="803"/>
      <c r="D85" s="803"/>
      <c r="E85" s="803"/>
      <c r="F85" s="803"/>
      <c r="G85" s="803"/>
      <c r="H85" s="803"/>
      <c r="I85" s="803"/>
      <c r="J85" s="803"/>
      <c r="K85" s="803"/>
      <c r="L85" s="803"/>
      <c r="M85" s="804"/>
      <c r="N85" s="804"/>
      <c r="O85" s="804">
        <f>SUM(O81:P84)</f>
        <v>0</v>
      </c>
      <c r="P85" s="805"/>
    </row>
    <row r="86" spans="1:16" s="304" customFormat="1">
      <c r="A86" s="767" t="s">
        <v>296</v>
      </c>
      <c r="B86" s="768"/>
      <c r="C86" s="768"/>
      <c r="D86" s="768"/>
      <c r="E86" s="768"/>
      <c r="F86" s="768"/>
      <c r="G86" s="768"/>
      <c r="H86" s="768"/>
      <c r="I86" s="768"/>
      <c r="J86" s="768"/>
      <c r="K86" s="768"/>
      <c r="L86" s="768"/>
      <c r="M86" s="768"/>
      <c r="N86" s="768"/>
      <c r="O86" s="768"/>
      <c r="P86" s="769"/>
    </row>
    <row r="87" spans="1:16" s="304" customFormat="1">
      <c r="A87" s="770"/>
      <c r="B87" s="771"/>
      <c r="C87" s="771"/>
      <c r="D87" s="771"/>
      <c r="E87" s="771"/>
      <c r="F87" s="771"/>
      <c r="G87" s="771"/>
      <c r="H87" s="771"/>
      <c r="I87" s="771"/>
      <c r="J87" s="771"/>
      <c r="K87" s="771"/>
      <c r="L87" s="771"/>
      <c r="M87" s="771"/>
      <c r="N87" s="771"/>
      <c r="O87" s="771"/>
      <c r="P87" s="772"/>
    </row>
    <row r="88" spans="1:16" s="304" customFormat="1">
      <c r="A88" s="773"/>
      <c r="B88" s="774"/>
      <c r="C88" s="774"/>
      <c r="D88" s="774"/>
      <c r="E88" s="774"/>
      <c r="F88" s="774"/>
      <c r="G88" s="774"/>
      <c r="H88" s="774"/>
      <c r="I88" s="774"/>
      <c r="J88" s="774"/>
      <c r="K88" s="774"/>
      <c r="L88" s="774"/>
      <c r="M88" s="774"/>
      <c r="N88" s="774"/>
      <c r="O88" s="774"/>
      <c r="P88" s="775"/>
    </row>
    <row r="89" spans="1:16" s="304" customFormat="1" ht="18">
      <c r="A89" s="374" t="s">
        <v>368</v>
      </c>
      <c r="B89" s="375"/>
      <c r="C89" s="375"/>
      <c r="D89" s="375"/>
      <c r="E89" s="375"/>
      <c r="F89" s="375"/>
      <c r="G89" s="375"/>
      <c r="H89" s="375"/>
      <c r="I89" s="375"/>
      <c r="J89" s="375"/>
      <c r="K89" s="375"/>
      <c r="L89" s="375"/>
      <c r="M89" s="375"/>
      <c r="N89" s="375"/>
      <c r="O89" s="375"/>
      <c r="P89" s="396"/>
    </row>
    <row r="90" spans="1:16" s="304" customFormat="1" ht="18">
      <c r="A90" s="331" t="s">
        <v>369</v>
      </c>
      <c r="B90" s="332"/>
      <c r="C90" s="332"/>
      <c r="D90" s="332"/>
      <c r="E90" s="332"/>
      <c r="F90" s="806" t="s">
        <v>106</v>
      </c>
      <c r="G90" s="807"/>
      <c r="H90" s="340" t="s">
        <v>370</v>
      </c>
      <c r="I90" s="332"/>
      <c r="J90" s="332"/>
      <c r="K90" s="332"/>
      <c r="L90" s="332"/>
      <c r="M90" s="332"/>
      <c r="N90" s="332"/>
      <c r="O90" s="806" t="s">
        <v>106</v>
      </c>
      <c r="P90" s="808"/>
    </row>
    <row r="91" spans="1:16" s="304" customFormat="1" ht="18">
      <c r="A91" s="376" t="s">
        <v>326</v>
      </c>
      <c r="B91" s="377"/>
      <c r="C91" s="377"/>
      <c r="D91" s="378"/>
      <c r="E91" s="378"/>
      <c r="F91" s="809">
        <f>F39</f>
        <v>251316</v>
      </c>
      <c r="G91" s="810"/>
      <c r="H91" s="379" t="s">
        <v>371</v>
      </c>
      <c r="I91" s="377"/>
      <c r="J91" s="377"/>
      <c r="K91" s="811"/>
      <c r="L91" s="811"/>
      <c r="M91" s="811"/>
      <c r="N91" s="811"/>
      <c r="O91" s="809">
        <f>SUM(M42:N45)</f>
        <v>0</v>
      </c>
      <c r="P91" s="812"/>
    </row>
    <row r="92" spans="1:16" s="304" customFormat="1" ht="18">
      <c r="A92" s="376" t="s">
        <v>372</v>
      </c>
      <c r="B92" s="380"/>
      <c r="C92" s="380"/>
      <c r="D92" s="378"/>
      <c r="E92" s="378"/>
      <c r="F92" s="776">
        <f>O39</f>
        <v>0</v>
      </c>
      <c r="G92" s="777"/>
      <c r="H92" s="381" t="s">
        <v>373</v>
      </c>
      <c r="I92" s="380"/>
      <c r="J92" s="380"/>
      <c r="K92" s="397"/>
      <c r="L92" s="397"/>
      <c r="M92" s="397"/>
      <c r="N92" s="397"/>
      <c r="O92" s="776">
        <f>O54</f>
        <v>0</v>
      </c>
      <c r="P92" s="795"/>
    </row>
    <row r="93" spans="1:16" s="304" customFormat="1" ht="18">
      <c r="A93" s="382" t="s">
        <v>374</v>
      </c>
      <c r="B93" s="383"/>
      <c r="C93" s="380"/>
      <c r="D93" s="378"/>
      <c r="E93" s="378"/>
      <c r="F93" s="776">
        <f>F46</f>
        <v>0</v>
      </c>
      <c r="G93" s="777"/>
      <c r="H93" s="381" t="s">
        <v>375</v>
      </c>
      <c r="I93" s="380"/>
      <c r="J93" s="380"/>
      <c r="K93" s="794"/>
      <c r="L93" s="794"/>
      <c r="M93" s="794"/>
      <c r="N93" s="794"/>
      <c r="O93" s="776">
        <f>O77</f>
        <v>0</v>
      </c>
      <c r="P93" s="795"/>
    </row>
    <row r="94" spans="1:16" s="304" customFormat="1" ht="18">
      <c r="A94" s="384" t="s">
        <v>334</v>
      </c>
      <c r="B94" s="380"/>
      <c r="C94" s="380"/>
      <c r="D94" s="378"/>
      <c r="E94" s="378"/>
      <c r="F94" s="776">
        <f>O46</f>
        <v>0</v>
      </c>
      <c r="G94" s="777"/>
      <c r="H94" s="796"/>
      <c r="I94" s="797"/>
      <c r="J94" s="797"/>
      <c r="K94" s="797"/>
      <c r="L94" s="797"/>
      <c r="M94" s="797"/>
      <c r="N94" s="797"/>
      <c r="O94" s="797"/>
      <c r="P94" s="798"/>
    </row>
    <row r="95" spans="1:16" s="304" customFormat="1" ht="18">
      <c r="A95" s="384" t="s">
        <v>345</v>
      </c>
      <c r="B95" s="380"/>
      <c r="C95" s="380"/>
      <c r="D95" s="378"/>
      <c r="E95" s="378"/>
      <c r="F95" s="776">
        <f>F54</f>
        <v>0</v>
      </c>
      <c r="G95" s="777"/>
      <c r="H95" s="799"/>
      <c r="I95" s="800"/>
      <c r="J95" s="800"/>
      <c r="K95" s="800"/>
      <c r="L95" s="800"/>
      <c r="M95" s="800"/>
      <c r="N95" s="800"/>
      <c r="O95" s="800"/>
      <c r="P95" s="801"/>
    </row>
    <row r="96" spans="1:16" s="304" customFormat="1" ht="18">
      <c r="A96" s="376" t="s">
        <v>376</v>
      </c>
      <c r="B96" s="377"/>
      <c r="C96" s="377"/>
      <c r="D96" s="378"/>
      <c r="E96" s="378"/>
      <c r="F96" s="776">
        <f>O76</f>
        <v>0</v>
      </c>
      <c r="G96" s="777"/>
      <c r="H96" s="799"/>
      <c r="I96" s="800"/>
      <c r="J96" s="800"/>
      <c r="K96" s="800"/>
      <c r="L96" s="800"/>
      <c r="M96" s="800"/>
      <c r="N96" s="800"/>
      <c r="O96" s="800"/>
      <c r="P96" s="801"/>
    </row>
    <row r="97" spans="1:16" s="304" customFormat="1" ht="18">
      <c r="A97" s="376" t="s">
        <v>362</v>
      </c>
      <c r="B97" s="377"/>
      <c r="C97" s="377"/>
      <c r="D97" s="378"/>
      <c r="E97" s="378"/>
      <c r="F97" s="776">
        <f>O85</f>
        <v>0</v>
      </c>
      <c r="G97" s="777"/>
      <c r="H97" s="778"/>
      <c r="I97" s="779"/>
      <c r="J97" s="779"/>
      <c r="K97" s="779"/>
      <c r="L97" s="779"/>
      <c r="M97" s="779"/>
      <c r="N97" s="779"/>
      <c r="O97" s="779"/>
      <c r="P97" s="780"/>
    </row>
    <row r="98" spans="1:16" s="304" customFormat="1" ht="18">
      <c r="A98" s="781" t="s">
        <v>377</v>
      </c>
      <c r="B98" s="782"/>
      <c r="C98" s="782"/>
      <c r="D98" s="782"/>
      <c r="E98" s="782"/>
      <c r="F98" s="783">
        <f>SUM(F91:G97)</f>
        <v>251316</v>
      </c>
      <c r="G98" s="784"/>
      <c r="H98" s="785" t="s">
        <v>378</v>
      </c>
      <c r="I98" s="782"/>
      <c r="J98" s="782"/>
      <c r="K98" s="782"/>
      <c r="L98" s="782"/>
      <c r="M98" s="782"/>
      <c r="N98" s="782"/>
      <c r="O98" s="783">
        <f>SUM(O91:P93)</f>
        <v>0</v>
      </c>
      <c r="P98" s="786"/>
    </row>
    <row r="99" spans="1:16" s="304" customFormat="1" ht="21">
      <c r="A99" s="787"/>
      <c r="B99" s="788"/>
      <c r="C99" s="788"/>
      <c r="D99" s="788"/>
      <c r="E99" s="788"/>
      <c r="F99" s="788"/>
      <c r="G99" s="789"/>
      <c r="H99" s="790" t="s">
        <v>379</v>
      </c>
      <c r="I99" s="791"/>
      <c r="J99" s="791"/>
      <c r="K99" s="791"/>
      <c r="L99" s="791"/>
      <c r="M99" s="791"/>
      <c r="N99" s="791"/>
      <c r="O99" s="792">
        <f>F98-O98</f>
        <v>251316</v>
      </c>
      <c r="P99" s="793"/>
    </row>
    <row r="100" spans="1:16" s="304" customFormat="1" ht="18">
      <c r="A100" s="385" t="s">
        <v>380</v>
      </c>
      <c r="B100" s="386"/>
      <c r="C100" s="386"/>
      <c r="D100" s="386"/>
      <c r="E100" s="386"/>
      <c r="F100" s="386"/>
      <c r="G100" s="386"/>
      <c r="H100" s="387"/>
      <c r="I100" s="387"/>
      <c r="J100" s="387"/>
      <c r="K100" s="387"/>
      <c r="L100" s="387"/>
      <c r="M100" s="387"/>
      <c r="N100" s="387"/>
      <c r="O100" s="387"/>
      <c r="P100" s="398"/>
    </row>
    <row r="101" spans="1:16" s="304" customFormat="1">
      <c r="A101" s="759" t="s">
        <v>381</v>
      </c>
      <c r="B101" s="760"/>
      <c r="C101" s="760"/>
      <c r="D101" s="760"/>
      <c r="E101" s="760"/>
      <c r="F101" s="760"/>
      <c r="G101" s="760"/>
      <c r="H101" s="760"/>
      <c r="I101" s="760"/>
      <c r="J101" s="760"/>
      <c r="K101" s="760"/>
      <c r="L101" s="760"/>
      <c r="M101" s="760"/>
      <c r="N101" s="760"/>
      <c r="O101" s="760"/>
      <c r="P101" s="761"/>
    </row>
    <row r="102" spans="1:16" s="304" customFormat="1">
      <c r="A102" s="762"/>
      <c r="B102" s="763"/>
      <c r="C102" s="763"/>
      <c r="D102" s="763"/>
      <c r="E102" s="763"/>
      <c r="F102" s="763"/>
      <c r="G102" s="763"/>
      <c r="H102" s="763"/>
      <c r="I102" s="763"/>
      <c r="J102" s="763"/>
      <c r="K102" s="763"/>
      <c r="L102" s="763"/>
      <c r="M102" s="763"/>
      <c r="N102" s="763"/>
      <c r="O102" s="763"/>
      <c r="P102" s="764"/>
    </row>
    <row r="103" spans="1:16" s="304" customFormat="1">
      <c r="A103" s="762"/>
      <c r="B103" s="763"/>
      <c r="C103" s="763"/>
      <c r="D103" s="763"/>
      <c r="E103" s="763"/>
      <c r="F103" s="763"/>
      <c r="G103" s="763"/>
      <c r="H103" s="763"/>
      <c r="I103" s="763"/>
      <c r="J103" s="763"/>
      <c r="K103" s="763"/>
      <c r="L103" s="763"/>
      <c r="M103" s="763"/>
      <c r="N103" s="763"/>
      <c r="O103" s="763"/>
      <c r="P103" s="764"/>
    </row>
    <row r="104" spans="1:16" s="304" customFormat="1">
      <c r="A104" s="762"/>
      <c r="B104" s="763"/>
      <c r="C104" s="763"/>
      <c r="D104" s="763"/>
      <c r="E104" s="763"/>
      <c r="F104" s="763"/>
      <c r="G104" s="763"/>
      <c r="H104" s="763"/>
      <c r="I104" s="763"/>
      <c r="J104" s="763"/>
      <c r="K104" s="763"/>
      <c r="L104" s="763"/>
      <c r="M104" s="763"/>
      <c r="N104" s="763"/>
      <c r="O104" s="763"/>
      <c r="P104" s="764"/>
    </row>
    <row r="105" spans="1:16" s="304" customFormat="1">
      <c r="A105" s="762"/>
      <c r="B105" s="763"/>
      <c r="C105" s="763"/>
      <c r="D105" s="763"/>
      <c r="E105" s="763"/>
      <c r="F105" s="763"/>
      <c r="G105" s="763"/>
      <c r="H105" s="763"/>
      <c r="I105" s="763"/>
      <c r="J105" s="763"/>
      <c r="K105" s="763"/>
      <c r="L105" s="763"/>
      <c r="M105" s="763"/>
      <c r="N105" s="763"/>
      <c r="O105" s="763"/>
      <c r="P105" s="764"/>
    </row>
    <row r="106" spans="1:16" s="304" customFormat="1">
      <c r="A106" s="762"/>
      <c r="B106" s="763"/>
      <c r="C106" s="763"/>
      <c r="D106" s="763"/>
      <c r="E106" s="763"/>
      <c r="F106" s="763"/>
      <c r="G106" s="763"/>
      <c r="H106" s="763"/>
      <c r="I106" s="763"/>
      <c r="J106" s="763"/>
      <c r="K106" s="763"/>
      <c r="L106" s="763"/>
      <c r="M106" s="763"/>
      <c r="N106" s="763"/>
      <c r="O106" s="763"/>
      <c r="P106" s="764"/>
    </row>
    <row r="107" spans="1:16" s="304" customFormat="1" ht="18">
      <c r="A107" s="388"/>
      <c r="B107" s="389"/>
      <c r="C107" s="389"/>
      <c r="D107" s="389"/>
      <c r="E107" s="389"/>
      <c r="F107" s="389"/>
      <c r="G107" s="389"/>
      <c r="H107" s="389"/>
      <c r="I107" s="389"/>
      <c r="J107" s="389"/>
      <c r="K107" s="389"/>
      <c r="L107" s="389"/>
      <c r="M107" s="389"/>
      <c r="N107" s="389"/>
      <c r="O107" s="389"/>
      <c r="P107" s="399"/>
    </row>
    <row r="108" spans="1:16" s="304" customFormat="1" ht="18">
      <c r="A108" s="388"/>
      <c r="B108" s="765"/>
      <c r="C108" s="765"/>
      <c r="D108" s="765"/>
      <c r="E108" s="765"/>
      <c r="F108" s="389"/>
      <c r="G108" s="389"/>
      <c r="H108" s="389"/>
      <c r="I108" s="389"/>
      <c r="J108" s="389"/>
      <c r="K108" s="389"/>
      <c r="L108" s="389"/>
      <c r="M108" s="389"/>
      <c r="N108" s="389"/>
      <c r="O108" s="389"/>
      <c r="P108" s="399"/>
    </row>
    <row r="109" spans="1:16" s="304" customFormat="1" ht="18">
      <c r="A109" s="390" t="s">
        <v>382</v>
      </c>
      <c r="B109" s="766"/>
      <c r="C109" s="766"/>
      <c r="D109" s="766"/>
      <c r="E109" s="766"/>
      <c r="F109" s="391"/>
      <c r="G109" s="391"/>
      <c r="H109" s="391" t="s">
        <v>383</v>
      </c>
      <c r="I109" s="743"/>
      <c r="J109" s="743"/>
      <c r="K109" s="391"/>
      <c r="L109" s="391"/>
      <c r="M109" s="391"/>
      <c r="N109" s="391"/>
      <c r="O109" s="391"/>
      <c r="P109" s="400"/>
    </row>
    <row r="110" spans="1:16" s="304" customFormat="1" ht="18">
      <c r="A110" s="390"/>
      <c r="B110" s="391"/>
      <c r="C110" s="392"/>
      <c r="D110" s="391"/>
      <c r="E110" s="391"/>
      <c r="F110" s="391"/>
      <c r="G110" s="391"/>
      <c r="H110" s="391"/>
      <c r="I110" s="391"/>
      <c r="J110" s="391"/>
      <c r="K110" s="391"/>
      <c r="L110" s="391"/>
      <c r="M110" s="391"/>
      <c r="N110" s="391"/>
      <c r="O110" s="391"/>
      <c r="P110" s="400"/>
    </row>
    <row r="111" spans="1:16" s="304" customFormat="1" ht="18">
      <c r="A111" s="385" t="s">
        <v>384</v>
      </c>
      <c r="B111" s="386"/>
      <c r="C111" s="386"/>
      <c r="D111" s="386"/>
      <c r="E111" s="386"/>
      <c r="F111" s="386"/>
      <c r="G111" s="386"/>
      <c r="H111" s="386"/>
      <c r="I111" s="386"/>
      <c r="J111" s="386"/>
      <c r="K111" s="386"/>
      <c r="L111" s="386"/>
      <c r="M111" s="386"/>
      <c r="N111" s="386"/>
      <c r="O111" s="386"/>
      <c r="P111" s="401"/>
    </row>
    <row r="112" spans="1:16" s="304" customFormat="1">
      <c r="A112" s="744" t="s">
        <v>385</v>
      </c>
      <c r="B112" s="745"/>
      <c r="C112" s="745"/>
      <c r="D112" s="745"/>
      <c r="E112" s="745"/>
      <c r="F112" s="745"/>
      <c r="G112" s="746"/>
      <c r="H112" s="753" t="s">
        <v>386</v>
      </c>
      <c r="I112" s="745"/>
      <c r="J112" s="745"/>
      <c r="K112" s="745"/>
      <c r="L112" s="745"/>
      <c r="M112" s="745"/>
      <c r="N112" s="745"/>
      <c r="O112" s="745"/>
      <c r="P112" s="754"/>
    </row>
    <row r="113" spans="1:16" s="304" customFormat="1">
      <c r="A113" s="747"/>
      <c r="B113" s="748"/>
      <c r="C113" s="748"/>
      <c r="D113" s="748"/>
      <c r="E113" s="748"/>
      <c r="F113" s="748"/>
      <c r="G113" s="749"/>
      <c r="H113" s="755"/>
      <c r="I113" s="748"/>
      <c r="J113" s="748"/>
      <c r="K113" s="748"/>
      <c r="L113" s="748"/>
      <c r="M113" s="748"/>
      <c r="N113" s="748"/>
      <c r="O113" s="748"/>
      <c r="P113" s="756"/>
    </row>
    <row r="114" spans="1:16" s="304" customFormat="1">
      <c r="A114" s="747"/>
      <c r="B114" s="748"/>
      <c r="C114" s="748"/>
      <c r="D114" s="748"/>
      <c r="E114" s="748"/>
      <c r="F114" s="748"/>
      <c r="G114" s="749"/>
      <c r="H114" s="755"/>
      <c r="I114" s="748"/>
      <c r="J114" s="748"/>
      <c r="K114" s="748"/>
      <c r="L114" s="748"/>
      <c r="M114" s="748"/>
      <c r="N114" s="748"/>
      <c r="O114" s="748"/>
      <c r="P114" s="756"/>
    </row>
    <row r="115" spans="1:16" s="304" customFormat="1">
      <c r="A115" s="747"/>
      <c r="B115" s="748"/>
      <c r="C115" s="748"/>
      <c r="D115" s="748"/>
      <c r="E115" s="748"/>
      <c r="F115" s="748"/>
      <c r="G115" s="749"/>
      <c r="H115" s="755"/>
      <c r="I115" s="748"/>
      <c r="J115" s="748"/>
      <c r="K115" s="748"/>
      <c r="L115" s="748"/>
      <c r="M115" s="748"/>
      <c r="N115" s="748"/>
      <c r="O115" s="748"/>
      <c r="P115" s="756"/>
    </row>
    <row r="116" spans="1:16" s="304" customFormat="1">
      <c r="A116" s="747"/>
      <c r="B116" s="748"/>
      <c r="C116" s="748"/>
      <c r="D116" s="748"/>
      <c r="E116" s="748"/>
      <c r="F116" s="748"/>
      <c r="G116" s="749"/>
      <c r="H116" s="755"/>
      <c r="I116" s="748"/>
      <c r="J116" s="748"/>
      <c r="K116" s="748"/>
      <c r="L116" s="748"/>
      <c r="M116" s="748"/>
      <c r="N116" s="748"/>
      <c r="O116" s="748"/>
      <c r="P116" s="756"/>
    </row>
    <row r="117" spans="1:16" s="304" customFormat="1">
      <c r="A117" s="747"/>
      <c r="B117" s="748"/>
      <c r="C117" s="748"/>
      <c r="D117" s="748"/>
      <c r="E117" s="748"/>
      <c r="F117" s="748"/>
      <c r="G117" s="749"/>
      <c r="H117" s="755"/>
      <c r="I117" s="748"/>
      <c r="J117" s="748"/>
      <c r="K117" s="748"/>
      <c r="L117" s="748"/>
      <c r="M117" s="748"/>
      <c r="N117" s="748"/>
      <c r="O117" s="748"/>
      <c r="P117" s="756"/>
    </row>
    <row r="118" spans="1:16" s="304" customFormat="1">
      <c r="A118" s="747"/>
      <c r="B118" s="748"/>
      <c r="C118" s="748"/>
      <c r="D118" s="748"/>
      <c r="E118" s="748"/>
      <c r="F118" s="748"/>
      <c r="G118" s="749"/>
      <c r="H118" s="755"/>
      <c r="I118" s="748"/>
      <c r="J118" s="748"/>
      <c r="K118" s="748"/>
      <c r="L118" s="748"/>
      <c r="M118" s="748"/>
      <c r="N118" s="748"/>
      <c r="O118" s="748"/>
      <c r="P118" s="756"/>
    </row>
    <row r="119" spans="1:16" s="304" customFormat="1">
      <c r="A119" s="747"/>
      <c r="B119" s="748"/>
      <c r="C119" s="748"/>
      <c r="D119" s="748"/>
      <c r="E119" s="748"/>
      <c r="F119" s="748"/>
      <c r="G119" s="749"/>
      <c r="H119" s="755"/>
      <c r="I119" s="748"/>
      <c r="J119" s="748"/>
      <c r="K119" s="748"/>
      <c r="L119" s="748"/>
      <c r="M119" s="748"/>
      <c r="N119" s="748"/>
      <c r="O119" s="748"/>
      <c r="P119" s="756"/>
    </row>
    <row r="120" spans="1:16" s="304" customFormat="1">
      <c r="A120" s="747"/>
      <c r="B120" s="748"/>
      <c r="C120" s="748"/>
      <c r="D120" s="748"/>
      <c r="E120" s="748"/>
      <c r="F120" s="748"/>
      <c r="G120" s="749"/>
      <c r="H120" s="755"/>
      <c r="I120" s="748"/>
      <c r="J120" s="748"/>
      <c r="K120" s="748"/>
      <c r="L120" s="748"/>
      <c r="M120" s="748"/>
      <c r="N120" s="748"/>
      <c r="O120" s="748"/>
      <c r="P120" s="756"/>
    </row>
    <row r="121" spans="1:16" s="304" customFormat="1">
      <c r="A121" s="747"/>
      <c r="B121" s="748"/>
      <c r="C121" s="748"/>
      <c r="D121" s="748"/>
      <c r="E121" s="748"/>
      <c r="F121" s="748"/>
      <c r="G121" s="749"/>
      <c r="H121" s="755"/>
      <c r="I121" s="748"/>
      <c r="J121" s="748"/>
      <c r="K121" s="748"/>
      <c r="L121" s="748"/>
      <c r="M121" s="748"/>
      <c r="N121" s="748"/>
      <c r="O121" s="748"/>
      <c r="P121" s="756"/>
    </row>
    <row r="122" spans="1:16" s="304" customFormat="1">
      <c r="A122" s="747"/>
      <c r="B122" s="748"/>
      <c r="C122" s="748"/>
      <c r="D122" s="748"/>
      <c r="E122" s="748"/>
      <c r="F122" s="748"/>
      <c r="G122" s="749"/>
      <c r="H122" s="755"/>
      <c r="I122" s="748"/>
      <c r="J122" s="748"/>
      <c r="K122" s="748"/>
      <c r="L122" s="748"/>
      <c r="M122" s="748"/>
      <c r="N122" s="748"/>
      <c r="O122" s="748"/>
      <c r="P122" s="756"/>
    </row>
    <row r="123" spans="1:16" s="304" customFormat="1">
      <c r="A123" s="747"/>
      <c r="B123" s="748"/>
      <c r="C123" s="748"/>
      <c r="D123" s="748"/>
      <c r="E123" s="748"/>
      <c r="F123" s="748"/>
      <c r="G123" s="749"/>
      <c r="H123" s="755"/>
      <c r="I123" s="748"/>
      <c r="J123" s="748"/>
      <c r="K123" s="748"/>
      <c r="L123" s="748"/>
      <c r="M123" s="748"/>
      <c r="N123" s="748"/>
      <c r="O123" s="748"/>
      <c r="P123" s="756"/>
    </row>
    <row r="124" spans="1:16" s="304" customFormat="1">
      <c r="A124" s="747"/>
      <c r="B124" s="748"/>
      <c r="C124" s="748"/>
      <c r="D124" s="748"/>
      <c r="E124" s="748"/>
      <c r="F124" s="748"/>
      <c r="G124" s="749"/>
      <c r="H124" s="755"/>
      <c r="I124" s="748"/>
      <c r="J124" s="748"/>
      <c r="K124" s="748"/>
      <c r="L124" s="748"/>
      <c r="M124" s="748"/>
      <c r="N124" s="748"/>
      <c r="O124" s="748"/>
      <c r="P124" s="756"/>
    </row>
    <row r="125" spans="1:16" s="304" customFormat="1">
      <c r="A125" s="747"/>
      <c r="B125" s="748"/>
      <c r="C125" s="748"/>
      <c r="D125" s="748"/>
      <c r="E125" s="748"/>
      <c r="F125" s="748"/>
      <c r="G125" s="749"/>
      <c r="H125" s="755"/>
      <c r="I125" s="748"/>
      <c r="J125" s="748"/>
      <c r="K125" s="748"/>
      <c r="L125" s="748"/>
      <c r="M125" s="748"/>
      <c r="N125" s="748"/>
      <c r="O125" s="748"/>
      <c r="P125" s="756"/>
    </row>
    <row r="126" spans="1:16" s="304" customFormat="1">
      <c r="A126" s="747"/>
      <c r="B126" s="748"/>
      <c r="C126" s="748"/>
      <c r="D126" s="748"/>
      <c r="E126" s="748"/>
      <c r="F126" s="748"/>
      <c r="G126" s="749"/>
      <c r="H126" s="755"/>
      <c r="I126" s="748"/>
      <c r="J126" s="748"/>
      <c r="K126" s="748"/>
      <c r="L126" s="748"/>
      <c r="M126" s="748"/>
      <c r="N126" s="748"/>
      <c r="O126" s="748"/>
      <c r="P126" s="756"/>
    </row>
    <row r="127" spans="1:16" s="304" customFormat="1">
      <c r="A127" s="747"/>
      <c r="B127" s="748"/>
      <c r="C127" s="748"/>
      <c r="D127" s="748"/>
      <c r="E127" s="748"/>
      <c r="F127" s="748"/>
      <c r="G127" s="749"/>
      <c r="H127" s="755"/>
      <c r="I127" s="748"/>
      <c r="J127" s="748"/>
      <c r="K127" s="748"/>
      <c r="L127" s="748"/>
      <c r="M127" s="748"/>
      <c r="N127" s="748"/>
      <c r="O127" s="748"/>
      <c r="P127" s="756"/>
    </row>
    <row r="128" spans="1:16" s="304" customFormat="1">
      <c r="A128" s="747"/>
      <c r="B128" s="748"/>
      <c r="C128" s="748"/>
      <c r="D128" s="748"/>
      <c r="E128" s="748"/>
      <c r="F128" s="748"/>
      <c r="G128" s="749"/>
      <c r="H128" s="755"/>
      <c r="I128" s="748"/>
      <c r="J128" s="748"/>
      <c r="K128" s="748"/>
      <c r="L128" s="748"/>
      <c r="M128" s="748"/>
      <c r="N128" s="748"/>
      <c r="O128" s="748"/>
      <c r="P128" s="756"/>
    </row>
    <row r="129" spans="1:16" s="304" customFormat="1">
      <c r="A129" s="747"/>
      <c r="B129" s="748"/>
      <c r="C129" s="748"/>
      <c r="D129" s="748"/>
      <c r="E129" s="748"/>
      <c r="F129" s="748"/>
      <c r="G129" s="749"/>
      <c r="H129" s="755"/>
      <c r="I129" s="748"/>
      <c r="J129" s="748"/>
      <c r="K129" s="748"/>
      <c r="L129" s="748"/>
      <c r="M129" s="748"/>
      <c r="N129" s="748"/>
      <c r="O129" s="748"/>
      <c r="P129" s="756"/>
    </row>
    <row r="130" spans="1:16" s="304" customFormat="1">
      <c r="A130" s="747"/>
      <c r="B130" s="748"/>
      <c r="C130" s="748"/>
      <c r="D130" s="748"/>
      <c r="E130" s="748"/>
      <c r="F130" s="748"/>
      <c r="G130" s="749"/>
      <c r="H130" s="755"/>
      <c r="I130" s="748"/>
      <c r="J130" s="748"/>
      <c r="K130" s="748"/>
      <c r="L130" s="748"/>
      <c r="M130" s="748"/>
      <c r="N130" s="748"/>
      <c r="O130" s="748"/>
      <c r="P130" s="756"/>
    </row>
    <row r="131" spans="1:16" s="304" customFormat="1">
      <c r="A131" s="747"/>
      <c r="B131" s="748"/>
      <c r="C131" s="748"/>
      <c r="D131" s="748"/>
      <c r="E131" s="748"/>
      <c r="F131" s="748"/>
      <c r="G131" s="749"/>
      <c r="H131" s="755"/>
      <c r="I131" s="748"/>
      <c r="J131" s="748"/>
      <c r="K131" s="748"/>
      <c r="L131" s="748"/>
      <c r="M131" s="748"/>
      <c r="N131" s="748"/>
      <c r="O131" s="748"/>
      <c r="P131" s="756"/>
    </row>
    <row r="132" spans="1:16" s="304" customFormat="1">
      <c r="A132" s="747"/>
      <c r="B132" s="748"/>
      <c r="C132" s="748"/>
      <c r="D132" s="748"/>
      <c r="E132" s="748"/>
      <c r="F132" s="748"/>
      <c r="G132" s="749"/>
      <c r="H132" s="755"/>
      <c r="I132" s="748"/>
      <c r="J132" s="748"/>
      <c r="K132" s="748"/>
      <c r="L132" s="748"/>
      <c r="M132" s="748"/>
      <c r="N132" s="748"/>
      <c r="O132" s="748"/>
      <c r="P132" s="756"/>
    </row>
    <row r="133" spans="1:16" s="304" customFormat="1">
      <c r="A133" s="750"/>
      <c r="B133" s="751"/>
      <c r="C133" s="751"/>
      <c r="D133" s="751"/>
      <c r="E133" s="751"/>
      <c r="F133" s="751"/>
      <c r="G133" s="752"/>
      <c r="H133" s="757"/>
      <c r="I133" s="751"/>
      <c r="J133" s="751"/>
      <c r="K133" s="751"/>
      <c r="L133" s="751"/>
      <c r="M133" s="751"/>
      <c r="N133" s="751"/>
      <c r="O133" s="751"/>
      <c r="P133" s="758"/>
    </row>
  </sheetData>
  <mergeCells count="305">
    <mergeCell ref="A16:C16"/>
    <mergeCell ref="I16:J16"/>
    <mergeCell ref="K16:L16"/>
    <mergeCell ref="M16:N16"/>
    <mergeCell ref="O16:P16"/>
    <mergeCell ref="A17:C17"/>
    <mergeCell ref="D17:H17"/>
    <mergeCell ref="I17:J17"/>
    <mergeCell ref="K17:L17"/>
    <mergeCell ref="M17:N17"/>
    <mergeCell ref="O17:P17"/>
    <mergeCell ref="A18:C18"/>
    <mergeCell ref="D18:I18"/>
    <mergeCell ref="J18:K18"/>
    <mergeCell ref="L18:M18"/>
    <mergeCell ref="N18:O18"/>
    <mergeCell ref="A19:C19"/>
    <mergeCell ref="D19:I19"/>
    <mergeCell ref="J19:K19"/>
    <mergeCell ref="L19:M19"/>
    <mergeCell ref="N19:O19"/>
    <mergeCell ref="A20:C20"/>
    <mergeCell ref="D20:E20"/>
    <mergeCell ref="O20:P20"/>
    <mergeCell ref="A21:C21"/>
    <mergeCell ref="D21:E21"/>
    <mergeCell ref="F21:G21"/>
    <mergeCell ref="H21:J21"/>
    <mergeCell ref="K21:P21"/>
    <mergeCell ref="A22:C22"/>
    <mergeCell ref="D22:I22"/>
    <mergeCell ref="J22:K22"/>
    <mergeCell ref="L22:M22"/>
    <mergeCell ref="N22:O22"/>
    <mergeCell ref="A23:C23"/>
    <mergeCell ref="D23:I23"/>
    <mergeCell ref="J23:K23"/>
    <mergeCell ref="L23:M23"/>
    <mergeCell ref="N23:O23"/>
    <mergeCell ref="M24:N24"/>
    <mergeCell ref="A25:C25"/>
    <mergeCell ref="D25:I25"/>
    <mergeCell ref="J25:L25"/>
    <mergeCell ref="M25:N25"/>
    <mergeCell ref="O25:P25"/>
    <mergeCell ref="M26:N26"/>
    <mergeCell ref="A27:C27"/>
    <mergeCell ref="D27:I27"/>
    <mergeCell ref="J27:L27"/>
    <mergeCell ref="M27:N27"/>
    <mergeCell ref="O27:P27"/>
    <mergeCell ref="F29:P29"/>
    <mergeCell ref="F30:P30"/>
    <mergeCell ref="F31:P31"/>
    <mergeCell ref="F32:P32"/>
    <mergeCell ref="F34:G34"/>
    <mergeCell ref="H34:J34"/>
    <mergeCell ref="O34:P34"/>
    <mergeCell ref="A35:C35"/>
    <mergeCell ref="D35:E35"/>
    <mergeCell ref="F35:G35"/>
    <mergeCell ref="H35:J35"/>
    <mergeCell ref="K35:M35"/>
    <mergeCell ref="O35:P35"/>
    <mergeCell ref="A36:C36"/>
    <mergeCell ref="D36:E36"/>
    <mergeCell ref="F36:G36"/>
    <mergeCell ref="H36:J36"/>
    <mergeCell ref="K36:M36"/>
    <mergeCell ref="O36:P36"/>
    <mergeCell ref="A37:C37"/>
    <mergeCell ref="D37:E37"/>
    <mergeCell ref="F37:G37"/>
    <mergeCell ref="H37:J37"/>
    <mergeCell ref="K37:M37"/>
    <mergeCell ref="O37:P37"/>
    <mergeCell ref="A38:C38"/>
    <mergeCell ref="D38:E38"/>
    <mergeCell ref="F38:G38"/>
    <mergeCell ref="H38:J38"/>
    <mergeCell ref="K38:M38"/>
    <mergeCell ref="O38:P38"/>
    <mergeCell ref="A39:E39"/>
    <mergeCell ref="F39:G39"/>
    <mergeCell ref="H39:N39"/>
    <mergeCell ref="O39:P39"/>
    <mergeCell ref="F41:G41"/>
    <mergeCell ref="H41:I41"/>
    <mergeCell ref="J41:K41"/>
    <mergeCell ref="M41:N41"/>
    <mergeCell ref="O41:P41"/>
    <mergeCell ref="A42:C42"/>
    <mergeCell ref="F42:G42"/>
    <mergeCell ref="H42:I42"/>
    <mergeCell ref="J42:K42"/>
    <mergeCell ref="M42:N42"/>
    <mergeCell ref="O42:P42"/>
    <mergeCell ref="A43:C43"/>
    <mergeCell ref="F43:G43"/>
    <mergeCell ref="H43:I43"/>
    <mergeCell ref="J43:K43"/>
    <mergeCell ref="M43:N43"/>
    <mergeCell ref="O43:P43"/>
    <mergeCell ref="A44:C44"/>
    <mergeCell ref="F44:G44"/>
    <mergeCell ref="H44:I44"/>
    <mergeCell ref="J44:K44"/>
    <mergeCell ref="M44:N44"/>
    <mergeCell ref="O44:P44"/>
    <mergeCell ref="A45:C45"/>
    <mergeCell ref="F45:G45"/>
    <mergeCell ref="H45:I45"/>
    <mergeCell ref="J45:K45"/>
    <mergeCell ref="M45:N45"/>
    <mergeCell ref="O45:P45"/>
    <mergeCell ref="A46:E46"/>
    <mergeCell ref="F46:G46"/>
    <mergeCell ref="M46:N46"/>
    <mergeCell ref="O46:P46"/>
    <mergeCell ref="F48:G48"/>
    <mergeCell ref="M48:N48"/>
    <mergeCell ref="O48:P48"/>
    <mergeCell ref="A49:C49"/>
    <mergeCell ref="F49:G49"/>
    <mergeCell ref="H49:J49"/>
    <mergeCell ref="M49:N49"/>
    <mergeCell ref="O49:P49"/>
    <mergeCell ref="A50:C50"/>
    <mergeCell ref="F50:G50"/>
    <mergeCell ref="H50:J50"/>
    <mergeCell ref="M50:N50"/>
    <mergeCell ref="O50:P50"/>
    <mergeCell ref="A51:C51"/>
    <mergeCell ref="F51:G51"/>
    <mergeCell ref="H51:J51"/>
    <mergeCell ref="M51:N51"/>
    <mergeCell ref="O51:P51"/>
    <mergeCell ref="A52:C52"/>
    <mergeCell ref="F52:G52"/>
    <mergeCell ref="H52:J52"/>
    <mergeCell ref="M52:N52"/>
    <mergeCell ref="O52:P52"/>
    <mergeCell ref="A53:C53"/>
    <mergeCell ref="F53:G53"/>
    <mergeCell ref="H53:J53"/>
    <mergeCell ref="M53:N53"/>
    <mergeCell ref="O53:P53"/>
    <mergeCell ref="A54:E54"/>
    <mergeCell ref="F54:G54"/>
    <mergeCell ref="H54:N54"/>
    <mergeCell ref="O54:P54"/>
    <mergeCell ref="H59:I59"/>
    <mergeCell ref="K59:L59"/>
    <mergeCell ref="M59:N59"/>
    <mergeCell ref="O59:P59"/>
    <mergeCell ref="A60:C60"/>
    <mergeCell ref="H60:I60"/>
    <mergeCell ref="J60:K60"/>
    <mergeCell ref="M60:N60"/>
    <mergeCell ref="O60:P60"/>
    <mergeCell ref="A61:C61"/>
    <mergeCell ref="H61:I61"/>
    <mergeCell ref="J61:K61"/>
    <mergeCell ref="M61:N61"/>
    <mergeCell ref="O61:P61"/>
    <mergeCell ref="A62:C62"/>
    <mergeCell ref="H62:I62"/>
    <mergeCell ref="J62:K62"/>
    <mergeCell ref="M62:N62"/>
    <mergeCell ref="O62:P62"/>
    <mergeCell ref="A63:C63"/>
    <mergeCell ref="H63:I63"/>
    <mergeCell ref="J63:K63"/>
    <mergeCell ref="M63:N63"/>
    <mergeCell ref="O63:P63"/>
    <mergeCell ref="A64:C64"/>
    <mergeCell ref="H64:I64"/>
    <mergeCell ref="J64:K64"/>
    <mergeCell ref="M64:N64"/>
    <mergeCell ref="O64:P64"/>
    <mergeCell ref="A65:C65"/>
    <mergeCell ref="H65:I65"/>
    <mergeCell ref="J65:K65"/>
    <mergeCell ref="M65:N65"/>
    <mergeCell ref="O65:P65"/>
    <mergeCell ref="A66:C66"/>
    <mergeCell ref="H66:I66"/>
    <mergeCell ref="J66:K66"/>
    <mergeCell ref="M66:N66"/>
    <mergeCell ref="O66:P66"/>
    <mergeCell ref="A67:C67"/>
    <mergeCell ref="H67:I67"/>
    <mergeCell ref="M67:N67"/>
    <mergeCell ref="O67:P67"/>
    <mergeCell ref="A68:C68"/>
    <mergeCell ref="H68:I68"/>
    <mergeCell ref="M68:N68"/>
    <mergeCell ref="O68:P68"/>
    <mergeCell ref="A69:C69"/>
    <mergeCell ref="H69:I69"/>
    <mergeCell ref="M69:N69"/>
    <mergeCell ref="O69:P69"/>
    <mergeCell ref="A70:C70"/>
    <mergeCell ref="H70:I70"/>
    <mergeCell ref="M70:N70"/>
    <mergeCell ref="O70:P70"/>
    <mergeCell ref="A71:C71"/>
    <mergeCell ref="H71:I71"/>
    <mergeCell ref="M71:N71"/>
    <mergeCell ref="O71:P71"/>
    <mergeCell ref="A72:C72"/>
    <mergeCell ref="H72:I72"/>
    <mergeCell ref="M72:N72"/>
    <mergeCell ref="O72:P72"/>
    <mergeCell ref="A73:C73"/>
    <mergeCell ref="H73:I73"/>
    <mergeCell ref="M73:N73"/>
    <mergeCell ref="O73:P73"/>
    <mergeCell ref="A74:C74"/>
    <mergeCell ref="H74:I74"/>
    <mergeCell ref="M74:N74"/>
    <mergeCell ref="O74:P74"/>
    <mergeCell ref="A75:C75"/>
    <mergeCell ref="H75:I75"/>
    <mergeCell ref="M75:N75"/>
    <mergeCell ref="O75:P75"/>
    <mergeCell ref="A76:E76"/>
    <mergeCell ref="F76:H76"/>
    <mergeCell ref="K76:L76"/>
    <mergeCell ref="M76:N76"/>
    <mergeCell ref="O76:P76"/>
    <mergeCell ref="A77:E77"/>
    <mergeCell ref="F77:H77"/>
    <mergeCell ref="K77:L77"/>
    <mergeCell ref="M77:N77"/>
    <mergeCell ref="O77:P77"/>
    <mergeCell ref="A78:L78"/>
    <mergeCell ref="M78:N78"/>
    <mergeCell ref="O78:P78"/>
    <mergeCell ref="A80:C80"/>
    <mergeCell ref="D80:E80"/>
    <mergeCell ref="F80:H80"/>
    <mergeCell ref="I80:L80"/>
    <mergeCell ref="M80:N80"/>
    <mergeCell ref="O80:P80"/>
    <mergeCell ref="A81:C81"/>
    <mergeCell ref="D81:E81"/>
    <mergeCell ref="F81:H81"/>
    <mergeCell ref="I81:L81"/>
    <mergeCell ref="M81:N81"/>
    <mergeCell ref="O81:P81"/>
    <mergeCell ref="A82:C82"/>
    <mergeCell ref="D82:E82"/>
    <mergeCell ref="F82:H82"/>
    <mergeCell ref="I82:L82"/>
    <mergeCell ref="M82:N82"/>
    <mergeCell ref="O82:P82"/>
    <mergeCell ref="A83:C83"/>
    <mergeCell ref="D83:E83"/>
    <mergeCell ref="F83:H83"/>
    <mergeCell ref="I83:L83"/>
    <mergeCell ref="M83:N83"/>
    <mergeCell ref="O83:P83"/>
    <mergeCell ref="A84:C84"/>
    <mergeCell ref="D84:E84"/>
    <mergeCell ref="F84:H84"/>
    <mergeCell ref="I84:L84"/>
    <mergeCell ref="M84:N84"/>
    <mergeCell ref="O84:P84"/>
    <mergeCell ref="F96:G96"/>
    <mergeCell ref="H96:P96"/>
    <mergeCell ref="A85:L85"/>
    <mergeCell ref="M85:N85"/>
    <mergeCell ref="O85:P85"/>
    <mergeCell ref="F90:G90"/>
    <mergeCell ref="O90:P90"/>
    <mergeCell ref="F91:G91"/>
    <mergeCell ref="K91:N91"/>
    <mergeCell ref="O91:P91"/>
    <mergeCell ref="F92:G92"/>
    <mergeCell ref="O92:P92"/>
    <mergeCell ref="I109:J109"/>
    <mergeCell ref="A12:P14"/>
    <mergeCell ref="A55:P57"/>
    <mergeCell ref="A86:P88"/>
    <mergeCell ref="A112:G133"/>
    <mergeCell ref="H112:P133"/>
    <mergeCell ref="A101:P106"/>
    <mergeCell ref="B108:E109"/>
    <mergeCell ref="F97:G97"/>
    <mergeCell ref="H97:P97"/>
    <mergeCell ref="A98:E98"/>
    <mergeCell ref="F98:G98"/>
    <mergeCell ref="H98:N98"/>
    <mergeCell ref="O98:P98"/>
    <mergeCell ref="A99:G99"/>
    <mergeCell ref="H99:N99"/>
    <mergeCell ref="O99:P99"/>
    <mergeCell ref="F93:G93"/>
    <mergeCell ref="K93:N93"/>
    <mergeCell ref="O93:P93"/>
    <mergeCell ref="F94:G94"/>
    <mergeCell ref="H94:P94"/>
    <mergeCell ref="F95:G95"/>
    <mergeCell ref="H95:P95"/>
  </mergeCells>
  <dataValidations count="4">
    <dataValidation type="list" allowBlank="1" showInputMessage="1" showErrorMessage="1" sqref="O17" xr:uid="{00000000-0002-0000-0900-000000000000}">
      <formula1>"Single,Common Law,Married,Divorced,Widowed"</formula1>
    </dataValidation>
    <dataValidation type="list" allowBlank="1" showInputMessage="1" showErrorMessage="1" sqref="E29:E32" xr:uid="{00000000-0002-0000-0900-000001000000}">
      <formula1>"YES,NO"</formula1>
    </dataValidation>
    <dataValidation type="list" allowBlank="1" showInputMessage="1" showErrorMessage="1" sqref="F60:F75 I76:I77" xr:uid="{00000000-0002-0000-0900-000002000000}">
      <formula1>"Residence,Vacation,Retail,Apartment,Commercial,Office,Industrial,Mixed,Land"</formula1>
    </dataValidation>
    <dataValidation type="list" allowBlank="1" showInputMessage="1" showErrorMessage="1" sqref="N35:N38" xr:uid="{00000000-0002-0000-0900-000003000000}">
      <formula1>"Stocks,Bonds,RRSP,TFSA,Jewelry,Metals,Other"</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F12"/>
  <sheetViews>
    <sheetView workbookViewId="0">
      <selection activeCell="D22" sqref="D22"/>
    </sheetView>
  </sheetViews>
  <sheetFormatPr defaultColWidth="9" defaultRowHeight="13.2"/>
  <cols>
    <col min="1" max="1" width="5.33203125" customWidth="1"/>
    <col min="2" max="2" width="19.109375" customWidth="1"/>
    <col min="3" max="3" width="23.33203125" customWidth="1"/>
    <col min="4" max="4" width="8.33203125" customWidth="1"/>
    <col min="5" max="5" width="18.109375" customWidth="1"/>
    <col min="6" max="6" width="17.88671875" customWidth="1"/>
  </cols>
  <sheetData>
    <row r="2" spans="2:6">
      <c r="B2" s="291" t="s">
        <v>397</v>
      </c>
      <c r="C2" s="292"/>
      <c r="E2" s="291" t="s">
        <v>398</v>
      </c>
      <c r="F2" s="292"/>
    </row>
    <row r="3" spans="2:6" ht="22.2" customHeight="1">
      <c r="B3" s="293" t="s">
        <v>305</v>
      </c>
      <c r="C3" s="294" t="str">
        <f>'Proforma Construction'!B3</f>
        <v>2240 Birchmount Rd Scarborough</v>
      </c>
      <c r="E3" s="293" t="s">
        <v>399</v>
      </c>
      <c r="F3" s="295">
        <f>'Proforma Construction'!I47</f>
        <v>4868527.9649999999</v>
      </c>
    </row>
    <row r="4" spans="2:6">
      <c r="B4" s="293" t="s">
        <v>400</v>
      </c>
      <c r="C4" s="294" t="s">
        <v>401</v>
      </c>
      <c r="E4" s="293" t="s">
        <v>402</v>
      </c>
      <c r="F4" s="295">
        <f>'Proforma Construction'!G79</f>
        <v>95621820.569999993</v>
      </c>
    </row>
    <row r="5" spans="2:6">
      <c r="B5" s="293" t="s">
        <v>171</v>
      </c>
      <c r="C5" s="294">
        <f>'Proforma Construction'!C56</f>
        <v>170</v>
      </c>
      <c r="E5" s="293" t="s">
        <v>403</v>
      </c>
      <c r="F5" s="295">
        <f>'Proforma Construction'!H79</f>
        <v>562481.29747058824</v>
      </c>
    </row>
    <row r="6" spans="2:6">
      <c r="B6" s="293" t="s">
        <v>404</v>
      </c>
      <c r="C6" s="294">
        <f>'Proforma Construction'!F18+'Proforma Construction'!F19</f>
        <v>192</v>
      </c>
      <c r="E6" s="293" t="s">
        <v>405</v>
      </c>
      <c r="F6" s="295">
        <f>'Proforma Construction'!C61</f>
        <v>121713199.125</v>
      </c>
    </row>
    <row r="7" spans="2:6">
      <c r="B7" s="293" t="s">
        <v>406</v>
      </c>
      <c r="C7" s="294" t="s">
        <v>407</v>
      </c>
      <c r="E7" s="293" t="s">
        <v>408</v>
      </c>
      <c r="F7" s="295">
        <f>'Proforma Construction'!C62</f>
        <v>715959.99485294113</v>
      </c>
    </row>
    <row r="8" spans="2:6">
      <c r="B8" s="296" t="s">
        <v>409</v>
      </c>
      <c r="C8" s="297">
        <f>'Proforma Construction'!F14</f>
        <v>128826</v>
      </c>
      <c r="E8" s="293" t="s">
        <v>179</v>
      </c>
      <c r="F8" s="295">
        <f>'Proforma Construction'!E50</f>
        <v>92500000</v>
      </c>
    </row>
    <row r="9" spans="2:6">
      <c r="B9" s="293" t="s">
        <v>410</v>
      </c>
      <c r="C9" s="297">
        <f>'Proforma Construction'!F15</f>
        <v>757.8</v>
      </c>
      <c r="E9" s="293" t="s">
        <v>411</v>
      </c>
      <c r="F9" s="295">
        <f>'Proforma Construction'!I59</f>
        <v>544117.6470588235</v>
      </c>
    </row>
    <row r="10" spans="2:6">
      <c r="B10" s="298" t="s">
        <v>127</v>
      </c>
      <c r="C10" s="299">
        <f>'Proforma Construction'!G15</f>
        <v>3.8024156614348037</v>
      </c>
      <c r="E10" s="293" t="s">
        <v>412</v>
      </c>
      <c r="F10" s="300">
        <f>'Proforma Construction'!C50</f>
        <v>0.96735242488178041</v>
      </c>
    </row>
    <row r="11" spans="2:6">
      <c r="B11" s="301"/>
      <c r="E11" s="293" t="s">
        <v>413</v>
      </c>
      <c r="F11" s="302">
        <f>'Proforma Construction'!H50</f>
        <v>1.1026864498003595</v>
      </c>
    </row>
    <row r="12" spans="2:6">
      <c r="E12" s="298" t="s">
        <v>40</v>
      </c>
      <c r="F12" s="303">
        <f>'Proforma Construction'!D50</f>
        <v>0.75998331047894063</v>
      </c>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XFD30"/>
  <sheetViews>
    <sheetView workbookViewId="0">
      <selection activeCell="Q15" sqref="Q15:Q16"/>
    </sheetView>
  </sheetViews>
  <sheetFormatPr defaultColWidth="8.88671875" defaultRowHeight="13.8"/>
  <cols>
    <col min="1" max="1" width="5.33203125" style="269" customWidth="1"/>
    <col min="2" max="2" width="20.109375" style="269" customWidth="1"/>
    <col min="3" max="3" width="18.44140625" style="269" customWidth="1"/>
    <col min="4" max="4" width="6.5546875" style="269" customWidth="1"/>
    <col min="5" max="5" width="15.5546875" style="269" customWidth="1"/>
    <col min="6" max="6" width="15.33203125" style="269" customWidth="1"/>
    <col min="7" max="7" width="9.33203125" style="269" customWidth="1"/>
    <col min="8" max="16384" width="8.88671875" style="269"/>
  </cols>
  <sheetData>
    <row r="2" spans="2:16384">
      <c r="B2" s="994" t="s">
        <v>414</v>
      </c>
      <c r="C2" s="995"/>
      <c r="D2" s="270"/>
      <c r="E2" s="996" t="s">
        <v>415</v>
      </c>
      <c r="F2" s="997"/>
      <c r="G2" s="998"/>
    </row>
    <row r="3" spans="2:16384">
      <c r="B3" s="999" t="s">
        <v>416</v>
      </c>
      <c r="C3" s="1000"/>
      <c r="D3" s="270"/>
      <c r="E3" s="271" t="s">
        <v>159</v>
      </c>
      <c r="F3" s="988">
        <f>'Proforma Construction'!E50</f>
        <v>92500000</v>
      </c>
      <c r="G3" s="989"/>
    </row>
    <row r="4" spans="2:16384">
      <c r="B4" s="979" t="s">
        <v>417</v>
      </c>
      <c r="C4" s="980"/>
      <c r="D4" s="270"/>
      <c r="E4" s="271" t="s">
        <v>157</v>
      </c>
      <c r="F4" s="1001">
        <f>'Proforma Construction'!C50</f>
        <v>0.96735242488178041</v>
      </c>
      <c r="G4" s="1002"/>
    </row>
    <row r="5" spans="2:16384">
      <c r="B5" s="999">
        <f>Sponsorship!B4</f>
        <v>0</v>
      </c>
      <c r="C5" s="1000"/>
      <c r="D5" s="272"/>
      <c r="E5" s="271" t="s">
        <v>158</v>
      </c>
      <c r="F5" s="1001">
        <f>'Proforma Construction'!D50</f>
        <v>0.75998331047894063</v>
      </c>
      <c r="G5" s="1002"/>
      <c r="N5" s="290"/>
      <c r="O5" s="290"/>
      <c r="P5" s="290"/>
      <c r="Q5" s="290"/>
      <c r="R5" s="290"/>
      <c r="S5" s="290"/>
      <c r="T5" s="290"/>
      <c r="U5" s="290"/>
      <c r="V5" s="290"/>
      <c r="W5" s="290"/>
      <c r="X5" s="290"/>
      <c r="Y5" s="290"/>
      <c r="Z5" s="290"/>
      <c r="AA5" s="290"/>
      <c r="AB5" s="290"/>
      <c r="AC5" s="290"/>
      <c r="AD5" s="290"/>
      <c r="AE5" s="290"/>
      <c r="AF5" s="290"/>
      <c r="AG5" s="290"/>
      <c r="AH5" s="290"/>
      <c r="AI5" s="290"/>
      <c r="AJ5" s="290"/>
      <c r="AK5" s="290"/>
      <c r="AL5" s="290"/>
      <c r="AM5" s="290"/>
      <c r="AN5" s="290"/>
      <c r="AO5" s="290"/>
      <c r="AP5" s="290"/>
      <c r="AQ5" s="290"/>
      <c r="AR5" s="290"/>
      <c r="AS5" s="290"/>
      <c r="AT5" s="290"/>
      <c r="AU5" s="290"/>
      <c r="AV5" s="290"/>
      <c r="AW5" s="290"/>
      <c r="AX5" s="290"/>
      <c r="AY5" s="290"/>
      <c r="AZ5" s="290"/>
      <c r="BA5" s="290"/>
      <c r="BB5" s="290"/>
      <c r="BC5" s="290"/>
      <c r="BD5" s="290"/>
      <c r="BE5" s="290"/>
      <c r="BF5" s="290"/>
      <c r="BG5" s="290"/>
      <c r="BH5" s="290"/>
      <c r="BI5" s="290"/>
      <c r="BJ5" s="290"/>
      <c r="BK5" s="290"/>
      <c r="BL5" s="290"/>
      <c r="BM5" s="290"/>
      <c r="BN5" s="290"/>
      <c r="BO5" s="290"/>
      <c r="BP5" s="290"/>
      <c r="BQ5" s="290"/>
      <c r="BR5" s="290"/>
      <c r="BS5" s="290"/>
      <c r="BT5" s="290"/>
      <c r="BU5" s="290"/>
      <c r="BV5" s="290"/>
      <c r="BW5" s="290"/>
      <c r="BX5" s="290"/>
      <c r="BY5" s="290"/>
      <c r="BZ5" s="290"/>
      <c r="CA5" s="290"/>
      <c r="CB5" s="290"/>
      <c r="CC5" s="290"/>
      <c r="CD5" s="290"/>
      <c r="CE5" s="290"/>
      <c r="CF5" s="290"/>
      <c r="CG5" s="290"/>
      <c r="CH5" s="290"/>
      <c r="CI5" s="290"/>
      <c r="CJ5" s="290"/>
      <c r="CK5" s="290"/>
      <c r="CL5" s="290"/>
      <c r="CM5" s="290"/>
      <c r="CN5" s="290"/>
      <c r="CO5" s="290"/>
      <c r="CP5" s="290"/>
      <c r="CQ5" s="290"/>
      <c r="CR5" s="290"/>
      <c r="CS5" s="290"/>
      <c r="CT5" s="290"/>
      <c r="CU5" s="290"/>
      <c r="CV5" s="290"/>
      <c r="CW5" s="290"/>
      <c r="CX5" s="290"/>
      <c r="CY5" s="290"/>
      <c r="CZ5" s="290"/>
      <c r="DA5" s="290"/>
      <c r="DB5" s="290"/>
      <c r="DC5" s="290"/>
      <c r="DD5" s="290"/>
      <c r="DE5" s="290"/>
      <c r="DF5" s="290"/>
      <c r="DG5" s="290"/>
      <c r="DH5" s="290"/>
      <c r="DI5" s="290"/>
      <c r="DJ5" s="290"/>
      <c r="DK5" s="290"/>
      <c r="DL5" s="290"/>
      <c r="DM5" s="290"/>
      <c r="DN5" s="290"/>
      <c r="DO5" s="290"/>
      <c r="DP5" s="290"/>
      <c r="DQ5" s="290"/>
      <c r="DR5" s="290"/>
      <c r="DS5" s="290"/>
      <c r="DT5" s="290"/>
      <c r="DU5" s="290"/>
      <c r="DV5" s="290"/>
      <c r="DW5" s="290"/>
      <c r="DX5" s="290"/>
      <c r="DY5" s="290"/>
      <c r="DZ5" s="290"/>
      <c r="EA5" s="290"/>
      <c r="EB5" s="290"/>
      <c r="EC5" s="290"/>
      <c r="ED5" s="290"/>
      <c r="EE5" s="290"/>
      <c r="EF5" s="290"/>
      <c r="EG5" s="290"/>
      <c r="EH5" s="290"/>
      <c r="EI5" s="290"/>
      <c r="EJ5" s="290"/>
      <c r="EK5" s="290"/>
      <c r="EL5" s="290"/>
      <c r="EM5" s="290"/>
      <c r="EN5" s="290"/>
      <c r="EO5" s="290"/>
      <c r="EP5" s="290"/>
      <c r="EQ5" s="290"/>
      <c r="ER5" s="290"/>
      <c r="ES5" s="290"/>
      <c r="ET5" s="290"/>
      <c r="EU5" s="290"/>
      <c r="EV5" s="290"/>
      <c r="EW5" s="290"/>
      <c r="EX5" s="290"/>
      <c r="EY5" s="290"/>
      <c r="EZ5" s="290"/>
      <c r="FA5" s="290"/>
      <c r="FB5" s="290"/>
      <c r="FC5" s="290"/>
      <c r="FD5" s="290"/>
      <c r="FE5" s="290"/>
      <c r="FF5" s="290"/>
      <c r="FG5" s="290"/>
      <c r="FH5" s="290"/>
      <c r="FI5" s="290"/>
      <c r="FJ5" s="290"/>
      <c r="FK5" s="290"/>
      <c r="FL5" s="290"/>
      <c r="FM5" s="290"/>
      <c r="FN5" s="290"/>
      <c r="FO5" s="290"/>
      <c r="FP5" s="290"/>
      <c r="FQ5" s="290"/>
      <c r="FR5" s="290"/>
      <c r="FS5" s="290"/>
      <c r="FT5" s="290"/>
      <c r="FU5" s="290"/>
      <c r="FV5" s="290"/>
      <c r="FW5" s="290"/>
      <c r="FX5" s="290"/>
      <c r="FY5" s="290"/>
      <c r="FZ5" s="290"/>
      <c r="GA5" s="290"/>
      <c r="GB5" s="290"/>
      <c r="GC5" s="290"/>
      <c r="GD5" s="290"/>
      <c r="GE5" s="290"/>
      <c r="GF5" s="290"/>
      <c r="GG5" s="290"/>
      <c r="GH5" s="290"/>
      <c r="GI5" s="290"/>
      <c r="GJ5" s="290"/>
      <c r="GK5" s="290"/>
      <c r="GL5" s="290"/>
      <c r="GM5" s="290"/>
      <c r="GN5" s="290"/>
      <c r="GO5" s="290"/>
      <c r="GP5" s="290"/>
      <c r="GQ5" s="290"/>
      <c r="GR5" s="290"/>
      <c r="GS5" s="290"/>
      <c r="GT5" s="290"/>
      <c r="GU5" s="290"/>
      <c r="GV5" s="290"/>
      <c r="GW5" s="290"/>
      <c r="GX5" s="290"/>
      <c r="GY5" s="290"/>
      <c r="GZ5" s="290"/>
      <c r="HA5" s="290"/>
      <c r="HB5" s="290"/>
      <c r="HC5" s="290"/>
      <c r="HD5" s="290"/>
      <c r="HE5" s="290"/>
      <c r="HF5" s="290"/>
      <c r="HG5" s="290"/>
      <c r="HH5" s="290"/>
      <c r="HI5" s="290"/>
      <c r="HJ5" s="290"/>
      <c r="HK5" s="290"/>
      <c r="HL5" s="290"/>
      <c r="HM5" s="290"/>
      <c r="HN5" s="290"/>
      <c r="HO5" s="290"/>
      <c r="HP5" s="290"/>
      <c r="HQ5" s="290"/>
      <c r="HR5" s="290"/>
      <c r="HS5" s="290"/>
      <c r="HT5" s="290"/>
      <c r="HU5" s="290"/>
      <c r="HV5" s="290"/>
      <c r="HW5" s="290"/>
      <c r="HX5" s="290"/>
      <c r="HY5" s="290"/>
      <c r="HZ5" s="290"/>
      <c r="IA5" s="290"/>
      <c r="IB5" s="290"/>
      <c r="IC5" s="290"/>
      <c r="ID5" s="290"/>
      <c r="IE5" s="290"/>
      <c r="IF5" s="290"/>
      <c r="IG5" s="290"/>
      <c r="IH5" s="290"/>
      <c r="II5" s="290"/>
      <c r="IJ5" s="290"/>
      <c r="IK5" s="290"/>
      <c r="IL5" s="290"/>
      <c r="IM5" s="290"/>
      <c r="IN5" s="290"/>
      <c r="IO5" s="290"/>
      <c r="IP5" s="290"/>
      <c r="IQ5" s="290"/>
      <c r="IR5" s="290"/>
      <c r="IS5" s="290"/>
      <c r="IT5" s="290"/>
      <c r="IU5" s="290"/>
      <c r="IV5" s="290"/>
      <c r="IW5" s="290"/>
      <c r="IX5" s="290"/>
      <c r="IY5" s="290"/>
      <c r="IZ5" s="290"/>
      <c r="JA5" s="290"/>
      <c r="JB5" s="290"/>
      <c r="JC5" s="290"/>
      <c r="JD5" s="290"/>
      <c r="JE5" s="290"/>
      <c r="JF5" s="290"/>
      <c r="JG5" s="290"/>
      <c r="JH5" s="290"/>
      <c r="JI5" s="290"/>
      <c r="JJ5" s="290"/>
      <c r="JK5" s="290"/>
      <c r="JL5" s="290"/>
      <c r="JM5" s="290"/>
      <c r="JN5" s="290"/>
      <c r="JO5" s="290"/>
      <c r="JP5" s="290"/>
      <c r="JQ5" s="290"/>
      <c r="JR5" s="290"/>
      <c r="JS5" s="290"/>
      <c r="JT5" s="290"/>
      <c r="JU5" s="290"/>
      <c r="JV5" s="290"/>
      <c r="JW5" s="290"/>
      <c r="JX5" s="290"/>
      <c r="JY5" s="290"/>
      <c r="JZ5" s="290"/>
      <c r="KA5" s="290"/>
      <c r="KB5" s="290"/>
      <c r="KC5" s="290"/>
      <c r="KD5" s="290"/>
      <c r="KE5" s="290"/>
      <c r="KF5" s="290"/>
      <c r="KG5" s="290"/>
      <c r="KH5" s="290"/>
      <c r="KI5" s="290"/>
      <c r="KJ5" s="290"/>
      <c r="KK5" s="290"/>
      <c r="KL5" s="290"/>
      <c r="KM5" s="290"/>
      <c r="KN5" s="290"/>
      <c r="KO5" s="290"/>
      <c r="KP5" s="290"/>
      <c r="KQ5" s="290"/>
      <c r="KR5" s="290"/>
      <c r="KS5" s="290"/>
      <c r="KT5" s="290"/>
      <c r="KU5" s="290"/>
      <c r="KV5" s="290"/>
      <c r="KW5" s="290"/>
      <c r="KX5" s="290"/>
      <c r="KY5" s="290"/>
      <c r="KZ5" s="290"/>
      <c r="LA5" s="290"/>
      <c r="LB5" s="290"/>
      <c r="LC5" s="290"/>
      <c r="LD5" s="290"/>
      <c r="LE5" s="290"/>
      <c r="LF5" s="290"/>
      <c r="LG5" s="290"/>
      <c r="LH5" s="290"/>
      <c r="LI5" s="290"/>
      <c r="LJ5" s="290"/>
      <c r="LK5" s="290"/>
      <c r="LL5" s="290"/>
      <c r="LM5" s="290"/>
      <c r="LN5" s="290"/>
      <c r="LO5" s="290"/>
      <c r="LP5" s="290"/>
      <c r="LQ5" s="290"/>
      <c r="LR5" s="290"/>
      <c r="LS5" s="290"/>
      <c r="LT5" s="290"/>
      <c r="LU5" s="290"/>
      <c r="LV5" s="290"/>
      <c r="LW5" s="290"/>
      <c r="LX5" s="290"/>
      <c r="LY5" s="290"/>
      <c r="LZ5" s="290"/>
      <c r="MA5" s="290"/>
      <c r="MB5" s="290"/>
      <c r="MC5" s="290"/>
      <c r="MD5" s="290"/>
      <c r="ME5" s="290"/>
      <c r="MF5" s="290"/>
      <c r="MG5" s="290"/>
      <c r="MH5" s="290"/>
      <c r="MI5" s="290"/>
      <c r="MJ5" s="290"/>
      <c r="MK5" s="290"/>
      <c r="ML5" s="290"/>
      <c r="MM5" s="290"/>
      <c r="MN5" s="290"/>
      <c r="MO5" s="290"/>
      <c r="MP5" s="290"/>
      <c r="MQ5" s="290"/>
      <c r="MR5" s="290"/>
      <c r="MS5" s="290"/>
      <c r="MT5" s="290"/>
      <c r="MU5" s="290"/>
      <c r="MV5" s="290"/>
      <c r="MW5" s="290"/>
      <c r="MX5" s="290"/>
      <c r="MY5" s="290"/>
      <c r="MZ5" s="290"/>
      <c r="NA5" s="290"/>
      <c r="NB5" s="290"/>
      <c r="NC5" s="290"/>
      <c r="ND5" s="290"/>
      <c r="NE5" s="290"/>
      <c r="NF5" s="290"/>
      <c r="NG5" s="290"/>
      <c r="NH5" s="290"/>
      <c r="NI5" s="290"/>
      <c r="NJ5" s="290"/>
      <c r="NK5" s="290"/>
      <c r="NL5" s="290"/>
      <c r="NM5" s="290"/>
      <c r="NN5" s="290"/>
      <c r="NO5" s="290"/>
      <c r="NP5" s="290"/>
      <c r="NQ5" s="290"/>
      <c r="NR5" s="290"/>
      <c r="NS5" s="290"/>
      <c r="NT5" s="290"/>
      <c r="NU5" s="290"/>
      <c r="NV5" s="290"/>
      <c r="NW5" s="290"/>
      <c r="NX5" s="290"/>
      <c r="NY5" s="290"/>
      <c r="NZ5" s="290"/>
      <c r="OA5" s="290"/>
      <c r="OB5" s="290"/>
      <c r="OC5" s="290"/>
      <c r="OD5" s="290"/>
      <c r="OE5" s="290"/>
      <c r="OF5" s="290"/>
      <c r="OG5" s="290"/>
      <c r="OH5" s="290"/>
      <c r="OI5" s="290"/>
      <c r="OJ5" s="290"/>
      <c r="OK5" s="290"/>
      <c r="OL5" s="290"/>
      <c r="OM5" s="290"/>
      <c r="ON5" s="290"/>
      <c r="OO5" s="290"/>
      <c r="OP5" s="290"/>
      <c r="OQ5" s="290"/>
      <c r="OR5" s="290"/>
      <c r="OS5" s="290"/>
      <c r="OT5" s="290"/>
      <c r="OU5" s="290"/>
      <c r="OV5" s="290"/>
      <c r="OW5" s="290"/>
      <c r="OX5" s="290"/>
      <c r="OY5" s="290"/>
      <c r="OZ5" s="290"/>
      <c r="PA5" s="290"/>
      <c r="PB5" s="290"/>
      <c r="PC5" s="290"/>
      <c r="PD5" s="290"/>
      <c r="PE5" s="290"/>
      <c r="PF5" s="290"/>
      <c r="PG5" s="290"/>
      <c r="PH5" s="290"/>
      <c r="PI5" s="290"/>
      <c r="PJ5" s="290"/>
      <c r="PK5" s="290"/>
      <c r="PL5" s="290"/>
      <c r="PM5" s="290"/>
      <c r="PN5" s="290"/>
      <c r="PO5" s="290"/>
      <c r="PP5" s="290"/>
      <c r="PQ5" s="290"/>
      <c r="PR5" s="290"/>
      <c r="PS5" s="290"/>
      <c r="PT5" s="290"/>
      <c r="PU5" s="290"/>
      <c r="PV5" s="290"/>
      <c r="PW5" s="290"/>
      <c r="PX5" s="290"/>
      <c r="PY5" s="290"/>
      <c r="PZ5" s="290"/>
      <c r="QA5" s="290"/>
      <c r="QB5" s="290"/>
      <c r="QC5" s="290"/>
      <c r="QD5" s="290"/>
      <c r="QE5" s="290"/>
      <c r="QF5" s="290"/>
      <c r="QG5" s="290"/>
      <c r="QH5" s="290"/>
      <c r="QI5" s="290"/>
      <c r="QJ5" s="290"/>
      <c r="QK5" s="290"/>
      <c r="QL5" s="290"/>
      <c r="QM5" s="290"/>
      <c r="QN5" s="290"/>
      <c r="QO5" s="290"/>
      <c r="QP5" s="290"/>
      <c r="QQ5" s="290"/>
      <c r="QR5" s="290"/>
      <c r="QS5" s="290"/>
      <c r="QT5" s="290"/>
      <c r="QU5" s="290"/>
      <c r="QV5" s="290"/>
      <c r="QW5" s="290"/>
      <c r="QX5" s="290"/>
      <c r="QY5" s="290"/>
      <c r="QZ5" s="290"/>
      <c r="RA5" s="290"/>
      <c r="RB5" s="290"/>
      <c r="RC5" s="290"/>
      <c r="RD5" s="290"/>
      <c r="RE5" s="290"/>
      <c r="RF5" s="290"/>
      <c r="RG5" s="290"/>
      <c r="RH5" s="290"/>
      <c r="RI5" s="290"/>
      <c r="RJ5" s="290"/>
      <c r="RK5" s="290"/>
      <c r="RL5" s="290"/>
      <c r="RM5" s="290"/>
      <c r="RN5" s="290"/>
      <c r="RO5" s="290"/>
      <c r="RP5" s="290"/>
      <c r="RQ5" s="290"/>
      <c r="RR5" s="290"/>
      <c r="RS5" s="290"/>
      <c r="RT5" s="290"/>
      <c r="RU5" s="290"/>
      <c r="RV5" s="290"/>
      <c r="RW5" s="290"/>
      <c r="RX5" s="290"/>
      <c r="RY5" s="290"/>
      <c r="RZ5" s="290"/>
      <c r="SA5" s="290"/>
      <c r="SB5" s="290"/>
      <c r="SC5" s="290"/>
      <c r="SD5" s="290"/>
      <c r="SE5" s="290"/>
      <c r="SF5" s="290"/>
      <c r="SG5" s="290"/>
      <c r="SH5" s="290"/>
      <c r="SI5" s="290"/>
      <c r="SJ5" s="290"/>
      <c r="SK5" s="290"/>
      <c r="SL5" s="290"/>
      <c r="SM5" s="290"/>
      <c r="SN5" s="290"/>
      <c r="SO5" s="290"/>
      <c r="SP5" s="290"/>
      <c r="SQ5" s="290"/>
      <c r="SR5" s="290"/>
      <c r="SS5" s="290"/>
      <c r="ST5" s="290"/>
      <c r="SU5" s="290"/>
      <c r="SV5" s="290"/>
      <c r="SW5" s="290"/>
      <c r="SX5" s="290"/>
      <c r="SY5" s="290"/>
      <c r="SZ5" s="290"/>
      <c r="TA5" s="290"/>
      <c r="TB5" s="290"/>
      <c r="TC5" s="290"/>
      <c r="TD5" s="290"/>
      <c r="TE5" s="290"/>
      <c r="TF5" s="290"/>
      <c r="TG5" s="290"/>
      <c r="TH5" s="290"/>
      <c r="TI5" s="290"/>
      <c r="TJ5" s="290"/>
      <c r="TK5" s="290"/>
      <c r="TL5" s="290"/>
      <c r="TM5" s="290"/>
      <c r="TN5" s="290"/>
      <c r="TO5" s="290"/>
      <c r="TP5" s="290"/>
      <c r="TQ5" s="290"/>
      <c r="TR5" s="290"/>
      <c r="TS5" s="290"/>
      <c r="TT5" s="290"/>
      <c r="TU5" s="290"/>
      <c r="TV5" s="290"/>
      <c r="TW5" s="290"/>
      <c r="TX5" s="290"/>
      <c r="TY5" s="290"/>
      <c r="TZ5" s="290"/>
      <c r="UA5" s="290"/>
      <c r="UB5" s="290"/>
      <c r="UC5" s="290"/>
      <c r="UD5" s="290"/>
      <c r="UE5" s="290"/>
      <c r="UF5" s="290"/>
      <c r="UG5" s="290"/>
      <c r="UH5" s="290"/>
      <c r="UI5" s="290"/>
      <c r="UJ5" s="290"/>
      <c r="UK5" s="290"/>
      <c r="UL5" s="290"/>
      <c r="UM5" s="290"/>
      <c r="UN5" s="290"/>
      <c r="UO5" s="290"/>
      <c r="UP5" s="290"/>
      <c r="UQ5" s="290"/>
      <c r="UR5" s="290"/>
      <c r="US5" s="290"/>
      <c r="UT5" s="290"/>
      <c r="UU5" s="290"/>
      <c r="UV5" s="290"/>
      <c r="UW5" s="290"/>
      <c r="UX5" s="290"/>
      <c r="UY5" s="290"/>
      <c r="UZ5" s="290"/>
      <c r="VA5" s="290"/>
      <c r="VB5" s="290"/>
      <c r="VC5" s="290"/>
      <c r="VD5" s="290"/>
      <c r="VE5" s="290"/>
      <c r="VF5" s="290"/>
      <c r="VG5" s="290"/>
      <c r="VH5" s="290"/>
      <c r="VI5" s="290"/>
      <c r="VJ5" s="290"/>
      <c r="VK5" s="290"/>
      <c r="VL5" s="290"/>
      <c r="VM5" s="290"/>
      <c r="VN5" s="290"/>
      <c r="VO5" s="290"/>
      <c r="VP5" s="290"/>
      <c r="VQ5" s="290"/>
      <c r="VR5" s="290"/>
      <c r="VS5" s="290"/>
      <c r="VT5" s="290"/>
      <c r="VU5" s="290"/>
      <c r="VV5" s="290"/>
      <c r="VW5" s="290"/>
      <c r="VX5" s="290"/>
      <c r="VY5" s="290"/>
      <c r="VZ5" s="290"/>
      <c r="WA5" s="290"/>
      <c r="WB5" s="290"/>
      <c r="WC5" s="290"/>
      <c r="WD5" s="290"/>
      <c r="WE5" s="290"/>
      <c r="WF5" s="290"/>
      <c r="WG5" s="290"/>
      <c r="WH5" s="290"/>
      <c r="WI5" s="290"/>
      <c r="WJ5" s="290"/>
      <c r="WK5" s="290"/>
      <c r="WL5" s="290"/>
      <c r="WM5" s="290"/>
      <c r="WN5" s="290"/>
      <c r="WO5" s="290"/>
      <c r="WP5" s="290"/>
      <c r="WQ5" s="290"/>
      <c r="WR5" s="290"/>
      <c r="WS5" s="290"/>
      <c r="WT5" s="290"/>
      <c r="WU5" s="290"/>
      <c r="WV5" s="290"/>
      <c r="WW5" s="290"/>
      <c r="WX5" s="290"/>
      <c r="WY5" s="290"/>
      <c r="WZ5" s="290"/>
      <c r="XA5" s="290"/>
      <c r="XB5" s="290"/>
      <c r="XC5" s="290"/>
      <c r="XD5" s="290"/>
      <c r="XE5" s="290"/>
      <c r="XF5" s="290"/>
      <c r="XG5" s="290"/>
      <c r="XH5" s="290"/>
      <c r="XI5" s="290"/>
      <c r="XJ5" s="290"/>
      <c r="XK5" s="290"/>
      <c r="XL5" s="290"/>
      <c r="XM5" s="290"/>
      <c r="XN5" s="290"/>
      <c r="XO5" s="290"/>
      <c r="XP5" s="290"/>
      <c r="XQ5" s="290"/>
      <c r="XR5" s="290"/>
      <c r="XS5" s="290"/>
      <c r="XT5" s="290"/>
      <c r="XU5" s="290"/>
      <c r="XV5" s="290"/>
      <c r="XW5" s="290"/>
      <c r="XX5" s="290"/>
      <c r="XY5" s="290"/>
      <c r="XZ5" s="290"/>
      <c r="YA5" s="290"/>
      <c r="YB5" s="290"/>
      <c r="YC5" s="290"/>
      <c r="YD5" s="290"/>
      <c r="YE5" s="290"/>
      <c r="YF5" s="290"/>
      <c r="YG5" s="290"/>
      <c r="YH5" s="290"/>
      <c r="YI5" s="290"/>
      <c r="YJ5" s="290"/>
      <c r="YK5" s="290"/>
      <c r="YL5" s="290"/>
      <c r="YM5" s="290"/>
      <c r="YN5" s="290"/>
      <c r="YO5" s="290"/>
      <c r="YP5" s="290"/>
      <c r="YQ5" s="290"/>
      <c r="YR5" s="290"/>
      <c r="YS5" s="290"/>
      <c r="YT5" s="290"/>
      <c r="YU5" s="290"/>
      <c r="YV5" s="290"/>
      <c r="YW5" s="290"/>
      <c r="YX5" s="290"/>
      <c r="YY5" s="290"/>
      <c r="YZ5" s="290"/>
      <c r="ZA5" s="290"/>
      <c r="ZB5" s="290"/>
      <c r="ZC5" s="290"/>
      <c r="ZD5" s="290"/>
      <c r="ZE5" s="290"/>
      <c r="ZF5" s="290"/>
      <c r="ZG5" s="290"/>
      <c r="ZH5" s="290"/>
      <c r="ZI5" s="290"/>
      <c r="ZJ5" s="290"/>
      <c r="ZK5" s="290"/>
      <c r="ZL5" s="290"/>
      <c r="ZM5" s="290"/>
      <c r="ZN5" s="290"/>
      <c r="ZO5" s="290"/>
      <c r="ZP5" s="290"/>
      <c r="ZQ5" s="290"/>
      <c r="ZR5" s="290"/>
      <c r="ZS5" s="290"/>
      <c r="ZT5" s="290"/>
      <c r="ZU5" s="290"/>
      <c r="ZV5" s="290"/>
      <c r="ZW5" s="290"/>
      <c r="ZX5" s="290"/>
      <c r="ZY5" s="290"/>
      <c r="ZZ5" s="290"/>
      <c r="AAA5" s="290"/>
      <c r="AAB5" s="290"/>
      <c r="AAC5" s="290"/>
      <c r="AAD5" s="290"/>
      <c r="AAE5" s="290"/>
      <c r="AAF5" s="290"/>
      <c r="AAG5" s="290"/>
      <c r="AAH5" s="290"/>
      <c r="AAI5" s="290"/>
      <c r="AAJ5" s="290"/>
      <c r="AAK5" s="290"/>
      <c r="AAL5" s="290"/>
      <c r="AAM5" s="290"/>
      <c r="AAN5" s="290"/>
      <c r="AAO5" s="290"/>
      <c r="AAP5" s="290"/>
      <c r="AAQ5" s="290"/>
      <c r="AAR5" s="290"/>
      <c r="AAS5" s="290"/>
      <c r="AAT5" s="290"/>
      <c r="AAU5" s="290"/>
      <c r="AAV5" s="290"/>
      <c r="AAW5" s="290"/>
      <c r="AAX5" s="290"/>
      <c r="AAY5" s="290"/>
      <c r="AAZ5" s="290"/>
      <c r="ABA5" s="290"/>
      <c r="ABB5" s="290"/>
      <c r="ABC5" s="290"/>
      <c r="ABD5" s="290"/>
      <c r="ABE5" s="290"/>
      <c r="ABF5" s="290"/>
      <c r="ABG5" s="290"/>
      <c r="ABH5" s="290"/>
      <c r="ABI5" s="290"/>
      <c r="ABJ5" s="290"/>
      <c r="ABK5" s="290"/>
      <c r="ABL5" s="290"/>
      <c r="ABM5" s="290"/>
      <c r="ABN5" s="290"/>
      <c r="ABO5" s="290"/>
      <c r="ABP5" s="290"/>
      <c r="ABQ5" s="290"/>
      <c r="ABR5" s="290"/>
      <c r="ABS5" s="290"/>
      <c r="ABT5" s="290"/>
      <c r="ABU5" s="290"/>
      <c r="ABV5" s="290"/>
      <c r="ABW5" s="290"/>
      <c r="ABX5" s="290"/>
      <c r="ABY5" s="290"/>
      <c r="ABZ5" s="290"/>
      <c r="ACA5" s="290"/>
      <c r="ACB5" s="290"/>
      <c r="ACC5" s="290"/>
      <c r="ACD5" s="290"/>
      <c r="ACE5" s="290"/>
      <c r="ACF5" s="290"/>
      <c r="ACG5" s="290"/>
      <c r="ACH5" s="290"/>
      <c r="ACI5" s="290"/>
      <c r="ACJ5" s="290"/>
      <c r="ACK5" s="290"/>
      <c r="ACL5" s="290"/>
      <c r="ACM5" s="290"/>
      <c r="ACN5" s="290"/>
      <c r="ACO5" s="290"/>
      <c r="ACP5" s="290"/>
      <c r="ACQ5" s="290"/>
      <c r="ACR5" s="290"/>
      <c r="ACS5" s="290"/>
      <c r="ACT5" s="290"/>
      <c r="ACU5" s="290"/>
      <c r="ACV5" s="290"/>
      <c r="ACW5" s="290"/>
      <c r="ACX5" s="290"/>
      <c r="ACY5" s="290"/>
      <c r="ACZ5" s="290"/>
      <c r="ADA5" s="290"/>
      <c r="ADB5" s="290"/>
      <c r="ADC5" s="290"/>
      <c r="ADD5" s="290"/>
      <c r="ADE5" s="290"/>
      <c r="ADF5" s="290"/>
      <c r="ADG5" s="290"/>
      <c r="ADH5" s="290"/>
      <c r="ADI5" s="290"/>
      <c r="ADJ5" s="290"/>
      <c r="ADK5" s="290"/>
      <c r="ADL5" s="290"/>
      <c r="ADM5" s="290"/>
      <c r="ADN5" s="290"/>
      <c r="ADO5" s="290"/>
      <c r="ADP5" s="290"/>
      <c r="ADQ5" s="290"/>
      <c r="ADR5" s="290"/>
      <c r="ADS5" s="290"/>
      <c r="ADT5" s="290"/>
      <c r="ADU5" s="290"/>
      <c r="ADV5" s="290"/>
      <c r="ADW5" s="290"/>
      <c r="ADX5" s="290"/>
      <c r="ADY5" s="290"/>
      <c r="ADZ5" s="290"/>
      <c r="AEA5" s="290"/>
      <c r="AEB5" s="290"/>
      <c r="AEC5" s="290"/>
      <c r="AED5" s="290"/>
      <c r="AEE5" s="290"/>
      <c r="AEF5" s="290"/>
      <c r="AEG5" s="290"/>
      <c r="AEH5" s="290"/>
      <c r="AEI5" s="290"/>
      <c r="AEJ5" s="290"/>
      <c r="AEK5" s="290"/>
      <c r="AEL5" s="290"/>
      <c r="AEM5" s="290"/>
      <c r="AEN5" s="290"/>
      <c r="AEO5" s="290"/>
      <c r="AEP5" s="290"/>
      <c r="AEQ5" s="978"/>
      <c r="AER5" s="978"/>
      <c r="AES5" s="978"/>
      <c r="AET5" s="978"/>
      <c r="AEU5" s="978"/>
      <c r="AEV5" s="978"/>
      <c r="AEW5" s="978"/>
      <c r="AEX5" s="978"/>
      <c r="AEY5" s="978"/>
      <c r="AEZ5" s="978"/>
      <c r="AFA5" s="978"/>
      <c r="AFB5" s="978"/>
      <c r="AFC5" s="978"/>
      <c r="AFD5" s="978"/>
      <c r="AFE5" s="978"/>
      <c r="AFF5" s="978"/>
      <c r="AFG5" s="978"/>
      <c r="AFH5" s="978"/>
      <c r="AFI5" s="978"/>
      <c r="AFJ5" s="978"/>
      <c r="AFK5" s="978"/>
      <c r="AFL5" s="978"/>
      <c r="AFM5" s="978"/>
      <c r="AFN5" s="978"/>
      <c r="AFO5" s="978"/>
      <c r="AFP5" s="978"/>
      <c r="AFQ5" s="978"/>
      <c r="AFR5" s="978"/>
      <c r="AFS5" s="978"/>
      <c r="AFT5" s="978"/>
      <c r="AFU5" s="978"/>
      <c r="AFV5" s="978"/>
      <c r="AFW5" s="978"/>
      <c r="AFX5" s="978"/>
      <c r="AFY5" s="978"/>
      <c r="AFZ5" s="978"/>
      <c r="AGA5" s="978"/>
      <c r="AGB5" s="978"/>
      <c r="AGC5" s="978"/>
      <c r="AGD5" s="978"/>
      <c r="AGE5" s="978"/>
      <c r="AGF5" s="978"/>
      <c r="AGG5" s="978"/>
      <c r="AGH5" s="978"/>
      <c r="AGI5" s="978"/>
      <c r="AGJ5" s="978"/>
      <c r="AGK5" s="978"/>
      <c r="AGL5" s="978"/>
      <c r="AGM5" s="978"/>
      <c r="AGN5" s="978"/>
      <c r="AGO5" s="978"/>
      <c r="AGP5" s="978"/>
      <c r="AGQ5" s="978"/>
      <c r="AGR5" s="978"/>
      <c r="AGS5" s="978"/>
      <c r="AGT5" s="978"/>
      <c r="AGU5" s="978"/>
      <c r="AGV5" s="978"/>
      <c r="AGW5" s="978"/>
      <c r="AGX5" s="978"/>
      <c r="AGY5" s="978"/>
      <c r="AGZ5" s="978"/>
      <c r="AHA5" s="978"/>
      <c r="AHB5" s="978"/>
      <c r="AHC5" s="978"/>
      <c r="AHD5" s="978"/>
      <c r="AHE5" s="978"/>
      <c r="AHF5" s="978"/>
      <c r="AHG5" s="978"/>
      <c r="AHH5" s="978"/>
      <c r="AHI5" s="978"/>
      <c r="AHJ5" s="978"/>
      <c r="AHK5" s="978"/>
      <c r="AHL5" s="978"/>
      <c r="AHM5" s="978"/>
      <c r="AHN5" s="978"/>
      <c r="AHO5" s="978"/>
      <c r="AHP5" s="978"/>
      <c r="AHQ5" s="978"/>
      <c r="AHR5" s="978"/>
      <c r="AHS5" s="978"/>
      <c r="AHT5" s="978"/>
      <c r="AHU5" s="978"/>
      <c r="AHV5" s="978"/>
      <c r="AHW5" s="978"/>
      <c r="AHX5" s="978"/>
      <c r="AHY5" s="978"/>
      <c r="AHZ5" s="978"/>
      <c r="AIA5" s="978"/>
      <c r="AIB5" s="978"/>
      <c r="AIC5" s="978"/>
      <c r="AID5" s="978"/>
      <c r="AIE5" s="978"/>
      <c r="AIF5" s="978"/>
      <c r="AIG5" s="978"/>
      <c r="AIH5" s="978"/>
      <c r="AII5" s="978"/>
      <c r="AIJ5" s="978"/>
      <c r="AIK5" s="978"/>
      <c r="AIL5" s="978"/>
      <c r="AIM5" s="978"/>
      <c r="AIN5" s="978"/>
      <c r="AIO5" s="978"/>
      <c r="AIP5" s="978"/>
      <c r="AIQ5" s="978"/>
      <c r="AIR5" s="978"/>
      <c r="AIS5" s="978"/>
      <c r="AIT5" s="978"/>
      <c r="AIU5" s="978"/>
      <c r="AIV5" s="978"/>
      <c r="AIW5" s="978"/>
      <c r="AIX5" s="978"/>
      <c r="AIY5" s="978"/>
      <c r="AIZ5" s="978"/>
      <c r="AJA5" s="978"/>
      <c r="AJB5" s="978"/>
      <c r="AJC5" s="978"/>
      <c r="AJD5" s="978"/>
      <c r="AJE5" s="978"/>
      <c r="AJF5" s="978"/>
      <c r="AJG5" s="978"/>
      <c r="AJH5" s="978"/>
      <c r="AJI5" s="978"/>
      <c r="AJJ5" s="978"/>
      <c r="AJK5" s="978"/>
      <c r="AJL5" s="978"/>
      <c r="AJM5" s="978"/>
      <c r="AJN5" s="978"/>
      <c r="AJO5" s="978"/>
      <c r="AJP5" s="978"/>
      <c r="AJQ5" s="978"/>
      <c r="AJR5" s="978"/>
      <c r="AJS5" s="978"/>
      <c r="AJT5" s="978"/>
      <c r="AJU5" s="978"/>
      <c r="AJV5" s="978"/>
      <c r="AJW5" s="978"/>
      <c r="AJX5" s="978"/>
      <c r="AJY5" s="978"/>
      <c r="AJZ5" s="978"/>
      <c r="AKA5" s="978"/>
      <c r="AKB5" s="978"/>
      <c r="AKC5" s="978"/>
      <c r="AKD5" s="978"/>
      <c r="AKE5" s="978"/>
      <c r="AKF5" s="978"/>
      <c r="AKG5" s="978"/>
      <c r="AKH5" s="978"/>
      <c r="AKI5" s="978"/>
      <c r="AKJ5" s="978"/>
      <c r="AKK5" s="978"/>
      <c r="AKL5" s="978"/>
      <c r="AKM5" s="978"/>
      <c r="AKN5" s="978"/>
      <c r="AKO5" s="978"/>
      <c r="AKP5" s="978"/>
      <c r="AKQ5" s="978"/>
      <c r="AKR5" s="978"/>
      <c r="AKS5" s="978"/>
      <c r="AKT5" s="978"/>
      <c r="AKU5" s="978"/>
      <c r="AKV5" s="978"/>
      <c r="AKW5" s="978"/>
      <c r="AKX5" s="978"/>
      <c r="AKY5" s="978"/>
      <c r="AKZ5" s="978"/>
      <c r="ALA5" s="978"/>
      <c r="ALB5" s="978"/>
      <c r="ALC5" s="978"/>
      <c r="ALD5" s="978"/>
      <c r="ALE5" s="978"/>
      <c r="ALF5" s="978"/>
      <c r="ALG5" s="978"/>
      <c r="ALH5" s="978"/>
      <c r="ALI5" s="978"/>
      <c r="ALJ5" s="978"/>
      <c r="ALK5" s="978"/>
      <c r="ALL5" s="978"/>
      <c r="ALM5" s="978"/>
      <c r="ALN5" s="978"/>
      <c r="ALO5" s="978"/>
      <c r="ALP5" s="978"/>
      <c r="ALQ5" s="978"/>
      <c r="ALR5" s="978"/>
      <c r="ALS5" s="978"/>
      <c r="ALT5" s="978"/>
      <c r="ALU5" s="978"/>
      <c r="ALV5" s="978"/>
      <c r="ALW5" s="978"/>
      <c r="ALX5" s="978"/>
      <c r="ALY5" s="978"/>
      <c r="ALZ5" s="978"/>
      <c r="AMA5" s="978"/>
      <c r="AMB5" s="978"/>
      <c r="AMC5" s="978"/>
      <c r="AMD5" s="978"/>
      <c r="AME5" s="978"/>
      <c r="AMF5" s="978"/>
      <c r="AMG5" s="978"/>
      <c r="AMH5" s="978"/>
      <c r="AMI5" s="978"/>
      <c r="AMJ5" s="978"/>
      <c r="AMK5" s="978"/>
      <c r="AML5" s="978"/>
      <c r="AMM5" s="978"/>
      <c r="AMN5" s="978"/>
      <c r="AMO5" s="978"/>
      <c r="AMP5" s="978"/>
      <c r="AMQ5" s="978"/>
      <c r="AMR5" s="978"/>
      <c r="AMS5" s="978"/>
      <c r="AMT5" s="978"/>
      <c r="AMU5" s="978"/>
      <c r="AMV5" s="978"/>
      <c r="AMW5" s="978"/>
      <c r="AMX5" s="978"/>
      <c r="AMY5" s="978"/>
      <c r="AMZ5" s="978"/>
      <c r="ANA5" s="978"/>
      <c r="ANB5" s="978"/>
      <c r="ANC5" s="978"/>
      <c r="AND5" s="978"/>
      <c r="ANE5" s="978"/>
      <c r="ANF5" s="978"/>
      <c r="ANG5" s="978"/>
      <c r="ANH5" s="978"/>
      <c r="ANI5" s="978"/>
      <c r="ANJ5" s="978"/>
      <c r="ANK5" s="978"/>
      <c r="ANL5" s="978"/>
      <c r="ANM5" s="978"/>
      <c r="ANN5" s="978"/>
      <c r="ANO5" s="978"/>
      <c r="ANP5" s="978"/>
      <c r="ANQ5" s="978"/>
      <c r="ANR5" s="978"/>
      <c r="ANS5" s="978"/>
      <c r="ANT5" s="978"/>
      <c r="ANU5" s="978"/>
      <c r="ANV5" s="978"/>
      <c r="ANW5" s="978"/>
      <c r="ANX5" s="978"/>
      <c r="ANY5" s="978"/>
      <c r="ANZ5" s="978"/>
      <c r="AOA5" s="978"/>
      <c r="AOB5" s="978"/>
      <c r="AOC5" s="978"/>
      <c r="AOD5" s="978"/>
      <c r="AOE5" s="978"/>
      <c r="AOF5" s="978"/>
      <c r="AOG5" s="978"/>
      <c r="AOH5" s="978"/>
      <c r="AOI5" s="978"/>
      <c r="AOJ5" s="978"/>
      <c r="AOK5" s="978"/>
      <c r="AOL5" s="978"/>
      <c r="AOM5" s="978"/>
      <c r="AON5" s="978"/>
      <c r="AOO5" s="978"/>
      <c r="AOP5" s="978"/>
      <c r="AOQ5" s="978"/>
      <c r="AOR5" s="978"/>
      <c r="AOS5" s="978"/>
      <c r="AOT5" s="978"/>
      <c r="AOU5" s="978"/>
      <c r="AOV5" s="978"/>
      <c r="AOW5" s="978"/>
      <c r="AOX5" s="978"/>
      <c r="AOY5" s="978"/>
      <c r="AOZ5" s="978"/>
      <c r="APA5" s="978"/>
      <c r="APB5" s="978"/>
      <c r="APC5" s="978"/>
      <c r="APD5" s="978"/>
      <c r="APE5" s="978"/>
      <c r="APF5" s="978"/>
      <c r="APG5" s="978"/>
      <c r="APH5" s="978"/>
      <c r="API5" s="978"/>
      <c r="APJ5" s="978"/>
      <c r="APK5" s="978"/>
      <c r="APL5" s="978"/>
      <c r="APM5" s="978"/>
      <c r="APN5" s="978"/>
      <c r="APO5" s="978"/>
      <c r="APP5" s="978"/>
      <c r="APQ5" s="978"/>
      <c r="APR5" s="978"/>
      <c r="APS5" s="978"/>
      <c r="APT5" s="978"/>
      <c r="APU5" s="978"/>
      <c r="APV5" s="978"/>
      <c r="APW5" s="978"/>
      <c r="APX5" s="978"/>
      <c r="APY5" s="978"/>
      <c r="APZ5" s="978"/>
      <c r="AQA5" s="978"/>
      <c r="AQB5" s="978"/>
      <c r="AQC5" s="978"/>
      <c r="AQD5" s="978"/>
      <c r="AQE5" s="978"/>
      <c r="AQF5" s="978"/>
      <c r="AQG5" s="978"/>
      <c r="AQH5" s="978"/>
      <c r="AQI5" s="978"/>
      <c r="AQJ5" s="978"/>
      <c r="AQK5" s="978"/>
      <c r="AQL5" s="978"/>
      <c r="AQM5" s="978"/>
      <c r="AQN5" s="978"/>
      <c r="AQO5" s="978"/>
      <c r="AQP5" s="978"/>
      <c r="AQQ5" s="978"/>
      <c r="AQR5" s="978"/>
      <c r="AQS5" s="978"/>
      <c r="AQT5" s="978"/>
      <c r="AQU5" s="978"/>
      <c r="AQV5" s="978"/>
      <c r="AQW5" s="978"/>
      <c r="AQX5" s="978"/>
      <c r="AQY5" s="978"/>
      <c r="AQZ5" s="978"/>
      <c r="ARA5" s="978"/>
      <c r="ARB5" s="978"/>
      <c r="ARC5" s="978"/>
      <c r="ARD5" s="978"/>
      <c r="ARE5" s="978"/>
      <c r="ARF5" s="978"/>
      <c r="ARG5" s="978"/>
      <c r="ARH5" s="978"/>
      <c r="ARI5" s="978"/>
      <c r="ARJ5" s="978"/>
      <c r="ARK5" s="978"/>
      <c r="ARL5" s="978"/>
      <c r="ARM5" s="978"/>
      <c r="ARN5" s="978"/>
      <c r="ARO5" s="978"/>
      <c r="ARP5" s="978"/>
      <c r="ARQ5" s="978"/>
      <c r="ARR5" s="978"/>
      <c r="ARS5" s="978"/>
      <c r="ART5" s="978"/>
      <c r="ARU5" s="978"/>
      <c r="ARV5" s="978"/>
      <c r="ARW5" s="978"/>
      <c r="ARX5" s="978"/>
      <c r="ARY5" s="978"/>
      <c r="ARZ5" s="978"/>
      <c r="ASA5" s="978"/>
      <c r="ASB5" s="978"/>
      <c r="ASC5" s="978"/>
      <c r="ASD5" s="978"/>
      <c r="ASE5" s="978"/>
      <c r="ASF5" s="978"/>
      <c r="ASG5" s="978"/>
      <c r="ASH5" s="978"/>
      <c r="ASI5" s="978"/>
      <c r="ASJ5" s="978"/>
      <c r="ASK5" s="978"/>
      <c r="ASL5" s="978"/>
      <c r="ASM5" s="978"/>
      <c r="ASN5" s="978"/>
      <c r="ASO5" s="978"/>
      <c r="ASP5" s="978"/>
      <c r="ASQ5" s="978"/>
      <c r="ASR5" s="978"/>
      <c r="ASS5" s="978"/>
      <c r="AST5" s="978"/>
      <c r="ASU5" s="978"/>
      <c r="ASV5" s="978"/>
      <c r="ASW5" s="978"/>
      <c r="ASX5" s="978"/>
      <c r="ASY5" s="978"/>
      <c r="ASZ5" s="978"/>
      <c r="ATA5" s="978"/>
      <c r="ATB5" s="978"/>
      <c r="ATC5" s="978"/>
      <c r="ATD5" s="978"/>
      <c r="ATE5" s="978"/>
      <c r="ATF5" s="978"/>
      <c r="ATG5" s="978"/>
      <c r="ATH5" s="978"/>
      <c r="ATI5" s="978"/>
      <c r="ATJ5" s="978"/>
      <c r="ATK5" s="978"/>
      <c r="ATL5" s="978"/>
      <c r="ATM5" s="978"/>
      <c r="ATN5" s="978"/>
      <c r="ATO5" s="978"/>
      <c r="ATP5" s="978"/>
      <c r="ATQ5" s="978"/>
      <c r="ATR5" s="978"/>
      <c r="ATS5" s="978"/>
      <c r="ATT5" s="978"/>
      <c r="ATU5" s="978"/>
      <c r="ATV5" s="978"/>
      <c r="ATW5" s="978"/>
      <c r="ATX5" s="978"/>
      <c r="ATY5" s="978"/>
      <c r="ATZ5" s="978"/>
      <c r="AUA5" s="978"/>
      <c r="AUB5" s="978"/>
      <c r="AUC5" s="978"/>
      <c r="AUD5" s="978"/>
      <c r="AUE5" s="978"/>
      <c r="AUF5" s="978"/>
      <c r="AUG5" s="978"/>
      <c r="AUH5" s="978"/>
      <c r="AUI5" s="978"/>
      <c r="AUJ5" s="978"/>
      <c r="AUK5" s="978"/>
      <c r="AUL5" s="978"/>
      <c r="AUM5" s="978"/>
      <c r="AUN5" s="978"/>
      <c r="AUO5" s="978"/>
      <c r="AUP5" s="978"/>
      <c r="AUQ5" s="978"/>
      <c r="AUR5" s="978"/>
      <c r="AUS5" s="978"/>
      <c r="AUT5" s="978"/>
      <c r="AUU5" s="978"/>
      <c r="AUV5" s="978"/>
      <c r="AUW5" s="978"/>
      <c r="AUX5" s="978"/>
      <c r="AUY5" s="978"/>
      <c r="AUZ5" s="978"/>
      <c r="AVA5" s="978"/>
      <c r="AVB5" s="978"/>
      <c r="AVC5" s="978"/>
      <c r="AVD5" s="978"/>
      <c r="AVE5" s="978"/>
      <c r="AVF5" s="978"/>
      <c r="AVG5" s="978"/>
      <c r="AVH5" s="978"/>
      <c r="AVI5" s="978"/>
      <c r="AVJ5" s="978"/>
      <c r="AVK5" s="978"/>
      <c r="AVL5" s="978"/>
      <c r="AVM5" s="978"/>
      <c r="AVN5" s="978"/>
      <c r="AVO5" s="978"/>
      <c r="AVP5" s="978"/>
      <c r="AVQ5" s="978"/>
      <c r="AVR5" s="978"/>
      <c r="AVS5" s="978"/>
      <c r="AVT5" s="978"/>
      <c r="AVU5" s="978"/>
      <c r="AVV5" s="978"/>
      <c r="AVW5" s="978"/>
      <c r="AVX5" s="978"/>
      <c r="AVY5" s="978"/>
      <c r="AVZ5" s="978"/>
      <c r="AWA5" s="978"/>
      <c r="AWB5" s="978"/>
      <c r="AWC5" s="978"/>
      <c r="AWD5" s="978"/>
      <c r="AWE5" s="978"/>
      <c r="AWF5" s="978"/>
      <c r="AWG5" s="978"/>
      <c r="AWH5" s="978"/>
      <c r="AWI5" s="978"/>
      <c r="AWJ5" s="978"/>
      <c r="AWK5" s="978"/>
      <c r="AWL5" s="978"/>
      <c r="AWM5" s="978"/>
      <c r="AWN5" s="978"/>
      <c r="AWO5" s="978"/>
      <c r="AWP5" s="978"/>
      <c r="AWQ5" s="978"/>
      <c r="AWR5" s="978"/>
      <c r="AWS5" s="978"/>
      <c r="AWT5" s="978"/>
      <c r="AWU5" s="978"/>
      <c r="AWV5" s="978"/>
      <c r="AWW5" s="978"/>
      <c r="AWX5" s="978"/>
      <c r="AWY5" s="978"/>
      <c r="AWZ5" s="978"/>
      <c r="AXA5" s="978"/>
      <c r="AXB5" s="978"/>
      <c r="AXC5" s="978"/>
      <c r="AXD5" s="978"/>
      <c r="AXE5" s="978"/>
      <c r="AXF5" s="978"/>
      <c r="AXG5" s="978"/>
      <c r="AXH5" s="978"/>
      <c r="AXI5" s="978"/>
      <c r="AXJ5" s="978"/>
      <c r="AXK5" s="978"/>
      <c r="AXL5" s="978"/>
      <c r="AXM5" s="978"/>
      <c r="AXN5" s="978"/>
      <c r="AXO5" s="978"/>
      <c r="AXP5" s="978"/>
      <c r="AXQ5" s="978"/>
      <c r="AXR5" s="978"/>
      <c r="AXS5" s="978"/>
      <c r="AXT5" s="978"/>
      <c r="AXU5" s="978"/>
      <c r="AXV5" s="978"/>
      <c r="AXW5" s="978"/>
      <c r="AXX5" s="978"/>
      <c r="AXY5" s="978"/>
      <c r="AXZ5" s="978"/>
      <c r="AYA5" s="978"/>
      <c r="AYB5" s="978"/>
      <c r="AYC5" s="978"/>
      <c r="AYD5" s="978"/>
      <c r="AYE5" s="978"/>
      <c r="AYF5" s="978"/>
      <c r="AYG5" s="978"/>
      <c r="AYH5" s="978"/>
      <c r="AYI5" s="978"/>
      <c r="AYJ5" s="978"/>
      <c r="AYK5" s="978"/>
      <c r="AYL5" s="978"/>
      <c r="AYM5" s="978"/>
      <c r="AYN5" s="978"/>
      <c r="AYO5" s="978"/>
      <c r="AYP5" s="978"/>
      <c r="AYQ5" s="978"/>
      <c r="AYR5" s="978"/>
      <c r="AYS5" s="978"/>
      <c r="AYT5" s="978"/>
      <c r="AYU5" s="978"/>
      <c r="AYV5" s="978"/>
      <c r="AYW5" s="978"/>
      <c r="AYX5" s="978"/>
      <c r="AYY5" s="978"/>
      <c r="AYZ5" s="978"/>
      <c r="AZA5" s="978"/>
      <c r="AZB5" s="978"/>
      <c r="AZC5" s="978"/>
      <c r="AZD5" s="978"/>
      <c r="AZE5" s="978"/>
      <c r="AZF5" s="978"/>
      <c r="AZG5" s="978"/>
      <c r="AZH5" s="978"/>
      <c r="AZI5" s="978"/>
      <c r="AZJ5" s="978"/>
      <c r="AZK5" s="978"/>
      <c r="AZL5" s="978"/>
      <c r="AZM5" s="978"/>
      <c r="AZN5" s="978"/>
      <c r="AZO5" s="978"/>
      <c r="AZP5" s="978"/>
      <c r="AZQ5" s="978"/>
      <c r="AZR5" s="978"/>
      <c r="AZS5" s="978"/>
      <c r="AZT5" s="978"/>
      <c r="AZU5" s="978"/>
      <c r="AZV5" s="978"/>
      <c r="AZW5" s="978"/>
      <c r="AZX5" s="978"/>
      <c r="AZY5" s="978"/>
      <c r="AZZ5" s="978"/>
      <c r="BAA5" s="978"/>
      <c r="BAB5" s="978"/>
      <c r="BAC5" s="978"/>
      <c r="BAD5" s="978"/>
      <c r="BAE5" s="978"/>
      <c r="BAF5" s="978"/>
      <c r="BAG5" s="978"/>
      <c r="BAH5" s="978"/>
      <c r="BAI5" s="978"/>
      <c r="BAJ5" s="978"/>
      <c r="BAK5" s="978"/>
      <c r="BAL5" s="978"/>
      <c r="BAM5" s="978"/>
      <c r="BAN5" s="978"/>
      <c r="BAO5" s="978"/>
      <c r="BAP5" s="978"/>
      <c r="BAQ5" s="978"/>
      <c r="BAR5" s="978"/>
      <c r="BAS5" s="978"/>
      <c r="BAT5" s="978"/>
      <c r="BAU5" s="978"/>
      <c r="BAV5" s="978"/>
      <c r="BAW5" s="978"/>
      <c r="BAX5" s="978"/>
      <c r="BAY5" s="978"/>
      <c r="BAZ5" s="978"/>
      <c r="BBA5" s="978"/>
      <c r="BBB5" s="978"/>
      <c r="BBC5" s="978"/>
      <c r="BBD5" s="978"/>
      <c r="BBE5" s="978"/>
      <c r="BBF5" s="978"/>
      <c r="BBG5" s="978"/>
      <c r="BBH5" s="978"/>
      <c r="BBI5" s="978"/>
      <c r="BBJ5" s="978"/>
      <c r="BBK5" s="978"/>
      <c r="BBL5" s="978"/>
      <c r="BBM5" s="978"/>
      <c r="BBN5" s="978"/>
      <c r="BBO5" s="978"/>
      <c r="BBP5" s="978"/>
      <c r="BBQ5" s="978"/>
      <c r="BBR5" s="978"/>
      <c r="BBS5" s="978"/>
      <c r="BBT5" s="978"/>
      <c r="BBU5" s="978"/>
      <c r="BBV5" s="978"/>
      <c r="BBW5" s="978"/>
      <c r="BBX5" s="978"/>
      <c r="BBY5" s="978"/>
      <c r="BBZ5" s="978"/>
      <c r="BCA5" s="978"/>
      <c r="BCB5" s="978"/>
      <c r="BCC5" s="978"/>
      <c r="BCD5" s="978"/>
      <c r="BCE5" s="978"/>
      <c r="BCF5" s="978"/>
      <c r="BCG5" s="978"/>
      <c r="BCH5" s="978"/>
      <c r="BCI5" s="978"/>
      <c r="BCJ5" s="978"/>
      <c r="BCK5" s="978"/>
      <c r="BCL5" s="978"/>
      <c r="BCM5" s="978"/>
      <c r="BCN5" s="978"/>
      <c r="BCO5" s="978"/>
      <c r="BCP5" s="978"/>
      <c r="BCQ5" s="978"/>
      <c r="BCR5" s="978"/>
      <c r="BCS5" s="978"/>
      <c r="BCT5" s="978"/>
      <c r="BCU5" s="978"/>
      <c r="BCV5" s="978"/>
      <c r="BCW5" s="978"/>
      <c r="BCX5" s="978"/>
      <c r="BCY5" s="978"/>
      <c r="BCZ5" s="978"/>
      <c r="BDA5" s="978"/>
      <c r="BDB5" s="978"/>
      <c r="BDC5" s="978"/>
      <c r="BDD5" s="978"/>
      <c r="BDE5" s="978"/>
      <c r="BDF5" s="978"/>
      <c r="BDG5" s="978"/>
      <c r="BDH5" s="978"/>
      <c r="BDI5" s="978"/>
      <c r="BDJ5" s="978"/>
      <c r="BDK5" s="978"/>
      <c r="BDL5" s="978"/>
      <c r="BDM5" s="978"/>
      <c r="BDN5" s="978"/>
      <c r="BDO5" s="978"/>
      <c r="BDP5" s="978"/>
      <c r="BDQ5" s="978"/>
      <c r="BDR5" s="978"/>
      <c r="BDS5" s="978"/>
      <c r="BDT5" s="978"/>
      <c r="BDU5" s="978"/>
      <c r="BDV5" s="978"/>
      <c r="BDW5" s="978"/>
      <c r="BDX5" s="978"/>
      <c r="BDY5" s="978"/>
      <c r="BDZ5" s="978"/>
      <c r="BEA5" s="978"/>
      <c r="BEB5" s="978"/>
      <c r="BEC5" s="978"/>
      <c r="BED5" s="978"/>
      <c r="BEE5" s="978"/>
      <c r="BEF5" s="978"/>
      <c r="BEG5" s="978"/>
      <c r="BEH5" s="978"/>
      <c r="BEI5" s="978"/>
      <c r="BEJ5" s="978"/>
      <c r="BEK5" s="978"/>
      <c r="BEL5" s="978"/>
      <c r="BEM5" s="978"/>
      <c r="BEN5" s="978"/>
      <c r="BEO5" s="978"/>
      <c r="BEP5" s="978"/>
      <c r="BEQ5" s="978"/>
      <c r="BER5" s="978"/>
      <c r="BES5" s="978"/>
      <c r="BET5" s="978"/>
      <c r="BEU5" s="978"/>
      <c r="BEV5" s="978"/>
      <c r="BEW5" s="978"/>
      <c r="BEX5" s="978"/>
      <c r="BEY5" s="978"/>
      <c r="BEZ5" s="978"/>
      <c r="BFA5" s="978"/>
      <c r="BFB5" s="978"/>
      <c r="BFC5" s="978"/>
      <c r="BFD5" s="978"/>
      <c r="BFE5" s="978"/>
      <c r="BFF5" s="978"/>
      <c r="BFG5" s="978"/>
      <c r="BFH5" s="978"/>
      <c r="BFI5" s="978"/>
      <c r="BFJ5" s="978"/>
      <c r="BFK5" s="978"/>
      <c r="BFL5" s="978"/>
      <c r="BFM5" s="978"/>
      <c r="BFN5" s="978"/>
      <c r="BFO5" s="978"/>
      <c r="BFP5" s="978"/>
      <c r="BFQ5" s="978"/>
      <c r="BFR5" s="978"/>
      <c r="BFS5" s="978"/>
      <c r="BFT5" s="978"/>
      <c r="BFU5" s="978"/>
      <c r="BFV5" s="978"/>
      <c r="BFW5" s="978"/>
      <c r="BFX5" s="978"/>
      <c r="BFY5" s="978"/>
      <c r="BFZ5" s="978"/>
      <c r="BGA5" s="978"/>
      <c r="BGB5" s="978"/>
      <c r="BGC5" s="978"/>
      <c r="BGD5" s="978"/>
      <c r="BGE5" s="978"/>
      <c r="BGF5" s="978"/>
      <c r="BGG5" s="978"/>
      <c r="BGH5" s="978"/>
      <c r="BGI5" s="978"/>
      <c r="BGJ5" s="978"/>
      <c r="BGK5" s="978"/>
      <c r="BGL5" s="978"/>
      <c r="BGM5" s="978"/>
      <c r="BGN5" s="978"/>
      <c r="BGO5" s="978"/>
      <c r="BGP5" s="978"/>
      <c r="BGQ5" s="978"/>
      <c r="BGR5" s="978"/>
      <c r="BGS5" s="978"/>
      <c r="BGT5" s="978"/>
      <c r="BGU5" s="978"/>
      <c r="BGV5" s="978"/>
      <c r="BGW5" s="978"/>
      <c r="BGX5" s="978"/>
      <c r="BGY5" s="978"/>
      <c r="BGZ5" s="978"/>
      <c r="BHA5" s="978"/>
      <c r="BHB5" s="978"/>
      <c r="BHC5" s="978"/>
      <c r="BHD5" s="978"/>
      <c r="BHE5" s="978"/>
      <c r="BHF5" s="978"/>
      <c r="BHG5" s="978"/>
      <c r="BHH5" s="978"/>
      <c r="BHI5" s="978"/>
      <c r="BHJ5" s="978"/>
      <c r="BHK5" s="978"/>
      <c r="BHL5" s="978"/>
      <c r="BHM5" s="978"/>
      <c r="BHN5" s="978"/>
      <c r="BHO5" s="978"/>
      <c r="BHP5" s="978"/>
      <c r="BHQ5" s="978"/>
      <c r="BHR5" s="978"/>
      <c r="BHS5" s="978"/>
      <c r="BHT5" s="978"/>
      <c r="BHU5" s="978"/>
      <c r="BHV5" s="978"/>
      <c r="BHW5" s="978"/>
      <c r="BHX5" s="978"/>
      <c r="BHY5" s="978"/>
      <c r="BHZ5" s="978"/>
      <c r="BIA5" s="978"/>
      <c r="BIB5" s="978"/>
      <c r="BIC5" s="978"/>
      <c r="BID5" s="978"/>
      <c r="BIE5" s="978"/>
      <c r="BIF5" s="978"/>
      <c r="BIG5" s="978"/>
      <c r="BIH5" s="978"/>
      <c r="BII5" s="978"/>
      <c r="BIJ5" s="978"/>
      <c r="BIK5" s="978"/>
      <c r="BIL5" s="978"/>
      <c r="BIM5" s="978"/>
      <c r="BIN5" s="978"/>
      <c r="BIO5" s="978"/>
      <c r="BIP5" s="978"/>
      <c r="BIQ5" s="978"/>
      <c r="BIR5" s="978"/>
      <c r="BIS5" s="978"/>
      <c r="BIT5" s="978"/>
      <c r="BIU5" s="978"/>
      <c r="BIV5" s="978"/>
      <c r="BIW5" s="978"/>
      <c r="BIX5" s="978"/>
      <c r="BIY5" s="978"/>
      <c r="BIZ5" s="978"/>
      <c r="BJA5" s="978"/>
      <c r="BJB5" s="978"/>
      <c r="BJC5" s="978"/>
      <c r="BJD5" s="978"/>
      <c r="BJE5" s="978"/>
      <c r="BJF5" s="978"/>
      <c r="BJG5" s="978"/>
      <c r="BJH5" s="978"/>
      <c r="BJI5" s="978"/>
      <c r="BJJ5" s="978"/>
      <c r="BJK5" s="978"/>
      <c r="BJL5" s="978"/>
      <c r="BJM5" s="978"/>
      <c r="BJN5" s="978"/>
      <c r="BJO5" s="978"/>
      <c r="BJP5" s="978"/>
      <c r="BJQ5" s="978"/>
      <c r="BJR5" s="978"/>
      <c r="BJS5" s="978"/>
      <c r="BJT5" s="978"/>
      <c r="BJU5" s="978"/>
      <c r="BJV5" s="978"/>
      <c r="BJW5" s="978"/>
      <c r="BJX5" s="978"/>
      <c r="BJY5" s="978"/>
      <c r="BJZ5" s="978"/>
      <c r="BKA5" s="978"/>
      <c r="BKB5" s="978"/>
      <c r="BKC5" s="978"/>
      <c r="BKD5" s="978"/>
      <c r="BKE5" s="978"/>
      <c r="BKF5" s="978"/>
      <c r="BKG5" s="978"/>
      <c r="BKH5" s="978"/>
      <c r="BKI5" s="978"/>
      <c r="BKJ5" s="978"/>
      <c r="BKK5" s="978"/>
      <c r="BKL5" s="978"/>
      <c r="BKM5" s="978"/>
      <c r="BKN5" s="978"/>
      <c r="BKO5" s="978"/>
      <c r="BKP5" s="978"/>
      <c r="BKQ5" s="978"/>
      <c r="BKR5" s="978"/>
      <c r="BKS5" s="978"/>
      <c r="BKT5" s="978"/>
      <c r="BKU5" s="978"/>
      <c r="BKV5" s="978"/>
      <c r="BKW5" s="978"/>
      <c r="BKX5" s="978"/>
      <c r="BKY5" s="978"/>
      <c r="BKZ5" s="978"/>
      <c r="BLA5" s="978"/>
      <c r="BLB5" s="978"/>
      <c r="BLC5" s="978"/>
      <c r="BLD5" s="978"/>
      <c r="BLE5" s="978"/>
      <c r="BLF5" s="978"/>
      <c r="BLG5" s="978"/>
      <c r="BLH5" s="978"/>
      <c r="BLI5" s="978"/>
      <c r="BLJ5" s="978"/>
      <c r="BLK5" s="978"/>
      <c r="BLL5" s="978"/>
      <c r="BLM5" s="978"/>
      <c r="BLN5" s="978"/>
      <c r="BLO5" s="978"/>
      <c r="BLP5" s="978"/>
      <c r="BLQ5" s="978"/>
      <c r="BLR5" s="978"/>
      <c r="BLS5" s="978"/>
      <c r="BLT5" s="978"/>
      <c r="BLU5" s="978"/>
      <c r="BLV5" s="978"/>
      <c r="BLW5" s="978"/>
      <c r="BLX5" s="978"/>
      <c r="BLY5" s="978"/>
      <c r="BLZ5" s="978"/>
      <c r="BMA5" s="978"/>
      <c r="BMB5" s="978"/>
      <c r="BMC5" s="978"/>
      <c r="BMD5" s="978"/>
      <c r="BME5" s="978"/>
      <c r="BMF5" s="978"/>
      <c r="BMG5" s="978"/>
      <c r="BMH5" s="978"/>
      <c r="BMI5" s="978"/>
      <c r="BMJ5" s="978"/>
      <c r="BMK5" s="978"/>
      <c r="BML5" s="978"/>
      <c r="BMM5" s="978"/>
      <c r="BMN5" s="978"/>
      <c r="BMO5" s="978"/>
      <c r="BMP5" s="978"/>
      <c r="BMQ5" s="978"/>
      <c r="BMR5" s="978"/>
      <c r="BMS5" s="978"/>
      <c r="BMT5" s="978"/>
      <c r="BMU5" s="978"/>
      <c r="BMV5" s="978"/>
      <c r="BMW5" s="978"/>
      <c r="BMX5" s="978"/>
      <c r="BMY5" s="978"/>
      <c r="BMZ5" s="978"/>
      <c r="BNA5" s="978"/>
      <c r="BNB5" s="978"/>
      <c r="BNC5" s="978"/>
      <c r="BND5" s="978"/>
      <c r="BNE5" s="978"/>
      <c r="BNF5" s="978"/>
      <c r="BNG5" s="978"/>
      <c r="BNH5" s="978"/>
      <c r="BNI5" s="978"/>
      <c r="BNJ5" s="978"/>
      <c r="BNK5" s="978"/>
      <c r="BNL5" s="978"/>
      <c r="BNM5" s="978"/>
      <c r="BNN5" s="978"/>
      <c r="BNO5" s="978"/>
      <c r="BNP5" s="978"/>
      <c r="BNQ5" s="978"/>
      <c r="BNR5" s="978"/>
      <c r="BNS5" s="978"/>
      <c r="BNT5" s="978"/>
      <c r="BNU5" s="978"/>
      <c r="BNV5" s="978"/>
      <c r="BNW5" s="978"/>
      <c r="BNX5" s="978"/>
      <c r="BNY5" s="978"/>
      <c r="BNZ5" s="978"/>
      <c r="BOA5" s="978"/>
      <c r="BOB5" s="978"/>
      <c r="BOC5" s="978"/>
      <c r="BOD5" s="978"/>
      <c r="BOE5" s="978"/>
      <c r="BOF5" s="978"/>
      <c r="BOG5" s="978"/>
      <c r="BOH5" s="978"/>
      <c r="BOI5" s="978"/>
      <c r="BOJ5" s="978"/>
      <c r="BOK5" s="978"/>
      <c r="BOL5" s="978"/>
      <c r="BOM5" s="978"/>
      <c r="BON5" s="978"/>
      <c r="BOO5" s="978"/>
      <c r="BOP5" s="978"/>
      <c r="BOQ5" s="978"/>
      <c r="BOR5" s="978"/>
      <c r="BOS5" s="978"/>
      <c r="BOT5" s="978"/>
      <c r="BOU5" s="978"/>
      <c r="BOV5" s="978"/>
      <c r="BOW5" s="978"/>
      <c r="BOX5" s="978"/>
      <c r="BOY5" s="978"/>
      <c r="BOZ5" s="978"/>
      <c r="BPA5" s="978"/>
      <c r="BPB5" s="978"/>
      <c r="BPC5" s="978"/>
      <c r="BPD5" s="978"/>
      <c r="BPE5" s="978"/>
      <c r="BPF5" s="978"/>
      <c r="BPG5" s="978"/>
      <c r="BPH5" s="978"/>
      <c r="BPI5" s="978"/>
      <c r="BPJ5" s="978"/>
      <c r="BPK5" s="978"/>
      <c r="BPL5" s="978"/>
      <c r="BPM5" s="978"/>
      <c r="BPN5" s="978"/>
      <c r="BPO5" s="978"/>
      <c r="BPP5" s="978"/>
      <c r="BPQ5" s="978"/>
      <c r="BPR5" s="978"/>
      <c r="BPS5" s="978"/>
      <c r="BPT5" s="978"/>
      <c r="BPU5" s="978"/>
      <c r="BPV5" s="978"/>
      <c r="BPW5" s="978"/>
      <c r="BPX5" s="978"/>
      <c r="BPY5" s="978"/>
      <c r="BPZ5" s="978"/>
      <c r="BQA5" s="978"/>
      <c r="BQB5" s="978"/>
      <c r="BQC5" s="978"/>
      <c r="BQD5" s="978"/>
      <c r="BQE5" s="978"/>
      <c r="BQF5" s="978"/>
      <c r="BQG5" s="978"/>
      <c r="BQH5" s="978"/>
      <c r="BQI5" s="978"/>
      <c r="BQJ5" s="978"/>
      <c r="BQK5" s="978"/>
      <c r="BQL5" s="978"/>
      <c r="BQM5" s="978"/>
      <c r="BQN5" s="978"/>
      <c r="BQO5" s="978"/>
      <c r="BQP5" s="978"/>
      <c r="BQQ5" s="978"/>
      <c r="BQR5" s="978"/>
      <c r="BQS5" s="978"/>
      <c r="BQT5" s="978"/>
      <c r="BQU5" s="978"/>
      <c r="BQV5" s="978"/>
      <c r="BQW5" s="978"/>
      <c r="BQX5" s="978"/>
      <c r="BQY5" s="978"/>
      <c r="BQZ5" s="978"/>
      <c r="BRA5" s="978"/>
      <c r="BRB5" s="978"/>
      <c r="BRC5" s="978"/>
      <c r="BRD5" s="978"/>
      <c r="BRE5" s="978"/>
      <c r="BRF5" s="978"/>
      <c r="BRG5" s="978"/>
      <c r="BRH5" s="978"/>
      <c r="BRI5" s="978"/>
      <c r="BRJ5" s="978"/>
      <c r="BRK5" s="978"/>
      <c r="BRL5" s="978"/>
      <c r="BRM5" s="978"/>
      <c r="BRN5" s="978"/>
      <c r="BRO5" s="978"/>
      <c r="BRP5" s="978"/>
      <c r="BRQ5" s="978"/>
      <c r="BRR5" s="978"/>
      <c r="BRS5" s="978"/>
      <c r="BRT5" s="978"/>
      <c r="BRU5" s="978"/>
      <c r="BRV5" s="978"/>
      <c r="BRW5" s="978"/>
      <c r="BRX5" s="978"/>
      <c r="BRY5" s="978"/>
      <c r="BRZ5" s="978"/>
      <c r="BSA5" s="978"/>
      <c r="BSB5" s="978"/>
      <c r="BSC5" s="978"/>
      <c r="BSD5" s="978"/>
      <c r="BSE5" s="978"/>
      <c r="BSF5" s="978"/>
      <c r="BSG5" s="978"/>
      <c r="BSH5" s="978"/>
      <c r="BSI5" s="978"/>
      <c r="BSJ5" s="978"/>
      <c r="BSK5" s="978"/>
      <c r="BSL5" s="978"/>
      <c r="BSM5" s="978"/>
      <c r="BSN5" s="978"/>
      <c r="BSO5" s="978"/>
      <c r="BSP5" s="978"/>
      <c r="BSQ5" s="978"/>
      <c r="BSR5" s="978"/>
      <c r="BSS5" s="978"/>
      <c r="BST5" s="978"/>
      <c r="BSU5" s="978"/>
      <c r="BSV5" s="978"/>
      <c r="BSW5" s="978"/>
      <c r="BSX5" s="978"/>
      <c r="BSY5" s="978"/>
      <c r="BSZ5" s="978"/>
      <c r="BTA5" s="978"/>
      <c r="BTB5" s="978"/>
      <c r="BTC5" s="978"/>
      <c r="BTD5" s="978"/>
      <c r="BTE5" s="978"/>
      <c r="BTF5" s="978"/>
      <c r="BTG5" s="978"/>
      <c r="BTH5" s="978"/>
      <c r="BTI5" s="978"/>
      <c r="BTJ5" s="978"/>
      <c r="BTK5" s="978"/>
      <c r="BTL5" s="978"/>
      <c r="BTM5" s="978"/>
      <c r="BTN5" s="978"/>
      <c r="BTO5" s="978"/>
      <c r="BTP5" s="978"/>
      <c r="BTQ5" s="978"/>
      <c r="BTR5" s="978"/>
      <c r="BTS5" s="978"/>
      <c r="BTT5" s="978"/>
      <c r="BTU5" s="978"/>
      <c r="BTV5" s="978"/>
      <c r="BTW5" s="978"/>
      <c r="BTX5" s="978"/>
      <c r="BTY5" s="978"/>
      <c r="BTZ5" s="978"/>
      <c r="BUA5" s="978"/>
      <c r="BUB5" s="978"/>
      <c r="BUC5" s="978"/>
      <c r="BUD5" s="978"/>
      <c r="BUE5" s="978"/>
      <c r="BUF5" s="978"/>
      <c r="BUG5" s="978"/>
      <c r="BUH5" s="978"/>
      <c r="BUI5" s="978"/>
      <c r="BUJ5" s="978"/>
      <c r="BUK5" s="978"/>
      <c r="BUL5" s="978"/>
      <c r="BUM5" s="978"/>
      <c r="BUN5" s="978"/>
      <c r="BUO5" s="978"/>
      <c r="BUP5" s="978"/>
      <c r="BUQ5" s="978"/>
      <c r="BUR5" s="978"/>
      <c r="BUS5" s="978"/>
      <c r="BUT5" s="978"/>
      <c r="BUU5" s="978"/>
      <c r="BUV5" s="978"/>
      <c r="BUW5" s="978"/>
      <c r="BUX5" s="978"/>
      <c r="BUY5" s="978"/>
      <c r="BUZ5" s="978"/>
      <c r="BVA5" s="978"/>
      <c r="BVB5" s="978"/>
      <c r="BVC5" s="978"/>
      <c r="BVD5" s="978"/>
      <c r="BVE5" s="978"/>
      <c r="BVF5" s="978"/>
      <c r="BVG5" s="978"/>
      <c r="BVH5" s="978"/>
      <c r="BVI5" s="978"/>
      <c r="BVJ5" s="978"/>
      <c r="BVK5" s="978"/>
      <c r="BVL5" s="978"/>
      <c r="BVM5" s="978"/>
      <c r="BVN5" s="978"/>
      <c r="BVO5" s="978"/>
      <c r="BVP5" s="978"/>
      <c r="BVQ5" s="978"/>
      <c r="BVR5" s="978"/>
      <c r="BVS5" s="978"/>
      <c r="BVT5" s="978"/>
      <c r="BVU5" s="978"/>
      <c r="BVV5" s="978"/>
      <c r="BVW5" s="978"/>
      <c r="BVX5" s="978"/>
      <c r="BVY5" s="978"/>
      <c r="BVZ5" s="978"/>
      <c r="BWA5" s="978"/>
      <c r="BWB5" s="978"/>
      <c r="BWC5" s="978"/>
      <c r="BWD5" s="978"/>
      <c r="BWE5" s="978"/>
      <c r="BWF5" s="978"/>
      <c r="BWG5" s="978"/>
      <c r="BWH5" s="978"/>
      <c r="BWI5" s="978"/>
      <c r="BWJ5" s="978"/>
      <c r="BWK5" s="978"/>
      <c r="BWL5" s="978"/>
      <c r="BWM5" s="978"/>
      <c r="BWN5" s="978"/>
      <c r="BWO5" s="978"/>
      <c r="BWP5" s="978"/>
      <c r="BWQ5" s="978"/>
      <c r="BWR5" s="978"/>
      <c r="BWS5" s="978"/>
      <c r="BWT5" s="978"/>
      <c r="BWU5" s="978"/>
      <c r="BWV5" s="978"/>
      <c r="BWW5" s="978"/>
      <c r="BWX5" s="978"/>
      <c r="BWY5" s="978"/>
      <c r="BWZ5" s="978"/>
      <c r="BXA5" s="978"/>
      <c r="BXB5" s="978"/>
      <c r="BXC5" s="978"/>
      <c r="BXD5" s="978"/>
      <c r="BXE5" s="978"/>
      <c r="BXF5" s="978"/>
      <c r="BXG5" s="978"/>
      <c r="BXH5" s="978"/>
      <c r="BXI5" s="978"/>
      <c r="BXJ5" s="978"/>
      <c r="BXK5" s="978"/>
      <c r="BXL5" s="978"/>
      <c r="BXM5" s="978"/>
      <c r="BXN5" s="978"/>
      <c r="BXO5" s="978"/>
      <c r="BXP5" s="978"/>
      <c r="BXQ5" s="978"/>
      <c r="BXR5" s="978"/>
      <c r="BXS5" s="978"/>
      <c r="BXT5" s="978"/>
      <c r="BXU5" s="978"/>
      <c r="BXV5" s="978"/>
      <c r="BXW5" s="978"/>
      <c r="BXX5" s="978"/>
      <c r="BXY5" s="978"/>
      <c r="BXZ5" s="978"/>
      <c r="BYA5" s="978"/>
      <c r="BYB5" s="978"/>
      <c r="BYC5" s="978"/>
      <c r="BYD5" s="978"/>
      <c r="BYE5" s="978"/>
      <c r="BYF5" s="978"/>
      <c r="BYG5" s="978"/>
      <c r="BYH5" s="978"/>
      <c r="BYI5" s="978"/>
      <c r="BYJ5" s="978"/>
      <c r="BYK5" s="978"/>
      <c r="BYL5" s="978"/>
      <c r="BYM5" s="978"/>
      <c r="BYN5" s="978"/>
      <c r="BYO5" s="978"/>
      <c r="BYP5" s="978"/>
      <c r="BYQ5" s="978"/>
      <c r="BYR5" s="978"/>
      <c r="BYS5" s="978"/>
      <c r="BYT5" s="978"/>
      <c r="BYU5" s="978"/>
      <c r="BYV5" s="978"/>
      <c r="BYW5" s="978"/>
      <c r="BYX5" s="978"/>
      <c r="BYY5" s="978"/>
      <c r="BYZ5" s="978"/>
      <c r="BZA5" s="978"/>
      <c r="BZB5" s="978"/>
      <c r="BZC5" s="978"/>
      <c r="BZD5" s="978"/>
      <c r="BZE5" s="978"/>
      <c r="BZF5" s="978"/>
      <c r="BZG5" s="978"/>
      <c r="BZH5" s="978"/>
      <c r="BZI5" s="978"/>
      <c r="BZJ5" s="978"/>
      <c r="BZK5" s="978"/>
      <c r="BZL5" s="978"/>
      <c r="BZM5" s="978"/>
      <c r="BZN5" s="978"/>
      <c r="BZO5" s="978"/>
      <c r="BZP5" s="978"/>
      <c r="BZQ5" s="978"/>
      <c r="BZR5" s="978"/>
      <c r="BZS5" s="978"/>
      <c r="BZT5" s="978"/>
      <c r="BZU5" s="978"/>
      <c r="BZV5" s="978"/>
      <c r="BZW5" s="978"/>
      <c r="BZX5" s="978"/>
      <c r="BZY5" s="978"/>
      <c r="BZZ5" s="978"/>
      <c r="CAA5" s="978"/>
      <c r="CAB5" s="978"/>
      <c r="CAC5" s="978"/>
      <c r="CAD5" s="978"/>
      <c r="CAE5" s="978"/>
      <c r="CAF5" s="978"/>
      <c r="CAG5" s="978"/>
      <c r="CAH5" s="978"/>
      <c r="CAI5" s="978"/>
      <c r="CAJ5" s="978"/>
      <c r="CAK5" s="978"/>
      <c r="CAL5" s="978"/>
      <c r="CAM5" s="978"/>
      <c r="CAN5" s="978"/>
      <c r="CAO5" s="978"/>
      <c r="CAP5" s="978"/>
      <c r="CAQ5" s="978"/>
      <c r="CAR5" s="978"/>
      <c r="CAS5" s="978"/>
      <c r="CAT5" s="978"/>
      <c r="CAU5" s="978"/>
      <c r="CAV5" s="978"/>
      <c r="CAW5" s="978"/>
      <c r="CAX5" s="978"/>
      <c r="CAY5" s="978"/>
      <c r="CAZ5" s="978"/>
      <c r="CBA5" s="978"/>
      <c r="CBB5" s="978"/>
      <c r="CBC5" s="978"/>
      <c r="CBD5" s="978"/>
      <c r="CBE5" s="978"/>
      <c r="CBF5" s="978"/>
      <c r="CBG5" s="978"/>
      <c r="CBH5" s="978"/>
      <c r="CBI5" s="978"/>
      <c r="CBJ5" s="978"/>
      <c r="CBK5" s="978"/>
      <c r="CBL5" s="978"/>
      <c r="CBM5" s="978"/>
      <c r="CBN5" s="978"/>
      <c r="CBO5" s="978"/>
      <c r="CBP5" s="978"/>
      <c r="CBQ5" s="978"/>
      <c r="CBR5" s="978"/>
      <c r="CBS5" s="978"/>
      <c r="CBT5" s="978"/>
      <c r="CBU5" s="978"/>
      <c r="CBV5" s="978"/>
      <c r="CBW5" s="978"/>
      <c r="CBX5" s="978"/>
      <c r="CBY5" s="978"/>
      <c r="CBZ5" s="978"/>
      <c r="CCA5" s="978"/>
      <c r="CCB5" s="978"/>
      <c r="CCC5" s="978"/>
      <c r="CCD5" s="978"/>
      <c r="CCE5" s="978"/>
      <c r="CCF5" s="978"/>
      <c r="CCG5" s="978"/>
      <c r="CCH5" s="978"/>
      <c r="CCI5" s="978"/>
      <c r="CCJ5" s="978"/>
      <c r="CCK5" s="978"/>
      <c r="CCL5" s="978"/>
      <c r="CCM5" s="978"/>
      <c r="CCN5" s="978"/>
      <c r="CCO5" s="978"/>
      <c r="CCP5" s="978"/>
      <c r="CCQ5" s="978"/>
      <c r="CCR5" s="978"/>
      <c r="CCS5" s="978"/>
      <c r="CCT5" s="978"/>
      <c r="CCU5" s="978"/>
      <c r="CCV5" s="978"/>
      <c r="CCW5" s="978"/>
      <c r="CCX5" s="978"/>
      <c r="CCY5" s="978"/>
      <c r="CCZ5" s="978"/>
      <c r="CDA5" s="978"/>
      <c r="CDB5" s="978"/>
      <c r="CDC5" s="978"/>
      <c r="CDD5" s="978"/>
      <c r="CDE5" s="978"/>
      <c r="CDF5" s="978"/>
      <c r="CDG5" s="978"/>
      <c r="CDH5" s="978"/>
      <c r="CDI5" s="978"/>
      <c r="CDJ5" s="978"/>
      <c r="CDK5" s="978"/>
      <c r="CDL5" s="978"/>
      <c r="CDM5" s="978"/>
      <c r="CDN5" s="978"/>
      <c r="CDO5" s="978"/>
      <c r="CDP5" s="978"/>
      <c r="CDQ5" s="978"/>
      <c r="CDR5" s="978"/>
      <c r="CDS5" s="978"/>
      <c r="CDT5" s="978"/>
      <c r="CDU5" s="978"/>
      <c r="CDV5" s="978"/>
      <c r="CDW5" s="978"/>
      <c r="CDX5" s="978"/>
      <c r="CDY5" s="978"/>
      <c r="CDZ5" s="978"/>
      <c r="CEA5" s="978"/>
      <c r="CEB5" s="978"/>
      <c r="CEC5" s="978"/>
      <c r="CED5" s="978"/>
      <c r="CEE5" s="978"/>
      <c r="CEF5" s="978"/>
      <c r="CEG5" s="978"/>
      <c r="CEH5" s="978"/>
      <c r="CEI5" s="978"/>
      <c r="CEJ5" s="978"/>
      <c r="CEK5" s="978"/>
      <c r="CEL5" s="978"/>
      <c r="CEM5" s="978"/>
      <c r="CEN5" s="978"/>
      <c r="CEO5" s="978"/>
      <c r="CEP5" s="978"/>
      <c r="CEQ5" s="978"/>
      <c r="CER5" s="978"/>
      <c r="CES5" s="978"/>
      <c r="CET5" s="978"/>
      <c r="CEU5" s="978"/>
      <c r="CEV5" s="978"/>
      <c r="CEW5" s="978"/>
      <c r="CEX5" s="978"/>
      <c r="CEY5" s="978"/>
      <c r="CEZ5" s="978"/>
      <c r="CFA5" s="978"/>
      <c r="CFB5" s="978"/>
      <c r="CFC5" s="978"/>
      <c r="CFD5" s="978"/>
      <c r="CFE5" s="978"/>
      <c r="CFF5" s="978"/>
      <c r="CFG5" s="978"/>
      <c r="CFH5" s="978"/>
      <c r="CFI5" s="978"/>
      <c r="CFJ5" s="978"/>
      <c r="CFK5" s="978"/>
      <c r="CFL5" s="978"/>
      <c r="CFM5" s="978"/>
      <c r="CFN5" s="978"/>
      <c r="CFO5" s="978"/>
      <c r="CFP5" s="978"/>
      <c r="CFQ5" s="978"/>
      <c r="CFR5" s="978"/>
      <c r="CFS5" s="978"/>
      <c r="CFT5" s="978"/>
      <c r="CFU5" s="978"/>
      <c r="CFV5" s="978"/>
      <c r="CFW5" s="978"/>
      <c r="CFX5" s="978"/>
      <c r="CFY5" s="978"/>
      <c r="CFZ5" s="978"/>
      <c r="CGA5" s="978"/>
      <c r="CGB5" s="978"/>
      <c r="CGC5" s="978"/>
      <c r="CGD5" s="978"/>
      <c r="CGE5" s="978"/>
      <c r="CGF5" s="978"/>
      <c r="CGG5" s="978"/>
      <c r="CGH5" s="978"/>
      <c r="CGI5" s="978"/>
      <c r="CGJ5" s="978"/>
      <c r="CGK5" s="978"/>
      <c r="CGL5" s="978"/>
      <c r="CGM5" s="978"/>
      <c r="CGN5" s="978"/>
      <c r="CGO5" s="978"/>
      <c r="CGP5" s="978"/>
      <c r="CGQ5" s="978"/>
      <c r="CGR5" s="978"/>
      <c r="CGS5" s="978"/>
      <c r="CGT5" s="978"/>
      <c r="CGU5" s="978"/>
      <c r="CGV5" s="978"/>
      <c r="CGW5" s="978"/>
      <c r="CGX5" s="978"/>
      <c r="CGY5" s="978"/>
      <c r="CGZ5" s="978"/>
      <c r="CHA5" s="978"/>
      <c r="CHB5" s="978"/>
      <c r="CHC5" s="978"/>
      <c r="CHD5" s="978"/>
      <c r="CHE5" s="978"/>
      <c r="CHF5" s="978"/>
      <c r="CHG5" s="978"/>
      <c r="CHH5" s="978"/>
      <c r="CHI5" s="978"/>
      <c r="CHJ5" s="978"/>
      <c r="CHK5" s="978"/>
      <c r="CHL5" s="978"/>
      <c r="CHM5" s="978"/>
      <c r="CHN5" s="978"/>
      <c r="CHO5" s="978"/>
      <c r="CHP5" s="978"/>
      <c r="CHQ5" s="978"/>
      <c r="CHR5" s="978"/>
      <c r="CHS5" s="978"/>
      <c r="CHT5" s="978"/>
      <c r="CHU5" s="978"/>
      <c r="CHV5" s="978"/>
      <c r="CHW5" s="978"/>
      <c r="CHX5" s="978"/>
      <c r="CHY5" s="978"/>
      <c r="CHZ5" s="978"/>
      <c r="CIA5" s="978"/>
      <c r="CIB5" s="978"/>
      <c r="CIC5" s="978"/>
      <c r="CID5" s="978"/>
      <c r="CIE5" s="978"/>
      <c r="CIF5" s="978"/>
      <c r="CIG5" s="978"/>
      <c r="CIH5" s="978"/>
      <c r="CII5" s="978"/>
      <c r="CIJ5" s="978"/>
      <c r="CIK5" s="978"/>
      <c r="CIL5" s="978"/>
      <c r="CIM5" s="978"/>
      <c r="CIN5" s="978"/>
      <c r="CIO5" s="978"/>
      <c r="CIP5" s="978"/>
      <c r="CIQ5" s="978"/>
      <c r="CIR5" s="978"/>
      <c r="CIS5" s="978"/>
      <c r="CIT5" s="978"/>
      <c r="CIU5" s="978"/>
      <c r="CIV5" s="978"/>
      <c r="CIW5" s="978"/>
      <c r="CIX5" s="978"/>
      <c r="CIY5" s="978"/>
      <c r="CIZ5" s="978"/>
      <c r="CJA5" s="978"/>
      <c r="CJB5" s="978"/>
      <c r="CJC5" s="978"/>
      <c r="CJD5" s="978"/>
      <c r="CJE5" s="978"/>
      <c r="CJF5" s="978"/>
      <c r="CJG5" s="978"/>
      <c r="CJH5" s="978"/>
      <c r="CJI5" s="978"/>
      <c r="CJJ5" s="978"/>
      <c r="CJK5" s="978"/>
      <c r="CJL5" s="978"/>
      <c r="CJM5" s="978"/>
      <c r="CJN5" s="978"/>
      <c r="CJO5" s="978"/>
      <c r="CJP5" s="978"/>
      <c r="CJQ5" s="978"/>
      <c r="CJR5" s="978"/>
      <c r="CJS5" s="978"/>
      <c r="CJT5" s="978"/>
      <c r="CJU5" s="978"/>
      <c r="CJV5" s="978"/>
      <c r="CJW5" s="978"/>
      <c r="CJX5" s="978"/>
      <c r="CJY5" s="978"/>
      <c r="CJZ5" s="978"/>
      <c r="CKA5" s="978"/>
      <c r="CKB5" s="978"/>
      <c r="CKC5" s="978"/>
      <c r="CKD5" s="978"/>
      <c r="CKE5" s="978"/>
      <c r="CKF5" s="978"/>
      <c r="CKG5" s="978"/>
      <c r="CKH5" s="978"/>
      <c r="CKI5" s="978"/>
      <c r="CKJ5" s="978"/>
      <c r="CKK5" s="978"/>
      <c r="CKL5" s="978"/>
      <c r="CKM5" s="978"/>
      <c r="CKN5" s="978"/>
      <c r="CKO5" s="978"/>
      <c r="CKP5" s="978"/>
      <c r="CKQ5" s="978"/>
      <c r="CKR5" s="978"/>
      <c r="CKS5" s="978"/>
      <c r="CKT5" s="978"/>
      <c r="CKU5" s="978"/>
      <c r="CKV5" s="978"/>
      <c r="CKW5" s="978"/>
      <c r="CKX5" s="978"/>
      <c r="CKY5" s="978"/>
      <c r="CKZ5" s="978"/>
      <c r="CLA5" s="978"/>
      <c r="CLB5" s="978"/>
      <c r="CLC5" s="978"/>
      <c r="CLD5" s="978"/>
      <c r="CLE5" s="978"/>
      <c r="CLF5" s="978"/>
      <c r="CLG5" s="978"/>
      <c r="CLH5" s="978"/>
      <c r="CLI5" s="978"/>
      <c r="CLJ5" s="978"/>
      <c r="CLK5" s="978"/>
      <c r="CLL5" s="978"/>
      <c r="CLM5" s="978"/>
      <c r="CLN5" s="978"/>
      <c r="CLO5" s="978"/>
      <c r="CLP5" s="978"/>
      <c r="CLQ5" s="978"/>
      <c r="CLR5" s="978"/>
      <c r="CLS5" s="978"/>
      <c r="CLT5" s="978"/>
      <c r="CLU5" s="978"/>
      <c r="CLV5" s="978"/>
      <c r="CLW5" s="978"/>
      <c r="CLX5" s="978"/>
      <c r="CLY5" s="978"/>
      <c r="CLZ5" s="978"/>
      <c r="CMA5" s="978"/>
      <c r="CMB5" s="978"/>
      <c r="CMC5" s="978"/>
      <c r="CMD5" s="978"/>
      <c r="CME5" s="978"/>
      <c r="CMF5" s="978"/>
      <c r="CMG5" s="978"/>
      <c r="CMH5" s="978"/>
      <c r="CMI5" s="978"/>
      <c r="CMJ5" s="978"/>
      <c r="CMK5" s="978"/>
      <c r="CML5" s="978"/>
      <c r="CMM5" s="978"/>
      <c r="CMN5" s="978"/>
      <c r="CMO5" s="978"/>
      <c r="CMP5" s="978"/>
      <c r="CMQ5" s="978"/>
      <c r="CMR5" s="978"/>
      <c r="CMS5" s="978"/>
      <c r="CMT5" s="978"/>
      <c r="CMU5" s="978"/>
      <c r="CMV5" s="978"/>
      <c r="CMW5" s="978"/>
      <c r="CMX5" s="978"/>
      <c r="CMY5" s="978"/>
      <c r="CMZ5" s="978"/>
      <c r="CNA5" s="978"/>
      <c r="CNB5" s="978"/>
      <c r="CNC5" s="978"/>
      <c r="CND5" s="978"/>
      <c r="CNE5" s="978"/>
      <c r="CNF5" s="978"/>
      <c r="CNG5" s="978"/>
      <c r="CNH5" s="978"/>
      <c r="CNI5" s="978"/>
      <c r="CNJ5" s="978"/>
      <c r="CNK5" s="978"/>
      <c r="CNL5" s="978"/>
      <c r="CNM5" s="978"/>
      <c r="CNN5" s="978"/>
      <c r="CNO5" s="978"/>
      <c r="CNP5" s="978"/>
      <c r="CNQ5" s="978"/>
      <c r="CNR5" s="978"/>
      <c r="CNS5" s="978"/>
      <c r="CNT5" s="978"/>
      <c r="CNU5" s="978"/>
      <c r="CNV5" s="978"/>
      <c r="CNW5" s="978"/>
      <c r="CNX5" s="978"/>
      <c r="CNY5" s="978"/>
      <c r="CNZ5" s="978"/>
      <c r="COA5" s="978"/>
      <c r="COB5" s="978"/>
      <c r="COC5" s="978"/>
      <c r="COD5" s="978"/>
      <c r="COE5" s="978"/>
      <c r="COF5" s="978"/>
      <c r="COG5" s="978"/>
      <c r="COH5" s="978"/>
      <c r="COI5" s="978"/>
      <c r="COJ5" s="978"/>
      <c r="COK5" s="978"/>
      <c r="COL5" s="978"/>
      <c r="COM5" s="978"/>
      <c r="CON5" s="978"/>
      <c r="COO5" s="978"/>
      <c r="COP5" s="978"/>
      <c r="COQ5" s="978"/>
      <c r="COR5" s="978"/>
      <c r="COS5" s="978"/>
      <c r="COT5" s="978"/>
      <c r="COU5" s="978"/>
      <c r="COV5" s="978"/>
      <c r="COW5" s="978"/>
      <c r="COX5" s="978"/>
      <c r="COY5" s="978"/>
      <c r="COZ5" s="978"/>
      <c r="CPA5" s="978"/>
      <c r="CPB5" s="978"/>
      <c r="CPC5" s="978"/>
      <c r="CPD5" s="978"/>
      <c r="CPE5" s="978"/>
      <c r="CPF5" s="978"/>
      <c r="CPG5" s="978"/>
      <c r="CPH5" s="978"/>
      <c r="CPI5" s="978"/>
      <c r="CPJ5" s="978"/>
      <c r="CPK5" s="978"/>
      <c r="CPL5" s="978"/>
      <c r="CPM5" s="978"/>
      <c r="CPN5" s="978"/>
      <c r="CPO5" s="978"/>
      <c r="CPP5" s="978"/>
      <c r="CPQ5" s="978"/>
      <c r="CPR5" s="978"/>
      <c r="CPS5" s="978"/>
      <c r="CPT5" s="978"/>
      <c r="CPU5" s="978"/>
      <c r="CPV5" s="978"/>
      <c r="CPW5" s="978"/>
      <c r="CPX5" s="978"/>
      <c r="CPY5" s="978"/>
      <c r="CPZ5" s="978"/>
      <c r="CQA5" s="978"/>
      <c r="CQB5" s="978"/>
      <c r="CQC5" s="978"/>
      <c r="CQD5" s="978"/>
      <c r="CQE5" s="978"/>
      <c r="CQF5" s="978"/>
      <c r="CQG5" s="978"/>
      <c r="CQH5" s="978"/>
      <c r="CQI5" s="978"/>
      <c r="CQJ5" s="978"/>
      <c r="CQK5" s="978"/>
      <c r="CQL5" s="978"/>
      <c r="CQM5" s="978"/>
      <c r="CQN5" s="978"/>
      <c r="CQO5" s="978"/>
      <c r="CQP5" s="978"/>
      <c r="CQQ5" s="978"/>
      <c r="CQR5" s="978"/>
      <c r="CQS5" s="978"/>
      <c r="CQT5" s="978"/>
      <c r="CQU5" s="978"/>
      <c r="CQV5" s="978"/>
      <c r="CQW5" s="978"/>
      <c r="CQX5" s="978"/>
      <c r="CQY5" s="978"/>
      <c r="CQZ5" s="978"/>
      <c r="CRA5" s="978"/>
      <c r="CRB5" s="978"/>
      <c r="CRC5" s="978"/>
      <c r="CRD5" s="978"/>
      <c r="CRE5" s="978"/>
      <c r="CRF5" s="978"/>
      <c r="CRG5" s="978"/>
      <c r="CRH5" s="978"/>
      <c r="CRI5" s="978"/>
      <c r="CRJ5" s="978"/>
      <c r="CRK5" s="978"/>
      <c r="CRL5" s="978"/>
      <c r="CRM5" s="978"/>
      <c r="CRN5" s="978"/>
      <c r="CRO5" s="978"/>
      <c r="CRP5" s="978"/>
      <c r="CRQ5" s="978"/>
      <c r="CRR5" s="978"/>
      <c r="CRS5" s="978"/>
      <c r="CRT5" s="978"/>
      <c r="CRU5" s="978"/>
      <c r="CRV5" s="978"/>
      <c r="CRW5" s="978"/>
      <c r="CRX5" s="978"/>
      <c r="CRY5" s="978"/>
      <c r="CRZ5" s="978"/>
      <c r="CSA5" s="978"/>
      <c r="CSB5" s="978"/>
      <c r="CSC5" s="978"/>
      <c r="CSD5" s="978"/>
      <c r="CSE5" s="978"/>
      <c r="CSF5" s="978"/>
      <c r="CSG5" s="978"/>
      <c r="CSH5" s="978"/>
      <c r="CSI5" s="978"/>
      <c r="CSJ5" s="978"/>
      <c r="CSK5" s="978"/>
      <c r="CSL5" s="978"/>
      <c r="CSM5" s="978"/>
      <c r="CSN5" s="978"/>
      <c r="CSO5" s="978"/>
      <c r="CSP5" s="978"/>
      <c r="CSQ5" s="978"/>
      <c r="CSR5" s="978"/>
      <c r="CSS5" s="978"/>
      <c r="CST5" s="978"/>
      <c r="CSU5" s="978"/>
      <c r="CSV5" s="978"/>
      <c r="CSW5" s="978"/>
      <c r="CSX5" s="978"/>
      <c r="CSY5" s="978"/>
      <c r="CSZ5" s="978"/>
      <c r="CTA5" s="978"/>
      <c r="CTB5" s="978"/>
      <c r="CTC5" s="978"/>
      <c r="CTD5" s="978"/>
      <c r="CTE5" s="978"/>
      <c r="CTF5" s="978"/>
      <c r="CTG5" s="978"/>
      <c r="CTH5" s="978"/>
      <c r="CTI5" s="978"/>
      <c r="CTJ5" s="978"/>
      <c r="CTK5" s="978"/>
      <c r="CTL5" s="978"/>
      <c r="CTM5" s="978"/>
      <c r="CTN5" s="978"/>
      <c r="CTO5" s="978"/>
      <c r="CTP5" s="978"/>
      <c r="CTQ5" s="978"/>
      <c r="CTR5" s="978"/>
      <c r="CTS5" s="978"/>
      <c r="CTT5" s="978"/>
      <c r="CTU5" s="978"/>
      <c r="CTV5" s="978"/>
      <c r="CTW5" s="978"/>
      <c r="CTX5" s="978"/>
      <c r="CTY5" s="978"/>
      <c r="CTZ5" s="978"/>
      <c r="CUA5" s="978"/>
      <c r="CUB5" s="978"/>
      <c r="CUC5" s="978"/>
      <c r="CUD5" s="978"/>
      <c r="CUE5" s="978"/>
      <c r="CUF5" s="978"/>
      <c r="CUG5" s="978"/>
      <c r="CUH5" s="978"/>
      <c r="CUI5" s="978"/>
      <c r="CUJ5" s="978"/>
      <c r="CUK5" s="978"/>
      <c r="CUL5" s="978"/>
      <c r="CUM5" s="978"/>
      <c r="CUN5" s="978"/>
      <c r="CUO5" s="978"/>
      <c r="CUP5" s="978"/>
      <c r="CUQ5" s="978"/>
      <c r="CUR5" s="978"/>
      <c r="CUS5" s="978"/>
      <c r="CUT5" s="978"/>
      <c r="CUU5" s="978"/>
      <c r="CUV5" s="978"/>
      <c r="CUW5" s="978"/>
      <c r="CUX5" s="978"/>
      <c r="CUY5" s="978"/>
      <c r="CUZ5" s="978"/>
      <c r="CVA5" s="978"/>
      <c r="CVB5" s="978"/>
      <c r="CVC5" s="978"/>
      <c r="CVD5" s="978"/>
      <c r="CVE5" s="978"/>
      <c r="CVF5" s="978"/>
      <c r="CVG5" s="978"/>
      <c r="CVH5" s="978"/>
      <c r="CVI5" s="978"/>
      <c r="CVJ5" s="978"/>
      <c r="CVK5" s="978"/>
      <c r="CVL5" s="978"/>
      <c r="CVM5" s="978"/>
      <c r="CVN5" s="978"/>
      <c r="CVO5" s="978"/>
      <c r="CVP5" s="978"/>
      <c r="CVQ5" s="978"/>
      <c r="CVR5" s="978"/>
      <c r="CVS5" s="978"/>
      <c r="CVT5" s="978"/>
      <c r="CVU5" s="978"/>
      <c r="CVV5" s="978"/>
      <c r="CVW5" s="978"/>
      <c r="CVX5" s="978"/>
      <c r="CVY5" s="978"/>
      <c r="CVZ5" s="978"/>
      <c r="CWA5" s="978"/>
      <c r="CWB5" s="978"/>
      <c r="CWC5" s="978"/>
      <c r="CWD5" s="978"/>
      <c r="CWE5" s="978"/>
      <c r="CWF5" s="978"/>
      <c r="CWG5" s="978"/>
      <c r="CWH5" s="978"/>
      <c r="CWI5" s="978"/>
      <c r="CWJ5" s="978"/>
      <c r="CWK5" s="978"/>
      <c r="CWL5" s="978"/>
      <c r="CWM5" s="978"/>
      <c r="CWN5" s="978"/>
      <c r="CWO5" s="978"/>
      <c r="CWP5" s="978"/>
      <c r="CWQ5" s="978"/>
      <c r="CWR5" s="978"/>
      <c r="CWS5" s="978"/>
      <c r="CWT5" s="978"/>
      <c r="CWU5" s="978"/>
      <c r="CWV5" s="978"/>
      <c r="CWW5" s="978"/>
      <c r="CWX5" s="978"/>
      <c r="CWY5" s="978"/>
      <c r="CWZ5" s="978"/>
      <c r="CXA5" s="978"/>
      <c r="CXB5" s="978"/>
      <c r="CXC5" s="978"/>
      <c r="CXD5" s="978"/>
      <c r="CXE5" s="978"/>
      <c r="CXF5" s="978"/>
      <c r="CXG5" s="978"/>
      <c r="CXH5" s="978"/>
      <c r="CXI5" s="978"/>
      <c r="CXJ5" s="978"/>
      <c r="CXK5" s="978"/>
      <c r="CXL5" s="978"/>
      <c r="CXM5" s="978"/>
      <c r="CXN5" s="978"/>
      <c r="CXO5" s="978"/>
      <c r="CXP5" s="978"/>
      <c r="CXQ5" s="978"/>
      <c r="CXR5" s="978"/>
      <c r="CXS5" s="978"/>
      <c r="CXT5" s="978"/>
      <c r="CXU5" s="978"/>
      <c r="CXV5" s="978"/>
      <c r="CXW5" s="978"/>
      <c r="CXX5" s="978"/>
      <c r="CXY5" s="978"/>
      <c r="CXZ5" s="978"/>
      <c r="CYA5" s="978"/>
      <c r="CYB5" s="978"/>
      <c r="CYC5" s="978"/>
      <c r="CYD5" s="978"/>
      <c r="CYE5" s="978"/>
      <c r="CYF5" s="978"/>
      <c r="CYG5" s="978"/>
      <c r="CYH5" s="978"/>
      <c r="CYI5" s="978"/>
      <c r="CYJ5" s="978"/>
      <c r="CYK5" s="978"/>
      <c r="CYL5" s="978"/>
      <c r="CYM5" s="978"/>
      <c r="CYN5" s="978"/>
      <c r="CYO5" s="978"/>
      <c r="CYP5" s="978"/>
      <c r="CYQ5" s="978"/>
      <c r="CYR5" s="978"/>
      <c r="CYS5" s="978"/>
      <c r="CYT5" s="978"/>
      <c r="CYU5" s="978"/>
      <c r="CYV5" s="978"/>
      <c r="CYW5" s="978"/>
      <c r="CYX5" s="978"/>
      <c r="CYY5" s="978"/>
      <c r="CYZ5" s="978"/>
      <c r="CZA5" s="978"/>
      <c r="CZB5" s="978"/>
      <c r="CZC5" s="978"/>
      <c r="CZD5" s="978"/>
      <c r="CZE5" s="978"/>
      <c r="CZF5" s="978"/>
      <c r="CZG5" s="978"/>
      <c r="CZH5" s="978"/>
      <c r="CZI5" s="978"/>
      <c r="CZJ5" s="978"/>
      <c r="CZK5" s="978"/>
      <c r="CZL5" s="978"/>
      <c r="CZM5" s="978"/>
      <c r="CZN5" s="978"/>
      <c r="CZO5" s="978"/>
      <c r="CZP5" s="978"/>
      <c r="CZQ5" s="978"/>
      <c r="CZR5" s="978"/>
      <c r="CZS5" s="978"/>
      <c r="CZT5" s="978"/>
      <c r="CZU5" s="978"/>
      <c r="CZV5" s="978"/>
      <c r="CZW5" s="978"/>
      <c r="CZX5" s="978"/>
      <c r="CZY5" s="978"/>
      <c r="CZZ5" s="978"/>
      <c r="DAA5" s="978"/>
      <c r="DAB5" s="978"/>
      <c r="DAC5" s="978"/>
      <c r="DAD5" s="978"/>
      <c r="DAE5" s="978"/>
      <c r="DAF5" s="978"/>
      <c r="DAG5" s="978"/>
      <c r="DAH5" s="978"/>
      <c r="DAI5" s="978"/>
      <c r="DAJ5" s="978"/>
      <c r="DAK5" s="978"/>
      <c r="DAL5" s="978"/>
      <c r="DAM5" s="978"/>
      <c r="DAN5" s="978"/>
      <c r="DAO5" s="978"/>
      <c r="DAP5" s="978"/>
      <c r="DAQ5" s="978"/>
      <c r="DAR5" s="978"/>
      <c r="DAS5" s="978"/>
      <c r="DAT5" s="978"/>
      <c r="DAU5" s="978"/>
      <c r="DAV5" s="978"/>
      <c r="DAW5" s="978"/>
      <c r="DAX5" s="978"/>
      <c r="DAY5" s="978"/>
      <c r="DAZ5" s="978"/>
      <c r="DBA5" s="978"/>
      <c r="DBB5" s="978"/>
      <c r="DBC5" s="978"/>
      <c r="DBD5" s="978"/>
      <c r="DBE5" s="978"/>
      <c r="DBF5" s="978"/>
      <c r="DBG5" s="978"/>
      <c r="DBH5" s="978"/>
      <c r="DBI5" s="978"/>
      <c r="DBJ5" s="978"/>
      <c r="DBK5" s="978"/>
      <c r="DBL5" s="978"/>
      <c r="DBM5" s="978"/>
      <c r="DBN5" s="978"/>
      <c r="DBO5" s="978"/>
      <c r="DBP5" s="978"/>
      <c r="DBQ5" s="978"/>
      <c r="DBR5" s="978"/>
      <c r="DBS5" s="978"/>
      <c r="DBT5" s="978"/>
      <c r="DBU5" s="978"/>
      <c r="DBV5" s="978"/>
      <c r="DBW5" s="978"/>
      <c r="DBX5" s="978"/>
      <c r="DBY5" s="978"/>
      <c r="DBZ5" s="978"/>
      <c r="DCA5" s="978"/>
      <c r="DCB5" s="978"/>
      <c r="DCC5" s="978"/>
      <c r="DCD5" s="978"/>
      <c r="DCE5" s="978"/>
      <c r="DCF5" s="978"/>
      <c r="DCG5" s="978"/>
      <c r="DCH5" s="978"/>
      <c r="DCI5" s="978"/>
      <c r="DCJ5" s="978"/>
      <c r="DCK5" s="978"/>
      <c r="DCL5" s="978"/>
      <c r="DCM5" s="978"/>
      <c r="DCN5" s="978"/>
      <c r="DCO5" s="978"/>
      <c r="DCP5" s="978"/>
      <c r="DCQ5" s="978"/>
      <c r="DCR5" s="978"/>
      <c r="DCS5" s="978"/>
      <c r="DCT5" s="978"/>
      <c r="DCU5" s="978"/>
      <c r="DCV5" s="978"/>
      <c r="DCW5" s="978"/>
      <c r="DCX5" s="978"/>
      <c r="DCY5" s="978"/>
      <c r="DCZ5" s="978"/>
      <c r="DDA5" s="978"/>
      <c r="DDB5" s="978"/>
      <c r="DDC5" s="978"/>
      <c r="DDD5" s="978"/>
      <c r="DDE5" s="978"/>
      <c r="DDF5" s="978"/>
      <c r="DDG5" s="978"/>
      <c r="DDH5" s="978"/>
      <c r="DDI5" s="978"/>
      <c r="DDJ5" s="978"/>
      <c r="DDK5" s="978"/>
      <c r="DDL5" s="978"/>
      <c r="DDM5" s="978"/>
      <c r="DDN5" s="978"/>
      <c r="DDO5" s="978"/>
      <c r="DDP5" s="978"/>
      <c r="DDQ5" s="978"/>
      <c r="DDR5" s="978"/>
      <c r="DDS5" s="978"/>
      <c r="DDT5" s="978"/>
      <c r="DDU5" s="978"/>
      <c r="DDV5" s="978"/>
      <c r="DDW5" s="978"/>
      <c r="DDX5" s="978"/>
      <c r="DDY5" s="978"/>
      <c r="DDZ5" s="978"/>
      <c r="DEA5" s="978"/>
      <c r="DEB5" s="978"/>
      <c r="DEC5" s="978"/>
      <c r="DED5" s="978"/>
      <c r="DEE5" s="978"/>
      <c r="DEF5" s="978"/>
      <c r="DEG5" s="978"/>
      <c r="DEH5" s="978"/>
      <c r="DEI5" s="978"/>
      <c r="DEJ5" s="978"/>
      <c r="DEK5" s="978"/>
      <c r="DEL5" s="978"/>
      <c r="DEM5" s="978"/>
      <c r="DEN5" s="978"/>
      <c r="DEO5" s="978"/>
      <c r="DEP5" s="978"/>
      <c r="DEQ5" s="978"/>
      <c r="DER5" s="978"/>
      <c r="DES5" s="978"/>
      <c r="DET5" s="978"/>
      <c r="DEU5" s="978"/>
      <c r="DEV5" s="978"/>
      <c r="DEW5" s="978"/>
      <c r="DEX5" s="978"/>
      <c r="DEY5" s="978"/>
      <c r="DEZ5" s="978"/>
      <c r="DFA5" s="978"/>
      <c r="DFB5" s="978"/>
      <c r="DFC5" s="978"/>
      <c r="DFD5" s="978"/>
      <c r="DFE5" s="978"/>
      <c r="DFF5" s="978"/>
      <c r="DFG5" s="978"/>
      <c r="DFH5" s="978"/>
      <c r="DFI5" s="978"/>
      <c r="DFJ5" s="978"/>
      <c r="DFK5" s="978"/>
      <c r="DFL5" s="978"/>
      <c r="DFM5" s="978"/>
      <c r="DFN5" s="978"/>
      <c r="DFO5" s="978"/>
      <c r="DFP5" s="978"/>
      <c r="DFQ5" s="978"/>
      <c r="DFR5" s="978"/>
      <c r="DFS5" s="978"/>
      <c r="DFT5" s="978"/>
      <c r="DFU5" s="978"/>
      <c r="DFV5" s="978"/>
      <c r="DFW5" s="978"/>
      <c r="DFX5" s="978"/>
      <c r="DFY5" s="978"/>
      <c r="DFZ5" s="978"/>
      <c r="DGA5" s="978"/>
      <c r="DGB5" s="978"/>
      <c r="DGC5" s="978"/>
      <c r="DGD5" s="978"/>
      <c r="DGE5" s="978"/>
      <c r="DGF5" s="978"/>
      <c r="DGG5" s="978"/>
      <c r="DGH5" s="978"/>
      <c r="DGI5" s="978"/>
      <c r="DGJ5" s="978"/>
      <c r="DGK5" s="978"/>
      <c r="DGL5" s="978"/>
      <c r="DGM5" s="978"/>
      <c r="DGN5" s="978"/>
      <c r="DGO5" s="978"/>
      <c r="DGP5" s="978"/>
      <c r="DGQ5" s="978"/>
      <c r="DGR5" s="978"/>
      <c r="DGS5" s="978"/>
      <c r="DGT5" s="978"/>
      <c r="DGU5" s="978"/>
      <c r="DGV5" s="978"/>
      <c r="DGW5" s="978"/>
      <c r="DGX5" s="978"/>
      <c r="DGY5" s="978"/>
      <c r="DGZ5" s="978"/>
      <c r="DHA5" s="978"/>
      <c r="DHB5" s="978"/>
      <c r="DHC5" s="978"/>
      <c r="DHD5" s="978"/>
      <c r="DHE5" s="978"/>
      <c r="DHF5" s="978"/>
      <c r="DHG5" s="978"/>
      <c r="DHH5" s="978"/>
      <c r="DHI5" s="978"/>
      <c r="DHJ5" s="978"/>
      <c r="DHK5" s="978"/>
      <c r="DHL5" s="978"/>
      <c r="DHM5" s="978"/>
      <c r="DHN5" s="978"/>
      <c r="DHO5" s="978"/>
      <c r="DHP5" s="978"/>
      <c r="DHQ5" s="978"/>
      <c r="DHR5" s="978"/>
      <c r="DHS5" s="978"/>
      <c r="DHT5" s="978"/>
      <c r="DHU5" s="978"/>
      <c r="DHV5" s="978"/>
      <c r="DHW5" s="978"/>
      <c r="DHX5" s="978"/>
      <c r="DHY5" s="978"/>
      <c r="DHZ5" s="978"/>
      <c r="DIA5" s="978"/>
      <c r="DIB5" s="978"/>
      <c r="DIC5" s="978"/>
      <c r="DID5" s="978"/>
      <c r="DIE5" s="978"/>
      <c r="DIF5" s="978"/>
      <c r="DIG5" s="978"/>
      <c r="DIH5" s="978"/>
      <c r="DII5" s="978"/>
      <c r="DIJ5" s="978"/>
      <c r="DIK5" s="978"/>
      <c r="DIL5" s="978"/>
      <c r="DIM5" s="978"/>
      <c r="DIN5" s="978"/>
      <c r="DIO5" s="978"/>
      <c r="DIP5" s="978"/>
      <c r="DIQ5" s="978"/>
      <c r="DIR5" s="978"/>
      <c r="DIS5" s="978"/>
      <c r="DIT5" s="978"/>
      <c r="DIU5" s="978"/>
      <c r="DIV5" s="978"/>
      <c r="DIW5" s="978"/>
      <c r="DIX5" s="978"/>
      <c r="DIY5" s="978"/>
      <c r="DIZ5" s="978"/>
      <c r="DJA5" s="978"/>
      <c r="DJB5" s="978"/>
      <c r="DJC5" s="978"/>
      <c r="DJD5" s="978"/>
      <c r="DJE5" s="978"/>
      <c r="DJF5" s="978"/>
      <c r="DJG5" s="978"/>
      <c r="DJH5" s="978"/>
      <c r="DJI5" s="978"/>
      <c r="DJJ5" s="978"/>
      <c r="DJK5" s="978"/>
      <c r="DJL5" s="978"/>
      <c r="DJM5" s="978"/>
      <c r="DJN5" s="978"/>
      <c r="DJO5" s="978"/>
      <c r="DJP5" s="978"/>
      <c r="DJQ5" s="978"/>
      <c r="DJR5" s="978"/>
      <c r="DJS5" s="978"/>
      <c r="DJT5" s="978"/>
      <c r="DJU5" s="978"/>
      <c r="DJV5" s="978"/>
      <c r="DJW5" s="978"/>
      <c r="DJX5" s="978"/>
      <c r="DJY5" s="978"/>
      <c r="DJZ5" s="978"/>
      <c r="DKA5" s="978"/>
      <c r="DKB5" s="978"/>
      <c r="DKC5" s="978"/>
      <c r="DKD5" s="978"/>
      <c r="DKE5" s="978"/>
      <c r="DKF5" s="978"/>
      <c r="DKG5" s="978"/>
      <c r="DKH5" s="978"/>
      <c r="DKI5" s="978"/>
      <c r="DKJ5" s="978"/>
      <c r="DKK5" s="978"/>
      <c r="DKL5" s="978"/>
      <c r="DKM5" s="978"/>
      <c r="DKN5" s="978"/>
      <c r="DKO5" s="978"/>
      <c r="DKP5" s="978"/>
      <c r="DKQ5" s="978"/>
      <c r="DKR5" s="978"/>
      <c r="DKS5" s="978"/>
      <c r="DKT5" s="978"/>
      <c r="DKU5" s="978"/>
      <c r="DKV5" s="978"/>
      <c r="DKW5" s="978"/>
      <c r="DKX5" s="978"/>
      <c r="DKY5" s="978"/>
      <c r="DKZ5" s="978"/>
      <c r="DLA5" s="978"/>
      <c r="DLB5" s="978"/>
      <c r="DLC5" s="978"/>
      <c r="DLD5" s="978"/>
      <c r="DLE5" s="978"/>
      <c r="DLF5" s="978"/>
      <c r="DLG5" s="978"/>
      <c r="DLH5" s="978"/>
      <c r="DLI5" s="978"/>
      <c r="DLJ5" s="978"/>
      <c r="DLK5" s="978"/>
      <c r="DLL5" s="978"/>
      <c r="DLM5" s="978"/>
      <c r="DLN5" s="978"/>
      <c r="DLO5" s="978"/>
      <c r="DLP5" s="978"/>
      <c r="DLQ5" s="978"/>
      <c r="DLR5" s="978"/>
      <c r="DLS5" s="978"/>
      <c r="DLT5" s="978"/>
      <c r="DLU5" s="978"/>
      <c r="DLV5" s="978"/>
      <c r="DLW5" s="978"/>
      <c r="DLX5" s="978"/>
      <c r="DLY5" s="978"/>
      <c r="DLZ5" s="978"/>
      <c r="DMA5" s="978"/>
      <c r="DMB5" s="978"/>
      <c r="DMC5" s="978"/>
      <c r="DMD5" s="978"/>
      <c r="DME5" s="978"/>
      <c r="DMF5" s="978"/>
      <c r="DMG5" s="978"/>
      <c r="DMH5" s="978"/>
      <c r="DMI5" s="978"/>
      <c r="DMJ5" s="978"/>
      <c r="DMK5" s="978"/>
      <c r="DML5" s="978"/>
      <c r="DMM5" s="978"/>
      <c r="DMN5" s="978"/>
      <c r="DMO5" s="978"/>
      <c r="DMP5" s="978"/>
      <c r="DMQ5" s="978"/>
      <c r="DMR5" s="978"/>
      <c r="DMS5" s="978"/>
      <c r="DMT5" s="978"/>
      <c r="DMU5" s="978"/>
      <c r="DMV5" s="978"/>
      <c r="DMW5" s="978"/>
      <c r="DMX5" s="978"/>
      <c r="DMY5" s="978"/>
      <c r="DMZ5" s="978"/>
      <c r="DNA5" s="978"/>
      <c r="DNB5" s="978"/>
      <c r="DNC5" s="978"/>
      <c r="DND5" s="978"/>
      <c r="DNE5" s="978"/>
      <c r="DNF5" s="978"/>
      <c r="DNG5" s="978"/>
      <c r="DNH5" s="978"/>
      <c r="DNI5" s="978"/>
      <c r="DNJ5" s="978"/>
      <c r="DNK5" s="978"/>
      <c r="DNL5" s="978"/>
      <c r="DNM5" s="978"/>
      <c r="DNN5" s="978"/>
      <c r="DNO5" s="978"/>
      <c r="DNP5" s="978"/>
      <c r="DNQ5" s="978"/>
      <c r="DNR5" s="978"/>
      <c r="DNS5" s="978"/>
      <c r="DNT5" s="978"/>
      <c r="DNU5" s="978"/>
      <c r="DNV5" s="978"/>
      <c r="DNW5" s="978"/>
      <c r="DNX5" s="978"/>
      <c r="DNY5" s="978"/>
      <c r="DNZ5" s="978"/>
      <c r="DOA5" s="978"/>
      <c r="DOB5" s="978"/>
      <c r="DOC5" s="978"/>
      <c r="DOD5" s="978"/>
      <c r="DOE5" s="978"/>
      <c r="DOF5" s="978"/>
      <c r="DOG5" s="978"/>
      <c r="DOH5" s="978"/>
      <c r="DOI5" s="978"/>
      <c r="DOJ5" s="978"/>
      <c r="DOK5" s="978"/>
      <c r="DOL5" s="978"/>
      <c r="DOM5" s="978"/>
      <c r="DON5" s="978"/>
      <c r="DOO5" s="978"/>
      <c r="DOP5" s="978"/>
      <c r="DOQ5" s="978"/>
      <c r="DOR5" s="978"/>
      <c r="DOS5" s="978"/>
      <c r="DOT5" s="978"/>
      <c r="DOU5" s="978"/>
      <c r="DOV5" s="978"/>
      <c r="DOW5" s="978"/>
      <c r="DOX5" s="978"/>
      <c r="DOY5" s="978"/>
      <c r="DOZ5" s="978"/>
      <c r="DPA5" s="978"/>
      <c r="DPB5" s="978"/>
      <c r="DPC5" s="978"/>
      <c r="DPD5" s="978"/>
      <c r="DPE5" s="978"/>
      <c r="DPF5" s="978"/>
      <c r="DPG5" s="978"/>
      <c r="DPH5" s="978"/>
      <c r="DPI5" s="978"/>
      <c r="DPJ5" s="978"/>
      <c r="DPK5" s="978"/>
      <c r="DPL5" s="978"/>
      <c r="DPM5" s="978"/>
      <c r="DPN5" s="978"/>
      <c r="DPO5" s="978"/>
      <c r="DPP5" s="978"/>
      <c r="DPQ5" s="978"/>
      <c r="DPR5" s="978"/>
      <c r="DPS5" s="978"/>
      <c r="DPT5" s="978"/>
      <c r="DPU5" s="978"/>
      <c r="DPV5" s="978"/>
      <c r="DPW5" s="978"/>
      <c r="DPX5" s="978"/>
      <c r="DPY5" s="978"/>
      <c r="DPZ5" s="978"/>
      <c r="DQA5" s="978"/>
      <c r="DQB5" s="978"/>
      <c r="DQC5" s="978"/>
      <c r="DQD5" s="978"/>
      <c r="DQE5" s="978"/>
      <c r="DQF5" s="978"/>
      <c r="DQG5" s="978"/>
      <c r="DQH5" s="978"/>
      <c r="DQI5" s="978"/>
      <c r="DQJ5" s="978"/>
      <c r="DQK5" s="978"/>
      <c r="DQL5" s="978"/>
      <c r="DQM5" s="978"/>
      <c r="DQN5" s="978"/>
      <c r="DQO5" s="978"/>
      <c r="DQP5" s="978"/>
      <c r="DQQ5" s="978"/>
      <c r="DQR5" s="978"/>
      <c r="DQS5" s="978"/>
      <c r="DQT5" s="978"/>
      <c r="DQU5" s="978"/>
      <c r="DQV5" s="978"/>
      <c r="DQW5" s="978"/>
      <c r="DQX5" s="978"/>
      <c r="DQY5" s="978"/>
      <c r="DQZ5" s="978"/>
      <c r="DRA5" s="978"/>
      <c r="DRB5" s="978"/>
      <c r="DRC5" s="978"/>
      <c r="DRD5" s="978"/>
      <c r="DRE5" s="978"/>
      <c r="DRF5" s="978"/>
      <c r="DRG5" s="978"/>
      <c r="DRH5" s="978"/>
      <c r="DRI5" s="978"/>
      <c r="DRJ5" s="978"/>
      <c r="DRK5" s="978"/>
      <c r="DRL5" s="978"/>
      <c r="DRM5" s="978"/>
      <c r="DRN5" s="978"/>
      <c r="DRO5" s="978"/>
      <c r="DRP5" s="978"/>
      <c r="DRQ5" s="978"/>
      <c r="DRR5" s="978"/>
      <c r="DRS5" s="978"/>
      <c r="DRT5" s="978"/>
      <c r="DRU5" s="978"/>
      <c r="DRV5" s="978"/>
      <c r="DRW5" s="978"/>
      <c r="DRX5" s="978"/>
      <c r="DRY5" s="978"/>
      <c r="DRZ5" s="978"/>
      <c r="DSA5" s="978"/>
      <c r="DSB5" s="978"/>
      <c r="DSC5" s="978"/>
      <c r="DSD5" s="978"/>
      <c r="DSE5" s="978"/>
      <c r="DSF5" s="978"/>
      <c r="DSG5" s="978"/>
      <c r="DSH5" s="978"/>
      <c r="DSI5" s="978"/>
      <c r="DSJ5" s="978"/>
      <c r="DSK5" s="978"/>
      <c r="DSL5" s="978"/>
      <c r="DSM5" s="978"/>
      <c r="DSN5" s="978"/>
      <c r="DSO5" s="978"/>
      <c r="DSP5" s="978"/>
      <c r="DSQ5" s="978"/>
      <c r="DSR5" s="978"/>
      <c r="DSS5" s="978"/>
      <c r="DST5" s="978"/>
      <c r="DSU5" s="978"/>
      <c r="DSV5" s="978"/>
      <c r="DSW5" s="978"/>
      <c r="DSX5" s="978"/>
      <c r="DSY5" s="978"/>
      <c r="DSZ5" s="978"/>
      <c r="DTA5" s="978"/>
      <c r="DTB5" s="978"/>
      <c r="DTC5" s="978"/>
      <c r="DTD5" s="978"/>
      <c r="DTE5" s="978"/>
      <c r="DTF5" s="978"/>
      <c r="DTG5" s="978"/>
      <c r="DTH5" s="978"/>
      <c r="DTI5" s="978"/>
      <c r="DTJ5" s="978"/>
      <c r="DTK5" s="978"/>
      <c r="DTL5" s="978"/>
      <c r="DTM5" s="978"/>
      <c r="DTN5" s="978"/>
      <c r="DTO5" s="978"/>
      <c r="DTP5" s="978"/>
      <c r="DTQ5" s="978"/>
      <c r="DTR5" s="978"/>
      <c r="DTS5" s="978"/>
      <c r="DTT5" s="978"/>
      <c r="DTU5" s="978"/>
      <c r="DTV5" s="978"/>
      <c r="DTW5" s="978"/>
      <c r="DTX5" s="978"/>
      <c r="DTY5" s="978"/>
      <c r="DTZ5" s="978"/>
      <c r="DUA5" s="978"/>
      <c r="DUB5" s="978"/>
      <c r="DUC5" s="978"/>
      <c r="DUD5" s="978"/>
      <c r="DUE5" s="978"/>
      <c r="DUF5" s="978"/>
      <c r="DUG5" s="978"/>
      <c r="DUH5" s="978"/>
      <c r="DUI5" s="978"/>
      <c r="DUJ5" s="978"/>
      <c r="DUK5" s="978"/>
      <c r="DUL5" s="978"/>
      <c r="DUM5" s="978"/>
      <c r="DUN5" s="978"/>
      <c r="DUO5" s="978"/>
      <c r="DUP5" s="978"/>
      <c r="DUQ5" s="978"/>
      <c r="DUR5" s="978"/>
      <c r="DUS5" s="978"/>
      <c r="DUT5" s="978"/>
      <c r="DUU5" s="978"/>
      <c r="DUV5" s="978"/>
      <c r="DUW5" s="978"/>
      <c r="DUX5" s="978"/>
      <c r="DUY5" s="978"/>
      <c r="DUZ5" s="978"/>
      <c r="DVA5" s="978"/>
      <c r="DVB5" s="978"/>
      <c r="DVC5" s="978"/>
      <c r="DVD5" s="978"/>
      <c r="DVE5" s="978"/>
      <c r="DVF5" s="978"/>
      <c r="DVG5" s="978"/>
      <c r="DVH5" s="978"/>
      <c r="DVI5" s="978"/>
      <c r="DVJ5" s="978"/>
      <c r="DVK5" s="978"/>
      <c r="DVL5" s="978"/>
      <c r="DVM5" s="978"/>
      <c r="DVN5" s="978"/>
      <c r="DVO5" s="978"/>
      <c r="DVP5" s="978"/>
      <c r="DVQ5" s="978"/>
      <c r="DVR5" s="978"/>
      <c r="DVS5" s="978"/>
      <c r="DVT5" s="978"/>
      <c r="DVU5" s="978"/>
      <c r="DVV5" s="978"/>
      <c r="DVW5" s="978"/>
      <c r="DVX5" s="978"/>
      <c r="DVY5" s="978"/>
      <c r="DVZ5" s="978"/>
      <c r="DWA5" s="978"/>
      <c r="DWB5" s="978"/>
      <c r="DWC5" s="978"/>
      <c r="DWD5" s="978"/>
      <c r="DWE5" s="978"/>
      <c r="DWF5" s="978"/>
      <c r="DWG5" s="978"/>
      <c r="DWH5" s="978"/>
      <c r="DWI5" s="978"/>
      <c r="DWJ5" s="978"/>
      <c r="DWK5" s="978"/>
      <c r="DWL5" s="978"/>
      <c r="DWM5" s="978"/>
      <c r="DWN5" s="978"/>
      <c r="DWO5" s="978"/>
      <c r="DWP5" s="978"/>
      <c r="DWQ5" s="978"/>
      <c r="DWR5" s="978"/>
      <c r="DWS5" s="978"/>
      <c r="DWT5" s="978"/>
      <c r="DWU5" s="978"/>
      <c r="DWV5" s="978"/>
      <c r="DWW5" s="978"/>
      <c r="DWX5" s="978"/>
      <c r="DWY5" s="978"/>
      <c r="DWZ5" s="978"/>
      <c r="DXA5" s="978"/>
      <c r="DXB5" s="978"/>
      <c r="DXC5" s="978"/>
      <c r="DXD5" s="978"/>
      <c r="DXE5" s="978"/>
      <c r="DXF5" s="978"/>
      <c r="DXG5" s="978"/>
      <c r="DXH5" s="978"/>
      <c r="DXI5" s="978"/>
      <c r="DXJ5" s="978"/>
      <c r="DXK5" s="978"/>
      <c r="DXL5" s="978"/>
      <c r="DXM5" s="978"/>
      <c r="DXN5" s="978"/>
      <c r="DXO5" s="978"/>
      <c r="DXP5" s="978"/>
      <c r="DXQ5" s="978"/>
      <c r="DXR5" s="978"/>
      <c r="DXS5" s="978"/>
      <c r="DXT5" s="978"/>
      <c r="DXU5" s="978"/>
      <c r="DXV5" s="978"/>
      <c r="DXW5" s="978"/>
      <c r="DXX5" s="978"/>
      <c r="DXY5" s="978"/>
      <c r="DXZ5" s="978"/>
      <c r="DYA5" s="978"/>
      <c r="DYB5" s="978"/>
      <c r="DYC5" s="978"/>
      <c r="DYD5" s="978"/>
      <c r="DYE5" s="978"/>
      <c r="DYF5" s="978"/>
      <c r="DYG5" s="978"/>
      <c r="DYH5" s="978"/>
      <c r="DYI5" s="978"/>
      <c r="DYJ5" s="978"/>
      <c r="DYK5" s="978"/>
      <c r="DYL5" s="978"/>
      <c r="DYM5" s="978"/>
      <c r="DYN5" s="978"/>
      <c r="DYO5" s="978"/>
      <c r="DYP5" s="978"/>
      <c r="DYQ5" s="978"/>
      <c r="DYR5" s="978"/>
      <c r="DYS5" s="978"/>
      <c r="DYT5" s="978"/>
      <c r="DYU5" s="978"/>
      <c r="DYV5" s="978"/>
      <c r="DYW5" s="978"/>
      <c r="DYX5" s="978"/>
      <c r="DYY5" s="978"/>
      <c r="DYZ5" s="978"/>
      <c r="DZA5" s="978"/>
      <c r="DZB5" s="978"/>
      <c r="DZC5" s="978"/>
      <c r="DZD5" s="978"/>
      <c r="DZE5" s="978"/>
      <c r="DZF5" s="978"/>
      <c r="DZG5" s="978"/>
      <c r="DZH5" s="978"/>
      <c r="DZI5" s="978"/>
      <c r="DZJ5" s="978"/>
      <c r="DZK5" s="978"/>
      <c r="DZL5" s="978"/>
      <c r="DZM5" s="978"/>
      <c r="DZN5" s="978"/>
      <c r="DZO5" s="978"/>
      <c r="DZP5" s="978"/>
      <c r="DZQ5" s="978"/>
      <c r="DZR5" s="978"/>
      <c r="DZS5" s="978"/>
      <c r="DZT5" s="978"/>
      <c r="DZU5" s="978"/>
      <c r="DZV5" s="978"/>
      <c r="DZW5" s="978"/>
      <c r="DZX5" s="978"/>
      <c r="DZY5" s="978"/>
      <c r="DZZ5" s="978"/>
      <c r="EAA5" s="978"/>
      <c r="EAB5" s="978"/>
      <c r="EAC5" s="978"/>
      <c r="EAD5" s="978"/>
      <c r="EAE5" s="978"/>
      <c r="EAF5" s="978"/>
      <c r="EAG5" s="978"/>
      <c r="EAH5" s="978"/>
      <c r="EAI5" s="978"/>
      <c r="EAJ5" s="978"/>
      <c r="EAK5" s="978"/>
      <c r="EAL5" s="978"/>
      <c r="EAM5" s="978"/>
      <c r="EAN5" s="978"/>
      <c r="EAO5" s="978"/>
      <c r="EAP5" s="978"/>
      <c r="EAQ5" s="978"/>
      <c r="EAR5" s="978"/>
      <c r="EAS5" s="978"/>
      <c r="EAT5" s="978"/>
      <c r="EAU5" s="978"/>
      <c r="EAV5" s="978"/>
      <c r="EAW5" s="978"/>
      <c r="EAX5" s="978"/>
      <c r="EAY5" s="978"/>
      <c r="EAZ5" s="978"/>
      <c r="EBA5" s="978"/>
      <c r="EBB5" s="978"/>
      <c r="EBC5" s="978"/>
      <c r="EBD5" s="978"/>
      <c r="EBE5" s="978"/>
      <c r="EBF5" s="978"/>
      <c r="EBG5" s="978"/>
      <c r="EBH5" s="978"/>
      <c r="EBI5" s="978"/>
      <c r="EBJ5" s="978"/>
      <c r="EBK5" s="978"/>
      <c r="EBL5" s="978"/>
      <c r="EBM5" s="978"/>
      <c r="EBN5" s="978"/>
      <c r="EBO5" s="978"/>
      <c r="EBP5" s="978"/>
      <c r="EBQ5" s="978"/>
      <c r="EBR5" s="978"/>
      <c r="EBS5" s="978"/>
      <c r="EBT5" s="978"/>
      <c r="EBU5" s="978"/>
      <c r="EBV5" s="978"/>
      <c r="EBW5" s="978"/>
      <c r="EBX5" s="978"/>
      <c r="EBY5" s="978"/>
      <c r="EBZ5" s="978"/>
      <c r="ECA5" s="978"/>
      <c r="ECB5" s="978"/>
      <c r="ECC5" s="978"/>
      <c r="ECD5" s="978"/>
      <c r="ECE5" s="978"/>
      <c r="ECF5" s="978"/>
      <c r="ECG5" s="978"/>
      <c r="ECH5" s="978"/>
      <c r="ECI5" s="978"/>
      <c r="ECJ5" s="978"/>
      <c r="ECK5" s="978"/>
      <c r="ECL5" s="978"/>
      <c r="ECM5" s="978"/>
      <c r="ECN5" s="978"/>
      <c r="ECO5" s="978"/>
      <c r="ECP5" s="978"/>
      <c r="ECQ5" s="978"/>
      <c r="ECR5" s="978"/>
      <c r="ECS5" s="978"/>
      <c r="ECT5" s="978"/>
      <c r="ECU5" s="978"/>
      <c r="ECV5" s="978"/>
      <c r="ECW5" s="978"/>
      <c r="ECX5" s="978"/>
      <c r="ECY5" s="978"/>
      <c r="ECZ5" s="978"/>
      <c r="EDA5" s="978"/>
      <c r="EDB5" s="978"/>
      <c r="EDC5" s="978"/>
      <c r="EDD5" s="978"/>
      <c r="EDE5" s="978"/>
      <c r="EDF5" s="978"/>
      <c r="EDG5" s="978"/>
      <c r="EDH5" s="978"/>
      <c r="EDI5" s="978"/>
      <c r="EDJ5" s="978"/>
      <c r="EDK5" s="978"/>
      <c r="EDL5" s="978"/>
      <c r="EDM5" s="978"/>
      <c r="EDN5" s="978"/>
      <c r="EDO5" s="978"/>
      <c r="EDP5" s="978"/>
      <c r="EDQ5" s="978"/>
      <c r="EDR5" s="978"/>
      <c r="EDS5" s="978"/>
      <c r="EDT5" s="978"/>
      <c r="EDU5" s="978"/>
      <c r="EDV5" s="978"/>
      <c r="EDW5" s="978"/>
      <c r="EDX5" s="978"/>
      <c r="EDY5" s="978"/>
      <c r="EDZ5" s="978"/>
      <c r="EEA5" s="978"/>
      <c r="EEB5" s="978"/>
      <c r="EEC5" s="978"/>
      <c r="EED5" s="978"/>
      <c r="EEE5" s="978"/>
      <c r="EEF5" s="978"/>
      <c r="EEG5" s="978"/>
      <c r="EEH5" s="978"/>
      <c r="EEI5" s="978"/>
      <c r="EEJ5" s="978"/>
      <c r="EEK5" s="978"/>
      <c r="EEL5" s="978"/>
      <c r="EEM5" s="978"/>
      <c r="EEN5" s="978"/>
      <c r="EEO5" s="978"/>
      <c r="EEP5" s="978"/>
      <c r="EEQ5" s="978"/>
      <c r="EER5" s="978"/>
      <c r="EES5" s="978"/>
      <c r="EET5" s="978"/>
      <c r="EEU5" s="978"/>
      <c r="EEV5" s="978"/>
      <c r="EEW5" s="978"/>
      <c r="EEX5" s="978"/>
      <c r="EEY5" s="978"/>
      <c r="EEZ5" s="978"/>
      <c r="EFA5" s="978"/>
      <c r="EFB5" s="978"/>
      <c r="EFC5" s="978"/>
      <c r="EFD5" s="978"/>
      <c r="EFE5" s="978"/>
      <c r="EFF5" s="978"/>
      <c r="EFG5" s="978"/>
      <c r="EFH5" s="978"/>
      <c r="EFI5" s="978"/>
      <c r="EFJ5" s="978"/>
      <c r="EFK5" s="978"/>
      <c r="EFL5" s="978"/>
      <c r="EFM5" s="978"/>
      <c r="EFN5" s="978"/>
      <c r="EFO5" s="978"/>
      <c r="EFP5" s="978"/>
      <c r="EFQ5" s="978"/>
      <c r="EFR5" s="978"/>
      <c r="EFS5" s="978"/>
      <c r="EFT5" s="978"/>
      <c r="EFU5" s="978"/>
      <c r="EFV5" s="978"/>
      <c r="EFW5" s="978"/>
      <c r="EFX5" s="978"/>
      <c r="EFY5" s="978"/>
      <c r="EFZ5" s="978"/>
      <c r="EGA5" s="978"/>
      <c r="EGB5" s="978"/>
      <c r="EGC5" s="978"/>
      <c r="EGD5" s="978"/>
      <c r="EGE5" s="978"/>
      <c r="EGF5" s="978"/>
      <c r="EGG5" s="978"/>
      <c r="EGH5" s="978"/>
      <c r="EGI5" s="978"/>
      <c r="EGJ5" s="978"/>
      <c r="EGK5" s="978"/>
      <c r="EGL5" s="978"/>
      <c r="EGM5" s="978"/>
      <c r="EGN5" s="978"/>
      <c r="EGO5" s="978"/>
      <c r="EGP5" s="978"/>
      <c r="EGQ5" s="978"/>
      <c r="EGR5" s="978"/>
      <c r="EGS5" s="978"/>
      <c r="EGT5" s="978"/>
      <c r="EGU5" s="978"/>
      <c r="EGV5" s="978"/>
      <c r="EGW5" s="978"/>
      <c r="EGX5" s="978"/>
      <c r="EGY5" s="978"/>
      <c r="EGZ5" s="978"/>
      <c r="EHA5" s="978"/>
      <c r="EHB5" s="978"/>
      <c r="EHC5" s="978"/>
      <c r="EHD5" s="978"/>
      <c r="EHE5" s="978"/>
      <c r="EHF5" s="978"/>
      <c r="EHG5" s="978"/>
      <c r="EHH5" s="978"/>
      <c r="EHI5" s="978"/>
      <c r="EHJ5" s="978"/>
      <c r="EHK5" s="978"/>
      <c r="EHL5" s="978"/>
      <c r="EHM5" s="978"/>
      <c r="EHN5" s="978"/>
      <c r="EHO5" s="978"/>
      <c r="EHP5" s="978"/>
      <c r="EHQ5" s="978"/>
      <c r="EHR5" s="978"/>
      <c r="EHS5" s="978"/>
      <c r="EHT5" s="978"/>
      <c r="EHU5" s="978"/>
      <c r="EHV5" s="978"/>
      <c r="EHW5" s="978"/>
      <c r="EHX5" s="978"/>
      <c r="EHY5" s="978"/>
      <c r="EHZ5" s="978"/>
      <c r="EIA5" s="978"/>
      <c r="EIB5" s="978"/>
      <c r="EIC5" s="978"/>
      <c r="EID5" s="978"/>
      <c r="EIE5" s="978"/>
      <c r="EIF5" s="978"/>
      <c r="EIG5" s="978"/>
      <c r="EIH5" s="978"/>
      <c r="EII5" s="978"/>
      <c r="EIJ5" s="978"/>
      <c r="EIK5" s="978"/>
      <c r="EIL5" s="978"/>
      <c r="EIM5" s="978"/>
      <c r="EIN5" s="978"/>
      <c r="EIO5" s="978"/>
      <c r="EIP5" s="978"/>
      <c r="EIQ5" s="978"/>
      <c r="EIR5" s="978"/>
      <c r="EIS5" s="978"/>
      <c r="EIT5" s="978"/>
      <c r="EIU5" s="978"/>
      <c r="EIV5" s="978"/>
      <c r="EIW5" s="978"/>
      <c r="EIX5" s="978"/>
      <c r="EIY5" s="978"/>
      <c r="EIZ5" s="978"/>
      <c r="EJA5" s="978"/>
      <c r="EJB5" s="978"/>
      <c r="EJC5" s="978"/>
      <c r="EJD5" s="978"/>
      <c r="EJE5" s="978"/>
      <c r="EJF5" s="978"/>
      <c r="EJG5" s="978"/>
      <c r="EJH5" s="978"/>
      <c r="EJI5" s="978"/>
      <c r="EJJ5" s="978"/>
      <c r="EJK5" s="978"/>
      <c r="EJL5" s="978"/>
      <c r="EJM5" s="978"/>
      <c r="EJN5" s="978"/>
      <c r="EJO5" s="978"/>
      <c r="EJP5" s="978"/>
      <c r="EJQ5" s="978"/>
      <c r="EJR5" s="978"/>
      <c r="EJS5" s="978"/>
      <c r="EJT5" s="978"/>
      <c r="EJU5" s="978"/>
      <c r="EJV5" s="978"/>
      <c r="EJW5" s="978"/>
      <c r="EJX5" s="978"/>
      <c r="EJY5" s="978"/>
      <c r="EJZ5" s="978"/>
      <c r="EKA5" s="978"/>
      <c r="EKB5" s="978"/>
      <c r="EKC5" s="978"/>
      <c r="EKD5" s="978"/>
      <c r="EKE5" s="978"/>
      <c r="EKF5" s="978"/>
      <c r="EKG5" s="978"/>
      <c r="EKH5" s="978"/>
      <c r="EKI5" s="978"/>
      <c r="EKJ5" s="978"/>
      <c r="EKK5" s="978"/>
      <c r="EKL5" s="978"/>
      <c r="EKM5" s="978"/>
      <c r="EKN5" s="978"/>
      <c r="EKO5" s="978"/>
      <c r="EKP5" s="978"/>
      <c r="EKQ5" s="978"/>
      <c r="EKR5" s="978"/>
      <c r="EKS5" s="978"/>
      <c r="EKT5" s="978"/>
      <c r="EKU5" s="978"/>
      <c r="EKV5" s="978"/>
      <c r="EKW5" s="978"/>
      <c r="EKX5" s="978"/>
      <c r="EKY5" s="978"/>
      <c r="EKZ5" s="978"/>
      <c r="ELA5" s="978"/>
      <c r="ELB5" s="978"/>
      <c r="ELC5" s="978"/>
      <c r="ELD5" s="978"/>
      <c r="ELE5" s="978"/>
      <c r="ELF5" s="978"/>
      <c r="ELG5" s="978"/>
      <c r="ELH5" s="978"/>
      <c r="ELI5" s="978"/>
      <c r="ELJ5" s="978"/>
      <c r="ELK5" s="978"/>
      <c r="ELL5" s="978"/>
      <c r="ELM5" s="978"/>
      <c r="ELN5" s="978"/>
      <c r="ELO5" s="978"/>
      <c r="ELP5" s="978"/>
      <c r="ELQ5" s="978"/>
      <c r="ELR5" s="978"/>
      <c r="ELS5" s="978"/>
      <c r="ELT5" s="978"/>
      <c r="ELU5" s="978"/>
      <c r="ELV5" s="978"/>
      <c r="ELW5" s="978"/>
      <c r="ELX5" s="978"/>
      <c r="ELY5" s="978"/>
      <c r="ELZ5" s="978"/>
      <c r="EMA5" s="978"/>
      <c r="EMB5" s="978"/>
      <c r="EMC5" s="978"/>
      <c r="EMD5" s="978"/>
      <c r="EME5" s="978"/>
      <c r="EMF5" s="978"/>
      <c r="EMG5" s="978"/>
      <c r="EMH5" s="978"/>
      <c r="EMI5" s="978"/>
      <c r="EMJ5" s="978"/>
      <c r="EMK5" s="978"/>
      <c r="EML5" s="978"/>
      <c r="EMM5" s="978"/>
      <c r="EMN5" s="978"/>
      <c r="EMO5" s="978"/>
      <c r="EMP5" s="978"/>
      <c r="EMQ5" s="978"/>
      <c r="EMR5" s="978"/>
      <c r="EMS5" s="978"/>
      <c r="EMT5" s="978"/>
      <c r="EMU5" s="978"/>
      <c r="EMV5" s="978"/>
      <c r="EMW5" s="978"/>
      <c r="EMX5" s="978"/>
      <c r="EMY5" s="978"/>
      <c r="EMZ5" s="978"/>
      <c r="ENA5" s="978"/>
      <c r="ENB5" s="978"/>
      <c r="ENC5" s="978"/>
      <c r="END5" s="978"/>
      <c r="ENE5" s="978"/>
      <c r="ENF5" s="978"/>
      <c r="ENG5" s="978"/>
      <c r="ENH5" s="978"/>
      <c r="ENI5" s="978"/>
      <c r="ENJ5" s="978"/>
      <c r="ENK5" s="978"/>
      <c r="ENL5" s="978"/>
      <c r="ENM5" s="978"/>
      <c r="ENN5" s="978"/>
      <c r="ENO5" s="978"/>
      <c r="ENP5" s="978"/>
      <c r="ENQ5" s="978"/>
      <c r="ENR5" s="978"/>
      <c r="ENS5" s="978"/>
      <c r="ENT5" s="978"/>
      <c r="ENU5" s="978"/>
      <c r="ENV5" s="978"/>
      <c r="ENW5" s="978"/>
      <c r="ENX5" s="978"/>
      <c r="ENY5" s="978"/>
      <c r="ENZ5" s="978"/>
      <c r="EOA5" s="978"/>
      <c r="EOB5" s="978"/>
      <c r="EOC5" s="978"/>
      <c r="EOD5" s="978"/>
      <c r="EOE5" s="978"/>
      <c r="EOF5" s="978"/>
      <c r="EOG5" s="978"/>
      <c r="EOH5" s="978"/>
      <c r="EOI5" s="978"/>
      <c r="EOJ5" s="978"/>
      <c r="EOK5" s="978"/>
      <c r="EOL5" s="978"/>
      <c r="EOM5" s="978"/>
      <c r="EON5" s="978"/>
      <c r="EOO5" s="978"/>
      <c r="EOP5" s="978"/>
      <c r="EOQ5" s="978"/>
      <c r="EOR5" s="978"/>
      <c r="EOS5" s="978"/>
      <c r="EOT5" s="978"/>
      <c r="EOU5" s="978"/>
      <c r="EOV5" s="978"/>
      <c r="EOW5" s="978"/>
      <c r="EOX5" s="978"/>
      <c r="EOY5" s="978"/>
      <c r="EOZ5" s="978"/>
      <c r="EPA5" s="978"/>
      <c r="EPB5" s="978"/>
      <c r="EPC5" s="978"/>
      <c r="EPD5" s="978"/>
      <c r="EPE5" s="978"/>
      <c r="EPF5" s="978"/>
      <c r="EPG5" s="978"/>
      <c r="EPH5" s="978"/>
      <c r="EPI5" s="978"/>
      <c r="EPJ5" s="978"/>
      <c r="EPK5" s="978"/>
      <c r="EPL5" s="978"/>
      <c r="EPM5" s="978"/>
      <c r="EPN5" s="978"/>
      <c r="EPO5" s="978"/>
      <c r="EPP5" s="978"/>
      <c r="EPQ5" s="978"/>
      <c r="EPR5" s="978"/>
      <c r="EPS5" s="978"/>
      <c r="EPT5" s="978"/>
      <c r="EPU5" s="978"/>
      <c r="EPV5" s="978"/>
      <c r="EPW5" s="978"/>
      <c r="EPX5" s="978"/>
      <c r="EPY5" s="978"/>
      <c r="EPZ5" s="978"/>
      <c r="EQA5" s="978"/>
      <c r="EQB5" s="978"/>
      <c r="EQC5" s="978"/>
      <c r="EQD5" s="978"/>
      <c r="EQE5" s="978"/>
      <c r="EQF5" s="978"/>
      <c r="EQG5" s="978"/>
      <c r="EQH5" s="978"/>
      <c r="EQI5" s="978"/>
      <c r="EQJ5" s="978"/>
      <c r="EQK5" s="978"/>
      <c r="EQL5" s="978"/>
      <c r="EQM5" s="978"/>
      <c r="EQN5" s="978"/>
      <c r="EQO5" s="978"/>
      <c r="EQP5" s="978"/>
      <c r="EQQ5" s="978"/>
      <c r="EQR5" s="978"/>
      <c r="EQS5" s="978"/>
      <c r="EQT5" s="978"/>
      <c r="EQU5" s="978"/>
      <c r="EQV5" s="978"/>
      <c r="EQW5" s="978"/>
      <c r="EQX5" s="978"/>
      <c r="EQY5" s="978"/>
      <c r="EQZ5" s="978"/>
      <c r="ERA5" s="978"/>
      <c r="ERB5" s="978"/>
      <c r="ERC5" s="978"/>
      <c r="ERD5" s="978"/>
      <c r="ERE5" s="978"/>
      <c r="ERF5" s="978"/>
      <c r="ERG5" s="978"/>
      <c r="ERH5" s="978"/>
      <c r="ERI5" s="978"/>
      <c r="ERJ5" s="978"/>
      <c r="ERK5" s="978"/>
      <c r="ERL5" s="978"/>
      <c r="ERM5" s="978"/>
      <c r="ERN5" s="978"/>
      <c r="ERO5" s="978"/>
      <c r="ERP5" s="978"/>
      <c r="ERQ5" s="978"/>
      <c r="ERR5" s="978"/>
      <c r="ERS5" s="978"/>
      <c r="ERT5" s="978"/>
      <c r="ERU5" s="978"/>
      <c r="ERV5" s="978"/>
      <c r="ERW5" s="978"/>
      <c r="ERX5" s="978"/>
      <c r="ERY5" s="978"/>
      <c r="ERZ5" s="978"/>
      <c r="ESA5" s="978"/>
      <c r="ESB5" s="978"/>
      <c r="ESC5" s="978"/>
      <c r="ESD5" s="978"/>
      <c r="ESE5" s="978"/>
      <c r="ESF5" s="978"/>
      <c r="ESG5" s="978"/>
      <c r="ESH5" s="978"/>
      <c r="ESI5" s="978"/>
      <c r="ESJ5" s="978"/>
      <c r="ESK5" s="978"/>
      <c r="ESL5" s="978"/>
      <c r="ESM5" s="978"/>
      <c r="ESN5" s="978"/>
      <c r="ESO5" s="978"/>
      <c r="ESP5" s="978"/>
      <c r="ESQ5" s="978"/>
      <c r="ESR5" s="978"/>
      <c r="ESS5" s="978"/>
      <c r="EST5" s="978"/>
      <c r="ESU5" s="978"/>
      <c r="ESV5" s="978"/>
      <c r="ESW5" s="978"/>
      <c r="ESX5" s="978"/>
      <c r="ESY5" s="978"/>
      <c r="ESZ5" s="978"/>
      <c r="ETA5" s="978"/>
      <c r="ETB5" s="978"/>
      <c r="ETC5" s="978"/>
      <c r="ETD5" s="978"/>
      <c r="ETE5" s="978"/>
      <c r="ETF5" s="978"/>
      <c r="ETG5" s="978"/>
      <c r="ETH5" s="978"/>
      <c r="ETI5" s="978"/>
      <c r="ETJ5" s="978"/>
      <c r="ETK5" s="978"/>
      <c r="ETL5" s="978"/>
      <c r="ETM5" s="978"/>
      <c r="ETN5" s="978"/>
      <c r="ETO5" s="978"/>
      <c r="ETP5" s="978"/>
      <c r="ETQ5" s="978"/>
      <c r="ETR5" s="978"/>
      <c r="ETS5" s="978"/>
      <c r="ETT5" s="978"/>
      <c r="ETU5" s="978"/>
      <c r="ETV5" s="978"/>
      <c r="ETW5" s="978"/>
      <c r="ETX5" s="978"/>
      <c r="ETY5" s="978"/>
      <c r="ETZ5" s="978"/>
      <c r="EUA5" s="978"/>
      <c r="EUB5" s="978"/>
      <c r="EUC5" s="978"/>
      <c r="EUD5" s="978"/>
      <c r="EUE5" s="978"/>
      <c r="EUF5" s="978"/>
      <c r="EUG5" s="978"/>
      <c r="EUH5" s="978"/>
      <c r="EUI5" s="978"/>
      <c r="EUJ5" s="978"/>
      <c r="EUK5" s="978"/>
      <c r="EUL5" s="978"/>
      <c r="EUM5" s="978"/>
      <c r="EUN5" s="978"/>
      <c r="EUO5" s="978"/>
      <c r="EUP5" s="978"/>
      <c r="EUQ5" s="978"/>
      <c r="EUR5" s="978"/>
      <c r="EUS5" s="978"/>
      <c r="EUT5" s="978"/>
      <c r="EUU5" s="978"/>
      <c r="EUV5" s="978"/>
      <c r="EUW5" s="978"/>
      <c r="EUX5" s="978"/>
      <c r="EUY5" s="978"/>
      <c r="EUZ5" s="978"/>
      <c r="EVA5" s="978"/>
      <c r="EVB5" s="978"/>
      <c r="EVC5" s="978"/>
      <c r="EVD5" s="978"/>
      <c r="EVE5" s="978"/>
      <c r="EVF5" s="978"/>
      <c r="EVG5" s="978"/>
      <c r="EVH5" s="978"/>
      <c r="EVI5" s="978"/>
      <c r="EVJ5" s="978"/>
      <c r="EVK5" s="978"/>
      <c r="EVL5" s="978"/>
      <c r="EVM5" s="978"/>
      <c r="EVN5" s="978"/>
      <c r="EVO5" s="978"/>
      <c r="EVP5" s="978"/>
      <c r="EVQ5" s="978"/>
      <c r="EVR5" s="978"/>
      <c r="EVS5" s="978"/>
      <c r="EVT5" s="978"/>
      <c r="EVU5" s="978"/>
      <c r="EVV5" s="978"/>
      <c r="EVW5" s="978"/>
      <c r="EVX5" s="978"/>
      <c r="EVY5" s="978"/>
      <c r="EVZ5" s="978"/>
      <c r="EWA5" s="978"/>
      <c r="EWB5" s="978"/>
      <c r="EWC5" s="978"/>
      <c r="EWD5" s="978"/>
      <c r="EWE5" s="978"/>
      <c r="EWF5" s="978"/>
      <c r="EWG5" s="978"/>
      <c r="EWH5" s="978"/>
      <c r="EWI5" s="978"/>
      <c r="EWJ5" s="978"/>
      <c r="EWK5" s="978"/>
      <c r="EWL5" s="978"/>
      <c r="EWM5" s="978"/>
      <c r="EWN5" s="978"/>
      <c r="EWO5" s="978"/>
      <c r="EWP5" s="978"/>
      <c r="EWQ5" s="978"/>
      <c r="EWR5" s="978"/>
      <c r="EWS5" s="978"/>
      <c r="EWT5" s="978"/>
      <c r="EWU5" s="978"/>
      <c r="EWV5" s="978"/>
      <c r="EWW5" s="978"/>
      <c r="EWX5" s="978"/>
      <c r="EWY5" s="978"/>
      <c r="EWZ5" s="978"/>
      <c r="EXA5" s="978"/>
      <c r="EXB5" s="978"/>
      <c r="EXC5" s="978"/>
      <c r="EXD5" s="978"/>
      <c r="EXE5" s="978"/>
      <c r="EXF5" s="978"/>
      <c r="EXG5" s="978"/>
      <c r="EXH5" s="978"/>
      <c r="EXI5" s="978"/>
      <c r="EXJ5" s="978"/>
      <c r="EXK5" s="978"/>
      <c r="EXL5" s="978"/>
      <c r="EXM5" s="978"/>
      <c r="EXN5" s="978"/>
      <c r="EXO5" s="978"/>
      <c r="EXP5" s="978"/>
      <c r="EXQ5" s="978"/>
      <c r="EXR5" s="978"/>
      <c r="EXS5" s="978"/>
      <c r="EXT5" s="978"/>
      <c r="EXU5" s="978"/>
      <c r="EXV5" s="978"/>
      <c r="EXW5" s="978"/>
      <c r="EXX5" s="978"/>
      <c r="EXY5" s="978"/>
      <c r="EXZ5" s="978"/>
      <c r="EYA5" s="978"/>
      <c r="EYB5" s="978"/>
      <c r="EYC5" s="978"/>
      <c r="EYD5" s="978"/>
      <c r="EYE5" s="978"/>
      <c r="EYF5" s="978"/>
      <c r="EYG5" s="978"/>
      <c r="EYH5" s="978"/>
      <c r="EYI5" s="978"/>
      <c r="EYJ5" s="978"/>
      <c r="EYK5" s="978"/>
      <c r="EYL5" s="978"/>
      <c r="EYM5" s="978"/>
      <c r="EYN5" s="978"/>
      <c r="EYO5" s="978"/>
      <c r="EYP5" s="978"/>
      <c r="EYQ5" s="978"/>
      <c r="EYR5" s="978"/>
      <c r="EYS5" s="978"/>
      <c r="EYT5" s="978"/>
      <c r="EYU5" s="978"/>
      <c r="EYV5" s="978"/>
      <c r="EYW5" s="978"/>
      <c r="EYX5" s="978"/>
      <c r="EYY5" s="978"/>
      <c r="EYZ5" s="978"/>
      <c r="EZA5" s="978"/>
      <c r="EZB5" s="978"/>
      <c r="EZC5" s="978"/>
      <c r="EZD5" s="978"/>
      <c r="EZE5" s="978"/>
      <c r="EZF5" s="978"/>
      <c r="EZG5" s="978"/>
      <c r="EZH5" s="978"/>
      <c r="EZI5" s="978"/>
      <c r="EZJ5" s="978"/>
      <c r="EZK5" s="978"/>
      <c r="EZL5" s="978"/>
      <c r="EZM5" s="978"/>
      <c r="EZN5" s="978"/>
      <c r="EZO5" s="978"/>
      <c r="EZP5" s="978"/>
      <c r="EZQ5" s="978"/>
      <c r="EZR5" s="978"/>
      <c r="EZS5" s="978"/>
      <c r="EZT5" s="978"/>
      <c r="EZU5" s="978"/>
      <c r="EZV5" s="978"/>
      <c r="EZW5" s="978"/>
      <c r="EZX5" s="978"/>
      <c r="EZY5" s="978"/>
      <c r="EZZ5" s="978"/>
      <c r="FAA5" s="978"/>
      <c r="FAB5" s="978"/>
      <c r="FAC5" s="978"/>
      <c r="FAD5" s="978"/>
      <c r="FAE5" s="978"/>
      <c r="FAF5" s="978"/>
      <c r="FAG5" s="978"/>
      <c r="FAH5" s="978"/>
      <c r="FAI5" s="978"/>
      <c r="FAJ5" s="978"/>
      <c r="FAK5" s="978"/>
      <c r="FAL5" s="978"/>
      <c r="FAM5" s="978"/>
      <c r="FAN5" s="978"/>
      <c r="FAO5" s="978"/>
      <c r="FAP5" s="978"/>
      <c r="FAQ5" s="978"/>
      <c r="FAR5" s="978"/>
      <c r="FAS5" s="978"/>
      <c r="FAT5" s="978"/>
      <c r="FAU5" s="978"/>
      <c r="FAV5" s="978"/>
      <c r="FAW5" s="978"/>
      <c r="FAX5" s="978"/>
      <c r="FAY5" s="978"/>
      <c r="FAZ5" s="978"/>
      <c r="FBA5" s="978"/>
      <c r="FBB5" s="978"/>
      <c r="FBC5" s="978"/>
      <c r="FBD5" s="978"/>
      <c r="FBE5" s="978"/>
      <c r="FBF5" s="978"/>
      <c r="FBG5" s="978"/>
      <c r="FBH5" s="978"/>
      <c r="FBI5" s="978"/>
      <c r="FBJ5" s="978"/>
      <c r="FBK5" s="978"/>
      <c r="FBL5" s="978"/>
      <c r="FBM5" s="978"/>
      <c r="FBN5" s="978"/>
      <c r="FBO5" s="978"/>
      <c r="FBP5" s="978"/>
      <c r="FBQ5" s="978"/>
      <c r="FBR5" s="978"/>
      <c r="FBS5" s="978"/>
      <c r="FBT5" s="978"/>
      <c r="FBU5" s="978"/>
      <c r="FBV5" s="978"/>
      <c r="FBW5" s="978"/>
      <c r="FBX5" s="978"/>
      <c r="FBY5" s="978"/>
      <c r="FBZ5" s="978"/>
      <c r="FCA5" s="978"/>
      <c r="FCB5" s="978"/>
      <c r="FCC5" s="978"/>
      <c r="FCD5" s="978"/>
      <c r="FCE5" s="978"/>
      <c r="FCF5" s="978"/>
      <c r="FCG5" s="978"/>
      <c r="FCH5" s="978"/>
      <c r="FCI5" s="978"/>
      <c r="FCJ5" s="978"/>
      <c r="FCK5" s="978"/>
      <c r="FCL5" s="978"/>
      <c r="FCM5" s="978"/>
      <c r="FCN5" s="978"/>
      <c r="FCO5" s="978"/>
      <c r="FCP5" s="978"/>
      <c r="FCQ5" s="978"/>
      <c r="FCR5" s="978"/>
      <c r="FCS5" s="978"/>
      <c r="FCT5" s="978"/>
      <c r="FCU5" s="978"/>
      <c r="FCV5" s="978"/>
      <c r="FCW5" s="978"/>
      <c r="FCX5" s="978"/>
      <c r="FCY5" s="978"/>
      <c r="FCZ5" s="978"/>
      <c r="FDA5" s="978"/>
      <c r="FDB5" s="978"/>
      <c r="FDC5" s="978"/>
      <c r="FDD5" s="978"/>
      <c r="FDE5" s="978"/>
      <c r="FDF5" s="978"/>
      <c r="FDG5" s="978"/>
      <c r="FDH5" s="978"/>
      <c r="FDI5" s="978"/>
      <c r="FDJ5" s="978"/>
      <c r="FDK5" s="978"/>
      <c r="FDL5" s="978"/>
      <c r="FDM5" s="978"/>
      <c r="FDN5" s="978"/>
      <c r="FDO5" s="978"/>
      <c r="FDP5" s="978"/>
      <c r="FDQ5" s="978"/>
      <c r="FDR5" s="978"/>
      <c r="FDS5" s="978"/>
      <c r="FDT5" s="978"/>
      <c r="FDU5" s="978"/>
      <c r="FDV5" s="978"/>
      <c r="FDW5" s="978"/>
      <c r="FDX5" s="978"/>
      <c r="FDY5" s="978"/>
      <c r="FDZ5" s="978"/>
      <c r="FEA5" s="978"/>
      <c r="FEB5" s="978"/>
      <c r="FEC5" s="978"/>
      <c r="FED5" s="978"/>
      <c r="FEE5" s="978"/>
      <c r="FEF5" s="978"/>
      <c r="FEG5" s="978"/>
      <c r="FEH5" s="978"/>
      <c r="FEI5" s="978"/>
      <c r="FEJ5" s="978"/>
      <c r="FEK5" s="978"/>
      <c r="FEL5" s="978"/>
      <c r="FEM5" s="978"/>
      <c r="FEN5" s="978"/>
      <c r="FEO5" s="978"/>
      <c r="FEP5" s="978"/>
      <c r="FEQ5" s="978"/>
      <c r="FER5" s="978"/>
      <c r="FES5" s="978"/>
      <c r="FET5" s="978"/>
      <c r="FEU5" s="978"/>
      <c r="FEV5" s="978"/>
      <c r="FEW5" s="978"/>
      <c r="FEX5" s="978"/>
      <c r="FEY5" s="978"/>
      <c r="FEZ5" s="978"/>
      <c r="FFA5" s="978"/>
      <c r="FFB5" s="978"/>
      <c r="FFC5" s="978"/>
      <c r="FFD5" s="978"/>
      <c r="FFE5" s="978"/>
      <c r="FFF5" s="978"/>
      <c r="FFG5" s="978"/>
      <c r="FFH5" s="978"/>
      <c r="FFI5" s="978"/>
      <c r="FFJ5" s="978"/>
      <c r="FFK5" s="978"/>
      <c r="FFL5" s="978"/>
      <c r="FFM5" s="978"/>
      <c r="FFN5" s="978"/>
      <c r="FFO5" s="978"/>
      <c r="FFP5" s="978"/>
      <c r="FFQ5" s="978"/>
      <c r="FFR5" s="978"/>
      <c r="FFS5" s="978"/>
      <c r="FFT5" s="978"/>
      <c r="FFU5" s="978"/>
      <c r="FFV5" s="978"/>
      <c r="FFW5" s="978"/>
      <c r="FFX5" s="978"/>
      <c r="FFY5" s="978"/>
      <c r="FFZ5" s="978"/>
      <c r="FGA5" s="978"/>
      <c r="FGB5" s="978"/>
      <c r="FGC5" s="978"/>
      <c r="FGD5" s="978"/>
      <c r="FGE5" s="978"/>
      <c r="FGF5" s="978"/>
      <c r="FGG5" s="978"/>
      <c r="FGH5" s="978"/>
      <c r="FGI5" s="978"/>
      <c r="FGJ5" s="978"/>
      <c r="FGK5" s="978"/>
      <c r="FGL5" s="978"/>
      <c r="FGM5" s="978"/>
      <c r="FGN5" s="978"/>
      <c r="FGO5" s="978"/>
      <c r="FGP5" s="978"/>
      <c r="FGQ5" s="978"/>
      <c r="FGR5" s="978"/>
      <c r="FGS5" s="978"/>
      <c r="FGT5" s="978"/>
      <c r="FGU5" s="978"/>
      <c r="FGV5" s="978"/>
      <c r="FGW5" s="978"/>
      <c r="FGX5" s="978"/>
      <c r="FGY5" s="978"/>
      <c r="FGZ5" s="978"/>
      <c r="FHA5" s="978"/>
      <c r="FHB5" s="978"/>
      <c r="FHC5" s="978"/>
      <c r="FHD5" s="978"/>
      <c r="FHE5" s="978"/>
      <c r="FHF5" s="978"/>
      <c r="FHG5" s="978"/>
      <c r="FHH5" s="978"/>
      <c r="FHI5" s="978"/>
      <c r="FHJ5" s="978"/>
      <c r="FHK5" s="978"/>
      <c r="FHL5" s="978"/>
      <c r="FHM5" s="978"/>
      <c r="FHN5" s="978"/>
      <c r="FHO5" s="978"/>
      <c r="FHP5" s="978"/>
      <c r="FHQ5" s="978"/>
      <c r="FHR5" s="978"/>
      <c r="FHS5" s="978"/>
      <c r="FHT5" s="978"/>
      <c r="FHU5" s="978"/>
      <c r="FHV5" s="978"/>
      <c r="FHW5" s="978"/>
      <c r="FHX5" s="978"/>
      <c r="FHY5" s="978"/>
      <c r="FHZ5" s="978"/>
      <c r="FIA5" s="978"/>
      <c r="FIB5" s="978"/>
      <c r="FIC5" s="978"/>
      <c r="FID5" s="978"/>
      <c r="FIE5" s="978"/>
      <c r="FIF5" s="978"/>
      <c r="FIG5" s="978"/>
      <c r="FIH5" s="978"/>
      <c r="FII5" s="978"/>
      <c r="FIJ5" s="978"/>
      <c r="FIK5" s="978"/>
      <c r="FIL5" s="978"/>
      <c r="FIM5" s="978"/>
      <c r="FIN5" s="978"/>
      <c r="FIO5" s="978"/>
      <c r="FIP5" s="978"/>
      <c r="FIQ5" s="978"/>
      <c r="FIR5" s="978"/>
      <c r="FIS5" s="978"/>
      <c r="FIT5" s="978"/>
      <c r="FIU5" s="978"/>
      <c r="FIV5" s="978"/>
      <c r="FIW5" s="978"/>
      <c r="FIX5" s="978"/>
      <c r="FIY5" s="978"/>
      <c r="FIZ5" s="978"/>
      <c r="FJA5" s="978"/>
      <c r="FJB5" s="978"/>
      <c r="FJC5" s="978"/>
      <c r="FJD5" s="978"/>
      <c r="FJE5" s="978"/>
      <c r="FJF5" s="978"/>
      <c r="FJG5" s="978"/>
      <c r="FJH5" s="978"/>
      <c r="FJI5" s="978"/>
      <c r="FJJ5" s="978"/>
      <c r="FJK5" s="978"/>
      <c r="FJL5" s="978"/>
      <c r="FJM5" s="978"/>
      <c r="FJN5" s="978"/>
      <c r="FJO5" s="978"/>
      <c r="FJP5" s="978"/>
      <c r="FJQ5" s="978"/>
      <c r="FJR5" s="978"/>
      <c r="FJS5" s="978"/>
      <c r="FJT5" s="978"/>
      <c r="FJU5" s="978"/>
      <c r="FJV5" s="978"/>
      <c r="FJW5" s="978"/>
      <c r="FJX5" s="978"/>
      <c r="FJY5" s="978"/>
      <c r="FJZ5" s="978"/>
      <c r="FKA5" s="978"/>
      <c r="FKB5" s="978"/>
      <c r="FKC5" s="978"/>
      <c r="FKD5" s="978"/>
      <c r="FKE5" s="978"/>
      <c r="FKF5" s="978"/>
      <c r="FKG5" s="978"/>
      <c r="FKH5" s="978"/>
      <c r="FKI5" s="978"/>
      <c r="FKJ5" s="978"/>
      <c r="FKK5" s="978"/>
      <c r="FKL5" s="978"/>
      <c r="FKM5" s="978"/>
      <c r="FKN5" s="978"/>
      <c r="FKO5" s="978"/>
      <c r="FKP5" s="978"/>
      <c r="FKQ5" s="978"/>
      <c r="FKR5" s="978"/>
      <c r="FKS5" s="978"/>
      <c r="FKT5" s="978"/>
      <c r="FKU5" s="978"/>
      <c r="FKV5" s="978"/>
      <c r="FKW5" s="978"/>
      <c r="FKX5" s="978"/>
      <c r="FKY5" s="978"/>
      <c r="FKZ5" s="978"/>
      <c r="FLA5" s="978"/>
      <c r="FLB5" s="978"/>
      <c r="FLC5" s="978"/>
      <c r="FLD5" s="978"/>
      <c r="FLE5" s="978"/>
      <c r="FLF5" s="978"/>
      <c r="FLG5" s="978"/>
      <c r="FLH5" s="978"/>
      <c r="FLI5" s="978"/>
      <c r="FLJ5" s="978"/>
      <c r="FLK5" s="978"/>
      <c r="FLL5" s="978"/>
      <c r="FLM5" s="978"/>
      <c r="FLN5" s="978"/>
      <c r="FLO5" s="978"/>
      <c r="FLP5" s="978"/>
      <c r="FLQ5" s="978"/>
      <c r="FLR5" s="978"/>
      <c r="FLS5" s="978"/>
      <c r="FLT5" s="978"/>
      <c r="FLU5" s="978"/>
      <c r="FLV5" s="978"/>
      <c r="FLW5" s="978"/>
      <c r="FLX5" s="978"/>
      <c r="FLY5" s="978"/>
      <c r="FLZ5" s="978"/>
      <c r="FMA5" s="978"/>
      <c r="FMB5" s="978"/>
      <c r="FMC5" s="978"/>
      <c r="FMD5" s="978"/>
      <c r="FME5" s="978"/>
      <c r="FMF5" s="978"/>
      <c r="FMG5" s="978"/>
      <c r="FMH5" s="978"/>
      <c r="FMI5" s="978"/>
      <c r="FMJ5" s="978"/>
      <c r="FMK5" s="978"/>
      <c r="FML5" s="978"/>
      <c r="FMM5" s="978"/>
      <c r="FMN5" s="978"/>
      <c r="FMO5" s="978"/>
      <c r="FMP5" s="978"/>
      <c r="FMQ5" s="978"/>
      <c r="FMR5" s="978"/>
      <c r="FMS5" s="978"/>
      <c r="FMT5" s="978"/>
      <c r="FMU5" s="978"/>
      <c r="FMV5" s="978"/>
      <c r="FMW5" s="978"/>
      <c r="FMX5" s="978"/>
      <c r="FMY5" s="978"/>
      <c r="FMZ5" s="978"/>
      <c r="FNA5" s="978"/>
      <c r="FNB5" s="978"/>
      <c r="FNC5" s="978"/>
      <c r="FND5" s="978"/>
      <c r="FNE5" s="978"/>
      <c r="FNF5" s="978"/>
      <c r="FNG5" s="978"/>
      <c r="FNH5" s="978"/>
      <c r="FNI5" s="978"/>
      <c r="FNJ5" s="978"/>
      <c r="FNK5" s="978"/>
      <c r="FNL5" s="978"/>
      <c r="FNM5" s="978"/>
      <c r="FNN5" s="978"/>
      <c r="FNO5" s="978"/>
      <c r="FNP5" s="978"/>
      <c r="FNQ5" s="978"/>
      <c r="FNR5" s="978"/>
      <c r="FNS5" s="978"/>
      <c r="FNT5" s="978"/>
      <c r="FNU5" s="978"/>
      <c r="FNV5" s="978"/>
      <c r="FNW5" s="978"/>
      <c r="FNX5" s="978"/>
      <c r="FNY5" s="978"/>
      <c r="FNZ5" s="978"/>
      <c r="FOA5" s="978"/>
      <c r="FOB5" s="978"/>
      <c r="FOC5" s="978"/>
      <c r="FOD5" s="978"/>
      <c r="FOE5" s="978"/>
      <c r="FOF5" s="978"/>
      <c r="FOG5" s="978"/>
      <c r="FOH5" s="978"/>
      <c r="FOI5" s="978"/>
      <c r="FOJ5" s="978"/>
      <c r="FOK5" s="978"/>
      <c r="FOL5" s="978"/>
      <c r="FOM5" s="978"/>
      <c r="FON5" s="978"/>
      <c r="FOO5" s="978"/>
      <c r="FOP5" s="978"/>
      <c r="FOQ5" s="978"/>
      <c r="FOR5" s="978"/>
      <c r="FOS5" s="978"/>
      <c r="FOT5" s="978"/>
      <c r="FOU5" s="978"/>
      <c r="FOV5" s="978"/>
      <c r="FOW5" s="978"/>
      <c r="FOX5" s="978"/>
      <c r="FOY5" s="978"/>
      <c r="FOZ5" s="978"/>
      <c r="FPA5" s="978"/>
      <c r="FPB5" s="978"/>
      <c r="FPC5" s="978"/>
      <c r="FPD5" s="978"/>
      <c r="FPE5" s="978"/>
      <c r="FPF5" s="978"/>
      <c r="FPG5" s="978"/>
      <c r="FPH5" s="978"/>
      <c r="FPI5" s="978"/>
      <c r="FPJ5" s="978"/>
      <c r="FPK5" s="978"/>
      <c r="FPL5" s="978"/>
      <c r="FPM5" s="978"/>
      <c r="FPN5" s="978"/>
      <c r="FPO5" s="978"/>
      <c r="FPP5" s="978"/>
      <c r="FPQ5" s="978"/>
      <c r="FPR5" s="978"/>
      <c r="FPS5" s="978"/>
      <c r="FPT5" s="978"/>
      <c r="FPU5" s="978"/>
      <c r="FPV5" s="978"/>
      <c r="FPW5" s="978"/>
      <c r="FPX5" s="978"/>
      <c r="FPY5" s="978"/>
      <c r="FPZ5" s="978"/>
      <c r="FQA5" s="978"/>
      <c r="FQB5" s="978"/>
      <c r="FQC5" s="978"/>
      <c r="FQD5" s="978"/>
      <c r="FQE5" s="978"/>
      <c r="FQF5" s="978"/>
      <c r="FQG5" s="978"/>
      <c r="FQH5" s="978"/>
      <c r="FQI5" s="978"/>
      <c r="FQJ5" s="978"/>
      <c r="FQK5" s="978"/>
      <c r="FQL5" s="978"/>
      <c r="FQM5" s="978"/>
      <c r="FQN5" s="978"/>
      <c r="FQO5" s="978"/>
      <c r="FQP5" s="978"/>
      <c r="FQQ5" s="978"/>
      <c r="FQR5" s="978"/>
      <c r="FQS5" s="978"/>
      <c r="FQT5" s="978"/>
      <c r="FQU5" s="978"/>
      <c r="FQV5" s="978"/>
      <c r="FQW5" s="978"/>
      <c r="FQX5" s="978"/>
      <c r="FQY5" s="978"/>
      <c r="FQZ5" s="978"/>
      <c r="FRA5" s="978"/>
      <c r="FRB5" s="978"/>
      <c r="FRC5" s="978"/>
      <c r="FRD5" s="978"/>
      <c r="FRE5" s="978"/>
      <c r="FRF5" s="978"/>
      <c r="FRG5" s="978"/>
      <c r="FRH5" s="978"/>
      <c r="FRI5" s="978"/>
      <c r="FRJ5" s="978"/>
      <c r="FRK5" s="978"/>
      <c r="FRL5" s="978"/>
      <c r="FRM5" s="978"/>
      <c r="FRN5" s="978"/>
      <c r="FRO5" s="978"/>
      <c r="FRP5" s="978"/>
      <c r="FRQ5" s="978"/>
      <c r="FRR5" s="978"/>
      <c r="FRS5" s="978"/>
      <c r="FRT5" s="978"/>
      <c r="FRU5" s="978"/>
      <c r="FRV5" s="978"/>
      <c r="FRW5" s="978"/>
      <c r="FRX5" s="978"/>
      <c r="FRY5" s="978"/>
      <c r="FRZ5" s="978"/>
      <c r="FSA5" s="978"/>
      <c r="FSB5" s="978"/>
      <c r="FSC5" s="978"/>
      <c r="FSD5" s="978"/>
      <c r="FSE5" s="978"/>
      <c r="FSF5" s="978"/>
      <c r="FSG5" s="978"/>
      <c r="FSH5" s="978"/>
      <c r="FSI5" s="978"/>
      <c r="FSJ5" s="978"/>
      <c r="FSK5" s="978"/>
      <c r="FSL5" s="978"/>
      <c r="FSM5" s="978"/>
      <c r="FSN5" s="978"/>
      <c r="FSO5" s="978"/>
      <c r="FSP5" s="978"/>
      <c r="FSQ5" s="978"/>
      <c r="FSR5" s="978"/>
      <c r="FSS5" s="978"/>
      <c r="FST5" s="978"/>
      <c r="FSU5" s="978"/>
      <c r="FSV5" s="978"/>
      <c r="FSW5" s="978"/>
      <c r="FSX5" s="978"/>
      <c r="FSY5" s="978"/>
      <c r="FSZ5" s="978"/>
      <c r="FTA5" s="978"/>
      <c r="FTB5" s="978"/>
      <c r="FTC5" s="978"/>
      <c r="FTD5" s="978"/>
      <c r="FTE5" s="978"/>
      <c r="FTF5" s="978"/>
      <c r="FTG5" s="978"/>
      <c r="FTH5" s="978"/>
      <c r="FTI5" s="978"/>
      <c r="FTJ5" s="978"/>
      <c r="FTK5" s="978"/>
      <c r="FTL5" s="978"/>
      <c r="FTM5" s="978"/>
      <c r="FTN5" s="978"/>
      <c r="FTO5" s="978"/>
      <c r="FTP5" s="978"/>
      <c r="FTQ5" s="978"/>
      <c r="FTR5" s="978"/>
      <c r="FTS5" s="978"/>
      <c r="FTT5" s="978"/>
      <c r="FTU5" s="978"/>
      <c r="FTV5" s="978"/>
      <c r="FTW5" s="978"/>
      <c r="FTX5" s="978"/>
      <c r="FTY5" s="978"/>
      <c r="FTZ5" s="978"/>
      <c r="FUA5" s="978"/>
      <c r="FUB5" s="978"/>
      <c r="FUC5" s="978"/>
      <c r="FUD5" s="978"/>
      <c r="FUE5" s="978"/>
      <c r="FUF5" s="978"/>
      <c r="FUG5" s="978"/>
      <c r="FUH5" s="978"/>
      <c r="FUI5" s="978"/>
      <c r="FUJ5" s="978"/>
      <c r="FUK5" s="978"/>
      <c r="FUL5" s="978"/>
      <c r="FUM5" s="978"/>
      <c r="FUN5" s="978"/>
      <c r="FUO5" s="978"/>
      <c r="FUP5" s="978"/>
      <c r="FUQ5" s="978"/>
      <c r="FUR5" s="978"/>
      <c r="FUS5" s="978"/>
      <c r="FUT5" s="978"/>
      <c r="FUU5" s="978"/>
      <c r="FUV5" s="978"/>
      <c r="FUW5" s="978"/>
      <c r="FUX5" s="978"/>
      <c r="FUY5" s="978"/>
      <c r="FUZ5" s="978"/>
      <c r="FVA5" s="978"/>
      <c r="FVB5" s="978"/>
      <c r="FVC5" s="978"/>
      <c r="FVD5" s="978"/>
      <c r="FVE5" s="978"/>
      <c r="FVF5" s="978"/>
      <c r="FVG5" s="978"/>
      <c r="FVH5" s="978"/>
      <c r="FVI5" s="978"/>
      <c r="FVJ5" s="978"/>
      <c r="FVK5" s="978"/>
      <c r="FVL5" s="978"/>
      <c r="FVM5" s="978"/>
      <c r="FVN5" s="978"/>
      <c r="FVO5" s="978"/>
      <c r="FVP5" s="978"/>
      <c r="FVQ5" s="978"/>
      <c r="FVR5" s="978"/>
      <c r="FVS5" s="978"/>
      <c r="FVT5" s="978"/>
      <c r="FVU5" s="978"/>
      <c r="FVV5" s="978"/>
      <c r="FVW5" s="978"/>
      <c r="FVX5" s="978"/>
      <c r="FVY5" s="978"/>
      <c r="FVZ5" s="978"/>
      <c r="FWA5" s="978"/>
      <c r="FWB5" s="978"/>
      <c r="FWC5" s="978"/>
      <c r="FWD5" s="978"/>
      <c r="FWE5" s="978"/>
      <c r="FWF5" s="978"/>
      <c r="FWG5" s="978"/>
      <c r="FWH5" s="978"/>
      <c r="FWI5" s="978"/>
      <c r="FWJ5" s="978"/>
      <c r="FWK5" s="978"/>
      <c r="FWL5" s="978"/>
      <c r="FWM5" s="978"/>
      <c r="FWN5" s="978"/>
      <c r="FWO5" s="978"/>
      <c r="FWP5" s="978"/>
      <c r="FWQ5" s="978"/>
      <c r="FWR5" s="978"/>
      <c r="FWS5" s="978"/>
      <c r="FWT5" s="978"/>
      <c r="FWU5" s="978"/>
      <c r="FWV5" s="978"/>
      <c r="FWW5" s="978"/>
      <c r="FWX5" s="978"/>
      <c r="FWY5" s="978"/>
      <c r="FWZ5" s="978"/>
      <c r="FXA5" s="978"/>
      <c r="FXB5" s="978"/>
      <c r="FXC5" s="978"/>
      <c r="FXD5" s="978"/>
      <c r="FXE5" s="978"/>
      <c r="FXF5" s="978"/>
      <c r="FXG5" s="978"/>
      <c r="FXH5" s="978"/>
      <c r="FXI5" s="978"/>
      <c r="FXJ5" s="978"/>
      <c r="FXK5" s="978"/>
      <c r="FXL5" s="978"/>
      <c r="FXM5" s="978"/>
      <c r="FXN5" s="978"/>
      <c r="FXO5" s="978"/>
      <c r="FXP5" s="978"/>
      <c r="FXQ5" s="978"/>
      <c r="FXR5" s="978"/>
      <c r="FXS5" s="978"/>
      <c r="FXT5" s="978"/>
      <c r="FXU5" s="978"/>
      <c r="FXV5" s="978"/>
      <c r="FXW5" s="978"/>
      <c r="FXX5" s="978"/>
      <c r="FXY5" s="978"/>
      <c r="FXZ5" s="978"/>
      <c r="FYA5" s="978"/>
      <c r="FYB5" s="978"/>
      <c r="FYC5" s="978"/>
      <c r="FYD5" s="978"/>
      <c r="FYE5" s="978"/>
      <c r="FYF5" s="978"/>
      <c r="FYG5" s="978"/>
      <c r="FYH5" s="978"/>
      <c r="FYI5" s="978"/>
      <c r="FYJ5" s="978"/>
      <c r="FYK5" s="978"/>
      <c r="FYL5" s="978"/>
      <c r="FYM5" s="978"/>
      <c r="FYN5" s="978"/>
      <c r="FYO5" s="978"/>
      <c r="FYP5" s="978"/>
      <c r="FYQ5" s="978"/>
      <c r="FYR5" s="978"/>
      <c r="FYS5" s="978"/>
      <c r="FYT5" s="978"/>
      <c r="FYU5" s="978"/>
      <c r="FYV5" s="978"/>
      <c r="FYW5" s="978"/>
      <c r="FYX5" s="978"/>
      <c r="FYY5" s="978"/>
      <c r="FYZ5" s="978"/>
      <c r="FZA5" s="978"/>
      <c r="FZB5" s="978"/>
      <c r="FZC5" s="978"/>
      <c r="FZD5" s="978"/>
      <c r="FZE5" s="978"/>
      <c r="FZF5" s="978"/>
      <c r="FZG5" s="978"/>
      <c r="FZH5" s="978"/>
      <c r="FZI5" s="978"/>
      <c r="FZJ5" s="978"/>
      <c r="FZK5" s="978"/>
      <c r="FZL5" s="978"/>
      <c r="FZM5" s="978"/>
      <c r="FZN5" s="978"/>
      <c r="FZO5" s="978"/>
      <c r="FZP5" s="978"/>
      <c r="FZQ5" s="978"/>
      <c r="FZR5" s="978"/>
      <c r="FZS5" s="978"/>
      <c r="FZT5" s="978"/>
      <c r="FZU5" s="978"/>
      <c r="FZV5" s="978"/>
      <c r="FZW5" s="978"/>
      <c r="FZX5" s="978"/>
      <c r="FZY5" s="978"/>
      <c r="FZZ5" s="978"/>
      <c r="GAA5" s="978"/>
      <c r="GAB5" s="978"/>
      <c r="GAC5" s="978"/>
      <c r="GAD5" s="978"/>
      <c r="GAE5" s="978"/>
      <c r="GAF5" s="978"/>
      <c r="GAG5" s="978"/>
      <c r="GAH5" s="978"/>
      <c r="GAI5" s="978"/>
      <c r="GAJ5" s="978"/>
      <c r="GAK5" s="978"/>
      <c r="GAL5" s="978"/>
      <c r="GAM5" s="978"/>
      <c r="GAN5" s="978"/>
      <c r="GAO5" s="978"/>
      <c r="GAP5" s="978"/>
      <c r="GAQ5" s="978"/>
      <c r="GAR5" s="978"/>
      <c r="GAS5" s="978"/>
      <c r="GAT5" s="978"/>
      <c r="GAU5" s="978"/>
      <c r="GAV5" s="978"/>
      <c r="GAW5" s="978"/>
      <c r="GAX5" s="978"/>
      <c r="GAY5" s="978"/>
      <c r="GAZ5" s="978"/>
      <c r="GBA5" s="978"/>
      <c r="GBB5" s="978"/>
      <c r="GBC5" s="978"/>
      <c r="GBD5" s="978"/>
      <c r="GBE5" s="978"/>
      <c r="GBF5" s="978"/>
      <c r="GBG5" s="978"/>
      <c r="GBH5" s="978"/>
      <c r="GBI5" s="978"/>
      <c r="GBJ5" s="978"/>
      <c r="GBK5" s="978"/>
      <c r="GBL5" s="978"/>
      <c r="GBM5" s="978"/>
      <c r="GBN5" s="978"/>
      <c r="GBO5" s="978"/>
      <c r="GBP5" s="978"/>
      <c r="GBQ5" s="978"/>
      <c r="GBR5" s="978"/>
      <c r="GBS5" s="978"/>
      <c r="GBT5" s="978"/>
      <c r="GBU5" s="978"/>
      <c r="GBV5" s="978"/>
      <c r="GBW5" s="978"/>
      <c r="GBX5" s="978"/>
      <c r="GBY5" s="978"/>
      <c r="GBZ5" s="978"/>
      <c r="GCA5" s="978"/>
      <c r="GCB5" s="978"/>
      <c r="GCC5" s="978"/>
      <c r="GCD5" s="978"/>
      <c r="GCE5" s="978"/>
      <c r="GCF5" s="978"/>
      <c r="GCG5" s="978"/>
      <c r="GCH5" s="978"/>
      <c r="GCI5" s="978"/>
      <c r="GCJ5" s="978"/>
      <c r="GCK5" s="978"/>
      <c r="GCL5" s="978"/>
      <c r="GCM5" s="978"/>
      <c r="GCN5" s="978"/>
      <c r="GCO5" s="978"/>
      <c r="GCP5" s="978"/>
      <c r="GCQ5" s="978"/>
      <c r="GCR5" s="978"/>
      <c r="GCS5" s="978"/>
      <c r="GCT5" s="978"/>
      <c r="GCU5" s="978"/>
      <c r="GCV5" s="978"/>
      <c r="GCW5" s="978"/>
      <c r="GCX5" s="978"/>
      <c r="GCY5" s="978"/>
      <c r="GCZ5" s="978"/>
      <c r="GDA5" s="978"/>
      <c r="GDB5" s="978"/>
      <c r="GDC5" s="978"/>
      <c r="GDD5" s="978"/>
      <c r="GDE5" s="978"/>
      <c r="GDF5" s="978"/>
      <c r="GDG5" s="978"/>
      <c r="GDH5" s="978"/>
      <c r="GDI5" s="978"/>
      <c r="GDJ5" s="978"/>
      <c r="GDK5" s="978"/>
      <c r="GDL5" s="978"/>
      <c r="GDM5" s="978"/>
      <c r="GDN5" s="978"/>
      <c r="GDO5" s="978"/>
      <c r="GDP5" s="978"/>
      <c r="GDQ5" s="978"/>
      <c r="GDR5" s="978"/>
      <c r="GDS5" s="978"/>
      <c r="GDT5" s="978"/>
      <c r="GDU5" s="978"/>
      <c r="GDV5" s="978"/>
      <c r="GDW5" s="978"/>
      <c r="GDX5" s="978"/>
      <c r="GDY5" s="978"/>
      <c r="GDZ5" s="978"/>
      <c r="GEA5" s="978"/>
      <c r="GEB5" s="978"/>
      <c r="GEC5" s="978"/>
      <c r="GED5" s="978"/>
      <c r="GEE5" s="978"/>
      <c r="GEF5" s="978"/>
      <c r="GEG5" s="978"/>
      <c r="GEH5" s="978"/>
      <c r="GEI5" s="978"/>
      <c r="GEJ5" s="978"/>
      <c r="GEK5" s="978"/>
      <c r="GEL5" s="978"/>
      <c r="GEM5" s="978"/>
      <c r="GEN5" s="978"/>
      <c r="GEO5" s="978"/>
      <c r="GEP5" s="978"/>
      <c r="GEQ5" s="978"/>
      <c r="GER5" s="978"/>
      <c r="GES5" s="978"/>
      <c r="GET5" s="978"/>
      <c r="GEU5" s="978"/>
      <c r="GEV5" s="978"/>
      <c r="GEW5" s="978"/>
      <c r="GEX5" s="978"/>
      <c r="GEY5" s="978"/>
      <c r="GEZ5" s="978"/>
      <c r="GFA5" s="978"/>
      <c r="GFB5" s="978"/>
      <c r="GFC5" s="978"/>
      <c r="GFD5" s="978"/>
      <c r="GFE5" s="978"/>
      <c r="GFF5" s="978"/>
      <c r="GFG5" s="978"/>
      <c r="GFH5" s="978"/>
      <c r="GFI5" s="978"/>
      <c r="GFJ5" s="978"/>
      <c r="GFK5" s="978"/>
      <c r="GFL5" s="978"/>
      <c r="GFM5" s="978"/>
      <c r="GFN5" s="978"/>
      <c r="GFO5" s="978"/>
      <c r="GFP5" s="978"/>
      <c r="GFQ5" s="978"/>
      <c r="GFR5" s="978"/>
      <c r="GFS5" s="978"/>
      <c r="GFT5" s="978"/>
      <c r="GFU5" s="978"/>
      <c r="GFV5" s="978"/>
      <c r="GFW5" s="978"/>
      <c r="GFX5" s="978"/>
      <c r="GFY5" s="978"/>
      <c r="GFZ5" s="978"/>
      <c r="GGA5" s="978"/>
      <c r="GGB5" s="978"/>
      <c r="GGC5" s="978"/>
      <c r="GGD5" s="978"/>
      <c r="GGE5" s="978"/>
      <c r="GGF5" s="978"/>
      <c r="GGG5" s="978"/>
      <c r="GGH5" s="978"/>
      <c r="GGI5" s="978"/>
      <c r="GGJ5" s="978"/>
      <c r="GGK5" s="978"/>
      <c r="GGL5" s="978"/>
      <c r="GGM5" s="978"/>
      <c r="GGN5" s="978"/>
      <c r="GGO5" s="978"/>
      <c r="GGP5" s="978"/>
      <c r="GGQ5" s="978"/>
      <c r="GGR5" s="978"/>
      <c r="GGS5" s="978"/>
      <c r="GGT5" s="978"/>
      <c r="GGU5" s="978"/>
      <c r="GGV5" s="978"/>
      <c r="GGW5" s="978"/>
      <c r="GGX5" s="978"/>
      <c r="GGY5" s="978"/>
      <c r="GGZ5" s="978"/>
      <c r="GHA5" s="978"/>
      <c r="GHB5" s="978"/>
      <c r="GHC5" s="978"/>
      <c r="GHD5" s="978"/>
      <c r="GHE5" s="978"/>
      <c r="GHF5" s="978"/>
      <c r="GHG5" s="978"/>
      <c r="GHH5" s="978"/>
      <c r="GHI5" s="978"/>
      <c r="GHJ5" s="978"/>
      <c r="GHK5" s="978"/>
      <c r="GHL5" s="978"/>
      <c r="GHM5" s="978"/>
      <c r="GHN5" s="978"/>
      <c r="GHO5" s="978"/>
      <c r="GHP5" s="978"/>
      <c r="GHQ5" s="978"/>
      <c r="GHR5" s="978"/>
      <c r="GHS5" s="978"/>
      <c r="GHT5" s="978"/>
      <c r="GHU5" s="978"/>
      <c r="GHV5" s="978"/>
      <c r="GHW5" s="978"/>
      <c r="GHX5" s="978"/>
      <c r="GHY5" s="978"/>
      <c r="GHZ5" s="978"/>
      <c r="GIA5" s="978"/>
      <c r="GIB5" s="978"/>
      <c r="GIC5" s="978"/>
      <c r="GID5" s="978"/>
      <c r="GIE5" s="978"/>
      <c r="GIF5" s="978"/>
      <c r="GIG5" s="978"/>
      <c r="GIH5" s="978"/>
      <c r="GII5" s="978"/>
      <c r="GIJ5" s="978"/>
      <c r="GIK5" s="978"/>
      <c r="GIL5" s="978"/>
      <c r="GIM5" s="978"/>
      <c r="GIN5" s="978"/>
      <c r="GIO5" s="978"/>
      <c r="GIP5" s="978"/>
      <c r="GIQ5" s="978"/>
      <c r="GIR5" s="978"/>
      <c r="GIS5" s="978"/>
      <c r="GIT5" s="978"/>
      <c r="GIU5" s="978"/>
      <c r="GIV5" s="978"/>
      <c r="GIW5" s="978"/>
      <c r="GIX5" s="978"/>
      <c r="GIY5" s="978"/>
      <c r="GIZ5" s="978"/>
      <c r="GJA5" s="978"/>
      <c r="GJB5" s="978"/>
      <c r="GJC5" s="978"/>
      <c r="GJD5" s="978"/>
      <c r="GJE5" s="978"/>
      <c r="GJF5" s="978"/>
      <c r="GJG5" s="978"/>
      <c r="GJH5" s="978"/>
      <c r="GJI5" s="978"/>
      <c r="GJJ5" s="978"/>
      <c r="GJK5" s="978"/>
      <c r="GJL5" s="978"/>
      <c r="GJM5" s="978"/>
      <c r="GJN5" s="978"/>
      <c r="GJO5" s="978"/>
      <c r="GJP5" s="978"/>
      <c r="GJQ5" s="978"/>
      <c r="GJR5" s="978"/>
      <c r="GJS5" s="978"/>
      <c r="GJT5" s="978"/>
      <c r="GJU5" s="978"/>
      <c r="GJV5" s="978"/>
      <c r="GJW5" s="978"/>
      <c r="GJX5" s="978"/>
      <c r="GJY5" s="978"/>
      <c r="GJZ5" s="978"/>
      <c r="GKA5" s="978"/>
      <c r="GKB5" s="978"/>
      <c r="GKC5" s="978"/>
      <c r="GKD5" s="978"/>
      <c r="GKE5" s="978"/>
      <c r="GKF5" s="978"/>
      <c r="GKG5" s="978"/>
      <c r="GKH5" s="978"/>
      <c r="GKI5" s="978"/>
      <c r="GKJ5" s="978"/>
      <c r="GKK5" s="978"/>
      <c r="GKL5" s="978"/>
      <c r="GKM5" s="978"/>
      <c r="GKN5" s="978"/>
      <c r="GKO5" s="978"/>
      <c r="GKP5" s="978"/>
      <c r="GKQ5" s="978"/>
      <c r="GKR5" s="978"/>
      <c r="GKS5" s="978"/>
      <c r="GKT5" s="978"/>
      <c r="GKU5" s="978"/>
      <c r="GKV5" s="978"/>
      <c r="GKW5" s="978"/>
      <c r="GKX5" s="978"/>
      <c r="GKY5" s="978"/>
      <c r="GKZ5" s="978"/>
      <c r="GLA5" s="978"/>
      <c r="GLB5" s="978"/>
      <c r="GLC5" s="978"/>
      <c r="GLD5" s="978"/>
      <c r="GLE5" s="978"/>
      <c r="GLF5" s="978"/>
      <c r="GLG5" s="978"/>
      <c r="GLH5" s="978"/>
      <c r="GLI5" s="978"/>
      <c r="GLJ5" s="978"/>
      <c r="GLK5" s="978"/>
      <c r="GLL5" s="978"/>
      <c r="GLM5" s="978"/>
      <c r="GLN5" s="978"/>
      <c r="GLO5" s="978"/>
      <c r="GLP5" s="978"/>
      <c r="GLQ5" s="978"/>
      <c r="GLR5" s="978"/>
      <c r="GLS5" s="978"/>
      <c r="GLT5" s="978"/>
      <c r="GLU5" s="978"/>
      <c r="GLV5" s="978"/>
      <c r="GLW5" s="978"/>
      <c r="GLX5" s="978"/>
      <c r="GLY5" s="978"/>
      <c r="GLZ5" s="978"/>
      <c r="GMA5" s="978"/>
      <c r="GMB5" s="978"/>
      <c r="GMC5" s="978"/>
      <c r="GMD5" s="978"/>
      <c r="GME5" s="978"/>
      <c r="GMF5" s="978"/>
      <c r="GMG5" s="978"/>
      <c r="GMH5" s="978"/>
      <c r="GMI5" s="978"/>
      <c r="GMJ5" s="978"/>
      <c r="GMK5" s="978"/>
      <c r="GML5" s="978"/>
      <c r="GMM5" s="978"/>
      <c r="GMN5" s="978"/>
      <c r="GMO5" s="978"/>
      <c r="GMP5" s="978"/>
      <c r="GMQ5" s="978"/>
      <c r="GMR5" s="978"/>
      <c r="GMS5" s="978"/>
      <c r="GMT5" s="978"/>
      <c r="GMU5" s="978"/>
      <c r="GMV5" s="978"/>
      <c r="GMW5" s="978"/>
      <c r="GMX5" s="978"/>
      <c r="GMY5" s="978"/>
      <c r="GMZ5" s="978"/>
      <c r="GNA5" s="978"/>
      <c r="GNB5" s="978"/>
      <c r="GNC5" s="978"/>
      <c r="GND5" s="978"/>
      <c r="GNE5" s="978"/>
      <c r="GNF5" s="978"/>
      <c r="GNG5" s="978"/>
      <c r="GNH5" s="978"/>
      <c r="GNI5" s="978"/>
      <c r="GNJ5" s="978"/>
      <c r="GNK5" s="978"/>
      <c r="GNL5" s="978"/>
      <c r="GNM5" s="978"/>
      <c r="GNN5" s="978"/>
      <c r="GNO5" s="978"/>
      <c r="GNP5" s="978"/>
      <c r="GNQ5" s="978"/>
      <c r="GNR5" s="978"/>
      <c r="GNS5" s="978"/>
      <c r="GNT5" s="978"/>
      <c r="GNU5" s="978"/>
      <c r="GNV5" s="978"/>
      <c r="GNW5" s="978"/>
      <c r="GNX5" s="978"/>
      <c r="GNY5" s="978"/>
      <c r="GNZ5" s="978"/>
      <c r="GOA5" s="978"/>
      <c r="GOB5" s="978"/>
      <c r="GOC5" s="978"/>
      <c r="GOD5" s="978"/>
      <c r="GOE5" s="978"/>
      <c r="GOF5" s="978"/>
      <c r="GOG5" s="978"/>
      <c r="GOH5" s="978"/>
      <c r="GOI5" s="978"/>
      <c r="GOJ5" s="978"/>
      <c r="GOK5" s="978"/>
      <c r="GOL5" s="978"/>
      <c r="GOM5" s="978"/>
      <c r="GON5" s="978"/>
      <c r="GOO5" s="978"/>
      <c r="GOP5" s="978"/>
      <c r="GOQ5" s="978"/>
      <c r="GOR5" s="978"/>
      <c r="GOS5" s="978"/>
      <c r="GOT5" s="978"/>
      <c r="GOU5" s="978"/>
      <c r="GOV5" s="978"/>
      <c r="GOW5" s="978"/>
      <c r="GOX5" s="978"/>
      <c r="GOY5" s="978"/>
      <c r="GOZ5" s="978"/>
      <c r="GPA5" s="978"/>
      <c r="GPB5" s="978"/>
      <c r="GPC5" s="978"/>
      <c r="GPD5" s="978"/>
      <c r="GPE5" s="978"/>
      <c r="GPF5" s="978"/>
      <c r="GPG5" s="978"/>
      <c r="GPH5" s="978"/>
      <c r="GPI5" s="978"/>
      <c r="GPJ5" s="978"/>
      <c r="GPK5" s="978"/>
      <c r="GPL5" s="978"/>
      <c r="GPM5" s="978"/>
      <c r="GPN5" s="978"/>
      <c r="GPO5" s="978"/>
      <c r="GPP5" s="978"/>
      <c r="GPQ5" s="978"/>
      <c r="GPR5" s="978"/>
      <c r="GPS5" s="978"/>
      <c r="GPT5" s="978"/>
      <c r="GPU5" s="978"/>
      <c r="GPV5" s="978"/>
      <c r="GPW5" s="978"/>
      <c r="GPX5" s="978"/>
      <c r="GPY5" s="978"/>
      <c r="GPZ5" s="978"/>
      <c r="GQA5" s="978"/>
      <c r="GQB5" s="978"/>
      <c r="GQC5" s="978"/>
      <c r="GQD5" s="978"/>
      <c r="GQE5" s="978"/>
      <c r="GQF5" s="978"/>
      <c r="GQG5" s="978"/>
      <c r="GQH5" s="978"/>
      <c r="GQI5" s="978"/>
      <c r="GQJ5" s="978"/>
      <c r="GQK5" s="978"/>
      <c r="GQL5" s="978"/>
      <c r="GQM5" s="978"/>
      <c r="GQN5" s="978"/>
      <c r="GQO5" s="978"/>
      <c r="GQP5" s="978"/>
      <c r="GQQ5" s="978"/>
      <c r="GQR5" s="978"/>
      <c r="GQS5" s="978"/>
      <c r="GQT5" s="978"/>
      <c r="GQU5" s="978"/>
      <c r="GQV5" s="978"/>
      <c r="GQW5" s="978"/>
      <c r="GQX5" s="978"/>
      <c r="GQY5" s="978"/>
      <c r="GQZ5" s="978"/>
      <c r="GRA5" s="978"/>
      <c r="GRB5" s="978"/>
      <c r="GRC5" s="978"/>
      <c r="GRD5" s="978"/>
      <c r="GRE5" s="978"/>
      <c r="GRF5" s="978"/>
      <c r="GRG5" s="978"/>
      <c r="GRH5" s="978"/>
      <c r="GRI5" s="978"/>
      <c r="GRJ5" s="978"/>
      <c r="GRK5" s="978"/>
      <c r="GRL5" s="978"/>
      <c r="GRM5" s="978"/>
      <c r="GRN5" s="978"/>
      <c r="GRO5" s="978"/>
      <c r="GRP5" s="978"/>
      <c r="GRQ5" s="978"/>
      <c r="GRR5" s="978"/>
      <c r="GRS5" s="978"/>
      <c r="GRT5" s="978"/>
      <c r="GRU5" s="978"/>
      <c r="GRV5" s="978"/>
      <c r="GRW5" s="978"/>
      <c r="GRX5" s="978"/>
      <c r="GRY5" s="978"/>
      <c r="GRZ5" s="978"/>
      <c r="GSA5" s="978"/>
      <c r="GSB5" s="978"/>
      <c r="GSC5" s="978"/>
      <c r="GSD5" s="978"/>
      <c r="GSE5" s="978"/>
      <c r="GSF5" s="978"/>
      <c r="GSG5" s="978"/>
      <c r="GSH5" s="978"/>
      <c r="GSI5" s="978"/>
      <c r="GSJ5" s="978"/>
      <c r="GSK5" s="978"/>
      <c r="GSL5" s="978"/>
      <c r="GSM5" s="978"/>
      <c r="GSN5" s="978"/>
      <c r="GSO5" s="978"/>
      <c r="GSP5" s="978"/>
      <c r="GSQ5" s="978"/>
      <c r="GSR5" s="978"/>
      <c r="GSS5" s="978"/>
      <c r="GST5" s="978"/>
      <c r="GSU5" s="978"/>
      <c r="GSV5" s="978"/>
      <c r="GSW5" s="978"/>
      <c r="GSX5" s="978"/>
      <c r="GSY5" s="978"/>
      <c r="GSZ5" s="978"/>
      <c r="GTA5" s="978"/>
      <c r="GTB5" s="978"/>
      <c r="GTC5" s="978"/>
      <c r="GTD5" s="978"/>
      <c r="GTE5" s="978"/>
      <c r="GTF5" s="978"/>
      <c r="GTG5" s="978"/>
      <c r="GTH5" s="978"/>
      <c r="GTI5" s="978"/>
      <c r="GTJ5" s="978"/>
      <c r="GTK5" s="978"/>
      <c r="GTL5" s="978"/>
      <c r="GTM5" s="978"/>
      <c r="GTN5" s="978"/>
      <c r="GTO5" s="978"/>
      <c r="GTP5" s="978"/>
      <c r="GTQ5" s="978"/>
      <c r="GTR5" s="978"/>
      <c r="GTS5" s="978"/>
      <c r="GTT5" s="978"/>
      <c r="GTU5" s="978"/>
      <c r="GTV5" s="978"/>
      <c r="GTW5" s="978"/>
      <c r="GTX5" s="978"/>
      <c r="GTY5" s="978"/>
      <c r="GTZ5" s="978"/>
      <c r="GUA5" s="978"/>
      <c r="GUB5" s="978"/>
      <c r="GUC5" s="978"/>
      <c r="GUD5" s="978"/>
      <c r="GUE5" s="978"/>
      <c r="GUF5" s="978"/>
      <c r="GUG5" s="978"/>
      <c r="GUH5" s="978"/>
      <c r="GUI5" s="978"/>
      <c r="GUJ5" s="978"/>
      <c r="GUK5" s="978"/>
      <c r="GUL5" s="978"/>
      <c r="GUM5" s="978"/>
      <c r="GUN5" s="978"/>
      <c r="GUO5" s="978"/>
      <c r="GUP5" s="978"/>
      <c r="GUQ5" s="978"/>
      <c r="GUR5" s="978"/>
      <c r="GUS5" s="978"/>
      <c r="GUT5" s="978"/>
      <c r="GUU5" s="978"/>
      <c r="GUV5" s="978"/>
      <c r="GUW5" s="978"/>
      <c r="GUX5" s="978"/>
      <c r="GUY5" s="978"/>
      <c r="GUZ5" s="978"/>
      <c r="GVA5" s="978"/>
      <c r="GVB5" s="978"/>
      <c r="GVC5" s="978"/>
      <c r="GVD5" s="978"/>
      <c r="GVE5" s="978"/>
      <c r="GVF5" s="978"/>
      <c r="GVG5" s="978"/>
      <c r="GVH5" s="978"/>
      <c r="GVI5" s="978"/>
      <c r="GVJ5" s="978"/>
      <c r="GVK5" s="978"/>
      <c r="GVL5" s="978"/>
      <c r="GVM5" s="978"/>
      <c r="GVN5" s="978"/>
      <c r="GVO5" s="978"/>
      <c r="GVP5" s="978"/>
      <c r="GVQ5" s="978"/>
      <c r="GVR5" s="978"/>
      <c r="GVS5" s="978"/>
      <c r="GVT5" s="978"/>
      <c r="GVU5" s="978"/>
      <c r="GVV5" s="978"/>
      <c r="GVW5" s="978"/>
      <c r="GVX5" s="978"/>
      <c r="GVY5" s="978"/>
      <c r="GVZ5" s="978"/>
      <c r="GWA5" s="978"/>
      <c r="GWB5" s="978"/>
      <c r="GWC5" s="978"/>
      <c r="GWD5" s="978"/>
      <c r="GWE5" s="978"/>
      <c r="GWF5" s="978"/>
      <c r="GWG5" s="978"/>
      <c r="GWH5" s="978"/>
      <c r="GWI5" s="978"/>
      <c r="GWJ5" s="978"/>
      <c r="GWK5" s="978"/>
      <c r="GWL5" s="978"/>
      <c r="GWM5" s="978"/>
      <c r="GWN5" s="978"/>
      <c r="GWO5" s="978"/>
      <c r="GWP5" s="978"/>
      <c r="GWQ5" s="978"/>
      <c r="GWR5" s="978"/>
      <c r="GWS5" s="978"/>
      <c r="GWT5" s="978"/>
      <c r="GWU5" s="978"/>
      <c r="GWV5" s="978"/>
      <c r="GWW5" s="978"/>
      <c r="GWX5" s="978"/>
      <c r="GWY5" s="978"/>
      <c r="GWZ5" s="978"/>
      <c r="GXA5" s="978"/>
      <c r="GXB5" s="978"/>
      <c r="GXC5" s="978"/>
      <c r="GXD5" s="978"/>
      <c r="GXE5" s="978"/>
      <c r="GXF5" s="978"/>
      <c r="GXG5" s="978"/>
      <c r="GXH5" s="978"/>
      <c r="GXI5" s="978"/>
      <c r="GXJ5" s="978"/>
      <c r="GXK5" s="978"/>
      <c r="GXL5" s="978"/>
      <c r="GXM5" s="978"/>
      <c r="GXN5" s="978"/>
      <c r="GXO5" s="978"/>
      <c r="GXP5" s="978"/>
      <c r="GXQ5" s="978"/>
      <c r="GXR5" s="978"/>
      <c r="GXS5" s="978"/>
      <c r="GXT5" s="978"/>
      <c r="GXU5" s="978"/>
      <c r="GXV5" s="978"/>
      <c r="GXW5" s="978"/>
      <c r="GXX5" s="978"/>
      <c r="GXY5" s="978"/>
      <c r="GXZ5" s="978"/>
      <c r="GYA5" s="978"/>
      <c r="GYB5" s="978"/>
      <c r="GYC5" s="978"/>
      <c r="GYD5" s="978"/>
      <c r="GYE5" s="978"/>
      <c r="GYF5" s="978"/>
      <c r="GYG5" s="978"/>
      <c r="GYH5" s="978"/>
      <c r="GYI5" s="978"/>
      <c r="GYJ5" s="978"/>
      <c r="GYK5" s="978"/>
      <c r="GYL5" s="978"/>
      <c r="GYM5" s="978"/>
      <c r="GYN5" s="978"/>
      <c r="GYO5" s="978"/>
      <c r="GYP5" s="978"/>
      <c r="GYQ5" s="978"/>
      <c r="GYR5" s="978"/>
      <c r="GYS5" s="978"/>
      <c r="GYT5" s="978"/>
      <c r="GYU5" s="978"/>
      <c r="GYV5" s="978"/>
      <c r="GYW5" s="978"/>
      <c r="GYX5" s="978"/>
      <c r="GYY5" s="978"/>
      <c r="GYZ5" s="978"/>
      <c r="GZA5" s="978"/>
      <c r="GZB5" s="978"/>
      <c r="GZC5" s="978"/>
      <c r="GZD5" s="978"/>
      <c r="GZE5" s="978"/>
      <c r="GZF5" s="978"/>
      <c r="GZG5" s="978"/>
      <c r="GZH5" s="978"/>
      <c r="GZI5" s="978"/>
      <c r="GZJ5" s="978"/>
      <c r="GZK5" s="978"/>
      <c r="GZL5" s="978"/>
      <c r="GZM5" s="978"/>
      <c r="GZN5" s="978"/>
      <c r="GZO5" s="978"/>
      <c r="GZP5" s="978"/>
      <c r="GZQ5" s="978"/>
      <c r="GZR5" s="978"/>
      <c r="GZS5" s="978"/>
      <c r="GZT5" s="978"/>
      <c r="GZU5" s="978"/>
      <c r="GZV5" s="978"/>
      <c r="GZW5" s="978"/>
      <c r="GZX5" s="978"/>
      <c r="GZY5" s="978"/>
      <c r="GZZ5" s="978"/>
      <c r="HAA5" s="978"/>
      <c r="HAB5" s="978"/>
      <c r="HAC5" s="978"/>
      <c r="HAD5" s="978"/>
      <c r="HAE5" s="978"/>
      <c r="HAF5" s="978"/>
      <c r="HAG5" s="978"/>
      <c r="HAH5" s="978"/>
      <c r="HAI5" s="978"/>
      <c r="HAJ5" s="978"/>
      <c r="HAK5" s="978"/>
      <c r="HAL5" s="978"/>
      <c r="HAM5" s="978"/>
      <c r="HAN5" s="978"/>
      <c r="HAO5" s="978"/>
      <c r="HAP5" s="978"/>
      <c r="HAQ5" s="978"/>
      <c r="HAR5" s="978"/>
      <c r="HAS5" s="978"/>
      <c r="HAT5" s="978"/>
      <c r="HAU5" s="978"/>
      <c r="HAV5" s="978"/>
      <c r="HAW5" s="978"/>
      <c r="HAX5" s="978"/>
      <c r="HAY5" s="978"/>
      <c r="HAZ5" s="978"/>
      <c r="HBA5" s="978"/>
      <c r="HBB5" s="978"/>
      <c r="HBC5" s="978"/>
      <c r="HBD5" s="978"/>
      <c r="HBE5" s="978"/>
      <c r="HBF5" s="978"/>
      <c r="HBG5" s="978"/>
      <c r="HBH5" s="978"/>
      <c r="HBI5" s="978"/>
      <c r="HBJ5" s="978"/>
      <c r="HBK5" s="978"/>
      <c r="HBL5" s="978"/>
      <c r="HBM5" s="978"/>
      <c r="HBN5" s="978"/>
      <c r="HBO5" s="978"/>
      <c r="HBP5" s="978"/>
      <c r="HBQ5" s="978"/>
      <c r="HBR5" s="978"/>
      <c r="HBS5" s="978"/>
      <c r="HBT5" s="978"/>
      <c r="HBU5" s="978"/>
      <c r="HBV5" s="978"/>
      <c r="HBW5" s="978"/>
      <c r="HBX5" s="978"/>
      <c r="HBY5" s="978"/>
      <c r="HBZ5" s="978"/>
      <c r="HCA5" s="978"/>
      <c r="HCB5" s="978"/>
      <c r="HCC5" s="978"/>
      <c r="HCD5" s="978"/>
      <c r="HCE5" s="978"/>
      <c r="HCF5" s="978"/>
      <c r="HCG5" s="978"/>
      <c r="HCH5" s="978"/>
      <c r="HCI5" s="978"/>
      <c r="HCJ5" s="978"/>
      <c r="HCK5" s="978"/>
      <c r="HCL5" s="978"/>
      <c r="HCM5" s="978"/>
      <c r="HCN5" s="978"/>
      <c r="HCO5" s="978"/>
      <c r="HCP5" s="978"/>
      <c r="HCQ5" s="978"/>
      <c r="HCR5" s="978"/>
      <c r="HCS5" s="978"/>
      <c r="HCT5" s="978"/>
      <c r="HCU5" s="978"/>
      <c r="HCV5" s="978"/>
      <c r="HCW5" s="978"/>
      <c r="HCX5" s="978"/>
      <c r="HCY5" s="978"/>
      <c r="HCZ5" s="978"/>
      <c r="HDA5" s="978"/>
      <c r="HDB5" s="978"/>
      <c r="HDC5" s="978"/>
      <c r="HDD5" s="978"/>
      <c r="HDE5" s="978"/>
      <c r="HDF5" s="978"/>
      <c r="HDG5" s="978"/>
      <c r="HDH5" s="978"/>
      <c r="HDI5" s="978"/>
      <c r="HDJ5" s="978"/>
      <c r="HDK5" s="978"/>
      <c r="HDL5" s="978"/>
      <c r="HDM5" s="978"/>
      <c r="HDN5" s="978"/>
      <c r="HDO5" s="978"/>
      <c r="HDP5" s="978"/>
      <c r="HDQ5" s="978"/>
      <c r="HDR5" s="978"/>
      <c r="HDS5" s="978"/>
      <c r="HDT5" s="978"/>
      <c r="HDU5" s="978"/>
      <c r="HDV5" s="978"/>
      <c r="HDW5" s="978"/>
      <c r="HDX5" s="978"/>
      <c r="HDY5" s="978"/>
      <c r="HDZ5" s="978"/>
      <c r="HEA5" s="978"/>
      <c r="HEB5" s="978"/>
      <c r="HEC5" s="978"/>
      <c r="HED5" s="978"/>
      <c r="HEE5" s="978"/>
      <c r="HEF5" s="978"/>
      <c r="HEG5" s="978"/>
      <c r="HEH5" s="978"/>
      <c r="HEI5" s="978"/>
      <c r="HEJ5" s="978"/>
      <c r="HEK5" s="978"/>
      <c r="HEL5" s="978"/>
      <c r="HEM5" s="978"/>
      <c r="HEN5" s="978"/>
      <c r="HEO5" s="978"/>
      <c r="HEP5" s="978"/>
      <c r="HEQ5" s="978"/>
      <c r="HER5" s="978"/>
      <c r="HES5" s="978"/>
      <c r="HET5" s="978"/>
      <c r="HEU5" s="978"/>
      <c r="HEV5" s="978"/>
      <c r="HEW5" s="978"/>
      <c r="HEX5" s="978"/>
      <c r="HEY5" s="978"/>
      <c r="HEZ5" s="978"/>
      <c r="HFA5" s="978"/>
      <c r="HFB5" s="978"/>
      <c r="HFC5" s="978"/>
      <c r="HFD5" s="978"/>
      <c r="HFE5" s="978"/>
      <c r="HFF5" s="978"/>
      <c r="HFG5" s="978"/>
      <c r="HFH5" s="978"/>
      <c r="HFI5" s="978"/>
      <c r="HFJ5" s="978"/>
      <c r="HFK5" s="978"/>
      <c r="HFL5" s="978"/>
      <c r="HFM5" s="978"/>
      <c r="HFN5" s="978"/>
      <c r="HFO5" s="978"/>
      <c r="HFP5" s="978"/>
      <c r="HFQ5" s="978"/>
      <c r="HFR5" s="978"/>
      <c r="HFS5" s="978"/>
      <c r="HFT5" s="978"/>
      <c r="HFU5" s="978"/>
      <c r="HFV5" s="978"/>
      <c r="HFW5" s="978"/>
      <c r="HFX5" s="978"/>
      <c r="HFY5" s="978"/>
      <c r="HFZ5" s="978"/>
      <c r="HGA5" s="978"/>
      <c r="HGB5" s="978"/>
      <c r="HGC5" s="978"/>
      <c r="HGD5" s="978"/>
      <c r="HGE5" s="978"/>
      <c r="HGF5" s="978"/>
      <c r="HGG5" s="978"/>
      <c r="HGH5" s="978"/>
      <c r="HGI5" s="978"/>
      <c r="HGJ5" s="978"/>
      <c r="HGK5" s="978"/>
      <c r="HGL5" s="978"/>
      <c r="HGM5" s="978"/>
      <c r="HGN5" s="978"/>
      <c r="HGO5" s="978"/>
      <c r="HGP5" s="978"/>
      <c r="HGQ5" s="978"/>
      <c r="HGR5" s="978"/>
      <c r="HGS5" s="978"/>
      <c r="HGT5" s="978"/>
      <c r="HGU5" s="978"/>
      <c r="HGV5" s="978"/>
      <c r="HGW5" s="978"/>
      <c r="HGX5" s="978"/>
      <c r="HGY5" s="978"/>
      <c r="HGZ5" s="978"/>
      <c r="HHA5" s="978"/>
      <c r="HHB5" s="978"/>
      <c r="HHC5" s="978"/>
      <c r="HHD5" s="978"/>
      <c r="HHE5" s="978"/>
      <c r="HHF5" s="978"/>
      <c r="HHG5" s="978"/>
      <c r="HHH5" s="978"/>
      <c r="HHI5" s="978"/>
      <c r="HHJ5" s="978"/>
      <c r="HHK5" s="978"/>
      <c r="HHL5" s="978"/>
      <c r="HHM5" s="978"/>
      <c r="HHN5" s="978"/>
      <c r="HHO5" s="978"/>
      <c r="HHP5" s="978"/>
      <c r="HHQ5" s="978"/>
      <c r="HHR5" s="978"/>
      <c r="HHS5" s="978"/>
      <c r="HHT5" s="978"/>
      <c r="HHU5" s="978"/>
      <c r="HHV5" s="978"/>
      <c r="HHW5" s="978"/>
      <c r="HHX5" s="978"/>
      <c r="HHY5" s="978"/>
      <c r="HHZ5" s="978"/>
      <c r="HIA5" s="978"/>
      <c r="HIB5" s="978"/>
      <c r="HIC5" s="978"/>
      <c r="HID5" s="978"/>
      <c r="HIE5" s="978"/>
      <c r="HIF5" s="978"/>
      <c r="HIG5" s="978"/>
      <c r="HIH5" s="978"/>
      <c r="HII5" s="978"/>
      <c r="HIJ5" s="978"/>
      <c r="HIK5" s="978"/>
      <c r="HIL5" s="978"/>
      <c r="HIM5" s="978"/>
      <c r="HIN5" s="978"/>
      <c r="HIO5" s="978"/>
      <c r="HIP5" s="978"/>
      <c r="HIQ5" s="978"/>
      <c r="HIR5" s="978"/>
      <c r="HIS5" s="978"/>
      <c r="HIT5" s="978"/>
      <c r="HIU5" s="978"/>
      <c r="HIV5" s="978"/>
      <c r="HIW5" s="978"/>
      <c r="HIX5" s="978"/>
      <c r="HIY5" s="978"/>
      <c r="HIZ5" s="978"/>
      <c r="HJA5" s="978"/>
      <c r="HJB5" s="978"/>
      <c r="HJC5" s="978"/>
      <c r="HJD5" s="978"/>
      <c r="HJE5" s="978"/>
      <c r="HJF5" s="978"/>
      <c r="HJG5" s="978"/>
      <c r="HJH5" s="978"/>
      <c r="HJI5" s="978"/>
      <c r="HJJ5" s="978"/>
      <c r="HJK5" s="978"/>
      <c r="HJL5" s="978"/>
      <c r="HJM5" s="978"/>
      <c r="HJN5" s="978"/>
      <c r="HJO5" s="978"/>
      <c r="HJP5" s="978"/>
      <c r="HJQ5" s="978"/>
      <c r="HJR5" s="978"/>
      <c r="HJS5" s="978"/>
      <c r="HJT5" s="978"/>
      <c r="HJU5" s="978"/>
      <c r="HJV5" s="978"/>
      <c r="HJW5" s="978"/>
      <c r="HJX5" s="978"/>
      <c r="HJY5" s="978"/>
      <c r="HJZ5" s="978"/>
      <c r="HKA5" s="978"/>
      <c r="HKB5" s="978"/>
      <c r="HKC5" s="978"/>
      <c r="HKD5" s="978"/>
      <c r="HKE5" s="978"/>
      <c r="HKF5" s="978"/>
      <c r="HKG5" s="978"/>
      <c r="HKH5" s="978"/>
      <c r="HKI5" s="978"/>
      <c r="HKJ5" s="978"/>
      <c r="HKK5" s="978"/>
      <c r="HKL5" s="978"/>
      <c r="HKM5" s="978"/>
      <c r="HKN5" s="978"/>
      <c r="HKO5" s="978"/>
      <c r="HKP5" s="978"/>
      <c r="HKQ5" s="978"/>
      <c r="HKR5" s="978"/>
      <c r="HKS5" s="978"/>
      <c r="HKT5" s="978"/>
      <c r="HKU5" s="978"/>
      <c r="HKV5" s="978"/>
      <c r="HKW5" s="978"/>
      <c r="HKX5" s="978"/>
      <c r="HKY5" s="978"/>
      <c r="HKZ5" s="978"/>
      <c r="HLA5" s="978"/>
      <c r="HLB5" s="978"/>
      <c r="HLC5" s="978"/>
      <c r="HLD5" s="978"/>
      <c r="HLE5" s="978"/>
      <c r="HLF5" s="978"/>
      <c r="HLG5" s="978"/>
      <c r="HLH5" s="978"/>
      <c r="HLI5" s="978"/>
      <c r="HLJ5" s="978"/>
      <c r="HLK5" s="978"/>
      <c r="HLL5" s="978"/>
      <c r="HLM5" s="978"/>
      <c r="HLN5" s="978"/>
      <c r="HLO5" s="978"/>
      <c r="HLP5" s="978"/>
      <c r="HLQ5" s="978"/>
      <c r="HLR5" s="978"/>
      <c r="HLS5" s="978"/>
      <c r="HLT5" s="978"/>
      <c r="HLU5" s="978"/>
      <c r="HLV5" s="978"/>
      <c r="HLW5" s="978"/>
      <c r="HLX5" s="978"/>
      <c r="HLY5" s="978"/>
      <c r="HLZ5" s="978"/>
      <c r="HMA5" s="978"/>
      <c r="HMB5" s="978"/>
      <c r="HMC5" s="978"/>
      <c r="HMD5" s="978"/>
      <c r="HME5" s="978"/>
      <c r="HMF5" s="978"/>
      <c r="HMG5" s="978"/>
      <c r="HMH5" s="978"/>
      <c r="HMI5" s="978"/>
      <c r="HMJ5" s="978"/>
      <c r="HMK5" s="978"/>
      <c r="HML5" s="978"/>
      <c r="HMM5" s="978"/>
      <c r="HMN5" s="978"/>
      <c r="HMO5" s="978"/>
      <c r="HMP5" s="978"/>
      <c r="HMQ5" s="978"/>
      <c r="HMR5" s="978"/>
      <c r="HMS5" s="978"/>
      <c r="HMT5" s="978"/>
      <c r="HMU5" s="978"/>
      <c r="HMV5" s="978"/>
      <c r="HMW5" s="978"/>
      <c r="HMX5" s="978"/>
      <c r="HMY5" s="978"/>
      <c r="HMZ5" s="978"/>
      <c r="HNA5" s="978"/>
      <c r="HNB5" s="978"/>
      <c r="HNC5" s="978"/>
      <c r="HND5" s="978"/>
      <c r="HNE5" s="978"/>
      <c r="HNF5" s="978"/>
      <c r="HNG5" s="978"/>
      <c r="HNH5" s="978"/>
      <c r="HNI5" s="978"/>
      <c r="HNJ5" s="978"/>
      <c r="HNK5" s="978"/>
      <c r="HNL5" s="978"/>
      <c r="HNM5" s="978"/>
      <c r="HNN5" s="978"/>
      <c r="HNO5" s="978"/>
      <c r="HNP5" s="978"/>
      <c r="HNQ5" s="978"/>
      <c r="HNR5" s="978"/>
      <c r="HNS5" s="978"/>
      <c r="HNT5" s="978"/>
      <c r="HNU5" s="978"/>
      <c r="HNV5" s="978"/>
      <c r="HNW5" s="978"/>
      <c r="HNX5" s="978"/>
      <c r="HNY5" s="978"/>
      <c r="HNZ5" s="978"/>
      <c r="HOA5" s="978"/>
      <c r="HOB5" s="978"/>
      <c r="HOC5" s="978"/>
      <c r="HOD5" s="978"/>
      <c r="HOE5" s="978"/>
      <c r="HOF5" s="978"/>
      <c r="HOG5" s="978"/>
      <c r="HOH5" s="978"/>
      <c r="HOI5" s="978"/>
      <c r="HOJ5" s="978"/>
      <c r="HOK5" s="978"/>
      <c r="HOL5" s="978"/>
      <c r="HOM5" s="978"/>
      <c r="HON5" s="978"/>
      <c r="HOO5" s="978"/>
      <c r="HOP5" s="978"/>
      <c r="HOQ5" s="978"/>
      <c r="HOR5" s="978"/>
      <c r="HOS5" s="978"/>
      <c r="HOT5" s="978"/>
      <c r="HOU5" s="978"/>
      <c r="HOV5" s="978"/>
      <c r="HOW5" s="978"/>
      <c r="HOX5" s="978"/>
      <c r="HOY5" s="978"/>
      <c r="HOZ5" s="978"/>
      <c r="HPA5" s="978"/>
      <c r="HPB5" s="978"/>
      <c r="HPC5" s="978"/>
      <c r="HPD5" s="978"/>
      <c r="HPE5" s="978"/>
      <c r="HPF5" s="978"/>
      <c r="HPG5" s="978"/>
      <c r="HPH5" s="978"/>
      <c r="HPI5" s="978"/>
      <c r="HPJ5" s="978"/>
      <c r="HPK5" s="978"/>
      <c r="HPL5" s="978"/>
      <c r="HPM5" s="978"/>
      <c r="HPN5" s="978"/>
      <c r="HPO5" s="978"/>
      <c r="HPP5" s="978"/>
      <c r="HPQ5" s="978"/>
      <c r="HPR5" s="978"/>
      <c r="HPS5" s="978"/>
      <c r="HPT5" s="978"/>
      <c r="HPU5" s="978"/>
      <c r="HPV5" s="978"/>
      <c r="HPW5" s="978"/>
      <c r="HPX5" s="978"/>
      <c r="HPY5" s="978"/>
      <c r="HPZ5" s="978"/>
      <c r="HQA5" s="978"/>
      <c r="HQB5" s="978"/>
      <c r="HQC5" s="978"/>
      <c r="HQD5" s="978"/>
      <c r="HQE5" s="978"/>
      <c r="HQF5" s="978"/>
      <c r="HQG5" s="978"/>
      <c r="HQH5" s="978"/>
      <c r="HQI5" s="978"/>
      <c r="HQJ5" s="978"/>
      <c r="HQK5" s="978"/>
      <c r="HQL5" s="978"/>
      <c r="HQM5" s="978"/>
      <c r="HQN5" s="978"/>
      <c r="HQO5" s="978"/>
      <c r="HQP5" s="978"/>
      <c r="HQQ5" s="978"/>
      <c r="HQR5" s="978"/>
      <c r="HQS5" s="978"/>
      <c r="HQT5" s="978"/>
      <c r="HQU5" s="978"/>
      <c r="HQV5" s="978"/>
      <c r="HQW5" s="978"/>
      <c r="HQX5" s="978"/>
      <c r="HQY5" s="978"/>
      <c r="HQZ5" s="978"/>
      <c r="HRA5" s="978"/>
      <c r="HRB5" s="978"/>
      <c r="HRC5" s="978"/>
      <c r="HRD5" s="978"/>
      <c r="HRE5" s="978"/>
      <c r="HRF5" s="978"/>
      <c r="HRG5" s="978"/>
      <c r="HRH5" s="978"/>
      <c r="HRI5" s="978"/>
      <c r="HRJ5" s="978"/>
      <c r="HRK5" s="978"/>
      <c r="HRL5" s="978"/>
      <c r="HRM5" s="978"/>
      <c r="HRN5" s="978"/>
      <c r="HRO5" s="978"/>
      <c r="HRP5" s="978"/>
      <c r="HRQ5" s="978"/>
      <c r="HRR5" s="978"/>
      <c r="HRS5" s="978"/>
      <c r="HRT5" s="978"/>
      <c r="HRU5" s="978"/>
      <c r="HRV5" s="978"/>
      <c r="HRW5" s="978"/>
      <c r="HRX5" s="978"/>
      <c r="HRY5" s="978"/>
      <c r="HRZ5" s="978"/>
      <c r="HSA5" s="978"/>
      <c r="HSB5" s="978"/>
      <c r="HSC5" s="978"/>
      <c r="HSD5" s="978"/>
      <c r="HSE5" s="978"/>
      <c r="HSF5" s="978"/>
      <c r="HSG5" s="978"/>
      <c r="HSH5" s="978"/>
      <c r="HSI5" s="978"/>
      <c r="HSJ5" s="978"/>
      <c r="HSK5" s="978"/>
      <c r="HSL5" s="978"/>
      <c r="HSM5" s="978"/>
      <c r="HSN5" s="978"/>
      <c r="HSO5" s="978"/>
      <c r="HSP5" s="978"/>
      <c r="HSQ5" s="978"/>
      <c r="HSR5" s="978"/>
      <c r="HSS5" s="978"/>
      <c r="HST5" s="978"/>
      <c r="HSU5" s="978"/>
      <c r="HSV5" s="978"/>
      <c r="HSW5" s="978"/>
      <c r="HSX5" s="978"/>
      <c r="HSY5" s="978"/>
      <c r="HSZ5" s="978"/>
      <c r="HTA5" s="978"/>
      <c r="HTB5" s="978"/>
      <c r="HTC5" s="978"/>
      <c r="HTD5" s="978"/>
      <c r="HTE5" s="978"/>
      <c r="HTF5" s="978"/>
      <c r="HTG5" s="978"/>
      <c r="HTH5" s="978"/>
      <c r="HTI5" s="978"/>
      <c r="HTJ5" s="978"/>
      <c r="HTK5" s="978"/>
      <c r="HTL5" s="978"/>
      <c r="HTM5" s="978"/>
      <c r="HTN5" s="978"/>
      <c r="HTO5" s="978"/>
      <c r="HTP5" s="978"/>
      <c r="HTQ5" s="978"/>
      <c r="HTR5" s="978"/>
      <c r="HTS5" s="978"/>
      <c r="HTT5" s="978"/>
      <c r="HTU5" s="978"/>
      <c r="HTV5" s="978"/>
      <c r="HTW5" s="978"/>
      <c r="HTX5" s="978"/>
      <c r="HTY5" s="978"/>
      <c r="HTZ5" s="978"/>
      <c r="HUA5" s="978"/>
      <c r="HUB5" s="978"/>
      <c r="HUC5" s="978"/>
      <c r="HUD5" s="978"/>
      <c r="HUE5" s="978"/>
      <c r="HUF5" s="978"/>
      <c r="HUG5" s="978"/>
      <c r="HUH5" s="978"/>
      <c r="HUI5" s="978"/>
      <c r="HUJ5" s="978"/>
      <c r="HUK5" s="978"/>
      <c r="HUL5" s="978"/>
      <c r="HUM5" s="978"/>
      <c r="HUN5" s="978"/>
      <c r="HUO5" s="978"/>
      <c r="HUP5" s="978"/>
      <c r="HUQ5" s="978"/>
      <c r="HUR5" s="978"/>
      <c r="HUS5" s="978"/>
      <c r="HUT5" s="978"/>
      <c r="HUU5" s="978"/>
      <c r="HUV5" s="978"/>
      <c r="HUW5" s="978"/>
      <c r="HUX5" s="978"/>
      <c r="HUY5" s="978"/>
      <c r="HUZ5" s="978"/>
      <c r="HVA5" s="978"/>
      <c r="HVB5" s="978"/>
      <c r="HVC5" s="978"/>
      <c r="HVD5" s="978"/>
      <c r="HVE5" s="978"/>
      <c r="HVF5" s="978"/>
      <c r="HVG5" s="978"/>
      <c r="HVH5" s="978"/>
      <c r="HVI5" s="978"/>
      <c r="HVJ5" s="978"/>
      <c r="HVK5" s="978"/>
      <c r="HVL5" s="978"/>
      <c r="HVM5" s="978"/>
      <c r="HVN5" s="978"/>
      <c r="HVO5" s="978"/>
      <c r="HVP5" s="978"/>
      <c r="HVQ5" s="978"/>
      <c r="HVR5" s="978"/>
      <c r="HVS5" s="978"/>
      <c r="HVT5" s="978"/>
      <c r="HVU5" s="978"/>
      <c r="HVV5" s="978"/>
      <c r="HVW5" s="978"/>
      <c r="HVX5" s="978"/>
      <c r="HVY5" s="978"/>
      <c r="HVZ5" s="978"/>
      <c r="HWA5" s="978"/>
      <c r="HWB5" s="978"/>
      <c r="HWC5" s="978"/>
      <c r="HWD5" s="978"/>
      <c r="HWE5" s="978"/>
      <c r="HWF5" s="978"/>
      <c r="HWG5" s="978"/>
      <c r="HWH5" s="978"/>
      <c r="HWI5" s="978"/>
      <c r="HWJ5" s="978"/>
      <c r="HWK5" s="978"/>
      <c r="HWL5" s="978"/>
      <c r="HWM5" s="978"/>
      <c r="HWN5" s="978"/>
      <c r="HWO5" s="978"/>
      <c r="HWP5" s="978"/>
      <c r="HWQ5" s="978"/>
      <c r="HWR5" s="978"/>
      <c r="HWS5" s="978"/>
      <c r="HWT5" s="978"/>
      <c r="HWU5" s="978"/>
      <c r="HWV5" s="978"/>
      <c r="HWW5" s="978"/>
      <c r="HWX5" s="978"/>
      <c r="HWY5" s="978"/>
      <c r="HWZ5" s="978"/>
      <c r="HXA5" s="978"/>
      <c r="HXB5" s="978"/>
      <c r="HXC5" s="978"/>
      <c r="HXD5" s="978"/>
      <c r="HXE5" s="978"/>
      <c r="HXF5" s="978"/>
      <c r="HXG5" s="978"/>
      <c r="HXH5" s="978"/>
      <c r="HXI5" s="978"/>
      <c r="HXJ5" s="978"/>
      <c r="HXK5" s="978"/>
      <c r="HXL5" s="978"/>
      <c r="HXM5" s="978"/>
      <c r="HXN5" s="978"/>
      <c r="HXO5" s="978"/>
      <c r="HXP5" s="978"/>
      <c r="HXQ5" s="978"/>
      <c r="HXR5" s="978"/>
      <c r="HXS5" s="978"/>
      <c r="HXT5" s="978"/>
      <c r="HXU5" s="978"/>
      <c r="HXV5" s="978"/>
      <c r="HXW5" s="978"/>
      <c r="HXX5" s="978"/>
      <c r="HXY5" s="978"/>
      <c r="HXZ5" s="978"/>
      <c r="HYA5" s="978"/>
      <c r="HYB5" s="978"/>
      <c r="HYC5" s="978"/>
      <c r="HYD5" s="978"/>
      <c r="HYE5" s="978"/>
      <c r="HYF5" s="978"/>
      <c r="HYG5" s="978"/>
      <c r="HYH5" s="978"/>
      <c r="HYI5" s="978"/>
      <c r="HYJ5" s="978"/>
      <c r="HYK5" s="978"/>
      <c r="HYL5" s="978"/>
      <c r="HYM5" s="978"/>
      <c r="HYN5" s="978"/>
      <c r="HYO5" s="978"/>
      <c r="HYP5" s="978"/>
      <c r="HYQ5" s="978"/>
      <c r="HYR5" s="978"/>
      <c r="HYS5" s="978"/>
      <c r="HYT5" s="978"/>
      <c r="HYU5" s="978"/>
      <c r="HYV5" s="978"/>
      <c r="HYW5" s="978"/>
      <c r="HYX5" s="978"/>
      <c r="HYY5" s="978"/>
      <c r="HYZ5" s="978"/>
      <c r="HZA5" s="978"/>
      <c r="HZB5" s="978"/>
      <c r="HZC5" s="978"/>
      <c r="HZD5" s="978"/>
      <c r="HZE5" s="978"/>
      <c r="HZF5" s="978"/>
      <c r="HZG5" s="978"/>
      <c r="HZH5" s="978"/>
      <c r="HZI5" s="978"/>
      <c r="HZJ5" s="978"/>
      <c r="HZK5" s="978"/>
      <c r="HZL5" s="978"/>
      <c r="HZM5" s="978"/>
      <c r="HZN5" s="978"/>
      <c r="HZO5" s="978"/>
      <c r="HZP5" s="978"/>
      <c r="HZQ5" s="978"/>
      <c r="HZR5" s="978"/>
      <c r="HZS5" s="978"/>
      <c r="HZT5" s="978"/>
      <c r="HZU5" s="978"/>
      <c r="HZV5" s="978"/>
      <c r="HZW5" s="978"/>
      <c r="HZX5" s="978"/>
      <c r="HZY5" s="978"/>
      <c r="HZZ5" s="978"/>
      <c r="IAA5" s="978"/>
      <c r="IAB5" s="978"/>
      <c r="IAC5" s="978"/>
      <c r="IAD5" s="978"/>
      <c r="IAE5" s="978"/>
      <c r="IAF5" s="978"/>
      <c r="IAG5" s="978"/>
      <c r="IAH5" s="978"/>
      <c r="IAI5" s="978"/>
      <c r="IAJ5" s="978"/>
      <c r="IAK5" s="978"/>
      <c r="IAL5" s="978"/>
      <c r="IAM5" s="978"/>
      <c r="IAN5" s="978"/>
      <c r="IAO5" s="978"/>
      <c r="IAP5" s="978"/>
      <c r="IAQ5" s="978"/>
      <c r="IAR5" s="978"/>
      <c r="IAS5" s="978"/>
      <c r="IAT5" s="978"/>
      <c r="IAU5" s="978"/>
      <c r="IAV5" s="978"/>
      <c r="IAW5" s="978"/>
      <c r="IAX5" s="978"/>
      <c r="IAY5" s="978"/>
      <c r="IAZ5" s="978"/>
      <c r="IBA5" s="978"/>
      <c r="IBB5" s="978"/>
      <c r="IBC5" s="978"/>
      <c r="IBD5" s="978"/>
      <c r="IBE5" s="978"/>
      <c r="IBF5" s="978"/>
      <c r="IBG5" s="978"/>
      <c r="IBH5" s="978"/>
      <c r="IBI5" s="978"/>
      <c r="IBJ5" s="978"/>
      <c r="IBK5" s="978"/>
      <c r="IBL5" s="978"/>
      <c r="IBM5" s="978"/>
      <c r="IBN5" s="978"/>
      <c r="IBO5" s="978"/>
      <c r="IBP5" s="978"/>
      <c r="IBQ5" s="978"/>
      <c r="IBR5" s="978"/>
      <c r="IBS5" s="978"/>
      <c r="IBT5" s="978"/>
      <c r="IBU5" s="978"/>
      <c r="IBV5" s="978"/>
      <c r="IBW5" s="978"/>
      <c r="IBX5" s="978"/>
      <c r="IBY5" s="978"/>
      <c r="IBZ5" s="978"/>
      <c r="ICA5" s="978"/>
      <c r="ICB5" s="978"/>
      <c r="ICC5" s="978"/>
      <c r="ICD5" s="978"/>
      <c r="ICE5" s="978"/>
      <c r="ICF5" s="978"/>
      <c r="ICG5" s="978"/>
      <c r="ICH5" s="978"/>
      <c r="ICI5" s="978"/>
      <c r="ICJ5" s="978"/>
      <c r="ICK5" s="978"/>
      <c r="ICL5" s="978"/>
      <c r="ICM5" s="978"/>
      <c r="ICN5" s="978"/>
      <c r="ICO5" s="978"/>
      <c r="ICP5" s="978"/>
      <c r="ICQ5" s="978"/>
      <c r="ICR5" s="978"/>
      <c r="ICS5" s="978"/>
      <c r="ICT5" s="978"/>
      <c r="ICU5" s="978"/>
      <c r="ICV5" s="978"/>
      <c r="ICW5" s="978"/>
      <c r="ICX5" s="978"/>
      <c r="ICY5" s="978"/>
      <c r="ICZ5" s="978"/>
      <c r="IDA5" s="978"/>
      <c r="IDB5" s="978"/>
      <c r="IDC5" s="978"/>
      <c r="IDD5" s="978"/>
      <c r="IDE5" s="978"/>
      <c r="IDF5" s="978"/>
      <c r="IDG5" s="978"/>
      <c r="IDH5" s="978"/>
      <c r="IDI5" s="978"/>
      <c r="IDJ5" s="978"/>
      <c r="IDK5" s="978"/>
      <c r="IDL5" s="978"/>
      <c r="IDM5" s="978"/>
      <c r="IDN5" s="978"/>
      <c r="IDO5" s="978"/>
      <c r="IDP5" s="978"/>
      <c r="IDQ5" s="978"/>
      <c r="IDR5" s="978"/>
      <c r="IDS5" s="978"/>
      <c r="IDT5" s="978"/>
      <c r="IDU5" s="978"/>
      <c r="IDV5" s="978"/>
      <c r="IDW5" s="978"/>
      <c r="IDX5" s="978"/>
      <c r="IDY5" s="978"/>
      <c r="IDZ5" s="978"/>
      <c r="IEA5" s="978"/>
      <c r="IEB5" s="978"/>
      <c r="IEC5" s="978"/>
      <c r="IED5" s="978"/>
      <c r="IEE5" s="978"/>
      <c r="IEF5" s="978"/>
      <c r="IEG5" s="978"/>
      <c r="IEH5" s="978"/>
      <c r="IEI5" s="978"/>
      <c r="IEJ5" s="978"/>
      <c r="IEK5" s="978"/>
      <c r="IEL5" s="978"/>
      <c r="IEM5" s="978"/>
      <c r="IEN5" s="978"/>
      <c r="IEO5" s="978"/>
      <c r="IEP5" s="978"/>
      <c r="IEQ5" s="978"/>
      <c r="IER5" s="978"/>
      <c r="IES5" s="978"/>
      <c r="IET5" s="978"/>
      <c r="IEU5" s="978"/>
      <c r="IEV5" s="978"/>
      <c r="IEW5" s="978"/>
      <c r="IEX5" s="978"/>
      <c r="IEY5" s="978"/>
      <c r="IEZ5" s="978"/>
      <c r="IFA5" s="978"/>
      <c r="IFB5" s="978"/>
      <c r="IFC5" s="978"/>
      <c r="IFD5" s="978"/>
      <c r="IFE5" s="978"/>
      <c r="IFF5" s="978"/>
      <c r="IFG5" s="978"/>
      <c r="IFH5" s="978"/>
      <c r="IFI5" s="978"/>
      <c r="IFJ5" s="978"/>
      <c r="IFK5" s="978"/>
      <c r="IFL5" s="978"/>
      <c r="IFM5" s="978"/>
      <c r="IFN5" s="978"/>
      <c r="IFO5" s="978"/>
      <c r="IFP5" s="978"/>
      <c r="IFQ5" s="978"/>
      <c r="IFR5" s="978"/>
      <c r="IFS5" s="978"/>
      <c r="IFT5" s="978"/>
      <c r="IFU5" s="978"/>
      <c r="IFV5" s="978"/>
      <c r="IFW5" s="978"/>
      <c r="IFX5" s="978"/>
      <c r="IFY5" s="978"/>
      <c r="IFZ5" s="978"/>
      <c r="IGA5" s="978"/>
      <c r="IGB5" s="978"/>
      <c r="IGC5" s="978"/>
      <c r="IGD5" s="978"/>
      <c r="IGE5" s="978"/>
      <c r="IGF5" s="978"/>
      <c r="IGG5" s="978"/>
      <c r="IGH5" s="978"/>
      <c r="IGI5" s="978"/>
      <c r="IGJ5" s="978"/>
      <c r="IGK5" s="978"/>
      <c r="IGL5" s="978"/>
      <c r="IGM5" s="978"/>
      <c r="IGN5" s="978"/>
      <c r="IGO5" s="978"/>
      <c r="IGP5" s="978"/>
      <c r="IGQ5" s="978"/>
      <c r="IGR5" s="978"/>
      <c r="IGS5" s="978"/>
      <c r="IGT5" s="978"/>
      <c r="IGU5" s="978"/>
      <c r="IGV5" s="978"/>
      <c r="IGW5" s="978"/>
      <c r="IGX5" s="978"/>
      <c r="IGY5" s="978"/>
      <c r="IGZ5" s="978"/>
      <c r="IHA5" s="978"/>
      <c r="IHB5" s="978"/>
      <c r="IHC5" s="978"/>
      <c r="IHD5" s="978"/>
      <c r="IHE5" s="978"/>
      <c r="IHF5" s="978"/>
      <c r="IHG5" s="978"/>
      <c r="IHH5" s="978"/>
      <c r="IHI5" s="978"/>
      <c r="IHJ5" s="978"/>
      <c r="IHK5" s="978"/>
      <c r="IHL5" s="978"/>
      <c r="IHM5" s="978"/>
      <c r="IHN5" s="978"/>
      <c r="IHO5" s="978"/>
      <c r="IHP5" s="978"/>
      <c r="IHQ5" s="978"/>
      <c r="IHR5" s="978"/>
      <c r="IHS5" s="978"/>
      <c r="IHT5" s="978"/>
      <c r="IHU5" s="978"/>
      <c r="IHV5" s="978"/>
      <c r="IHW5" s="978"/>
      <c r="IHX5" s="978"/>
      <c r="IHY5" s="978"/>
      <c r="IHZ5" s="978"/>
      <c r="IIA5" s="978"/>
      <c r="IIB5" s="978"/>
      <c r="IIC5" s="978"/>
      <c r="IID5" s="978"/>
      <c r="IIE5" s="978"/>
      <c r="IIF5" s="978"/>
      <c r="IIG5" s="978"/>
      <c r="IIH5" s="978"/>
      <c r="III5" s="978"/>
      <c r="IIJ5" s="978"/>
      <c r="IIK5" s="978"/>
      <c r="IIL5" s="978"/>
      <c r="IIM5" s="978"/>
      <c r="IIN5" s="978"/>
      <c r="IIO5" s="978"/>
      <c r="IIP5" s="978"/>
      <c r="IIQ5" s="978"/>
      <c r="IIR5" s="978"/>
      <c r="IIS5" s="978"/>
      <c r="IIT5" s="978"/>
      <c r="IIU5" s="978"/>
      <c r="IIV5" s="978"/>
      <c r="IIW5" s="978"/>
      <c r="IIX5" s="978"/>
      <c r="IIY5" s="978"/>
      <c r="IIZ5" s="978"/>
      <c r="IJA5" s="978"/>
      <c r="IJB5" s="978"/>
      <c r="IJC5" s="978"/>
      <c r="IJD5" s="978"/>
      <c r="IJE5" s="978"/>
      <c r="IJF5" s="978"/>
      <c r="IJG5" s="978"/>
      <c r="IJH5" s="978"/>
      <c r="IJI5" s="978"/>
      <c r="IJJ5" s="978"/>
      <c r="IJK5" s="978"/>
      <c r="IJL5" s="978"/>
      <c r="IJM5" s="978"/>
      <c r="IJN5" s="978"/>
      <c r="IJO5" s="978"/>
      <c r="IJP5" s="978"/>
      <c r="IJQ5" s="978"/>
      <c r="IJR5" s="978"/>
      <c r="IJS5" s="978"/>
      <c r="IJT5" s="978"/>
      <c r="IJU5" s="978"/>
      <c r="IJV5" s="978"/>
      <c r="IJW5" s="978"/>
      <c r="IJX5" s="978"/>
      <c r="IJY5" s="978"/>
      <c r="IJZ5" s="978"/>
      <c r="IKA5" s="978"/>
      <c r="IKB5" s="978"/>
      <c r="IKC5" s="978"/>
      <c r="IKD5" s="978"/>
      <c r="IKE5" s="978"/>
      <c r="IKF5" s="978"/>
      <c r="IKG5" s="978"/>
      <c r="IKH5" s="978"/>
      <c r="IKI5" s="978"/>
      <c r="IKJ5" s="978"/>
      <c r="IKK5" s="978"/>
      <c r="IKL5" s="978"/>
      <c r="IKM5" s="978"/>
      <c r="IKN5" s="978"/>
      <c r="IKO5" s="978"/>
      <c r="IKP5" s="978"/>
      <c r="IKQ5" s="978"/>
      <c r="IKR5" s="978"/>
      <c r="IKS5" s="978"/>
      <c r="IKT5" s="978"/>
      <c r="IKU5" s="978"/>
      <c r="IKV5" s="978"/>
      <c r="IKW5" s="978"/>
      <c r="IKX5" s="978"/>
      <c r="IKY5" s="978"/>
      <c r="IKZ5" s="978"/>
      <c r="ILA5" s="978"/>
      <c r="ILB5" s="978"/>
      <c r="ILC5" s="978"/>
      <c r="ILD5" s="978"/>
      <c r="ILE5" s="978"/>
      <c r="ILF5" s="978"/>
      <c r="ILG5" s="978"/>
      <c r="ILH5" s="978"/>
      <c r="ILI5" s="978"/>
      <c r="ILJ5" s="978"/>
      <c r="ILK5" s="978"/>
      <c r="ILL5" s="978"/>
      <c r="ILM5" s="978"/>
      <c r="ILN5" s="978"/>
      <c r="ILO5" s="978"/>
      <c r="ILP5" s="978"/>
      <c r="ILQ5" s="978"/>
      <c r="ILR5" s="978"/>
      <c r="ILS5" s="978"/>
      <c r="ILT5" s="978"/>
      <c r="ILU5" s="978"/>
      <c r="ILV5" s="978"/>
      <c r="ILW5" s="978"/>
      <c r="ILX5" s="978"/>
      <c r="ILY5" s="978"/>
      <c r="ILZ5" s="978"/>
      <c r="IMA5" s="978"/>
      <c r="IMB5" s="978"/>
      <c r="IMC5" s="978"/>
      <c r="IMD5" s="978"/>
      <c r="IME5" s="978"/>
      <c r="IMF5" s="978"/>
      <c r="IMG5" s="978"/>
      <c r="IMH5" s="978"/>
      <c r="IMI5" s="978"/>
      <c r="IMJ5" s="978"/>
      <c r="IMK5" s="978"/>
      <c r="IML5" s="978"/>
      <c r="IMM5" s="978"/>
      <c r="IMN5" s="978"/>
      <c r="IMO5" s="978"/>
      <c r="IMP5" s="978"/>
      <c r="IMQ5" s="978"/>
      <c r="IMR5" s="978"/>
      <c r="IMS5" s="978"/>
      <c r="IMT5" s="978"/>
      <c r="IMU5" s="978"/>
      <c r="IMV5" s="978"/>
      <c r="IMW5" s="978"/>
      <c r="IMX5" s="978"/>
      <c r="IMY5" s="978"/>
      <c r="IMZ5" s="978"/>
      <c r="INA5" s="978"/>
      <c r="INB5" s="978"/>
      <c r="INC5" s="978"/>
      <c r="IND5" s="978"/>
      <c r="INE5" s="978"/>
      <c r="INF5" s="978"/>
      <c r="ING5" s="978"/>
      <c r="INH5" s="978"/>
      <c r="INI5" s="978"/>
      <c r="INJ5" s="978"/>
      <c r="INK5" s="978"/>
      <c r="INL5" s="978"/>
      <c r="INM5" s="978"/>
      <c r="INN5" s="978"/>
      <c r="INO5" s="978"/>
      <c r="INP5" s="978"/>
      <c r="INQ5" s="978"/>
      <c r="INR5" s="978"/>
      <c r="INS5" s="978"/>
      <c r="INT5" s="978"/>
      <c r="INU5" s="978"/>
      <c r="INV5" s="978"/>
      <c r="INW5" s="978"/>
      <c r="INX5" s="978"/>
      <c r="INY5" s="978"/>
      <c r="INZ5" s="978"/>
      <c r="IOA5" s="978"/>
      <c r="IOB5" s="978"/>
      <c r="IOC5" s="978"/>
      <c r="IOD5" s="978"/>
      <c r="IOE5" s="978"/>
      <c r="IOF5" s="978"/>
      <c r="IOG5" s="978"/>
      <c r="IOH5" s="978"/>
      <c r="IOI5" s="978"/>
      <c r="IOJ5" s="978"/>
      <c r="IOK5" s="978"/>
      <c r="IOL5" s="978"/>
      <c r="IOM5" s="978"/>
      <c r="ION5" s="978"/>
      <c r="IOO5" s="978"/>
      <c r="IOP5" s="978"/>
      <c r="IOQ5" s="978"/>
      <c r="IOR5" s="978"/>
      <c r="IOS5" s="978"/>
      <c r="IOT5" s="978"/>
      <c r="IOU5" s="978"/>
      <c r="IOV5" s="978"/>
      <c r="IOW5" s="978"/>
      <c r="IOX5" s="978"/>
      <c r="IOY5" s="978"/>
      <c r="IOZ5" s="978"/>
      <c r="IPA5" s="978"/>
      <c r="IPB5" s="978"/>
      <c r="IPC5" s="978"/>
      <c r="IPD5" s="978"/>
      <c r="IPE5" s="978"/>
      <c r="IPF5" s="978"/>
      <c r="IPG5" s="978"/>
      <c r="IPH5" s="978"/>
      <c r="IPI5" s="978"/>
      <c r="IPJ5" s="978"/>
      <c r="IPK5" s="978"/>
      <c r="IPL5" s="978"/>
      <c r="IPM5" s="978"/>
      <c r="IPN5" s="978"/>
      <c r="IPO5" s="978"/>
      <c r="IPP5" s="978"/>
      <c r="IPQ5" s="978"/>
      <c r="IPR5" s="978"/>
      <c r="IPS5" s="978"/>
      <c r="IPT5" s="978"/>
      <c r="IPU5" s="978"/>
      <c r="IPV5" s="978"/>
      <c r="IPW5" s="978"/>
      <c r="IPX5" s="978"/>
      <c r="IPY5" s="978"/>
      <c r="IPZ5" s="978"/>
      <c r="IQA5" s="978"/>
      <c r="IQB5" s="978"/>
      <c r="IQC5" s="978"/>
      <c r="IQD5" s="978"/>
      <c r="IQE5" s="978"/>
      <c r="IQF5" s="978"/>
      <c r="IQG5" s="978"/>
      <c r="IQH5" s="978"/>
      <c r="IQI5" s="978"/>
      <c r="IQJ5" s="978"/>
      <c r="IQK5" s="978"/>
      <c r="IQL5" s="978"/>
      <c r="IQM5" s="978"/>
      <c r="IQN5" s="978"/>
      <c r="IQO5" s="978"/>
      <c r="IQP5" s="978"/>
      <c r="IQQ5" s="978"/>
      <c r="IQR5" s="978"/>
      <c r="IQS5" s="978"/>
      <c r="IQT5" s="978"/>
      <c r="IQU5" s="978"/>
      <c r="IQV5" s="978"/>
      <c r="IQW5" s="978"/>
      <c r="IQX5" s="978"/>
      <c r="IQY5" s="978"/>
      <c r="IQZ5" s="978"/>
      <c r="IRA5" s="978"/>
      <c r="IRB5" s="978"/>
      <c r="IRC5" s="978"/>
      <c r="IRD5" s="978"/>
      <c r="IRE5" s="978"/>
      <c r="IRF5" s="978"/>
      <c r="IRG5" s="978"/>
      <c r="IRH5" s="978"/>
      <c r="IRI5" s="978"/>
      <c r="IRJ5" s="978"/>
      <c r="IRK5" s="978"/>
      <c r="IRL5" s="978"/>
      <c r="IRM5" s="978"/>
      <c r="IRN5" s="978"/>
      <c r="IRO5" s="978"/>
      <c r="IRP5" s="978"/>
      <c r="IRQ5" s="978"/>
      <c r="IRR5" s="978"/>
      <c r="IRS5" s="978"/>
      <c r="IRT5" s="978"/>
      <c r="IRU5" s="978"/>
      <c r="IRV5" s="978"/>
      <c r="IRW5" s="978"/>
      <c r="IRX5" s="978"/>
      <c r="IRY5" s="978"/>
      <c r="IRZ5" s="978"/>
      <c r="ISA5" s="978"/>
      <c r="ISB5" s="978"/>
      <c r="ISC5" s="978"/>
      <c r="ISD5" s="978"/>
      <c r="ISE5" s="978"/>
      <c r="ISF5" s="978"/>
      <c r="ISG5" s="978"/>
      <c r="ISH5" s="978"/>
      <c r="ISI5" s="978"/>
      <c r="ISJ5" s="978"/>
      <c r="ISK5" s="978"/>
      <c r="ISL5" s="978"/>
      <c r="ISM5" s="978"/>
      <c r="ISN5" s="978"/>
      <c r="ISO5" s="978"/>
      <c r="ISP5" s="978"/>
      <c r="ISQ5" s="978"/>
      <c r="ISR5" s="978"/>
      <c r="ISS5" s="978"/>
      <c r="IST5" s="978"/>
      <c r="ISU5" s="978"/>
      <c r="ISV5" s="978"/>
      <c r="ISW5" s="978"/>
      <c r="ISX5" s="978"/>
      <c r="ISY5" s="978"/>
      <c r="ISZ5" s="978"/>
      <c r="ITA5" s="978"/>
      <c r="ITB5" s="978"/>
      <c r="ITC5" s="978"/>
      <c r="ITD5" s="978"/>
      <c r="ITE5" s="978"/>
      <c r="ITF5" s="978"/>
      <c r="ITG5" s="978"/>
      <c r="ITH5" s="978"/>
      <c r="ITI5" s="978"/>
      <c r="ITJ5" s="978"/>
      <c r="ITK5" s="978"/>
      <c r="ITL5" s="978"/>
      <c r="ITM5" s="978"/>
      <c r="ITN5" s="978"/>
      <c r="ITO5" s="978"/>
      <c r="ITP5" s="978"/>
      <c r="ITQ5" s="978"/>
      <c r="ITR5" s="978"/>
      <c r="ITS5" s="978"/>
      <c r="ITT5" s="978"/>
      <c r="ITU5" s="978"/>
      <c r="ITV5" s="978"/>
      <c r="ITW5" s="978"/>
      <c r="ITX5" s="978"/>
      <c r="ITY5" s="978"/>
      <c r="ITZ5" s="978"/>
      <c r="IUA5" s="978"/>
      <c r="IUB5" s="978"/>
      <c r="IUC5" s="978"/>
      <c r="IUD5" s="978"/>
      <c r="IUE5" s="978"/>
      <c r="IUF5" s="978"/>
      <c r="IUG5" s="978"/>
      <c r="IUH5" s="978"/>
      <c r="IUI5" s="978"/>
      <c r="IUJ5" s="978"/>
      <c r="IUK5" s="978"/>
      <c r="IUL5" s="978"/>
      <c r="IUM5" s="978"/>
      <c r="IUN5" s="978"/>
      <c r="IUO5" s="978"/>
      <c r="IUP5" s="978"/>
      <c r="IUQ5" s="978"/>
      <c r="IUR5" s="978"/>
      <c r="IUS5" s="978"/>
      <c r="IUT5" s="978"/>
      <c r="IUU5" s="978"/>
      <c r="IUV5" s="978"/>
      <c r="IUW5" s="978"/>
      <c r="IUX5" s="978"/>
      <c r="IUY5" s="978"/>
      <c r="IUZ5" s="978"/>
      <c r="IVA5" s="978"/>
      <c r="IVB5" s="978"/>
      <c r="IVC5" s="978"/>
      <c r="IVD5" s="978"/>
      <c r="IVE5" s="978"/>
      <c r="IVF5" s="978"/>
      <c r="IVG5" s="978"/>
      <c r="IVH5" s="978"/>
      <c r="IVI5" s="978"/>
      <c r="IVJ5" s="978"/>
      <c r="IVK5" s="978"/>
      <c r="IVL5" s="978"/>
      <c r="IVM5" s="978"/>
      <c r="IVN5" s="978"/>
      <c r="IVO5" s="978"/>
      <c r="IVP5" s="978"/>
      <c r="IVQ5" s="978"/>
      <c r="IVR5" s="978"/>
      <c r="IVS5" s="978"/>
      <c r="IVT5" s="978"/>
      <c r="IVU5" s="978"/>
      <c r="IVV5" s="978"/>
      <c r="IVW5" s="978"/>
      <c r="IVX5" s="978"/>
      <c r="IVY5" s="978"/>
      <c r="IVZ5" s="978"/>
      <c r="IWA5" s="978"/>
      <c r="IWB5" s="978"/>
      <c r="IWC5" s="978"/>
      <c r="IWD5" s="978"/>
      <c r="IWE5" s="978"/>
      <c r="IWF5" s="978"/>
      <c r="IWG5" s="978"/>
      <c r="IWH5" s="978"/>
      <c r="IWI5" s="978"/>
      <c r="IWJ5" s="978"/>
      <c r="IWK5" s="978"/>
      <c r="IWL5" s="978"/>
      <c r="IWM5" s="978"/>
      <c r="IWN5" s="978"/>
      <c r="IWO5" s="978"/>
      <c r="IWP5" s="978"/>
      <c r="IWQ5" s="978"/>
      <c r="IWR5" s="978"/>
      <c r="IWS5" s="978"/>
      <c r="IWT5" s="978"/>
      <c r="IWU5" s="978"/>
      <c r="IWV5" s="978"/>
      <c r="IWW5" s="978"/>
      <c r="IWX5" s="978"/>
      <c r="IWY5" s="978"/>
      <c r="IWZ5" s="978"/>
      <c r="IXA5" s="978"/>
      <c r="IXB5" s="978"/>
      <c r="IXC5" s="978"/>
      <c r="IXD5" s="978"/>
      <c r="IXE5" s="978"/>
      <c r="IXF5" s="978"/>
      <c r="IXG5" s="978"/>
      <c r="IXH5" s="978"/>
      <c r="IXI5" s="978"/>
      <c r="IXJ5" s="978"/>
      <c r="IXK5" s="978"/>
      <c r="IXL5" s="978"/>
      <c r="IXM5" s="978"/>
      <c r="IXN5" s="978"/>
      <c r="IXO5" s="978"/>
      <c r="IXP5" s="978"/>
      <c r="IXQ5" s="978"/>
      <c r="IXR5" s="978"/>
      <c r="IXS5" s="978"/>
      <c r="IXT5" s="978"/>
      <c r="IXU5" s="978"/>
      <c r="IXV5" s="978"/>
      <c r="IXW5" s="978"/>
      <c r="IXX5" s="978"/>
      <c r="IXY5" s="978"/>
      <c r="IXZ5" s="978"/>
      <c r="IYA5" s="978"/>
      <c r="IYB5" s="978"/>
      <c r="IYC5" s="978"/>
      <c r="IYD5" s="978"/>
      <c r="IYE5" s="978"/>
      <c r="IYF5" s="978"/>
      <c r="IYG5" s="978"/>
      <c r="IYH5" s="978"/>
      <c r="IYI5" s="978"/>
      <c r="IYJ5" s="978"/>
      <c r="IYK5" s="978"/>
      <c r="IYL5" s="978"/>
      <c r="IYM5" s="978"/>
      <c r="IYN5" s="978"/>
      <c r="IYO5" s="978"/>
      <c r="IYP5" s="978"/>
      <c r="IYQ5" s="978"/>
      <c r="IYR5" s="978"/>
      <c r="IYS5" s="978"/>
      <c r="IYT5" s="978"/>
      <c r="IYU5" s="978"/>
      <c r="IYV5" s="978"/>
      <c r="IYW5" s="978"/>
      <c r="IYX5" s="978"/>
      <c r="IYY5" s="978"/>
      <c r="IYZ5" s="978"/>
      <c r="IZA5" s="978"/>
      <c r="IZB5" s="978"/>
      <c r="IZC5" s="978"/>
      <c r="IZD5" s="978"/>
      <c r="IZE5" s="978"/>
      <c r="IZF5" s="978"/>
      <c r="IZG5" s="978"/>
      <c r="IZH5" s="978"/>
      <c r="IZI5" s="978"/>
      <c r="IZJ5" s="978"/>
      <c r="IZK5" s="978"/>
      <c r="IZL5" s="978"/>
      <c r="IZM5" s="978"/>
      <c r="IZN5" s="978"/>
      <c r="IZO5" s="978"/>
      <c r="IZP5" s="978"/>
      <c r="IZQ5" s="978"/>
      <c r="IZR5" s="978"/>
      <c r="IZS5" s="978"/>
      <c r="IZT5" s="978"/>
      <c r="IZU5" s="978"/>
      <c r="IZV5" s="978"/>
      <c r="IZW5" s="978"/>
      <c r="IZX5" s="978"/>
      <c r="IZY5" s="978"/>
      <c r="IZZ5" s="978"/>
      <c r="JAA5" s="978"/>
      <c r="JAB5" s="978"/>
      <c r="JAC5" s="978"/>
      <c r="JAD5" s="978"/>
      <c r="JAE5" s="978"/>
      <c r="JAF5" s="978"/>
      <c r="JAG5" s="978"/>
      <c r="JAH5" s="978"/>
      <c r="JAI5" s="978"/>
      <c r="JAJ5" s="978"/>
      <c r="JAK5" s="978"/>
      <c r="JAL5" s="978"/>
      <c r="JAM5" s="978"/>
      <c r="JAN5" s="978"/>
      <c r="JAO5" s="978"/>
      <c r="JAP5" s="978"/>
      <c r="JAQ5" s="978"/>
      <c r="JAR5" s="978"/>
      <c r="JAS5" s="978"/>
      <c r="JAT5" s="978"/>
      <c r="JAU5" s="978"/>
      <c r="JAV5" s="978"/>
      <c r="JAW5" s="978"/>
      <c r="JAX5" s="978"/>
      <c r="JAY5" s="978"/>
      <c r="JAZ5" s="978"/>
      <c r="JBA5" s="978"/>
      <c r="JBB5" s="978"/>
      <c r="JBC5" s="978"/>
      <c r="JBD5" s="978"/>
      <c r="JBE5" s="978"/>
      <c r="JBF5" s="978"/>
      <c r="JBG5" s="978"/>
      <c r="JBH5" s="978"/>
      <c r="JBI5" s="978"/>
      <c r="JBJ5" s="978"/>
      <c r="JBK5" s="978"/>
      <c r="JBL5" s="978"/>
      <c r="JBM5" s="978"/>
      <c r="JBN5" s="978"/>
      <c r="JBO5" s="978"/>
      <c r="JBP5" s="978"/>
      <c r="JBQ5" s="978"/>
      <c r="JBR5" s="978"/>
      <c r="JBS5" s="978"/>
      <c r="JBT5" s="978"/>
      <c r="JBU5" s="978"/>
      <c r="JBV5" s="978"/>
      <c r="JBW5" s="978"/>
      <c r="JBX5" s="978"/>
      <c r="JBY5" s="978"/>
      <c r="JBZ5" s="978"/>
      <c r="JCA5" s="978"/>
      <c r="JCB5" s="978"/>
      <c r="JCC5" s="978"/>
      <c r="JCD5" s="978"/>
      <c r="JCE5" s="978"/>
      <c r="JCF5" s="978"/>
      <c r="JCG5" s="978"/>
      <c r="JCH5" s="978"/>
      <c r="JCI5" s="978"/>
      <c r="JCJ5" s="978"/>
      <c r="JCK5" s="978"/>
      <c r="JCL5" s="978"/>
      <c r="JCM5" s="978"/>
      <c r="JCN5" s="978"/>
      <c r="JCO5" s="978"/>
      <c r="JCP5" s="978"/>
      <c r="JCQ5" s="978"/>
      <c r="JCR5" s="978"/>
      <c r="JCS5" s="978"/>
      <c r="JCT5" s="978"/>
      <c r="JCU5" s="978"/>
      <c r="JCV5" s="978"/>
      <c r="JCW5" s="978"/>
      <c r="JCX5" s="978"/>
      <c r="JCY5" s="978"/>
      <c r="JCZ5" s="978"/>
      <c r="JDA5" s="978"/>
      <c r="JDB5" s="978"/>
      <c r="JDC5" s="978"/>
      <c r="JDD5" s="978"/>
      <c r="JDE5" s="978"/>
      <c r="JDF5" s="978"/>
      <c r="JDG5" s="978"/>
      <c r="JDH5" s="978"/>
      <c r="JDI5" s="978"/>
      <c r="JDJ5" s="978"/>
      <c r="JDK5" s="978"/>
      <c r="JDL5" s="978"/>
      <c r="JDM5" s="978"/>
      <c r="JDN5" s="978"/>
      <c r="JDO5" s="978"/>
      <c r="JDP5" s="978"/>
      <c r="JDQ5" s="978"/>
      <c r="JDR5" s="978"/>
      <c r="JDS5" s="978"/>
      <c r="JDT5" s="978"/>
      <c r="JDU5" s="978"/>
      <c r="JDV5" s="978"/>
      <c r="JDW5" s="978"/>
      <c r="JDX5" s="978"/>
      <c r="JDY5" s="978"/>
      <c r="JDZ5" s="978"/>
      <c r="JEA5" s="978"/>
      <c r="JEB5" s="978"/>
      <c r="JEC5" s="978"/>
      <c r="JED5" s="978"/>
      <c r="JEE5" s="978"/>
      <c r="JEF5" s="978"/>
      <c r="JEG5" s="978"/>
      <c r="JEH5" s="978"/>
      <c r="JEI5" s="978"/>
      <c r="JEJ5" s="978"/>
      <c r="JEK5" s="978"/>
      <c r="JEL5" s="978"/>
      <c r="JEM5" s="978"/>
      <c r="JEN5" s="978"/>
      <c r="JEO5" s="978"/>
      <c r="JEP5" s="978"/>
      <c r="JEQ5" s="978"/>
      <c r="JER5" s="978"/>
      <c r="JES5" s="978"/>
      <c r="JET5" s="978"/>
      <c r="JEU5" s="978"/>
      <c r="JEV5" s="978"/>
      <c r="JEW5" s="978"/>
      <c r="JEX5" s="978"/>
      <c r="JEY5" s="978"/>
      <c r="JEZ5" s="978"/>
      <c r="JFA5" s="978"/>
      <c r="JFB5" s="978"/>
      <c r="JFC5" s="978"/>
      <c r="JFD5" s="978"/>
      <c r="JFE5" s="978"/>
      <c r="JFF5" s="978"/>
      <c r="JFG5" s="978"/>
      <c r="JFH5" s="978"/>
      <c r="JFI5" s="978"/>
      <c r="JFJ5" s="978"/>
      <c r="JFK5" s="978"/>
      <c r="JFL5" s="978"/>
      <c r="JFM5" s="978"/>
      <c r="JFN5" s="978"/>
      <c r="JFO5" s="978"/>
      <c r="JFP5" s="978"/>
      <c r="JFQ5" s="978"/>
      <c r="JFR5" s="978"/>
      <c r="JFS5" s="978"/>
      <c r="JFT5" s="978"/>
      <c r="JFU5" s="978"/>
      <c r="JFV5" s="978"/>
      <c r="JFW5" s="978"/>
      <c r="JFX5" s="978"/>
      <c r="JFY5" s="978"/>
      <c r="JFZ5" s="978"/>
      <c r="JGA5" s="978"/>
      <c r="JGB5" s="978"/>
      <c r="JGC5" s="978"/>
      <c r="JGD5" s="978"/>
      <c r="JGE5" s="978"/>
      <c r="JGF5" s="978"/>
      <c r="JGG5" s="978"/>
      <c r="JGH5" s="978"/>
      <c r="JGI5" s="978"/>
      <c r="JGJ5" s="978"/>
      <c r="JGK5" s="978"/>
      <c r="JGL5" s="978"/>
      <c r="JGM5" s="978"/>
      <c r="JGN5" s="978"/>
      <c r="JGO5" s="978"/>
      <c r="JGP5" s="978"/>
      <c r="JGQ5" s="978"/>
      <c r="JGR5" s="978"/>
      <c r="JGS5" s="978"/>
      <c r="JGT5" s="978"/>
      <c r="JGU5" s="978"/>
      <c r="JGV5" s="978"/>
      <c r="JGW5" s="978"/>
      <c r="JGX5" s="978"/>
      <c r="JGY5" s="978"/>
      <c r="JGZ5" s="978"/>
      <c r="JHA5" s="978"/>
      <c r="JHB5" s="978"/>
      <c r="JHC5" s="978"/>
      <c r="JHD5" s="978"/>
      <c r="JHE5" s="978"/>
      <c r="JHF5" s="978"/>
      <c r="JHG5" s="978"/>
      <c r="JHH5" s="978"/>
      <c r="JHI5" s="978"/>
      <c r="JHJ5" s="978"/>
      <c r="JHK5" s="978"/>
      <c r="JHL5" s="978"/>
      <c r="JHM5" s="978"/>
      <c r="JHN5" s="978"/>
      <c r="JHO5" s="978"/>
      <c r="JHP5" s="978"/>
      <c r="JHQ5" s="978"/>
      <c r="JHR5" s="978"/>
      <c r="JHS5" s="978"/>
      <c r="JHT5" s="978"/>
      <c r="JHU5" s="978"/>
      <c r="JHV5" s="978"/>
      <c r="JHW5" s="978"/>
      <c r="JHX5" s="978"/>
      <c r="JHY5" s="978"/>
      <c r="JHZ5" s="978"/>
      <c r="JIA5" s="978"/>
      <c r="JIB5" s="978"/>
      <c r="JIC5" s="978"/>
      <c r="JID5" s="978"/>
      <c r="JIE5" s="978"/>
      <c r="JIF5" s="978"/>
      <c r="JIG5" s="978"/>
      <c r="JIH5" s="978"/>
      <c r="JII5" s="978"/>
      <c r="JIJ5" s="978"/>
      <c r="JIK5" s="978"/>
      <c r="JIL5" s="978"/>
      <c r="JIM5" s="978"/>
      <c r="JIN5" s="978"/>
      <c r="JIO5" s="978"/>
      <c r="JIP5" s="978"/>
      <c r="JIQ5" s="978"/>
      <c r="JIR5" s="978"/>
      <c r="JIS5" s="978"/>
      <c r="JIT5" s="978"/>
      <c r="JIU5" s="978"/>
      <c r="JIV5" s="978"/>
      <c r="JIW5" s="978"/>
      <c r="JIX5" s="978"/>
      <c r="JIY5" s="978"/>
      <c r="JIZ5" s="978"/>
      <c r="JJA5" s="978"/>
      <c r="JJB5" s="978"/>
      <c r="JJC5" s="978"/>
      <c r="JJD5" s="978"/>
      <c r="JJE5" s="978"/>
      <c r="JJF5" s="978"/>
      <c r="JJG5" s="978"/>
      <c r="JJH5" s="978"/>
      <c r="JJI5" s="978"/>
      <c r="JJJ5" s="978"/>
      <c r="JJK5" s="978"/>
      <c r="JJL5" s="978"/>
      <c r="JJM5" s="978"/>
      <c r="JJN5" s="978"/>
      <c r="JJO5" s="978"/>
      <c r="JJP5" s="978"/>
      <c r="JJQ5" s="978"/>
      <c r="JJR5" s="978"/>
      <c r="JJS5" s="978"/>
      <c r="JJT5" s="978"/>
      <c r="JJU5" s="978"/>
      <c r="JJV5" s="978"/>
      <c r="JJW5" s="978"/>
      <c r="JJX5" s="978"/>
      <c r="JJY5" s="978"/>
      <c r="JJZ5" s="978"/>
      <c r="JKA5" s="978"/>
      <c r="JKB5" s="978"/>
      <c r="JKC5" s="978"/>
      <c r="JKD5" s="978"/>
      <c r="JKE5" s="978"/>
      <c r="JKF5" s="978"/>
      <c r="JKG5" s="978"/>
      <c r="JKH5" s="978"/>
      <c r="JKI5" s="978"/>
      <c r="JKJ5" s="978"/>
      <c r="JKK5" s="978"/>
      <c r="JKL5" s="978"/>
      <c r="JKM5" s="978"/>
      <c r="JKN5" s="978"/>
      <c r="JKO5" s="978"/>
      <c r="JKP5" s="978"/>
      <c r="JKQ5" s="978"/>
      <c r="JKR5" s="978"/>
      <c r="JKS5" s="978"/>
      <c r="JKT5" s="978"/>
      <c r="JKU5" s="978"/>
      <c r="JKV5" s="978"/>
      <c r="JKW5" s="978"/>
      <c r="JKX5" s="978"/>
      <c r="JKY5" s="978"/>
      <c r="JKZ5" s="978"/>
      <c r="JLA5" s="978"/>
      <c r="JLB5" s="978"/>
      <c r="JLC5" s="978"/>
      <c r="JLD5" s="978"/>
      <c r="JLE5" s="978"/>
      <c r="JLF5" s="978"/>
      <c r="JLG5" s="978"/>
      <c r="JLH5" s="978"/>
      <c r="JLI5" s="978"/>
      <c r="JLJ5" s="978"/>
      <c r="JLK5" s="978"/>
      <c r="JLL5" s="978"/>
      <c r="JLM5" s="978"/>
      <c r="JLN5" s="978"/>
      <c r="JLO5" s="978"/>
      <c r="JLP5" s="978"/>
      <c r="JLQ5" s="978"/>
      <c r="JLR5" s="978"/>
      <c r="JLS5" s="978"/>
      <c r="JLT5" s="978"/>
      <c r="JLU5" s="978"/>
      <c r="JLV5" s="978"/>
      <c r="JLW5" s="978"/>
      <c r="JLX5" s="978"/>
      <c r="JLY5" s="978"/>
      <c r="JLZ5" s="978"/>
      <c r="JMA5" s="978"/>
      <c r="JMB5" s="978"/>
      <c r="JMC5" s="978"/>
      <c r="JMD5" s="978"/>
      <c r="JME5" s="978"/>
      <c r="JMF5" s="978"/>
      <c r="JMG5" s="978"/>
      <c r="JMH5" s="978"/>
      <c r="JMI5" s="978"/>
      <c r="JMJ5" s="978"/>
      <c r="JMK5" s="978"/>
      <c r="JML5" s="978"/>
      <c r="JMM5" s="978"/>
      <c r="JMN5" s="978"/>
      <c r="JMO5" s="978"/>
      <c r="JMP5" s="978"/>
      <c r="JMQ5" s="978"/>
      <c r="JMR5" s="978"/>
      <c r="JMS5" s="978"/>
      <c r="JMT5" s="978"/>
      <c r="JMU5" s="978"/>
      <c r="JMV5" s="978"/>
      <c r="JMW5" s="978"/>
      <c r="JMX5" s="978"/>
      <c r="JMY5" s="978"/>
      <c r="JMZ5" s="978"/>
      <c r="JNA5" s="978"/>
      <c r="JNB5" s="978"/>
      <c r="JNC5" s="978"/>
      <c r="JND5" s="978"/>
      <c r="JNE5" s="978"/>
      <c r="JNF5" s="978"/>
      <c r="JNG5" s="978"/>
      <c r="JNH5" s="978"/>
      <c r="JNI5" s="978"/>
      <c r="JNJ5" s="978"/>
      <c r="JNK5" s="978"/>
      <c r="JNL5" s="978"/>
      <c r="JNM5" s="978"/>
      <c r="JNN5" s="978"/>
      <c r="JNO5" s="978"/>
      <c r="JNP5" s="978"/>
      <c r="JNQ5" s="978"/>
      <c r="JNR5" s="978"/>
      <c r="JNS5" s="978"/>
      <c r="JNT5" s="978"/>
      <c r="JNU5" s="978"/>
      <c r="JNV5" s="978"/>
      <c r="JNW5" s="978"/>
      <c r="JNX5" s="978"/>
      <c r="JNY5" s="978"/>
      <c r="JNZ5" s="978"/>
      <c r="JOA5" s="978"/>
      <c r="JOB5" s="978"/>
      <c r="JOC5" s="978"/>
      <c r="JOD5" s="978"/>
      <c r="JOE5" s="978"/>
      <c r="JOF5" s="978"/>
      <c r="JOG5" s="978"/>
      <c r="JOH5" s="978"/>
      <c r="JOI5" s="978"/>
      <c r="JOJ5" s="978"/>
      <c r="JOK5" s="978"/>
      <c r="JOL5" s="978"/>
      <c r="JOM5" s="978"/>
      <c r="JON5" s="978"/>
      <c r="JOO5" s="978"/>
      <c r="JOP5" s="978"/>
      <c r="JOQ5" s="978"/>
      <c r="JOR5" s="978"/>
      <c r="JOS5" s="978"/>
      <c r="JOT5" s="978"/>
      <c r="JOU5" s="978"/>
      <c r="JOV5" s="978"/>
      <c r="JOW5" s="978"/>
      <c r="JOX5" s="978"/>
      <c r="JOY5" s="978"/>
      <c r="JOZ5" s="978"/>
      <c r="JPA5" s="978"/>
      <c r="JPB5" s="978"/>
      <c r="JPC5" s="978"/>
      <c r="JPD5" s="978"/>
      <c r="JPE5" s="978"/>
      <c r="JPF5" s="978"/>
      <c r="JPG5" s="978"/>
      <c r="JPH5" s="978"/>
      <c r="JPI5" s="978"/>
      <c r="JPJ5" s="978"/>
      <c r="JPK5" s="978"/>
      <c r="JPL5" s="978"/>
      <c r="JPM5" s="978"/>
      <c r="JPN5" s="978"/>
      <c r="JPO5" s="978"/>
      <c r="JPP5" s="978"/>
      <c r="JPQ5" s="978"/>
      <c r="JPR5" s="978"/>
      <c r="JPS5" s="978"/>
      <c r="JPT5" s="978"/>
      <c r="JPU5" s="978"/>
      <c r="JPV5" s="978"/>
      <c r="JPW5" s="978"/>
      <c r="JPX5" s="978"/>
      <c r="JPY5" s="978"/>
      <c r="JPZ5" s="978"/>
      <c r="JQA5" s="978"/>
      <c r="JQB5" s="978"/>
      <c r="JQC5" s="978"/>
      <c r="JQD5" s="978"/>
      <c r="JQE5" s="978"/>
      <c r="JQF5" s="978"/>
      <c r="JQG5" s="978"/>
      <c r="JQH5" s="978"/>
      <c r="JQI5" s="978"/>
      <c r="JQJ5" s="978"/>
      <c r="JQK5" s="978"/>
      <c r="JQL5" s="978"/>
      <c r="JQM5" s="978"/>
      <c r="JQN5" s="978"/>
      <c r="JQO5" s="978"/>
      <c r="JQP5" s="978"/>
      <c r="JQQ5" s="978"/>
      <c r="JQR5" s="978"/>
      <c r="JQS5" s="978"/>
      <c r="JQT5" s="978"/>
      <c r="JQU5" s="978"/>
      <c r="JQV5" s="978"/>
      <c r="JQW5" s="978"/>
      <c r="JQX5" s="978"/>
      <c r="JQY5" s="978"/>
      <c r="JQZ5" s="978"/>
      <c r="JRA5" s="978"/>
      <c r="JRB5" s="978"/>
      <c r="JRC5" s="978"/>
      <c r="JRD5" s="978"/>
      <c r="JRE5" s="978"/>
      <c r="JRF5" s="978"/>
      <c r="JRG5" s="978"/>
      <c r="JRH5" s="978"/>
      <c r="JRI5" s="978"/>
      <c r="JRJ5" s="978"/>
      <c r="JRK5" s="978"/>
      <c r="JRL5" s="978"/>
      <c r="JRM5" s="978"/>
      <c r="JRN5" s="978"/>
      <c r="JRO5" s="978"/>
      <c r="JRP5" s="978"/>
      <c r="JRQ5" s="978"/>
      <c r="JRR5" s="978"/>
      <c r="JRS5" s="978"/>
      <c r="JRT5" s="978"/>
      <c r="JRU5" s="978"/>
      <c r="JRV5" s="978"/>
      <c r="JRW5" s="978"/>
      <c r="JRX5" s="978"/>
      <c r="JRY5" s="978"/>
      <c r="JRZ5" s="978"/>
      <c r="JSA5" s="978"/>
      <c r="JSB5" s="978"/>
      <c r="JSC5" s="978"/>
      <c r="JSD5" s="978"/>
      <c r="JSE5" s="978"/>
      <c r="JSF5" s="978"/>
      <c r="JSG5" s="978"/>
      <c r="JSH5" s="978"/>
      <c r="JSI5" s="978"/>
      <c r="JSJ5" s="978"/>
      <c r="JSK5" s="978"/>
      <c r="JSL5" s="978"/>
      <c r="JSM5" s="978"/>
      <c r="JSN5" s="978"/>
      <c r="JSO5" s="978"/>
      <c r="JSP5" s="978"/>
      <c r="JSQ5" s="978"/>
      <c r="JSR5" s="978"/>
      <c r="JSS5" s="978"/>
      <c r="JST5" s="978"/>
      <c r="JSU5" s="978"/>
      <c r="JSV5" s="978"/>
      <c r="JSW5" s="978"/>
      <c r="JSX5" s="978"/>
      <c r="JSY5" s="978"/>
      <c r="JSZ5" s="978"/>
      <c r="JTA5" s="978"/>
      <c r="JTB5" s="978"/>
      <c r="JTC5" s="978"/>
      <c r="JTD5" s="978"/>
      <c r="JTE5" s="978"/>
      <c r="JTF5" s="978"/>
      <c r="JTG5" s="978"/>
      <c r="JTH5" s="978"/>
      <c r="JTI5" s="978"/>
      <c r="JTJ5" s="978"/>
      <c r="JTK5" s="978"/>
      <c r="JTL5" s="978"/>
      <c r="JTM5" s="978"/>
      <c r="JTN5" s="978"/>
      <c r="JTO5" s="978"/>
      <c r="JTP5" s="978"/>
      <c r="JTQ5" s="978"/>
      <c r="JTR5" s="978"/>
      <c r="JTS5" s="978"/>
      <c r="JTT5" s="978"/>
      <c r="JTU5" s="978"/>
      <c r="JTV5" s="978"/>
      <c r="JTW5" s="978"/>
      <c r="JTX5" s="978"/>
      <c r="JTY5" s="978"/>
      <c r="JTZ5" s="978"/>
      <c r="JUA5" s="978"/>
      <c r="JUB5" s="978"/>
      <c r="JUC5" s="978"/>
      <c r="JUD5" s="978"/>
      <c r="JUE5" s="978"/>
      <c r="JUF5" s="978"/>
      <c r="JUG5" s="978"/>
      <c r="JUH5" s="978"/>
      <c r="JUI5" s="978"/>
      <c r="JUJ5" s="978"/>
      <c r="JUK5" s="978"/>
      <c r="JUL5" s="978"/>
      <c r="JUM5" s="978"/>
      <c r="JUN5" s="978"/>
      <c r="JUO5" s="978"/>
      <c r="JUP5" s="978"/>
      <c r="JUQ5" s="978"/>
      <c r="JUR5" s="978"/>
      <c r="JUS5" s="978"/>
      <c r="JUT5" s="978"/>
      <c r="JUU5" s="978"/>
      <c r="JUV5" s="978"/>
      <c r="JUW5" s="978"/>
      <c r="JUX5" s="978"/>
      <c r="JUY5" s="978"/>
      <c r="JUZ5" s="978"/>
      <c r="JVA5" s="978"/>
      <c r="JVB5" s="978"/>
      <c r="JVC5" s="978"/>
      <c r="JVD5" s="978"/>
      <c r="JVE5" s="978"/>
      <c r="JVF5" s="978"/>
      <c r="JVG5" s="978"/>
      <c r="JVH5" s="978"/>
      <c r="JVI5" s="978"/>
      <c r="JVJ5" s="978"/>
      <c r="JVK5" s="978"/>
      <c r="JVL5" s="978"/>
      <c r="JVM5" s="978"/>
      <c r="JVN5" s="978"/>
      <c r="JVO5" s="978"/>
      <c r="JVP5" s="978"/>
      <c r="JVQ5" s="978"/>
      <c r="JVR5" s="978"/>
      <c r="JVS5" s="978"/>
      <c r="JVT5" s="978"/>
      <c r="JVU5" s="978"/>
      <c r="JVV5" s="978"/>
      <c r="JVW5" s="978"/>
      <c r="JVX5" s="978"/>
      <c r="JVY5" s="978"/>
      <c r="JVZ5" s="978"/>
      <c r="JWA5" s="978"/>
      <c r="JWB5" s="978"/>
      <c r="JWC5" s="978"/>
      <c r="JWD5" s="978"/>
      <c r="JWE5" s="978"/>
      <c r="JWF5" s="978"/>
      <c r="JWG5" s="978"/>
      <c r="JWH5" s="978"/>
      <c r="JWI5" s="978"/>
      <c r="JWJ5" s="978"/>
      <c r="JWK5" s="978"/>
      <c r="JWL5" s="978"/>
      <c r="JWM5" s="978"/>
      <c r="JWN5" s="978"/>
      <c r="JWO5" s="978"/>
      <c r="JWP5" s="978"/>
      <c r="JWQ5" s="978"/>
      <c r="JWR5" s="978"/>
      <c r="JWS5" s="978"/>
      <c r="JWT5" s="978"/>
      <c r="JWU5" s="978"/>
      <c r="JWV5" s="978"/>
      <c r="JWW5" s="978"/>
      <c r="JWX5" s="978"/>
      <c r="JWY5" s="978"/>
      <c r="JWZ5" s="978"/>
      <c r="JXA5" s="978"/>
      <c r="JXB5" s="978"/>
      <c r="JXC5" s="978"/>
      <c r="JXD5" s="978"/>
      <c r="JXE5" s="978"/>
      <c r="JXF5" s="978"/>
      <c r="JXG5" s="978"/>
      <c r="JXH5" s="978"/>
      <c r="JXI5" s="978"/>
      <c r="JXJ5" s="978"/>
      <c r="JXK5" s="978"/>
      <c r="JXL5" s="978"/>
      <c r="JXM5" s="978"/>
      <c r="JXN5" s="978"/>
      <c r="JXO5" s="978"/>
      <c r="JXP5" s="978"/>
      <c r="JXQ5" s="978"/>
      <c r="JXR5" s="978"/>
      <c r="JXS5" s="978"/>
      <c r="JXT5" s="978"/>
      <c r="JXU5" s="978"/>
      <c r="JXV5" s="978"/>
      <c r="JXW5" s="978"/>
      <c r="JXX5" s="978"/>
      <c r="JXY5" s="978"/>
      <c r="JXZ5" s="978"/>
      <c r="JYA5" s="978"/>
      <c r="JYB5" s="978"/>
      <c r="JYC5" s="978"/>
      <c r="JYD5" s="978"/>
      <c r="JYE5" s="978"/>
      <c r="JYF5" s="978"/>
      <c r="JYG5" s="978"/>
      <c r="JYH5" s="978"/>
      <c r="JYI5" s="978"/>
      <c r="JYJ5" s="978"/>
      <c r="JYK5" s="978"/>
      <c r="JYL5" s="978"/>
      <c r="JYM5" s="978"/>
      <c r="JYN5" s="978"/>
      <c r="JYO5" s="978"/>
      <c r="JYP5" s="978"/>
      <c r="JYQ5" s="978"/>
      <c r="JYR5" s="978"/>
      <c r="JYS5" s="978"/>
      <c r="JYT5" s="978"/>
      <c r="JYU5" s="978"/>
      <c r="JYV5" s="978"/>
      <c r="JYW5" s="978"/>
      <c r="JYX5" s="978"/>
      <c r="JYY5" s="978"/>
      <c r="JYZ5" s="978"/>
      <c r="JZA5" s="978"/>
      <c r="JZB5" s="978"/>
      <c r="JZC5" s="978"/>
      <c r="JZD5" s="978"/>
      <c r="JZE5" s="978"/>
      <c r="JZF5" s="978"/>
      <c r="JZG5" s="978"/>
      <c r="JZH5" s="978"/>
      <c r="JZI5" s="978"/>
      <c r="JZJ5" s="978"/>
      <c r="JZK5" s="978"/>
      <c r="JZL5" s="978"/>
      <c r="JZM5" s="978"/>
      <c r="JZN5" s="978"/>
      <c r="JZO5" s="978"/>
      <c r="JZP5" s="978"/>
      <c r="JZQ5" s="978"/>
      <c r="JZR5" s="978"/>
      <c r="JZS5" s="978"/>
      <c r="JZT5" s="978"/>
      <c r="JZU5" s="978"/>
      <c r="JZV5" s="978"/>
      <c r="JZW5" s="978"/>
      <c r="JZX5" s="978"/>
      <c r="JZY5" s="978"/>
      <c r="JZZ5" s="978"/>
      <c r="KAA5" s="978"/>
      <c r="KAB5" s="978"/>
      <c r="KAC5" s="978"/>
      <c r="KAD5" s="978"/>
      <c r="KAE5" s="978"/>
      <c r="KAF5" s="978"/>
      <c r="KAG5" s="978"/>
      <c r="KAH5" s="978"/>
      <c r="KAI5" s="978"/>
      <c r="KAJ5" s="978"/>
      <c r="KAK5" s="978"/>
      <c r="KAL5" s="978"/>
      <c r="KAM5" s="978"/>
      <c r="KAN5" s="978"/>
      <c r="KAO5" s="978"/>
      <c r="KAP5" s="978"/>
      <c r="KAQ5" s="978"/>
      <c r="KAR5" s="978"/>
      <c r="KAS5" s="978"/>
      <c r="KAT5" s="978"/>
      <c r="KAU5" s="978"/>
      <c r="KAV5" s="978"/>
      <c r="KAW5" s="978"/>
      <c r="KAX5" s="978"/>
      <c r="KAY5" s="978"/>
      <c r="KAZ5" s="978"/>
      <c r="KBA5" s="978"/>
      <c r="KBB5" s="978"/>
      <c r="KBC5" s="978"/>
      <c r="KBD5" s="978"/>
      <c r="KBE5" s="978"/>
      <c r="KBF5" s="978"/>
      <c r="KBG5" s="978"/>
      <c r="KBH5" s="978"/>
      <c r="KBI5" s="978"/>
      <c r="KBJ5" s="978"/>
      <c r="KBK5" s="978"/>
      <c r="KBL5" s="978"/>
      <c r="KBM5" s="978"/>
      <c r="KBN5" s="978"/>
      <c r="KBO5" s="978"/>
      <c r="KBP5" s="978"/>
      <c r="KBQ5" s="978"/>
      <c r="KBR5" s="978"/>
      <c r="KBS5" s="978"/>
      <c r="KBT5" s="978"/>
      <c r="KBU5" s="978"/>
      <c r="KBV5" s="978"/>
      <c r="KBW5" s="978"/>
      <c r="KBX5" s="978"/>
      <c r="KBY5" s="978"/>
      <c r="KBZ5" s="978"/>
      <c r="KCA5" s="978"/>
      <c r="KCB5" s="978"/>
      <c r="KCC5" s="978"/>
      <c r="KCD5" s="978"/>
      <c r="KCE5" s="978"/>
      <c r="KCF5" s="978"/>
      <c r="KCG5" s="978"/>
      <c r="KCH5" s="978"/>
      <c r="KCI5" s="978"/>
      <c r="KCJ5" s="978"/>
      <c r="KCK5" s="978"/>
      <c r="KCL5" s="978"/>
      <c r="KCM5" s="978"/>
      <c r="KCN5" s="978"/>
      <c r="KCO5" s="978"/>
      <c r="KCP5" s="978"/>
      <c r="KCQ5" s="978"/>
      <c r="KCR5" s="978"/>
      <c r="KCS5" s="978"/>
      <c r="KCT5" s="978"/>
      <c r="KCU5" s="978"/>
      <c r="KCV5" s="978"/>
      <c r="KCW5" s="978"/>
      <c r="KCX5" s="978"/>
      <c r="KCY5" s="978"/>
      <c r="KCZ5" s="978"/>
      <c r="KDA5" s="978"/>
      <c r="KDB5" s="978"/>
      <c r="KDC5" s="978"/>
      <c r="KDD5" s="978"/>
      <c r="KDE5" s="978"/>
      <c r="KDF5" s="978"/>
      <c r="KDG5" s="978"/>
      <c r="KDH5" s="978"/>
      <c r="KDI5" s="978"/>
      <c r="KDJ5" s="978"/>
      <c r="KDK5" s="978"/>
      <c r="KDL5" s="978"/>
      <c r="KDM5" s="978"/>
      <c r="KDN5" s="978"/>
      <c r="KDO5" s="978"/>
      <c r="KDP5" s="978"/>
      <c r="KDQ5" s="978"/>
      <c r="KDR5" s="978"/>
      <c r="KDS5" s="978"/>
      <c r="KDT5" s="978"/>
      <c r="KDU5" s="978"/>
      <c r="KDV5" s="978"/>
      <c r="KDW5" s="978"/>
      <c r="KDX5" s="978"/>
      <c r="KDY5" s="978"/>
      <c r="KDZ5" s="978"/>
      <c r="KEA5" s="978"/>
      <c r="KEB5" s="978"/>
      <c r="KEC5" s="978"/>
      <c r="KED5" s="978"/>
      <c r="KEE5" s="978"/>
      <c r="KEF5" s="978"/>
      <c r="KEG5" s="978"/>
      <c r="KEH5" s="978"/>
      <c r="KEI5" s="978"/>
      <c r="KEJ5" s="978"/>
      <c r="KEK5" s="978"/>
      <c r="KEL5" s="978"/>
      <c r="KEM5" s="978"/>
      <c r="KEN5" s="978"/>
      <c r="KEO5" s="978"/>
      <c r="KEP5" s="978"/>
      <c r="KEQ5" s="978"/>
      <c r="KER5" s="978"/>
      <c r="KES5" s="978"/>
      <c r="KET5" s="978"/>
      <c r="KEU5" s="978"/>
      <c r="KEV5" s="978"/>
      <c r="KEW5" s="978"/>
      <c r="KEX5" s="978"/>
      <c r="KEY5" s="978"/>
      <c r="KEZ5" s="978"/>
      <c r="KFA5" s="978"/>
      <c r="KFB5" s="978"/>
      <c r="KFC5" s="978"/>
      <c r="KFD5" s="978"/>
      <c r="KFE5" s="978"/>
      <c r="KFF5" s="978"/>
      <c r="KFG5" s="978"/>
      <c r="KFH5" s="978"/>
      <c r="KFI5" s="978"/>
      <c r="KFJ5" s="978"/>
      <c r="KFK5" s="978"/>
      <c r="KFL5" s="978"/>
      <c r="KFM5" s="978"/>
      <c r="KFN5" s="978"/>
      <c r="KFO5" s="978"/>
      <c r="KFP5" s="978"/>
      <c r="KFQ5" s="978"/>
      <c r="KFR5" s="978"/>
      <c r="KFS5" s="978"/>
      <c r="KFT5" s="978"/>
      <c r="KFU5" s="978"/>
      <c r="KFV5" s="978"/>
      <c r="KFW5" s="978"/>
      <c r="KFX5" s="978"/>
      <c r="KFY5" s="978"/>
      <c r="KFZ5" s="978"/>
      <c r="KGA5" s="978"/>
      <c r="KGB5" s="978"/>
      <c r="KGC5" s="978"/>
      <c r="KGD5" s="978"/>
      <c r="KGE5" s="978"/>
      <c r="KGF5" s="978"/>
      <c r="KGG5" s="978"/>
      <c r="KGH5" s="978"/>
      <c r="KGI5" s="978"/>
      <c r="KGJ5" s="978"/>
      <c r="KGK5" s="978"/>
      <c r="KGL5" s="978"/>
      <c r="KGM5" s="978"/>
      <c r="KGN5" s="978"/>
      <c r="KGO5" s="978"/>
      <c r="KGP5" s="978"/>
      <c r="KGQ5" s="978"/>
      <c r="KGR5" s="978"/>
      <c r="KGS5" s="978"/>
      <c r="KGT5" s="978"/>
      <c r="KGU5" s="978"/>
      <c r="KGV5" s="978"/>
      <c r="KGW5" s="978"/>
      <c r="KGX5" s="978"/>
      <c r="KGY5" s="978"/>
      <c r="KGZ5" s="978"/>
      <c r="KHA5" s="978"/>
      <c r="KHB5" s="978"/>
      <c r="KHC5" s="978"/>
      <c r="KHD5" s="978"/>
      <c r="KHE5" s="978"/>
      <c r="KHF5" s="978"/>
      <c r="KHG5" s="978"/>
      <c r="KHH5" s="978"/>
      <c r="KHI5" s="978"/>
      <c r="KHJ5" s="978"/>
      <c r="KHK5" s="978"/>
      <c r="KHL5" s="978"/>
      <c r="KHM5" s="978"/>
      <c r="KHN5" s="978"/>
      <c r="KHO5" s="978"/>
      <c r="KHP5" s="978"/>
      <c r="KHQ5" s="978"/>
      <c r="KHR5" s="978"/>
      <c r="KHS5" s="978"/>
      <c r="KHT5" s="978"/>
      <c r="KHU5" s="978"/>
      <c r="KHV5" s="978"/>
      <c r="KHW5" s="978"/>
      <c r="KHX5" s="978"/>
      <c r="KHY5" s="978"/>
      <c r="KHZ5" s="978"/>
      <c r="KIA5" s="978"/>
      <c r="KIB5" s="978"/>
      <c r="KIC5" s="978"/>
      <c r="KID5" s="978"/>
      <c r="KIE5" s="978"/>
      <c r="KIF5" s="978"/>
      <c r="KIG5" s="978"/>
      <c r="KIH5" s="978"/>
      <c r="KII5" s="978"/>
      <c r="KIJ5" s="978"/>
      <c r="KIK5" s="978"/>
      <c r="KIL5" s="978"/>
      <c r="KIM5" s="978"/>
      <c r="KIN5" s="978"/>
      <c r="KIO5" s="978"/>
      <c r="KIP5" s="978"/>
      <c r="KIQ5" s="978"/>
      <c r="KIR5" s="978"/>
      <c r="KIS5" s="978"/>
      <c r="KIT5" s="978"/>
      <c r="KIU5" s="978"/>
      <c r="KIV5" s="978"/>
      <c r="KIW5" s="978"/>
      <c r="KIX5" s="978"/>
      <c r="KIY5" s="978"/>
      <c r="KIZ5" s="978"/>
      <c r="KJA5" s="978"/>
      <c r="KJB5" s="978"/>
      <c r="KJC5" s="978"/>
      <c r="KJD5" s="978"/>
      <c r="KJE5" s="978"/>
      <c r="KJF5" s="978"/>
      <c r="KJG5" s="978"/>
      <c r="KJH5" s="978"/>
      <c r="KJI5" s="978"/>
      <c r="KJJ5" s="978"/>
      <c r="KJK5" s="978"/>
      <c r="KJL5" s="978"/>
      <c r="KJM5" s="978"/>
      <c r="KJN5" s="978"/>
      <c r="KJO5" s="978"/>
      <c r="KJP5" s="978"/>
      <c r="KJQ5" s="978"/>
      <c r="KJR5" s="978"/>
      <c r="KJS5" s="978"/>
      <c r="KJT5" s="978"/>
      <c r="KJU5" s="978"/>
      <c r="KJV5" s="978"/>
      <c r="KJW5" s="978"/>
      <c r="KJX5" s="978"/>
      <c r="KJY5" s="978"/>
      <c r="KJZ5" s="978"/>
      <c r="KKA5" s="978"/>
      <c r="KKB5" s="978"/>
      <c r="KKC5" s="978"/>
      <c r="KKD5" s="978"/>
      <c r="KKE5" s="978"/>
      <c r="KKF5" s="978"/>
      <c r="KKG5" s="978"/>
      <c r="KKH5" s="978"/>
      <c r="KKI5" s="978"/>
      <c r="KKJ5" s="978"/>
      <c r="KKK5" s="978"/>
      <c r="KKL5" s="978"/>
      <c r="KKM5" s="978"/>
      <c r="KKN5" s="978"/>
      <c r="KKO5" s="978"/>
      <c r="KKP5" s="978"/>
      <c r="KKQ5" s="978"/>
      <c r="KKR5" s="978"/>
      <c r="KKS5" s="978"/>
      <c r="KKT5" s="978"/>
      <c r="KKU5" s="978"/>
      <c r="KKV5" s="978"/>
      <c r="KKW5" s="978"/>
      <c r="KKX5" s="978"/>
      <c r="KKY5" s="978"/>
      <c r="KKZ5" s="978"/>
      <c r="KLA5" s="978"/>
      <c r="KLB5" s="978"/>
      <c r="KLC5" s="978"/>
      <c r="KLD5" s="978"/>
      <c r="KLE5" s="978"/>
      <c r="KLF5" s="978"/>
      <c r="KLG5" s="978"/>
      <c r="KLH5" s="978"/>
      <c r="KLI5" s="978"/>
      <c r="KLJ5" s="978"/>
      <c r="KLK5" s="978"/>
      <c r="KLL5" s="978"/>
      <c r="KLM5" s="978"/>
      <c r="KLN5" s="978"/>
      <c r="KLO5" s="978"/>
      <c r="KLP5" s="978"/>
      <c r="KLQ5" s="978"/>
      <c r="KLR5" s="978"/>
      <c r="KLS5" s="978"/>
      <c r="KLT5" s="978"/>
      <c r="KLU5" s="978"/>
      <c r="KLV5" s="978"/>
      <c r="KLW5" s="978"/>
      <c r="KLX5" s="978"/>
      <c r="KLY5" s="978"/>
      <c r="KLZ5" s="978"/>
      <c r="KMA5" s="978"/>
      <c r="KMB5" s="978"/>
      <c r="KMC5" s="978"/>
      <c r="KMD5" s="978"/>
      <c r="KME5" s="978"/>
      <c r="KMF5" s="978"/>
      <c r="KMG5" s="978"/>
      <c r="KMH5" s="978"/>
      <c r="KMI5" s="978"/>
      <c r="KMJ5" s="978"/>
      <c r="KMK5" s="978"/>
      <c r="KML5" s="978"/>
      <c r="KMM5" s="978"/>
      <c r="KMN5" s="978"/>
      <c r="KMO5" s="978"/>
      <c r="KMP5" s="978"/>
      <c r="KMQ5" s="978"/>
      <c r="KMR5" s="978"/>
      <c r="KMS5" s="978"/>
      <c r="KMT5" s="978"/>
      <c r="KMU5" s="978"/>
      <c r="KMV5" s="978"/>
      <c r="KMW5" s="978"/>
      <c r="KMX5" s="978"/>
      <c r="KMY5" s="978"/>
      <c r="KMZ5" s="978"/>
      <c r="KNA5" s="978"/>
      <c r="KNB5" s="978"/>
      <c r="KNC5" s="978"/>
      <c r="KND5" s="978"/>
      <c r="KNE5" s="978"/>
      <c r="KNF5" s="978"/>
      <c r="KNG5" s="978"/>
      <c r="KNH5" s="978"/>
      <c r="KNI5" s="978"/>
      <c r="KNJ5" s="978"/>
      <c r="KNK5" s="978"/>
      <c r="KNL5" s="978"/>
      <c r="KNM5" s="978"/>
      <c r="KNN5" s="978"/>
      <c r="KNO5" s="978"/>
      <c r="KNP5" s="978"/>
      <c r="KNQ5" s="978"/>
      <c r="KNR5" s="978"/>
      <c r="KNS5" s="978"/>
      <c r="KNT5" s="978"/>
      <c r="KNU5" s="978"/>
      <c r="KNV5" s="978"/>
      <c r="KNW5" s="978"/>
      <c r="KNX5" s="978"/>
      <c r="KNY5" s="978"/>
      <c r="KNZ5" s="978"/>
      <c r="KOA5" s="978"/>
      <c r="KOB5" s="978"/>
      <c r="KOC5" s="978"/>
      <c r="KOD5" s="978"/>
      <c r="KOE5" s="978"/>
      <c r="KOF5" s="978"/>
      <c r="KOG5" s="978"/>
      <c r="KOH5" s="978"/>
      <c r="KOI5" s="978"/>
      <c r="KOJ5" s="978"/>
      <c r="KOK5" s="978"/>
      <c r="KOL5" s="978"/>
      <c r="KOM5" s="978"/>
      <c r="KON5" s="978"/>
      <c r="KOO5" s="978"/>
      <c r="KOP5" s="978"/>
      <c r="KOQ5" s="978"/>
      <c r="KOR5" s="978"/>
      <c r="KOS5" s="978"/>
      <c r="KOT5" s="978"/>
      <c r="KOU5" s="978"/>
      <c r="KOV5" s="978"/>
      <c r="KOW5" s="978"/>
      <c r="KOX5" s="978"/>
      <c r="KOY5" s="978"/>
      <c r="KOZ5" s="978"/>
      <c r="KPA5" s="978"/>
      <c r="KPB5" s="978"/>
      <c r="KPC5" s="978"/>
      <c r="KPD5" s="978"/>
      <c r="KPE5" s="978"/>
      <c r="KPF5" s="978"/>
      <c r="KPG5" s="978"/>
      <c r="KPH5" s="978"/>
      <c r="KPI5" s="978"/>
      <c r="KPJ5" s="978"/>
      <c r="KPK5" s="978"/>
      <c r="KPL5" s="978"/>
      <c r="KPM5" s="978"/>
      <c r="KPN5" s="978"/>
      <c r="KPO5" s="978"/>
      <c r="KPP5" s="978"/>
      <c r="KPQ5" s="978"/>
      <c r="KPR5" s="978"/>
      <c r="KPS5" s="978"/>
      <c r="KPT5" s="978"/>
      <c r="KPU5" s="978"/>
      <c r="KPV5" s="978"/>
      <c r="KPW5" s="978"/>
      <c r="KPX5" s="978"/>
      <c r="KPY5" s="978"/>
      <c r="KPZ5" s="978"/>
      <c r="KQA5" s="978"/>
      <c r="KQB5" s="978"/>
      <c r="KQC5" s="978"/>
      <c r="KQD5" s="978"/>
      <c r="KQE5" s="978"/>
      <c r="KQF5" s="978"/>
      <c r="KQG5" s="978"/>
      <c r="KQH5" s="978"/>
      <c r="KQI5" s="978"/>
      <c r="KQJ5" s="978"/>
      <c r="KQK5" s="978"/>
      <c r="KQL5" s="978"/>
      <c r="KQM5" s="978"/>
      <c r="KQN5" s="978"/>
      <c r="KQO5" s="978"/>
      <c r="KQP5" s="978"/>
      <c r="KQQ5" s="978"/>
      <c r="KQR5" s="978"/>
      <c r="KQS5" s="978"/>
      <c r="KQT5" s="978"/>
      <c r="KQU5" s="978"/>
      <c r="KQV5" s="978"/>
      <c r="KQW5" s="978"/>
      <c r="KQX5" s="978"/>
      <c r="KQY5" s="978"/>
      <c r="KQZ5" s="978"/>
      <c r="KRA5" s="978"/>
      <c r="KRB5" s="978"/>
      <c r="KRC5" s="978"/>
      <c r="KRD5" s="978"/>
      <c r="KRE5" s="978"/>
      <c r="KRF5" s="978"/>
      <c r="KRG5" s="978"/>
      <c r="KRH5" s="978"/>
      <c r="KRI5" s="978"/>
      <c r="KRJ5" s="978"/>
      <c r="KRK5" s="978"/>
      <c r="KRL5" s="978"/>
      <c r="KRM5" s="978"/>
      <c r="KRN5" s="978"/>
      <c r="KRO5" s="978"/>
      <c r="KRP5" s="978"/>
      <c r="KRQ5" s="978"/>
      <c r="KRR5" s="978"/>
      <c r="KRS5" s="978"/>
      <c r="KRT5" s="978"/>
      <c r="KRU5" s="978"/>
      <c r="KRV5" s="978"/>
      <c r="KRW5" s="978"/>
      <c r="KRX5" s="978"/>
      <c r="KRY5" s="978"/>
      <c r="KRZ5" s="978"/>
      <c r="KSA5" s="978"/>
      <c r="KSB5" s="978"/>
      <c r="KSC5" s="978"/>
      <c r="KSD5" s="978"/>
      <c r="KSE5" s="978"/>
      <c r="KSF5" s="978"/>
      <c r="KSG5" s="978"/>
      <c r="KSH5" s="978"/>
      <c r="KSI5" s="978"/>
      <c r="KSJ5" s="978"/>
      <c r="KSK5" s="978"/>
      <c r="KSL5" s="978"/>
      <c r="KSM5" s="978"/>
      <c r="KSN5" s="978"/>
      <c r="KSO5" s="978"/>
      <c r="KSP5" s="978"/>
      <c r="KSQ5" s="978"/>
      <c r="KSR5" s="978"/>
      <c r="KSS5" s="978"/>
      <c r="KST5" s="978"/>
      <c r="KSU5" s="978"/>
      <c r="KSV5" s="978"/>
      <c r="KSW5" s="978"/>
      <c r="KSX5" s="978"/>
      <c r="KSY5" s="978"/>
      <c r="KSZ5" s="978"/>
      <c r="KTA5" s="978"/>
      <c r="KTB5" s="978"/>
      <c r="KTC5" s="978"/>
      <c r="KTD5" s="978"/>
      <c r="KTE5" s="978"/>
      <c r="KTF5" s="978"/>
      <c r="KTG5" s="978"/>
      <c r="KTH5" s="978"/>
      <c r="KTI5" s="978"/>
      <c r="KTJ5" s="978"/>
      <c r="KTK5" s="978"/>
      <c r="KTL5" s="978"/>
      <c r="KTM5" s="978"/>
      <c r="KTN5" s="978"/>
      <c r="KTO5" s="978"/>
      <c r="KTP5" s="978"/>
      <c r="KTQ5" s="978"/>
      <c r="KTR5" s="978"/>
      <c r="KTS5" s="978"/>
      <c r="KTT5" s="978"/>
      <c r="KTU5" s="978"/>
      <c r="KTV5" s="978"/>
      <c r="KTW5" s="978"/>
      <c r="KTX5" s="978"/>
      <c r="KTY5" s="978"/>
      <c r="KTZ5" s="978"/>
      <c r="KUA5" s="978"/>
      <c r="KUB5" s="978"/>
      <c r="KUC5" s="978"/>
      <c r="KUD5" s="978"/>
      <c r="KUE5" s="978"/>
      <c r="KUF5" s="978"/>
      <c r="KUG5" s="978"/>
      <c r="KUH5" s="978"/>
      <c r="KUI5" s="978"/>
      <c r="KUJ5" s="978"/>
      <c r="KUK5" s="978"/>
      <c r="KUL5" s="978"/>
      <c r="KUM5" s="978"/>
      <c r="KUN5" s="978"/>
      <c r="KUO5" s="978"/>
      <c r="KUP5" s="978"/>
      <c r="KUQ5" s="978"/>
      <c r="KUR5" s="978"/>
      <c r="KUS5" s="978"/>
      <c r="KUT5" s="978"/>
      <c r="KUU5" s="978"/>
      <c r="KUV5" s="978"/>
      <c r="KUW5" s="978"/>
      <c r="KUX5" s="978"/>
      <c r="KUY5" s="978"/>
      <c r="KUZ5" s="978"/>
      <c r="KVA5" s="978"/>
      <c r="KVB5" s="978"/>
      <c r="KVC5" s="978"/>
      <c r="KVD5" s="978"/>
      <c r="KVE5" s="978"/>
      <c r="KVF5" s="978"/>
      <c r="KVG5" s="978"/>
      <c r="KVH5" s="978"/>
      <c r="KVI5" s="978"/>
      <c r="KVJ5" s="978"/>
      <c r="KVK5" s="978"/>
      <c r="KVL5" s="978"/>
      <c r="KVM5" s="978"/>
      <c r="KVN5" s="978"/>
      <c r="KVO5" s="978"/>
      <c r="KVP5" s="978"/>
      <c r="KVQ5" s="978"/>
      <c r="KVR5" s="978"/>
      <c r="KVS5" s="978"/>
      <c r="KVT5" s="978"/>
      <c r="KVU5" s="978"/>
      <c r="KVV5" s="978"/>
      <c r="KVW5" s="978"/>
      <c r="KVX5" s="978"/>
      <c r="KVY5" s="978"/>
      <c r="KVZ5" s="978"/>
      <c r="KWA5" s="978"/>
      <c r="KWB5" s="978"/>
      <c r="KWC5" s="978"/>
      <c r="KWD5" s="978"/>
      <c r="KWE5" s="978"/>
      <c r="KWF5" s="978"/>
      <c r="KWG5" s="978"/>
      <c r="KWH5" s="978"/>
      <c r="KWI5" s="978"/>
      <c r="KWJ5" s="978"/>
      <c r="KWK5" s="978"/>
      <c r="KWL5" s="978"/>
      <c r="KWM5" s="978"/>
      <c r="KWN5" s="978"/>
      <c r="KWO5" s="978"/>
      <c r="KWP5" s="978"/>
      <c r="KWQ5" s="978"/>
      <c r="KWR5" s="978"/>
      <c r="KWS5" s="978"/>
      <c r="KWT5" s="978"/>
      <c r="KWU5" s="978"/>
      <c r="KWV5" s="978"/>
      <c r="KWW5" s="978"/>
      <c r="KWX5" s="978"/>
      <c r="KWY5" s="978"/>
      <c r="KWZ5" s="978"/>
      <c r="KXA5" s="978"/>
      <c r="KXB5" s="978"/>
      <c r="KXC5" s="978"/>
      <c r="KXD5" s="978"/>
      <c r="KXE5" s="978"/>
      <c r="KXF5" s="978"/>
      <c r="KXG5" s="978"/>
      <c r="KXH5" s="978"/>
      <c r="KXI5" s="978"/>
      <c r="KXJ5" s="978"/>
      <c r="KXK5" s="978"/>
      <c r="KXL5" s="978"/>
      <c r="KXM5" s="978"/>
      <c r="KXN5" s="978"/>
      <c r="KXO5" s="978"/>
      <c r="KXP5" s="978"/>
      <c r="KXQ5" s="978"/>
      <c r="KXR5" s="978"/>
      <c r="KXS5" s="978"/>
      <c r="KXT5" s="978"/>
      <c r="KXU5" s="978"/>
      <c r="KXV5" s="978"/>
      <c r="KXW5" s="978"/>
      <c r="KXX5" s="978"/>
      <c r="KXY5" s="978"/>
      <c r="KXZ5" s="978"/>
      <c r="KYA5" s="978"/>
      <c r="KYB5" s="978"/>
      <c r="KYC5" s="978"/>
      <c r="KYD5" s="978"/>
      <c r="KYE5" s="978"/>
      <c r="KYF5" s="978"/>
      <c r="KYG5" s="978"/>
      <c r="KYH5" s="978"/>
      <c r="KYI5" s="978"/>
      <c r="KYJ5" s="978"/>
      <c r="KYK5" s="978"/>
      <c r="KYL5" s="978"/>
      <c r="KYM5" s="978"/>
      <c r="KYN5" s="978"/>
      <c r="KYO5" s="978"/>
      <c r="KYP5" s="978"/>
      <c r="KYQ5" s="978"/>
      <c r="KYR5" s="978"/>
      <c r="KYS5" s="978"/>
      <c r="KYT5" s="978"/>
      <c r="KYU5" s="978"/>
      <c r="KYV5" s="978"/>
      <c r="KYW5" s="978"/>
      <c r="KYX5" s="978"/>
      <c r="KYY5" s="978"/>
      <c r="KYZ5" s="978"/>
      <c r="KZA5" s="978"/>
      <c r="KZB5" s="978"/>
      <c r="KZC5" s="978"/>
      <c r="KZD5" s="978"/>
      <c r="KZE5" s="978"/>
      <c r="KZF5" s="978"/>
      <c r="KZG5" s="978"/>
      <c r="KZH5" s="978"/>
      <c r="KZI5" s="978"/>
      <c r="KZJ5" s="978"/>
      <c r="KZK5" s="978"/>
      <c r="KZL5" s="978"/>
      <c r="KZM5" s="978"/>
      <c r="KZN5" s="978"/>
      <c r="KZO5" s="978"/>
      <c r="KZP5" s="978"/>
      <c r="KZQ5" s="978"/>
      <c r="KZR5" s="978"/>
      <c r="KZS5" s="978"/>
      <c r="KZT5" s="978"/>
      <c r="KZU5" s="978"/>
      <c r="KZV5" s="978"/>
      <c r="KZW5" s="978"/>
      <c r="KZX5" s="978"/>
      <c r="KZY5" s="978"/>
      <c r="KZZ5" s="978"/>
      <c r="LAA5" s="978"/>
      <c r="LAB5" s="978"/>
      <c r="LAC5" s="978"/>
      <c r="LAD5" s="978"/>
      <c r="LAE5" s="978"/>
      <c r="LAF5" s="978"/>
      <c r="LAG5" s="978"/>
      <c r="LAH5" s="978"/>
      <c r="LAI5" s="978"/>
      <c r="LAJ5" s="978"/>
      <c r="LAK5" s="978"/>
      <c r="LAL5" s="978"/>
      <c r="LAM5" s="978"/>
      <c r="LAN5" s="978"/>
      <c r="LAO5" s="978"/>
      <c r="LAP5" s="978"/>
      <c r="LAQ5" s="978"/>
      <c r="LAR5" s="978"/>
      <c r="LAS5" s="978"/>
      <c r="LAT5" s="978"/>
      <c r="LAU5" s="978"/>
      <c r="LAV5" s="978"/>
      <c r="LAW5" s="978"/>
      <c r="LAX5" s="978"/>
      <c r="LAY5" s="978"/>
      <c r="LAZ5" s="978"/>
      <c r="LBA5" s="978"/>
      <c r="LBB5" s="978"/>
      <c r="LBC5" s="978"/>
      <c r="LBD5" s="978"/>
      <c r="LBE5" s="978"/>
      <c r="LBF5" s="978"/>
      <c r="LBG5" s="978"/>
      <c r="LBH5" s="978"/>
      <c r="LBI5" s="978"/>
      <c r="LBJ5" s="978"/>
      <c r="LBK5" s="978"/>
      <c r="LBL5" s="978"/>
      <c r="LBM5" s="978"/>
      <c r="LBN5" s="978"/>
      <c r="LBO5" s="978"/>
      <c r="LBP5" s="978"/>
      <c r="LBQ5" s="978"/>
      <c r="LBR5" s="978"/>
      <c r="LBS5" s="978"/>
      <c r="LBT5" s="978"/>
      <c r="LBU5" s="978"/>
      <c r="LBV5" s="978"/>
      <c r="LBW5" s="978"/>
      <c r="LBX5" s="978"/>
      <c r="LBY5" s="978"/>
      <c r="LBZ5" s="978"/>
      <c r="LCA5" s="978"/>
      <c r="LCB5" s="978"/>
      <c r="LCC5" s="978"/>
      <c r="LCD5" s="978"/>
      <c r="LCE5" s="978"/>
      <c r="LCF5" s="978"/>
      <c r="LCG5" s="978"/>
      <c r="LCH5" s="978"/>
      <c r="LCI5" s="978"/>
      <c r="LCJ5" s="978"/>
      <c r="LCK5" s="978"/>
      <c r="LCL5" s="978"/>
      <c r="LCM5" s="978"/>
      <c r="LCN5" s="978"/>
      <c r="LCO5" s="978"/>
      <c r="LCP5" s="978"/>
      <c r="LCQ5" s="978"/>
      <c r="LCR5" s="978"/>
      <c r="LCS5" s="978"/>
      <c r="LCT5" s="978"/>
      <c r="LCU5" s="978"/>
      <c r="LCV5" s="978"/>
      <c r="LCW5" s="978"/>
      <c r="LCX5" s="978"/>
      <c r="LCY5" s="978"/>
      <c r="LCZ5" s="978"/>
      <c r="LDA5" s="978"/>
      <c r="LDB5" s="978"/>
      <c r="LDC5" s="978"/>
      <c r="LDD5" s="978"/>
      <c r="LDE5" s="978"/>
      <c r="LDF5" s="978"/>
      <c r="LDG5" s="978"/>
      <c r="LDH5" s="978"/>
      <c r="LDI5" s="978"/>
      <c r="LDJ5" s="978"/>
      <c r="LDK5" s="978"/>
      <c r="LDL5" s="978"/>
      <c r="LDM5" s="978"/>
      <c r="LDN5" s="978"/>
      <c r="LDO5" s="978"/>
      <c r="LDP5" s="978"/>
      <c r="LDQ5" s="978"/>
      <c r="LDR5" s="978"/>
      <c r="LDS5" s="978"/>
      <c r="LDT5" s="978"/>
      <c r="LDU5" s="978"/>
      <c r="LDV5" s="978"/>
      <c r="LDW5" s="978"/>
      <c r="LDX5" s="978"/>
      <c r="LDY5" s="978"/>
      <c r="LDZ5" s="978"/>
      <c r="LEA5" s="978"/>
      <c r="LEB5" s="978"/>
      <c r="LEC5" s="978"/>
      <c r="LED5" s="978"/>
      <c r="LEE5" s="978"/>
      <c r="LEF5" s="978"/>
      <c r="LEG5" s="978"/>
      <c r="LEH5" s="978"/>
      <c r="LEI5" s="978"/>
      <c r="LEJ5" s="978"/>
      <c r="LEK5" s="978"/>
      <c r="LEL5" s="978"/>
      <c r="LEM5" s="978"/>
      <c r="LEN5" s="978"/>
      <c r="LEO5" s="978"/>
      <c r="LEP5" s="978"/>
      <c r="LEQ5" s="978"/>
      <c r="LER5" s="978"/>
      <c r="LES5" s="978"/>
      <c r="LET5" s="978"/>
      <c r="LEU5" s="978"/>
      <c r="LEV5" s="978"/>
      <c r="LEW5" s="978"/>
      <c r="LEX5" s="978"/>
      <c r="LEY5" s="978"/>
      <c r="LEZ5" s="978"/>
      <c r="LFA5" s="978"/>
      <c r="LFB5" s="978"/>
      <c r="LFC5" s="978"/>
      <c r="LFD5" s="978"/>
      <c r="LFE5" s="978"/>
      <c r="LFF5" s="978"/>
      <c r="LFG5" s="978"/>
      <c r="LFH5" s="978"/>
      <c r="LFI5" s="978"/>
      <c r="LFJ5" s="978"/>
      <c r="LFK5" s="978"/>
      <c r="LFL5" s="978"/>
      <c r="LFM5" s="978"/>
      <c r="LFN5" s="978"/>
      <c r="LFO5" s="978"/>
      <c r="LFP5" s="978"/>
      <c r="LFQ5" s="978"/>
      <c r="LFR5" s="978"/>
      <c r="LFS5" s="978"/>
      <c r="LFT5" s="978"/>
      <c r="LFU5" s="978"/>
      <c r="LFV5" s="978"/>
      <c r="LFW5" s="978"/>
      <c r="LFX5" s="978"/>
      <c r="LFY5" s="978"/>
      <c r="LFZ5" s="978"/>
      <c r="LGA5" s="978"/>
      <c r="LGB5" s="978"/>
      <c r="LGC5" s="978"/>
      <c r="LGD5" s="978"/>
      <c r="LGE5" s="978"/>
      <c r="LGF5" s="978"/>
      <c r="LGG5" s="978"/>
      <c r="LGH5" s="978"/>
      <c r="LGI5" s="978"/>
      <c r="LGJ5" s="978"/>
      <c r="LGK5" s="978"/>
      <c r="LGL5" s="978"/>
      <c r="LGM5" s="978"/>
      <c r="LGN5" s="978"/>
      <c r="LGO5" s="978"/>
      <c r="LGP5" s="978"/>
      <c r="LGQ5" s="978"/>
      <c r="LGR5" s="978"/>
      <c r="LGS5" s="978"/>
      <c r="LGT5" s="978"/>
      <c r="LGU5" s="978"/>
      <c r="LGV5" s="978"/>
      <c r="LGW5" s="978"/>
      <c r="LGX5" s="978"/>
      <c r="LGY5" s="978"/>
      <c r="LGZ5" s="978"/>
      <c r="LHA5" s="978"/>
      <c r="LHB5" s="978"/>
      <c r="LHC5" s="978"/>
      <c r="LHD5" s="978"/>
      <c r="LHE5" s="978"/>
      <c r="LHF5" s="978"/>
      <c r="LHG5" s="978"/>
      <c r="LHH5" s="978"/>
      <c r="LHI5" s="978"/>
      <c r="LHJ5" s="978"/>
      <c r="LHK5" s="978"/>
      <c r="LHL5" s="978"/>
      <c r="LHM5" s="978"/>
      <c r="LHN5" s="978"/>
      <c r="LHO5" s="978"/>
      <c r="LHP5" s="978"/>
      <c r="LHQ5" s="978"/>
      <c r="LHR5" s="978"/>
      <c r="LHS5" s="978"/>
      <c r="LHT5" s="978"/>
      <c r="LHU5" s="978"/>
      <c r="LHV5" s="978"/>
      <c r="LHW5" s="978"/>
      <c r="LHX5" s="978"/>
      <c r="LHY5" s="978"/>
      <c r="LHZ5" s="978"/>
      <c r="LIA5" s="978"/>
      <c r="LIB5" s="978"/>
      <c r="LIC5" s="978"/>
      <c r="LID5" s="978"/>
      <c r="LIE5" s="978"/>
      <c r="LIF5" s="978"/>
      <c r="LIG5" s="978"/>
      <c r="LIH5" s="978"/>
      <c r="LII5" s="978"/>
      <c r="LIJ5" s="978"/>
      <c r="LIK5" s="978"/>
      <c r="LIL5" s="978"/>
      <c r="LIM5" s="978"/>
      <c r="LIN5" s="978"/>
      <c r="LIO5" s="978"/>
      <c r="LIP5" s="978"/>
      <c r="LIQ5" s="978"/>
      <c r="LIR5" s="978"/>
      <c r="LIS5" s="978"/>
      <c r="LIT5" s="978"/>
      <c r="LIU5" s="978"/>
      <c r="LIV5" s="978"/>
      <c r="LIW5" s="978"/>
      <c r="LIX5" s="978"/>
      <c r="LIY5" s="978"/>
      <c r="LIZ5" s="978"/>
      <c r="LJA5" s="978"/>
      <c r="LJB5" s="978"/>
      <c r="LJC5" s="978"/>
      <c r="LJD5" s="978"/>
      <c r="LJE5" s="978"/>
      <c r="LJF5" s="978"/>
      <c r="LJG5" s="978"/>
      <c r="LJH5" s="978"/>
      <c r="LJI5" s="978"/>
      <c r="LJJ5" s="978"/>
      <c r="LJK5" s="978"/>
      <c r="LJL5" s="978"/>
      <c r="LJM5" s="978"/>
      <c r="LJN5" s="978"/>
      <c r="LJO5" s="978"/>
      <c r="LJP5" s="978"/>
      <c r="LJQ5" s="978"/>
      <c r="LJR5" s="978"/>
      <c r="LJS5" s="978"/>
      <c r="LJT5" s="978"/>
      <c r="LJU5" s="978"/>
      <c r="LJV5" s="978"/>
      <c r="LJW5" s="978"/>
      <c r="LJX5" s="978"/>
      <c r="LJY5" s="978"/>
      <c r="LJZ5" s="978"/>
      <c r="LKA5" s="978"/>
      <c r="LKB5" s="978"/>
      <c r="LKC5" s="978"/>
      <c r="LKD5" s="978"/>
      <c r="LKE5" s="978"/>
      <c r="LKF5" s="978"/>
      <c r="LKG5" s="978"/>
      <c r="LKH5" s="978"/>
      <c r="LKI5" s="978"/>
      <c r="LKJ5" s="978"/>
      <c r="LKK5" s="978"/>
      <c r="LKL5" s="978"/>
      <c r="LKM5" s="978"/>
      <c r="LKN5" s="978"/>
      <c r="LKO5" s="978"/>
      <c r="LKP5" s="978"/>
      <c r="LKQ5" s="978"/>
      <c r="LKR5" s="978"/>
      <c r="LKS5" s="978"/>
      <c r="LKT5" s="978"/>
      <c r="LKU5" s="978"/>
      <c r="LKV5" s="978"/>
      <c r="LKW5" s="978"/>
      <c r="LKX5" s="978"/>
      <c r="LKY5" s="978"/>
      <c r="LKZ5" s="978"/>
      <c r="LLA5" s="978"/>
      <c r="LLB5" s="978"/>
      <c r="LLC5" s="978"/>
      <c r="LLD5" s="978"/>
      <c r="LLE5" s="978"/>
      <c r="LLF5" s="978"/>
      <c r="LLG5" s="978"/>
      <c r="LLH5" s="978"/>
      <c r="LLI5" s="978"/>
      <c r="LLJ5" s="978"/>
      <c r="LLK5" s="978"/>
      <c r="LLL5" s="978"/>
      <c r="LLM5" s="978"/>
      <c r="LLN5" s="978"/>
      <c r="LLO5" s="978"/>
      <c r="LLP5" s="978"/>
      <c r="LLQ5" s="978"/>
      <c r="LLR5" s="978"/>
      <c r="LLS5" s="978"/>
      <c r="LLT5" s="978"/>
      <c r="LLU5" s="978"/>
      <c r="LLV5" s="978"/>
      <c r="LLW5" s="978"/>
      <c r="LLX5" s="978"/>
      <c r="LLY5" s="978"/>
      <c r="LLZ5" s="978"/>
      <c r="LMA5" s="978"/>
      <c r="LMB5" s="978"/>
      <c r="LMC5" s="978"/>
      <c r="LMD5" s="978"/>
      <c r="LME5" s="978"/>
      <c r="LMF5" s="978"/>
      <c r="LMG5" s="978"/>
      <c r="LMH5" s="978"/>
      <c r="LMI5" s="978"/>
      <c r="LMJ5" s="978"/>
      <c r="LMK5" s="978"/>
      <c r="LML5" s="978"/>
      <c r="LMM5" s="978"/>
      <c r="LMN5" s="978"/>
      <c r="LMO5" s="978"/>
      <c r="LMP5" s="978"/>
      <c r="LMQ5" s="978"/>
      <c r="LMR5" s="978"/>
      <c r="LMS5" s="978"/>
      <c r="LMT5" s="978"/>
      <c r="LMU5" s="978"/>
      <c r="LMV5" s="978"/>
      <c r="LMW5" s="978"/>
      <c r="LMX5" s="978"/>
      <c r="LMY5" s="978"/>
      <c r="LMZ5" s="978"/>
      <c r="LNA5" s="978"/>
      <c r="LNB5" s="978"/>
      <c r="LNC5" s="978"/>
      <c r="LND5" s="978"/>
      <c r="LNE5" s="978"/>
      <c r="LNF5" s="978"/>
      <c r="LNG5" s="978"/>
      <c r="LNH5" s="978"/>
      <c r="LNI5" s="978"/>
      <c r="LNJ5" s="978"/>
      <c r="LNK5" s="978"/>
      <c r="LNL5" s="978"/>
      <c r="LNM5" s="978"/>
      <c r="LNN5" s="978"/>
      <c r="LNO5" s="978"/>
      <c r="LNP5" s="978"/>
      <c r="LNQ5" s="978"/>
      <c r="LNR5" s="978"/>
      <c r="LNS5" s="978"/>
      <c r="LNT5" s="978"/>
      <c r="LNU5" s="978"/>
      <c r="LNV5" s="978"/>
      <c r="LNW5" s="978"/>
      <c r="LNX5" s="978"/>
      <c r="LNY5" s="978"/>
      <c r="LNZ5" s="978"/>
      <c r="LOA5" s="978"/>
      <c r="LOB5" s="978"/>
      <c r="LOC5" s="978"/>
      <c r="LOD5" s="978"/>
      <c r="LOE5" s="978"/>
      <c r="LOF5" s="978"/>
      <c r="LOG5" s="978"/>
      <c r="LOH5" s="978"/>
      <c r="LOI5" s="978"/>
      <c r="LOJ5" s="978"/>
      <c r="LOK5" s="978"/>
      <c r="LOL5" s="978"/>
      <c r="LOM5" s="978"/>
      <c r="LON5" s="978"/>
      <c r="LOO5" s="978"/>
      <c r="LOP5" s="978"/>
      <c r="LOQ5" s="978"/>
      <c r="LOR5" s="978"/>
      <c r="LOS5" s="978"/>
      <c r="LOT5" s="978"/>
      <c r="LOU5" s="978"/>
      <c r="LOV5" s="978"/>
      <c r="LOW5" s="978"/>
      <c r="LOX5" s="978"/>
      <c r="LOY5" s="978"/>
      <c r="LOZ5" s="978"/>
      <c r="LPA5" s="978"/>
      <c r="LPB5" s="978"/>
      <c r="LPC5" s="978"/>
      <c r="LPD5" s="978"/>
      <c r="LPE5" s="978"/>
      <c r="LPF5" s="978"/>
      <c r="LPG5" s="978"/>
      <c r="LPH5" s="978"/>
      <c r="LPI5" s="978"/>
      <c r="LPJ5" s="978"/>
      <c r="LPK5" s="978"/>
      <c r="LPL5" s="978"/>
      <c r="LPM5" s="978"/>
      <c r="LPN5" s="978"/>
      <c r="LPO5" s="978"/>
      <c r="LPP5" s="978"/>
      <c r="LPQ5" s="978"/>
      <c r="LPR5" s="978"/>
      <c r="LPS5" s="978"/>
      <c r="LPT5" s="978"/>
      <c r="LPU5" s="978"/>
      <c r="LPV5" s="978"/>
      <c r="LPW5" s="978"/>
      <c r="LPX5" s="978"/>
      <c r="LPY5" s="978"/>
      <c r="LPZ5" s="978"/>
      <c r="LQA5" s="978"/>
      <c r="LQB5" s="978"/>
      <c r="LQC5" s="978"/>
      <c r="LQD5" s="978"/>
      <c r="LQE5" s="978"/>
      <c r="LQF5" s="978"/>
      <c r="LQG5" s="978"/>
      <c r="LQH5" s="978"/>
      <c r="LQI5" s="978"/>
      <c r="LQJ5" s="978"/>
      <c r="LQK5" s="978"/>
      <c r="LQL5" s="978"/>
      <c r="LQM5" s="978"/>
      <c r="LQN5" s="978"/>
      <c r="LQO5" s="978"/>
      <c r="LQP5" s="978"/>
      <c r="LQQ5" s="978"/>
      <c r="LQR5" s="978"/>
      <c r="LQS5" s="978"/>
      <c r="LQT5" s="978"/>
      <c r="LQU5" s="978"/>
      <c r="LQV5" s="978"/>
      <c r="LQW5" s="978"/>
      <c r="LQX5" s="978"/>
      <c r="LQY5" s="978"/>
      <c r="LQZ5" s="978"/>
      <c r="LRA5" s="978"/>
      <c r="LRB5" s="978"/>
      <c r="LRC5" s="978"/>
      <c r="LRD5" s="978"/>
      <c r="LRE5" s="978"/>
      <c r="LRF5" s="978"/>
      <c r="LRG5" s="978"/>
      <c r="LRH5" s="978"/>
      <c r="LRI5" s="978"/>
      <c r="LRJ5" s="978"/>
      <c r="LRK5" s="978"/>
      <c r="LRL5" s="978"/>
      <c r="LRM5" s="978"/>
      <c r="LRN5" s="978"/>
      <c r="LRO5" s="978"/>
      <c r="LRP5" s="978"/>
      <c r="LRQ5" s="978"/>
      <c r="LRR5" s="978"/>
      <c r="LRS5" s="978"/>
      <c r="LRT5" s="978"/>
      <c r="LRU5" s="978"/>
      <c r="LRV5" s="978"/>
      <c r="LRW5" s="978"/>
      <c r="LRX5" s="978"/>
      <c r="LRY5" s="978"/>
      <c r="LRZ5" s="978"/>
      <c r="LSA5" s="978"/>
      <c r="LSB5" s="978"/>
      <c r="LSC5" s="978"/>
      <c r="LSD5" s="978"/>
      <c r="LSE5" s="978"/>
      <c r="LSF5" s="978"/>
      <c r="LSG5" s="978"/>
      <c r="LSH5" s="978"/>
      <c r="LSI5" s="978"/>
      <c r="LSJ5" s="978"/>
      <c r="LSK5" s="978"/>
      <c r="LSL5" s="978"/>
      <c r="LSM5" s="978"/>
      <c r="LSN5" s="978"/>
      <c r="LSO5" s="978"/>
      <c r="LSP5" s="978"/>
      <c r="LSQ5" s="978"/>
      <c r="LSR5" s="978"/>
      <c r="LSS5" s="978"/>
      <c r="LST5" s="978"/>
      <c r="LSU5" s="978"/>
      <c r="LSV5" s="978"/>
      <c r="LSW5" s="978"/>
      <c r="LSX5" s="978"/>
      <c r="LSY5" s="978"/>
      <c r="LSZ5" s="978"/>
      <c r="LTA5" s="978"/>
      <c r="LTB5" s="978"/>
      <c r="LTC5" s="978"/>
      <c r="LTD5" s="978"/>
      <c r="LTE5" s="978"/>
      <c r="LTF5" s="978"/>
      <c r="LTG5" s="978"/>
      <c r="LTH5" s="978"/>
      <c r="LTI5" s="978"/>
      <c r="LTJ5" s="978"/>
      <c r="LTK5" s="978"/>
      <c r="LTL5" s="978"/>
      <c r="LTM5" s="978"/>
      <c r="LTN5" s="978"/>
      <c r="LTO5" s="978"/>
      <c r="LTP5" s="978"/>
      <c r="LTQ5" s="978"/>
      <c r="LTR5" s="978"/>
      <c r="LTS5" s="978"/>
      <c r="LTT5" s="978"/>
      <c r="LTU5" s="978"/>
      <c r="LTV5" s="978"/>
      <c r="LTW5" s="978"/>
      <c r="LTX5" s="978"/>
      <c r="LTY5" s="978"/>
      <c r="LTZ5" s="978"/>
      <c r="LUA5" s="978"/>
      <c r="LUB5" s="978"/>
      <c r="LUC5" s="978"/>
      <c r="LUD5" s="978"/>
      <c r="LUE5" s="978"/>
      <c r="LUF5" s="978"/>
      <c r="LUG5" s="978"/>
      <c r="LUH5" s="978"/>
      <c r="LUI5" s="978"/>
      <c r="LUJ5" s="978"/>
      <c r="LUK5" s="978"/>
      <c r="LUL5" s="978"/>
      <c r="LUM5" s="978"/>
      <c r="LUN5" s="978"/>
      <c r="LUO5" s="978"/>
      <c r="LUP5" s="978"/>
      <c r="LUQ5" s="978"/>
      <c r="LUR5" s="978"/>
      <c r="LUS5" s="978"/>
      <c r="LUT5" s="978"/>
      <c r="LUU5" s="978"/>
      <c r="LUV5" s="978"/>
      <c r="LUW5" s="978"/>
      <c r="LUX5" s="978"/>
      <c r="LUY5" s="978"/>
      <c r="LUZ5" s="978"/>
      <c r="LVA5" s="978"/>
      <c r="LVB5" s="978"/>
      <c r="LVC5" s="978"/>
      <c r="LVD5" s="978"/>
      <c r="LVE5" s="978"/>
      <c r="LVF5" s="978"/>
      <c r="LVG5" s="978"/>
      <c r="LVH5" s="978"/>
      <c r="LVI5" s="978"/>
      <c r="LVJ5" s="978"/>
      <c r="LVK5" s="978"/>
      <c r="LVL5" s="978"/>
      <c r="LVM5" s="978"/>
      <c r="LVN5" s="978"/>
      <c r="LVO5" s="978"/>
      <c r="LVP5" s="978"/>
      <c r="LVQ5" s="978"/>
      <c r="LVR5" s="978"/>
      <c r="LVS5" s="978"/>
      <c r="LVT5" s="978"/>
      <c r="LVU5" s="978"/>
      <c r="LVV5" s="978"/>
      <c r="LVW5" s="978"/>
      <c r="LVX5" s="978"/>
      <c r="LVY5" s="978"/>
      <c r="LVZ5" s="978"/>
      <c r="LWA5" s="978"/>
      <c r="LWB5" s="978"/>
      <c r="LWC5" s="978"/>
      <c r="LWD5" s="978"/>
      <c r="LWE5" s="978"/>
      <c r="LWF5" s="978"/>
      <c r="LWG5" s="978"/>
      <c r="LWH5" s="978"/>
      <c r="LWI5" s="978"/>
      <c r="LWJ5" s="978"/>
      <c r="LWK5" s="978"/>
      <c r="LWL5" s="978"/>
      <c r="LWM5" s="978"/>
      <c r="LWN5" s="978"/>
      <c r="LWO5" s="978"/>
      <c r="LWP5" s="978"/>
      <c r="LWQ5" s="978"/>
      <c r="LWR5" s="978"/>
      <c r="LWS5" s="978"/>
      <c r="LWT5" s="978"/>
      <c r="LWU5" s="978"/>
      <c r="LWV5" s="978"/>
      <c r="LWW5" s="978"/>
      <c r="LWX5" s="978"/>
      <c r="LWY5" s="978"/>
      <c r="LWZ5" s="978"/>
      <c r="LXA5" s="978"/>
      <c r="LXB5" s="978"/>
      <c r="LXC5" s="978"/>
      <c r="LXD5" s="978"/>
      <c r="LXE5" s="978"/>
      <c r="LXF5" s="978"/>
      <c r="LXG5" s="978"/>
      <c r="LXH5" s="978"/>
      <c r="LXI5" s="978"/>
      <c r="LXJ5" s="978"/>
      <c r="LXK5" s="978"/>
      <c r="LXL5" s="978"/>
      <c r="LXM5" s="978"/>
      <c r="LXN5" s="978"/>
      <c r="LXO5" s="978"/>
      <c r="LXP5" s="978"/>
      <c r="LXQ5" s="978"/>
      <c r="LXR5" s="978"/>
      <c r="LXS5" s="978"/>
      <c r="LXT5" s="978"/>
      <c r="LXU5" s="978"/>
      <c r="LXV5" s="978"/>
      <c r="LXW5" s="978"/>
      <c r="LXX5" s="978"/>
      <c r="LXY5" s="978"/>
      <c r="LXZ5" s="978"/>
      <c r="LYA5" s="978"/>
      <c r="LYB5" s="978"/>
      <c r="LYC5" s="978"/>
      <c r="LYD5" s="978"/>
      <c r="LYE5" s="978"/>
      <c r="LYF5" s="978"/>
      <c r="LYG5" s="978"/>
      <c r="LYH5" s="978"/>
      <c r="LYI5" s="978"/>
      <c r="LYJ5" s="978"/>
      <c r="LYK5" s="978"/>
      <c r="LYL5" s="978"/>
      <c r="LYM5" s="978"/>
      <c r="LYN5" s="978"/>
      <c r="LYO5" s="978"/>
      <c r="LYP5" s="978"/>
      <c r="LYQ5" s="978"/>
      <c r="LYR5" s="978"/>
      <c r="LYS5" s="978"/>
      <c r="LYT5" s="978"/>
      <c r="LYU5" s="978"/>
      <c r="LYV5" s="978"/>
      <c r="LYW5" s="978"/>
      <c r="LYX5" s="978"/>
      <c r="LYY5" s="978"/>
      <c r="LYZ5" s="978"/>
      <c r="LZA5" s="978"/>
      <c r="LZB5" s="978"/>
      <c r="LZC5" s="978"/>
      <c r="LZD5" s="978"/>
      <c r="LZE5" s="978"/>
      <c r="LZF5" s="978"/>
      <c r="LZG5" s="978"/>
      <c r="LZH5" s="978"/>
      <c r="LZI5" s="978"/>
      <c r="LZJ5" s="978"/>
      <c r="LZK5" s="978"/>
      <c r="LZL5" s="978"/>
      <c r="LZM5" s="978"/>
      <c r="LZN5" s="978"/>
      <c r="LZO5" s="978"/>
      <c r="LZP5" s="978"/>
      <c r="LZQ5" s="978"/>
      <c r="LZR5" s="978"/>
      <c r="LZS5" s="978"/>
      <c r="LZT5" s="978"/>
      <c r="LZU5" s="978"/>
      <c r="LZV5" s="978"/>
      <c r="LZW5" s="978"/>
      <c r="LZX5" s="978"/>
      <c r="LZY5" s="978"/>
      <c r="LZZ5" s="978"/>
      <c r="MAA5" s="978"/>
      <c r="MAB5" s="978"/>
      <c r="MAC5" s="978"/>
      <c r="MAD5" s="978"/>
      <c r="MAE5" s="978"/>
      <c r="MAF5" s="978"/>
      <c r="MAG5" s="978"/>
      <c r="MAH5" s="978"/>
      <c r="MAI5" s="978"/>
      <c r="MAJ5" s="978"/>
      <c r="MAK5" s="978"/>
      <c r="MAL5" s="978"/>
      <c r="MAM5" s="978"/>
      <c r="MAN5" s="978"/>
      <c r="MAO5" s="978"/>
      <c r="MAP5" s="978"/>
      <c r="MAQ5" s="978"/>
      <c r="MAR5" s="978"/>
      <c r="MAS5" s="978"/>
      <c r="MAT5" s="978"/>
      <c r="MAU5" s="978"/>
      <c r="MAV5" s="978"/>
      <c r="MAW5" s="978"/>
      <c r="MAX5" s="978"/>
      <c r="MAY5" s="978"/>
      <c r="MAZ5" s="978"/>
      <c r="MBA5" s="978"/>
      <c r="MBB5" s="978"/>
      <c r="MBC5" s="978"/>
      <c r="MBD5" s="978"/>
      <c r="MBE5" s="978"/>
      <c r="MBF5" s="978"/>
      <c r="MBG5" s="978"/>
      <c r="MBH5" s="978"/>
      <c r="MBI5" s="978"/>
      <c r="MBJ5" s="978"/>
      <c r="MBK5" s="978"/>
      <c r="MBL5" s="978"/>
      <c r="MBM5" s="978"/>
      <c r="MBN5" s="978"/>
      <c r="MBO5" s="978"/>
      <c r="MBP5" s="978"/>
      <c r="MBQ5" s="978"/>
      <c r="MBR5" s="978"/>
      <c r="MBS5" s="978"/>
      <c r="MBT5" s="978"/>
      <c r="MBU5" s="978"/>
      <c r="MBV5" s="978"/>
      <c r="MBW5" s="978"/>
      <c r="MBX5" s="978"/>
      <c r="MBY5" s="978"/>
      <c r="MBZ5" s="978"/>
      <c r="MCA5" s="978"/>
      <c r="MCB5" s="978"/>
      <c r="MCC5" s="978"/>
      <c r="MCD5" s="978"/>
      <c r="MCE5" s="978"/>
      <c r="MCF5" s="978"/>
      <c r="MCG5" s="978"/>
      <c r="MCH5" s="978"/>
      <c r="MCI5" s="978"/>
      <c r="MCJ5" s="978"/>
      <c r="MCK5" s="978"/>
      <c r="MCL5" s="978"/>
      <c r="MCM5" s="978"/>
      <c r="MCN5" s="978"/>
      <c r="MCO5" s="978"/>
      <c r="MCP5" s="978"/>
      <c r="MCQ5" s="978"/>
      <c r="MCR5" s="978"/>
      <c r="MCS5" s="978"/>
      <c r="MCT5" s="978"/>
      <c r="MCU5" s="978"/>
      <c r="MCV5" s="978"/>
      <c r="MCW5" s="978"/>
      <c r="MCX5" s="978"/>
      <c r="MCY5" s="978"/>
      <c r="MCZ5" s="978"/>
      <c r="MDA5" s="978"/>
      <c r="MDB5" s="978"/>
      <c r="MDC5" s="978"/>
      <c r="MDD5" s="978"/>
      <c r="MDE5" s="978"/>
      <c r="MDF5" s="978"/>
      <c r="MDG5" s="978"/>
      <c r="MDH5" s="978"/>
      <c r="MDI5" s="978"/>
      <c r="MDJ5" s="978"/>
      <c r="MDK5" s="978"/>
      <c r="MDL5" s="978"/>
      <c r="MDM5" s="978"/>
      <c r="MDN5" s="978"/>
      <c r="MDO5" s="978"/>
      <c r="MDP5" s="978"/>
      <c r="MDQ5" s="978"/>
      <c r="MDR5" s="978"/>
      <c r="MDS5" s="978"/>
      <c r="MDT5" s="978"/>
      <c r="MDU5" s="978"/>
      <c r="MDV5" s="978"/>
      <c r="MDW5" s="978"/>
      <c r="MDX5" s="978"/>
      <c r="MDY5" s="978"/>
      <c r="MDZ5" s="978"/>
      <c r="MEA5" s="978"/>
      <c r="MEB5" s="978"/>
      <c r="MEC5" s="978"/>
      <c r="MED5" s="978"/>
      <c r="MEE5" s="978"/>
      <c r="MEF5" s="978"/>
      <c r="MEG5" s="978"/>
      <c r="MEH5" s="978"/>
      <c r="MEI5" s="978"/>
      <c r="MEJ5" s="978"/>
      <c r="MEK5" s="978"/>
      <c r="MEL5" s="978"/>
      <c r="MEM5" s="978"/>
      <c r="MEN5" s="978"/>
      <c r="MEO5" s="978"/>
      <c r="MEP5" s="978"/>
      <c r="MEQ5" s="978"/>
      <c r="MER5" s="978"/>
      <c r="MES5" s="978"/>
      <c r="MET5" s="978"/>
      <c r="MEU5" s="978"/>
      <c r="MEV5" s="978"/>
      <c r="MEW5" s="978"/>
      <c r="MEX5" s="978"/>
      <c r="MEY5" s="978"/>
      <c r="MEZ5" s="978"/>
      <c r="MFA5" s="978"/>
      <c r="MFB5" s="978"/>
      <c r="MFC5" s="978"/>
      <c r="MFD5" s="978"/>
      <c r="MFE5" s="978"/>
      <c r="MFF5" s="978"/>
      <c r="MFG5" s="978"/>
      <c r="MFH5" s="978"/>
      <c r="MFI5" s="978"/>
      <c r="MFJ5" s="978"/>
      <c r="MFK5" s="978"/>
      <c r="MFL5" s="978"/>
      <c r="MFM5" s="978"/>
      <c r="MFN5" s="978"/>
      <c r="MFO5" s="978"/>
      <c r="MFP5" s="978"/>
      <c r="MFQ5" s="978"/>
      <c r="MFR5" s="978"/>
      <c r="MFS5" s="978"/>
      <c r="MFT5" s="978"/>
      <c r="MFU5" s="978"/>
      <c r="MFV5" s="978"/>
      <c r="MFW5" s="978"/>
      <c r="MFX5" s="978"/>
      <c r="MFY5" s="978"/>
      <c r="MFZ5" s="978"/>
      <c r="MGA5" s="978"/>
      <c r="MGB5" s="978"/>
      <c r="MGC5" s="978"/>
      <c r="MGD5" s="978"/>
      <c r="MGE5" s="978"/>
      <c r="MGF5" s="978"/>
      <c r="MGG5" s="978"/>
      <c r="MGH5" s="978"/>
      <c r="MGI5" s="978"/>
      <c r="MGJ5" s="978"/>
      <c r="MGK5" s="978"/>
      <c r="MGL5" s="978"/>
      <c r="MGM5" s="978"/>
      <c r="MGN5" s="978"/>
      <c r="MGO5" s="978"/>
      <c r="MGP5" s="978"/>
      <c r="MGQ5" s="978"/>
      <c r="MGR5" s="978"/>
      <c r="MGS5" s="978"/>
      <c r="MGT5" s="978"/>
      <c r="MGU5" s="978"/>
      <c r="MGV5" s="978"/>
      <c r="MGW5" s="978"/>
      <c r="MGX5" s="978"/>
      <c r="MGY5" s="978"/>
      <c r="MGZ5" s="978"/>
      <c r="MHA5" s="978"/>
      <c r="MHB5" s="978"/>
      <c r="MHC5" s="978"/>
      <c r="MHD5" s="978"/>
      <c r="MHE5" s="978"/>
      <c r="MHF5" s="978"/>
      <c r="MHG5" s="978"/>
      <c r="MHH5" s="978"/>
      <c r="MHI5" s="978"/>
      <c r="MHJ5" s="978"/>
      <c r="MHK5" s="978"/>
      <c r="MHL5" s="978"/>
      <c r="MHM5" s="978"/>
      <c r="MHN5" s="978"/>
      <c r="MHO5" s="978"/>
      <c r="MHP5" s="978"/>
      <c r="MHQ5" s="978"/>
      <c r="MHR5" s="978"/>
      <c r="MHS5" s="978"/>
      <c r="MHT5" s="978"/>
      <c r="MHU5" s="978"/>
      <c r="MHV5" s="978"/>
      <c r="MHW5" s="978"/>
      <c r="MHX5" s="978"/>
      <c r="MHY5" s="978"/>
      <c r="MHZ5" s="978"/>
      <c r="MIA5" s="978"/>
      <c r="MIB5" s="978"/>
      <c r="MIC5" s="978"/>
      <c r="MID5" s="978"/>
      <c r="MIE5" s="978"/>
      <c r="MIF5" s="978"/>
      <c r="MIG5" s="978"/>
      <c r="MIH5" s="978"/>
      <c r="MII5" s="978"/>
      <c r="MIJ5" s="978"/>
      <c r="MIK5" s="978"/>
      <c r="MIL5" s="978"/>
      <c r="MIM5" s="978"/>
      <c r="MIN5" s="978"/>
      <c r="MIO5" s="978"/>
      <c r="MIP5" s="978"/>
      <c r="MIQ5" s="978"/>
      <c r="MIR5" s="978"/>
      <c r="MIS5" s="978"/>
      <c r="MIT5" s="978"/>
      <c r="MIU5" s="978"/>
      <c r="MIV5" s="978"/>
      <c r="MIW5" s="978"/>
      <c r="MIX5" s="978"/>
      <c r="MIY5" s="978"/>
      <c r="MIZ5" s="978"/>
      <c r="MJA5" s="978"/>
      <c r="MJB5" s="978"/>
      <c r="MJC5" s="978"/>
      <c r="MJD5" s="978"/>
      <c r="MJE5" s="978"/>
      <c r="MJF5" s="978"/>
      <c r="MJG5" s="978"/>
      <c r="MJH5" s="978"/>
      <c r="MJI5" s="978"/>
      <c r="MJJ5" s="978"/>
      <c r="MJK5" s="978"/>
      <c r="MJL5" s="978"/>
      <c r="MJM5" s="978"/>
      <c r="MJN5" s="978"/>
      <c r="MJO5" s="978"/>
      <c r="MJP5" s="978"/>
      <c r="MJQ5" s="978"/>
      <c r="MJR5" s="978"/>
      <c r="MJS5" s="978"/>
      <c r="MJT5" s="978"/>
      <c r="MJU5" s="978"/>
      <c r="MJV5" s="978"/>
      <c r="MJW5" s="978"/>
      <c r="MJX5" s="978"/>
      <c r="MJY5" s="978"/>
      <c r="MJZ5" s="978"/>
      <c r="MKA5" s="978"/>
      <c r="MKB5" s="978"/>
      <c r="MKC5" s="978"/>
      <c r="MKD5" s="978"/>
      <c r="MKE5" s="978"/>
      <c r="MKF5" s="978"/>
      <c r="MKG5" s="978"/>
      <c r="MKH5" s="978"/>
      <c r="MKI5" s="978"/>
      <c r="MKJ5" s="978"/>
      <c r="MKK5" s="978"/>
      <c r="MKL5" s="978"/>
      <c r="MKM5" s="978"/>
      <c r="MKN5" s="978"/>
      <c r="MKO5" s="978"/>
      <c r="MKP5" s="978"/>
      <c r="MKQ5" s="978"/>
      <c r="MKR5" s="978"/>
      <c r="MKS5" s="978"/>
      <c r="MKT5" s="978"/>
      <c r="MKU5" s="978"/>
      <c r="MKV5" s="978"/>
      <c r="MKW5" s="978"/>
      <c r="MKX5" s="978"/>
      <c r="MKY5" s="978"/>
      <c r="MKZ5" s="978"/>
      <c r="MLA5" s="978"/>
      <c r="MLB5" s="978"/>
      <c r="MLC5" s="978"/>
      <c r="MLD5" s="978"/>
      <c r="MLE5" s="978"/>
      <c r="MLF5" s="978"/>
      <c r="MLG5" s="978"/>
      <c r="MLH5" s="978"/>
      <c r="MLI5" s="978"/>
      <c r="MLJ5" s="978"/>
      <c r="MLK5" s="978"/>
      <c r="MLL5" s="978"/>
      <c r="MLM5" s="978"/>
      <c r="MLN5" s="978"/>
      <c r="MLO5" s="978"/>
      <c r="MLP5" s="978"/>
      <c r="MLQ5" s="978"/>
      <c r="MLR5" s="978"/>
      <c r="MLS5" s="978"/>
      <c r="MLT5" s="978"/>
      <c r="MLU5" s="978"/>
      <c r="MLV5" s="978"/>
      <c r="MLW5" s="978"/>
      <c r="MLX5" s="978"/>
      <c r="MLY5" s="978"/>
      <c r="MLZ5" s="978"/>
      <c r="MMA5" s="978"/>
      <c r="MMB5" s="978"/>
      <c r="MMC5" s="978"/>
      <c r="MMD5" s="978"/>
      <c r="MME5" s="978"/>
      <c r="MMF5" s="978"/>
      <c r="MMG5" s="978"/>
      <c r="MMH5" s="978"/>
      <c r="MMI5" s="978"/>
      <c r="MMJ5" s="978"/>
      <c r="MMK5" s="978"/>
      <c r="MML5" s="978"/>
      <c r="MMM5" s="978"/>
      <c r="MMN5" s="978"/>
      <c r="MMO5" s="978"/>
      <c r="MMP5" s="978"/>
      <c r="MMQ5" s="978"/>
      <c r="MMR5" s="978"/>
      <c r="MMS5" s="978"/>
      <c r="MMT5" s="978"/>
      <c r="MMU5" s="978"/>
      <c r="MMV5" s="978"/>
      <c r="MMW5" s="978"/>
      <c r="MMX5" s="978"/>
      <c r="MMY5" s="978"/>
      <c r="MMZ5" s="978"/>
      <c r="MNA5" s="978"/>
      <c r="MNB5" s="978"/>
      <c r="MNC5" s="978"/>
      <c r="MND5" s="978"/>
      <c r="MNE5" s="978"/>
      <c r="MNF5" s="978"/>
      <c r="MNG5" s="978"/>
      <c r="MNH5" s="978"/>
      <c r="MNI5" s="978"/>
      <c r="MNJ5" s="978"/>
      <c r="MNK5" s="978"/>
      <c r="MNL5" s="978"/>
      <c r="MNM5" s="978"/>
      <c r="MNN5" s="978"/>
      <c r="MNO5" s="978"/>
      <c r="MNP5" s="978"/>
      <c r="MNQ5" s="978"/>
      <c r="MNR5" s="978"/>
      <c r="MNS5" s="978"/>
      <c r="MNT5" s="978"/>
      <c r="MNU5" s="978"/>
      <c r="MNV5" s="978"/>
      <c r="MNW5" s="978"/>
      <c r="MNX5" s="978"/>
      <c r="MNY5" s="978"/>
      <c r="MNZ5" s="978"/>
      <c r="MOA5" s="978"/>
      <c r="MOB5" s="978"/>
      <c r="MOC5" s="978"/>
      <c r="MOD5" s="978"/>
      <c r="MOE5" s="978"/>
      <c r="MOF5" s="978"/>
      <c r="MOG5" s="978"/>
      <c r="MOH5" s="978"/>
      <c r="MOI5" s="978"/>
      <c r="MOJ5" s="978"/>
      <c r="MOK5" s="978"/>
      <c r="MOL5" s="978"/>
      <c r="MOM5" s="978"/>
      <c r="MON5" s="978"/>
      <c r="MOO5" s="978"/>
      <c r="MOP5" s="978"/>
      <c r="MOQ5" s="978"/>
      <c r="MOR5" s="978"/>
      <c r="MOS5" s="978"/>
      <c r="MOT5" s="978"/>
      <c r="MOU5" s="978"/>
      <c r="MOV5" s="978"/>
      <c r="MOW5" s="978"/>
      <c r="MOX5" s="978"/>
      <c r="MOY5" s="978"/>
      <c r="MOZ5" s="978"/>
      <c r="MPA5" s="978"/>
      <c r="MPB5" s="978"/>
      <c r="MPC5" s="978"/>
      <c r="MPD5" s="978"/>
      <c r="MPE5" s="978"/>
      <c r="MPF5" s="978"/>
      <c r="MPG5" s="978"/>
      <c r="MPH5" s="978"/>
      <c r="MPI5" s="978"/>
      <c r="MPJ5" s="978"/>
      <c r="MPK5" s="978"/>
      <c r="MPL5" s="978"/>
      <c r="MPM5" s="978"/>
      <c r="MPN5" s="978"/>
      <c r="MPO5" s="978"/>
      <c r="MPP5" s="978"/>
      <c r="MPQ5" s="978"/>
      <c r="MPR5" s="978"/>
      <c r="MPS5" s="978"/>
      <c r="MPT5" s="978"/>
      <c r="MPU5" s="978"/>
      <c r="MPV5" s="978"/>
      <c r="MPW5" s="978"/>
      <c r="MPX5" s="978"/>
      <c r="MPY5" s="978"/>
      <c r="MPZ5" s="978"/>
      <c r="MQA5" s="978"/>
      <c r="MQB5" s="978"/>
      <c r="MQC5" s="978"/>
      <c r="MQD5" s="978"/>
      <c r="MQE5" s="978"/>
      <c r="MQF5" s="978"/>
      <c r="MQG5" s="978"/>
      <c r="MQH5" s="978"/>
      <c r="MQI5" s="978"/>
      <c r="MQJ5" s="978"/>
      <c r="MQK5" s="978"/>
      <c r="MQL5" s="978"/>
      <c r="MQM5" s="978"/>
      <c r="MQN5" s="978"/>
      <c r="MQO5" s="978"/>
      <c r="MQP5" s="978"/>
      <c r="MQQ5" s="978"/>
      <c r="MQR5" s="978"/>
      <c r="MQS5" s="978"/>
      <c r="MQT5" s="978"/>
      <c r="MQU5" s="978"/>
      <c r="MQV5" s="978"/>
      <c r="MQW5" s="978"/>
      <c r="MQX5" s="978"/>
      <c r="MQY5" s="978"/>
      <c r="MQZ5" s="978"/>
      <c r="MRA5" s="978"/>
      <c r="MRB5" s="978"/>
      <c r="MRC5" s="978"/>
      <c r="MRD5" s="978"/>
      <c r="MRE5" s="978"/>
      <c r="MRF5" s="978"/>
      <c r="MRG5" s="978"/>
      <c r="MRH5" s="978"/>
      <c r="MRI5" s="978"/>
      <c r="MRJ5" s="978"/>
      <c r="MRK5" s="978"/>
      <c r="MRL5" s="978"/>
      <c r="MRM5" s="978"/>
      <c r="MRN5" s="978"/>
      <c r="MRO5" s="978"/>
      <c r="MRP5" s="978"/>
      <c r="MRQ5" s="978"/>
      <c r="MRR5" s="978"/>
      <c r="MRS5" s="978"/>
      <c r="MRT5" s="978"/>
      <c r="MRU5" s="978"/>
      <c r="MRV5" s="978"/>
      <c r="MRW5" s="978"/>
      <c r="MRX5" s="978"/>
      <c r="MRY5" s="978"/>
      <c r="MRZ5" s="978"/>
      <c r="MSA5" s="978"/>
      <c r="MSB5" s="978"/>
      <c r="MSC5" s="978"/>
      <c r="MSD5" s="978"/>
      <c r="MSE5" s="978"/>
      <c r="MSF5" s="978"/>
      <c r="MSG5" s="978"/>
      <c r="MSH5" s="978"/>
      <c r="MSI5" s="978"/>
      <c r="MSJ5" s="978"/>
      <c r="MSK5" s="978"/>
      <c r="MSL5" s="978"/>
      <c r="MSM5" s="978"/>
      <c r="MSN5" s="978"/>
      <c r="MSO5" s="978"/>
      <c r="MSP5" s="978"/>
      <c r="MSQ5" s="978"/>
      <c r="MSR5" s="978"/>
      <c r="MSS5" s="978"/>
      <c r="MST5" s="978"/>
      <c r="MSU5" s="978"/>
      <c r="MSV5" s="978"/>
      <c r="MSW5" s="978"/>
      <c r="MSX5" s="978"/>
      <c r="MSY5" s="978"/>
      <c r="MSZ5" s="978"/>
      <c r="MTA5" s="978"/>
      <c r="MTB5" s="978"/>
      <c r="MTC5" s="978"/>
      <c r="MTD5" s="978"/>
      <c r="MTE5" s="978"/>
      <c r="MTF5" s="978"/>
      <c r="MTG5" s="978"/>
      <c r="MTH5" s="978"/>
      <c r="MTI5" s="978"/>
      <c r="MTJ5" s="978"/>
      <c r="MTK5" s="978"/>
      <c r="MTL5" s="978"/>
      <c r="MTM5" s="978"/>
      <c r="MTN5" s="978"/>
      <c r="MTO5" s="978"/>
      <c r="MTP5" s="978"/>
      <c r="MTQ5" s="978"/>
      <c r="MTR5" s="978"/>
      <c r="MTS5" s="978"/>
      <c r="MTT5" s="978"/>
      <c r="MTU5" s="978"/>
      <c r="MTV5" s="978"/>
      <c r="MTW5" s="978"/>
      <c r="MTX5" s="978"/>
      <c r="MTY5" s="978"/>
      <c r="MTZ5" s="978"/>
      <c r="MUA5" s="978"/>
      <c r="MUB5" s="978"/>
      <c r="MUC5" s="978"/>
      <c r="MUD5" s="978"/>
      <c r="MUE5" s="978"/>
      <c r="MUF5" s="978"/>
      <c r="MUG5" s="978"/>
      <c r="MUH5" s="978"/>
      <c r="MUI5" s="978"/>
      <c r="MUJ5" s="978"/>
      <c r="MUK5" s="978"/>
      <c r="MUL5" s="978"/>
      <c r="MUM5" s="978"/>
      <c r="MUN5" s="978"/>
      <c r="MUO5" s="978"/>
      <c r="MUP5" s="978"/>
      <c r="MUQ5" s="978"/>
      <c r="MUR5" s="978"/>
      <c r="MUS5" s="978"/>
      <c r="MUT5" s="978"/>
      <c r="MUU5" s="978"/>
      <c r="MUV5" s="978"/>
      <c r="MUW5" s="978"/>
      <c r="MUX5" s="978"/>
      <c r="MUY5" s="978"/>
      <c r="MUZ5" s="978"/>
      <c r="MVA5" s="978"/>
      <c r="MVB5" s="978"/>
      <c r="MVC5" s="978"/>
      <c r="MVD5" s="978"/>
      <c r="MVE5" s="978"/>
      <c r="MVF5" s="978"/>
      <c r="MVG5" s="978"/>
      <c r="MVH5" s="978"/>
      <c r="MVI5" s="978"/>
      <c r="MVJ5" s="978"/>
      <c r="MVK5" s="978"/>
      <c r="MVL5" s="978"/>
      <c r="MVM5" s="978"/>
      <c r="MVN5" s="978"/>
      <c r="MVO5" s="978"/>
      <c r="MVP5" s="978"/>
      <c r="MVQ5" s="978"/>
      <c r="MVR5" s="978"/>
      <c r="MVS5" s="978"/>
      <c r="MVT5" s="978"/>
      <c r="MVU5" s="978"/>
      <c r="MVV5" s="978"/>
      <c r="MVW5" s="978"/>
      <c r="MVX5" s="978"/>
      <c r="MVY5" s="978"/>
      <c r="MVZ5" s="978"/>
      <c r="MWA5" s="978"/>
      <c r="MWB5" s="978"/>
      <c r="MWC5" s="978"/>
      <c r="MWD5" s="978"/>
      <c r="MWE5" s="978"/>
      <c r="MWF5" s="978"/>
      <c r="MWG5" s="978"/>
      <c r="MWH5" s="978"/>
      <c r="MWI5" s="978"/>
      <c r="MWJ5" s="978"/>
      <c r="MWK5" s="978"/>
      <c r="MWL5" s="978"/>
      <c r="MWM5" s="978"/>
      <c r="MWN5" s="978"/>
      <c r="MWO5" s="978"/>
      <c r="MWP5" s="978"/>
      <c r="MWQ5" s="978"/>
      <c r="MWR5" s="978"/>
      <c r="MWS5" s="978"/>
      <c r="MWT5" s="978"/>
      <c r="MWU5" s="978"/>
      <c r="MWV5" s="978"/>
      <c r="MWW5" s="978"/>
      <c r="MWX5" s="978"/>
      <c r="MWY5" s="978"/>
      <c r="MWZ5" s="978"/>
      <c r="MXA5" s="978"/>
      <c r="MXB5" s="978"/>
      <c r="MXC5" s="978"/>
      <c r="MXD5" s="978"/>
      <c r="MXE5" s="978"/>
      <c r="MXF5" s="978"/>
      <c r="MXG5" s="978"/>
      <c r="MXH5" s="978"/>
      <c r="MXI5" s="978"/>
      <c r="MXJ5" s="978"/>
      <c r="MXK5" s="978"/>
      <c r="MXL5" s="978"/>
      <c r="MXM5" s="978"/>
      <c r="MXN5" s="978"/>
      <c r="MXO5" s="978"/>
      <c r="MXP5" s="978"/>
      <c r="MXQ5" s="978"/>
      <c r="MXR5" s="978"/>
      <c r="MXS5" s="978"/>
      <c r="MXT5" s="978"/>
      <c r="MXU5" s="978"/>
      <c r="MXV5" s="978"/>
      <c r="MXW5" s="978"/>
      <c r="MXX5" s="978"/>
      <c r="MXY5" s="978"/>
      <c r="MXZ5" s="978"/>
      <c r="MYA5" s="978"/>
      <c r="MYB5" s="978"/>
      <c r="MYC5" s="978"/>
      <c r="MYD5" s="978"/>
      <c r="MYE5" s="978"/>
      <c r="MYF5" s="978"/>
      <c r="MYG5" s="978"/>
      <c r="MYH5" s="978"/>
      <c r="MYI5" s="978"/>
      <c r="MYJ5" s="978"/>
      <c r="MYK5" s="978"/>
      <c r="MYL5" s="978"/>
      <c r="MYM5" s="978"/>
      <c r="MYN5" s="978"/>
      <c r="MYO5" s="978"/>
      <c r="MYP5" s="978"/>
      <c r="MYQ5" s="978"/>
      <c r="MYR5" s="978"/>
      <c r="MYS5" s="978"/>
      <c r="MYT5" s="978"/>
      <c r="MYU5" s="978"/>
      <c r="MYV5" s="978"/>
      <c r="MYW5" s="978"/>
      <c r="MYX5" s="978"/>
      <c r="MYY5" s="978"/>
      <c r="MYZ5" s="978"/>
      <c r="MZA5" s="978"/>
      <c r="MZB5" s="978"/>
      <c r="MZC5" s="978"/>
      <c r="MZD5" s="978"/>
      <c r="MZE5" s="978"/>
      <c r="MZF5" s="978"/>
      <c r="MZG5" s="978"/>
      <c r="MZH5" s="978"/>
      <c r="MZI5" s="978"/>
      <c r="MZJ5" s="978"/>
      <c r="MZK5" s="978"/>
      <c r="MZL5" s="978"/>
      <c r="MZM5" s="978"/>
      <c r="MZN5" s="978"/>
      <c r="MZO5" s="978"/>
      <c r="MZP5" s="978"/>
      <c r="MZQ5" s="978"/>
      <c r="MZR5" s="978"/>
      <c r="MZS5" s="978"/>
      <c r="MZT5" s="978"/>
      <c r="MZU5" s="978"/>
      <c r="MZV5" s="978"/>
      <c r="MZW5" s="978"/>
      <c r="MZX5" s="978"/>
      <c r="MZY5" s="978"/>
      <c r="MZZ5" s="978"/>
      <c r="NAA5" s="978"/>
      <c r="NAB5" s="978"/>
      <c r="NAC5" s="978"/>
      <c r="NAD5" s="978"/>
      <c r="NAE5" s="978"/>
      <c r="NAF5" s="978"/>
      <c r="NAG5" s="978"/>
      <c r="NAH5" s="978"/>
      <c r="NAI5" s="978"/>
      <c r="NAJ5" s="978"/>
      <c r="NAK5" s="978"/>
      <c r="NAL5" s="978"/>
      <c r="NAM5" s="978"/>
      <c r="NAN5" s="978"/>
      <c r="NAO5" s="978"/>
      <c r="NAP5" s="978"/>
      <c r="NAQ5" s="978"/>
      <c r="NAR5" s="978"/>
      <c r="NAS5" s="978"/>
      <c r="NAT5" s="978"/>
      <c r="NAU5" s="978"/>
      <c r="NAV5" s="978"/>
      <c r="NAW5" s="978"/>
      <c r="NAX5" s="978"/>
      <c r="NAY5" s="978"/>
      <c r="NAZ5" s="978"/>
      <c r="NBA5" s="978"/>
      <c r="NBB5" s="978"/>
      <c r="NBC5" s="978"/>
      <c r="NBD5" s="978"/>
      <c r="NBE5" s="978"/>
      <c r="NBF5" s="978"/>
      <c r="NBG5" s="978"/>
      <c r="NBH5" s="978"/>
      <c r="NBI5" s="978"/>
      <c r="NBJ5" s="978"/>
      <c r="NBK5" s="978"/>
      <c r="NBL5" s="978"/>
      <c r="NBM5" s="978"/>
      <c r="NBN5" s="978"/>
      <c r="NBO5" s="978"/>
      <c r="NBP5" s="978"/>
      <c r="NBQ5" s="978"/>
      <c r="NBR5" s="978"/>
      <c r="NBS5" s="978"/>
      <c r="NBT5" s="978"/>
      <c r="NBU5" s="978"/>
      <c r="NBV5" s="978"/>
      <c r="NBW5" s="978"/>
      <c r="NBX5" s="978"/>
      <c r="NBY5" s="978"/>
      <c r="NBZ5" s="978"/>
      <c r="NCA5" s="978"/>
      <c r="NCB5" s="978"/>
      <c r="NCC5" s="978"/>
      <c r="NCD5" s="978"/>
      <c r="NCE5" s="978"/>
      <c r="NCF5" s="978"/>
      <c r="NCG5" s="978"/>
      <c r="NCH5" s="978"/>
      <c r="NCI5" s="978"/>
      <c r="NCJ5" s="978"/>
      <c r="NCK5" s="978"/>
      <c r="NCL5" s="978"/>
      <c r="NCM5" s="978"/>
      <c r="NCN5" s="978"/>
      <c r="NCO5" s="978"/>
      <c r="NCP5" s="978"/>
      <c r="NCQ5" s="978"/>
      <c r="NCR5" s="978"/>
      <c r="NCS5" s="978"/>
      <c r="NCT5" s="978"/>
      <c r="NCU5" s="978"/>
      <c r="NCV5" s="978"/>
      <c r="NCW5" s="978"/>
      <c r="NCX5" s="978"/>
      <c r="NCY5" s="978"/>
      <c r="NCZ5" s="978"/>
      <c r="NDA5" s="978"/>
      <c r="NDB5" s="978"/>
      <c r="NDC5" s="978"/>
      <c r="NDD5" s="978"/>
      <c r="NDE5" s="978"/>
      <c r="NDF5" s="978"/>
      <c r="NDG5" s="978"/>
      <c r="NDH5" s="978"/>
      <c r="NDI5" s="978"/>
      <c r="NDJ5" s="978"/>
      <c r="NDK5" s="978"/>
      <c r="NDL5" s="978"/>
      <c r="NDM5" s="978"/>
      <c r="NDN5" s="978"/>
      <c r="NDO5" s="978"/>
      <c r="NDP5" s="978"/>
      <c r="NDQ5" s="978"/>
      <c r="NDR5" s="978"/>
      <c r="NDS5" s="978"/>
      <c r="NDT5" s="978"/>
      <c r="NDU5" s="978"/>
      <c r="NDV5" s="978"/>
      <c r="NDW5" s="978"/>
      <c r="NDX5" s="978"/>
      <c r="NDY5" s="978"/>
      <c r="NDZ5" s="978"/>
      <c r="NEA5" s="978"/>
      <c r="NEB5" s="978"/>
      <c r="NEC5" s="978"/>
      <c r="NED5" s="978"/>
      <c r="NEE5" s="978"/>
      <c r="NEF5" s="978"/>
      <c r="NEG5" s="978"/>
      <c r="NEH5" s="978"/>
      <c r="NEI5" s="978"/>
      <c r="NEJ5" s="978"/>
      <c r="NEK5" s="978"/>
      <c r="NEL5" s="978"/>
      <c r="NEM5" s="978"/>
      <c r="NEN5" s="978"/>
      <c r="NEO5" s="978"/>
      <c r="NEP5" s="978"/>
      <c r="NEQ5" s="978"/>
      <c r="NER5" s="978"/>
      <c r="NES5" s="978"/>
      <c r="NET5" s="978"/>
      <c r="NEU5" s="978"/>
      <c r="NEV5" s="978"/>
      <c r="NEW5" s="978"/>
      <c r="NEX5" s="978"/>
      <c r="NEY5" s="978"/>
      <c r="NEZ5" s="978"/>
      <c r="NFA5" s="978"/>
      <c r="NFB5" s="978"/>
      <c r="NFC5" s="978"/>
      <c r="NFD5" s="978"/>
      <c r="NFE5" s="978"/>
      <c r="NFF5" s="978"/>
      <c r="NFG5" s="978"/>
      <c r="NFH5" s="978"/>
      <c r="NFI5" s="978"/>
      <c r="NFJ5" s="978"/>
      <c r="NFK5" s="978"/>
      <c r="NFL5" s="978"/>
      <c r="NFM5" s="978"/>
      <c r="NFN5" s="978"/>
      <c r="NFO5" s="978"/>
      <c r="NFP5" s="978"/>
      <c r="NFQ5" s="978"/>
      <c r="NFR5" s="978"/>
      <c r="NFS5" s="978"/>
      <c r="NFT5" s="978"/>
      <c r="NFU5" s="978"/>
      <c r="NFV5" s="978"/>
      <c r="NFW5" s="978"/>
      <c r="NFX5" s="978"/>
      <c r="NFY5" s="978"/>
      <c r="NFZ5" s="978"/>
      <c r="NGA5" s="978"/>
      <c r="NGB5" s="978"/>
      <c r="NGC5" s="978"/>
      <c r="NGD5" s="978"/>
      <c r="NGE5" s="978"/>
      <c r="NGF5" s="978"/>
      <c r="NGG5" s="978"/>
      <c r="NGH5" s="978"/>
      <c r="NGI5" s="978"/>
      <c r="NGJ5" s="978"/>
      <c r="NGK5" s="978"/>
      <c r="NGL5" s="978"/>
      <c r="NGM5" s="978"/>
      <c r="NGN5" s="978"/>
      <c r="NGO5" s="978"/>
      <c r="NGP5" s="978"/>
      <c r="NGQ5" s="978"/>
      <c r="NGR5" s="978"/>
      <c r="NGS5" s="978"/>
      <c r="NGT5" s="978"/>
      <c r="NGU5" s="978"/>
      <c r="NGV5" s="978"/>
      <c r="NGW5" s="978"/>
      <c r="NGX5" s="978"/>
      <c r="NGY5" s="978"/>
      <c r="NGZ5" s="978"/>
      <c r="NHA5" s="978"/>
      <c r="NHB5" s="978"/>
      <c r="NHC5" s="978"/>
      <c r="NHD5" s="978"/>
      <c r="NHE5" s="978"/>
      <c r="NHF5" s="978"/>
      <c r="NHG5" s="978"/>
      <c r="NHH5" s="978"/>
      <c r="NHI5" s="978"/>
      <c r="NHJ5" s="978"/>
      <c r="NHK5" s="978"/>
      <c r="NHL5" s="978"/>
      <c r="NHM5" s="978"/>
      <c r="NHN5" s="978"/>
      <c r="NHO5" s="978"/>
      <c r="NHP5" s="978"/>
      <c r="NHQ5" s="978"/>
      <c r="NHR5" s="978"/>
      <c r="NHS5" s="978"/>
      <c r="NHT5" s="978"/>
      <c r="NHU5" s="978"/>
      <c r="NHV5" s="978"/>
      <c r="NHW5" s="978"/>
      <c r="NHX5" s="978"/>
      <c r="NHY5" s="978"/>
      <c r="NHZ5" s="978"/>
      <c r="NIA5" s="978"/>
      <c r="NIB5" s="978"/>
      <c r="NIC5" s="978"/>
      <c r="NID5" s="978"/>
      <c r="NIE5" s="978"/>
      <c r="NIF5" s="978"/>
      <c r="NIG5" s="978"/>
      <c r="NIH5" s="978"/>
      <c r="NII5" s="978"/>
      <c r="NIJ5" s="978"/>
      <c r="NIK5" s="978"/>
      <c r="NIL5" s="978"/>
      <c r="NIM5" s="978"/>
      <c r="NIN5" s="978"/>
      <c r="NIO5" s="978"/>
      <c r="NIP5" s="978"/>
      <c r="NIQ5" s="978"/>
      <c r="NIR5" s="978"/>
      <c r="NIS5" s="978"/>
      <c r="NIT5" s="978"/>
      <c r="NIU5" s="978"/>
      <c r="NIV5" s="978"/>
      <c r="NIW5" s="978"/>
      <c r="NIX5" s="978"/>
      <c r="NIY5" s="978"/>
      <c r="NIZ5" s="978"/>
      <c r="NJA5" s="978"/>
      <c r="NJB5" s="978"/>
      <c r="NJC5" s="978"/>
      <c r="NJD5" s="978"/>
      <c r="NJE5" s="978"/>
      <c r="NJF5" s="978"/>
      <c r="NJG5" s="978"/>
      <c r="NJH5" s="978"/>
      <c r="NJI5" s="978"/>
      <c r="NJJ5" s="978"/>
      <c r="NJK5" s="978"/>
      <c r="NJL5" s="978"/>
      <c r="NJM5" s="978"/>
      <c r="NJN5" s="978"/>
      <c r="NJO5" s="978"/>
      <c r="NJP5" s="978"/>
      <c r="NJQ5" s="978"/>
      <c r="NJR5" s="978"/>
      <c r="NJS5" s="978"/>
      <c r="NJT5" s="978"/>
      <c r="NJU5" s="978"/>
      <c r="NJV5" s="978"/>
      <c r="NJW5" s="978"/>
      <c r="NJX5" s="978"/>
      <c r="NJY5" s="978"/>
      <c r="NJZ5" s="978"/>
      <c r="NKA5" s="978"/>
      <c r="NKB5" s="978"/>
      <c r="NKC5" s="978"/>
      <c r="NKD5" s="978"/>
      <c r="NKE5" s="978"/>
      <c r="NKF5" s="978"/>
      <c r="NKG5" s="978"/>
      <c r="NKH5" s="978"/>
      <c r="NKI5" s="978"/>
      <c r="NKJ5" s="978"/>
      <c r="NKK5" s="978"/>
      <c r="NKL5" s="978"/>
      <c r="NKM5" s="978"/>
      <c r="NKN5" s="978"/>
      <c r="NKO5" s="978"/>
      <c r="NKP5" s="978"/>
      <c r="NKQ5" s="978"/>
      <c r="NKR5" s="978"/>
      <c r="NKS5" s="978"/>
      <c r="NKT5" s="978"/>
      <c r="NKU5" s="978"/>
      <c r="NKV5" s="978"/>
      <c r="NKW5" s="978"/>
      <c r="NKX5" s="978"/>
      <c r="NKY5" s="978"/>
      <c r="NKZ5" s="978"/>
      <c r="NLA5" s="978"/>
      <c r="NLB5" s="978"/>
      <c r="NLC5" s="978"/>
      <c r="NLD5" s="978"/>
      <c r="NLE5" s="978"/>
      <c r="NLF5" s="978"/>
      <c r="NLG5" s="978"/>
      <c r="NLH5" s="978"/>
      <c r="NLI5" s="978"/>
      <c r="NLJ5" s="978"/>
      <c r="NLK5" s="978"/>
      <c r="NLL5" s="978"/>
      <c r="NLM5" s="978"/>
      <c r="NLN5" s="978"/>
      <c r="NLO5" s="978"/>
      <c r="NLP5" s="978"/>
      <c r="NLQ5" s="978"/>
      <c r="NLR5" s="978"/>
      <c r="NLS5" s="978"/>
      <c r="NLT5" s="978"/>
      <c r="NLU5" s="978"/>
      <c r="NLV5" s="978"/>
      <c r="NLW5" s="978"/>
      <c r="NLX5" s="978"/>
      <c r="NLY5" s="978"/>
      <c r="NLZ5" s="978"/>
      <c r="NMA5" s="978"/>
      <c r="NMB5" s="978"/>
      <c r="NMC5" s="978"/>
      <c r="NMD5" s="978"/>
      <c r="NME5" s="978"/>
      <c r="NMF5" s="978"/>
      <c r="NMG5" s="978"/>
      <c r="NMH5" s="978"/>
      <c r="NMI5" s="978"/>
      <c r="NMJ5" s="978"/>
      <c r="NMK5" s="978"/>
      <c r="NML5" s="978"/>
      <c r="NMM5" s="978"/>
      <c r="NMN5" s="978"/>
      <c r="NMO5" s="978"/>
      <c r="NMP5" s="978"/>
      <c r="NMQ5" s="978"/>
      <c r="NMR5" s="978"/>
      <c r="NMS5" s="978"/>
      <c r="NMT5" s="978"/>
      <c r="NMU5" s="978"/>
      <c r="NMV5" s="978"/>
      <c r="NMW5" s="978"/>
      <c r="NMX5" s="978"/>
      <c r="NMY5" s="978"/>
      <c r="NMZ5" s="978"/>
      <c r="NNA5" s="978"/>
      <c r="NNB5" s="978"/>
      <c r="NNC5" s="978"/>
      <c r="NND5" s="978"/>
      <c r="NNE5" s="978"/>
      <c r="NNF5" s="978"/>
      <c r="NNG5" s="978"/>
      <c r="NNH5" s="978"/>
      <c r="NNI5" s="978"/>
      <c r="NNJ5" s="978"/>
      <c r="NNK5" s="978"/>
      <c r="NNL5" s="978"/>
      <c r="NNM5" s="978"/>
      <c r="NNN5" s="978"/>
      <c r="NNO5" s="978"/>
      <c r="NNP5" s="978"/>
      <c r="NNQ5" s="978"/>
      <c r="NNR5" s="978"/>
      <c r="NNS5" s="978"/>
      <c r="NNT5" s="978"/>
      <c r="NNU5" s="978"/>
      <c r="NNV5" s="978"/>
      <c r="NNW5" s="978"/>
      <c r="NNX5" s="978"/>
      <c r="NNY5" s="978"/>
      <c r="NNZ5" s="978"/>
      <c r="NOA5" s="978"/>
      <c r="NOB5" s="978"/>
      <c r="NOC5" s="978"/>
      <c r="NOD5" s="978"/>
      <c r="NOE5" s="978"/>
      <c r="NOF5" s="978"/>
      <c r="NOG5" s="978"/>
      <c r="NOH5" s="978"/>
      <c r="NOI5" s="978"/>
      <c r="NOJ5" s="978"/>
      <c r="NOK5" s="978"/>
      <c r="NOL5" s="978"/>
      <c r="NOM5" s="978"/>
      <c r="NON5" s="978"/>
      <c r="NOO5" s="978"/>
      <c r="NOP5" s="978"/>
      <c r="NOQ5" s="978"/>
      <c r="NOR5" s="978"/>
      <c r="NOS5" s="978"/>
      <c r="NOT5" s="978"/>
      <c r="NOU5" s="978"/>
      <c r="NOV5" s="978"/>
      <c r="NOW5" s="978"/>
      <c r="NOX5" s="978"/>
      <c r="NOY5" s="978"/>
      <c r="NOZ5" s="978"/>
      <c r="NPA5" s="978"/>
      <c r="NPB5" s="978"/>
      <c r="NPC5" s="978"/>
      <c r="NPD5" s="978"/>
      <c r="NPE5" s="978"/>
      <c r="NPF5" s="978"/>
      <c r="NPG5" s="978"/>
      <c r="NPH5" s="978"/>
      <c r="NPI5" s="978"/>
      <c r="NPJ5" s="978"/>
      <c r="NPK5" s="978"/>
      <c r="NPL5" s="978"/>
      <c r="NPM5" s="978"/>
      <c r="NPN5" s="978"/>
      <c r="NPO5" s="978"/>
      <c r="NPP5" s="978"/>
      <c r="NPQ5" s="978"/>
      <c r="NPR5" s="978"/>
      <c r="NPS5" s="978"/>
      <c r="NPT5" s="978"/>
      <c r="NPU5" s="978"/>
      <c r="NPV5" s="978"/>
      <c r="NPW5" s="978"/>
      <c r="NPX5" s="978"/>
      <c r="NPY5" s="978"/>
      <c r="NPZ5" s="978"/>
      <c r="NQA5" s="978"/>
      <c r="NQB5" s="978"/>
      <c r="NQC5" s="978"/>
      <c r="NQD5" s="978"/>
      <c r="NQE5" s="978"/>
      <c r="NQF5" s="978"/>
      <c r="NQG5" s="978"/>
      <c r="NQH5" s="978"/>
      <c r="NQI5" s="978"/>
      <c r="NQJ5" s="978"/>
      <c r="NQK5" s="978"/>
      <c r="NQL5" s="978"/>
      <c r="NQM5" s="978"/>
      <c r="NQN5" s="978"/>
      <c r="NQO5" s="978"/>
      <c r="NQP5" s="978"/>
      <c r="NQQ5" s="978"/>
      <c r="NQR5" s="978"/>
      <c r="NQS5" s="978"/>
      <c r="NQT5" s="978"/>
      <c r="NQU5" s="978"/>
      <c r="NQV5" s="978"/>
      <c r="NQW5" s="978"/>
      <c r="NQX5" s="978"/>
      <c r="NQY5" s="978"/>
      <c r="NQZ5" s="978"/>
      <c r="NRA5" s="978"/>
      <c r="NRB5" s="978"/>
      <c r="NRC5" s="978"/>
      <c r="NRD5" s="978"/>
      <c r="NRE5" s="978"/>
      <c r="NRF5" s="978"/>
      <c r="NRG5" s="978"/>
      <c r="NRH5" s="978"/>
      <c r="NRI5" s="978"/>
      <c r="NRJ5" s="978"/>
      <c r="NRK5" s="978"/>
      <c r="NRL5" s="978"/>
      <c r="NRM5" s="978"/>
      <c r="NRN5" s="978"/>
      <c r="NRO5" s="978"/>
      <c r="NRP5" s="978"/>
      <c r="NRQ5" s="978"/>
      <c r="NRR5" s="978"/>
      <c r="NRS5" s="978"/>
      <c r="NRT5" s="978"/>
      <c r="NRU5" s="978"/>
      <c r="NRV5" s="978"/>
      <c r="NRW5" s="978"/>
      <c r="NRX5" s="978"/>
      <c r="NRY5" s="978"/>
      <c r="NRZ5" s="978"/>
      <c r="NSA5" s="978"/>
      <c r="NSB5" s="978"/>
      <c r="NSC5" s="978"/>
      <c r="NSD5" s="978"/>
      <c r="NSE5" s="978"/>
      <c r="NSF5" s="978"/>
      <c r="NSG5" s="978"/>
      <c r="NSH5" s="978"/>
      <c r="NSI5" s="978"/>
      <c r="NSJ5" s="978"/>
      <c r="NSK5" s="978"/>
      <c r="NSL5" s="978"/>
      <c r="NSM5" s="978"/>
      <c r="NSN5" s="978"/>
      <c r="NSO5" s="978"/>
      <c r="NSP5" s="978"/>
      <c r="NSQ5" s="978"/>
      <c r="NSR5" s="978"/>
      <c r="NSS5" s="978"/>
      <c r="NST5" s="978"/>
      <c r="NSU5" s="978"/>
      <c r="NSV5" s="978"/>
      <c r="NSW5" s="978"/>
      <c r="NSX5" s="978"/>
      <c r="NSY5" s="978"/>
      <c r="NSZ5" s="978"/>
      <c r="NTA5" s="978"/>
      <c r="NTB5" s="978"/>
      <c r="NTC5" s="978"/>
      <c r="NTD5" s="978"/>
      <c r="NTE5" s="978"/>
      <c r="NTF5" s="978"/>
      <c r="NTG5" s="978"/>
      <c r="NTH5" s="978"/>
      <c r="NTI5" s="978"/>
      <c r="NTJ5" s="978"/>
      <c r="NTK5" s="978"/>
      <c r="NTL5" s="978"/>
      <c r="NTM5" s="978"/>
      <c r="NTN5" s="978"/>
      <c r="NTO5" s="978"/>
      <c r="NTP5" s="978"/>
      <c r="NTQ5" s="978"/>
      <c r="NTR5" s="978"/>
      <c r="NTS5" s="978"/>
      <c r="NTT5" s="978"/>
      <c r="NTU5" s="978"/>
      <c r="NTV5" s="978"/>
      <c r="NTW5" s="978"/>
      <c r="NTX5" s="978"/>
      <c r="NTY5" s="978"/>
      <c r="NTZ5" s="978"/>
      <c r="NUA5" s="978"/>
      <c r="NUB5" s="978"/>
      <c r="NUC5" s="978"/>
      <c r="NUD5" s="978"/>
      <c r="NUE5" s="978"/>
      <c r="NUF5" s="978"/>
      <c r="NUG5" s="978"/>
      <c r="NUH5" s="978"/>
      <c r="NUI5" s="978"/>
      <c r="NUJ5" s="978"/>
      <c r="NUK5" s="978"/>
      <c r="NUL5" s="978"/>
      <c r="NUM5" s="978"/>
      <c r="NUN5" s="978"/>
      <c r="NUO5" s="978"/>
      <c r="NUP5" s="978"/>
      <c r="NUQ5" s="978"/>
      <c r="NUR5" s="978"/>
      <c r="NUS5" s="978"/>
      <c r="NUT5" s="978"/>
      <c r="NUU5" s="978"/>
      <c r="NUV5" s="978"/>
      <c r="NUW5" s="978"/>
      <c r="NUX5" s="978"/>
      <c r="NUY5" s="978"/>
      <c r="NUZ5" s="978"/>
      <c r="NVA5" s="978"/>
      <c r="NVB5" s="978"/>
      <c r="NVC5" s="978"/>
      <c r="NVD5" s="978"/>
      <c r="NVE5" s="978"/>
      <c r="NVF5" s="978"/>
      <c r="NVG5" s="978"/>
      <c r="NVH5" s="978"/>
      <c r="NVI5" s="978"/>
      <c r="NVJ5" s="978"/>
      <c r="NVK5" s="978"/>
      <c r="NVL5" s="978"/>
      <c r="NVM5" s="978"/>
      <c r="NVN5" s="978"/>
      <c r="NVO5" s="978"/>
      <c r="NVP5" s="978"/>
      <c r="NVQ5" s="978"/>
      <c r="NVR5" s="978"/>
      <c r="NVS5" s="978"/>
      <c r="NVT5" s="978"/>
      <c r="NVU5" s="978"/>
      <c r="NVV5" s="978"/>
      <c r="NVW5" s="978"/>
      <c r="NVX5" s="978"/>
      <c r="NVY5" s="978"/>
      <c r="NVZ5" s="978"/>
      <c r="NWA5" s="978"/>
      <c r="NWB5" s="978"/>
      <c r="NWC5" s="978"/>
      <c r="NWD5" s="978"/>
      <c r="NWE5" s="978"/>
      <c r="NWF5" s="978"/>
      <c r="NWG5" s="978"/>
      <c r="NWH5" s="978"/>
      <c r="NWI5" s="978"/>
      <c r="NWJ5" s="978"/>
      <c r="NWK5" s="978"/>
      <c r="NWL5" s="978"/>
      <c r="NWM5" s="978"/>
      <c r="NWN5" s="978"/>
      <c r="NWO5" s="978"/>
      <c r="NWP5" s="978"/>
      <c r="NWQ5" s="978"/>
      <c r="NWR5" s="978"/>
      <c r="NWS5" s="978"/>
      <c r="NWT5" s="978"/>
      <c r="NWU5" s="978"/>
      <c r="NWV5" s="978"/>
      <c r="NWW5" s="978"/>
      <c r="NWX5" s="978"/>
      <c r="NWY5" s="978"/>
      <c r="NWZ5" s="978"/>
      <c r="NXA5" s="978"/>
      <c r="NXB5" s="978"/>
      <c r="NXC5" s="978"/>
      <c r="NXD5" s="978"/>
      <c r="NXE5" s="978"/>
      <c r="NXF5" s="978"/>
      <c r="NXG5" s="978"/>
      <c r="NXH5" s="978"/>
      <c r="NXI5" s="978"/>
      <c r="NXJ5" s="978"/>
      <c r="NXK5" s="978"/>
      <c r="NXL5" s="978"/>
      <c r="NXM5" s="978"/>
      <c r="NXN5" s="978"/>
      <c r="NXO5" s="978"/>
      <c r="NXP5" s="978"/>
      <c r="NXQ5" s="978"/>
      <c r="NXR5" s="978"/>
      <c r="NXS5" s="978"/>
      <c r="NXT5" s="978"/>
      <c r="NXU5" s="978"/>
      <c r="NXV5" s="978"/>
      <c r="NXW5" s="978"/>
      <c r="NXX5" s="978"/>
      <c r="NXY5" s="978"/>
      <c r="NXZ5" s="978"/>
      <c r="NYA5" s="978"/>
      <c r="NYB5" s="978"/>
      <c r="NYC5" s="978"/>
      <c r="NYD5" s="978"/>
      <c r="NYE5" s="978"/>
      <c r="NYF5" s="978"/>
      <c r="NYG5" s="978"/>
      <c r="NYH5" s="978"/>
      <c r="NYI5" s="978"/>
      <c r="NYJ5" s="978"/>
      <c r="NYK5" s="978"/>
      <c r="NYL5" s="978"/>
      <c r="NYM5" s="978"/>
      <c r="NYN5" s="978"/>
      <c r="NYO5" s="978"/>
      <c r="NYP5" s="978"/>
      <c r="NYQ5" s="978"/>
      <c r="NYR5" s="978"/>
      <c r="NYS5" s="978"/>
      <c r="NYT5" s="978"/>
      <c r="NYU5" s="978"/>
      <c r="NYV5" s="978"/>
      <c r="NYW5" s="978"/>
      <c r="NYX5" s="978"/>
      <c r="NYY5" s="978"/>
      <c r="NYZ5" s="978"/>
      <c r="NZA5" s="978"/>
      <c r="NZB5" s="978"/>
      <c r="NZC5" s="978"/>
      <c r="NZD5" s="978"/>
      <c r="NZE5" s="978"/>
      <c r="NZF5" s="978"/>
      <c r="NZG5" s="978"/>
      <c r="NZH5" s="978"/>
      <c r="NZI5" s="978"/>
      <c r="NZJ5" s="978"/>
      <c r="NZK5" s="978"/>
      <c r="NZL5" s="978"/>
      <c r="NZM5" s="978"/>
      <c r="NZN5" s="978"/>
      <c r="NZO5" s="978"/>
      <c r="NZP5" s="978"/>
      <c r="NZQ5" s="978"/>
      <c r="NZR5" s="978"/>
      <c r="NZS5" s="978"/>
      <c r="NZT5" s="978"/>
      <c r="NZU5" s="978"/>
      <c r="NZV5" s="978"/>
      <c r="NZW5" s="978"/>
      <c r="NZX5" s="978"/>
      <c r="NZY5" s="978"/>
      <c r="NZZ5" s="978"/>
      <c r="OAA5" s="978"/>
      <c r="OAB5" s="978"/>
      <c r="OAC5" s="978"/>
      <c r="OAD5" s="978"/>
      <c r="OAE5" s="978"/>
      <c r="OAF5" s="978"/>
      <c r="OAG5" s="978"/>
      <c r="OAH5" s="978"/>
      <c r="OAI5" s="978"/>
      <c r="OAJ5" s="978"/>
      <c r="OAK5" s="978"/>
      <c r="OAL5" s="978"/>
      <c r="OAM5" s="978"/>
      <c r="OAN5" s="978"/>
      <c r="OAO5" s="978"/>
      <c r="OAP5" s="978"/>
      <c r="OAQ5" s="978"/>
      <c r="OAR5" s="978"/>
      <c r="OAS5" s="978"/>
      <c r="OAT5" s="978"/>
      <c r="OAU5" s="978"/>
      <c r="OAV5" s="978"/>
      <c r="OAW5" s="978"/>
      <c r="OAX5" s="978"/>
      <c r="OAY5" s="978"/>
      <c r="OAZ5" s="978"/>
      <c r="OBA5" s="978"/>
      <c r="OBB5" s="978"/>
      <c r="OBC5" s="978"/>
      <c r="OBD5" s="978"/>
      <c r="OBE5" s="978"/>
      <c r="OBF5" s="978"/>
      <c r="OBG5" s="978"/>
      <c r="OBH5" s="978"/>
      <c r="OBI5" s="978"/>
      <c r="OBJ5" s="978"/>
      <c r="OBK5" s="978"/>
      <c r="OBL5" s="978"/>
      <c r="OBM5" s="978"/>
      <c r="OBN5" s="978"/>
      <c r="OBO5" s="978"/>
      <c r="OBP5" s="978"/>
      <c r="OBQ5" s="978"/>
      <c r="OBR5" s="978"/>
      <c r="OBS5" s="978"/>
      <c r="OBT5" s="978"/>
      <c r="OBU5" s="978"/>
      <c r="OBV5" s="978"/>
      <c r="OBW5" s="978"/>
      <c r="OBX5" s="978"/>
      <c r="OBY5" s="978"/>
      <c r="OBZ5" s="978"/>
      <c r="OCA5" s="978"/>
      <c r="OCB5" s="978"/>
      <c r="OCC5" s="978"/>
      <c r="OCD5" s="978"/>
      <c r="OCE5" s="978"/>
      <c r="OCF5" s="978"/>
      <c r="OCG5" s="978"/>
      <c r="OCH5" s="978"/>
      <c r="OCI5" s="978"/>
      <c r="OCJ5" s="978"/>
      <c r="OCK5" s="978"/>
      <c r="OCL5" s="978"/>
      <c r="OCM5" s="978"/>
      <c r="OCN5" s="978"/>
      <c r="OCO5" s="978"/>
      <c r="OCP5" s="978"/>
      <c r="OCQ5" s="978"/>
      <c r="OCR5" s="978"/>
      <c r="OCS5" s="978"/>
      <c r="OCT5" s="978"/>
      <c r="OCU5" s="978"/>
      <c r="OCV5" s="978"/>
      <c r="OCW5" s="978"/>
      <c r="OCX5" s="978"/>
      <c r="OCY5" s="978"/>
      <c r="OCZ5" s="978"/>
      <c r="ODA5" s="978"/>
      <c r="ODB5" s="978"/>
      <c r="ODC5" s="978"/>
      <c r="ODD5" s="978"/>
      <c r="ODE5" s="978"/>
      <c r="ODF5" s="978"/>
      <c r="ODG5" s="978"/>
      <c r="ODH5" s="978"/>
      <c r="ODI5" s="978"/>
      <c r="ODJ5" s="978"/>
      <c r="ODK5" s="978"/>
      <c r="ODL5" s="978"/>
      <c r="ODM5" s="978"/>
      <c r="ODN5" s="978"/>
      <c r="ODO5" s="978"/>
      <c r="ODP5" s="978"/>
      <c r="ODQ5" s="978"/>
      <c r="ODR5" s="978"/>
      <c r="ODS5" s="978"/>
      <c r="ODT5" s="978"/>
      <c r="ODU5" s="978"/>
      <c r="ODV5" s="978"/>
      <c r="ODW5" s="978"/>
      <c r="ODX5" s="978"/>
      <c r="ODY5" s="978"/>
      <c r="ODZ5" s="978"/>
      <c r="OEA5" s="978"/>
      <c r="OEB5" s="978"/>
      <c r="OEC5" s="978"/>
      <c r="OED5" s="978"/>
      <c r="OEE5" s="978"/>
      <c r="OEF5" s="978"/>
      <c r="OEG5" s="978"/>
      <c r="OEH5" s="978"/>
      <c r="OEI5" s="978"/>
      <c r="OEJ5" s="978"/>
      <c r="OEK5" s="978"/>
      <c r="OEL5" s="978"/>
      <c r="OEM5" s="978"/>
      <c r="OEN5" s="978"/>
      <c r="OEO5" s="978"/>
      <c r="OEP5" s="978"/>
      <c r="OEQ5" s="978"/>
      <c r="OER5" s="978"/>
      <c r="OES5" s="978"/>
      <c r="OET5" s="978"/>
      <c r="OEU5" s="978"/>
      <c r="OEV5" s="978"/>
      <c r="OEW5" s="978"/>
      <c r="OEX5" s="978"/>
      <c r="OEY5" s="978"/>
      <c r="OEZ5" s="978"/>
      <c r="OFA5" s="978"/>
      <c r="OFB5" s="978"/>
      <c r="OFC5" s="978"/>
      <c r="OFD5" s="978"/>
      <c r="OFE5" s="978"/>
      <c r="OFF5" s="978"/>
      <c r="OFG5" s="978"/>
      <c r="OFH5" s="978"/>
      <c r="OFI5" s="978"/>
      <c r="OFJ5" s="978"/>
      <c r="OFK5" s="978"/>
      <c r="OFL5" s="978"/>
      <c r="OFM5" s="978"/>
      <c r="OFN5" s="978"/>
      <c r="OFO5" s="978"/>
      <c r="OFP5" s="978"/>
      <c r="OFQ5" s="978"/>
      <c r="OFR5" s="978"/>
      <c r="OFS5" s="978"/>
      <c r="OFT5" s="978"/>
      <c r="OFU5" s="978"/>
      <c r="OFV5" s="978"/>
      <c r="OFW5" s="978"/>
      <c r="OFX5" s="978"/>
      <c r="OFY5" s="978"/>
      <c r="OFZ5" s="978"/>
      <c r="OGA5" s="978"/>
      <c r="OGB5" s="978"/>
      <c r="OGC5" s="978"/>
      <c r="OGD5" s="978"/>
      <c r="OGE5" s="978"/>
      <c r="OGF5" s="978"/>
      <c r="OGG5" s="978"/>
      <c r="OGH5" s="978"/>
      <c r="OGI5" s="978"/>
      <c r="OGJ5" s="978"/>
      <c r="OGK5" s="978"/>
      <c r="OGL5" s="978"/>
      <c r="OGM5" s="978"/>
      <c r="OGN5" s="978"/>
      <c r="OGO5" s="978"/>
      <c r="OGP5" s="978"/>
      <c r="OGQ5" s="978"/>
      <c r="OGR5" s="978"/>
      <c r="OGS5" s="978"/>
      <c r="OGT5" s="978"/>
      <c r="OGU5" s="978"/>
      <c r="OGV5" s="978"/>
      <c r="OGW5" s="978"/>
      <c r="OGX5" s="978"/>
      <c r="OGY5" s="978"/>
      <c r="OGZ5" s="978"/>
      <c r="OHA5" s="978"/>
      <c r="OHB5" s="978"/>
      <c r="OHC5" s="978"/>
      <c r="OHD5" s="978"/>
      <c r="OHE5" s="978"/>
      <c r="OHF5" s="978"/>
      <c r="OHG5" s="978"/>
      <c r="OHH5" s="978"/>
      <c r="OHI5" s="978"/>
      <c r="OHJ5" s="978"/>
      <c r="OHK5" s="978"/>
      <c r="OHL5" s="978"/>
      <c r="OHM5" s="978"/>
      <c r="OHN5" s="978"/>
      <c r="OHO5" s="978"/>
      <c r="OHP5" s="978"/>
      <c r="OHQ5" s="978"/>
      <c r="OHR5" s="978"/>
      <c r="OHS5" s="978"/>
      <c r="OHT5" s="978"/>
      <c r="OHU5" s="978"/>
      <c r="OHV5" s="978"/>
      <c r="OHW5" s="978"/>
      <c r="OHX5" s="978"/>
      <c r="OHY5" s="978"/>
      <c r="OHZ5" s="978"/>
      <c r="OIA5" s="978"/>
      <c r="OIB5" s="978"/>
      <c r="OIC5" s="978"/>
      <c r="OID5" s="978"/>
      <c r="OIE5" s="978"/>
      <c r="OIF5" s="978"/>
      <c r="OIG5" s="978"/>
      <c r="OIH5" s="978"/>
      <c r="OII5" s="978"/>
      <c r="OIJ5" s="978"/>
      <c r="OIK5" s="978"/>
      <c r="OIL5" s="978"/>
      <c r="OIM5" s="978"/>
      <c r="OIN5" s="978"/>
      <c r="OIO5" s="978"/>
      <c r="OIP5" s="978"/>
      <c r="OIQ5" s="978"/>
      <c r="OIR5" s="978"/>
      <c r="OIS5" s="978"/>
      <c r="OIT5" s="978"/>
      <c r="OIU5" s="978"/>
      <c r="OIV5" s="978"/>
      <c r="OIW5" s="978"/>
      <c r="OIX5" s="978"/>
      <c r="OIY5" s="978"/>
      <c r="OIZ5" s="978"/>
      <c r="OJA5" s="978"/>
      <c r="OJB5" s="978"/>
      <c r="OJC5" s="978"/>
      <c r="OJD5" s="978"/>
      <c r="OJE5" s="978"/>
      <c r="OJF5" s="978"/>
      <c r="OJG5" s="978"/>
      <c r="OJH5" s="978"/>
      <c r="OJI5" s="978"/>
      <c r="OJJ5" s="978"/>
      <c r="OJK5" s="978"/>
      <c r="OJL5" s="978"/>
      <c r="OJM5" s="978"/>
      <c r="OJN5" s="978"/>
      <c r="OJO5" s="978"/>
      <c r="OJP5" s="978"/>
      <c r="OJQ5" s="978"/>
      <c r="OJR5" s="978"/>
      <c r="OJS5" s="978"/>
      <c r="OJT5" s="978"/>
      <c r="OJU5" s="978"/>
      <c r="OJV5" s="978"/>
      <c r="OJW5" s="978"/>
      <c r="OJX5" s="978"/>
      <c r="OJY5" s="978"/>
      <c r="OJZ5" s="978"/>
      <c r="OKA5" s="978"/>
      <c r="OKB5" s="978"/>
      <c r="OKC5" s="978"/>
      <c r="OKD5" s="978"/>
      <c r="OKE5" s="978"/>
      <c r="OKF5" s="978"/>
      <c r="OKG5" s="978"/>
      <c r="OKH5" s="978"/>
      <c r="OKI5" s="978"/>
      <c r="OKJ5" s="978"/>
      <c r="OKK5" s="978"/>
      <c r="OKL5" s="978"/>
      <c r="OKM5" s="978"/>
      <c r="OKN5" s="978"/>
      <c r="OKO5" s="978"/>
      <c r="OKP5" s="978"/>
      <c r="OKQ5" s="978"/>
      <c r="OKR5" s="978"/>
      <c r="OKS5" s="978"/>
      <c r="OKT5" s="978"/>
      <c r="OKU5" s="978"/>
      <c r="OKV5" s="978"/>
      <c r="OKW5" s="978"/>
      <c r="OKX5" s="978"/>
      <c r="OKY5" s="978"/>
      <c r="OKZ5" s="978"/>
      <c r="OLA5" s="978"/>
      <c r="OLB5" s="978"/>
      <c r="OLC5" s="978"/>
      <c r="OLD5" s="978"/>
      <c r="OLE5" s="978"/>
      <c r="OLF5" s="978"/>
      <c r="OLG5" s="978"/>
      <c r="OLH5" s="978"/>
      <c r="OLI5" s="978"/>
      <c r="OLJ5" s="978"/>
      <c r="OLK5" s="978"/>
      <c r="OLL5" s="978"/>
      <c r="OLM5" s="978"/>
      <c r="OLN5" s="978"/>
      <c r="OLO5" s="978"/>
      <c r="OLP5" s="978"/>
      <c r="OLQ5" s="978"/>
      <c r="OLR5" s="978"/>
      <c r="OLS5" s="978"/>
      <c r="OLT5" s="978"/>
      <c r="OLU5" s="978"/>
      <c r="OLV5" s="978"/>
      <c r="OLW5" s="978"/>
      <c r="OLX5" s="978"/>
      <c r="OLY5" s="978"/>
      <c r="OLZ5" s="978"/>
      <c r="OMA5" s="978"/>
      <c r="OMB5" s="978"/>
      <c r="OMC5" s="978"/>
      <c r="OMD5" s="978"/>
      <c r="OME5" s="978"/>
      <c r="OMF5" s="978"/>
      <c r="OMG5" s="978"/>
      <c r="OMH5" s="978"/>
      <c r="OMI5" s="978"/>
      <c r="OMJ5" s="978"/>
      <c r="OMK5" s="978"/>
      <c r="OML5" s="978"/>
      <c r="OMM5" s="978"/>
      <c r="OMN5" s="978"/>
      <c r="OMO5" s="978"/>
      <c r="OMP5" s="978"/>
      <c r="OMQ5" s="978"/>
      <c r="OMR5" s="978"/>
      <c r="OMS5" s="978"/>
      <c r="OMT5" s="978"/>
      <c r="OMU5" s="978"/>
      <c r="OMV5" s="978"/>
      <c r="OMW5" s="978"/>
      <c r="OMX5" s="978"/>
      <c r="OMY5" s="978"/>
      <c r="OMZ5" s="978"/>
      <c r="ONA5" s="978"/>
      <c r="ONB5" s="978"/>
      <c r="ONC5" s="978"/>
      <c r="OND5" s="978"/>
      <c r="ONE5" s="978"/>
      <c r="ONF5" s="978"/>
      <c r="ONG5" s="978"/>
      <c r="ONH5" s="978"/>
      <c r="ONI5" s="978"/>
      <c r="ONJ5" s="978"/>
      <c r="ONK5" s="978"/>
      <c r="ONL5" s="978"/>
      <c r="ONM5" s="978"/>
      <c r="ONN5" s="978"/>
      <c r="ONO5" s="978"/>
      <c r="ONP5" s="978"/>
      <c r="ONQ5" s="978"/>
      <c r="ONR5" s="978"/>
      <c r="ONS5" s="978"/>
      <c r="ONT5" s="978"/>
      <c r="ONU5" s="978"/>
      <c r="ONV5" s="978"/>
      <c r="ONW5" s="978"/>
      <c r="ONX5" s="978"/>
      <c r="ONY5" s="978"/>
      <c r="ONZ5" s="978"/>
      <c r="OOA5" s="978"/>
      <c r="OOB5" s="978"/>
      <c r="OOC5" s="978"/>
      <c r="OOD5" s="978"/>
      <c r="OOE5" s="978"/>
      <c r="OOF5" s="978"/>
      <c r="OOG5" s="978"/>
      <c r="OOH5" s="978"/>
      <c r="OOI5" s="978"/>
      <c r="OOJ5" s="978"/>
      <c r="OOK5" s="978"/>
      <c r="OOL5" s="978"/>
      <c r="OOM5" s="978"/>
      <c r="OON5" s="978"/>
      <c r="OOO5" s="978"/>
      <c r="OOP5" s="978"/>
      <c r="OOQ5" s="978"/>
      <c r="OOR5" s="978"/>
      <c r="OOS5" s="978"/>
      <c r="OOT5" s="978"/>
      <c r="OOU5" s="978"/>
      <c r="OOV5" s="978"/>
      <c r="OOW5" s="978"/>
      <c r="OOX5" s="978"/>
      <c r="OOY5" s="978"/>
      <c r="OOZ5" s="978"/>
      <c r="OPA5" s="978"/>
      <c r="OPB5" s="978"/>
      <c r="OPC5" s="978"/>
      <c r="OPD5" s="978"/>
      <c r="OPE5" s="978"/>
      <c r="OPF5" s="978"/>
      <c r="OPG5" s="978"/>
      <c r="OPH5" s="978"/>
      <c r="OPI5" s="978"/>
      <c r="OPJ5" s="978"/>
      <c r="OPK5" s="978"/>
      <c r="OPL5" s="978"/>
      <c r="OPM5" s="978"/>
      <c r="OPN5" s="978"/>
      <c r="OPO5" s="978"/>
      <c r="OPP5" s="978"/>
      <c r="OPQ5" s="978"/>
      <c r="OPR5" s="978"/>
      <c r="OPS5" s="978"/>
      <c r="OPT5" s="978"/>
      <c r="OPU5" s="978"/>
      <c r="OPV5" s="978"/>
      <c r="OPW5" s="978"/>
      <c r="OPX5" s="978"/>
      <c r="OPY5" s="978"/>
      <c r="OPZ5" s="978"/>
      <c r="OQA5" s="978"/>
      <c r="OQB5" s="978"/>
      <c r="OQC5" s="978"/>
      <c r="OQD5" s="978"/>
      <c r="OQE5" s="978"/>
      <c r="OQF5" s="978"/>
      <c r="OQG5" s="978"/>
      <c r="OQH5" s="978"/>
      <c r="OQI5" s="978"/>
      <c r="OQJ5" s="978"/>
      <c r="OQK5" s="978"/>
      <c r="OQL5" s="978"/>
      <c r="OQM5" s="978"/>
      <c r="OQN5" s="978"/>
      <c r="OQO5" s="978"/>
      <c r="OQP5" s="978"/>
      <c r="OQQ5" s="978"/>
      <c r="OQR5" s="978"/>
      <c r="OQS5" s="978"/>
      <c r="OQT5" s="978"/>
      <c r="OQU5" s="978"/>
      <c r="OQV5" s="978"/>
      <c r="OQW5" s="978"/>
      <c r="OQX5" s="978"/>
      <c r="OQY5" s="978"/>
      <c r="OQZ5" s="978"/>
      <c r="ORA5" s="978"/>
      <c r="ORB5" s="978"/>
      <c r="ORC5" s="978"/>
      <c r="ORD5" s="978"/>
      <c r="ORE5" s="978"/>
      <c r="ORF5" s="978"/>
      <c r="ORG5" s="978"/>
      <c r="ORH5" s="978"/>
      <c r="ORI5" s="978"/>
      <c r="ORJ5" s="978"/>
      <c r="ORK5" s="978"/>
      <c r="ORL5" s="978"/>
      <c r="ORM5" s="978"/>
      <c r="ORN5" s="978"/>
      <c r="ORO5" s="978"/>
      <c r="ORP5" s="978"/>
      <c r="ORQ5" s="978"/>
      <c r="ORR5" s="978"/>
      <c r="ORS5" s="978"/>
      <c r="ORT5" s="978"/>
      <c r="ORU5" s="978"/>
      <c r="ORV5" s="978"/>
      <c r="ORW5" s="978"/>
      <c r="ORX5" s="978"/>
      <c r="ORY5" s="978"/>
      <c r="ORZ5" s="978"/>
      <c r="OSA5" s="978"/>
      <c r="OSB5" s="978"/>
      <c r="OSC5" s="978"/>
      <c r="OSD5" s="978"/>
      <c r="OSE5" s="978"/>
      <c r="OSF5" s="978"/>
      <c r="OSG5" s="978"/>
      <c r="OSH5" s="978"/>
      <c r="OSI5" s="978"/>
      <c r="OSJ5" s="978"/>
      <c r="OSK5" s="978"/>
      <c r="OSL5" s="978"/>
      <c r="OSM5" s="978"/>
      <c r="OSN5" s="978"/>
      <c r="OSO5" s="978"/>
      <c r="OSP5" s="978"/>
      <c r="OSQ5" s="978"/>
      <c r="OSR5" s="978"/>
      <c r="OSS5" s="978"/>
      <c r="OST5" s="978"/>
      <c r="OSU5" s="978"/>
      <c r="OSV5" s="978"/>
      <c r="OSW5" s="978"/>
      <c r="OSX5" s="978"/>
      <c r="OSY5" s="978"/>
      <c r="OSZ5" s="978"/>
      <c r="OTA5" s="978"/>
      <c r="OTB5" s="978"/>
      <c r="OTC5" s="978"/>
      <c r="OTD5" s="978"/>
      <c r="OTE5" s="978"/>
      <c r="OTF5" s="978"/>
      <c r="OTG5" s="978"/>
      <c r="OTH5" s="978"/>
      <c r="OTI5" s="978"/>
      <c r="OTJ5" s="978"/>
      <c r="OTK5" s="978"/>
      <c r="OTL5" s="978"/>
      <c r="OTM5" s="978"/>
      <c r="OTN5" s="978"/>
      <c r="OTO5" s="978"/>
      <c r="OTP5" s="978"/>
      <c r="OTQ5" s="978"/>
      <c r="OTR5" s="978"/>
      <c r="OTS5" s="978"/>
      <c r="OTT5" s="978"/>
      <c r="OTU5" s="978"/>
      <c r="OTV5" s="978"/>
      <c r="OTW5" s="978"/>
      <c r="OTX5" s="978"/>
      <c r="OTY5" s="978"/>
      <c r="OTZ5" s="978"/>
      <c r="OUA5" s="978"/>
      <c r="OUB5" s="978"/>
      <c r="OUC5" s="978"/>
      <c r="OUD5" s="978"/>
      <c r="OUE5" s="978"/>
      <c r="OUF5" s="978"/>
      <c r="OUG5" s="978"/>
      <c r="OUH5" s="978"/>
      <c r="OUI5" s="978"/>
      <c r="OUJ5" s="978"/>
      <c r="OUK5" s="978"/>
      <c r="OUL5" s="978"/>
      <c r="OUM5" s="978"/>
      <c r="OUN5" s="978"/>
      <c r="OUO5" s="978"/>
      <c r="OUP5" s="978"/>
      <c r="OUQ5" s="978"/>
      <c r="OUR5" s="978"/>
      <c r="OUS5" s="978"/>
      <c r="OUT5" s="978"/>
      <c r="OUU5" s="978"/>
      <c r="OUV5" s="978"/>
      <c r="OUW5" s="978"/>
      <c r="OUX5" s="978"/>
      <c r="OUY5" s="978"/>
      <c r="OUZ5" s="978"/>
      <c r="OVA5" s="978"/>
      <c r="OVB5" s="978"/>
      <c r="OVC5" s="978"/>
      <c r="OVD5" s="978"/>
      <c r="OVE5" s="978"/>
      <c r="OVF5" s="978"/>
      <c r="OVG5" s="978"/>
      <c r="OVH5" s="978"/>
      <c r="OVI5" s="978"/>
      <c r="OVJ5" s="978"/>
      <c r="OVK5" s="978"/>
      <c r="OVL5" s="978"/>
      <c r="OVM5" s="978"/>
      <c r="OVN5" s="978"/>
      <c r="OVO5" s="978"/>
      <c r="OVP5" s="978"/>
      <c r="OVQ5" s="978"/>
      <c r="OVR5" s="978"/>
      <c r="OVS5" s="978"/>
      <c r="OVT5" s="978"/>
      <c r="OVU5" s="978"/>
      <c r="OVV5" s="978"/>
      <c r="OVW5" s="978"/>
      <c r="OVX5" s="978"/>
      <c r="OVY5" s="978"/>
      <c r="OVZ5" s="978"/>
      <c r="OWA5" s="978"/>
      <c r="OWB5" s="978"/>
      <c r="OWC5" s="978"/>
      <c r="OWD5" s="978"/>
      <c r="OWE5" s="978"/>
      <c r="OWF5" s="978"/>
      <c r="OWG5" s="978"/>
      <c r="OWH5" s="978"/>
      <c r="OWI5" s="978"/>
      <c r="OWJ5" s="978"/>
      <c r="OWK5" s="978"/>
      <c r="OWL5" s="978"/>
      <c r="OWM5" s="978"/>
      <c r="OWN5" s="978"/>
      <c r="OWO5" s="978"/>
      <c r="OWP5" s="978"/>
      <c r="OWQ5" s="978"/>
      <c r="OWR5" s="978"/>
      <c r="OWS5" s="978"/>
      <c r="OWT5" s="978"/>
      <c r="OWU5" s="978"/>
      <c r="OWV5" s="978"/>
      <c r="OWW5" s="978"/>
      <c r="OWX5" s="978"/>
      <c r="OWY5" s="978"/>
      <c r="OWZ5" s="978"/>
      <c r="OXA5" s="978"/>
      <c r="OXB5" s="978"/>
      <c r="OXC5" s="978"/>
      <c r="OXD5" s="978"/>
      <c r="OXE5" s="978"/>
      <c r="OXF5" s="978"/>
      <c r="OXG5" s="978"/>
      <c r="OXH5" s="978"/>
      <c r="OXI5" s="978"/>
      <c r="OXJ5" s="978"/>
      <c r="OXK5" s="978"/>
      <c r="OXL5" s="978"/>
      <c r="OXM5" s="978"/>
      <c r="OXN5" s="978"/>
      <c r="OXO5" s="978"/>
      <c r="OXP5" s="978"/>
      <c r="OXQ5" s="978"/>
      <c r="OXR5" s="978"/>
      <c r="OXS5" s="978"/>
      <c r="OXT5" s="978"/>
      <c r="OXU5" s="978"/>
      <c r="OXV5" s="978"/>
      <c r="OXW5" s="978"/>
      <c r="OXX5" s="978"/>
      <c r="OXY5" s="978"/>
      <c r="OXZ5" s="978"/>
      <c r="OYA5" s="978"/>
      <c r="OYB5" s="978"/>
      <c r="OYC5" s="978"/>
      <c r="OYD5" s="978"/>
      <c r="OYE5" s="978"/>
      <c r="OYF5" s="978"/>
      <c r="OYG5" s="978"/>
      <c r="OYH5" s="978"/>
      <c r="OYI5" s="978"/>
      <c r="OYJ5" s="978"/>
      <c r="OYK5" s="978"/>
      <c r="OYL5" s="978"/>
      <c r="OYM5" s="978"/>
      <c r="OYN5" s="978"/>
      <c r="OYO5" s="978"/>
      <c r="OYP5" s="978"/>
      <c r="OYQ5" s="978"/>
      <c r="OYR5" s="978"/>
      <c r="OYS5" s="978"/>
      <c r="OYT5" s="978"/>
      <c r="OYU5" s="978"/>
      <c r="OYV5" s="978"/>
      <c r="OYW5" s="978"/>
      <c r="OYX5" s="978"/>
      <c r="OYY5" s="978"/>
      <c r="OYZ5" s="978"/>
      <c r="OZA5" s="978"/>
      <c r="OZB5" s="978"/>
      <c r="OZC5" s="978"/>
      <c r="OZD5" s="978"/>
      <c r="OZE5" s="978"/>
      <c r="OZF5" s="978"/>
      <c r="OZG5" s="978"/>
      <c r="OZH5" s="978"/>
      <c r="OZI5" s="978"/>
      <c r="OZJ5" s="978"/>
      <c r="OZK5" s="978"/>
      <c r="OZL5" s="978"/>
      <c r="OZM5" s="978"/>
      <c r="OZN5" s="978"/>
      <c r="OZO5" s="978"/>
      <c r="OZP5" s="978"/>
      <c r="OZQ5" s="978"/>
      <c r="OZR5" s="978"/>
      <c r="OZS5" s="978"/>
      <c r="OZT5" s="978"/>
      <c r="OZU5" s="978"/>
      <c r="OZV5" s="978"/>
      <c r="OZW5" s="978"/>
      <c r="OZX5" s="978"/>
      <c r="OZY5" s="978"/>
      <c r="OZZ5" s="978"/>
      <c r="PAA5" s="978"/>
      <c r="PAB5" s="978"/>
      <c r="PAC5" s="978"/>
      <c r="PAD5" s="978"/>
      <c r="PAE5" s="978"/>
      <c r="PAF5" s="978"/>
      <c r="PAG5" s="978"/>
      <c r="PAH5" s="978"/>
      <c r="PAI5" s="978"/>
      <c r="PAJ5" s="978"/>
      <c r="PAK5" s="978"/>
      <c r="PAL5" s="978"/>
      <c r="PAM5" s="978"/>
      <c r="PAN5" s="978"/>
      <c r="PAO5" s="978"/>
      <c r="PAP5" s="978"/>
      <c r="PAQ5" s="978"/>
      <c r="PAR5" s="978"/>
      <c r="PAS5" s="978"/>
      <c r="PAT5" s="978"/>
      <c r="PAU5" s="978"/>
      <c r="PAV5" s="978"/>
      <c r="PAW5" s="978"/>
      <c r="PAX5" s="978"/>
      <c r="PAY5" s="978"/>
      <c r="PAZ5" s="978"/>
      <c r="PBA5" s="978"/>
      <c r="PBB5" s="978"/>
      <c r="PBC5" s="978"/>
      <c r="PBD5" s="978"/>
      <c r="PBE5" s="978"/>
      <c r="PBF5" s="978"/>
      <c r="PBG5" s="978"/>
      <c r="PBH5" s="978"/>
      <c r="PBI5" s="978"/>
      <c r="PBJ5" s="978"/>
      <c r="PBK5" s="978"/>
      <c r="PBL5" s="978"/>
      <c r="PBM5" s="978"/>
      <c r="PBN5" s="978"/>
      <c r="PBO5" s="978"/>
      <c r="PBP5" s="978"/>
      <c r="PBQ5" s="978"/>
      <c r="PBR5" s="978"/>
      <c r="PBS5" s="978"/>
      <c r="PBT5" s="978"/>
      <c r="PBU5" s="978"/>
      <c r="PBV5" s="978"/>
      <c r="PBW5" s="978"/>
      <c r="PBX5" s="978"/>
      <c r="PBY5" s="978"/>
      <c r="PBZ5" s="978"/>
      <c r="PCA5" s="978"/>
      <c r="PCB5" s="978"/>
      <c r="PCC5" s="978"/>
      <c r="PCD5" s="978"/>
      <c r="PCE5" s="978"/>
      <c r="PCF5" s="978"/>
      <c r="PCG5" s="978"/>
      <c r="PCH5" s="978"/>
      <c r="PCI5" s="978"/>
      <c r="PCJ5" s="978"/>
      <c r="PCK5" s="978"/>
      <c r="PCL5" s="978"/>
      <c r="PCM5" s="978"/>
      <c r="PCN5" s="978"/>
      <c r="PCO5" s="978"/>
      <c r="PCP5" s="978"/>
      <c r="PCQ5" s="978"/>
      <c r="PCR5" s="978"/>
      <c r="PCS5" s="978"/>
      <c r="PCT5" s="978"/>
      <c r="PCU5" s="978"/>
      <c r="PCV5" s="978"/>
      <c r="PCW5" s="978"/>
      <c r="PCX5" s="978"/>
      <c r="PCY5" s="978"/>
      <c r="PCZ5" s="978"/>
      <c r="PDA5" s="978"/>
      <c r="PDB5" s="978"/>
      <c r="PDC5" s="978"/>
      <c r="PDD5" s="978"/>
      <c r="PDE5" s="978"/>
      <c r="PDF5" s="978"/>
      <c r="PDG5" s="978"/>
      <c r="PDH5" s="978"/>
      <c r="PDI5" s="978"/>
      <c r="PDJ5" s="978"/>
      <c r="PDK5" s="978"/>
      <c r="PDL5" s="978"/>
      <c r="PDM5" s="978"/>
      <c r="PDN5" s="978"/>
      <c r="PDO5" s="978"/>
      <c r="PDP5" s="978"/>
      <c r="PDQ5" s="978"/>
      <c r="PDR5" s="978"/>
      <c r="PDS5" s="978"/>
      <c r="PDT5" s="978"/>
      <c r="PDU5" s="978"/>
      <c r="PDV5" s="978"/>
      <c r="PDW5" s="978"/>
      <c r="PDX5" s="978"/>
      <c r="PDY5" s="978"/>
      <c r="PDZ5" s="978"/>
      <c r="PEA5" s="978"/>
      <c r="PEB5" s="978"/>
      <c r="PEC5" s="978"/>
      <c r="PED5" s="978"/>
      <c r="PEE5" s="978"/>
      <c r="PEF5" s="978"/>
      <c r="PEG5" s="978"/>
      <c r="PEH5" s="978"/>
      <c r="PEI5" s="978"/>
      <c r="PEJ5" s="978"/>
      <c r="PEK5" s="978"/>
      <c r="PEL5" s="978"/>
      <c r="PEM5" s="978"/>
      <c r="PEN5" s="978"/>
      <c r="PEO5" s="978"/>
      <c r="PEP5" s="978"/>
      <c r="PEQ5" s="978"/>
      <c r="PER5" s="978"/>
      <c r="PES5" s="978"/>
      <c r="PET5" s="978"/>
      <c r="PEU5" s="978"/>
      <c r="PEV5" s="978"/>
      <c r="PEW5" s="978"/>
      <c r="PEX5" s="978"/>
      <c r="PEY5" s="978"/>
      <c r="PEZ5" s="978"/>
      <c r="PFA5" s="978"/>
      <c r="PFB5" s="978"/>
      <c r="PFC5" s="978"/>
      <c r="PFD5" s="978"/>
      <c r="PFE5" s="978"/>
      <c r="PFF5" s="978"/>
      <c r="PFG5" s="978"/>
      <c r="PFH5" s="978"/>
      <c r="PFI5" s="978"/>
      <c r="PFJ5" s="978"/>
      <c r="PFK5" s="978"/>
      <c r="PFL5" s="978"/>
      <c r="PFM5" s="978"/>
      <c r="PFN5" s="978"/>
      <c r="PFO5" s="978"/>
      <c r="PFP5" s="978"/>
      <c r="PFQ5" s="978"/>
      <c r="PFR5" s="978"/>
      <c r="PFS5" s="978"/>
      <c r="PFT5" s="978"/>
      <c r="PFU5" s="978"/>
      <c r="PFV5" s="978"/>
      <c r="PFW5" s="978"/>
      <c r="PFX5" s="978"/>
      <c r="PFY5" s="978"/>
      <c r="PFZ5" s="978"/>
      <c r="PGA5" s="978"/>
      <c r="PGB5" s="978"/>
      <c r="PGC5" s="978"/>
      <c r="PGD5" s="978"/>
      <c r="PGE5" s="978"/>
      <c r="PGF5" s="978"/>
      <c r="PGG5" s="978"/>
      <c r="PGH5" s="978"/>
      <c r="PGI5" s="978"/>
      <c r="PGJ5" s="978"/>
      <c r="PGK5" s="978"/>
      <c r="PGL5" s="978"/>
      <c r="PGM5" s="978"/>
      <c r="PGN5" s="978"/>
      <c r="PGO5" s="978"/>
      <c r="PGP5" s="978"/>
      <c r="PGQ5" s="978"/>
      <c r="PGR5" s="978"/>
      <c r="PGS5" s="978"/>
      <c r="PGT5" s="978"/>
      <c r="PGU5" s="978"/>
      <c r="PGV5" s="978"/>
      <c r="PGW5" s="978"/>
      <c r="PGX5" s="978"/>
      <c r="PGY5" s="978"/>
      <c r="PGZ5" s="978"/>
      <c r="PHA5" s="978"/>
      <c r="PHB5" s="978"/>
      <c r="PHC5" s="978"/>
      <c r="PHD5" s="978"/>
      <c r="PHE5" s="978"/>
      <c r="PHF5" s="978"/>
      <c r="PHG5" s="978"/>
      <c r="PHH5" s="978"/>
      <c r="PHI5" s="978"/>
      <c r="PHJ5" s="978"/>
      <c r="PHK5" s="978"/>
      <c r="PHL5" s="978"/>
      <c r="PHM5" s="978"/>
      <c r="PHN5" s="978"/>
      <c r="PHO5" s="978"/>
      <c r="PHP5" s="978"/>
      <c r="PHQ5" s="978"/>
      <c r="PHR5" s="978"/>
      <c r="PHS5" s="978"/>
      <c r="PHT5" s="978"/>
      <c r="PHU5" s="978"/>
      <c r="PHV5" s="978"/>
      <c r="PHW5" s="978"/>
      <c r="PHX5" s="978"/>
      <c r="PHY5" s="978"/>
      <c r="PHZ5" s="978"/>
      <c r="PIA5" s="978"/>
      <c r="PIB5" s="978"/>
      <c r="PIC5" s="978"/>
      <c r="PID5" s="978"/>
      <c r="PIE5" s="978"/>
      <c r="PIF5" s="978"/>
      <c r="PIG5" s="978"/>
      <c r="PIH5" s="978"/>
      <c r="PII5" s="978"/>
      <c r="PIJ5" s="978"/>
      <c r="PIK5" s="978"/>
      <c r="PIL5" s="978"/>
      <c r="PIM5" s="978"/>
      <c r="PIN5" s="978"/>
      <c r="PIO5" s="978"/>
      <c r="PIP5" s="978"/>
      <c r="PIQ5" s="978"/>
      <c r="PIR5" s="978"/>
      <c r="PIS5" s="978"/>
      <c r="PIT5" s="978"/>
      <c r="PIU5" s="978"/>
      <c r="PIV5" s="978"/>
      <c r="PIW5" s="978"/>
      <c r="PIX5" s="978"/>
      <c r="PIY5" s="978"/>
      <c r="PIZ5" s="978"/>
      <c r="PJA5" s="978"/>
      <c r="PJB5" s="978"/>
      <c r="PJC5" s="978"/>
      <c r="PJD5" s="978"/>
      <c r="PJE5" s="978"/>
      <c r="PJF5" s="978"/>
      <c r="PJG5" s="978"/>
      <c r="PJH5" s="978"/>
      <c r="PJI5" s="978"/>
      <c r="PJJ5" s="978"/>
      <c r="PJK5" s="978"/>
      <c r="PJL5" s="978"/>
      <c r="PJM5" s="978"/>
      <c r="PJN5" s="978"/>
      <c r="PJO5" s="978"/>
      <c r="PJP5" s="978"/>
      <c r="PJQ5" s="978"/>
      <c r="PJR5" s="978"/>
      <c r="PJS5" s="978"/>
      <c r="PJT5" s="978"/>
      <c r="PJU5" s="978"/>
      <c r="PJV5" s="978"/>
      <c r="PJW5" s="978"/>
      <c r="PJX5" s="978"/>
      <c r="PJY5" s="978"/>
      <c r="PJZ5" s="978"/>
      <c r="PKA5" s="978"/>
      <c r="PKB5" s="978"/>
      <c r="PKC5" s="978"/>
      <c r="PKD5" s="978"/>
      <c r="PKE5" s="978"/>
      <c r="PKF5" s="978"/>
      <c r="PKG5" s="978"/>
      <c r="PKH5" s="978"/>
      <c r="PKI5" s="978"/>
      <c r="PKJ5" s="978"/>
      <c r="PKK5" s="978"/>
      <c r="PKL5" s="978"/>
      <c r="PKM5" s="978"/>
      <c r="PKN5" s="978"/>
      <c r="PKO5" s="978"/>
      <c r="PKP5" s="978"/>
      <c r="PKQ5" s="978"/>
      <c r="PKR5" s="978"/>
      <c r="PKS5" s="978"/>
      <c r="PKT5" s="978"/>
      <c r="PKU5" s="978"/>
      <c r="PKV5" s="978"/>
      <c r="PKW5" s="978"/>
      <c r="PKX5" s="978"/>
      <c r="PKY5" s="978"/>
      <c r="PKZ5" s="978"/>
      <c r="PLA5" s="978"/>
      <c r="PLB5" s="978"/>
      <c r="PLC5" s="978"/>
      <c r="PLD5" s="978"/>
      <c r="PLE5" s="978"/>
      <c r="PLF5" s="978"/>
      <c r="PLG5" s="978"/>
      <c r="PLH5" s="978"/>
      <c r="PLI5" s="978"/>
      <c r="PLJ5" s="978"/>
      <c r="PLK5" s="978"/>
      <c r="PLL5" s="978"/>
      <c r="PLM5" s="978"/>
      <c r="PLN5" s="978"/>
      <c r="PLO5" s="978"/>
      <c r="PLP5" s="978"/>
      <c r="PLQ5" s="978"/>
      <c r="PLR5" s="978"/>
      <c r="PLS5" s="978"/>
      <c r="PLT5" s="978"/>
      <c r="PLU5" s="978"/>
      <c r="PLV5" s="978"/>
      <c r="PLW5" s="978"/>
      <c r="PLX5" s="978"/>
      <c r="PLY5" s="978"/>
      <c r="PLZ5" s="978"/>
      <c r="PMA5" s="978"/>
      <c r="PMB5" s="978"/>
      <c r="PMC5" s="978"/>
      <c r="PMD5" s="978"/>
      <c r="PME5" s="978"/>
      <c r="PMF5" s="978"/>
      <c r="PMG5" s="978"/>
      <c r="PMH5" s="978"/>
      <c r="PMI5" s="978"/>
      <c r="PMJ5" s="978"/>
      <c r="PMK5" s="978"/>
      <c r="PML5" s="978"/>
      <c r="PMM5" s="978"/>
      <c r="PMN5" s="978"/>
      <c r="PMO5" s="978"/>
      <c r="PMP5" s="978"/>
      <c r="PMQ5" s="978"/>
      <c r="PMR5" s="978"/>
      <c r="PMS5" s="978"/>
      <c r="PMT5" s="978"/>
      <c r="PMU5" s="978"/>
      <c r="PMV5" s="978"/>
      <c r="PMW5" s="978"/>
      <c r="PMX5" s="978"/>
      <c r="PMY5" s="978"/>
      <c r="PMZ5" s="978"/>
      <c r="PNA5" s="978"/>
      <c r="PNB5" s="978"/>
      <c r="PNC5" s="978"/>
      <c r="PND5" s="978"/>
      <c r="PNE5" s="978"/>
      <c r="PNF5" s="978"/>
      <c r="PNG5" s="978"/>
      <c r="PNH5" s="978"/>
      <c r="PNI5" s="978"/>
      <c r="PNJ5" s="978"/>
      <c r="PNK5" s="978"/>
      <c r="PNL5" s="978"/>
      <c r="PNM5" s="978"/>
      <c r="PNN5" s="978"/>
      <c r="PNO5" s="978"/>
      <c r="PNP5" s="978"/>
      <c r="PNQ5" s="978"/>
      <c r="PNR5" s="978"/>
      <c r="PNS5" s="978"/>
      <c r="PNT5" s="978"/>
      <c r="PNU5" s="978"/>
      <c r="PNV5" s="978"/>
      <c r="PNW5" s="978"/>
      <c r="PNX5" s="978"/>
      <c r="PNY5" s="978"/>
      <c r="PNZ5" s="978"/>
      <c r="POA5" s="978"/>
      <c r="POB5" s="978"/>
      <c r="POC5" s="978"/>
      <c r="POD5" s="978"/>
      <c r="POE5" s="978"/>
      <c r="POF5" s="978"/>
      <c r="POG5" s="978"/>
      <c r="POH5" s="978"/>
      <c r="POI5" s="978"/>
      <c r="POJ5" s="978"/>
      <c r="POK5" s="978"/>
      <c r="POL5" s="978"/>
      <c r="POM5" s="978"/>
      <c r="PON5" s="978"/>
      <c r="POO5" s="978"/>
      <c r="POP5" s="978"/>
      <c r="POQ5" s="978"/>
      <c r="POR5" s="978"/>
      <c r="POS5" s="978"/>
      <c r="POT5" s="978"/>
      <c r="POU5" s="978"/>
      <c r="POV5" s="978"/>
      <c r="POW5" s="978"/>
      <c r="POX5" s="978"/>
      <c r="POY5" s="978"/>
      <c r="POZ5" s="978"/>
      <c r="PPA5" s="978"/>
      <c r="PPB5" s="978"/>
      <c r="PPC5" s="978"/>
      <c r="PPD5" s="978"/>
      <c r="PPE5" s="978"/>
      <c r="PPF5" s="978"/>
      <c r="PPG5" s="978"/>
      <c r="PPH5" s="978"/>
      <c r="PPI5" s="978"/>
      <c r="PPJ5" s="978"/>
      <c r="PPK5" s="978"/>
      <c r="PPL5" s="978"/>
      <c r="PPM5" s="978"/>
      <c r="PPN5" s="978"/>
      <c r="PPO5" s="978"/>
      <c r="PPP5" s="978"/>
      <c r="PPQ5" s="978"/>
      <c r="PPR5" s="978"/>
      <c r="PPS5" s="978"/>
      <c r="PPT5" s="978"/>
      <c r="PPU5" s="978"/>
      <c r="PPV5" s="978"/>
      <c r="PPW5" s="978"/>
      <c r="PPX5" s="978"/>
      <c r="PPY5" s="978"/>
      <c r="PPZ5" s="978"/>
      <c r="PQA5" s="978"/>
      <c r="PQB5" s="978"/>
      <c r="PQC5" s="978"/>
      <c r="PQD5" s="978"/>
      <c r="PQE5" s="978"/>
      <c r="PQF5" s="978"/>
      <c r="PQG5" s="978"/>
      <c r="PQH5" s="978"/>
      <c r="PQI5" s="978"/>
      <c r="PQJ5" s="978"/>
      <c r="PQK5" s="978"/>
      <c r="PQL5" s="978"/>
      <c r="PQM5" s="978"/>
      <c r="PQN5" s="978"/>
      <c r="PQO5" s="978"/>
      <c r="PQP5" s="978"/>
      <c r="PQQ5" s="978"/>
      <c r="PQR5" s="978"/>
      <c r="PQS5" s="978"/>
      <c r="PQT5" s="978"/>
      <c r="PQU5" s="978"/>
      <c r="PQV5" s="978"/>
      <c r="PQW5" s="978"/>
      <c r="PQX5" s="978"/>
      <c r="PQY5" s="978"/>
      <c r="PQZ5" s="978"/>
      <c r="PRA5" s="978"/>
      <c r="PRB5" s="978"/>
      <c r="PRC5" s="978"/>
      <c r="PRD5" s="978"/>
      <c r="PRE5" s="978"/>
      <c r="PRF5" s="978"/>
      <c r="PRG5" s="978"/>
      <c r="PRH5" s="978"/>
      <c r="PRI5" s="978"/>
      <c r="PRJ5" s="978"/>
      <c r="PRK5" s="978"/>
      <c r="PRL5" s="978"/>
      <c r="PRM5" s="978"/>
      <c r="PRN5" s="978"/>
      <c r="PRO5" s="978"/>
      <c r="PRP5" s="978"/>
      <c r="PRQ5" s="978"/>
      <c r="PRR5" s="978"/>
      <c r="PRS5" s="978"/>
      <c r="PRT5" s="978"/>
      <c r="PRU5" s="978"/>
      <c r="PRV5" s="978"/>
      <c r="PRW5" s="978"/>
      <c r="PRX5" s="978"/>
      <c r="PRY5" s="978"/>
      <c r="PRZ5" s="978"/>
      <c r="PSA5" s="978"/>
      <c r="PSB5" s="978"/>
      <c r="PSC5" s="978"/>
      <c r="PSD5" s="978"/>
      <c r="PSE5" s="978"/>
      <c r="PSF5" s="978"/>
      <c r="PSG5" s="978"/>
      <c r="PSH5" s="978"/>
      <c r="PSI5" s="978"/>
      <c r="PSJ5" s="978"/>
      <c r="PSK5" s="978"/>
      <c r="PSL5" s="978"/>
      <c r="PSM5" s="978"/>
      <c r="PSN5" s="978"/>
      <c r="PSO5" s="978"/>
      <c r="PSP5" s="978"/>
      <c r="PSQ5" s="978"/>
      <c r="PSR5" s="978"/>
      <c r="PSS5" s="978"/>
      <c r="PST5" s="978"/>
      <c r="PSU5" s="978"/>
      <c r="PSV5" s="978"/>
      <c r="PSW5" s="978"/>
      <c r="PSX5" s="978"/>
      <c r="PSY5" s="978"/>
      <c r="PSZ5" s="978"/>
      <c r="PTA5" s="978"/>
      <c r="PTB5" s="978"/>
      <c r="PTC5" s="978"/>
      <c r="PTD5" s="978"/>
      <c r="PTE5" s="978"/>
      <c r="PTF5" s="978"/>
      <c r="PTG5" s="978"/>
      <c r="PTH5" s="978"/>
      <c r="PTI5" s="978"/>
      <c r="PTJ5" s="978"/>
      <c r="PTK5" s="978"/>
      <c r="PTL5" s="978"/>
      <c r="PTM5" s="978"/>
      <c r="PTN5" s="978"/>
      <c r="PTO5" s="978"/>
      <c r="PTP5" s="978"/>
      <c r="PTQ5" s="978"/>
      <c r="PTR5" s="978"/>
      <c r="PTS5" s="978"/>
      <c r="PTT5" s="978"/>
      <c r="PTU5" s="978"/>
      <c r="PTV5" s="978"/>
      <c r="PTW5" s="978"/>
      <c r="PTX5" s="978"/>
      <c r="PTY5" s="978"/>
      <c r="PTZ5" s="978"/>
      <c r="PUA5" s="978"/>
      <c r="PUB5" s="978"/>
      <c r="PUC5" s="978"/>
      <c r="PUD5" s="978"/>
      <c r="PUE5" s="978"/>
      <c r="PUF5" s="978"/>
      <c r="PUG5" s="978"/>
      <c r="PUH5" s="978"/>
      <c r="PUI5" s="978"/>
      <c r="PUJ5" s="978"/>
      <c r="PUK5" s="978"/>
      <c r="PUL5" s="978"/>
      <c r="PUM5" s="978"/>
      <c r="PUN5" s="978"/>
      <c r="PUO5" s="978"/>
      <c r="PUP5" s="978"/>
      <c r="PUQ5" s="978"/>
      <c r="PUR5" s="978"/>
      <c r="PUS5" s="978"/>
      <c r="PUT5" s="978"/>
      <c r="PUU5" s="978"/>
      <c r="PUV5" s="978"/>
      <c r="PUW5" s="978"/>
      <c r="PUX5" s="978"/>
      <c r="PUY5" s="978"/>
      <c r="PUZ5" s="978"/>
      <c r="PVA5" s="978"/>
      <c r="PVB5" s="978"/>
      <c r="PVC5" s="978"/>
      <c r="PVD5" s="978"/>
      <c r="PVE5" s="978"/>
      <c r="PVF5" s="978"/>
      <c r="PVG5" s="978"/>
      <c r="PVH5" s="978"/>
      <c r="PVI5" s="978"/>
      <c r="PVJ5" s="978"/>
      <c r="PVK5" s="978"/>
      <c r="PVL5" s="978"/>
      <c r="PVM5" s="978"/>
      <c r="PVN5" s="978"/>
      <c r="PVO5" s="978"/>
      <c r="PVP5" s="978"/>
      <c r="PVQ5" s="978"/>
      <c r="PVR5" s="978"/>
      <c r="PVS5" s="978"/>
      <c r="PVT5" s="978"/>
      <c r="PVU5" s="978"/>
      <c r="PVV5" s="978"/>
      <c r="PVW5" s="978"/>
      <c r="PVX5" s="978"/>
      <c r="PVY5" s="978"/>
      <c r="PVZ5" s="978"/>
      <c r="PWA5" s="978"/>
      <c r="PWB5" s="978"/>
      <c r="PWC5" s="978"/>
      <c r="PWD5" s="978"/>
      <c r="PWE5" s="978"/>
      <c r="PWF5" s="978"/>
      <c r="PWG5" s="978"/>
      <c r="PWH5" s="978"/>
      <c r="PWI5" s="978"/>
      <c r="PWJ5" s="978"/>
      <c r="PWK5" s="978"/>
      <c r="PWL5" s="978"/>
      <c r="PWM5" s="978"/>
      <c r="PWN5" s="978"/>
      <c r="PWO5" s="978"/>
      <c r="PWP5" s="978"/>
      <c r="PWQ5" s="978"/>
      <c r="PWR5" s="978"/>
      <c r="PWS5" s="978"/>
      <c r="PWT5" s="978"/>
      <c r="PWU5" s="978"/>
      <c r="PWV5" s="978"/>
      <c r="PWW5" s="978"/>
      <c r="PWX5" s="978"/>
      <c r="PWY5" s="978"/>
      <c r="PWZ5" s="978"/>
      <c r="PXA5" s="978"/>
      <c r="PXB5" s="978"/>
      <c r="PXC5" s="978"/>
      <c r="PXD5" s="978"/>
      <c r="PXE5" s="978"/>
      <c r="PXF5" s="978"/>
      <c r="PXG5" s="978"/>
      <c r="PXH5" s="978"/>
      <c r="PXI5" s="978"/>
      <c r="PXJ5" s="978"/>
      <c r="PXK5" s="978"/>
      <c r="PXL5" s="978"/>
      <c r="PXM5" s="978"/>
      <c r="PXN5" s="978"/>
      <c r="PXO5" s="978"/>
      <c r="PXP5" s="978"/>
      <c r="PXQ5" s="978"/>
      <c r="PXR5" s="978"/>
      <c r="PXS5" s="978"/>
      <c r="PXT5" s="978"/>
      <c r="PXU5" s="978"/>
      <c r="PXV5" s="978"/>
      <c r="PXW5" s="978"/>
      <c r="PXX5" s="978"/>
      <c r="PXY5" s="978"/>
      <c r="PXZ5" s="978"/>
      <c r="PYA5" s="978"/>
      <c r="PYB5" s="978"/>
      <c r="PYC5" s="978"/>
      <c r="PYD5" s="978"/>
      <c r="PYE5" s="978"/>
      <c r="PYF5" s="978"/>
      <c r="PYG5" s="978"/>
      <c r="PYH5" s="978"/>
      <c r="PYI5" s="978"/>
      <c r="PYJ5" s="978"/>
      <c r="PYK5" s="978"/>
      <c r="PYL5" s="978"/>
      <c r="PYM5" s="978"/>
      <c r="PYN5" s="978"/>
      <c r="PYO5" s="978"/>
      <c r="PYP5" s="978"/>
      <c r="PYQ5" s="978"/>
      <c r="PYR5" s="978"/>
      <c r="PYS5" s="978"/>
      <c r="PYT5" s="978"/>
      <c r="PYU5" s="978"/>
      <c r="PYV5" s="978"/>
      <c r="PYW5" s="978"/>
      <c r="PYX5" s="978"/>
      <c r="PYY5" s="978"/>
      <c r="PYZ5" s="978"/>
      <c r="PZA5" s="978"/>
      <c r="PZB5" s="978"/>
      <c r="PZC5" s="978"/>
      <c r="PZD5" s="978"/>
      <c r="PZE5" s="978"/>
      <c r="PZF5" s="978"/>
      <c r="PZG5" s="978"/>
      <c r="PZH5" s="978"/>
      <c r="PZI5" s="978"/>
      <c r="PZJ5" s="978"/>
      <c r="PZK5" s="978"/>
      <c r="PZL5" s="978"/>
      <c r="PZM5" s="978"/>
      <c r="PZN5" s="978"/>
      <c r="PZO5" s="978"/>
      <c r="PZP5" s="978"/>
      <c r="PZQ5" s="978"/>
      <c r="PZR5" s="978"/>
      <c r="PZS5" s="978"/>
      <c r="PZT5" s="978"/>
      <c r="PZU5" s="978"/>
      <c r="PZV5" s="978"/>
      <c r="PZW5" s="978"/>
      <c r="PZX5" s="978"/>
      <c r="PZY5" s="978"/>
      <c r="PZZ5" s="978"/>
      <c r="QAA5" s="978"/>
      <c r="QAB5" s="978"/>
      <c r="QAC5" s="978"/>
      <c r="QAD5" s="978"/>
      <c r="QAE5" s="978"/>
      <c r="QAF5" s="978"/>
      <c r="QAG5" s="978"/>
      <c r="QAH5" s="978"/>
      <c r="QAI5" s="978"/>
      <c r="QAJ5" s="978"/>
      <c r="QAK5" s="978"/>
      <c r="QAL5" s="978"/>
      <c r="QAM5" s="978"/>
      <c r="QAN5" s="978"/>
      <c r="QAO5" s="978"/>
      <c r="QAP5" s="978"/>
      <c r="QAQ5" s="978"/>
      <c r="QAR5" s="978"/>
      <c r="QAS5" s="978"/>
      <c r="QAT5" s="978"/>
      <c r="QAU5" s="978"/>
      <c r="QAV5" s="978"/>
      <c r="QAW5" s="978"/>
      <c r="QAX5" s="978"/>
      <c r="QAY5" s="978"/>
      <c r="QAZ5" s="978"/>
      <c r="QBA5" s="978"/>
      <c r="QBB5" s="978"/>
      <c r="QBC5" s="978"/>
      <c r="QBD5" s="978"/>
      <c r="QBE5" s="978"/>
      <c r="QBF5" s="978"/>
      <c r="QBG5" s="978"/>
      <c r="QBH5" s="978"/>
      <c r="QBI5" s="978"/>
      <c r="QBJ5" s="978"/>
      <c r="QBK5" s="978"/>
      <c r="QBL5" s="978"/>
      <c r="QBM5" s="978"/>
      <c r="QBN5" s="978"/>
      <c r="QBO5" s="978"/>
      <c r="QBP5" s="978"/>
      <c r="QBQ5" s="978"/>
      <c r="QBR5" s="978"/>
      <c r="QBS5" s="978"/>
      <c r="QBT5" s="978"/>
      <c r="QBU5" s="978"/>
      <c r="QBV5" s="978"/>
      <c r="QBW5" s="978"/>
      <c r="QBX5" s="978"/>
      <c r="QBY5" s="978"/>
      <c r="QBZ5" s="978"/>
      <c r="QCA5" s="978"/>
      <c r="QCB5" s="978"/>
      <c r="QCC5" s="978"/>
      <c r="QCD5" s="978"/>
      <c r="QCE5" s="978"/>
      <c r="QCF5" s="978"/>
      <c r="QCG5" s="978"/>
      <c r="QCH5" s="978"/>
      <c r="QCI5" s="978"/>
      <c r="QCJ5" s="978"/>
      <c r="QCK5" s="978"/>
      <c r="QCL5" s="978"/>
      <c r="QCM5" s="978"/>
      <c r="QCN5" s="978"/>
      <c r="QCO5" s="978"/>
      <c r="QCP5" s="978"/>
      <c r="QCQ5" s="978"/>
      <c r="QCR5" s="978"/>
      <c r="QCS5" s="978"/>
      <c r="QCT5" s="978"/>
      <c r="QCU5" s="978"/>
      <c r="QCV5" s="978"/>
      <c r="QCW5" s="978"/>
      <c r="QCX5" s="978"/>
      <c r="QCY5" s="978"/>
      <c r="QCZ5" s="978"/>
      <c r="QDA5" s="978"/>
      <c r="QDB5" s="978"/>
      <c r="QDC5" s="978"/>
      <c r="QDD5" s="978"/>
      <c r="QDE5" s="978"/>
      <c r="QDF5" s="978"/>
      <c r="QDG5" s="978"/>
      <c r="QDH5" s="978"/>
      <c r="QDI5" s="978"/>
      <c r="QDJ5" s="978"/>
      <c r="QDK5" s="978"/>
      <c r="QDL5" s="978"/>
      <c r="QDM5" s="978"/>
      <c r="QDN5" s="978"/>
      <c r="QDO5" s="978"/>
      <c r="QDP5" s="978"/>
      <c r="QDQ5" s="978"/>
      <c r="QDR5" s="978"/>
      <c r="QDS5" s="978"/>
      <c r="QDT5" s="978"/>
      <c r="QDU5" s="978"/>
      <c r="QDV5" s="978"/>
      <c r="QDW5" s="978"/>
      <c r="QDX5" s="978"/>
      <c r="QDY5" s="978"/>
      <c r="QDZ5" s="978"/>
      <c r="QEA5" s="978"/>
      <c r="QEB5" s="978"/>
      <c r="QEC5" s="978"/>
      <c r="QED5" s="978"/>
      <c r="QEE5" s="978"/>
      <c r="QEF5" s="978"/>
      <c r="QEG5" s="978"/>
      <c r="QEH5" s="978"/>
      <c r="QEI5" s="978"/>
      <c r="QEJ5" s="978"/>
      <c r="QEK5" s="978"/>
      <c r="QEL5" s="978"/>
      <c r="QEM5" s="978"/>
      <c r="QEN5" s="978"/>
      <c r="QEO5" s="978"/>
      <c r="QEP5" s="978"/>
      <c r="QEQ5" s="978"/>
      <c r="QER5" s="978"/>
      <c r="QES5" s="978"/>
      <c r="QET5" s="978"/>
      <c r="QEU5" s="978"/>
      <c r="QEV5" s="978"/>
      <c r="QEW5" s="978"/>
      <c r="QEX5" s="978"/>
      <c r="QEY5" s="978"/>
      <c r="QEZ5" s="978"/>
      <c r="QFA5" s="978"/>
      <c r="QFB5" s="978"/>
      <c r="QFC5" s="978"/>
      <c r="QFD5" s="978"/>
      <c r="QFE5" s="978"/>
      <c r="QFF5" s="978"/>
      <c r="QFG5" s="978"/>
      <c r="QFH5" s="978"/>
      <c r="QFI5" s="978"/>
      <c r="QFJ5" s="978"/>
      <c r="QFK5" s="978"/>
      <c r="QFL5" s="978"/>
      <c r="QFM5" s="978"/>
      <c r="QFN5" s="978"/>
      <c r="QFO5" s="978"/>
      <c r="QFP5" s="978"/>
      <c r="QFQ5" s="978"/>
      <c r="QFR5" s="978"/>
      <c r="QFS5" s="978"/>
      <c r="QFT5" s="978"/>
      <c r="QFU5" s="978"/>
      <c r="QFV5" s="978"/>
      <c r="QFW5" s="978"/>
      <c r="QFX5" s="978"/>
      <c r="QFY5" s="978"/>
      <c r="QFZ5" s="978"/>
      <c r="QGA5" s="978"/>
      <c r="QGB5" s="978"/>
      <c r="QGC5" s="978"/>
      <c r="QGD5" s="978"/>
      <c r="QGE5" s="978"/>
      <c r="QGF5" s="978"/>
      <c r="QGG5" s="978"/>
      <c r="QGH5" s="978"/>
      <c r="QGI5" s="978"/>
      <c r="QGJ5" s="978"/>
      <c r="QGK5" s="978"/>
      <c r="QGL5" s="978"/>
      <c r="QGM5" s="978"/>
      <c r="QGN5" s="978"/>
      <c r="QGO5" s="978"/>
      <c r="QGP5" s="978"/>
      <c r="QGQ5" s="978"/>
      <c r="QGR5" s="978"/>
      <c r="QGS5" s="978"/>
      <c r="QGT5" s="978"/>
      <c r="QGU5" s="978"/>
      <c r="QGV5" s="978"/>
      <c r="QGW5" s="978"/>
      <c r="QGX5" s="978"/>
      <c r="QGY5" s="978"/>
      <c r="QGZ5" s="978"/>
      <c r="QHA5" s="978"/>
      <c r="QHB5" s="978"/>
      <c r="QHC5" s="978"/>
      <c r="QHD5" s="978"/>
      <c r="QHE5" s="978"/>
      <c r="QHF5" s="978"/>
      <c r="QHG5" s="978"/>
      <c r="QHH5" s="978"/>
      <c r="QHI5" s="978"/>
      <c r="QHJ5" s="978"/>
      <c r="QHK5" s="978"/>
      <c r="QHL5" s="978"/>
      <c r="QHM5" s="978"/>
      <c r="QHN5" s="978"/>
      <c r="QHO5" s="978"/>
      <c r="QHP5" s="978"/>
      <c r="QHQ5" s="978"/>
      <c r="QHR5" s="978"/>
      <c r="QHS5" s="978"/>
      <c r="QHT5" s="978"/>
      <c r="QHU5" s="978"/>
      <c r="QHV5" s="978"/>
      <c r="QHW5" s="978"/>
      <c r="QHX5" s="978"/>
      <c r="QHY5" s="978"/>
      <c r="QHZ5" s="978"/>
      <c r="QIA5" s="978"/>
      <c r="QIB5" s="978"/>
      <c r="QIC5" s="978"/>
      <c r="QID5" s="978"/>
      <c r="QIE5" s="978"/>
      <c r="QIF5" s="978"/>
      <c r="QIG5" s="978"/>
      <c r="QIH5" s="978"/>
      <c r="QII5" s="978"/>
      <c r="QIJ5" s="978"/>
      <c r="QIK5" s="978"/>
      <c r="QIL5" s="978"/>
      <c r="QIM5" s="978"/>
      <c r="QIN5" s="978"/>
      <c r="QIO5" s="978"/>
      <c r="QIP5" s="978"/>
      <c r="QIQ5" s="978"/>
      <c r="QIR5" s="978"/>
      <c r="QIS5" s="978"/>
      <c r="QIT5" s="978"/>
      <c r="QIU5" s="978"/>
      <c r="QIV5" s="978"/>
      <c r="QIW5" s="978"/>
      <c r="QIX5" s="978"/>
      <c r="QIY5" s="978"/>
      <c r="QIZ5" s="978"/>
      <c r="QJA5" s="978"/>
      <c r="QJB5" s="978"/>
      <c r="QJC5" s="978"/>
      <c r="QJD5" s="978"/>
      <c r="QJE5" s="978"/>
      <c r="QJF5" s="978"/>
      <c r="QJG5" s="978"/>
      <c r="QJH5" s="978"/>
      <c r="QJI5" s="978"/>
      <c r="QJJ5" s="978"/>
      <c r="QJK5" s="978"/>
      <c r="QJL5" s="978"/>
      <c r="QJM5" s="978"/>
      <c r="QJN5" s="978"/>
      <c r="QJO5" s="978"/>
      <c r="QJP5" s="978"/>
      <c r="QJQ5" s="978"/>
      <c r="QJR5" s="978"/>
      <c r="QJS5" s="978"/>
      <c r="QJT5" s="978"/>
      <c r="QJU5" s="978"/>
      <c r="QJV5" s="978"/>
      <c r="QJW5" s="978"/>
      <c r="QJX5" s="978"/>
      <c r="QJY5" s="978"/>
      <c r="QJZ5" s="978"/>
      <c r="QKA5" s="978"/>
      <c r="QKB5" s="978"/>
      <c r="QKC5" s="978"/>
      <c r="QKD5" s="978"/>
      <c r="QKE5" s="978"/>
      <c r="QKF5" s="978"/>
      <c r="QKG5" s="978"/>
      <c r="QKH5" s="978"/>
      <c r="QKI5" s="978"/>
      <c r="QKJ5" s="978"/>
      <c r="QKK5" s="978"/>
      <c r="QKL5" s="978"/>
      <c r="QKM5" s="978"/>
      <c r="QKN5" s="978"/>
      <c r="QKO5" s="978"/>
      <c r="QKP5" s="978"/>
      <c r="QKQ5" s="978"/>
      <c r="QKR5" s="978"/>
      <c r="QKS5" s="978"/>
      <c r="QKT5" s="978"/>
      <c r="QKU5" s="978"/>
      <c r="QKV5" s="978"/>
      <c r="QKW5" s="978"/>
      <c r="QKX5" s="978"/>
      <c r="QKY5" s="978"/>
      <c r="QKZ5" s="978"/>
      <c r="QLA5" s="978"/>
      <c r="QLB5" s="978"/>
      <c r="QLC5" s="978"/>
      <c r="QLD5" s="978"/>
      <c r="QLE5" s="978"/>
      <c r="QLF5" s="978"/>
      <c r="QLG5" s="978"/>
      <c r="QLH5" s="978"/>
      <c r="QLI5" s="978"/>
      <c r="QLJ5" s="978"/>
      <c r="QLK5" s="978"/>
      <c r="QLL5" s="978"/>
      <c r="QLM5" s="978"/>
      <c r="QLN5" s="978"/>
      <c r="QLO5" s="978"/>
      <c r="QLP5" s="978"/>
      <c r="QLQ5" s="978"/>
      <c r="QLR5" s="978"/>
      <c r="QLS5" s="978"/>
      <c r="QLT5" s="978"/>
      <c r="QLU5" s="978"/>
      <c r="QLV5" s="978"/>
      <c r="QLW5" s="978"/>
      <c r="QLX5" s="978"/>
      <c r="QLY5" s="978"/>
      <c r="QLZ5" s="978"/>
      <c r="QMA5" s="978"/>
      <c r="QMB5" s="978"/>
      <c r="QMC5" s="978"/>
      <c r="QMD5" s="978"/>
      <c r="QME5" s="978"/>
      <c r="QMF5" s="978"/>
      <c r="QMG5" s="978"/>
      <c r="QMH5" s="978"/>
      <c r="QMI5" s="978"/>
      <c r="QMJ5" s="978"/>
      <c r="QMK5" s="978"/>
      <c r="QML5" s="978"/>
      <c r="QMM5" s="978"/>
      <c r="QMN5" s="978"/>
      <c r="QMO5" s="978"/>
      <c r="QMP5" s="978"/>
      <c r="QMQ5" s="978"/>
      <c r="QMR5" s="978"/>
      <c r="QMS5" s="978"/>
      <c r="QMT5" s="978"/>
      <c r="QMU5" s="978"/>
      <c r="QMV5" s="978"/>
      <c r="QMW5" s="978"/>
      <c r="QMX5" s="978"/>
      <c r="QMY5" s="978"/>
      <c r="QMZ5" s="978"/>
      <c r="QNA5" s="978"/>
      <c r="QNB5" s="978"/>
      <c r="QNC5" s="978"/>
      <c r="QND5" s="978"/>
      <c r="QNE5" s="978"/>
      <c r="QNF5" s="978"/>
      <c r="QNG5" s="978"/>
      <c r="QNH5" s="978"/>
      <c r="QNI5" s="978"/>
      <c r="QNJ5" s="978"/>
      <c r="QNK5" s="978"/>
      <c r="QNL5" s="978"/>
      <c r="QNM5" s="978"/>
      <c r="QNN5" s="978"/>
      <c r="QNO5" s="978"/>
      <c r="QNP5" s="978"/>
      <c r="QNQ5" s="978"/>
      <c r="QNR5" s="978"/>
      <c r="QNS5" s="978"/>
      <c r="QNT5" s="978"/>
      <c r="QNU5" s="978"/>
      <c r="QNV5" s="978"/>
      <c r="QNW5" s="978"/>
      <c r="QNX5" s="978"/>
      <c r="QNY5" s="978"/>
      <c r="QNZ5" s="978"/>
      <c r="QOA5" s="978"/>
      <c r="QOB5" s="978"/>
      <c r="QOC5" s="978"/>
      <c r="QOD5" s="978"/>
      <c r="QOE5" s="978"/>
      <c r="QOF5" s="978"/>
      <c r="QOG5" s="978"/>
      <c r="QOH5" s="978"/>
      <c r="QOI5" s="978"/>
      <c r="QOJ5" s="978"/>
      <c r="QOK5" s="978"/>
      <c r="QOL5" s="978"/>
      <c r="QOM5" s="978"/>
      <c r="QON5" s="978"/>
      <c r="QOO5" s="978"/>
      <c r="QOP5" s="978"/>
      <c r="QOQ5" s="978"/>
      <c r="QOR5" s="978"/>
      <c r="QOS5" s="978"/>
      <c r="QOT5" s="978"/>
      <c r="QOU5" s="978"/>
      <c r="QOV5" s="978"/>
      <c r="QOW5" s="978"/>
      <c r="QOX5" s="978"/>
      <c r="QOY5" s="978"/>
      <c r="QOZ5" s="978"/>
      <c r="QPA5" s="978"/>
      <c r="QPB5" s="978"/>
      <c r="QPC5" s="978"/>
      <c r="QPD5" s="978"/>
      <c r="QPE5" s="978"/>
      <c r="QPF5" s="978"/>
      <c r="QPG5" s="978"/>
      <c r="QPH5" s="978"/>
      <c r="QPI5" s="978"/>
      <c r="QPJ5" s="978"/>
      <c r="QPK5" s="978"/>
      <c r="QPL5" s="978"/>
      <c r="QPM5" s="978"/>
      <c r="QPN5" s="978"/>
      <c r="QPO5" s="978"/>
      <c r="QPP5" s="978"/>
      <c r="QPQ5" s="978"/>
      <c r="QPR5" s="978"/>
      <c r="QPS5" s="978"/>
      <c r="QPT5" s="978"/>
      <c r="QPU5" s="978"/>
      <c r="QPV5" s="978"/>
      <c r="QPW5" s="978"/>
      <c r="QPX5" s="978"/>
      <c r="QPY5" s="978"/>
      <c r="QPZ5" s="978"/>
      <c r="QQA5" s="978"/>
      <c r="QQB5" s="978"/>
      <c r="QQC5" s="978"/>
      <c r="QQD5" s="978"/>
      <c r="QQE5" s="978"/>
      <c r="QQF5" s="978"/>
      <c r="QQG5" s="978"/>
      <c r="QQH5" s="978"/>
      <c r="QQI5" s="978"/>
      <c r="QQJ5" s="978"/>
      <c r="QQK5" s="978"/>
      <c r="QQL5" s="978"/>
      <c r="QQM5" s="978"/>
      <c r="QQN5" s="978"/>
      <c r="QQO5" s="978"/>
      <c r="QQP5" s="978"/>
      <c r="QQQ5" s="978"/>
      <c r="QQR5" s="978"/>
      <c r="QQS5" s="978"/>
      <c r="QQT5" s="978"/>
      <c r="QQU5" s="978"/>
      <c r="QQV5" s="978"/>
      <c r="QQW5" s="978"/>
      <c r="QQX5" s="978"/>
      <c r="QQY5" s="978"/>
      <c r="QQZ5" s="978"/>
      <c r="QRA5" s="978"/>
      <c r="QRB5" s="978"/>
      <c r="QRC5" s="978"/>
      <c r="QRD5" s="978"/>
      <c r="QRE5" s="978"/>
      <c r="QRF5" s="978"/>
      <c r="QRG5" s="978"/>
      <c r="QRH5" s="978"/>
      <c r="QRI5" s="978"/>
      <c r="QRJ5" s="978"/>
      <c r="QRK5" s="978"/>
      <c r="QRL5" s="978"/>
      <c r="QRM5" s="978"/>
      <c r="QRN5" s="978"/>
      <c r="QRO5" s="978"/>
      <c r="QRP5" s="978"/>
      <c r="QRQ5" s="978"/>
      <c r="QRR5" s="978"/>
      <c r="QRS5" s="978"/>
      <c r="QRT5" s="978"/>
      <c r="QRU5" s="978"/>
      <c r="QRV5" s="978"/>
      <c r="QRW5" s="978"/>
      <c r="QRX5" s="978"/>
      <c r="QRY5" s="978"/>
      <c r="QRZ5" s="978"/>
      <c r="QSA5" s="978"/>
      <c r="QSB5" s="978"/>
      <c r="QSC5" s="978"/>
      <c r="QSD5" s="978"/>
      <c r="QSE5" s="978"/>
      <c r="QSF5" s="978"/>
      <c r="QSG5" s="978"/>
      <c r="QSH5" s="978"/>
      <c r="QSI5" s="978"/>
      <c r="QSJ5" s="978"/>
      <c r="QSK5" s="978"/>
      <c r="QSL5" s="978"/>
      <c r="QSM5" s="978"/>
      <c r="QSN5" s="978"/>
      <c r="QSO5" s="978"/>
      <c r="QSP5" s="978"/>
      <c r="QSQ5" s="978"/>
      <c r="QSR5" s="978"/>
      <c r="QSS5" s="978"/>
      <c r="QST5" s="978"/>
      <c r="QSU5" s="978"/>
      <c r="QSV5" s="978"/>
      <c r="QSW5" s="978"/>
      <c r="QSX5" s="978"/>
      <c r="QSY5" s="978"/>
      <c r="QSZ5" s="978"/>
      <c r="QTA5" s="978"/>
      <c r="QTB5" s="978"/>
      <c r="QTC5" s="978"/>
      <c r="QTD5" s="978"/>
      <c r="QTE5" s="978"/>
      <c r="QTF5" s="978"/>
      <c r="QTG5" s="978"/>
      <c r="QTH5" s="978"/>
      <c r="QTI5" s="978"/>
      <c r="QTJ5" s="978"/>
      <c r="QTK5" s="978"/>
      <c r="QTL5" s="978"/>
      <c r="QTM5" s="978"/>
      <c r="QTN5" s="978"/>
      <c r="QTO5" s="978"/>
      <c r="QTP5" s="978"/>
      <c r="QTQ5" s="978"/>
      <c r="QTR5" s="978"/>
      <c r="QTS5" s="978"/>
      <c r="QTT5" s="978"/>
      <c r="QTU5" s="978"/>
      <c r="QTV5" s="978"/>
      <c r="QTW5" s="978"/>
      <c r="QTX5" s="978"/>
      <c r="QTY5" s="978"/>
      <c r="QTZ5" s="978"/>
      <c r="QUA5" s="978"/>
      <c r="QUB5" s="978"/>
      <c r="QUC5" s="978"/>
      <c r="QUD5" s="978"/>
      <c r="QUE5" s="978"/>
      <c r="QUF5" s="978"/>
      <c r="QUG5" s="978"/>
      <c r="QUH5" s="978"/>
      <c r="QUI5" s="978"/>
      <c r="QUJ5" s="978"/>
      <c r="QUK5" s="978"/>
      <c r="QUL5" s="978"/>
      <c r="QUM5" s="978"/>
      <c r="QUN5" s="978"/>
      <c r="QUO5" s="978"/>
      <c r="QUP5" s="978"/>
      <c r="QUQ5" s="978"/>
      <c r="QUR5" s="978"/>
      <c r="QUS5" s="978"/>
      <c r="QUT5" s="978"/>
      <c r="QUU5" s="978"/>
      <c r="QUV5" s="978"/>
      <c r="QUW5" s="978"/>
      <c r="QUX5" s="978"/>
      <c r="QUY5" s="978"/>
      <c r="QUZ5" s="978"/>
      <c r="QVA5" s="978"/>
      <c r="QVB5" s="978"/>
      <c r="QVC5" s="978"/>
      <c r="QVD5" s="978"/>
      <c r="QVE5" s="978"/>
      <c r="QVF5" s="978"/>
      <c r="QVG5" s="978"/>
      <c r="QVH5" s="978"/>
      <c r="QVI5" s="978"/>
      <c r="QVJ5" s="978"/>
      <c r="QVK5" s="978"/>
      <c r="QVL5" s="978"/>
      <c r="QVM5" s="978"/>
      <c r="QVN5" s="978"/>
      <c r="QVO5" s="978"/>
      <c r="QVP5" s="978"/>
      <c r="QVQ5" s="978"/>
      <c r="QVR5" s="978"/>
      <c r="QVS5" s="978"/>
      <c r="QVT5" s="978"/>
      <c r="QVU5" s="978"/>
      <c r="QVV5" s="978"/>
      <c r="QVW5" s="978"/>
      <c r="QVX5" s="978"/>
      <c r="QVY5" s="978"/>
      <c r="QVZ5" s="978"/>
      <c r="QWA5" s="978"/>
      <c r="QWB5" s="978"/>
      <c r="QWC5" s="978"/>
      <c r="QWD5" s="978"/>
      <c r="QWE5" s="978"/>
      <c r="QWF5" s="978"/>
      <c r="QWG5" s="978"/>
      <c r="QWH5" s="978"/>
      <c r="QWI5" s="978"/>
      <c r="QWJ5" s="978"/>
      <c r="QWK5" s="978"/>
      <c r="QWL5" s="978"/>
      <c r="QWM5" s="978"/>
      <c r="QWN5" s="978"/>
      <c r="QWO5" s="978"/>
      <c r="QWP5" s="978"/>
      <c r="QWQ5" s="978"/>
      <c r="QWR5" s="978"/>
      <c r="QWS5" s="978"/>
      <c r="QWT5" s="978"/>
      <c r="QWU5" s="978"/>
      <c r="QWV5" s="978"/>
      <c r="QWW5" s="978"/>
      <c r="QWX5" s="978"/>
      <c r="QWY5" s="978"/>
      <c r="QWZ5" s="978"/>
      <c r="QXA5" s="978"/>
      <c r="QXB5" s="978"/>
      <c r="QXC5" s="978"/>
      <c r="QXD5" s="978"/>
      <c r="QXE5" s="978"/>
      <c r="QXF5" s="978"/>
      <c r="QXG5" s="978"/>
      <c r="QXH5" s="978"/>
      <c r="QXI5" s="978"/>
      <c r="QXJ5" s="978"/>
      <c r="QXK5" s="978"/>
      <c r="QXL5" s="978"/>
      <c r="QXM5" s="978"/>
      <c r="QXN5" s="978"/>
      <c r="QXO5" s="978"/>
      <c r="QXP5" s="978"/>
      <c r="QXQ5" s="978"/>
      <c r="QXR5" s="978"/>
      <c r="QXS5" s="978"/>
      <c r="QXT5" s="978"/>
      <c r="QXU5" s="978"/>
      <c r="QXV5" s="978"/>
      <c r="QXW5" s="978"/>
      <c r="QXX5" s="978"/>
      <c r="QXY5" s="978"/>
      <c r="QXZ5" s="978"/>
      <c r="QYA5" s="978"/>
      <c r="QYB5" s="978"/>
      <c r="QYC5" s="978"/>
      <c r="QYD5" s="978"/>
      <c r="QYE5" s="978"/>
      <c r="QYF5" s="978"/>
      <c r="QYG5" s="978"/>
      <c r="QYH5" s="978"/>
      <c r="QYI5" s="978"/>
      <c r="QYJ5" s="978"/>
      <c r="QYK5" s="978"/>
      <c r="QYL5" s="978"/>
      <c r="QYM5" s="978"/>
      <c r="QYN5" s="978"/>
      <c r="QYO5" s="978"/>
      <c r="QYP5" s="978"/>
      <c r="QYQ5" s="978"/>
      <c r="QYR5" s="978"/>
      <c r="QYS5" s="978"/>
      <c r="QYT5" s="978"/>
      <c r="QYU5" s="978"/>
      <c r="QYV5" s="978"/>
      <c r="QYW5" s="978"/>
      <c r="QYX5" s="978"/>
      <c r="QYY5" s="978"/>
      <c r="QYZ5" s="978"/>
      <c r="QZA5" s="978"/>
      <c r="QZB5" s="978"/>
      <c r="QZC5" s="978"/>
      <c r="QZD5" s="978"/>
      <c r="QZE5" s="978"/>
      <c r="QZF5" s="978"/>
      <c r="QZG5" s="978"/>
      <c r="QZH5" s="978"/>
      <c r="QZI5" s="978"/>
      <c r="QZJ5" s="978"/>
      <c r="QZK5" s="978"/>
      <c r="QZL5" s="978"/>
      <c r="QZM5" s="978"/>
      <c r="QZN5" s="978"/>
      <c r="QZO5" s="978"/>
      <c r="QZP5" s="978"/>
      <c r="QZQ5" s="978"/>
      <c r="QZR5" s="978"/>
      <c r="QZS5" s="978"/>
      <c r="QZT5" s="978"/>
      <c r="QZU5" s="978"/>
      <c r="QZV5" s="978"/>
      <c r="QZW5" s="978"/>
      <c r="QZX5" s="978"/>
      <c r="QZY5" s="978"/>
      <c r="QZZ5" s="978"/>
      <c r="RAA5" s="978"/>
      <c r="RAB5" s="978"/>
      <c r="RAC5" s="978"/>
      <c r="RAD5" s="978"/>
      <c r="RAE5" s="978"/>
      <c r="RAF5" s="978"/>
      <c r="RAG5" s="978"/>
      <c r="RAH5" s="978"/>
      <c r="RAI5" s="978"/>
      <c r="RAJ5" s="978"/>
      <c r="RAK5" s="978"/>
      <c r="RAL5" s="978"/>
      <c r="RAM5" s="978"/>
      <c r="RAN5" s="978"/>
      <c r="RAO5" s="978"/>
      <c r="RAP5" s="978"/>
      <c r="RAQ5" s="978"/>
      <c r="RAR5" s="978"/>
      <c r="RAS5" s="978"/>
      <c r="RAT5" s="978"/>
      <c r="RAU5" s="978"/>
      <c r="RAV5" s="978"/>
      <c r="RAW5" s="978"/>
      <c r="RAX5" s="978"/>
      <c r="RAY5" s="978"/>
      <c r="RAZ5" s="978"/>
      <c r="RBA5" s="978"/>
      <c r="RBB5" s="978"/>
      <c r="RBC5" s="978"/>
      <c r="RBD5" s="978"/>
      <c r="RBE5" s="978"/>
      <c r="RBF5" s="978"/>
      <c r="RBG5" s="978"/>
      <c r="RBH5" s="978"/>
      <c r="RBI5" s="978"/>
      <c r="RBJ5" s="978"/>
      <c r="RBK5" s="978"/>
      <c r="RBL5" s="978"/>
      <c r="RBM5" s="978"/>
      <c r="RBN5" s="978"/>
      <c r="RBO5" s="978"/>
      <c r="RBP5" s="978"/>
      <c r="RBQ5" s="978"/>
      <c r="RBR5" s="978"/>
      <c r="RBS5" s="978"/>
      <c r="RBT5" s="978"/>
      <c r="RBU5" s="978"/>
      <c r="RBV5" s="978"/>
      <c r="RBW5" s="978"/>
      <c r="RBX5" s="978"/>
      <c r="RBY5" s="978"/>
      <c r="RBZ5" s="978"/>
      <c r="RCA5" s="978"/>
      <c r="RCB5" s="978"/>
      <c r="RCC5" s="978"/>
      <c r="RCD5" s="978"/>
      <c r="RCE5" s="978"/>
      <c r="RCF5" s="978"/>
      <c r="RCG5" s="978"/>
      <c r="RCH5" s="978"/>
      <c r="RCI5" s="978"/>
      <c r="RCJ5" s="978"/>
      <c r="RCK5" s="978"/>
      <c r="RCL5" s="978"/>
      <c r="RCM5" s="978"/>
      <c r="RCN5" s="978"/>
      <c r="RCO5" s="978"/>
      <c r="RCP5" s="978"/>
      <c r="RCQ5" s="978"/>
      <c r="RCR5" s="978"/>
      <c r="RCS5" s="978"/>
      <c r="RCT5" s="978"/>
      <c r="RCU5" s="978"/>
      <c r="RCV5" s="978"/>
      <c r="RCW5" s="978"/>
      <c r="RCX5" s="978"/>
      <c r="RCY5" s="978"/>
      <c r="RCZ5" s="978"/>
      <c r="RDA5" s="978"/>
      <c r="RDB5" s="978"/>
      <c r="RDC5" s="978"/>
      <c r="RDD5" s="978"/>
      <c r="RDE5" s="978"/>
      <c r="RDF5" s="978"/>
      <c r="RDG5" s="978"/>
      <c r="RDH5" s="978"/>
      <c r="RDI5" s="978"/>
      <c r="RDJ5" s="978"/>
      <c r="RDK5" s="978"/>
      <c r="RDL5" s="978"/>
      <c r="RDM5" s="978"/>
      <c r="RDN5" s="978"/>
      <c r="RDO5" s="978"/>
      <c r="RDP5" s="978"/>
      <c r="RDQ5" s="978"/>
      <c r="RDR5" s="978"/>
      <c r="RDS5" s="978"/>
      <c r="RDT5" s="978"/>
      <c r="RDU5" s="978"/>
      <c r="RDV5" s="978"/>
      <c r="RDW5" s="978"/>
      <c r="RDX5" s="978"/>
      <c r="RDY5" s="978"/>
      <c r="RDZ5" s="978"/>
      <c r="REA5" s="978"/>
      <c r="REB5" s="978"/>
      <c r="REC5" s="978"/>
      <c r="RED5" s="978"/>
      <c r="REE5" s="978"/>
      <c r="REF5" s="978"/>
      <c r="REG5" s="978"/>
      <c r="REH5" s="978"/>
      <c r="REI5" s="978"/>
      <c r="REJ5" s="978"/>
      <c r="REK5" s="978"/>
      <c r="REL5" s="978"/>
      <c r="REM5" s="978"/>
      <c r="REN5" s="978"/>
      <c r="REO5" s="978"/>
      <c r="REP5" s="978"/>
      <c r="REQ5" s="978"/>
      <c r="RER5" s="978"/>
      <c r="RES5" s="978"/>
      <c r="RET5" s="978"/>
      <c r="REU5" s="978"/>
      <c r="REV5" s="978"/>
      <c r="REW5" s="978"/>
      <c r="REX5" s="978"/>
      <c r="REY5" s="978"/>
      <c r="REZ5" s="978"/>
      <c r="RFA5" s="978"/>
      <c r="RFB5" s="978"/>
      <c r="RFC5" s="978"/>
      <c r="RFD5" s="978"/>
      <c r="RFE5" s="978"/>
      <c r="RFF5" s="978"/>
      <c r="RFG5" s="978"/>
      <c r="RFH5" s="978"/>
      <c r="RFI5" s="978"/>
      <c r="RFJ5" s="978"/>
      <c r="RFK5" s="978"/>
      <c r="RFL5" s="978"/>
      <c r="RFM5" s="978"/>
      <c r="RFN5" s="978"/>
      <c r="RFO5" s="978"/>
      <c r="RFP5" s="978"/>
      <c r="RFQ5" s="978"/>
      <c r="RFR5" s="978"/>
      <c r="RFS5" s="978"/>
      <c r="RFT5" s="978"/>
      <c r="RFU5" s="978"/>
      <c r="RFV5" s="978"/>
      <c r="RFW5" s="978"/>
      <c r="RFX5" s="978"/>
      <c r="RFY5" s="978"/>
      <c r="RFZ5" s="978"/>
      <c r="RGA5" s="978"/>
      <c r="RGB5" s="978"/>
      <c r="RGC5" s="978"/>
      <c r="RGD5" s="978"/>
      <c r="RGE5" s="978"/>
      <c r="RGF5" s="978"/>
      <c r="RGG5" s="978"/>
      <c r="RGH5" s="978"/>
      <c r="RGI5" s="978"/>
      <c r="RGJ5" s="978"/>
      <c r="RGK5" s="978"/>
      <c r="RGL5" s="978"/>
      <c r="RGM5" s="978"/>
      <c r="RGN5" s="978"/>
      <c r="RGO5" s="978"/>
      <c r="RGP5" s="978"/>
      <c r="RGQ5" s="978"/>
      <c r="RGR5" s="978"/>
      <c r="RGS5" s="978"/>
      <c r="RGT5" s="978"/>
      <c r="RGU5" s="978"/>
      <c r="RGV5" s="978"/>
      <c r="RGW5" s="978"/>
      <c r="RGX5" s="978"/>
      <c r="RGY5" s="978"/>
      <c r="RGZ5" s="978"/>
      <c r="RHA5" s="978"/>
      <c r="RHB5" s="978"/>
      <c r="RHC5" s="978"/>
      <c r="RHD5" s="978"/>
      <c r="RHE5" s="978"/>
      <c r="RHF5" s="978"/>
      <c r="RHG5" s="978"/>
      <c r="RHH5" s="978"/>
      <c r="RHI5" s="978"/>
      <c r="RHJ5" s="978"/>
      <c r="RHK5" s="978"/>
      <c r="RHL5" s="978"/>
      <c r="RHM5" s="978"/>
      <c r="RHN5" s="978"/>
      <c r="RHO5" s="978"/>
      <c r="RHP5" s="978"/>
      <c r="RHQ5" s="978"/>
      <c r="RHR5" s="978"/>
      <c r="RHS5" s="978"/>
      <c r="RHT5" s="978"/>
      <c r="RHU5" s="978"/>
      <c r="RHV5" s="978"/>
      <c r="RHW5" s="978"/>
      <c r="RHX5" s="978"/>
      <c r="RHY5" s="978"/>
      <c r="RHZ5" s="978"/>
      <c r="RIA5" s="978"/>
      <c r="RIB5" s="978"/>
      <c r="RIC5" s="978"/>
      <c r="RID5" s="978"/>
      <c r="RIE5" s="978"/>
      <c r="RIF5" s="978"/>
      <c r="RIG5" s="978"/>
      <c r="RIH5" s="978"/>
      <c r="RII5" s="978"/>
      <c r="RIJ5" s="978"/>
      <c r="RIK5" s="978"/>
      <c r="RIL5" s="978"/>
      <c r="RIM5" s="978"/>
      <c r="RIN5" s="978"/>
      <c r="RIO5" s="978"/>
      <c r="RIP5" s="978"/>
      <c r="RIQ5" s="978"/>
      <c r="RIR5" s="978"/>
      <c r="RIS5" s="978"/>
      <c r="RIT5" s="978"/>
      <c r="RIU5" s="978"/>
      <c r="RIV5" s="978"/>
      <c r="RIW5" s="978"/>
      <c r="RIX5" s="978"/>
      <c r="RIY5" s="978"/>
      <c r="RIZ5" s="978"/>
      <c r="RJA5" s="978"/>
      <c r="RJB5" s="978"/>
      <c r="RJC5" s="978"/>
      <c r="RJD5" s="978"/>
      <c r="RJE5" s="978"/>
      <c r="RJF5" s="978"/>
      <c r="RJG5" s="978"/>
      <c r="RJH5" s="978"/>
      <c r="RJI5" s="978"/>
      <c r="RJJ5" s="978"/>
      <c r="RJK5" s="978"/>
      <c r="RJL5" s="978"/>
      <c r="RJM5" s="978"/>
      <c r="RJN5" s="978"/>
      <c r="RJO5" s="978"/>
      <c r="RJP5" s="978"/>
      <c r="RJQ5" s="978"/>
      <c r="RJR5" s="978"/>
      <c r="RJS5" s="978"/>
      <c r="RJT5" s="978"/>
      <c r="RJU5" s="978"/>
      <c r="RJV5" s="978"/>
      <c r="RJW5" s="978"/>
      <c r="RJX5" s="978"/>
      <c r="RJY5" s="978"/>
      <c r="RJZ5" s="978"/>
      <c r="RKA5" s="978"/>
      <c r="RKB5" s="978"/>
      <c r="RKC5" s="978"/>
      <c r="RKD5" s="978"/>
      <c r="RKE5" s="978"/>
      <c r="RKF5" s="978"/>
      <c r="RKG5" s="978"/>
      <c r="RKH5" s="978"/>
      <c r="RKI5" s="978"/>
      <c r="RKJ5" s="978"/>
      <c r="RKK5" s="978"/>
      <c r="RKL5" s="978"/>
      <c r="RKM5" s="978"/>
      <c r="RKN5" s="978"/>
      <c r="RKO5" s="978"/>
      <c r="RKP5" s="978"/>
      <c r="RKQ5" s="978"/>
      <c r="RKR5" s="978"/>
      <c r="RKS5" s="978"/>
      <c r="RKT5" s="978"/>
      <c r="RKU5" s="978"/>
      <c r="RKV5" s="978"/>
      <c r="RKW5" s="978"/>
      <c r="RKX5" s="978"/>
      <c r="RKY5" s="978"/>
      <c r="RKZ5" s="978"/>
      <c r="RLA5" s="978"/>
      <c r="RLB5" s="978"/>
      <c r="RLC5" s="978"/>
      <c r="RLD5" s="978"/>
      <c r="RLE5" s="978"/>
      <c r="RLF5" s="978"/>
      <c r="RLG5" s="978"/>
      <c r="RLH5" s="978"/>
      <c r="RLI5" s="978"/>
      <c r="RLJ5" s="978"/>
      <c r="RLK5" s="978"/>
      <c r="RLL5" s="978"/>
      <c r="RLM5" s="978"/>
      <c r="RLN5" s="978"/>
      <c r="RLO5" s="978"/>
      <c r="RLP5" s="978"/>
      <c r="RLQ5" s="978"/>
      <c r="RLR5" s="978"/>
      <c r="RLS5" s="978"/>
      <c r="RLT5" s="978"/>
      <c r="RLU5" s="978"/>
      <c r="RLV5" s="978"/>
      <c r="RLW5" s="978"/>
      <c r="RLX5" s="978"/>
      <c r="RLY5" s="978"/>
      <c r="RLZ5" s="978"/>
      <c r="RMA5" s="978"/>
      <c r="RMB5" s="978"/>
      <c r="RMC5" s="978"/>
      <c r="RMD5" s="978"/>
      <c r="RME5" s="978"/>
      <c r="RMF5" s="978"/>
      <c r="RMG5" s="978"/>
      <c r="RMH5" s="978"/>
      <c r="RMI5" s="978"/>
      <c r="RMJ5" s="978"/>
      <c r="RMK5" s="978"/>
      <c r="RML5" s="978"/>
      <c r="RMM5" s="978"/>
      <c r="RMN5" s="978"/>
      <c r="RMO5" s="978"/>
      <c r="RMP5" s="978"/>
      <c r="RMQ5" s="978"/>
      <c r="RMR5" s="978"/>
      <c r="RMS5" s="978"/>
      <c r="RMT5" s="978"/>
      <c r="RMU5" s="978"/>
      <c r="RMV5" s="978"/>
      <c r="RMW5" s="978"/>
      <c r="RMX5" s="978"/>
      <c r="RMY5" s="978"/>
      <c r="RMZ5" s="978"/>
      <c r="RNA5" s="978"/>
      <c r="RNB5" s="978"/>
      <c r="RNC5" s="978"/>
      <c r="RND5" s="978"/>
      <c r="RNE5" s="978"/>
      <c r="RNF5" s="978"/>
      <c r="RNG5" s="978"/>
      <c r="RNH5" s="978"/>
      <c r="RNI5" s="978"/>
      <c r="RNJ5" s="978"/>
      <c r="RNK5" s="978"/>
      <c r="RNL5" s="978"/>
      <c r="RNM5" s="978"/>
      <c r="RNN5" s="978"/>
      <c r="RNO5" s="978"/>
      <c r="RNP5" s="978"/>
      <c r="RNQ5" s="978"/>
      <c r="RNR5" s="978"/>
      <c r="RNS5" s="978"/>
      <c r="RNT5" s="978"/>
      <c r="RNU5" s="978"/>
      <c r="RNV5" s="978"/>
      <c r="RNW5" s="978"/>
      <c r="RNX5" s="978"/>
      <c r="RNY5" s="978"/>
      <c r="RNZ5" s="978"/>
      <c r="ROA5" s="978"/>
      <c r="ROB5" s="978"/>
      <c r="ROC5" s="978"/>
      <c r="ROD5" s="978"/>
      <c r="ROE5" s="978"/>
      <c r="ROF5" s="978"/>
      <c r="ROG5" s="978"/>
      <c r="ROH5" s="978"/>
      <c r="ROI5" s="978"/>
      <c r="ROJ5" s="978"/>
      <c r="ROK5" s="978"/>
      <c r="ROL5" s="978"/>
      <c r="ROM5" s="978"/>
      <c r="RON5" s="978"/>
      <c r="ROO5" s="978"/>
      <c r="ROP5" s="978"/>
      <c r="ROQ5" s="978"/>
      <c r="ROR5" s="978"/>
      <c r="ROS5" s="978"/>
      <c r="ROT5" s="978"/>
      <c r="ROU5" s="978"/>
      <c r="ROV5" s="978"/>
      <c r="ROW5" s="978"/>
      <c r="ROX5" s="978"/>
      <c r="ROY5" s="978"/>
      <c r="ROZ5" s="978"/>
      <c r="RPA5" s="978"/>
      <c r="RPB5" s="978"/>
      <c r="RPC5" s="978"/>
      <c r="RPD5" s="978"/>
      <c r="RPE5" s="978"/>
      <c r="RPF5" s="978"/>
      <c r="RPG5" s="978"/>
      <c r="RPH5" s="978"/>
      <c r="RPI5" s="978"/>
      <c r="RPJ5" s="978"/>
      <c r="RPK5" s="978"/>
      <c r="RPL5" s="978"/>
      <c r="RPM5" s="978"/>
      <c r="RPN5" s="978"/>
      <c r="RPO5" s="978"/>
      <c r="RPP5" s="978"/>
      <c r="RPQ5" s="978"/>
      <c r="RPR5" s="978"/>
      <c r="RPS5" s="978"/>
      <c r="RPT5" s="978"/>
      <c r="RPU5" s="978"/>
      <c r="RPV5" s="978"/>
      <c r="RPW5" s="978"/>
      <c r="RPX5" s="978"/>
      <c r="RPY5" s="978"/>
      <c r="RPZ5" s="978"/>
      <c r="RQA5" s="978"/>
      <c r="RQB5" s="978"/>
      <c r="RQC5" s="978"/>
      <c r="RQD5" s="978"/>
      <c r="RQE5" s="978"/>
      <c r="RQF5" s="978"/>
      <c r="RQG5" s="978"/>
      <c r="RQH5" s="978"/>
      <c r="RQI5" s="978"/>
      <c r="RQJ5" s="978"/>
      <c r="RQK5" s="978"/>
      <c r="RQL5" s="978"/>
      <c r="RQM5" s="978"/>
      <c r="RQN5" s="978"/>
      <c r="RQO5" s="978"/>
      <c r="RQP5" s="978"/>
      <c r="RQQ5" s="978"/>
      <c r="RQR5" s="978"/>
      <c r="RQS5" s="978"/>
      <c r="RQT5" s="978"/>
      <c r="RQU5" s="978"/>
      <c r="RQV5" s="978"/>
      <c r="RQW5" s="978"/>
      <c r="RQX5" s="978"/>
      <c r="RQY5" s="978"/>
      <c r="RQZ5" s="978"/>
      <c r="RRA5" s="978"/>
      <c r="RRB5" s="978"/>
      <c r="RRC5" s="978"/>
      <c r="RRD5" s="978"/>
      <c r="RRE5" s="978"/>
      <c r="RRF5" s="978"/>
      <c r="RRG5" s="978"/>
      <c r="RRH5" s="978"/>
      <c r="RRI5" s="978"/>
      <c r="RRJ5" s="978"/>
      <c r="RRK5" s="978"/>
      <c r="RRL5" s="978"/>
      <c r="RRM5" s="978"/>
      <c r="RRN5" s="978"/>
      <c r="RRO5" s="978"/>
      <c r="RRP5" s="978"/>
      <c r="RRQ5" s="978"/>
      <c r="RRR5" s="978"/>
      <c r="RRS5" s="978"/>
      <c r="RRT5" s="978"/>
      <c r="RRU5" s="978"/>
      <c r="RRV5" s="978"/>
      <c r="RRW5" s="978"/>
      <c r="RRX5" s="978"/>
      <c r="RRY5" s="978"/>
      <c r="RRZ5" s="978"/>
      <c r="RSA5" s="978"/>
      <c r="RSB5" s="978"/>
      <c r="RSC5" s="978"/>
      <c r="RSD5" s="978"/>
      <c r="RSE5" s="978"/>
      <c r="RSF5" s="978"/>
      <c r="RSG5" s="978"/>
      <c r="RSH5" s="978"/>
      <c r="RSI5" s="978"/>
      <c r="RSJ5" s="978"/>
      <c r="RSK5" s="978"/>
      <c r="RSL5" s="978"/>
      <c r="RSM5" s="978"/>
      <c r="RSN5" s="978"/>
      <c r="RSO5" s="978"/>
      <c r="RSP5" s="978"/>
      <c r="RSQ5" s="978"/>
      <c r="RSR5" s="978"/>
      <c r="RSS5" s="978"/>
      <c r="RST5" s="978"/>
      <c r="RSU5" s="978"/>
      <c r="RSV5" s="978"/>
      <c r="RSW5" s="978"/>
      <c r="RSX5" s="978"/>
      <c r="RSY5" s="978"/>
      <c r="RSZ5" s="978"/>
      <c r="RTA5" s="978"/>
      <c r="RTB5" s="978"/>
      <c r="RTC5" s="978"/>
      <c r="RTD5" s="978"/>
      <c r="RTE5" s="978"/>
      <c r="RTF5" s="978"/>
      <c r="RTG5" s="978"/>
      <c r="RTH5" s="978"/>
      <c r="RTI5" s="978"/>
      <c r="RTJ5" s="978"/>
      <c r="RTK5" s="978"/>
      <c r="RTL5" s="978"/>
      <c r="RTM5" s="978"/>
      <c r="RTN5" s="978"/>
      <c r="RTO5" s="978"/>
      <c r="RTP5" s="978"/>
      <c r="RTQ5" s="978"/>
      <c r="RTR5" s="978"/>
      <c r="RTS5" s="978"/>
      <c r="RTT5" s="978"/>
      <c r="RTU5" s="978"/>
      <c r="RTV5" s="978"/>
      <c r="RTW5" s="978"/>
      <c r="RTX5" s="978"/>
      <c r="RTY5" s="978"/>
      <c r="RTZ5" s="978"/>
      <c r="RUA5" s="978"/>
      <c r="RUB5" s="978"/>
      <c r="RUC5" s="978"/>
      <c r="RUD5" s="978"/>
      <c r="RUE5" s="978"/>
      <c r="RUF5" s="978"/>
      <c r="RUG5" s="978"/>
      <c r="RUH5" s="978"/>
      <c r="RUI5" s="978"/>
      <c r="RUJ5" s="978"/>
      <c r="RUK5" s="978"/>
      <c r="RUL5" s="978"/>
      <c r="RUM5" s="978"/>
      <c r="RUN5" s="978"/>
      <c r="RUO5" s="978"/>
      <c r="RUP5" s="978"/>
      <c r="RUQ5" s="978"/>
      <c r="RUR5" s="978"/>
      <c r="RUS5" s="978"/>
      <c r="RUT5" s="978"/>
      <c r="RUU5" s="978"/>
      <c r="RUV5" s="978"/>
      <c r="RUW5" s="978"/>
      <c r="RUX5" s="978"/>
      <c r="RUY5" s="978"/>
      <c r="RUZ5" s="978"/>
      <c r="RVA5" s="978"/>
      <c r="RVB5" s="978"/>
      <c r="RVC5" s="978"/>
      <c r="RVD5" s="978"/>
      <c r="RVE5" s="978"/>
      <c r="RVF5" s="978"/>
      <c r="RVG5" s="978"/>
      <c r="RVH5" s="978"/>
      <c r="RVI5" s="978"/>
      <c r="RVJ5" s="978"/>
      <c r="RVK5" s="978"/>
      <c r="RVL5" s="978"/>
      <c r="RVM5" s="978"/>
      <c r="RVN5" s="978"/>
      <c r="RVO5" s="978"/>
      <c r="RVP5" s="978"/>
      <c r="RVQ5" s="978"/>
      <c r="RVR5" s="978"/>
      <c r="RVS5" s="978"/>
      <c r="RVT5" s="978"/>
      <c r="RVU5" s="978"/>
      <c r="RVV5" s="978"/>
      <c r="RVW5" s="978"/>
      <c r="RVX5" s="978"/>
      <c r="RVY5" s="978"/>
      <c r="RVZ5" s="978"/>
      <c r="RWA5" s="978"/>
      <c r="RWB5" s="978"/>
      <c r="RWC5" s="978"/>
      <c r="RWD5" s="978"/>
      <c r="RWE5" s="978"/>
      <c r="RWF5" s="978"/>
      <c r="RWG5" s="978"/>
      <c r="RWH5" s="978"/>
      <c r="RWI5" s="978"/>
      <c r="RWJ5" s="978"/>
      <c r="RWK5" s="978"/>
      <c r="RWL5" s="978"/>
      <c r="RWM5" s="978"/>
      <c r="RWN5" s="978"/>
      <c r="RWO5" s="978"/>
      <c r="RWP5" s="978"/>
      <c r="RWQ5" s="978"/>
      <c r="RWR5" s="978"/>
      <c r="RWS5" s="978"/>
      <c r="RWT5" s="978"/>
      <c r="RWU5" s="978"/>
      <c r="RWV5" s="978"/>
      <c r="RWW5" s="978"/>
      <c r="RWX5" s="978"/>
      <c r="RWY5" s="978"/>
      <c r="RWZ5" s="978"/>
      <c r="RXA5" s="978"/>
      <c r="RXB5" s="978"/>
      <c r="RXC5" s="978"/>
      <c r="RXD5" s="978"/>
      <c r="RXE5" s="978"/>
      <c r="RXF5" s="978"/>
      <c r="RXG5" s="978"/>
      <c r="RXH5" s="978"/>
      <c r="RXI5" s="978"/>
      <c r="RXJ5" s="978"/>
      <c r="RXK5" s="978"/>
      <c r="RXL5" s="978"/>
      <c r="RXM5" s="978"/>
      <c r="RXN5" s="978"/>
      <c r="RXO5" s="978"/>
      <c r="RXP5" s="978"/>
      <c r="RXQ5" s="978"/>
      <c r="RXR5" s="978"/>
      <c r="RXS5" s="978"/>
      <c r="RXT5" s="978"/>
      <c r="RXU5" s="978"/>
      <c r="RXV5" s="978"/>
      <c r="RXW5" s="978"/>
      <c r="RXX5" s="978"/>
      <c r="RXY5" s="978"/>
      <c r="RXZ5" s="978"/>
      <c r="RYA5" s="978"/>
      <c r="RYB5" s="978"/>
      <c r="RYC5" s="978"/>
      <c r="RYD5" s="978"/>
      <c r="RYE5" s="978"/>
      <c r="RYF5" s="978"/>
      <c r="RYG5" s="978"/>
      <c r="RYH5" s="978"/>
      <c r="RYI5" s="978"/>
      <c r="RYJ5" s="978"/>
      <c r="RYK5" s="978"/>
      <c r="RYL5" s="978"/>
      <c r="RYM5" s="978"/>
      <c r="RYN5" s="978"/>
      <c r="RYO5" s="978"/>
      <c r="RYP5" s="978"/>
      <c r="RYQ5" s="978"/>
      <c r="RYR5" s="978"/>
      <c r="RYS5" s="978"/>
      <c r="RYT5" s="978"/>
      <c r="RYU5" s="978"/>
      <c r="RYV5" s="978"/>
      <c r="RYW5" s="978"/>
      <c r="RYX5" s="978"/>
      <c r="RYY5" s="978"/>
      <c r="RYZ5" s="978"/>
      <c r="RZA5" s="978"/>
      <c r="RZB5" s="978"/>
      <c r="RZC5" s="978"/>
      <c r="RZD5" s="978"/>
      <c r="RZE5" s="978"/>
      <c r="RZF5" s="978"/>
      <c r="RZG5" s="978"/>
      <c r="RZH5" s="978"/>
      <c r="RZI5" s="978"/>
      <c r="RZJ5" s="978"/>
      <c r="RZK5" s="978"/>
      <c r="RZL5" s="978"/>
      <c r="RZM5" s="978"/>
      <c r="RZN5" s="978"/>
      <c r="RZO5" s="978"/>
      <c r="RZP5" s="978"/>
      <c r="RZQ5" s="978"/>
      <c r="RZR5" s="978"/>
      <c r="RZS5" s="978"/>
      <c r="RZT5" s="978"/>
      <c r="RZU5" s="978"/>
      <c r="RZV5" s="978"/>
      <c r="RZW5" s="978"/>
      <c r="RZX5" s="978"/>
      <c r="RZY5" s="978"/>
      <c r="RZZ5" s="978"/>
      <c r="SAA5" s="978"/>
      <c r="SAB5" s="978"/>
      <c r="SAC5" s="978"/>
      <c r="SAD5" s="978"/>
      <c r="SAE5" s="978"/>
      <c r="SAF5" s="978"/>
      <c r="SAG5" s="978"/>
      <c r="SAH5" s="978"/>
      <c r="SAI5" s="978"/>
      <c r="SAJ5" s="978"/>
      <c r="SAK5" s="978"/>
      <c r="SAL5" s="978"/>
      <c r="SAM5" s="978"/>
      <c r="SAN5" s="978"/>
      <c r="SAO5" s="978"/>
      <c r="SAP5" s="978"/>
      <c r="SAQ5" s="978"/>
      <c r="SAR5" s="978"/>
      <c r="SAS5" s="978"/>
      <c r="SAT5" s="978"/>
      <c r="SAU5" s="978"/>
      <c r="SAV5" s="978"/>
      <c r="SAW5" s="978"/>
      <c r="SAX5" s="978"/>
      <c r="SAY5" s="978"/>
      <c r="SAZ5" s="978"/>
      <c r="SBA5" s="978"/>
      <c r="SBB5" s="978"/>
      <c r="SBC5" s="978"/>
      <c r="SBD5" s="978"/>
      <c r="SBE5" s="978"/>
      <c r="SBF5" s="978"/>
      <c r="SBG5" s="978"/>
      <c r="SBH5" s="978"/>
      <c r="SBI5" s="978"/>
      <c r="SBJ5" s="978"/>
      <c r="SBK5" s="978"/>
      <c r="SBL5" s="978"/>
      <c r="SBM5" s="978"/>
      <c r="SBN5" s="978"/>
      <c r="SBO5" s="978"/>
      <c r="SBP5" s="978"/>
      <c r="SBQ5" s="978"/>
      <c r="SBR5" s="978"/>
      <c r="SBS5" s="978"/>
      <c r="SBT5" s="978"/>
      <c r="SBU5" s="978"/>
      <c r="SBV5" s="978"/>
      <c r="SBW5" s="978"/>
      <c r="SBX5" s="978"/>
      <c r="SBY5" s="978"/>
      <c r="SBZ5" s="978"/>
      <c r="SCA5" s="978"/>
      <c r="SCB5" s="978"/>
      <c r="SCC5" s="978"/>
      <c r="SCD5" s="978"/>
      <c r="SCE5" s="978"/>
      <c r="SCF5" s="978"/>
      <c r="SCG5" s="978"/>
      <c r="SCH5" s="978"/>
      <c r="SCI5" s="978"/>
      <c r="SCJ5" s="978"/>
      <c r="SCK5" s="978"/>
      <c r="SCL5" s="978"/>
      <c r="SCM5" s="978"/>
      <c r="SCN5" s="978"/>
      <c r="SCO5" s="978"/>
      <c r="SCP5" s="978"/>
      <c r="SCQ5" s="978"/>
      <c r="SCR5" s="978"/>
      <c r="SCS5" s="978"/>
      <c r="SCT5" s="978"/>
      <c r="SCU5" s="978"/>
      <c r="SCV5" s="978"/>
      <c r="SCW5" s="978"/>
      <c r="SCX5" s="978"/>
      <c r="SCY5" s="978"/>
      <c r="SCZ5" s="978"/>
      <c r="SDA5" s="978"/>
      <c r="SDB5" s="978"/>
      <c r="SDC5" s="978"/>
      <c r="SDD5" s="978"/>
      <c r="SDE5" s="978"/>
      <c r="SDF5" s="978"/>
      <c r="SDG5" s="978"/>
      <c r="SDH5" s="978"/>
      <c r="SDI5" s="978"/>
      <c r="SDJ5" s="978"/>
      <c r="SDK5" s="978"/>
      <c r="SDL5" s="978"/>
      <c r="SDM5" s="978"/>
      <c r="SDN5" s="978"/>
      <c r="SDO5" s="978"/>
      <c r="SDP5" s="978"/>
      <c r="SDQ5" s="978"/>
      <c r="SDR5" s="978"/>
      <c r="SDS5" s="978"/>
      <c r="SDT5" s="978"/>
      <c r="SDU5" s="978"/>
      <c r="SDV5" s="978"/>
      <c r="SDW5" s="978"/>
      <c r="SDX5" s="978"/>
      <c r="SDY5" s="978"/>
      <c r="SDZ5" s="978"/>
      <c r="SEA5" s="978"/>
      <c r="SEB5" s="978"/>
      <c r="SEC5" s="978"/>
      <c r="SED5" s="978"/>
      <c r="SEE5" s="978"/>
      <c r="SEF5" s="978"/>
      <c r="SEG5" s="978"/>
      <c r="SEH5" s="978"/>
      <c r="SEI5" s="978"/>
      <c r="SEJ5" s="978"/>
      <c r="SEK5" s="978"/>
      <c r="SEL5" s="978"/>
      <c r="SEM5" s="978"/>
      <c r="SEN5" s="978"/>
      <c r="SEO5" s="978"/>
      <c r="SEP5" s="978"/>
      <c r="SEQ5" s="978"/>
      <c r="SER5" s="978"/>
      <c r="SES5" s="978"/>
      <c r="SET5" s="978"/>
      <c r="SEU5" s="978"/>
      <c r="SEV5" s="978"/>
      <c r="SEW5" s="978"/>
      <c r="SEX5" s="978"/>
      <c r="SEY5" s="978"/>
      <c r="SEZ5" s="978"/>
      <c r="SFA5" s="978"/>
      <c r="SFB5" s="978"/>
      <c r="SFC5" s="978"/>
      <c r="SFD5" s="978"/>
      <c r="SFE5" s="978"/>
      <c r="SFF5" s="978"/>
      <c r="SFG5" s="978"/>
      <c r="SFH5" s="978"/>
      <c r="SFI5" s="978"/>
      <c r="SFJ5" s="978"/>
      <c r="SFK5" s="978"/>
      <c r="SFL5" s="978"/>
      <c r="SFM5" s="978"/>
      <c r="SFN5" s="978"/>
      <c r="SFO5" s="978"/>
      <c r="SFP5" s="978"/>
      <c r="SFQ5" s="978"/>
      <c r="SFR5" s="978"/>
      <c r="SFS5" s="978"/>
      <c r="SFT5" s="978"/>
      <c r="SFU5" s="978"/>
      <c r="SFV5" s="978"/>
      <c r="SFW5" s="978"/>
      <c r="SFX5" s="978"/>
      <c r="SFY5" s="978"/>
      <c r="SFZ5" s="978"/>
      <c r="SGA5" s="978"/>
      <c r="SGB5" s="978"/>
      <c r="SGC5" s="978"/>
      <c r="SGD5" s="978"/>
      <c r="SGE5" s="978"/>
      <c r="SGF5" s="978"/>
      <c r="SGG5" s="978"/>
      <c r="SGH5" s="978"/>
      <c r="SGI5" s="978"/>
      <c r="SGJ5" s="978"/>
      <c r="SGK5" s="978"/>
      <c r="SGL5" s="978"/>
      <c r="SGM5" s="978"/>
      <c r="SGN5" s="978"/>
      <c r="SGO5" s="978"/>
      <c r="SGP5" s="978"/>
      <c r="SGQ5" s="978"/>
      <c r="SGR5" s="978"/>
      <c r="SGS5" s="978"/>
      <c r="SGT5" s="978"/>
      <c r="SGU5" s="978"/>
      <c r="SGV5" s="978"/>
      <c r="SGW5" s="978"/>
      <c r="SGX5" s="978"/>
      <c r="SGY5" s="978"/>
      <c r="SGZ5" s="978"/>
      <c r="SHA5" s="978"/>
      <c r="SHB5" s="978"/>
      <c r="SHC5" s="978"/>
      <c r="SHD5" s="978"/>
      <c r="SHE5" s="978"/>
      <c r="SHF5" s="978"/>
      <c r="SHG5" s="978"/>
      <c r="SHH5" s="978"/>
      <c r="SHI5" s="978"/>
      <c r="SHJ5" s="978"/>
      <c r="SHK5" s="978"/>
      <c r="SHL5" s="978"/>
      <c r="SHM5" s="978"/>
      <c r="SHN5" s="978"/>
      <c r="SHO5" s="978"/>
      <c r="SHP5" s="978"/>
      <c r="SHQ5" s="978"/>
      <c r="SHR5" s="978"/>
      <c r="SHS5" s="978"/>
      <c r="SHT5" s="978"/>
      <c r="SHU5" s="978"/>
      <c r="SHV5" s="978"/>
      <c r="SHW5" s="978"/>
      <c r="SHX5" s="978"/>
      <c r="SHY5" s="978"/>
      <c r="SHZ5" s="978"/>
      <c r="SIA5" s="978"/>
      <c r="SIB5" s="978"/>
      <c r="SIC5" s="978"/>
      <c r="SID5" s="978"/>
      <c r="SIE5" s="978"/>
      <c r="SIF5" s="978"/>
      <c r="SIG5" s="978"/>
      <c r="SIH5" s="978"/>
      <c r="SII5" s="978"/>
      <c r="SIJ5" s="978"/>
      <c r="SIK5" s="978"/>
      <c r="SIL5" s="978"/>
      <c r="SIM5" s="978"/>
      <c r="SIN5" s="978"/>
      <c r="SIO5" s="978"/>
      <c r="SIP5" s="978"/>
      <c r="SIQ5" s="978"/>
      <c r="SIR5" s="978"/>
      <c r="SIS5" s="978"/>
      <c r="SIT5" s="978"/>
      <c r="SIU5" s="978"/>
      <c r="SIV5" s="978"/>
      <c r="SIW5" s="978"/>
      <c r="SIX5" s="978"/>
      <c r="SIY5" s="978"/>
      <c r="SIZ5" s="978"/>
      <c r="SJA5" s="978"/>
      <c r="SJB5" s="978"/>
      <c r="SJC5" s="978"/>
      <c r="SJD5" s="978"/>
      <c r="SJE5" s="978"/>
      <c r="SJF5" s="978"/>
      <c r="SJG5" s="978"/>
      <c r="SJH5" s="978"/>
      <c r="SJI5" s="978"/>
      <c r="SJJ5" s="978"/>
      <c r="SJK5" s="978"/>
      <c r="SJL5" s="978"/>
      <c r="SJM5" s="978"/>
      <c r="SJN5" s="978"/>
      <c r="SJO5" s="978"/>
      <c r="SJP5" s="978"/>
      <c r="SJQ5" s="978"/>
      <c r="SJR5" s="978"/>
      <c r="SJS5" s="978"/>
      <c r="SJT5" s="978"/>
      <c r="SJU5" s="978"/>
      <c r="SJV5" s="978"/>
      <c r="SJW5" s="978"/>
      <c r="SJX5" s="978"/>
      <c r="SJY5" s="978"/>
      <c r="SJZ5" s="978"/>
      <c r="SKA5" s="978"/>
      <c r="SKB5" s="978"/>
      <c r="SKC5" s="978"/>
      <c r="SKD5" s="978"/>
      <c r="SKE5" s="978"/>
      <c r="SKF5" s="978"/>
      <c r="SKG5" s="978"/>
      <c r="SKH5" s="978"/>
      <c r="SKI5" s="978"/>
      <c r="SKJ5" s="978"/>
      <c r="SKK5" s="978"/>
      <c r="SKL5" s="978"/>
      <c r="SKM5" s="978"/>
      <c r="SKN5" s="978"/>
      <c r="SKO5" s="978"/>
      <c r="SKP5" s="978"/>
      <c r="SKQ5" s="978"/>
      <c r="SKR5" s="978"/>
      <c r="SKS5" s="978"/>
      <c r="SKT5" s="978"/>
      <c r="SKU5" s="978"/>
      <c r="SKV5" s="978"/>
      <c r="SKW5" s="978"/>
      <c r="SKX5" s="978"/>
      <c r="SKY5" s="978"/>
      <c r="SKZ5" s="978"/>
      <c r="SLA5" s="978"/>
      <c r="SLB5" s="978"/>
      <c r="SLC5" s="978"/>
      <c r="SLD5" s="978"/>
      <c r="SLE5" s="978"/>
      <c r="SLF5" s="978"/>
      <c r="SLG5" s="978"/>
      <c r="SLH5" s="978"/>
      <c r="SLI5" s="978"/>
      <c r="SLJ5" s="978"/>
      <c r="SLK5" s="978"/>
      <c r="SLL5" s="978"/>
      <c r="SLM5" s="978"/>
      <c r="SLN5" s="978"/>
      <c r="SLO5" s="978"/>
      <c r="SLP5" s="978"/>
      <c r="SLQ5" s="978"/>
      <c r="SLR5" s="978"/>
      <c r="SLS5" s="978"/>
      <c r="SLT5" s="978"/>
      <c r="SLU5" s="978"/>
      <c r="SLV5" s="978"/>
      <c r="SLW5" s="978"/>
      <c r="SLX5" s="978"/>
      <c r="SLY5" s="978"/>
      <c r="SLZ5" s="978"/>
      <c r="SMA5" s="978"/>
      <c r="SMB5" s="978"/>
      <c r="SMC5" s="978"/>
      <c r="SMD5" s="978"/>
      <c r="SME5" s="978"/>
      <c r="SMF5" s="978"/>
      <c r="SMG5" s="978"/>
      <c r="SMH5" s="978"/>
      <c r="SMI5" s="978"/>
      <c r="SMJ5" s="978"/>
      <c r="SMK5" s="978"/>
      <c r="SML5" s="978"/>
      <c r="SMM5" s="978"/>
      <c r="SMN5" s="978"/>
      <c r="SMO5" s="978"/>
      <c r="SMP5" s="978"/>
      <c r="SMQ5" s="978"/>
      <c r="SMR5" s="978"/>
      <c r="SMS5" s="978"/>
      <c r="SMT5" s="978"/>
      <c r="SMU5" s="978"/>
      <c r="SMV5" s="978"/>
      <c r="SMW5" s="978"/>
      <c r="SMX5" s="978"/>
      <c r="SMY5" s="978"/>
      <c r="SMZ5" s="978"/>
      <c r="SNA5" s="978"/>
      <c r="SNB5" s="978"/>
      <c r="SNC5" s="978"/>
      <c r="SND5" s="978"/>
      <c r="SNE5" s="978"/>
      <c r="SNF5" s="978"/>
      <c r="SNG5" s="978"/>
      <c r="SNH5" s="978"/>
      <c r="SNI5" s="978"/>
      <c r="SNJ5" s="978"/>
      <c r="SNK5" s="978"/>
      <c r="SNL5" s="978"/>
      <c r="SNM5" s="978"/>
      <c r="SNN5" s="978"/>
      <c r="SNO5" s="978"/>
      <c r="SNP5" s="978"/>
      <c r="SNQ5" s="978"/>
      <c r="SNR5" s="978"/>
      <c r="SNS5" s="978"/>
      <c r="SNT5" s="978"/>
      <c r="SNU5" s="978"/>
      <c r="SNV5" s="978"/>
      <c r="SNW5" s="978"/>
      <c r="SNX5" s="978"/>
      <c r="SNY5" s="978"/>
      <c r="SNZ5" s="978"/>
      <c r="SOA5" s="978"/>
      <c r="SOB5" s="978"/>
      <c r="SOC5" s="978"/>
      <c r="SOD5" s="978"/>
      <c r="SOE5" s="978"/>
      <c r="SOF5" s="978"/>
      <c r="SOG5" s="978"/>
      <c r="SOH5" s="978"/>
      <c r="SOI5" s="978"/>
      <c r="SOJ5" s="978"/>
      <c r="SOK5" s="978"/>
      <c r="SOL5" s="978"/>
      <c r="SOM5" s="978"/>
      <c r="SON5" s="978"/>
      <c r="SOO5" s="978"/>
      <c r="SOP5" s="978"/>
      <c r="SOQ5" s="978"/>
      <c r="SOR5" s="978"/>
      <c r="SOS5" s="978"/>
      <c r="SOT5" s="978"/>
      <c r="SOU5" s="978"/>
      <c r="SOV5" s="978"/>
      <c r="SOW5" s="978"/>
      <c r="SOX5" s="978"/>
      <c r="SOY5" s="978"/>
      <c r="SOZ5" s="978"/>
      <c r="SPA5" s="978"/>
      <c r="SPB5" s="978"/>
      <c r="SPC5" s="978"/>
      <c r="SPD5" s="978"/>
      <c r="SPE5" s="978"/>
      <c r="SPF5" s="978"/>
      <c r="SPG5" s="978"/>
      <c r="SPH5" s="978"/>
      <c r="SPI5" s="978"/>
      <c r="SPJ5" s="978"/>
      <c r="SPK5" s="978"/>
      <c r="SPL5" s="978"/>
      <c r="SPM5" s="978"/>
      <c r="SPN5" s="978"/>
      <c r="SPO5" s="978"/>
      <c r="SPP5" s="978"/>
      <c r="SPQ5" s="978"/>
      <c r="SPR5" s="978"/>
      <c r="SPS5" s="978"/>
      <c r="SPT5" s="978"/>
      <c r="SPU5" s="978"/>
      <c r="SPV5" s="978"/>
      <c r="SPW5" s="978"/>
      <c r="SPX5" s="978"/>
      <c r="SPY5" s="978"/>
      <c r="SPZ5" s="978"/>
      <c r="SQA5" s="978"/>
      <c r="SQB5" s="978"/>
      <c r="SQC5" s="978"/>
      <c r="SQD5" s="978"/>
      <c r="SQE5" s="978"/>
      <c r="SQF5" s="978"/>
      <c r="SQG5" s="978"/>
      <c r="SQH5" s="978"/>
      <c r="SQI5" s="978"/>
      <c r="SQJ5" s="978"/>
      <c r="SQK5" s="978"/>
      <c r="SQL5" s="978"/>
      <c r="SQM5" s="978"/>
      <c r="SQN5" s="978"/>
      <c r="SQO5" s="978"/>
      <c r="SQP5" s="978"/>
      <c r="SQQ5" s="978"/>
      <c r="SQR5" s="978"/>
      <c r="SQS5" s="978"/>
      <c r="SQT5" s="978"/>
      <c r="SQU5" s="978"/>
      <c r="SQV5" s="978"/>
      <c r="SQW5" s="978"/>
      <c r="SQX5" s="978"/>
      <c r="SQY5" s="978"/>
      <c r="SQZ5" s="978"/>
      <c r="SRA5" s="978"/>
      <c r="SRB5" s="978"/>
      <c r="SRC5" s="978"/>
      <c r="SRD5" s="978"/>
      <c r="SRE5" s="978"/>
      <c r="SRF5" s="978"/>
      <c r="SRG5" s="978"/>
      <c r="SRH5" s="978"/>
      <c r="SRI5" s="978"/>
      <c r="SRJ5" s="978"/>
      <c r="SRK5" s="978"/>
      <c r="SRL5" s="978"/>
      <c r="SRM5" s="978"/>
      <c r="SRN5" s="978"/>
      <c r="SRO5" s="978"/>
      <c r="SRP5" s="978"/>
      <c r="SRQ5" s="978"/>
      <c r="SRR5" s="978"/>
      <c r="SRS5" s="978"/>
      <c r="SRT5" s="978"/>
      <c r="SRU5" s="978"/>
      <c r="SRV5" s="978"/>
      <c r="SRW5" s="978"/>
      <c r="SRX5" s="978"/>
      <c r="SRY5" s="978"/>
      <c r="SRZ5" s="978"/>
      <c r="SSA5" s="978"/>
      <c r="SSB5" s="978"/>
      <c r="SSC5" s="978"/>
      <c r="SSD5" s="978"/>
      <c r="SSE5" s="978"/>
      <c r="SSF5" s="978"/>
      <c r="SSG5" s="978"/>
      <c r="SSH5" s="978"/>
      <c r="SSI5" s="978"/>
      <c r="SSJ5" s="978"/>
      <c r="SSK5" s="978"/>
      <c r="SSL5" s="978"/>
      <c r="SSM5" s="978"/>
      <c r="SSN5" s="978"/>
      <c r="SSO5" s="978"/>
      <c r="SSP5" s="978"/>
      <c r="SSQ5" s="978"/>
      <c r="SSR5" s="978"/>
      <c r="SSS5" s="978"/>
      <c r="SST5" s="978"/>
      <c r="SSU5" s="978"/>
      <c r="SSV5" s="978"/>
      <c r="SSW5" s="978"/>
      <c r="SSX5" s="978"/>
      <c r="SSY5" s="978"/>
      <c r="SSZ5" s="978"/>
      <c r="STA5" s="978"/>
      <c r="STB5" s="978"/>
      <c r="STC5" s="978"/>
      <c r="STD5" s="978"/>
      <c r="STE5" s="978"/>
      <c r="STF5" s="978"/>
      <c r="STG5" s="978"/>
      <c r="STH5" s="978"/>
      <c r="STI5" s="978"/>
      <c r="STJ5" s="978"/>
      <c r="STK5" s="978"/>
      <c r="STL5" s="978"/>
      <c r="STM5" s="978"/>
      <c r="STN5" s="978"/>
      <c r="STO5" s="978"/>
      <c r="STP5" s="978"/>
      <c r="STQ5" s="978"/>
      <c r="STR5" s="978"/>
      <c r="STS5" s="978"/>
      <c r="STT5" s="978"/>
      <c r="STU5" s="978"/>
      <c r="STV5" s="978"/>
      <c r="STW5" s="978"/>
      <c r="STX5" s="978"/>
      <c r="STY5" s="978"/>
      <c r="STZ5" s="978"/>
      <c r="SUA5" s="978"/>
      <c r="SUB5" s="978"/>
      <c r="SUC5" s="978"/>
      <c r="SUD5" s="978"/>
      <c r="SUE5" s="978"/>
      <c r="SUF5" s="978"/>
      <c r="SUG5" s="978"/>
      <c r="SUH5" s="978"/>
      <c r="SUI5" s="978"/>
      <c r="SUJ5" s="978"/>
      <c r="SUK5" s="978"/>
      <c r="SUL5" s="978"/>
      <c r="SUM5" s="978"/>
      <c r="SUN5" s="978"/>
      <c r="SUO5" s="978"/>
      <c r="SUP5" s="978"/>
      <c r="SUQ5" s="978"/>
      <c r="SUR5" s="978"/>
      <c r="SUS5" s="978"/>
      <c r="SUT5" s="978"/>
      <c r="SUU5" s="978"/>
      <c r="SUV5" s="978"/>
      <c r="SUW5" s="978"/>
      <c r="SUX5" s="978"/>
      <c r="SUY5" s="978"/>
      <c r="SUZ5" s="978"/>
      <c r="SVA5" s="978"/>
      <c r="SVB5" s="978"/>
      <c r="SVC5" s="978"/>
      <c r="SVD5" s="978"/>
      <c r="SVE5" s="978"/>
      <c r="SVF5" s="978"/>
      <c r="SVG5" s="978"/>
      <c r="SVH5" s="978"/>
      <c r="SVI5" s="978"/>
      <c r="SVJ5" s="978"/>
      <c r="SVK5" s="978"/>
      <c r="SVL5" s="978"/>
      <c r="SVM5" s="978"/>
      <c r="SVN5" s="978"/>
      <c r="SVO5" s="978"/>
      <c r="SVP5" s="978"/>
      <c r="SVQ5" s="978"/>
      <c r="SVR5" s="978"/>
      <c r="SVS5" s="978"/>
      <c r="SVT5" s="978"/>
      <c r="SVU5" s="978"/>
      <c r="SVV5" s="978"/>
      <c r="SVW5" s="978"/>
      <c r="SVX5" s="978"/>
      <c r="SVY5" s="978"/>
      <c r="SVZ5" s="978"/>
      <c r="SWA5" s="978"/>
      <c r="SWB5" s="978"/>
      <c r="SWC5" s="978"/>
      <c r="SWD5" s="978"/>
      <c r="SWE5" s="978"/>
      <c r="SWF5" s="978"/>
      <c r="SWG5" s="978"/>
      <c r="SWH5" s="978"/>
      <c r="SWI5" s="978"/>
      <c r="SWJ5" s="978"/>
      <c r="SWK5" s="978"/>
      <c r="SWL5" s="978"/>
      <c r="SWM5" s="978"/>
      <c r="SWN5" s="978"/>
      <c r="SWO5" s="978"/>
      <c r="SWP5" s="978"/>
      <c r="SWQ5" s="978"/>
      <c r="SWR5" s="978"/>
      <c r="SWS5" s="978"/>
      <c r="SWT5" s="978"/>
      <c r="SWU5" s="978"/>
      <c r="SWV5" s="978"/>
      <c r="SWW5" s="978"/>
      <c r="SWX5" s="978"/>
      <c r="SWY5" s="978"/>
      <c r="SWZ5" s="978"/>
      <c r="SXA5" s="978"/>
      <c r="SXB5" s="978"/>
      <c r="SXC5" s="978"/>
      <c r="SXD5" s="978"/>
      <c r="SXE5" s="978"/>
      <c r="SXF5" s="978"/>
      <c r="SXG5" s="978"/>
      <c r="SXH5" s="978"/>
      <c r="SXI5" s="978"/>
      <c r="SXJ5" s="978"/>
      <c r="SXK5" s="978"/>
      <c r="SXL5" s="978"/>
      <c r="SXM5" s="978"/>
      <c r="SXN5" s="978"/>
      <c r="SXO5" s="978"/>
      <c r="SXP5" s="978"/>
      <c r="SXQ5" s="978"/>
      <c r="SXR5" s="978"/>
      <c r="SXS5" s="978"/>
      <c r="SXT5" s="978"/>
      <c r="SXU5" s="978"/>
      <c r="SXV5" s="978"/>
      <c r="SXW5" s="978"/>
      <c r="SXX5" s="978"/>
      <c r="SXY5" s="978"/>
      <c r="SXZ5" s="978"/>
      <c r="SYA5" s="978"/>
      <c r="SYB5" s="978"/>
      <c r="SYC5" s="978"/>
      <c r="SYD5" s="978"/>
      <c r="SYE5" s="978"/>
      <c r="SYF5" s="978"/>
      <c r="SYG5" s="978"/>
      <c r="SYH5" s="978"/>
      <c r="SYI5" s="978"/>
      <c r="SYJ5" s="978"/>
      <c r="SYK5" s="978"/>
      <c r="SYL5" s="978"/>
      <c r="SYM5" s="978"/>
      <c r="SYN5" s="978"/>
      <c r="SYO5" s="978"/>
      <c r="SYP5" s="978"/>
      <c r="SYQ5" s="978"/>
      <c r="SYR5" s="978"/>
      <c r="SYS5" s="978"/>
      <c r="SYT5" s="978"/>
      <c r="SYU5" s="978"/>
      <c r="SYV5" s="978"/>
      <c r="SYW5" s="978"/>
      <c r="SYX5" s="978"/>
      <c r="SYY5" s="978"/>
      <c r="SYZ5" s="978"/>
      <c r="SZA5" s="978"/>
      <c r="SZB5" s="978"/>
      <c r="SZC5" s="978"/>
      <c r="SZD5" s="978"/>
      <c r="SZE5" s="978"/>
      <c r="SZF5" s="978"/>
      <c r="SZG5" s="978"/>
      <c r="SZH5" s="978"/>
      <c r="SZI5" s="978"/>
      <c r="SZJ5" s="978"/>
      <c r="SZK5" s="978"/>
      <c r="SZL5" s="978"/>
      <c r="SZM5" s="978"/>
      <c r="SZN5" s="978"/>
      <c r="SZO5" s="978"/>
      <c r="SZP5" s="978"/>
      <c r="SZQ5" s="978"/>
      <c r="SZR5" s="978"/>
      <c r="SZS5" s="978"/>
      <c r="SZT5" s="978"/>
      <c r="SZU5" s="978"/>
      <c r="SZV5" s="978"/>
      <c r="SZW5" s="978"/>
      <c r="SZX5" s="978"/>
      <c r="SZY5" s="978"/>
      <c r="SZZ5" s="978"/>
      <c r="TAA5" s="978"/>
      <c r="TAB5" s="978"/>
      <c r="TAC5" s="978"/>
      <c r="TAD5" s="978"/>
      <c r="TAE5" s="978"/>
      <c r="TAF5" s="978"/>
      <c r="TAG5" s="978"/>
      <c r="TAH5" s="978"/>
      <c r="TAI5" s="978"/>
      <c r="TAJ5" s="978"/>
      <c r="TAK5" s="978"/>
      <c r="TAL5" s="978"/>
      <c r="TAM5" s="978"/>
      <c r="TAN5" s="978"/>
      <c r="TAO5" s="978"/>
      <c r="TAP5" s="978"/>
      <c r="TAQ5" s="978"/>
      <c r="TAR5" s="978"/>
      <c r="TAS5" s="978"/>
      <c r="TAT5" s="978"/>
      <c r="TAU5" s="978"/>
      <c r="TAV5" s="978"/>
      <c r="TAW5" s="978"/>
      <c r="TAX5" s="978"/>
      <c r="TAY5" s="978"/>
      <c r="TAZ5" s="978"/>
      <c r="TBA5" s="978"/>
      <c r="TBB5" s="978"/>
      <c r="TBC5" s="978"/>
      <c r="TBD5" s="978"/>
      <c r="TBE5" s="978"/>
      <c r="TBF5" s="978"/>
      <c r="TBG5" s="978"/>
      <c r="TBH5" s="978"/>
      <c r="TBI5" s="978"/>
      <c r="TBJ5" s="978"/>
      <c r="TBK5" s="978"/>
      <c r="TBL5" s="978"/>
      <c r="TBM5" s="978"/>
      <c r="TBN5" s="978"/>
      <c r="TBO5" s="978"/>
      <c r="TBP5" s="978"/>
      <c r="TBQ5" s="978"/>
      <c r="TBR5" s="978"/>
      <c r="TBS5" s="978"/>
      <c r="TBT5" s="978"/>
      <c r="TBU5" s="978"/>
      <c r="TBV5" s="978"/>
      <c r="TBW5" s="978"/>
      <c r="TBX5" s="978"/>
      <c r="TBY5" s="978"/>
      <c r="TBZ5" s="978"/>
      <c r="TCA5" s="978"/>
      <c r="TCB5" s="978"/>
      <c r="TCC5" s="978"/>
      <c r="TCD5" s="978"/>
      <c r="TCE5" s="978"/>
      <c r="TCF5" s="978"/>
      <c r="TCG5" s="978"/>
      <c r="TCH5" s="978"/>
      <c r="TCI5" s="978"/>
      <c r="TCJ5" s="978"/>
      <c r="TCK5" s="978"/>
      <c r="TCL5" s="978"/>
      <c r="TCM5" s="978"/>
      <c r="TCN5" s="978"/>
      <c r="TCO5" s="978"/>
      <c r="TCP5" s="978"/>
      <c r="TCQ5" s="978"/>
      <c r="TCR5" s="978"/>
      <c r="TCS5" s="978"/>
      <c r="TCT5" s="978"/>
      <c r="TCU5" s="978"/>
      <c r="TCV5" s="978"/>
      <c r="TCW5" s="978"/>
      <c r="TCX5" s="978"/>
      <c r="TCY5" s="978"/>
      <c r="TCZ5" s="978"/>
      <c r="TDA5" s="978"/>
      <c r="TDB5" s="978"/>
      <c r="TDC5" s="978"/>
      <c r="TDD5" s="978"/>
      <c r="TDE5" s="978"/>
      <c r="TDF5" s="978"/>
      <c r="TDG5" s="978"/>
      <c r="TDH5" s="978"/>
      <c r="TDI5" s="978"/>
      <c r="TDJ5" s="978"/>
      <c r="TDK5" s="978"/>
      <c r="TDL5" s="978"/>
      <c r="TDM5" s="978"/>
      <c r="TDN5" s="978"/>
      <c r="TDO5" s="978"/>
      <c r="TDP5" s="978"/>
      <c r="TDQ5" s="978"/>
      <c r="TDR5" s="978"/>
      <c r="TDS5" s="978"/>
      <c r="TDT5" s="978"/>
      <c r="TDU5" s="978"/>
      <c r="TDV5" s="978"/>
      <c r="TDW5" s="978"/>
      <c r="TDX5" s="978"/>
      <c r="TDY5" s="978"/>
      <c r="TDZ5" s="978"/>
      <c r="TEA5" s="978"/>
      <c r="TEB5" s="978"/>
      <c r="TEC5" s="978"/>
      <c r="TED5" s="978"/>
      <c r="TEE5" s="978"/>
      <c r="TEF5" s="978"/>
      <c r="TEG5" s="978"/>
      <c r="TEH5" s="978"/>
      <c r="TEI5" s="978"/>
      <c r="TEJ5" s="978"/>
      <c r="TEK5" s="978"/>
      <c r="TEL5" s="978"/>
      <c r="TEM5" s="978"/>
      <c r="TEN5" s="978"/>
      <c r="TEO5" s="978"/>
      <c r="TEP5" s="978"/>
      <c r="TEQ5" s="978"/>
      <c r="TER5" s="978"/>
      <c r="TES5" s="978"/>
      <c r="TET5" s="978"/>
      <c r="TEU5" s="978"/>
      <c r="TEV5" s="978"/>
      <c r="TEW5" s="978"/>
      <c r="TEX5" s="978"/>
      <c r="TEY5" s="978"/>
      <c r="TEZ5" s="978"/>
      <c r="TFA5" s="978"/>
      <c r="TFB5" s="978"/>
      <c r="TFC5" s="978"/>
      <c r="TFD5" s="978"/>
      <c r="TFE5" s="978"/>
      <c r="TFF5" s="978"/>
      <c r="TFG5" s="978"/>
      <c r="TFH5" s="978"/>
      <c r="TFI5" s="978"/>
      <c r="TFJ5" s="978"/>
      <c r="TFK5" s="978"/>
      <c r="TFL5" s="978"/>
      <c r="TFM5" s="978"/>
      <c r="TFN5" s="978"/>
      <c r="TFO5" s="978"/>
      <c r="TFP5" s="978"/>
      <c r="TFQ5" s="978"/>
      <c r="TFR5" s="978"/>
      <c r="TFS5" s="978"/>
      <c r="TFT5" s="978"/>
      <c r="TFU5" s="978"/>
      <c r="TFV5" s="978"/>
      <c r="TFW5" s="978"/>
      <c r="TFX5" s="978"/>
      <c r="TFY5" s="978"/>
      <c r="TFZ5" s="978"/>
      <c r="TGA5" s="978"/>
      <c r="TGB5" s="978"/>
      <c r="TGC5" s="978"/>
      <c r="TGD5" s="978"/>
      <c r="TGE5" s="978"/>
      <c r="TGF5" s="978"/>
      <c r="TGG5" s="978"/>
      <c r="TGH5" s="978"/>
      <c r="TGI5" s="978"/>
      <c r="TGJ5" s="978"/>
      <c r="TGK5" s="978"/>
      <c r="TGL5" s="978"/>
      <c r="TGM5" s="978"/>
      <c r="TGN5" s="978"/>
      <c r="TGO5" s="978"/>
      <c r="TGP5" s="978"/>
      <c r="TGQ5" s="978"/>
      <c r="TGR5" s="978"/>
      <c r="TGS5" s="978"/>
      <c r="TGT5" s="978"/>
      <c r="TGU5" s="978"/>
      <c r="TGV5" s="978"/>
      <c r="TGW5" s="978"/>
      <c r="TGX5" s="978"/>
      <c r="TGY5" s="978"/>
      <c r="TGZ5" s="978"/>
      <c r="THA5" s="978"/>
      <c r="THB5" s="978"/>
      <c r="THC5" s="978"/>
      <c r="THD5" s="978"/>
      <c r="THE5" s="978"/>
      <c r="THF5" s="978"/>
      <c r="THG5" s="978"/>
      <c r="THH5" s="978"/>
      <c r="THI5" s="978"/>
      <c r="THJ5" s="978"/>
      <c r="THK5" s="978"/>
      <c r="THL5" s="978"/>
      <c r="THM5" s="978"/>
      <c r="THN5" s="978"/>
      <c r="THO5" s="978"/>
      <c r="THP5" s="978"/>
      <c r="THQ5" s="978"/>
      <c r="THR5" s="978"/>
      <c r="THS5" s="978"/>
      <c r="THT5" s="978"/>
      <c r="THU5" s="978"/>
      <c r="THV5" s="978"/>
      <c r="THW5" s="978"/>
      <c r="THX5" s="978"/>
      <c r="THY5" s="978"/>
      <c r="THZ5" s="978"/>
      <c r="TIA5" s="978"/>
      <c r="TIB5" s="978"/>
      <c r="TIC5" s="978"/>
      <c r="TID5" s="978"/>
      <c r="TIE5" s="978"/>
      <c r="TIF5" s="978"/>
      <c r="TIG5" s="978"/>
      <c r="TIH5" s="978"/>
      <c r="TII5" s="978"/>
      <c r="TIJ5" s="978"/>
      <c r="TIK5" s="978"/>
      <c r="TIL5" s="978"/>
      <c r="TIM5" s="978"/>
      <c r="TIN5" s="978"/>
      <c r="TIO5" s="978"/>
      <c r="TIP5" s="978"/>
      <c r="TIQ5" s="978"/>
      <c r="TIR5" s="978"/>
      <c r="TIS5" s="978"/>
      <c r="TIT5" s="978"/>
      <c r="TIU5" s="978"/>
      <c r="TIV5" s="978"/>
      <c r="TIW5" s="978"/>
      <c r="TIX5" s="978"/>
      <c r="TIY5" s="978"/>
      <c r="TIZ5" s="978"/>
      <c r="TJA5" s="978"/>
      <c r="TJB5" s="978"/>
      <c r="TJC5" s="978"/>
      <c r="TJD5" s="978"/>
      <c r="TJE5" s="978"/>
      <c r="TJF5" s="978"/>
      <c r="TJG5" s="978"/>
      <c r="TJH5" s="978"/>
      <c r="TJI5" s="978"/>
      <c r="TJJ5" s="978"/>
      <c r="TJK5" s="978"/>
      <c r="TJL5" s="978"/>
      <c r="TJM5" s="978"/>
      <c r="TJN5" s="978"/>
      <c r="TJO5" s="978"/>
      <c r="TJP5" s="978"/>
      <c r="TJQ5" s="978"/>
      <c r="TJR5" s="978"/>
      <c r="TJS5" s="978"/>
      <c r="TJT5" s="978"/>
      <c r="TJU5" s="978"/>
      <c r="TJV5" s="978"/>
      <c r="TJW5" s="978"/>
      <c r="TJX5" s="978"/>
      <c r="TJY5" s="978"/>
      <c r="TJZ5" s="978"/>
      <c r="TKA5" s="978"/>
      <c r="TKB5" s="978"/>
      <c r="TKC5" s="978"/>
      <c r="TKD5" s="978"/>
      <c r="TKE5" s="978"/>
      <c r="TKF5" s="978"/>
      <c r="TKG5" s="978"/>
      <c r="TKH5" s="978"/>
      <c r="TKI5" s="978"/>
      <c r="TKJ5" s="978"/>
      <c r="TKK5" s="978"/>
      <c r="TKL5" s="978"/>
      <c r="TKM5" s="978"/>
      <c r="TKN5" s="978"/>
      <c r="TKO5" s="978"/>
      <c r="TKP5" s="978"/>
      <c r="TKQ5" s="978"/>
      <c r="TKR5" s="978"/>
      <c r="TKS5" s="978"/>
      <c r="TKT5" s="978"/>
      <c r="TKU5" s="978"/>
      <c r="TKV5" s="978"/>
      <c r="TKW5" s="978"/>
      <c r="TKX5" s="978"/>
      <c r="TKY5" s="978"/>
      <c r="TKZ5" s="978"/>
      <c r="TLA5" s="978"/>
      <c r="TLB5" s="978"/>
      <c r="TLC5" s="978"/>
      <c r="TLD5" s="978"/>
      <c r="TLE5" s="978"/>
      <c r="TLF5" s="978"/>
      <c r="TLG5" s="978"/>
      <c r="TLH5" s="978"/>
      <c r="TLI5" s="978"/>
      <c r="TLJ5" s="978"/>
      <c r="TLK5" s="978"/>
      <c r="TLL5" s="978"/>
      <c r="TLM5" s="978"/>
      <c r="TLN5" s="978"/>
      <c r="TLO5" s="978"/>
      <c r="TLP5" s="978"/>
      <c r="TLQ5" s="978"/>
      <c r="TLR5" s="978"/>
      <c r="TLS5" s="978"/>
      <c r="TLT5" s="978"/>
      <c r="TLU5" s="978"/>
      <c r="TLV5" s="978"/>
      <c r="TLW5" s="978"/>
      <c r="TLX5" s="978"/>
      <c r="TLY5" s="978"/>
      <c r="TLZ5" s="978"/>
      <c r="TMA5" s="978"/>
      <c r="TMB5" s="978"/>
      <c r="TMC5" s="978"/>
      <c r="TMD5" s="978"/>
      <c r="TME5" s="978"/>
      <c r="TMF5" s="978"/>
      <c r="TMG5" s="978"/>
      <c r="TMH5" s="978"/>
      <c r="TMI5" s="978"/>
      <c r="TMJ5" s="978"/>
      <c r="TMK5" s="978"/>
      <c r="TML5" s="978"/>
      <c r="TMM5" s="978"/>
      <c r="TMN5" s="978"/>
      <c r="TMO5" s="978"/>
      <c r="TMP5" s="978"/>
      <c r="TMQ5" s="978"/>
      <c r="TMR5" s="978"/>
      <c r="TMS5" s="978"/>
      <c r="TMT5" s="978"/>
      <c r="TMU5" s="978"/>
      <c r="TMV5" s="978"/>
      <c r="TMW5" s="978"/>
      <c r="TMX5" s="978"/>
      <c r="TMY5" s="978"/>
      <c r="TMZ5" s="978"/>
      <c r="TNA5" s="978"/>
      <c r="TNB5" s="978"/>
      <c r="TNC5" s="978"/>
      <c r="TND5" s="978"/>
      <c r="TNE5" s="978"/>
      <c r="TNF5" s="978"/>
      <c r="TNG5" s="978"/>
      <c r="TNH5" s="978"/>
      <c r="TNI5" s="978"/>
      <c r="TNJ5" s="978"/>
      <c r="TNK5" s="978"/>
      <c r="TNL5" s="978"/>
      <c r="TNM5" s="978"/>
      <c r="TNN5" s="978"/>
      <c r="TNO5" s="978"/>
      <c r="TNP5" s="978"/>
      <c r="TNQ5" s="978"/>
      <c r="TNR5" s="978"/>
      <c r="TNS5" s="978"/>
      <c r="TNT5" s="978"/>
      <c r="TNU5" s="978"/>
      <c r="TNV5" s="978"/>
      <c r="TNW5" s="978"/>
      <c r="TNX5" s="978"/>
      <c r="TNY5" s="978"/>
      <c r="TNZ5" s="978"/>
      <c r="TOA5" s="978"/>
      <c r="TOB5" s="978"/>
      <c r="TOC5" s="978"/>
      <c r="TOD5" s="978"/>
      <c r="TOE5" s="978"/>
      <c r="TOF5" s="978"/>
      <c r="TOG5" s="978"/>
      <c r="TOH5" s="978"/>
      <c r="TOI5" s="978"/>
      <c r="TOJ5" s="978"/>
      <c r="TOK5" s="978"/>
      <c r="TOL5" s="978"/>
      <c r="TOM5" s="978"/>
      <c r="TON5" s="978"/>
      <c r="TOO5" s="978"/>
      <c r="TOP5" s="978"/>
      <c r="TOQ5" s="978"/>
      <c r="TOR5" s="978"/>
      <c r="TOS5" s="978"/>
      <c r="TOT5" s="978"/>
      <c r="TOU5" s="978"/>
      <c r="TOV5" s="978"/>
      <c r="TOW5" s="978"/>
      <c r="TOX5" s="978"/>
      <c r="TOY5" s="978"/>
      <c r="TOZ5" s="978"/>
      <c r="TPA5" s="978"/>
      <c r="TPB5" s="978"/>
      <c r="TPC5" s="978"/>
      <c r="TPD5" s="978"/>
      <c r="TPE5" s="978"/>
      <c r="TPF5" s="978"/>
      <c r="TPG5" s="978"/>
      <c r="TPH5" s="978"/>
      <c r="TPI5" s="978"/>
      <c r="TPJ5" s="978"/>
      <c r="TPK5" s="978"/>
      <c r="TPL5" s="978"/>
      <c r="TPM5" s="978"/>
      <c r="TPN5" s="978"/>
      <c r="TPO5" s="978"/>
      <c r="TPP5" s="978"/>
      <c r="TPQ5" s="978"/>
      <c r="TPR5" s="978"/>
      <c r="TPS5" s="978"/>
      <c r="TPT5" s="978"/>
      <c r="TPU5" s="978"/>
      <c r="TPV5" s="978"/>
      <c r="TPW5" s="978"/>
      <c r="TPX5" s="978"/>
      <c r="TPY5" s="978"/>
      <c r="TPZ5" s="978"/>
      <c r="TQA5" s="978"/>
      <c r="TQB5" s="978"/>
      <c r="TQC5" s="978"/>
      <c r="TQD5" s="978"/>
      <c r="TQE5" s="978"/>
      <c r="TQF5" s="978"/>
      <c r="TQG5" s="978"/>
      <c r="TQH5" s="978"/>
      <c r="TQI5" s="978"/>
      <c r="TQJ5" s="978"/>
      <c r="TQK5" s="978"/>
      <c r="TQL5" s="978"/>
      <c r="TQM5" s="978"/>
      <c r="TQN5" s="978"/>
      <c r="TQO5" s="978"/>
      <c r="TQP5" s="978"/>
      <c r="TQQ5" s="978"/>
      <c r="TQR5" s="978"/>
      <c r="TQS5" s="978"/>
      <c r="TQT5" s="978"/>
      <c r="TQU5" s="978"/>
      <c r="TQV5" s="978"/>
      <c r="TQW5" s="978"/>
      <c r="TQX5" s="978"/>
      <c r="TQY5" s="978"/>
      <c r="TQZ5" s="978"/>
      <c r="TRA5" s="978"/>
      <c r="TRB5" s="978"/>
      <c r="TRC5" s="978"/>
      <c r="TRD5" s="978"/>
      <c r="TRE5" s="978"/>
      <c r="TRF5" s="978"/>
      <c r="TRG5" s="978"/>
      <c r="TRH5" s="978"/>
      <c r="TRI5" s="978"/>
      <c r="TRJ5" s="978"/>
      <c r="TRK5" s="978"/>
      <c r="TRL5" s="978"/>
      <c r="TRM5" s="978"/>
      <c r="TRN5" s="978"/>
      <c r="TRO5" s="978"/>
      <c r="TRP5" s="978"/>
      <c r="TRQ5" s="978"/>
      <c r="TRR5" s="978"/>
      <c r="TRS5" s="978"/>
      <c r="TRT5" s="978"/>
      <c r="TRU5" s="978"/>
      <c r="TRV5" s="978"/>
      <c r="TRW5" s="978"/>
      <c r="TRX5" s="978"/>
      <c r="TRY5" s="978"/>
      <c r="TRZ5" s="978"/>
      <c r="TSA5" s="978"/>
      <c r="TSB5" s="978"/>
      <c r="TSC5" s="978"/>
      <c r="TSD5" s="978"/>
      <c r="TSE5" s="978"/>
      <c r="TSF5" s="978"/>
      <c r="TSG5" s="978"/>
      <c r="TSH5" s="978"/>
      <c r="TSI5" s="978"/>
      <c r="TSJ5" s="978"/>
      <c r="TSK5" s="978"/>
      <c r="TSL5" s="978"/>
      <c r="TSM5" s="978"/>
      <c r="TSN5" s="978"/>
      <c r="TSO5" s="978"/>
      <c r="TSP5" s="978"/>
      <c r="TSQ5" s="978"/>
      <c r="TSR5" s="978"/>
      <c r="TSS5" s="978"/>
      <c r="TST5" s="978"/>
      <c r="TSU5" s="978"/>
      <c r="TSV5" s="978"/>
      <c r="TSW5" s="978"/>
      <c r="TSX5" s="978"/>
      <c r="TSY5" s="978"/>
      <c r="TSZ5" s="978"/>
      <c r="TTA5" s="978"/>
      <c r="TTB5" s="978"/>
      <c r="TTC5" s="978"/>
      <c r="TTD5" s="978"/>
      <c r="TTE5" s="978"/>
      <c r="TTF5" s="978"/>
      <c r="TTG5" s="978"/>
      <c r="TTH5" s="978"/>
      <c r="TTI5" s="978"/>
      <c r="TTJ5" s="978"/>
      <c r="TTK5" s="978"/>
      <c r="TTL5" s="978"/>
      <c r="TTM5" s="978"/>
      <c r="TTN5" s="978"/>
      <c r="TTO5" s="978"/>
      <c r="TTP5" s="978"/>
      <c r="TTQ5" s="978"/>
      <c r="TTR5" s="978"/>
      <c r="TTS5" s="978"/>
      <c r="TTT5" s="978"/>
      <c r="TTU5" s="978"/>
      <c r="TTV5" s="978"/>
      <c r="TTW5" s="978"/>
      <c r="TTX5" s="978"/>
      <c r="TTY5" s="978"/>
      <c r="TTZ5" s="978"/>
      <c r="TUA5" s="978"/>
      <c r="TUB5" s="978"/>
      <c r="TUC5" s="978"/>
      <c r="TUD5" s="978"/>
      <c r="TUE5" s="978"/>
      <c r="TUF5" s="978"/>
      <c r="TUG5" s="978"/>
      <c r="TUH5" s="978"/>
      <c r="TUI5" s="978"/>
      <c r="TUJ5" s="978"/>
      <c r="TUK5" s="978"/>
      <c r="TUL5" s="978"/>
      <c r="TUM5" s="978"/>
      <c r="TUN5" s="978"/>
      <c r="TUO5" s="978"/>
      <c r="TUP5" s="978"/>
      <c r="TUQ5" s="978"/>
      <c r="TUR5" s="978"/>
      <c r="TUS5" s="978"/>
      <c r="TUT5" s="978"/>
      <c r="TUU5" s="978"/>
      <c r="TUV5" s="978"/>
      <c r="TUW5" s="978"/>
      <c r="TUX5" s="978"/>
      <c r="TUY5" s="978"/>
      <c r="TUZ5" s="978"/>
      <c r="TVA5" s="978"/>
      <c r="TVB5" s="978"/>
      <c r="TVC5" s="978"/>
      <c r="TVD5" s="978"/>
      <c r="TVE5" s="978"/>
      <c r="TVF5" s="978"/>
      <c r="TVG5" s="978"/>
      <c r="TVH5" s="978"/>
      <c r="TVI5" s="978"/>
      <c r="TVJ5" s="978"/>
      <c r="TVK5" s="978"/>
      <c r="TVL5" s="978"/>
      <c r="TVM5" s="978"/>
      <c r="TVN5" s="978"/>
      <c r="TVO5" s="978"/>
      <c r="TVP5" s="978"/>
      <c r="TVQ5" s="978"/>
      <c r="TVR5" s="978"/>
      <c r="TVS5" s="978"/>
      <c r="TVT5" s="978"/>
      <c r="TVU5" s="978"/>
      <c r="TVV5" s="978"/>
      <c r="TVW5" s="978"/>
      <c r="TVX5" s="978"/>
      <c r="TVY5" s="978"/>
      <c r="TVZ5" s="978"/>
      <c r="TWA5" s="978"/>
      <c r="TWB5" s="978"/>
      <c r="TWC5" s="978"/>
      <c r="TWD5" s="978"/>
      <c r="TWE5" s="978"/>
      <c r="TWF5" s="978"/>
      <c r="TWG5" s="978"/>
      <c r="TWH5" s="978"/>
      <c r="TWI5" s="978"/>
      <c r="TWJ5" s="978"/>
      <c r="TWK5" s="978"/>
      <c r="TWL5" s="978"/>
      <c r="TWM5" s="978"/>
      <c r="TWN5" s="978"/>
      <c r="TWO5" s="978"/>
      <c r="TWP5" s="978"/>
      <c r="TWQ5" s="978"/>
      <c r="TWR5" s="978"/>
      <c r="TWS5" s="978"/>
      <c r="TWT5" s="978"/>
      <c r="TWU5" s="978"/>
      <c r="TWV5" s="978"/>
      <c r="TWW5" s="978"/>
      <c r="TWX5" s="978"/>
      <c r="TWY5" s="978"/>
      <c r="TWZ5" s="978"/>
      <c r="TXA5" s="978"/>
      <c r="TXB5" s="978"/>
      <c r="TXC5" s="978"/>
      <c r="TXD5" s="978"/>
      <c r="TXE5" s="978"/>
      <c r="TXF5" s="978"/>
      <c r="TXG5" s="978"/>
      <c r="TXH5" s="978"/>
      <c r="TXI5" s="978"/>
      <c r="TXJ5" s="978"/>
      <c r="TXK5" s="978"/>
      <c r="TXL5" s="978"/>
      <c r="TXM5" s="978"/>
      <c r="TXN5" s="978"/>
      <c r="TXO5" s="978"/>
      <c r="TXP5" s="978"/>
      <c r="TXQ5" s="978"/>
      <c r="TXR5" s="978"/>
      <c r="TXS5" s="978"/>
      <c r="TXT5" s="978"/>
      <c r="TXU5" s="978"/>
      <c r="TXV5" s="978"/>
      <c r="TXW5" s="978"/>
      <c r="TXX5" s="978"/>
      <c r="TXY5" s="978"/>
      <c r="TXZ5" s="978"/>
      <c r="TYA5" s="978"/>
      <c r="TYB5" s="978"/>
      <c r="TYC5" s="978"/>
      <c r="TYD5" s="978"/>
      <c r="TYE5" s="978"/>
      <c r="TYF5" s="978"/>
      <c r="TYG5" s="978"/>
      <c r="TYH5" s="978"/>
      <c r="TYI5" s="978"/>
      <c r="TYJ5" s="978"/>
      <c r="TYK5" s="978"/>
      <c r="TYL5" s="978"/>
      <c r="TYM5" s="978"/>
      <c r="TYN5" s="978"/>
      <c r="TYO5" s="978"/>
      <c r="TYP5" s="978"/>
      <c r="TYQ5" s="978"/>
      <c r="TYR5" s="978"/>
      <c r="TYS5" s="978"/>
      <c r="TYT5" s="978"/>
      <c r="TYU5" s="978"/>
      <c r="TYV5" s="978"/>
      <c r="TYW5" s="978"/>
      <c r="TYX5" s="978"/>
      <c r="TYY5" s="978"/>
      <c r="TYZ5" s="978"/>
      <c r="TZA5" s="978"/>
      <c r="TZB5" s="978"/>
      <c r="TZC5" s="978"/>
      <c r="TZD5" s="978"/>
      <c r="TZE5" s="978"/>
      <c r="TZF5" s="978"/>
      <c r="TZG5" s="978"/>
      <c r="TZH5" s="978"/>
      <c r="TZI5" s="978"/>
      <c r="TZJ5" s="978"/>
      <c r="TZK5" s="978"/>
      <c r="TZL5" s="978"/>
      <c r="TZM5" s="978"/>
      <c r="TZN5" s="978"/>
      <c r="TZO5" s="978"/>
      <c r="TZP5" s="978"/>
      <c r="TZQ5" s="978"/>
      <c r="TZR5" s="978"/>
      <c r="TZS5" s="978"/>
      <c r="TZT5" s="978"/>
      <c r="TZU5" s="978"/>
      <c r="TZV5" s="978"/>
      <c r="TZW5" s="978"/>
      <c r="TZX5" s="978"/>
      <c r="TZY5" s="978"/>
      <c r="TZZ5" s="978"/>
      <c r="UAA5" s="978"/>
      <c r="UAB5" s="978"/>
      <c r="UAC5" s="978"/>
      <c r="UAD5" s="978"/>
      <c r="UAE5" s="978"/>
      <c r="UAF5" s="978"/>
      <c r="UAG5" s="978"/>
      <c r="UAH5" s="978"/>
      <c r="UAI5" s="978"/>
      <c r="UAJ5" s="978"/>
      <c r="UAK5" s="978"/>
      <c r="UAL5" s="978"/>
      <c r="UAM5" s="978"/>
      <c r="UAN5" s="978"/>
      <c r="UAO5" s="978"/>
      <c r="UAP5" s="978"/>
      <c r="UAQ5" s="978"/>
      <c r="UAR5" s="978"/>
      <c r="UAS5" s="978"/>
      <c r="UAT5" s="978"/>
      <c r="UAU5" s="978"/>
      <c r="UAV5" s="978"/>
      <c r="UAW5" s="978"/>
      <c r="UAX5" s="978"/>
      <c r="UAY5" s="978"/>
      <c r="UAZ5" s="978"/>
      <c r="UBA5" s="978"/>
      <c r="UBB5" s="978"/>
      <c r="UBC5" s="978"/>
      <c r="UBD5" s="978"/>
      <c r="UBE5" s="978"/>
      <c r="UBF5" s="978"/>
      <c r="UBG5" s="978"/>
      <c r="UBH5" s="978"/>
      <c r="UBI5" s="978"/>
      <c r="UBJ5" s="978"/>
      <c r="UBK5" s="978"/>
      <c r="UBL5" s="978"/>
      <c r="UBM5" s="978"/>
      <c r="UBN5" s="978"/>
      <c r="UBO5" s="978"/>
      <c r="UBP5" s="978"/>
      <c r="UBQ5" s="978"/>
      <c r="UBR5" s="978"/>
      <c r="UBS5" s="978"/>
      <c r="UBT5" s="978"/>
      <c r="UBU5" s="978"/>
      <c r="UBV5" s="978"/>
      <c r="UBW5" s="978"/>
      <c r="UBX5" s="978"/>
      <c r="UBY5" s="978"/>
      <c r="UBZ5" s="978"/>
      <c r="UCA5" s="978"/>
      <c r="UCB5" s="978"/>
      <c r="UCC5" s="978"/>
      <c r="UCD5" s="978"/>
      <c r="UCE5" s="978"/>
      <c r="UCF5" s="978"/>
      <c r="UCG5" s="978"/>
      <c r="UCH5" s="978"/>
      <c r="UCI5" s="978"/>
      <c r="UCJ5" s="978"/>
      <c r="UCK5" s="978"/>
      <c r="UCL5" s="978"/>
      <c r="UCM5" s="978"/>
      <c r="UCN5" s="978"/>
      <c r="UCO5" s="978"/>
      <c r="UCP5" s="978"/>
      <c r="UCQ5" s="978"/>
      <c r="UCR5" s="978"/>
      <c r="UCS5" s="978"/>
      <c r="UCT5" s="978"/>
      <c r="UCU5" s="978"/>
      <c r="UCV5" s="978"/>
      <c r="UCW5" s="978"/>
      <c r="UCX5" s="978"/>
      <c r="UCY5" s="978"/>
      <c r="UCZ5" s="978"/>
      <c r="UDA5" s="978"/>
      <c r="UDB5" s="978"/>
      <c r="UDC5" s="978"/>
      <c r="UDD5" s="978"/>
      <c r="UDE5" s="978"/>
      <c r="UDF5" s="978"/>
      <c r="UDG5" s="978"/>
      <c r="UDH5" s="978"/>
      <c r="UDI5" s="978"/>
      <c r="UDJ5" s="978"/>
      <c r="UDK5" s="978"/>
      <c r="UDL5" s="978"/>
      <c r="UDM5" s="978"/>
      <c r="UDN5" s="978"/>
      <c r="UDO5" s="978"/>
      <c r="UDP5" s="978"/>
      <c r="UDQ5" s="978"/>
      <c r="UDR5" s="978"/>
      <c r="UDS5" s="978"/>
      <c r="UDT5" s="978"/>
      <c r="UDU5" s="978"/>
      <c r="UDV5" s="978"/>
      <c r="UDW5" s="978"/>
      <c r="UDX5" s="978"/>
      <c r="UDY5" s="978"/>
      <c r="UDZ5" s="978"/>
      <c r="UEA5" s="978"/>
      <c r="UEB5" s="978"/>
      <c r="UEC5" s="978"/>
      <c r="UED5" s="978"/>
      <c r="UEE5" s="978"/>
      <c r="UEF5" s="978"/>
      <c r="UEG5" s="978"/>
      <c r="UEH5" s="978"/>
      <c r="UEI5" s="978"/>
      <c r="UEJ5" s="978"/>
      <c r="UEK5" s="978"/>
      <c r="UEL5" s="978"/>
      <c r="UEM5" s="978"/>
      <c r="UEN5" s="978"/>
      <c r="UEO5" s="978"/>
      <c r="UEP5" s="978"/>
      <c r="UEQ5" s="978"/>
      <c r="UER5" s="978"/>
      <c r="UES5" s="978"/>
      <c r="UET5" s="978"/>
      <c r="UEU5" s="978"/>
      <c r="UEV5" s="978"/>
      <c r="UEW5" s="978"/>
      <c r="UEX5" s="978"/>
      <c r="UEY5" s="978"/>
      <c r="UEZ5" s="978"/>
      <c r="UFA5" s="978"/>
      <c r="UFB5" s="978"/>
      <c r="UFC5" s="978"/>
      <c r="UFD5" s="978"/>
      <c r="UFE5" s="978"/>
      <c r="UFF5" s="978"/>
      <c r="UFG5" s="978"/>
      <c r="UFH5" s="978"/>
      <c r="UFI5" s="978"/>
      <c r="UFJ5" s="978"/>
      <c r="UFK5" s="978"/>
      <c r="UFL5" s="978"/>
      <c r="UFM5" s="978"/>
      <c r="UFN5" s="978"/>
      <c r="UFO5" s="978"/>
      <c r="UFP5" s="978"/>
      <c r="UFQ5" s="978"/>
      <c r="UFR5" s="978"/>
      <c r="UFS5" s="978"/>
      <c r="UFT5" s="978"/>
      <c r="UFU5" s="978"/>
      <c r="UFV5" s="978"/>
      <c r="UFW5" s="978"/>
      <c r="UFX5" s="978"/>
      <c r="UFY5" s="978"/>
      <c r="UFZ5" s="978"/>
      <c r="UGA5" s="978"/>
      <c r="UGB5" s="978"/>
      <c r="UGC5" s="978"/>
      <c r="UGD5" s="978"/>
      <c r="UGE5" s="978"/>
      <c r="UGF5" s="978"/>
      <c r="UGG5" s="978"/>
      <c r="UGH5" s="978"/>
      <c r="UGI5" s="978"/>
      <c r="UGJ5" s="978"/>
      <c r="UGK5" s="978"/>
      <c r="UGL5" s="978"/>
      <c r="UGM5" s="978"/>
      <c r="UGN5" s="978"/>
      <c r="UGO5" s="978"/>
      <c r="UGP5" s="978"/>
      <c r="UGQ5" s="978"/>
      <c r="UGR5" s="978"/>
      <c r="UGS5" s="978"/>
      <c r="UGT5" s="978"/>
      <c r="UGU5" s="978"/>
      <c r="UGV5" s="978"/>
      <c r="UGW5" s="978"/>
      <c r="UGX5" s="978"/>
      <c r="UGY5" s="978"/>
      <c r="UGZ5" s="978"/>
      <c r="UHA5" s="978"/>
      <c r="UHB5" s="978"/>
      <c r="UHC5" s="978"/>
      <c r="UHD5" s="978"/>
      <c r="UHE5" s="978"/>
      <c r="UHF5" s="978"/>
      <c r="UHG5" s="978"/>
      <c r="UHH5" s="978"/>
      <c r="UHI5" s="978"/>
      <c r="UHJ5" s="978"/>
      <c r="UHK5" s="978"/>
      <c r="UHL5" s="978"/>
      <c r="UHM5" s="978"/>
      <c r="UHN5" s="978"/>
      <c r="UHO5" s="978"/>
      <c r="UHP5" s="978"/>
      <c r="UHQ5" s="978"/>
      <c r="UHR5" s="978"/>
      <c r="UHS5" s="978"/>
      <c r="UHT5" s="978"/>
      <c r="UHU5" s="978"/>
      <c r="UHV5" s="978"/>
      <c r="UHW5" s="978"/>
      <c r="UHX5" s="978"/>
      <c r="UHY5" s="978"/>
      <c r="UHZ5" s="978"/>
      <c r="UIA5" s="978"/>
      <c r="UIB5" s="978"/>
      <c r="UIC5" s="978"/>
      <c r="UID5" s="978"/>
      <c r="UIE5" s="978"/>
      <c r="UIF5" s="978"/>
      <c r="UIG5" s="978"/>
      <c r="UIH5" s="978"/>
      <c r="UII5" s="978"/>
      <c r="UIJ5" s="978"/>
      <c r="UIK5" s="978"/>
      <c r="UIL5" s="978"/>
      <c r="UIM5" s="978"/>
      <c r="UIN5" s="978"/>
      <c r="UIO5" s="978"/>
      <c r="UIP5" s="978"/>
      <c r="UIQ5" s="978"/>
      <c r="UIR5" s="978"/>
      <c r="UIS5" s="978"/>
      <c r="UIT5" s="978"/>
      <c r="UIU5" s="978"/>
      <c r="UIV5" s="978"/>
      <c r="UIW5" s="978"/>
      <c r="UIX5" s="978"/>
      <c r="UIY5" s="978"/>
      <c r="UIZ5" s="978"/>
      <c r="UJA5" s="978"/>
      <c r="UJB5" s="978"/>
      <c r="UJC5" s="978"/>
      <c r="UJD5" s="978"/>
      <c r="UJE5" s="978"/>
      <c r="UJF5" s="978"/>
      <c r="UJG5" s="978"/>
      <c r="UJH5" s="978"/>
      <c r="UJI5" s="978"/>
      <c r="UJJ5" s="978"/>
      <c r="UJK5" s="978"/>
      <c r="UJL5" s="978"/>
      <c r="UJM5" s="978"/>
      <c r="UJN5" s="978"/>
      <c r="UJO5" s="978"/>
      <c r="UJP5" s="978"/>
      <c r="UJQ5" s="978"/>
      <c r="UJR5" s="978"/>
      <c r="UJS5" s="978"/>
      <c r="UJT5" s="978"/>
      <c r="UJU5" s="978"/>
      <c r="UJV5" s="978"/>
      <c r="UJW5" s="978"/>
      <c r="UJX5" s="978"/>
      <c r="UJY5" s="978"/>
      <c r="UJZ5" s="978"/>
      <c r="UKA5" s="978"/>
      <c r="UKB5" s="978"/>
      <c r="UKC5" s="978"/>
      <c r="UKD5" s="978"/>
      <c r="UKE5" s="978"/>
      <c r="UKF5" s="978"/>
      <c r="UKG5" s="978"/>
      <c r="UKH5" s="978"/>
      <c r="UKI5" s="978"/>
      <c r="UKJ5" s="978"/>
      <c r="UKK5" s="978"/>
      <c r="UKL5" s="978"/>
      <c r="UKM5" s="978"/>
      <c r="UKN5" s="978"/>
      <c r="UKO5" s="978"/>
      <c r="UKP5" s="978"/>
      <c r="UKQ5" s="978"/>
      <c r="UKR5" s="978"/>
      <c r="UKS5" s="978"/>
      <c r="UKT5" s="978"/>
      <c r="UKU5" s="978"/>
      <c r="UKV5" s="978"/>
      <c r="UKW5" s="978"/>
      <c r="UKX5" s="978"/>
      <c r="UKY5" s="978"/>
      <c r="UKZ5" s="978"/>
      <c r="ULA5" s="978"/>
      <c r="ULB5" s="978"/>
      <c r="ULC5" s="978"/>
      <c r="ULD5" s="978"/>
      <c r="ULE5" s="978"/>
      <c r="ULF5" s="978"/>
      <c r="ULG5" s="978"/>
      <c r="ULH5" s="978"/>
      <c r="ULI5" s="978"/>
      <c r="ULJ5" s="978"/>
      <c r="ULK5" s="978"/>
      <c r="ULL5" s="978"/>
      <c r="ULM5" s="978"/>
      <c r="ULN5" s="978"/>
      <c r="ULO5" s="978"/>
      <c r="ULP5" s="978"/>
      <c r="ULQ5" s="978"/>
      <c r="ULR5" s="978"/>
      <c r="ULS5" s="978"/>
      <c r="ULT5" s="978"/>
      <c r="ULU5" s="978"/>
      <c r="ULV5" s="978"/>
      <c r="ULW5" s="978"/>
      <c r="ULX5" s="978"/>
      <c r="ULY5" s="978"/>
      <c r="ULZ5" s="978"/>
      <c r="UMA5" s="978"/>
      <c r="UMB5" s="978"/>
      <c r="UMC5" s="978"/>
      <c r="UMD5" s="978"/>
      <c r="UME5" s="978"/>
      <c r="UMF5" s="978"/>
      <c r="UMG5" s="978"/>
      <c r="UMH5" s="978"/>
      <c r="UMI5" s="978"/>
      <c r="UMJ5" s="978"/>
      <c r="UMK5" s="978"/>
      <c r="UML5" s="978"/>
      <c r="UMM5" s="978"/>
      <c r="UMN5" s="978"/>
      <c r="UMO5" s="978"/>
      <c r="UMP5" s="978"/>
      <c r="UMQ5" s="978"/>
      <c r="UMR5" s="978"/>
      <c r="UMS5" s="978"/>
      <c r="UMT5" s="978"/>
      <c r="UMU5" s="978"/>
      <c r="UMV5" s="978"/>
      <c r="UMW5" s="978"/>
      <c r="UMX5" s="978"/>
      <c r="UMY5" s="978"/>
      <c r="UMZ5" s="978"/>
      <c r="UNA5" s="978"/>
      <c r="UNB5" s="978"/>
      <c r="UNC5" s="978"/>
      <c r="UND5" s="978"/>
      <c r="UNE5" s="978"/>
      <c r="UNF5" s="978"/>
      <c r="UNG5" s="978"/>
      <c r="UNH5" s="978"/>
      <c r="UNI5" s="978"/>
      <c r="UNJ5" s="978"/>
      <c r="UNK5" s="978"/>
      <c r="UNL5" s="978"/>
      <c r="UNM5" s="978"/>
      <c r="UNN5" s="978"/>
      <c r="UNO5" s="978"/>
      <c r="UNP5" s="978"/>
      <c r="UNQ5" s="978"/>
      <c r="UNR5" s="978"/>
      <c r="UNS5" s="978"/>
      <c r="UNT5" s="978"/>
      <c r="UNU5" s="978"/>
      <c r="UNV5" s="978"/>
      <c r="UNW5" s="978"/>
      <c r="UNX5" s="978"/>
      <c r="UNY5" s="978"/>
      <c r="UNZ5" s="978"/>
      <c r="UOA5" s="978"/>
      <c r="UOB5" s="978"/>
      <c r="UOC5" s="978"/>
      <c r="UOD5" s="978"/>
      <c r="UOE5" s="978"/>
      <c r="UOF5" s="978"/>
      <c r="UOG5" s="978"/>
      <c r="UOH5" s="978"/>
      <c r="UOI5" s="978"/>
      <c r="UOJ5" s="978"/>
      <c r="UOK5" s="978"/>
      <c r="UOL5" s="978"/>
      <c r="UOM5" s="978"/>
      <c r="UON5" s="978"/>
      <c r="UOO5" s="978"/>
      <c r="UOP5" s="978"/>
      <c r="UOQ5" s="978"/>
      <c r="UOR5" s="978"/>
      <c r="UOS5" s="978"/>
      <c r="UOT5" s="978"/>
      <c r="UOU5" s="978"/>
      <c r="UOV5" s="978"/>
      <c r="UOW5" s="978"/>
      <c r="UOX5" s="978"/>
      <c r="UOY5" s="978"/>
      <c r="UOZ5" s="978"/>
      <c r="UPA5" s="978"/>
      <c r="UPB5" s="978"/>
      <c r="UPC5" s="978"/>
      <c r="UPD5" s="978"/>
      <c r="UPE5" s="978"/>
      <c r="UPF5" s="978"/>
      <c r="UPG5" s="978"/>
      <c r="UPH5" s="978"/>
      <c r="UPI5" s="978"/>
      <c r="UPJ5" s="978"/>
      <c r="UPK5" s="978"/>
      <c r="UPL5" s="978"/>
      <c r="UPM5" s="978"/>
      <c r="UPN5" s="978"/>
      <c r="UPO5" s="978"/>
      <c r="UPP5" s="978"/>
      <c r="UPQ5" s="978"/>
      <c r="UPR5" s="978"/>
      <c r="UPS5" s="978"/>
      <c r="UPT5" s="978"/>
      <c r="UPU5" s="978"/>
      <c r="UPV5" s="978"/>
      <c r="UPW5" s="978"/>
      <c r="UPX5" s="978"/>
      <c r="UPY5" s="978"/>
      <c r="UPZ5" s="978"/>
      <c r="UQA5" s="978"/>
      <c r="UQB5" s="978"/>
      <c r="UQC5" s="978"/>
      <c r="UQD5" s="978"/>
      <c r="UQE5" s="978"/>
      <c r="UQF5" s="978"/>
      <c r="UQG5" s="978"/>
      <c r="UQH5" s="978"/>
      <c r="UQI5" s="978"/>
      <c r="UQJ5" s="978"/>
      <c r="UQK5" s="978"/>
      <c r="UQL5" s="978"/>
      <c r="UQM5" s="978"/>
      <c r="UQN5" s="978"/>
      <c r="UQO5" s="978"/>
      <c r="UQP5" s="978"/>
      <c r="UQQ5" s="978"/>
      <c r="UQR5" s="978"/>
      <c r="UQS5" s="978"/>
      <c r="UQT5" s="978"/>
      <c r="UQU5" s="978"/>
      <c r="UQV5" s="978"/>
      <c r="UQW5" s="978"/>
      <c r="UQX5" s="978"/>
      <c r="UQY5" s="978"/>
      <c r="UQZ5" s="978"/>
      <c r="URA5" s="978"/>
      <c r="URB5" s="978"/>
      <c r="URC5" s="978"/>
      <c r="URD5" s="978"/>
      <c r="URE5" s="978"/>
      <c r="URF5" s="978"/>
      <c r="URG5" s="978"/>
      <c r="URH5" s="978"/>
      <c r="URI5" s="978"/>
      <c r="URJ5" s="978"/>
      <c r="URK5" s="978"/>
      <c r="URL5" s="978"/>
      <c r="URM5" s="978"/>
      <c r="URN5" s="978"/>
      <c r="URO5" s="978"/>
      <c r="URP5" s="978"/>
      <c r="URQ5" s="978"/>
      <c r="URR5" s="978"/>
      <c r="URS5" s="978"/>
      <c r="URT5" s="978"/>
      <c r="URU5" s="978"/>
      <c r="URV5" s="978"/>
      <c r="URW5" s="978"/>
      <c r="URX5" s="978"/>
      <c r="URY5" s="978"/>
      <c r="URZ5" s="978"/>
      <c r="USA5" s="978"/>
      <c r="USB5" s="978"/>
      <c r="USC5" s="978"/>
      <c r="USD5" s="978"/>
      <c r="USE5" s="978"/>
      <c r="USF5" s="978"/>
      <c r="USG5" s="978"/>
      <c r="USH5" s="978"/>
      <c r="USI5" s="978"/>
      <c r="USJ5" s="978"/>
      <c r="USK5" s="978"/>
      <c r="USL5" s="978"/>
      <c r="USM5" s="978"/>
      <c r="USN5" s="978"/>
      <c r="USO5" s="978"/>
      <c r="USP5" s="978"/>
      <c r="USQ5" s="978"/>
      <c r="USR5" s="978"/>
      <c r="USS5" s="978"/>
      <c r="UST5" s="978"/>
      <c r="USU5" s="978"/>
      <c r="USV5" s="978"/>
      <c r="USW5" s="978"/>
      <c r="USX5" s="978"/>
      <c r="USY5" s="978"/>
      <c r="USZ5" s="978"/>
      <c r="UTA5" s="978"/>
      <c r="UTB5" s="978"/>
      <c r="UTC5" s="978"/>
      <c r="UTD5" s="978"/>
      <c r="UTE5" s="978"/>
      <c r="UTF5" s="978"/>
      <c r="UTG5" s="978"/>
      <c r="UTH5" s="978"/>
      <c r="UTI5" s="978"/>
      <c r="UTJ5" s="978"/>
      <c r="UTK5" s="978"/>
      <c r="UTL5" s="978"/>
      <c r="UTM5" s="978"/>
      <c r="UTN5" s="978"/>
      <c r="UTO5" s="978"/>
      <c r="UTP5" s="978"/>
      <c r="UTQ5" s="978"/>
      <c r="UTR5" s="978"/>
      <c r="UTS5" s="978"/>
      <c r="UTT5" s="978"/>
      <c r="UTU5" s="978"/>
      <c r="UTV5" s="978"/>
      <c r="UTW5" s="978"/>
      <c r="UTX5" s="978"/>
      <c r="UTY5" s="978"/>
      <c r="UTZ5" s="978"/>
      <c r="UUA5" s="978"/>
      <c r="UUB5" s="978"/>
      <c r="UUC5" s="978"/>
      <c r="UUD5" s="978"/>
      <c r="UUE5" s="978"/>
      <c r="UUF5" s="978"/>
      <c r="UUG5" s="978"/>
      <c r="UUH5" s="978"/>
      <c r="UUI5" s="978"/>
      <c r="UUJ5" s="978"/>
      <c r="UUK5" s="978"/>
      <c r="UUL5" s="978"/>
      <c r="UUM5" s="978"/>
      <c r="UUN5" s="978"/>
      <c r="UUO5" s="978"/>
      <c r="UUP5" s="978"/>
      <c r="UUQ5" s="978"/>
      <c r="UUR5" s="978"/>
      <c r="UUS5" s="978"/>
      <c r="UUT5" s="978"/>
      <c r="UUU5" s="978"/>
      <c r="UUV5" s="978"/>
      <c r="UUW5" s="978"/>
      <c r="UUX5" s="978"/>
      <c r="UUY5" s="978"/>
      <c r="UUZ5" s="978"/>
      <c r="UVA5" s="978"/>
      <c r="UVB5" s="978"/>
      <c r="UVC5" s="978"/>
      <c r="UVD5" s="978"/>
      <c r="UVE5" s="978"/>
      <c r="UVF5" s="978"/>
      <c r="UVG5" s="978"/>
      <c r="UVH5" s="978"/>
      <c r="UVI5" s="978"/>
      <c r="UVJ5" s="978"/>
      <c r="UVK5" s="978"/>
      <c r="UVL5" s="978"/>
      <c r="UVM5" s="978"/>
      <c r="UVN5" s="978"/>
      <c r="UVO5" s="978"/>
      <c r="UVP5" s="978"/>
      <c r="UVQ5" s="978"/>
      <c r="UVR5" s="978"/>
      <c r="UVS5" s="978"/>
      <c r="UVT5" s="978"/>
      <c r="UVU5" s="978"/>
      <c r="UVV5" s="978"/>
      <c r="UVW5" s="978"/>
      <c r="UVX5" s="978"/>
      <c r="UVY5" s="978"/>
      <c r="UVZ5" s="978"/>
      <c r="UWA5" s="978"/>
      <c r="UWB5" s="978"/>
      <c r="UWC5" s="978"/>
      <c r="UWD5" s="978"/>
      <c r="UWE5" s="978"/>
      <c r="UWF5" s="978"/>
      <c r="UWG5" s="978"/>
      <c r="UWH5" s="978"/>
      <c r="UWI5" s="978"/>
      <c r="UWJ5" s="978"/>
      <c r="UWK5" s="978"/>
      <c r="UWL5" s="978"/>
      <c r="UWM5" s="978"/>
      <c r="UWN5" s="978"/>
      <c r="UWO5" s="978"/>
      <c r="UWP5" s="978"/>
      <c r="UWQ5" s="978"/>
      <c r="UWR5" s="978"/>
      <c r="UWS5" s="978"/>
      <c r="UWT5" s="978"/>
      <c r="UWU5" s="978"/>
      <c r="UWV5" s="978"/>
      <c r="UWW5" s="978"/>
      <c r="UWX5" s="978"/>
      <c r="UWY5" s="978"/>
      <c r="UWZ5" s="978"/>
      <c r="UXA5" s="978"/>
      <c r="UXB5" s="978"/>
      <c r="UXC5" s="978"/>
      <c r="UXD5" s="978"/>
      <c r="UXE5" s="978"/>
      <c r="UXF5" s="978"/>
      <c r="UXG5" s="978"/>
      <c r="UXH5" s="978"/>
      <c r="UXI5" s="978"/>
      <c r="UXJ5" s="978"/>
      <c r="UXK5" s="978"/>
      <c r="UXL5" s="978"/>
      <c r="UXM5" s="978"/>
      <c r="UXN5" s="978"/>
      <c r="UXO5" s="978"/>
      <c r="UXP5" s="978"/>
      <c r="UXQ5" s="978"/>
      <c r="UXR5" s="978"/>
      <c r="UXS5" s="978"/>
      <c r="UXT5" s="978"/>
      <c r="UXU5" s="978"/>
      <c r="UXV5" s="978"/>
      <c r="UXW5" s="978"/>
      <c r="UXX5" s="978"/>
      <c r="UXY5" s="978"/>
      <c r="UXZ5" s="978"/>
      <c r="UYA5" s="978"/>
      <c r="UYB5" s="978"/>
      <c r="UYC5" s="978"/>
      <c r="UYD5" s="978"/>
      <c r="UYE5" s="978"/>
      <c r="UYF5" s="978"/>
      <c r="UYG5" s="978"/>
      <c r="UYH5" s="978"/>
      <c r="UYI5" s="978"/>
      <c r="UYJ5" s="978"/>
      <c r="UYK5" s="978"/>
      <c r="UYL5" s="978"/>
      <c r="UYM5" s="978"/>
      <c r="UYN5" s="978"/>
      <c r="UYO5" s="978"/>
      <c r="UYP5" s="978"/>
      <c r="UYQ5" s="978"/>
      <c r="UYR5" s="978"/>
      <c r="UYS5" s="978"/>
      <c r="UYT5" s="978"/>
      <c r="UYU5" s="978"/>
      <c r="UYV5" s="978"/>
      <c r="UYW5" s="978"/>
      <c r="UYX5" s="978"/>
      <c r="UYY5" s="978"/>
      <c r="UYZ5" s="978"/>
      <c r="UZA5" s="978"/>
      <c r="UZB5" s="978"/>
      <c r="UZC5" s="978"/>
      <c r="UZD5" s="978"/>
      <c r="UZE5" s="978"/>
      <c r="UZF5" s="978"/>
      <c r="UZG5" s="978"/>
      <c r="UZH5" s="978"/>
      <c r="UZI5" s="978"/>
      <c r="UZJ5" s="978"/>
      <c r="UZK5" s="978"/>
      <c r="UZL5" s="978"/>
      <c r="UZM5" s="978"/>
      <c r="UZN5" s="978"/>
      <c r="UZO5" s="978"/>
      <c r="UZP5" s="978"/>
      <c r="UZQ5" s="978"/>
      <c r="UZR5" s="978"/>
      <c r="UZS5" s="978"/>
      <c r="UZT5" s="978"/>
      <c r="UZU5" s="978"/>
      <c r="UZV5" s="978"/>
      <c r="UZW5" s="978"/>
      <c r="UZX5" s="978"/>
      <c r="UZY5" s="978"/>
      <c r="UZZ5" s="978"/>
      <c r="VAA5" s="978"/>
      <c r="VAB5" s="978"/>
      <c r="VAC5" s="978"/>
      <c r="VAD5" s="978"/>
      <c r="VAE5" s="978"/>
      <c r="VAF5" s="978"/>
      <c r="VAG5" s="978"/>
      <c r="VAH5" s="978"/>
      <c r="VAI5" s="978"/>
      <c r="VAJ5" s="978"/>
      <c r="VAK5" s="978"/>
      <c r="VAL5" s="978"/>
      <c r="VAM5" s="978"/>
      <c r="VAN5" s="978"/>
      <c r="VAO5" s="978"/>
      <c r="VAP5" s="978"/>
      <c r="VAQ5" s="978"/>
      <c r="VAR5" s="978"/>
      <c r="VAS5" s="978"/>
      <c r="VAT5" s="978"/>
      <c r="VAU5" s="978"/>
      <c r="VAV5" s="978"/>
      <c r="VAW5" s="978"/>
      <c r="VAX5" s="978"/>
      <c r="VAY5" s="978"/>
      <c r="VAZ5" s="978"/>
      <c r="VBA5" s="978"/>
      <c r="VBB5" s="978"/>
      <c r="VBC5" s="978"/>
      <c r="VBD5" s="978"/>
      <c r="VBE5" s="978"/>
      <c r="VBF5" s="978"/>
      <c r="VBG5" s="978"/>
      <c r="VBH5" s="978"/>
      <c r="VBI5" s="978"/>
      <c r="VBJ5" s="978"/>
      <c r="VBK5" s="978"/>
      <c r="VBL5" s="978"/>
      <c r="VBM5" s="978"/>
      <c r="VBN5" s="978"/>
      <c r="VBO5" s="978"/>
      <c r="VBP5" s="978"/>
      <c r="VBQ5" s="978"/>
      <c r="VBR5" s="978"/>
      <c r="VBS5" s="978"/>
      <c r="VBT5" s="978"/>
      <c r="VBU5" s="978"/>
      <c r="VBV5" s="978"/>
      <c r="VBW5" s="978"/>
      <c r="VBX5" s="978"/>
      <c r="VBY5" s="978"/>
      <c r="VBZ5" s="978"/>
      <c r="VCA5" s="978"/>
      <c r="VCB5" s="978"/>
      <c r="VCC5" s="978"/>
      <c r="VCD5" s="978"/>
      <c r="VCE5" s="978"/>
      <c r="VCF5" s="978"/>
      <c r="VCG5" s="978"/>
      <c r="VCH5" s="978"/>
      <c r="VCI5" s="978"/>
      <c r="VCJ5" s="978"/>
      <c r="VCK5" s="978"/>
      <c r="VCL5" s="978"/>
      <c r="VCM5" s="978"/>
      <c r="VCN5" s="978"/>
      <c r="VCO5" s="978"/>
      <c r="VCP5" s="978"/>
      <c r="VCQ5" s="978"/>
      <c r="VCR5" s="978"/>
      <c r="VCS5" s="978"/>
      <c r="VCT5" s="978"/>
      <c r="VCU5" s="978"/>
      <c r="VCV5" s="978"/>
      <c r="VCW5" s="978"/>
      <c r="VCX5" s="978"/>
      <c r="VCY5" s="978"/>
      <c r="VCZ5" s="978"/>
      <c r="VDA5" s="978"/>
      <c r="VDB5" s="978"/>
      <c r="VDC5" s="978"/>
      <c r="VDD5" s="978"/>
      <c r="VDE5" s="978"/>
      <c r="VDF5" s="978"/>
      <c r="VDG5" s="978"/>
      <c r="VDH5" s="978"/>
      <c r="VDI5" s="978"/>
      <c r="VDJ5" s="978"/>
      <c r="VDK5" s="978"/>
      <c r="VDL5" s="978"/>
      <c r="VDM5" s="978"/>
      <c r="VDN5" s="978"/>
      <c r="VDO5" s="978"/>
      <c r="VDP5" s="978"/>
      <c r="VDQ5" s="978"/>
      <c r="VDR5" s="978"/>
      <c r="VDS5" s="978"/>
      <c r="VDT5" s="978"/>
      <c r="VDU5" s="978"/>
      <c r="VDV5" s="978"/>
      <c r="VDW5" s="978"/>
      <c r="VDX5" s="978"/>
      <c r="VDY5" s="978"/>
      <c r="VDZ5" s="978"/>
      <c r="VEA5" s="978"/>
      <c r="VEB5" s="978"/>
      <c r="VEC5" s="978"/>
      <c r="VED5" s="978"/>
      <c r="VEE5" s="978"/>
      <c r="VEF5" s="978"/>
      <c r="VEG5" s="978"/>
      <c r="VEH5" s="978"/>
      <c r="VEI5" s="978"/>
      <c r="VEJ5" s="978"/>
      <c r="VEK5" s="978"/>
      <c r="VEL5" s="978"/>
      <c r="VEM5" s="978"/>
      <c r="VEN5" s="978"/>
      <c r="VEO5" s="978"/>
      <c r="VEP5" s="978"/>
      <c r="VEQ5" s="978"/>
      <c r="VER5" s="978"/>
      <c r="VES5" s="978"/>
      <c r="VET5" s="978"/>
      <c r="VEU5" s="978"/>
      <c r="VEV5" s="978"/>
      <c r="VEW5" s="978"/>
      <c r="VEX5" s="978"/>
      <c r="VEY5" s="978"/>
      <c r="VEZ5" s="978"/>
      <c r="VFA5" s="978"/>
      <c r="VFB5" s="978"/>
      <c r="VFC5" s="978"/>
      <c r="VFD5" s="978"/>
      <c r="VFE5" s="978"/>
      <c r="VFF5" s="978"/>
      <c r="VFG5" s="978"/>
      <c r="VFH5" s="978"/>
      <c r="VFI5" s="978"/>
      <c r="VFJ5" s="978"/>
      <c r="VFK5" s="978"/>
      <c r="VFL5" s="978"/>
      <c r="VFM5" s="978"/>
      <c r="VFN5" s="978"/>
      <c r="VFO5" s="978"/>
      <c r="VFP5" s="978"/>
      <c r="VFQ5" s="978"/>
      <c r="VFR5" s="978"/>
      <c r="VFS5" s="978"/>
      <c r="VFT5" s="978"/>
      <c r="VFU5" s="978"/>
      <c r="VFV5" s="978"/>
      <c r="VFW5" s="978"/>
      <c r="VFX5" s="978"/>
      <c r="VFY5" s="978"/>
      <c r="VFZ5" s="978"/>
      <c r="VGA5" s="978"/>
      <c r="VGB5" s="978"/>
      <c r="VGC5" s="978"/>
      <c r="VGD5" s="978"/>
      <c r="VGE5" s="978"/>
      <c r="VGF5" s="978"/>
      <c r="VGG5" s="978"/>
      <c r="VGH5" s="978"/>
      <c r="VGI5" s="978"/>
      <c r="VGJ5" s="978"/>
      <c r="VGK5" s="978"/>
      <c r="VGL5" s="978"/>
      <c r="VGM5" s="978"/>
      <c r="VGN5" s="978"/>
      <c r="VGO5" s="978"/>
      <c r="VGP5" s="978"/>
      <c r="VGQ5" s="978"/>
      <c r="VGR5" s="978"/>
      <c r="VGS5" s="978"/>
      <c r="VGT5" s="978"/>
      <c r="VGU5" s="978"/>
      <c r="VGV5" s="978"/>
      <c r="VGW5" s="978"/>
      <c r="VGX5" s="978"/>
      <c r="VGY5" s="978"/>
      <c r="VGZ5" s="978"/>
      <c r="VHA5" s="978"/>
      <c r="VHB5" s="978"/>
      <c r="VHC5" s="978"/>
      <c r="VHD5" s="978"/>
      <c r="VHE5" s="978"/>
      <c r="VHF5" s="978"/>
      <c r="VHG5" s="978"/>
      <c r="VHH5" s="978"/>
      <c r="VHI5" s="978"/>
      <c r="VHJ5" s="978"/>
      <c r="VHK5" s="978"/>
      <c r="VHL5" s="978"/>
      <c r="VHM5" s="978"/>
      <c r="VHN5" s="978"/>
      <c r="VHO5" s="978"/>
      <c r="VHP5" s="978"/>
      <c r="VHQ5" s="978"/>
      <c r="VHR5" s="978"/>
      <c r="VHS5" s="978"/>
      <c r="VHT5" s="978"/>
      <c r="VHU5" s="978"/>
      <c r="VHV5" s="978"/>
      <c r="VHW5" s="978"/>
      <c r="VHX5" s="978"/>
      <c r="VHY5" s="978"/>
      <c r="VHZ5" s="978"/>
      <c r="VIA5" s="978"/>
      <c r="VIB5" s="978"/>
      <c r="VIC5" s="978"/>
      <c r="VID5" s="978"/>
      <c r="VIE5" s="978"/>
      <c r="VIF5" s="978"/>
      <c r="VIG5" s="978"/>
      <c r="VIH5" s="978"/>
      <c r="VII5" s="978"/>
      <c r="VIJ5" s="978"/>
      <c r="VIK5" s="978"/>
      <c r="VIL5" s="978"/>
      <c r="VIM5" s="978"/>
      <c r="VIN5" s="978"/>
      <c r="VIO5" s="978"/>
      <c r="VIP5" s="978"/>
      <c r="VIQ5" s="978"/>
      <c r="VIR5" s="978"/>
      <c r="VIS5" s="978"/>
      <c r="VIT5" s="978"/>
      <c r="VIU5" s="978"/>
      <c r="VIV5" s="978"/>
      <c r="VIW5" s="978"/>
      <c r="VIX5" s="978"/>
      <c r="VIY5" s="978"/>
      <c r="VIZ5" s="978"/>
      <c r="VJA5" s="978"/>
      <c r="VJB5" s="978"/>
      <c r="VJC5" s="978"/>
      <c r="VJD5" s="978"/>
      <c r="VJE5" s="978"/>
      <c r="VJF5" s="978"/>
      <c r="VJG5" s="978"/>
      <c r="VJH5" s="978"/>
      <c r="VJI5" s="978"/>
      <c r="VJJ5" s="978"/>
      <c r="VJK5" s="978"/>
      <c r="VJL5" s="978"/>
      <c r="VJM5" s="978"/>
      <c r="VJN5" s="978"/>
      <c r="VJO5" s="978"/>
      <c r="VJP5" s="978"/>
      <c r="VJQ5" s="978"/>
      <c r="VJR5" s="978"/>
      <c r="VJS5" s="978"/>
      <c r="VJT5" s="978"/>
      <c r="VJU5" s="978"/>
      <c r="VJV5" s="978"/>
      <c r="VJW5" s="978"/>
      <c r="VJX5" s="978"/>
      <c r="VJY5" s="978"/>
      <c r="VJZ5" s="978"/>
      <c r="VKA5" s="978"/>
      <c r="VKB5" s="978"/>
      <c r="VKC5" s="978"/>
      <c r="VKD5" s="978"/>
      <c r="VKE5" s="978"/>
      <c r="VKF5" s="978"/>
      <c r="VKG5" s="978"/>
      <c r="VKH5" s="978"/>
      <c r="VKI5" s="978"/>
      <c r="VKJ5" s="978"/>
      <c r="VKK5" s="978"/>
      <c r="VKL5" s="978"/>
      <c r="VKM5" s="978"/>
      <c r="VKN5" s="978"/>
      <c r="VKO5" s="978"/>
      <c r="VKP5" s="978"/>
      <c r="VKQ5" s="978"/>
      <c r="VKR5" s="978"/>
      <c r="VKS5" s="978"/>
      <c r="VKT5" s="978"/>
      <c r="VKU5" s="978"/>
      <c r="VKV5" s="978"/>
      <c r="VKW5" s="978"/>
      <c r="VKX5" s="978"/>
      <c r="VKY5" s="978"/>
      <c r="VKZ5" s="978"/>
      <c r="VLA5" s="978"/>
      <c r="VLB5" s="978"/>
      <c r="VLC5" s="978"/>
      <c r="VLD5" s="978"/>
      <c r="VLE5" s="978"/>
      <c r="VLF5" s="978"/>
      <c r="VLG5" s="978"/>
      <c r="VLH5" s="978"/>
      <c r="VLI5" s="978"/>
      <c r="VLJ5" s="978"/>
      <c r="VLK5" s="978"/>
      <c r="VLL5" s="978"/>
      <c r="VLM5" s="978"/>
      <c r="VLN5" s="978"/>
      <c r="VLO5" s="978"/>
      <c r="VLP5" s="978"/>
      <c r="VLQ5" s="978"/>
      <c r="VLR5" s="978"/>
      <c r="VLS5" s="978"/>
      <c r="VLT5" s="978"/>
      <c r="VLU5" s="978"/>
      <c r="VLV5" s="978"/>
      <c r="VLW5" s="978"/>
      <c r="VLX5" s="978"/>
      <c r="VLY5" s="978"/>
      <c r="VLZ5" s="978"/>
      <c r="VMA5" s="978"/>
      <c r="VMB5" s="978"/>
      <c r="VMC5" s="978"/>
      <c r="VMD5" s="978"/>
      <c r="VME5" s="978"/>
      <c r="VMF5" s="978"/>
      <c r="VMG5" s="978"/>
      <c r="VMH5" s="978"/>
      <c r="VMI5" s="978"/>
      <c r="VMJ5" s="978"/>
      <c r="VMK5" s="978"/>
      <c r="VML5" s="978"/>
      <c r="VMM5" s="978"/>
      <c r="VMN5" s="978"/>
      <c r="VMO5" s="978"/>
      <c r="VMP5" s="978"/>
      <c r="VMQ5" s="978"/>
      <c r="VMR5" s="978"/>
      <c r="VMS5" s="978"/>
      <c r="VMT5" s="978"/>
      <c r="VMU5" s="978"/>
      <c r="VMV5" s="978"/>
      <c r="VMW5" s="978"/>
      <c r="VMX5" s="978"/>
      <c r="VMY5" s="978"/>
      <c r="VMZ5" s="978"/>
      <c r="VNA5" s="978"/>
      <c r="VNB5" s="978"/>
      <c r="VNC5" s="978"/>
      <c r="VND5" s="978"/>
      <c r="VNE5" s="978"/>
      <c r="VNF5" s="978"/>
      <c r="VNG5" s="978"/>
      <c r="VNH5" s="978"/>
      <c r="VNI5" s="978"/>
      <c r="VNJ5" s="978"/>
      <c r="VNK5" s="978"/>
      <c r="VNL5" s="978"/>
      <c r="VNM5" s="978"/>
      <c r="VNN5" s="978"/>
      <c r="VNO5" s="978"/>
      <c r="VNP5" s="978"/>
      <c r="VNQ5" s="978"/>
      <c r="VNR5" s="978"/>
      <c r="VNS5" s="978"/>
      <c r="VNT5" s="978"/>
      <c r="VNU5" s="978"/>
      <c r="VNV5" s="978"/>
      <c r="VNW5" s="978"/>
      <c r="VNX5" s="978"/>
      <c r="VNY5" s="978"/>
      <c r="VNZ5" s="978"/>
      <c r="VOA5" s="978"/>
      <c r="VOB5" s="978"/>
      <c r="VOC5" s="978"/>
      <c r="VOD5" s="978"/>
      <c r="VOE5" s="978"/>
      <c r="VOF5" s="978"/>
      <c r="VOG5" s="978"/>
      <c r="VOH5" s="978"/>
      <c r="VOI5" s="978"/>
      <c r="VOJ5" s="978"/>
      <c r="VOK5" s="978"/>
      <c r="VOL5" s="978"/>
      <c r="VOM5" s="978"/>
      <c r="VON5" s="978"/>
      <c r="VOO5" s="978"/>
      <c r="VOP5" s="978"/>
      <c r="VOQ5" s="978"/>
      <c r="VOR5" s="978"/>
      <c r="VOS5" s="978"/>
      <c r="VOT5" s="978"/>
      <c r="VOU5" s="978"/>
      <c r="VOV5" s="978"/>
      <c r="VOW5" s="978"/>
      <c r="VOX5" s="978"/>
      <c r="VOY5" s="978"/>
      <c r="VOZ5" s="978"/>
      <c r="VPA5" s="978"/>
      <c r="VPB5" s="978"/>
      <c r="VPC5" s="978"/>
      <c r="VPD5" s="978"/>
      <c r="VPE5" s="978"/>
      <c r="VPF5" s="978"/>
      <c r="VPG5" s="978"/>
      <c r="VPH5" s="978"/>
      <c r="VPI5" s="978"/>
      <c r="VPJ5" s="978"/>
      <c r="VPK5" s="978"/>
      <c r="VPL5" s="978"/>
      <c r="VPM5" s="978"/>
      <c r="VPN5" s="978"/>
      <c r="VPO5" s="978"/>
      <c r="VPP5" s="978"/>
      <c r="VPQ5" s="978"/>
      <c r="VPR5" s="978"/>
      <c r="VPS5" s="978"/>
      <c r="VPT5" s="978"/>
      <c r="VPU5" s="978"/>
      <c r="VPV5" s="978"/>
      <c r="VPW5" s="978"/>
      <c r="VPX5" s="978"/>
      <c r="VPY5" s="978"/>
      <c r="VPZ5" s="978"/>
      <c r="VQA5" s="978"/>
      <c r="VQB5" s="978"/>
      <c r="VQC5" s="978"/>
      <c r="VQD5" s="978"/>
      <c r="VQE5" s="978"/>
      <c r="VQF5" s="978"/>
      <c r="VQG5" s="978"/>
      <c r="VQH5" s="978"/>
      <c r="VQI5" s="978"/>
      <c r="VQJ5" s="978"/>
      <c r="VQK5" s="978"/>
      <c r="VQL5" s="978"/>
      <c r="VQM5" s="978"/>
      <c r="VQN5" s="978"/>
      <c r="VQO5" s="978"/>
      <c r="VQP5" s="978"/>
      <c r="VQQ5" s="978"/>
      <c r="VQR5" s="978"/>
      <c r="VQS5" s="978"/>
      <c r="VQT5" s="978"/>
      <c r="VQU5" s="978"/>
      <c r="VQV5" s="978"/>
      <c r="VQW5" s="978"/>
      <c r="VQX5" s="978"/>
      <c r="VQY5" s="978"/>
      <c r="VQZ5" s="978"/>
      <c r="VRA5" s="978"/>
      <c r="VRB5" s="978"/>
      <c r="VRC5" s="978"/>
      <c r="VRD5" s="978"/>
      <c r="VRE5" s="978"/>
      <c r="VRF5" s="978"/>
      <c r="VRG5" s="978"/>
      <c r="VRH5" s="978"/>
      <c r="VRI5" s="978"/>
      <c r="VRJ5" s="978"/>
      <c r="VRK5" s="978"/>
      <c r="VRL5" s="978"/>
      <c r="VRM5" s="978"/>
      <c r="VRN5" s="978"/>
      <c r="VRO5" s="978"/>
      <c r="VRP5" s="978"/>
      <c r="VRQ5" s="978"/>
      <c r="VRR5" s="978"/>
      <c r="VRS5" s="978"/>
      <c r="VRT5" s="978"/>
      <c r="VRU5" s="978"/>
      <c r="VRV5" s="978"/>
      <c r="VRW5" s="978"/>
      <c r="VRX5" s="978"/>
      <c r="VRY5" s="978"/>
      <c r="VRZ5" s="978"/>
      <c r="VSA5" s="978"/>
      <c r="VSB5" s="978"/>
      <c r="VSC5" s="978"/>
      <c r="VSD5" s="978"/>
      <c r="VSE5" s="978"/>
      <c r="VSF5" s="978"/>
      <c r="VSG5" s="978"/>
      <c r="VSH5" s="978"/>
      <c r="VSI5" s="978"/>
      <c r="VSJ5" s="978"/>
      <c r="VSK5" s="978"/>
      <c r="VSL5" s="978"/>
      <c r="VSM5" s="978"/>
      <c r="VSN5" s="978"/>
      <c r="VSO5" s="978"/>
      <c r="VSP5" s="978"/>
      <c r="VSQ5" s="978"/>
      <c r="VSR5" s="978"/>
      <c r="VSS5" s="978"/>
      <c r="VST5" s="978"/>
      <c r="VSU5" s="978"/>
      <c r="VSV5" s="978"/>
      <c r="VSW5" s="978"/>
      <c r="VSX5" s="978"/>
      <c r="VSY5" s="978"/>
      <c r="VSZ5" s="978"/>
      <c r="VTA5" s="978"/>
      <c r="VTB5" s="978"/>
      <c r="VTC5" s="978"/>
      <c r="VTD5" s="978"/>
      <c r="VTE5" s="978"/>
      <c r="VTF5" s="978"/>
      <c r="VTG5" s="978"/>
      <c r="VTH5" s="978"/>
      <c r="VTI5" s="978"/>
      <c r="VTJ5" s="978"/>
      <c r="VTK5" s="978"/>
      <c r="VTL5" s="978"/>
      <c r="VTM5" s="978"/>
      <c r="VTN5" s="978"/>
      <c r="VTO5" s="978"/>
      <c r="VTP5" s="978"/>
      <c r="VTQ5" s="978"/>
      <c r="VTR5" s="978"/>
      <c r="VTS5" s="978"/>
      <c r="VTT5" s="978"/>
      <c r="VTU5" s="978"/>
      <c r="VTV5" s="978"/>
      <c r="VTW5" s="978"/>
      <c r="VTX5" s="978"/>
      <c r="VTY5" s="978"/>
      <c r="VTZ5" s="978"/>
      <c r="VUA5" s="978"/>
      <c r="VUB5" s="978"/>
      <c r="VUC5" s="978"/>
      <c r="VUD5" s="978"/>
      <c r="VUE5" s="978"/>
      <c r="VUF5" s="978"/>
      <c r="VUG5" s="978"/>
      <c r="VUH5" s="978"/>
      <c r="VUI5" s="978"/>
      <c r="VUJ5" s="978"/>
      <c r="VUK5" s="978"/>
      <c r="VUL5" s="978"/>
      <c r="VUM5" s="978"/>
      <c r="VUN5" s="978"/>
      <c r="VUO5" s="978"/>
      <c r="VUP5" s="978"/>
      <c r="VUQ5" s="978"/>
      <c r="VUR5" s="978"/>
      <c r="VUS5" s="978"/>
      <c r="VUT5" s="978"/>
      <c r="VUU5" s="978"/>
      <c r="VUV5" s="978"/>
      <c r="VUW5" s="978"/>
      <c r="VUX5" s="978"/>
      <c r="VUY5" s="978"/>
      <c r="VUZ5" s="978"/>
      <c r="VVA5" s="978"/>
      <c r="VVB5" s="978"/>
      <c r="VVC5" s="978"/>
      <c r="VVD5" s="978"/>
      <c r="VVE5" s="978"/>
      <c r="VVF5" s="978"/>
      <c r="VVG5" s="978"/>
      <c r="VVH5" s="978"/>
      <c r="VVI5" s="978"/>
      <c r="VVJ5" s="978"/>
      <c r="VVK5" s="978"/>
      <c r="VVL5" s="978"/>
      <c r="VVM5" s="978"/>
      <c r="VVN5" s="978"/>
      <c r="VVO5" s="978"/>
      <c r="VVP5" s="978"/>
      <c r="VVQ5" s="978"/>
      <c r="VVR5" s="978"/>
      <c r="VVS5" s="978"/>
      <c r="VVT5" s="978"/>
      <c r="VVU5" s="978"/>
      <c r="VVV5" s="978"/>
      <c r="VVW5" s="978"/>
      <c r="VVX5" s="978"/>
      <c r="VVY5" s="978"/>
      <c r="VVZ5" s="978"/>
      <c r="VWA5" s="978"/>
      <c r="VWB5" s="978"/>
      <c r="VWC5" s="978"/>
      <c r="VWD5" s="978"/>
      <c r="VWE5" s="978"/>
      <c r="VWF5" s="978"/>
      <c r="VWG5" s="978"/>
      <c r="VWH5" s="978"/>
      <c r="VWI5" s="978"/>
      <c r="VWJ5" s="978"/>
      <c r="VWK5" s="978"/>
      <c r="VWL5" s="978"/>
      <c r="VWM5" s="978"/>
      <c r="VWN5" s="978"/>
      <c r="VWO5" s="978"/>
      <c r="VWP5" s="978"/>
      <c r="VWQ5" s="978"/>
      <c r="VWR5" s="978"/>
      <c r="VWS5" s="978"/>
      <c r="VWT5" s="978"/>
      <c r="VWU5" s="978"/>
      <c r="VWV5" s="978"/>
      <c r="VWW5" s="978"/>
      <c r="VWX5" s="978"/>
      <c r="VWY5" s="978"/>
      <c r="VWZ5" s="978"/>
      <c r="VXA5" s="978"/>
      <c r="VXB5" s="978"/>
      <c r="VXC5" s="978"/>
      <c r="VXD5" s="978"/>
      <c r="VXE5" s="978"/>
      <c r="VXF5" s="978"/>
      <c r="VXG5" s="978"/>
      <c r="VXH5" s="978"/>
      <c r="VXI5" s="978"/>
      <c r="VXJ5" s="978"/>
      <c r="VXK5" s="978"/>
      <c r="VXL5" s="978"/>
      <c r="VXM5" s="978"/>
      <c r="VXN5" s="978"/>
      <c r="VXO5" s="978"/>
      <c r="VXP5" s="978"/>
      <c r="VXQ5" s="978"/>
      <c r="VXR5" s="978"/>
      <c r="VXS5" s="978"/>
      <c r="VXT5" s="978"/>
      <c r="VXU5" s="978"/>
      <c r="VXV5" s="978"/>
      <c r="VXW5" s="978"/>
      <c r="VXX5" s="978"/>
      <c r="VXY5" s="978"/>
      <c r="VXZ5" s="978"/>
      <c r="VYA5" s="978"/>
      <c r="VYB5" s="978"/>
      <c r="VYC5" s="978"/>
      <c r="VYD5" s="978"/>
      <c r="VYE5" s="978"/>
      <c r="VYF5" s="978"/>
      <c r="VYG5" s="978"/>
      <c r="VYH5" s="978"/>
      <c r="VYI5" s="978"/>
      <c r="VYJ5" s="978"/>
      <c r="VYK5" s="978"/>
      <c r="VYL5" s="978"/>
      <c r="VYM5" s="978"/>
      <c r="VYN5" s="978"/>
      <c r="VYO5" s="978"/>
      <c r="VYP5" s="978"/>
      <c r="VYQ5" s="978"/>
      <c r="VYR5" s="978"/>
      <c r="VYS5" s="978"/>
      <c r="VYT5" s="978"/>
      <c r="VYU5" s="978"/>
      <c r="VYV5" s="978"/>
      <c r="VYW5" s="978"/>
      <c r="VYX5" s="978"/>
      <c r="VYY5" s="978"/>
      <c r="VYZ5" s="978"/>
      <c r="VZA5" s="978"/>
      <c r="VZB5" s="978"/>
      <c r="VZC5" s="978"/>
      <c r="VZD5" s="978"/>
      <c r="VZE5" s="978"/>
      <c r="VZF5" s="978"/>
      <c r="VZG5" s="978"/>
      <c r="VZH5" s="978"/>
      <c r="VZI5" s="978"/>
      <c r="VZJ5" s="978"/>
      <c r="VZK5" s="978"/>
      <c r="VZL5" s="978"/>
      <c r="VZM5" s="978"/>
      <c r="VZN5" s="978"/>
      <c r="VZO5" s="978"/>
      <c r="VZP5" s="978"/>
      <c r="VZQ5" s="978"/>
      <c r="VZR5" s="978"/>
      <c r="VZS5" s="978"/>
      <c r="VZT5" s="978"/>
      <c r="VZU5" s="978"/>
      <c r="VZV5" s="978"/>
      <c r="VZW5" s="978"/>
      <c r="VZX5" s="978"/>
      <c r="VZY5" s="978"/>
      <c r="VZZ5" s="978"/>
      <c r="WAA5" s="978"/>
      <c r="WAB5" s="978"/>
      <c r="WAC5" s="978"/>
      <c r="WAD5" s="978"/>
      <c r="WAE5" s="978"/>
      <c r="WAF5" s="978"/>
      <c r="WAG5" s="978"/>
      <c r="WAH5" s="978"/>
      <c r="WAI5" s="978"/>
      <c r="WAJ5" s="978"/>
      <c r="WAK5" s="978"/>
      <c r="WAL5" s="978"/>
      <c r="WAM5" s="978"/>
      <c r="WAN5" s="978"/>
      <c r="WAO5" s="978"/>
      <c r="WAP5" s="978"/>
      <c r="WAQ5" s="978"/>
      <c r="WAR5" s="978"/>
      <c r="WAS5" s="978"/>
      <c r="WAT5" s="978"/>
      <c r="WAU5" s="978"/>
      <c r="WAV5" s="978"/>
      <c r="WAW5" s="978"/>
      <c r="WAX5" s="978"/>
      <c r="WAY5" s="978"/>
      <c r="WAZ5" s="978"/>
      <c r="WBA5" s="978"/>
      <c r="WBB5" s="978"/>
      <c r="WBC5" s="978"/>
      <c r="WBD5" s="978"/>
      <c r="WBE5" s="978"/>
      <c r="WBF5" s="978"/>
      <c r="WBG5" s="978"/>
      <c r="WBH5" s="978"/>
      <c r="WBI5" s="978"/>
      <c r="WBJ5" s="978"/>
      <c r="WBK5" s="978"/>
      <c r="WBL5" s="978"/>
      <c r="WBM5" s="978"/>
      <c r="WBN5" s="978"/>
      <c r="WBO5" s="978"/>
      <c r="WBP5" s="978"/>
      <c r="WBQ5" s="978"/>
      <c r="WBR5" s="978"/>
      <c r="WBS5" s="978"/>
      <c r="WBT5" s="978"/>
      <c r="WBU5" s="978"/>
      <c r="WBV5" s="978"/>
      <c r="WBW5" s="978"/>
      <c r="WBX5" s="978"/>
      <c r="WBY5" s="978"/>
      <c r="WBZ5" s="978"/>
      <c r="WCA5" s="978"/>
      <c r="WCB5" s="978"/>
      <c r="WCC5" s="978"/>
      <c r="WCD5" s="978"/>
      <c r="WCE5" s="978"/>
      <c r="WCF5" s="978"/>
      <c r="WCG5" s="978"/>
      <c r="WCH5" s="978"/>
      <c r="WCI5" s="978"/>
      <c r="WCJ5" s="978"/>
      <c r="WCK5" s="978"/>
      <c r="WCL5" s="978"/>
      <c r="WCM5" s="978"/>
      <c r="WCN5" s="978"/>
      <c r="WCO5" s="978"/>
      <c r="WCP5" s="978"/>
      <c r="WCQ5" s="978"/>
      <c r="WCR5" s="978"/>
      <c r="WCS5" s="978"/>
      <c r="WCT5" s="978"/>
      <c r="WCU5" s="978"/>
      <c r="WCV5" s="978"/>
      <c r="WCW5" s="978"/>
      <c r="WCX5" s="978"/>
      <c r="WCY5" s="978"/>
      <c r="WCZ5" s="978"/>
      <c r="WDA5" s="978"/>
      <c r="WDB5" s="978"/>
      <c r="WDC5" s="978"/>
      <c r="WDD5" s="978"/>
      <c r="WDE5" s="978"/>
      <c r="WDF5" s="978"/>
      <c r="WDG5" s="978"/>
      <c r="WDH5" s="978"/>
      <c r="WDI5" s="978"/>
      <c r="WDJ5" s="978"/>
      <c r="WDK5" s="978"/>
      <c r="WDL5" s="978"/>
      <c r="WDM5" s="978"/>
      <c r="WDN5" s="978"/>
      <c r="WDO5" s="978"/>
      <c r="WDP5" s="978"/>
      <c r="WDQ5" s="978"/>
      <c r="WDR5" s="978"/>
      <c r="WDS5" s="978"/>
      <c r="WDT5" s="978"/>
      <c r="WDU5" s="978"/>
      <c r="WDV5" s="978"/>
      <c r="WDW5" s="978"/>
      <c r="WDX5" s="978"/>
      <c r="WDY5" s="978"/>
      <c r="WDZ5" s="978"/>
      <c r="WEA5" s="978"/>
      <c r="WEB5" s="978"/>
      <c r="WEC5" s="978"/>
      <c r="WED5" s="978"/>
      <c r="WEE5" s="978"/>
      <c r="WEF5" s="978"/>
      <c r="WEG5" s="978"/>
      <c r="WEH5" s="978"/>
      <c r="WEI5" s="978"/>
      <c r="WEJ5" s="978"/>
      <c r="WEK5" s="978"/>
      <c r="WEL5" s="978"/>
      <c r="WEM5" s="978"/>
      <c r="WEN5" s="978"/>
      <c r="WEO5" s="978"/>
      <c r="WEP5" s="978"/>
      <c r="WEQ5" s="978"/>
      <c r="WER5" s="978"/>
      <c r="WES5" s="978"/>
      <c r="WET5" s="978"/>
      <c r="WEU5" s="978"/>
      <c r="WEV5" s="978"/>
      <c r="WEW5" s="978"/>
      <c r="WEX5" s="978"/>
      <c r="WEY5" s="978"/>
      <c r="WEZ5" s="978"/>
      <c r="WFA5" s="978"/>
      <c r="WFB5" s="978"/>
      <c r="WFC5" s="978"/>
      <c r="WFD5" s="978"/>
      <c r="WFE5" s="978"/>
      <c r="WFF5" s="978"/>
      <c r="WFG5" s="978"/>
      <c r="WFH5" s="978"/>
      <c r="WFI5" s="978"/>
      <c r="WFJ5" s="978"/>
      <c r="WFK5" s="978"/>
      <c r="WFL5" s="978"/>
      <c r="WFM5" s="978"/>
      <c r="WFN5" s="978"/>
      <c r="WFO5" s="978"/>
      <c r="WFP5" s="978"/>
      <c r="WFQ5" s="978"/>
      <c r="WFR5" s="978"/>
      <c r="WFS5" s="978"/>
      <c r="WFT5" s="978"/>
      <c r="WFU5" s="978"/>
      <c r="WFV5" s="978"/>
      <c r="WFW5" s="978"/>
      <c r="WFX5" s="978"/>
      <c r="WFY5" s="978"/>
      <c r="WFZ5" s="978"/>
      <c r="WGA5" s="978"/>
      <c r="WGB5" s="978"/>
      <c r="WGC5" s="978"/>
      <c r="WGD5" s="978"/>
      <c r="WGE5" s="978"/>
      <c r="WGF5" s="978"/>
      <c r="WGG5" s="978"/>
      <c r="WGH5" s="978"/>
      <c r="WGI5" s="978"/>
      <c r="WGJ5" s="978"/>
      <c r="WGK5" s="978"/>
      <c r="WGL5" s="978"/>
      <c r="WGM5" s="978"/>
      <c r="WGN5" s="978"/>
      <c r="WGO5" s="978"/>
      <c r="WGP5" s="978"/>
      <c r="WGQ5" s="978"/>
      <c r="WGR5" s="978"/>
      <c r="WGS5" s="978"/>
      <c r="WGT5" s="978"/>
      <c r="WGU5" s="978"/>
      <c r="WGV5" s="978"/>
      <c r="WGW5" s="978"/>
      <c r="WGX5" s="978"/>
      <c r="WGY5" s="978"/>
      <c r="WGZ5" s="978"/>
      <c r="WHA5" s="978"/>
      <c r="WHB5" s="978"/>
      <c r="WHC5" s="978"/>
      <c r="WHD5" s="978"/>
      <c r="WHE5" s="978"/>
      <c r="WHF5" s="978"/>
      <c r="WHG5" s="978"/>
      <c r="WHH5" s="978"/>
      <c r="WHI5" s="978"/>
      <c r="WHJ5" s="978"/>
      <c r="WHK5" s="978"/>
      <c r="WHL5" s="978"/>
      <c r="WHM5" s="978"/>
      <c r="WHN5" s="978"/>
      <c r="WHO5" s="978"/>
      <c r="WHP5" s="978"/>
      <c r="WHQ5" s="978"/>
      <c r="WHR5" s="978"/>
      <c r="WHS5" s="978"/>
      <c r="WHT5" s="978"/>
      <c r="WHU5" s="978"/>
      <c r="WHV5" s="978"/>
      <c r="WHW5" s="978"/>
      <c r="WHX5" s="978"/>
      <c r="WHY5" s="978"/>
      <c r="WHZ5" s="978"/>
      <c r="WIA5" s="978"/>
      <c r="WIB5" s="978"/>
      <c r="WIC5" s="978"/>
      <c r="WID5" s="978"/>
      <c r="WIE5" s="978"/>
      <c r="WIF5" s="978"/>
      <c r="WIG5" s="978"/>
      <c r="WIH5" s="978"/>
      <c r="WII5" s="978"/>
      <c r="WIJ5" s="978"/>
      <c r="WIK5" s="978"/>
      <c r="WIL5" s="978"/>
      <c r="WIM5" s="978"/>
      <c r="WIN5" s="978"/>
      <c r="WIO5" s="978"/>
      <c r="WIP5" s="978"/>
      <c r="WIQ5" s="978"/>
      <c r="WIR5" s="978"/>
      <c r="WIS5" s="978"/>
      <c r="WIT5" s="978"/>
      <c r="WIU5" s="978"/>
      <c r="WIV5" s="978"/>
      <c r="WIW5" s="978"/>
      <c r="WIX5" s="978"/>
      <c r="WIY5" s="978"/>
      <c r="WIZ5" s="978"/>
      <c r="WJA5" s="978"/>
      <c r="WJB5" s="978"/>
      <c r="WJC5" s="978"/>
      <c r="WJD5" s="978"/>
      <c r="WJE5" s="978"/>
      <c r="WJF5" s="978"/>
      <c r="WJG5" s="978"/>
      <c r="WJH5" s="978"/>
      <c r="WJI5" s="978"/>
      <c r="WJJ5" s="978"/>
      <c r="WJK5" s="978"/>
      <c r="WJL5" s="978"/>
      <c r="WJM5" s="978"/>
      <c r="WJN5" s="978"/>
      <c r="WJO5" s="978"/>
      <c r="WJP5" s="978"/>
      <c r="WJQ5" s="978"/>
      <c r="WJR5" s="978"/>
      <c r="WJS5" s="978"/>
      <c r="WJT5" s="978"/>
      <c r="WJU5" s="978"/>
      <c r="WJV5" s="978"/>
      <c r="WJW5" s="978"/>
      <c r="WJX5" s="978"/>
      <c r="WJY5" s="978"/>
      <c r="WJZ5" s="978"/>
      <c r="WKA5" s="978"/>
      <c r="WKB5" s="978"/>
      <c r="WKC5" s="978"/>
      <c r="WKD5" s="978"/>
      <c r="WKE5" s="978"/>
      <c r="WKF5" s="978"/>
      <c r="WKG5" s="978"/>
      <c r="WKH5" s="978"/>
      <c r="WKI5" s="978"/>
      <c r="WKJ5" s="978"/>
      <c r="WKK5" s="978"/>
      <c r="WKL5" s="978"/>
      <c r="WKM5" s="978"/>
      <c r="WKN5" s="978"/>
      <c r="WKO5" s="978"/>
      <c r="WKP5" s="978"/>
      <c r="WKQ5" s="978"/>
      <c r="WKR5" s="978"/>
      <c r="WKS5" s="978"/>
      <c r="WKT5" s="978"/>
      <c r="WKU5" s="978"/>
      <c r="WKV5" s="978"/>
      <c r="WKW5" s="978"/>
      <c r="WKX5" s="978"/>
      <c r="WKY5" s="978"/>
      <c r="WKZ5" s="978"/>
      <c r="WLA5" s="978"/>
      <c r="WLB5" s="978"/>
      <c r="WLC5" s="978"/>
      <c r="WLD5" s="978"/>
      <c r="WLE5" s="978"/>
      <c r="WLF5" s="978"/>
      <c r="WLG5" s="978"/>
      <c r="WLH5" s="978"/>
      <c r="WLI5" s="978"/>
      <c r="WLJ5" s="978"/>
      <c r="WLK5" s="978"/>
      <c r="WLL5" s="978"/>
      <c r="WLM5" s="978"/>
      <c r="WLN5" s="978"/>
      <c r="WLO5" s="978"/>
      <c r="WLP5" s="978"/>
      <c r="WLQ5" s="978"/>
      <c r="WLR5" s="978"/>
      <c r="WLS5" s="978"/>
      <c r="WLT5" s="978"/>
      <c r="WLU5" s="978"/>
      <c r="WLV5" s="978"/>
      <c r="WLW5" s="978"/>
      <c r="WLX5" s="978"/>
      <c r="WLY5" s="978"/>
      <c r="WLZ5" s="978"/>
      <c r="WMA5" s="978"/>
      <c r="WMB5" s="978"/>
      <c r="WMC5" s="978"/>
      <c r="WMD5" s="978"/>
      <c r="WME5" s="978"/>
      <c r="WMF5" s="978"/>
      <c r="WMG5" s="978"/>
      <c r="WMH5" s="978"/>
      <c r="WMI5" s="978"/>
      <c r="WMJ5" s="978"/>
      <c r="WMK5" s="978"/>
      <c r="WML5" s="978"/>
      <c r="WMM5" s="978"/>
      <c r="WMN5" s="978"/>
      <c r="WMO5" s="978"/>
      <c r="WMP5" s="978"/>
      <c r="WMQ5" s="978"/>
      <c r="WMR5" s="978"/>
      <c r="WMS5" s="978"/>
      <c r="WMT5" s="978"/>
      <c r="WMU5" s="978"/>
      <c r="WMV5" s="978"/>
      <c r="WMW5" s="978"/>
      <c r="WMX5" s="978"/>
      <c r="WMY5" s="978"/>
      <c r="WMZ5" s="978"/>
      <c r="WNA5" s="978"/>
      <c r="WNB5" s="978"/>
      <c r="WNC5" s="978"/>
      <c r="WND5" s="978"/>
      <c r="WNE5" s="978"/>
      <c r="WNF5" s="978"/>
      <c r="WNG5" s="978"/>
      <c r="WNH5" s="978"/>
      <c r="WNI5" s="978"/>
      <c r="WNJ5" s="978"/>
      <c r="WNK5" s="978"/>
      <c r="WNL5" s="978"/>
      <c r="WNM5" s="978"/>
      <c r="WNN5" s="978"/>
      <c r="WNO5" s="978"/>
      <c r="WNP5" s="978"/>
      <c r="WNQ5" s="978"/>
      <c r="WNR5" s="978"/>
      <c r="WNS5" s="978"/>
      <c r="WNT5" s="978"/>
      <c r="WNU5" s="978"/>
      <c r="WNV5" s="978"/>
      <c r="WNW5" s="978"/>
      <c r="WNX5" s="978"/>
      <c r="WNY5" s="978"/>
      <c r="WNZ5" s="978"/>
      <c r="WOA5" s="978"/>
      <c r="WOB5" s="978"/>
      <c r="WOC5" s="978"/>
      <c r="WOD5" s="978"/>
      <c r="WOE5" s="978"/>
      <c r="WOF5" s="978"/>
      <c r="WOG5" s="978"/>
      <c r="WOH5" s="978"/>
      <c r="WOI5" s="978"/>
      <c r="WOJ5" s="978"/>
      <c r="WOK5" s="978"/>
      <c r="WOL5" s="978"/>
      <c r="WOM5" s="978"/>
      <c r="WON5" s="978"/>
      <c r="WOO5" s="978"/>
      <c r="WOP5" s="978"/>
      <c r="WOQ5" s="978"/>
      <c r="WOR5" s="978"/>
      <c r="WOS5" s="978"/>
      <c r="WOT5" s="978"/>
      <c r="WOU5" s="978"/>
      <c r="WOV5" s="978"/>
      <c r="WOW5" s="978"/>
      <c r="WOX5" s="978"/>
      <c r="WOY5" s="978"/>
      <c r="WOZ5" s="978"/>
      <c r="WPA5" s="978"/>
      <c r="WPB5" s="978"/>
      <c r="WPC5" s="978"/>
      <c r="WPD5" s="978"/>
      <c r="WPE5" s="978"/>
      <c r="WPF5" s="978"/>
      <c r="WPG5" s="978"/>
      <c r="WPH5" s="978"/>
      <c r="WPI5" s="978"/>
      <c r="WPJ5" s="978"/>
      <c r="WPK5" s="978"/>
      <c r="WPL5" s="978"/>
      <c r="WPM5" s="978"/>
      <c r="WPN5" s="978"/>
      <c r="WPO5" s="978"/>
      <c r="WPP5" s="978"/>
      <c r="WPQ5" s="978"/>
      <c r="WPR5" s="978"/>
      <c r="WPS5" s="978"/>
      <c r="WPT5" s="978"/>
      <c r="WPU5" s="978"/>
      <c r="WPV5" s="978"/>
      <c r="WPW5" s="978"/>
      <c r="WPX5" s="978"/>
      <c r="WPY5" s="978"/>
      <c r="WPZ5" s="978"/>
      <c r="WQA5" s="978"/>
      <c r="WQB5" s="978"/>
      <c r="WQC5" s="978"/>
      <c r="WQD5" s="978"/>
      <c r="WQE5" s="978"/>
      <c r="WQF5" s="978"/>
      <c r="WQG5" s="978"/>
      <c r="WQH5" s="978"/>
      <c r="WQI5" s="978"/>
      <c r="WQJ5" s="978"/>
      <c r="WQK5" s="978"/>
      <c r="WQL5" s="978"/>
      <c r="WQM5" s="978"/>
      <c r="WQN5" s="978"/>
      <c r="WQO5" s="978"/>
      <c r="WQP5" s="978"/>
      <c r="WQQ5" s="978"/>
      <c r="WQR5" s="978"/>
      <c r="WQS5" s="978"/>
      <c r="WQT5" s="978"/>
      <c r="WQU5" s="978"/>
      <c r="WQV5" s="978"/>
      <c r="WQW5" s="978"/>
      <c r="WQX5" s="978"/>
      <c r="WQY5" s="978"/>
      <c r="WQZ5" s="978"/>
      <c r="WRA5" s="978"/>
      <c r="WRB5" s="978"/>
      <c r="WRC5" s="978"/>
      <c r="WRD5" s="978"/>
      <c r="WRE5" s="978"/>
      <c r="WRF5" s="978"/>
      <c r="WRG5" s="978"/>
      <c r="WRH5" s="978"/>
      <c r="WRI5" s="978"/>
      <c r="WRJ5" s="978"/>
      <c r="WRK5" s="978"/>
      <c r="WRL5" s="978"/>
      <c r="WRM5" s="978"/>
      <c r="WRN5" s="978"/>
      <c r="WRO5" s="978"/>
      <c r="WRP5" s="978"/>
      <c r="WRQ5" s="978"/>
      <c r="WRR5" s="978"/>
      <c r="WRS5" s="978"/>
      <c r="WRT5" s="978"/>
      <c r="WRU5" s="978"/>
      <c r="WRV5" s="978"/>
      <c r="WRW5" s="978"/>
      <c r="WRX5" s="978"/>
      <c r="WRY5" s="978"/>
      <c r="WRZ5" s="978"/>
      <c r="WSA5" s="978"/>
      <c r="WSB5" s="978"/>
      <c r="WSC5" s="978"/>
      <c r="WSD5" s="978"/>
      <c r="WSE5" s="978"/>
      <c r="WSF5" s="978"/>
      <c r="WSG5" s="978"/>
      <c r="WSH5" s="978"/>
      <c r="WSI5" s="978"/>
      <c r="WSJ5" s="978"/>
      <c r="WSK5" s="978"/>
      <c r="WSL5" s="978"/>
      <c r="WSM5" s="978"/>
      <c r="WSN5" s="978"/>
      <c r="WSO5" s="978"/>
      <c r="WSP5" s="978"/>
      <c r="WSQ5" s="978"/>
      <c r="WSR5" s="978"/>
      <c r="WSS5" s="978"/>
      <c r="WST5" s="978"/>
      <c r="WSU5" s="978"/>
      <c r="WSV5" s="978"/>
      <c r="WSW5" s="978"/>
      <c r="WSX5" s="978"/>
      <c r="WSY5" s="978"/>
      <c r="WSZ5" s="978"/>
      <c r="WTA5" s="978"/>
      <c r="WTB5" s="978"/>
      <c r="WTC5" s="978"/>
      <c r="WTD5" s="978"/>
      <c r="WTE5" s="978"/>
      <c r="WTF5" s="978"/>
      <c r="WTG5" s="978"/>
      <c r="WTH5" s="978"/>
      <c r="WTI5" s="978"/>
      <c r="WTJ5" s="978"/>
      <c r="WTK5" s="978"/>
      <c r="WTL5" s="978"/>
      <c r="WTM5" s="978"/>
      <c r="WTN5" s="978"/>
      <c r="WTO5" s="978"/>
      <c r="WTP5" s="978"/>
      <c r="WTQ5" s="978"/>
      <c r="WTR5" s="978"/>
      <c r="WTS5" s="978"/>
      <c r="WTT5" s="978"/>
      <c r="WTU5" s="978"/>
      <c r="WTV5" s="978"/>
      <c r="WTW5" s="978"/>
      <c r="WTX5" s="978"/>
      <c r="WTY5" s="978"/>
      <c r="WTZ5" s="978"/>
      <c r="WUA5" s="978"/>
      <c r="WUB5" s="978"/>
      <c r="WUC5" s="978"/>
      <c r="WUD5" s="978"/>
      <c r="WUE5" s="978"/>
      <c r="WUF5" s="978"/>
      <c r="WUG5" s="978"/>
      <c r="WUH5" s="978"/>
      <c r="WUI5" s="978"/>
      <c r="WUJ5" s="978"/>
      <c r="WUK5" s="978"/>
      <c r="WUL5" s="978"/>
      <c r="WUM5" s="978"/>
      <c r="WUN5" s="978"/>
      <c r="WUO5" s="978"/>
      <c r="WUP5" s="978"/>
      <c r="WUQ5" s="978"/>
      <c r="WUR5" s="978"/>
      <c r="WUS5" s="978"/>
      <c r="WUT5" s="978"/>
      <c r="WUU5" s="978"/>
      <c r="WUV5" s="978"/>
      <c r="WUW5" s="978"/>
      <c r="WUX5" s="978"/>
      <c r="WUY5" s="978"/>
      <c r="WUZ5" s="978"/>
      <c r="WVA5" s="978"/>
      <c r="WVB5" s="978"/>
      <c r="WVC5" s="978"/>
      <c r="WVD5" s="978"/>
      <c r="WVE5" s="978"/>
      <c r="WVF5" s="978"/>
      <c r="WVG5" s="978"/>
      <c r="WVH5" s="978"/>
      <c r="WVI5" s="978"/>
      <c r="WVJ5" s="978"/>
      <c r="WVK5" s="978"/>
      <c r="WVL5" s="978"/>
      <c r="WVM5" s="978"/>
      <c r="WVN5" s="978"/>
      <c r="WVO5" s="978"/>
      <c r="WVP5" s="978"/>
      <c r="WVQ5" s="978"/>
      <c r="WVR5" s="978"/>
      <c r="WVS5" s="978"/>
      <c r="WVT5" s="978"/>
      <c r="WVU5" s="978"/>
      <c r="WVV5" s="978"/>
      <c r="WVW5" s="978"/>
      <c r="WVX5" s="978"/>
      <c r="WVY5" s="978"/>
      <c r="WVZ5" s="978"/>
      <c r="WWA5" s="978"/>
      <c r="WWB5" s="978"/>
      <c r="WWC5" s="978"/>
      <c r="WWD5" s="978"/>
      <c r="WWE5" s="978"/>
      <c r="WWF5" s="978"/>
      <c r="WWG5" s="978"/>
      <c r="WWH5" s="978"/>
      <c r="WWI5" s="978"/>
      <c r="WWJ5" s="978"/>
      <c r="WWK5" s="978"/>
      <c r="WWL5" s="978"/>
      <c r="WWM5" s="978"/>
      <c r="WWN5" s="978"/>
      <c r="WWO5" s="978"/>
      <c r="WWP5" s="978"/>
      <c r="WWQ5" s="978"/>
      <c r="WWR5" s="978"/>
      <c r="WWS5" s="978"/>
      <c r="WWT5" s="978"/>
      <c r="WWU5" s="978"/>
      <c r="WWV5" s="978"/>
      <c r="WWW5" s="978"/>
      <c r="WWX5" s="978"/>
      <c r="WWY5" s="978"/>
      <c r="WWZ5" s="978"/>
      <c r="WXA5" s="978"/>
      <c r="WXB5" s="978"/>
      <c r="WXC5" s="978"/>
      <c r="WXD5" s="978"/>
      <c r="WXE5" s="978"/>
      <c r="WXF5" s="978"/>
      <c r="WXG5" s="978"/>
      <c r="WXH5" s="978"/>
      <c r="WXI5" s="978"/>
      <c r="WXJ5" s="978"/>
      <c r="WXK5" s="978"/>
      <c r="WXL5" s="978"/>
      <c r="WXM5" s="978"/>
      <c r="WXN5" s="978"/>
      <c r="WXO5" s="978"/>
      <c r="WXP5" s="978"/>
      <c r="WXQ5" s="978"/>
      <c r="WXR5" s="978"/>
      <c r="WXS5" s="978"/>
      <c r="WXT5" s="978"/>
      <c r="WXU5" s="978"/>
      <c r="WXV5" s="978"/>
      <c r="WXW5" s="978"/>
      <c r="WXX5" s="978"/>
      <c r="WXY5" s="978"/>
      <c r="WXZ5" s="978"/>
      <c r="WYA5" s="978"/>
      <c r="WYB5" s="978"/>
      <c r="WYC5" s="978"/>
      <c r="WYD5" s="978"/>
      <c r="WYE5" s="978"/>
      <c r="WYF5" s="978"/>
      <c r="WYG5" s="978"/>
      <c r="WYH5" s="978"/>
      <c r="WYI5" s="978"/>
      <c r="WYJ5" s="978"/>
      <c r="WYK5" s="978"/>
      <c r="WYL5" s="978"/>
      <c r="WYM5" s="978"/>
      <c r="WYN5" s="978"/>
      <c r="WYO5" s="978"/>
      <c r="WYP5" s="978"/>
      <c r="WYQ5" s="978"/>
      <c r="WYR5" s="978"/>
      <c r="WYS5" s="978"/>
      <c r="WYT5" s="978"/>
      <c r="WYU5" s="978"/>
      <c r="WYV5" s="978"/>
      <c r="WYW5" s="978"/>
      <c r="WYX5" s="978"/>
      <c r="WYY5" s="978"/>
      <c r="WYZ5" s="978"/>
      <c r="WZA5" s="978"/>
      <c r="WZB5" s="978"/>
      <c r="WZC5" s="978"/>
      <c r="WZD5" s="978"/>
      <c r="WZE5" s="978"/>
      <c r="WZF5" s="978"/>
      <c r="WZG5" s="978"/>
      <c r="WZH5" s="978"/>
      <c r="WZI5" s="978"/>
      <c r="WZJ5" s="978"/>
      <c r="WZK5" s="978"/>
      <c r="WZL5" s="978"/>
      <c r="WZM5" s="978"/>
      <c r="WZN5" s="978"/>
      <c r="WZO5" s="978"/>
      <c r="WZP5" s="978"/>
      <c r="WZQ5" s="978"/>
      <c r="WZR5" s="978"/>
      <c r="WZS5" s="978"/>
      <c r="WZT5" s="978"/>
      <c r="WZU5" s="978"/>
      <c r="WZV5" s="978"/>
      <c r="WZW5" s="978"/>
      <c r="WZX5" s="978"/>
      <c r="WZY5" s="978"/>
      <c r="WZZ5" s="978"/>
      <c r="XAA5" s="978"/>
      <c r="XAB5" s="978"/>
      <c r="XAC5" s="978"/>
      <c r="XAD5" s="978"/>
      <c r="XAE5" s="978"/>
      <c r="XAF5" s="978"/>
      <c r="XAG5" s="978"/>
      <c r="XAH5" s="978"/>
      <c r="XAI5" s="978"/>
      <c r="XAJ5" s="978"/>
      <c r="XAK5" s="978"/>
      <c r="XAL5" s="978"/>
      <c r="XAM5" s="978"/>
      <c r="XAN5" s="978"/>
      <c r="XAO5" s="978"/>
      <c r="XAP5" s="978"/>
      <c r="XAQ5" s="978"/>
      <c r="XAR5" s="978"/>
      <c r="XAS5" s="978"/>
      <c r="XAT5" s="978"/>
      <c r="XAU5" s="978"/>
      <c r="XAV5" s="978"/>
      <c r="XAW5" s="978"/>
      <c r="XAX5" s="978"/>
      <c r="XAY5" s="978"/>
      <c r="XAZ5" s="978"/>
      <c r="XBA5" s="978"/>
      <c r="XBB5" s="978"/>
      <c r="XBC5" s="978"/>
      <c r="XBD5" s="978"/>
      <c r="XBE5" s="978"/>
      <c r="XBF5" s="978"/>
      <c r="XBG5" s="978"/>
      <c r="XBH5" s="978"/>
      <c r="XBI5" s="978"/>
      <c r="XBJ5" s="978"/>
      <c r="XBK5" s="978"/>
      <c r="XBL5" s="978"/>
      <c r="XBM5" s="978"/>
      <c r="XBN5" s="978"/>
      <c r="XBO5" s="978"/>
      <c r="XBP5" s="978"/>
      <c r="XBQ5" s="978"/>
      <c r="XBR5" s="978"/>
      <c r="XBS5" s="978"/>
      <c r="XBT5" s="978"/>
      <c r="XBU5" s="978"/>
      <c r="XBV5" s="978"/>
      <c r="XBW5" s="978"/>
      <c r="XBX5" s="978"/>
      <c r="XBY5" s="978"/>
      <c r="XBZ5" s="978"/>
      <c r="XCA5" s="978"/>
      <c r="XCB5" s="978"/>
      <c r="XCC5" s="978"/>
      <c r="XCD5" s="978"/>
      <c r="XCE5" s="978"/>
      <c r="XCF5" s="978"/>
      <c r="XCG5" s="978"/>
      <c r="XCH5" s="978"/>
      <c r="XCI5" s="978"/>
      <c r="XCJ5" s="978"/>
      <c r="XCK5" s="978"/>
      <c r="XCL5" s="978"/>
      <c r="XCM5" s="978"/>
      <c r="XCN5" s="978"/>
      <c r="XCO5" s="978"/>
      <c r="XCP5" s="978"/>
      <c r="XCQ5" s="978"/>
      <c r="XCR5" s="978"/>
      <c r="XCS5" s="978"/>
      <c r="XCT5" s="978"/>
      <c r="XCU5" s="978"/>
      <c r="XCV5" s="978"/>
      <c r="XCW5" s="978"/>
      <c r="XCX5" s="978"/>
      <c r="XCY5" s="978"/>
      <c r="XCZ5" s="978"/>
      <c r="XDA5" s="978"/>
      <c r="XDB5" s="978"/>
      <c r="XDC5" s="978"/>
      <c r="XDD5" s="978"/>
      <c r="XDE5" s="978"/>
      <c r="XDF5" s="978"/>
      <c r="XDG5" s="978"/>
      <c r="XDH5" s="978"/>
      <c r="XDI5" s="978"/>
      <c r="XDJ5" s="978"/>
      <c r="XDK5" s="978"/>
      <c r="XDL5" s="978"/>
      <c r="XDM5" s="978"/>
      <c r="XDN5" s="978"/>
      <c r="XDO5" s="978"/>
      <c r="XDP5" s="978"/>
      <c r="XDQ5" s="978"/>
      <c r="XDR5" s="978"/>
      <c r="XDS5" s="978"/>
      <c r="XDT5" s="978"/>
      <c r="XDU5" s="978"/>
      <c r="XDV5" s="978"/>
      <c r="XDW5" s="978"/>
      <c r="XDX5" s="978"/>
      <c r="XDY5" s="978"/>
      <c r="XDZ5" s="978"/>
      <c r="XEA5" s="978"/>
      <c r="XEB5" s="978"/>
      <c r="XEC5" s="978"/>
      <c r="XED5" s="978"/>
      <c r="XEE5" s="978"/>
      <c r="XEF5" s="978"/>
      <c r="XEG5" s="978"/>
      <c r="XEH5" s="978"/>
      <c r="XEI5" s="978"/>
      <c r="XEJ5" s="978"/>
      <c r="XEK5" s="978"/>
      <c r="XEL5" s="978"/>
      <c r="XEM5" s="978"/>
      <c r="XEN5" s="978"/>
      <c r="XEO5" s="978"/>
      <c r="XEP5" s="978"/>
      <c r="XEQ5" s="978"/>
      <c r="XER5" s="978"/>
      <c r="XES5" s="978"/>
      <c r="XET5" s="978"/>
      <c r="XEU5" s="978"/>
      <c r="XEV5" s="978"/>
      <c r="XEW5" s="978"/>
      <c r="XEX5" s="978"/>
      <c r="XEY5" s="978"/>
      <c r="XEZ5" s="978"/>
      <c r="XFA5" s="978"/>
      <c r="XFB5" s="978"/>
      <c r="XFC5" s="978"/>
      <c r="XFD5" s="978"/>
    </row>
    <row r="6" spans="2:16384">
      <c r="B6" s="979" t="s">
        <v>418</v>
      </c>
      <c r="C6" s="980"/>
      <c r="D6" s="270"/>
      <c r="E6" s="271" t="s">
        <v>160</v>
      </c>
      <c r="F6" s="981">
        <f>'Proforma Construction'!F50</f>
        <v>3.6999999999999998E-2</v>
      </c>
      <c r="G6" s="982"/>
    </row>
    <row r="7" spans="2:16384" ht="13.2" customHeight="1">
      <c r="B7" s="983" t="s">
        <v>419</v>
      </c>
      <c r="C7" s="984"/>
      <c r="D7" s="270"/>
      <c r="E7" s="271" t="s">
        <v>42</v>
      </c>
      <c r="F7" s="985">
        <f>'Proforma Construction'!G50</f>
        <v>40</v>
      </c>
      <c r="G7" s="986"/>
      <c r="I7"/>
      <c r="J7"/>
      <c r="K7"/>
      <c r="L7"/>
      <c r="M7"/>
      <c r="N7"/>
    </row>
    <row r="8" spans="2:16384">
      <c r="B8" s="983" t="s">
        <v>420</v>
      </c>
      <c r="C8" s="984"/>
      <c r="D8" s="270"/>
      <c r="E8" s="271" t="s">
        <v>413</v>
      </c>
      <c r="F8" s="987">
        <f>'Proforma Construction'!H50</f>
        <v>1.1026864498003595</v>
      </c>
      <c r="G8" s="982"/>
      <c r="I8"/>
      <c r="J8"/>
      <c r="K8"/>
      <c r="L8"/>
      <c r="M8"/>
      <c r="N8"/>
    </row>
    <row r="9" spans="2:16384">
      <c r="B9" s="983">
        <f>Sponsorship!B11</f>
        <v>0</v>
      </c>
      <c r="C9" s="984"/>
      <c r="D9" s="270"/>
      <c r="E9" s="271" t="s">
        <v>421</v>
      </c>
      <c r="F9" s="988">
        <f>'Proforma Construction'!I50</f>
        <v>4415151.7105170228</v>
      </c>
      <c r="G9" s="989"/>
      <c r="I9"/>
      <c r="J9"/>
      <c r="K9"/>
      <c r="L9"/>
      <c r="M9"/>
      <c r="N9"/>
    </row>
    <row r="10" spans="2:16384">
      <c r="B10" s="983">
        <f>Sponsorship!B12</f>
        <v>0</v>
      </c>
      <c r="C10" s="984"/>
      <c r="D10" s="270"/>
      <c r="E10" s="271" t="s">
        <v>196</v>
      </c>
      <c r="F10" s="988">
        <f>'Proforma Construction'!I62</f>
        <v>55000</v>
      </c>
      <c r="G10" s="989"/>
      <c r="I10"/>
      <c r="J10"/>
      <c r="K10"/>
      <c r="L10"/>
      <c r="M10"/>
      <c r="N10"/>
    </row>
    <row r="11" spans="2:16384">
      <c r="B11" s="983"/>
      <c r="C11" s="984"/>
      <c r="D11" s="270"/>
      <c r="E11" s="271" t="s">
        <v>61</v>
      </c>
      <c r="F11" s="988">
        <f>'Proforma Construction'!I63</f>
        <v>4786875</v>
      </c>
      <c r="G11" s="989"/>
      <c r="I11"/>
      <c r="J11"/>
      <c r="K11"/>
      <c r="L11"/>
      <c r="M11"/>
      <c r="N11"/>
    </row>
    <row r="12" spans="2:16384" ht="40.5" customHeight="1">
      <c r="B12" s="990" t="s">
        <v>422</v>
      </c>
      <c r="C12" s="991"/>
      <c r="D12" s="270"/>
      <c r="E12" s="274" t="s">
        <v>184</v>
      </c>
      <c r="F12" s="992">
        <f>'Proforma Construction'!I65</f>
        <v>97341875</v>
      </c>
      <c r="G12" s="993"/>
      <c r="I12"/>
      <c r="J12"/>
      <c r="K12"/>
      <c r="L12"/>
      <c r="M12"/>
      <c r="N12"/>
    </row>
    <row r="13" spans="2:16384" ht="24.6" customHeight="1">
      <c r="B13" s="270"/>
      <c r="C13" s="270"/>
      <c r="D13" s="270"/>
      <c r="E13" s="270"/>
      <c r="F13" s="270"/>
      <c r="G13" s="270"/>
      <c r="I13"/>
      <c r="J13"/>
      <c r="K13"/>
      <c r="L13"/>
      <c r="M13"/>
      <c r="N13"/>
    </row>
    <row r="14" spans="2:16384">
      <c r="B14" s="958" t="s">
        <v>186</v>
      </c>
      <c r="C14" s="959"/>
      <c r="D14" s="960"/>
      <c r="E14" s="961" t="s">
        <v>189</v>
      </c>
      <c r="F14" s="959"/>
      <c r="G14" s="962"/>
      <c r="I14"/>
      <c r="J14"/>
      <c r="K14"/>
      <c r="L14"/>
      <c r="M14"/>
      <c r="N14"/>
    </row>
    <row r="15" spans="2:16384" ht="24" customHeight="1">
      <c r="B15" s="275" t="s">
        <v>423</v>
      </c>
      <c r="C15" s="276">
        <f>'Proforma Construction'!C71</f>
        <v>92500000</v>
      </c>
      <c r="D15" s="273">
        <f>'Proforma Construction'!D71</f>
        <v>0.96735242488178041</v>
      </c>
      <c r="E15" s="277" t="str">
        <f>'Proforma Construction'!E71</f>
        <v>Land</v>
      </c>
      <c r="F15" s="276">
        <f>'Proforma Construction'!G71</f>
        <v>10902956</v>
      </c>
      <c r="G15" s="278">
        <f>'Proforma Construction'!I71</f>
        <v>0.11402163162139844</v>
      </c>
      <c r="I15"/>
      <c r="J15"/>
      <c r="K15"/>
      <c r="L15"/>
      <c r="M15"/>
      <c r="N15"/>
    </row>
    <row r="16" spans="2:16384">
      <c r="B16" s="275" t="s">
        <v>424</v>
      </c>
      <c r="C16" s="276">
        <f>'Proforma Construction'!C72</f>
        <v>3121820.5699999928</v>
      </c>
      <c r="D16" s="273">
        <f>'Proforma Construction'!D72</f>
        <v>3.264757511821962E-2</v>
      </c>
      <c r="E16" s="277" t="str">
        <f>'Proforma Construction'!E72</f>
        <v>Hard Costs</v>
      </c>
      <c r="F16" s="276">
        <f>'Proforma Construction'!G72</f>
        <v>65683716</v>
      </c>
      <c r="G16" s="278">
        <f>'Proforma Construction'!I72</f>
        <v>0.68691137240914801</v>
      </c>
      <c r="I16"/>
      <c r="J16"/>
      <c r="K16"/>
      <c r="L16"/>
      <c r="M16"/>
      <c r="N16"/>
    </row>
    <row r="17" spans="2:14">
      <c r="B17" s="275"/>
      <c r="C17" s="279"/>
      <c r="D17" s="279"/>
      <c r="E17" s="277" t="str">
        <f>'Proforma Construction'!E73</f>
        <v>Soft Costs</v>
      </c>
      <c r="F17" s="276">
        <f>'Proforma Construction'!G73</f>
        <v>10816785</v>
      </c>
      <c r="G17" s="278">
        <f>'Proforma Construction'!I73</f>
        <v>0.11312046701810669</v>
      </c>
      <c r="I17"/>
      <c r="J17"/>
      <c r="K17"/>
      <c r="L17"/>
      <c r="M17"/>
      <c r="N17"/>
    </row>
    <row r="18" spans="2:14">
      <c r="B18" s="275"/>
      <c r="C18" s="279"/>
      <c r="D18" s="279"/>
      <c r="E18" s="277" t="str">
        <f>'Proforma Construction'!E74</f>
        <v>Contingency</v>
      </c>
      <c r="F18" s="276">
        <f>'Proforma Construction'!G74</f>
        <v>1854513.57</v>
      </c>
      <c r="G18" s="278">
        <f>'Proforma Construction'!I74</f>
        <v>1.9394250799088297E-2</v>
      </c>
      <c r="I18"/>
      <c r="J18"/>
      <c r="K18"/>
      <c r="L18"/>
      <c r="M18"/>
      <c r="N18"/>
    </row>
    <row r="19" spans="2:14">
      <c r="B19" s="275"/>
      <c r="C19" s="279"/>
      <c r="D19" s="279"/>
      <c r="E19" s="277" t="str">
        <f>'Proforma Construction'!E75</f>
        <v>Interest Reserve</v>
      </c>
      <c r="F19" s="276">
        <f>'Proforma Construction'!G75</f>
        <v>3300000</v>
      </c>
      <c r="G19" s="278">
        <f>'Proforma Construction'!I75</f>
        <v>3.4510951374160811E-2</v>
      </c>
      <c r="I19"/>
      <c r="J19"/>
      <c r="K19"/>
      <c r="L19"/>
      <c r="M19"/>
      <c r="N19"/>
    </row>
    <row r="20" spans="2:14">
      <c r="B20" s="275"/>
      <c r="C20" s="279"/>
      <c r="D20" s="279"/>
      <c r="E20" s="277" t="str">
        <f>'Proforma Construction'!E76</f>
        <v>Financing Fees</v>
      </c>
      <c r="F20" s="276">
        <f>'Proforma Construction'!G76</f>
        <v>1387500</v>
      </c>
      <c r="G20" s="278">
        <f>'Proforma Construction'!I76</f>
        <v>1.4510286373226705E-2</v>
      </c>
      <c r="I20"/>
      <c r="J20"/>
      <c r="K20"/>
      <c r="L20"/>
      <c r="M20"/>
      <c r="N20"/>
    </row>
    <row r="21" spans="2:14">
      <c r="B21" s="280"/>
      <c r="C21" s="281"/>
      <c r="D21" s="281"/>
      <c r="E21" s="277" t="str">
        <f>'Proforma Construction'!E77</f>
        <v>GST</v>
      </c>
      <c r="F21" s="276">
        <f>'Proforma Construction'!G77</f>
        <v>0</v>
      </c>
      <c r="G21" s="278">
        <f>'Proforma Construction'!I78</f>
        <v>1.7531040404871055E-2</v>
      </c>
      <c r="I21"/>
      <c r="J21"/>
      <c r="K21"/>
      <c r="L21"/>
      <c r="M21"/>
      <c r="N21"/>
    </row>
    <row r="22" spans="2:14">
      <c r="B22" s="282" t="s">
        <v>425</v>
      </c>
      <c r="C22" s="283">
        <f>'Proforma Construction'!C79</f>
        <v>95621820.569999993</v>
      </c>
      <c r="D22" s="284">
        <f>SUM(D15:D20)</f>
        <v>1</v>
      </c>
      <c r="E22" s="285" t="s">
        <v>425</v>
      </c>
      <c r="F22" s="283">
        <f>SUM(F15:F20)</f>
        <v>93945470.569999993</v>
      </c>
      <c r="G22" s="286">
        <f>SUM(G15:G21)</f>
        <v>1</v>
      </c>
      <c r="I22"/>
      <c r="J22"/>
      <c r="K22"/>
      <c r="L22"/>
      <c r="M22"/>
      <c r="N22"/>
    </row>
    <row r="23" spans="2:14">
      <c r="I23"/>
      <c r="J23"/>
      <c r="K23"/>
      <c r="L23"/>
      <c r="M23"/>
      <c r="N23"/>
    </row>
    <row r="24" spans="2:14">
      <c r="B24" s="963" t="s">
        <v>426</v>
      </c>
      <c r="C24" s="964"/>
      <c r="D24" s="964"/>
      <c r="E24" s="964"/>
      <c r="F24" s="964"/>
      <c r="G24" s="965"/>
      <c r="I24"/>
      <c r="J24"/>
      <c r="K24"/>
      <c r="L24"/>
      <c r="M24"/>
      <c r="N24"/>
    </row>
    <row r="25" spans="2:14">
      <c r="B25" s="287"/>
      <c r="C25" s="288"/>
      <c r="D25" s="288"/>
      <c r="E25" s="288"/>
      <c r="F25" s="288"/>
      <c r="G25" s="289"/>
      <c r="I25"/>
      <c r="J25"/>
      <c r="K25"/>
      <c r="L25"/>
      <c r="M25"/>
      <c r="N25"/>
    </row>
    <row r="26" spans="2:14">
      <c r="B26" s="966" t="s">
        <v>427</v>
      </c>
      <c r="C26" s="967"/>
      <c r="D26" s="967"/>
      <c r="E26" s="967"/>
      <c r="F26" s="967"/>
      <c r="G26" s="968"/>
      <c r="I26"/>
      <c r="J26"/>
      <c r="K26"/>
      <c r="L26"/>
      <c r="M26"/>
      <c r="N26"/>
    </row>
    <row r="27" spans="2:14">
      <c r="B27" s="969" t="s">
        <v>428</v>
      </c>
      <c r="C27" s="970"/>
      <c r="D27" s="970"/>
      <c r="E27" s="970"/>
      <c r="F27" s="970"/>
      <c r="G27" s="971"/>
    </row>
    <row r="28" spans="2:14">
      <c r="B28" s="969" t="s">
        <v>429</v>
      </c>
      <c r="C28" s="970"/>
      <c r="D28" s="970"/>
      <c r="E28" s="970"/>
      <c r="F28" s="970"/>
      <c r="G28" s="971"/>
    </row>
    <row r="29" spans="2:14">
      <c r="B29" s="972"/>
      <c r="C29" s="973"/>
      <c r="D29" s="973"/>
      <c r="E29" s="973"/>
      <c r="F29" s="973"/>
      <c r="G29" s="974"/>
    </row>
    <row r="30" spans="2:14">
      <c r="B30" s="975"/>
      <c r="C30" s="976"/>
      <c r="D30" s="976"/>
      <c r="E30" s="976"/>
      <c r="F30" s="976"/>
      <c r="G30" s="977"/>
    </row>
  </sheetData>
  <mergeCells count="7811">
    <mergeCell ref="B2:C2"/>
    <mergeCell ref="E2:G2"/>
    <mergeCell ref="B3:C3"/>
    <mergeCell ref="F3:G3"/>
    <mergeCell ref="B4:C4"/>
    <mergeCell ref="F4:G4"/>
    <mergeCell ref="B5:C5"/>
    <mergeCell ref="F5:G5"/>
    <mergeCell ref="AEQ5:AER5"/>
    <mergeCell ref="AES5:AET5"/>
    <mergeCell ref="AEU5:AEV5"/>
    <mergeCell ref="AEW5:AEX5"/>
    <mergeCell ref="AEY5:AEZ5"/>
    <mergeCell ref="AFA5:AFB5"/>
    <mergeCell ref="AFC5:AFD5"/>
    <mergeCell ref="AFE5:AFF5"/>
    <mergeCell ref="AFG5:AFH5"/>
    <mergeCell ref="AFI5:AFJ5"/>
    <mergeCell ref="AFK5:AFL5"/>
    <mergeCell ref="AFM5:AFN5"/>
    <mergeCell ref="AFO5:AFP5"/>
    <mergeCell ref="AFQ5:AFR5"/>
    <mergeCell ref="AFS5:AFT5"/>
    <mergeCell ref="AFU5:AFV5"/>
    <mergeCell ref="AFW5:AFX5"/>
    <mergeCell ref="AFY5:AFZ5"/>
    <mergeCell ref="AGA5:AGB5"/>
    <mergeCell ref="AGC5:AGD5"/>
    <mergeCell ref="AGE5:AGF5"/>
    <mergeCell ref="AGG5:AGH5"/>
    <mergeCell ref="AGI5:AGJ5"/>
    <mergeCell ref="AGK5:AGL5"/>
    <mergeCell ref="AGM5:AGN5"/>
    <mergeCell ref="AGO5:AGP5"/>
    <mergeCell ref="AGQ5:AGR5"/>
    <mergeCell ref="AGS5:AGT5"/>
    <mergeCell ref="AGU5:AGV5"/>
    <mergeCell ref="AGW5:AGX5"/>
    <mergeCell ref="AGY5:AGZ5"/>
    <mergeCell ref="AHA5:AHB5"/>
    <mergeCell ref="AHC5:AHD5"/>
    <mergeCell ref="AHE5:AHF5"/>
    <mergeCell ref="AHG5:AHH5"/>
    <mergeCell ref="AHI5:AHJ5"/>
    <mergeCell ref="AHK5:AHL5"/>
    <mergeCell ref="AHM5:AHN5"/>
    <mergeCell ref="AHO5:AHP5"/>
    <mergeCell ref="AHQ5:AHR5"/>
    <mergeCell ref="AHS5:AHT5"/>
    <mergeCell ref="AHU5:AHV5"/>
    <mergeCell ref="AHW5:AHX5"/>
    <mergeCell ref="AHY5:AHZ5"/>
    <mergeCell ref="AIA5:AIB5"/>
    <mergeCell ref="AIC5:AID5"/>
    <mergeCell ref="AIE5:AIF5"/>
    <mergeCell ref="AIG5:AIH5"/>
    <mergeCell ref="AII5:AIJ5"/>
    <mergeCell ref="AIK5:AIL5"/>
    <mergeCell ref="AIM5:AIN5"/>
    <mergeCell ref="AIO5:AIP5"/>
    <mergeCell ref="AIQ5:AIR5"/>
    <mergeCell ref="AIS5:AIT5"/>
    <mergeCell ref="AIU5:AIV5"/>
    <mergeCell ref="AIW5:AIX5"/>
    <mergeCell ref="AIY5:AIZ5"/>
    <mergeCell ref="AJA5:AJB5"/>
    <mergeCell ref="AJC5:AJD5"/>
    <mergeCell ref="AJE5:AJF5"/>
    <mergeCell ref="AJG5:AJH5"/>
    <mergeCell ref="AJI5:AJJ5"/>
    <mergeCell ref="AJK5:AJL5"/>
    <mergeCell ref="AJM5:AJN5"/>
    <mergeCell ref="AJO5:AJP5"/>
    <mergeCell ref="AJQ5:AJR5"/>
    <mergeCell ref="AJS5:AJT5"/>
    <mergeCell ref="AJU5:AJV5"/>
    <mergeCell ref="AJW5:AJX5"/>
    <mergeCell ref="AJY5:AJZ5"/>
    <mergeCell ref="AKA5:AKB5"/>
    <mergeCell ref="AKC5:AKD5"/>
    <mergeCell ref="AKE5:AKF5"/>
    <mergeCell ref="AKG5:AKH5"/>
    <mergeCell ref="AKI5:AKJ5"/>
    <mergeCell ref="AKK5:AKL5"/>
    <mergeCell ref="AKM5:AKN5"/>
    <mergeCell ref="AKO5:AKP5"/>
    <mergeCell ref="AKQ5:AKR5"/>
    <mergeCell ref="AKS5:AKT5"/>
    <mergeCell ref="AKU5:AKV5"/>
    <mergeCell ref="AKW5:AKX5"/>
    <mergeCell ref="AKY5:AKZ5"/>
    <mergeCell ref="ALA5:ALB5"/>
    <mergeCell ref="ALC5:ALD5"/>
    <mergeCell ref="ALE5:ALF5"/>
    <mergeCell ref="ALG5:ALH5"/>
    <mergeCell ref="ALI5:ALJ5"/>
    <mergeCell ref="ALK5:ALL5"/>
    <mergeCell ref="ALM5:ALN5"/>
    <mergeCell ref="ALO5:ALP5"/>
    <mergeCell ref="ALQ5:ALR5"/>
    <mergeCell ref="ALS5:ALT5"/>
    <mergeCell ref="ALU5:ALV5"/>
    <mergeCell ref="ALW5:ALX5"/>
    <mergeCell ref="ALY5:ALZ5"/>
    <mergeCell ref="AMA5:AMB5"/>
    <mergeCell ref="AMC5:AMD5"/>
    <mergeCell ref="AME5:AMF5"/>
    <mergeCell ref="AMG5:AMH5"/>
    <mergeCell ref="AMI5:AMJ5"/>
    <mergeCell ref="AMK5:AML5"/>
    <mergeCell ref="AMM5:AMN5"/>
    <mergeCell ref="AMO5:AMP5"/>
    <mergeCell ref="AMQ5:AMR5"/>
    <mergeCell ref="AMS5:AMT5"/>
    <mergeCell ref="AMU5:AMV5"/>
    <mergeCell ref="AMW5:AMX5"/>
    <mergeCell ref="AMY5:AMZ5"/>
    <mergeCell ref="ANA5:ANB5"/>
    <mergeCell ref="ANC5:AND5"/>
    <mergeCell ref="ANE5:ANF5"/>
    <mergeCell ref="ANG5:ANH5"/>
    <mergeCell ref="ANI5:ANJ5"/>
    <mergeCell ref="ANK5:ANL5"/>
    <mergeCell ref="ANM5:ANN5"/>
    <mergeCell ref="ANO5:ANP5"/>
    <mergeCell ref="ANQ5:ANR5"/>
    <mergeCell ref="ANS5:ANT5"/>
    <mergeCell ref="ANU5:ANV5"/>
    <mergeCell ref="ANW5:ANX5"/>
    <mergeCell ref="ANY5:ANZ5"/>
    <mergeCell ref="AOA5:AOB5"/>
    <mergeCell ref="AOC5:AOD5"/>
    <mergeCell ref="AOE5:AOF5"/>
    <mergeCell ref="AOG5:AOH5"/>
    <mergeCell ref="AOI5:AOJ5"/>
    <mergeCell ref="AOK5:AOL5"/>
    <mergeCell ref="AOM5:AON5"/>
    <mergeCell ref="AOO5:AOP5"/>
    <mergeCell ref="AOQ5:AOR5"/>
    <mergeCell ref="AOS5:AOT5"/>
    <mergeCell ref="AOU5:AOV5"/>
    <mergeCell ref="AOW5:AOX5"/>
    <mergeCell ref="AOY5:AOZ5"/>
    <mergeCell ref="APA5:APB5"/>
    <mergeCell ref="APC5:APD5"/>
    <mergeCell ref="APE5:APF5"/>
    <mergeCell ref="APG5:APH5"/>
    <mergeCell ref="API5:APJ5"/>
    <mergeCell ref="APK5:APL5"/>
    <mergeCell ref="APM5:APN5"/>
    <mergeCell ref="APO5:APP5"/>
    <mergeCell ref="APQ5:APR5"/>
    <mergeCell ref="APS5:APT5"/>
    <mergeCell ref="APU5:APV5"/>
    <mergeCell ref="APW5:APX5"/>
    <mergeCell ref="APY5:APZ5"/>
    <mergeCell ref="AQA5:AQB5"/>
    <mergeCell ref="AQC5:AQD5"/>
    <mergeCell ref="AQE5:AQF5"/>
    <mergeCell ref="AQG5:AQH5"/>
    <mergeCell ref="AQI5:AQJ5"/>
    <mergeCell ref="AQK5:AQL5"/>
    <mergeCell ref="AQM5:AQN5"/>
    <mergeCell ref="AQO5:AQP5"/>
    <mergeCell ref="AQQ5:AQR5"/>
    <mergeCell ref="AQS5:AQT5"/>
    <mergeCell ref="AQU5:AQV5"/>
    <mergeCell ref="AQW5:AQX5"/>
    <mergeCell ref="AQY5:AQZ5"/>
    <mergeCell ref="ARA5:ARB5"/>
    <mergeCell ref="ARC5:ARD5"/>
    <mergeCell ref="ARE5:ARF5"/>
    <mergeCell ref="ARG5:ARH5"/>
    <mergeCell ref="ARI5:ARJ5"/>
    <mergeCell ref="ARK5:ARL5"/>
    <mergeCell ref="ARM5:ARN5"/>
    <mergeCell ref="ARO5:ARP5"/>
    <mergeCell ref="ARQ5:ARR5"/>
    <mergeCell ref="ARS5:ART5"/>
    <mergeCell ref="ARU5:ARV5"/>
    <mergeCell ref="ARW5:ARX5"/>
    <mergeCell ref="ARY5:ARZ5"/>
    <mergeCell ref="ASA5:ASB5"/>
    <mergeCell ref="ASC5:ASD5"/>
    <mergeCell ref="ASE5:ASF5"/>
    <mergeCell ref="ASG5:ASH5"/>
    <mergeCell ref="ASI5:ASJ5"/>
    <mergeCell ref="ASK5:ASL5"/>
    <mergeCell ref="ASM5:ASN5"/>
    <mergeCell ref="ASO5:ASP5"/>
    <mergeCell ref="ASQ5:ASR5"/>
    <mergeCell ref="ASS5:AST5"/>
    <mergeCell ref="ASU5:ASV5"/>
    <mergeCell ref="ASW5:ASX5"/>
    <mergeCell ref="ASY5:ASZ5"/>
    <mergeCell ref="ATA5:ATB5"/>
    <mergeCell ref="ATC5:ATD5"/>
    <mergeCell ref="ATE5:ATF5"/>
    <mergeCell ref="ATG5:ATH5"/>
    <mergeCell ref="ATI5:ATJ5"/>
    <mergeCell ref="ATK5:ATL5"/>
    <mergeCell ref="ATM5:ATN5"/>
    <mergeCell ref="ATO5:ATP5"/>
    <mergeCell ref="ATQ5:ATR5"/>
    <mergeCell ref="ATS5:ATT5"/>
    <mergeCell ref="ATU5:ATV5"/>
    <mergeCell ref="ATW5:ATX5"/>
    <mergeCell ref="ATY5:ATZ5"/>
    <mergeCell ref="AUA5:AUB5"/>
    <mergeCell ref="AUC5:AUD5"/>
    <mergeCell ref="AUE5:AUF5"/>
    <mergeCell ref="AUG5:AUH5"/>
    <mergeCell ref="AUI5:AUJ5"/>
    <mergeCell ref="AUK5:AUL5"/>
    <mergeCell ref="AUM5:AUN5"/>
    <mergeCell ref="AUO5:AUP5"/>
    <mergeCell ref="AUQ5:AUR5"/>
    <mergeCell ref="AUS5:AUT5"/>
    <mergeCell ref="AUU5:AUV5"/>
    <mergeCell ref="AUW5:AUX5"/>
    <mergeCell ref="AUY5:AUZ5"/>
    <mergeCell ref="AVA5:AVB5"/>
    <mergeCell ref="AVC5:AVD5"/>
    <mergeCell ref="AVE5:AVF5"/>
    <mergeCell ref="AVG5:AVH5"/>
    <mergeCell ref="AVI5:AVJ5"/>
    <mergeCell ref="AVK5:AVL5"/>
    <mergeCell ref="AVM5:AVN5"/>
    <mergeCell ref="AVO5:AVP5"/>
    <mergeCell ref="AVQ5:AVR5"/>
    <mergeCell ref="AVS5:AVT5"/>
    <mergeCell ref="AVU5:AVV5"/>
    <mergeCell ref="AVW5:AVX5"/>
    <mergeCell ref="AVY5:AVZ5"/>
    <mergeCell ref="AWA5:AWB5"/>
    <mergeCell ref="AWC5:AWD5"/>
    <mergeCell ref="AWE5:AWF5"/>
    <mergeCell ref="AWG5:AWH5"/>
    <mergeCell ref="AWI5:AWJ5"/>
    <mergeCell ref="AWK5:AWL5"/>
    <mergeCell ref="AWM5:AWN5"/>
    <mergeCell ref="AWO5:AWP5"/>
    <mergeCell ref="AWQ5:AWR5"/>
    <mergeCell ref="AWS5:AWT5"/>
    <mergeCell ref="AWU5:AWV5"/>
    <mergeCell ref="AWW5:AWX5"/>
    <mergeCell ref="AWY5:AWZ5"/>
    <mergeCell ref="AXA5:AXB5"/>
    <mergeCell ref="AXC5:AXD5"/>
    <mergeCell ref="AXE5:AXF5"/>
    <mergeCell ref="AXG5:AXH5"/>
    <mergeCell ref="AXI5:AXJ5"/>
    <mergeCell ref="AXK5:AXL5"/>
    <mergeCell ref="AXM5:AXN5"/>
    <mergeCell ref="AXO5:AXP5"/>
    <mergeCell ref="AXQ5:AXR5"/>
    <mergeCell ref="AXS5:AXT5"/>
    <mergeCell ref="AXU5:AXV5"/>
    <mergeCell ref="AXW5:AXX5"/>
    <mergeCell ref="AXY5:AXZ5"/>
    <mergeCell ref="AYA5:AYB5"/>
    <mergeCell ref="AYC5:AYD5"/>
    <mergeCell ref="AYE5:AYF5"/>
    <mergeCell ref="AYG5:AYH5"/>
    <mergeCell ref="AYI5:AYJ5"/>
    <mergeCell ref="AYK5:AYL5"/>
    <mergeCell ref="AYM5:AYN5"/>
    <mergeCell ref="AYO5:AYP5"/>
    <mergeCell ref="AYQ5:AYR5"/>
    <mergeCell ref="AYS5:AYT5"/>
    <mergeCell ref="AYU5:AYV5"/>
    <mergeCell ref="AYW5:AYX5"/>
    <mergeCell ref="AYY5:AYZ5"/>
    <mergeCell ref="AZA5:AZB5"/>
    <mergeCell ref="AZC5:AZD5"/>
    <mergeCell ref="AZE5:AZF5"/>
    <mergeCell ref="AZG5:AZH5"/>
    <mergeCell ref="AZI5:AZJ5"/>
    <mergeCell ref="AZK5:AZL5"/>
    <mergeCell ref="AZM5:AZN5"/>
    <mergeCell ref="AZO5:AZP5"/>
    <mergeCell ref="AZQ5:AZR5"/>
    <mergeCell ref="AZS5:AZT5"/>
    <mergeCell ref="AZU5:AZV5"/>
    <mergeCell ref="AZW5:AZX5"/>
    <mergeCell ref="AZY5:AZZ5"/>
    <mergeCell ref="BAA5:BAB5"/>
    <mergeCell ref="BAC5:BAD5"/>
    <mergeCell ref="BAE5:BAF5"/>
    <mergeCell ref="BAG5:BAH5"/>
    <mergeCell ref="BAI5:BAJ5"/>
    <mergeCell ref="BAK5:BAL5"/>
    <mergeCell ref="BAM5:BAN5"/>
    <mergeCell ref="BAO5:BAP5"/>
    <mergeCell ref="BAQ5:BAR5"/>
    <mergeCell ref="BAS5:BAT5"/>
    <mergeCell ref="BAU5:BAV5"/>
    <mergeCell ref="BAW5:BAX5"/>
    <mergeCell ref="BAY5:BAZ5"/>
    <mergeCell ref="BBA5:BBB5"/>
    <mergeCell ref="BBC5:BBD5"/>
    <mergeCell ref="BBE5:BBF5"/>
    <mergeCell ref="BBG5:BBH5"/>
    <mergeCell ref="BBI5:BBJ5"/>
    <mergeCell ref="BBK5:BBL5"/>
    <mergeCell ref="BBM5:BBN5"/>
    <mergeCell ref="BBO5:BBP5"/>
    <mergeCell ref="BBQ5:BBR5"/>
    <mergeCell ref="BBS5:BBT5"/>
    <mergeCell ref="BBU5:BBV5"/>
    <mergeCell ref="BBW5:BBX5"/>
    <mergeCell ref="BBY5:BBZ5"/>
    <mergeCell ref="BCA5:BCB5"/>
    <mergeCell ref="BCC5:BCD5"/>
    <mergeCell ref="BCE5:BCF5"/>
    <mergeCell ref="BCG5:BCH5"/>
    <mergeCell ref="BCI5:BCJ5"/>
    <mergeCell ref="BCK5:BCL5"/>
    <mergeCell ref="BCM5:BCN5"/>
    <mergeCell ref="BCO5:BCP5"/>
    <mergeCell ref="BCQ5:BCR5"/>
    <mergeCell ref="BCS5:BCT5"/>
    <mergeCell ref="BCU5:BCV5"/>
    <mergeCell ref="BCW5:BCX5"/>
    <mergeCell ref="BCY5:BCZ5"/>
    <mergeCell ref="BDA5:BDB5"/>
    <mergeCell ref="BDC5:BDD5"/>
    <mergeCell ref="BDE5:BDF5"/>
    <mergeCell ref="BDG5:BDH5"/>
    <mergeCell ref="BDI5:BDJ5"/>
    <mergeCell ref="BDK5:BDL5"/>
    <mergeCell ref="BDM5:BDN5"/>
    <mergeCell ref="BDO5:BDP5"/>
    <mergeCell ref="BDQ5:BDR5"/>
    <mergeCell ref="BDS5:BDT5"/>
    <mergeCell ref="BDU5:BDV5"/>
    <mergeCell ref="BDW5:BDX5"/>
    <mergeCell ref="BDY5:BDZ5"/>
    <mergeCell ref="BEA5:BEB5"/>
    <mergeCell ref="BEC5:BED5"/>
    <mergeCell ref="BEE5:BEF5"/>
    <mergeCell ref="BEG5:BEH5"/>
    <mergeCell ref="BEI5:BEJ5"/>
    <mergeCell ref="BEK5:BEL5"/>
    <mergeCell ref="BEM5:BEN5"/>
    <mergeCell ref="BEO5:BEP5"/>
    <mergeCell ref="BEQ5:BER5"/>
    <mergeCell ref="BES5:BET5"/>
    <mergeCell ref="BEU5:BEV5"/>
    <mergeCell ref="BEW5:BEX5"/>
    <mergeCell ref="BEY5:BEZ5"/>
    <mergeCell ref="BFA5:BFB5"/>
    <mergeCell ref="BFC5:BFD5"/>
    <mergeCell ref="BFE5:BFF5"/>
    <mergeCell ref="BFG5:BFH5"/>
    <mergeCell ref="BFI5:BFJ5"/>
    <mergeCell ref="BFK5:BFL5"/>
    <mergeCell ref="BFM5:BFN5"/>
    <mergeCell ref="BFO5:BFP5"/>
    <mergeCell ref="BFQ5:BFR5"/>
    <mergeCell ref="BFS5:BFT5"/>
    <mergeCell ref="BFU5:BFV5"/>
    <mergeCell ref="BFW5:BFX5"/>
    <mergeCell ref="BFY5:BFZ5"/>
    <mergeCell ref="BGA5:BGB5"/>
    <mergeCell ref="BGC5:BGD5"/>
    <mergeCell ref="BGE5:BGF5"/>
    <mergeCell ref="BGG5:BGH5"/>
    <mergeCell ref="BGI5:BGJ5"/>
    <mergeCell ref="BGK5:BGL5"/>
    <mergeCell ref="BGM5:BGN5"/>
    <mergeCell ref="BGO5:BGP5"/>
    <mergeCell ref="BGQ5:BGR5"/>
    <mergeCell ref="BGS5:BGT5"/>
    <mergeCell ref="BGU5:BGV5"/>
    <mergeCell ref="BGW5:BGX5"/>
    <mergeCell ref="BGY5:BGZ5"/>
    <mergeCell ref="BHA5:BHB5"/>
    <mergeCell ref="BHC5:BHD5"/>
    <mergeCell ref="BHE5:BHF5"/>
    <mergeCell ref="BHG5:BHH5"/>
    <mergeCell ref="BHI5:BHJ5"/>
    <mergeCell ref="BHK5:BHL5"/>
    <mergeCell ref="BHM5:BHN5"/>
    <mergeCell ref="BHO5:BHP5"/>
    <mergeCell ref="BHQ5:BHR5"/>
    <mergeCell ref="BHS5:BHT5"/>
    <mergeCell ref="BHU5:BHV5"/>
    <mergeCell ref="BHW5:BHX5"/>
    <mergeCell ref="BHY5:BHZ5"/>
    <mergeCell ref="BIA5:BIB5"/>
    <mergeCell ref="BIC5:BID5"/>
    <mergeCell ref="BIE5:BIF5"/>
    <mergeCell ref="BIG5:BIH5"/>
    <mergeCell ref="BII5:BIJ5"/>
    <mergeCell ref="BIK5:BIL5"/>
    <mergeCell ref="BIM5:BIN5"/>
    <mergeCell ref="BIO5:BIP5"/>
    <mergeCell ref="BIQ5:BIR5"/>
    <mergeCell ref="BIS5:BIT5"/>
    <mergeCell ref="BIU5:BIV5"/>
    <mergeCell ref="BIW5:BIX5"/>
    <mergeCell ref="BIY5:BIZ5"/>
    <mergeCell ref="BJA5:BJB5"/>
    <mergeCell ref="BJC5:BJD5"/>
    <mergeCell ref="BJE5:BJF5"/>
    <mergeCell ref="BJG5:BJH5"/>
    <mergeCell ref="BJI5:BJJ5"/>
    <mergeCell ref="BJK5:BJL5"/>
    <mergeCell ref="BJM5:BJN5"/>
    <mergeCell ref="BJO5:BJP5"/>
    <mergeCell ref="BJQ5:BJR5"/>
    <mergeCell ref="BJS5:BJT5"/>
    <mergeCell ref="BJU5:BJV5"/>
    <mergeCell ref="BJW5:BJX5"/>
    <mergeCell ref="BJY5:BJZ5"/>
    <mergeCell ref="BKA5:BKB5"/>
    <mergeCell ref="BKC5:BKD5"/>
    <mergeCell ref="BKE5:BKF5"/>
    <mergeCell ref="BKG5:BKH5"/>
    <mergeCell ref="BKI5:BKJ5"/>
    <mergeCell ref="BKK5:BKL5"/>
    <mergeCell ref="BKM5:BKN5"/>
    <mergeCell ref="BKO5:BKP5"/>
    <mergeCell ref="BKQ5:BKR5"/>
    <mergeCell ref="BKS5:BKT5"/>
    <mergeCell ref="BKU5:BKV5"/>
    <mergeCell ref="BKW5:BKX5"/>
    <mergeCell ref="BKY5:BKZ5"/>
    <mergeCell ref="BLA5:BLB5"/>
    <mergeCell ref="BLC5:BLD5"/>
    <mergeCell ref="BLE5:BLF5"/>
    <mergeCell ref="BLG5:BLH5"/>
    <mergeCell ref="BLI5:BLJ5"/>
    <mergeCell ref="BLK5:BLL5"/>
    <mergeCell ref="BLM5:BLN5"/>
    <mergeCell ref="BLO5:BLP5"/>
    <mergeCell ref="BLQ5:BLR5"/>
    <mergeCell ref="BLS5:BLT5"/>
    <mergeCell ref="BLU5:BLV5"/>
    <mergeCell ref="BLW5:BLX5"/>
    <mergeCell ref="BLY5:BLZ5"/>
    <mergeCell ref="BMA5:BMB5"/>
    <mergeCell ref="BMC5:BMD5"/>
    <mergeCell ref="BME5:BMF5"/>
    <mergeCell ref="BMG5:BMH5"/>
    <mergeCell ref="BMI5:BMJ5"/>
    <mergeCell ref="BMK5:BML5"/>
    <mergeCell ref="BMM5:BMN5"/>
    <mergeCell ref="BMO5:BMP5"/>
    <mergeCell ref="BMQ5:BMR5"/>
    <mergeCell ref="BMS5:BMT5"/>
    <mergeCell ref="BMU5:BMV5"/>
    <mergeCell ref="BMW5:BMX5"/>
    <mergeCell ref="BMY5:BMZ5"/>
    <mergeCell ref="BNA5:BNB5"/>
    <mergeCell ref="BNC5:BND5"/>
    <mergeCell ref="BNE5:BNF5"/>
    <mergeCell ref="BNG5:BNH5"/>
    <mergeCell ref="BNI5:BNJ5"/>
    <mergeCell ref="BNK5:BNL5"/>
    <mergeCell ref="BNM5:BNN5"/>
    <mergeCell ref="BNO5:BNP5"/>
    <mergeCell ref="BNQ5:BNR5"/>
    <mergeCell ref="BNS5:BNT5"/>
    <mergeCell ref="BNU5:BNV5"/>
    <mergeCell ref="BNW5:BNX5"/>
    <mergeCell ref="BNY5:BNZ5"/>
    <mergeCell ref="BOA5:BOB5"/>
    <mergeCell ref="BOC5:BOD5"/>
    <mergeCell ref="BOE5:BOF5"/>
    <mergeCell ref="BOG5:BOH5"/>
    <mergeCell ref="BOI5:BOJ5"/>
    <mergeCell ref="BOK5:BOL5"/>
    <mergeCell ref="BOM5:BON5"/>
    <mergeCell ref="BOO5:BOP5"/>
    <mergeCell ref="BOQ5:BOR5"/>
    <mergeCell ref="BOS5:BOT5"/>
    <mergeCell ref="BOU5:BOV5"/>
    <mergeCell ref="BOW5:BOX5"/>
    <mergeCell ref="BOY5:BOZ5"/>
    <mergeCell ref="BPA5:BPB5"/>
    <mergeCell ref="BPC5:BPD5"/>
    <mergeCell ref="BPE5:BPF5"/>
    <mergeCell ref="BPG5:BPH5"/>
    <mergeCell ref="BPI5:BPJ5"/>
    <mergeCell ref="BPK5:BPL5"/>
    <mergeCell ref="BPM5:BPN5"/>
    <mergeCell ref="BPO5:BPP5"/>
    <mergeCell ref="BPQ5:BPR5"/>
    <mergeCell ref="BPS5:BPT5"/>
    <mergeCell ref="BPU5:BPV5"/>
    <mergeCell ref="BPW5:BPX5"/>
    <mergeCell ref="BPY5:BPZ5"/>
    <mergeCell ref="BQA5:BQB5"/>
    <mergeCell ref="BQC5:BQD5"/>
    <mergeCell ref="BQE5:BQF5"/>
    <mergeCell ref="BQG5:BQH5"/>
    <mergeCell ref="BQI5:BQJ5"/>
    <mergeCell ref="BQK5:BQL5"/>
    <mergeCell ref="BQM5:BQN5"/>
    <mergeCell ref="BQO5:BQP5"/>
    <mergeCell ref="BQQ5:BQR5"/>
    <mergeCell ref="BQS5:BQT5"/>
    <mergeCell ref="BQU5:BQV5"/>
    <mergeCell ref="BQW5:BQX5"/>
    <mergeCell ref="BQY5:BQZ5"/>
    <mergeCell ref="BRA5:BRB5"/>
    <mergeCell ref="BRC5:BRD5"/>
    <mergeCell ref="BRE5:BRF5"/>
    <mergeCell ref="BRG5:BRH5"/>
    <mergeCell ref="BRI5:BRJ5"/>
    <mergeCell ref="BRK5:BRL5"/>
    <mergeCell ref="BRM5:BRN5"/>
    <mergeCell ref="BRO5:BRP5"/>
    <mergeCell ref="BRQ5:BRR5"/>
    <mergeCell ref="BRS5:BRT5"/>
    <mergeCell ref="BRU5:BRV5"/>
    <mergeCell ref="BRW5:BRX5"/>
    <mergeCell ref="BRY5:BRZ5"/>
    <mergeCell ref="BSA5:BSB5"/>
    <mergeCell ref="BSC5:BSD5"/>
    <mergeCell ref="BSE5:BSF5"/>
    <mergeCell ref="BSG5:BSH5"/>
    <mergeCell ref="BSI5:BSJ5"/>
    <mergeCell ref="BSK5:BSL5"/>
    <mergeCell ref="BSM5:BSN5"/>
    <mergeCell ref="BSO5:BSP5"/>
    <mergeCell ref="BSQ5:BSR5"/>
    <mergeCell ref="BSS5:BST5"/>
    <mergeCell ref="BSU5:BSV5"/>
    <mergeCell ref="BSW5:BSX5"/>
    <mergeCell ref="BSY5:BSZ5"/>
    <mergeCell ref="BTA5:BTB5"/>
    <mergeCell ref="BTC5:BTD5"/>
    <mergeCell ref="BTE5:BTF5"/>
    <mergeCell ref="BTG5:BTH5"/>
    <mergeCell ref="BTI5:BTJ5"/>
    <mergeCell ref="BTK5:BTL5"/>
    <mergeCell ref="BTM5:BTN5"/>
    <mergeCell ref="BTO5:BTP5"/>
    <mergeCell ref="BTQ5:BTR5"/>
    <mergeCell ref="BTS5:BTT5"/>
    <mergeCell ref="BTU5:BTV5"/>
    <mergeCell ref="BTW5:BTX5"/>
    <mergeCell ref="BTY5:BTZ5"/>
    <mergeCell ref="BUA5:BUB5"/>
    <mergeCell ref="BUC5:BUD5"/>
    <mergeCell ref="BUE5:BUF5"/>
    <mergeCell ref="BUG5:BUH5"/>
    <mergeCell ref="BUI5:BUJ5"/>
    <mergeCell ref="BUK5:BUL5"/>
    <mergeCell ref="BUM5:BUN5"/>
    <mergeCell ref="BUO5:BUP5"/>
    <mergeCell ref="BUQ5:BUR5"/>
    <mergeCell ref="BUS5:BUT5"/>
    <mergeCell ref="BUU5:BUV5"/>
    <mergeCell ref="BUW5:BUX5"/>
    <mergeCell ref="BUY5:BUZ5"/>
    <mergeCell ref="BVA5:BVB5"/>
    <mergeCell ref="BVC5:BVD5"/>
    <mergeCell ref="BVE5:BVF5"/>
    <mergeCell ref="BVG5:BVH5"/>
    <mergeCell ref="BVI5:BVJ5"/>
    <mergeCell ref="BVK5:BVL5"/>
    <mergeCell ref="BVM5:BVN5"/>
    <mergeCell ref="BVO5:BVP5"/>
    <mergeCell ref="BVQ5:BVR5"/>
    <mergeCell ref="BVS5:BVT5"/>
    <mergeCell ref="BVU5:BVV5"/>
    <mergeCell ref="BVW5:BVX5"/>
    <mergeCell ref="BVY5:BVZ5"/>
    <mergeCell ref="BWA5:BWB5"/>
    <mergeCell ref="BWC5:BWD5"/>
    <mergeCell ref="BWE5:BWF5"/>
    <mergeCell ref="BWG5:BWH5"/>
    <mergeCell ref="BWI5:BWJ5"/>
    <mergeCell ref="BWK5:BWL5"/>
    <mergeCell ref="BWM5:BWN5"/>
    <mergeCell ref="BWO5:BWP5"/>
    <mergeCell ref="BWQ5:BWR5"/>
    <mergeCell ref="BWS5:BWT5"/>
    <mergeCell ref="BWU5:BWV5"/>
    <mergeCell ref="BWW5:BWX5"/>
    <mergeCell ref="BWY5:BWZ5"/>
    <mergeCell ref="BXA5:BXB5"/>
    <mergeCell ref="BXC5:BXD5"/>
    <mergeCell ref="BXE5:BXF5"/>
    <mergeCell ref="BXG5:BXH5"/>
    <mergeCell ref="BXI5:BXJ5"/>
    <mergeCell ref="BXK5:BXL5"/>
    <mergeCell ref="BXM5:BXN5"/>
    <mergeCell ref="BXO5:BXP5"/>
    <mergeCell ref="BXQ5:BXR5"/>
    <mergeCell ref="BXS5:BXT5"/>
    <mergeCell ref="BXU5:BXV5"/>
    <mergeCell ref="BXW5:BXX5"/>
    <mergeCell ref="BXY5:BXZ5"/>
    <mergeCell ref="BYA5:BYB5"/>
    <mergeCell ref="BYC5:BYD5"/>
    <mergeCell ref="BYE5:BYF5"/>
    <mergeCell ref="BYG5:BYH5"/>
    <mergeCell ref="BYI5:BYJ5"/>
    <mergeCell ref="BYK5:BYL5"/>
    <mergeCell ref="BYM5:BYN5"/>
    <mergeCell ref="BYO5:BYP5"/>
    <mergeCell ref="BYQ5:BYR5"/>
    <mergeCell ref="BYS5:BYT5"/>
    <mergeCell ref="BYU5:BYV5"/>
    <mergeCell ref="BYW5:BYX5"/>
    <mergeCell ref="BYY5:BYZ5"/>
    <mergeCell ref="BZA5:BZB5"/>
    <mergeCell ref="BZC5:BZD5"/>
    <mergeCell ref="BZE5:BZF5"/>
    <mergeCell ref="BZG5:BZH5"/>
    <mergeCell ref="BZI5:BZJ5"/>
    <mergeCell ref="BZK5:BZL5"/>
    <mergeCell ref="BZM5:BZN5"/>
    <mergeCell ref="BZO5:BZP5"/>
    <mergeCell ref="BZQ5:BZR5"/>
    <mergeCell ref="BZS5:BZT5"/>
    <mergeCell ref="BZU5:BZV5"/>
    <mergeCell ref="BZW5:BZX5"/>
    <mergeCell ref="BZY5:BZZ5"/>
    <mergeCell ref="CAA5:CAB5"/>
    <mergeCell ref="CAC5:CAD5"/>
    <mergeCell ref="CAE5:CAF5"/>
    <mergeCell ref="CAG5:CAH5"/>
    <mergeCell ref="CAI5:CAJ5"/>
    <mergeCell ref="CAK5:CAL5"/>
    <mergeCell ref="CAM5:CAN5"/>
    <mergeCell ref="CAO5:CAP5"/>
    <mergeCell ref="CAQ5:CAR5"/>
    <mergeCell ref="CAS5:CAT5"/>
    <mergeCell ref="CAU5:CAV5"/>
    <mergeCell ref="CAW5:CAX5"/>
    <mergeCell ref="CAY5:CAZ5"/>
    <mergeCell ref="CBA5:CBB5"/>
    <mergeCell ref="CBC5:CBD5"/>
    <mergeCell ref="CBE5:CBF5"/>
    <mergeCell ref="CBG5:CBH5"/>
    <mergeCell ref="CBI5:CBJ5"/>
    <mergeCell ref="CBK5:CBL5"/>
    <mergeCell ref="CBM5:CBN5"/>
    <mergeCell ref="CBO5:CBP5"/>
    <mergeCell ref="CBQ5:CBR5"/>
    <mergeCell ref="CBS5:CBT5"/>
    <mergeCell ref="CBU5:CBV5"/>
    <mergeCell ref="CBW5:CBX5"/>
    <mergeCell ref="CBY5:CBZ5"/>
    <mergeCell ref="CCA5:CCB5"/>
    <mergeCell ref="CCC5:CCD5"/>
    <mergeCell ref="CCE5:CCF5"/>
    <mergeCell ref="CCG5:CCH5"/>
    <mergeCell ref="CCI5:CCJ5"/>
    <mergeCell ref="CCK5:CCL5"/>
    <mergeCell ref="CCM5:CCN5"/>
    <mergeCell ref="CCO5:CCP5"/>
    <mergeCell ref="CCQ5:CCR5"/>
    <mergeCell ref="CCS5:CCT5"/>
    <mergeCell ref="CCU5:CCV5"/>
    <mergeCell ref="CCW5:CCX5"/>
    <mergeCell ref="CCY5:CCZ5"/>
    <mergeCell ref="CDA5:CDB5"/>
    <mergeCell ref="CDC5:CDD5"/>
    <mergeCell ref="CDE5:CDF5"/>
    <mergeCell ref="CDG5:CDH5"/>
    <mergeCell ref="CDI5:CDJ5"/>
    <mergeCell ref="CDK5:CDL5"/>
    <mergeCell ref="CDM5:CDN5"/>
    <mergeCell ref="CDO5:CDP5"/>
    <mergeCell ref="CDQ5:CDR5"/>
    <mergeCell ref="CDS5:CDT5"/>
    <mergeCell ref="CDU5:CDV5"/>
    <mergeCell ref="CDW5:CDX5"/>
    <mergeCell ref="CDY5:CDZ5"/>
    <mergeCell ref="CEA5:CEB5"/>
    <mergeCell ref="CEC5:CED5"/>
    <mergeCell ref="CEE5:CEF5"/>
    <mergeCell ref="CEG5:CEH5"/>
    <mergeCell ref="CEI5:CEJ5"/>
    <mergeCell ref="CEK5:CEL5"/>
    <mergeCell ref="CEM5:CEN5"/>
    <mergeCell ref="CEO5:CEP5"/>
    <mergeCell ref="CEQ5:CER5"/>
    <mergeCell ref="CES5:CET5"/>
    <mergeCell ref="CEU5:CEV5"/>
    <mergeCell ref="CEW5:CEX5"/>
    <mergeCell ref="CEY5:CEZ5"/>
    <mergeCell ref="CFA5:CFB5"/>
    <mergeCell ref="CFC5:CFD5"/>
    <mergeCell ref="CFE5:CFF5"/>
    <mergeCell ref="CFG5:CFH5"/>
    <mergeCell ref="CFI5:CFJ5"/>
    <mergeCell ref="CFK5:CFL5"/>
    <mergeCell ref="CFM5:CFN5"/>
    <mergeCell ref="CFO5:CFP5"/>
    <mergeCell ref="CFQ5:CFR5"/>
    <mergeCell ref="CFS5:CFT5"/>
    <mergeCell ref="CFU5:CFV5"/>
    <mergeCell ref="CFW5:CFX5"/>
    <mergeCell ref="CFY5:CFZ5"/>
    <mergeCell ref="CGA5:CGB5"/>
    <mergeCell ref="CGC5:CGD5"/>
    <mergeCell ref="CGE5:CGF5"/>
    <mergeCell ref="CGG5:CGH5"/>
    <mergeCell ref="CGI5:CGJ5"/>
    <mergeCell ref="CGK5:CGL5"/>
    <mergeCell ref="CGM5:CGN5"/>
    <mergeCell ref="CGO5:CGP5"/>
    <mergeCell ref="CGQ5:CGR5"/>
    <mergeCell ref="CGS5:CGT5"/>
    <mergeCell ref="CGU5:CGV5"/>
    <mergeCell ref="CGW5:CGX5"/>
    <mergeCell ref="CGY5:CGZ5"/>
    <mergeCell ref="CHA5:CHB5"/>
    <mergeCell ref="CHC5:CHD5"/>
    <mergeCell ref="CHE5:CHF5"/>
    <mergeCell ref="CHG5:CHH5"/>
    <mergeCell ref="CHI5:CHJ5"/>
    <mergeCell ref="CHK5:CHL5"/>
    <mergeCell ref="CHM5:CHN5"/>
    <mergeCell ref="CHO5:CHP5"/>
    <mergeCell ref="CHQ5:CHR5"/>
    <mergeCell ref="CHS5:CHT5"/>
    <mergeCell ref="CHU5:CHV5"/>
    <mergeCell ref="CHW5:CHX5"/>
    <mergeCell ref="CHY5:CHZ5"/>
    <mergeCell ref="CIA5:CIB5"/>
    <mergeCell ref="CIC5:CID5"/>
    <mergeCell ref="CIE5:CIF5"/>
    <mergeCell ref="CIG5:CIH5"/>
    <mergeCell ref="CII5:CIJ5"/>
    <mergeCell ref="CIK5:CIL5"/>
    <mergeCell ref="CIM5:CIN5"/>
    <mergeCell ref="CIO5:CIP5"/>
    <mergeCell ref="CIQ5:CIR5"/>
    <mergeCell ref="CIS5:CIT5"/>
    <mergeCell ref="CIU5:CIV5"/>
    <mergeCell ref="CIW5:CIX5"/>
    <mergeCell ref="CIY5:CIZ5"/>
    <mergeCell ref="CJA5:CJB5"/>
    <mergeCell ref="CJC5:CJD5"/>
    <mergeCell ref="CJE5:CJF5"/>
    <mergeCell ref="CJG5:CJH5"/>
    <mergeCell ref="CJI5:CJJ5"/>
    <mergeCell ref="CJK5:CJL5"/>
    <mergeCell ref="CJM5:CJN5"/>
    <mergeCell ref="CJO5:CJP5"/>
    <mergeCell ref="CJQ5:CJR5"/>
    <mergeCell ref="CJS5:CJT5"/>
    <mergeCell ref="CJU5:CJV5"/>
    <mergeCell ref="CJW5:CJX5"/>
    <mergeCell ref="CJY5:CJZ5"/>
    <mergeCell ref="CKA5:CKB5"/>
    <mergeCell ref="CKC5:CKD5"/>
    <mergeCell ref="CKE5:CKF5"/>
    <mergeCell ref="CKG5:CKH5"/>
    <mergeCell ref="CKI5:CKJ5"/>
    <mergeCell ref="CKK5:CKL5"/>
    <mergeCell ref="CKM5:CKN5"/>
    <mergeCell ref="CKO5:CKP5"/>
    <mergeCell ref="CKQ5:CKR5"/>
    <mergeCell ref="CKS5:CKT5"/>
    <mergeCell ref="CKU5:CKV5"/>
    <mergeCell ref="CKW5:CKX5"/>
    <mergeCell ref="CKY5:CKZ5"/>
    <mergeCell ref="CLA5:CLB5"/>
    <mergeCell ref="CLC5:CLD5"/>
    <mergeCell ref="CLE5:CLF5"/>
    <mergeCell ref="CLG5:CLH5"/>
    <mergeCell ref="CLI5:CLJ5"/>
    <mergeCell ref="CLK5:CLL5"/>
    <mergeCell ref="CLM5:CLN5"/>
    <mergeCell ref="CLO5:CLP5"/>
    <mergeCell ref="CLQ5:CLR5"/>
    <mergeCell ref="CLS5:CLT5"/>
    <mergeCell ref="CLU5:CLV5"/>
    <mergeCell ref="CLW5:CLX5"/>
    <mergeCell ref="CLY5:CLZ5"/>
    <mergeCell ref="CMA5:CMB5"/>
    <mergeCell ref="CMC5:CMD5"/>
    <mergeCell ref="CME5:CMF5"/>
    <mergeCell ref="CMG5:CMH5"/>
    <mergeCell ref="CMI5:CMJ5"/>
    <mergeCell ref="CMK5:CML5"/>
    <mergeCell ref="CMM5:CMN5"/>
    <mergeCell ref="CMO5:CMP5"/>
    <mergeCell ref="CMQ5:CMR5"/>
    <mergeCell ref="CMS5:CMT5"/>
    <mergeCell ref="CMU5:CMV5"/>
    <mergeCell ref="CMW5:CMX5"/>
    <mergeCell ref="CMY5:CMZ5"/>
    <mergeCell ref="CNA5:CNB5"/>
    <mergeCell ref="CNC5:CND5"/>
    <mergeCell ref="CNE5:CNF5"/>
    <mergeCell ref="CNG5:CNH5"/>
    <mergeCell ref="CNI5:CNJ5"/>
    <mergeCell ref="CNK5:CNL5"/>
    <mergeCell ref="CNM5:CNN5"/>
    <mergeCell ref="CNO5:CNP5"/>
    <mergeCell ref="CNQ5:CNR5"/>
    <mergeCell ref="CNS5:CNT5"/>
    <mergeCell ref="CNU5:CNV5"/>
    <mergeCell ref="CNW5:CNX5"/>
    <mergeCell ref="CNY5:CNZ5"/>
    <mergeCell ref="COA5:COB5"/>
    <mergeCell ref="COC5:COD5"/>
    <mergeCell ref="COE5:COF5"/>
    <mergeCell ref="COG5:COH5"/>
    <mergeCell ref="COI5:COJ5"/>
    <mergeCell ref="COK5:COL5"/>
    <mergeCell ref="COM5:CON5"/>
    <mergeCell ref="COO5:COP5"/>
    <mergeCell ref="COQ5:COR5"/>
    <mergeCell ref="COS5:COT5"/>
    <mergeCell ref="COU5:COV5"/>
    <mergeCell ref="COW5:COX5"/>
    <mergeCell ref="COY5:COZ5"/>
    <mergeCell ref="CPA5:CPB5"/>
    <mergeCell ref="CPC5:CPD5"/>
    <mergeCell ref="CPE5:CPF5"/>
    <mergeCell ref="CPG5:CPH5"/>
    <mergeCell ref="CPI5:CPJ5"/>
    <mergeCell ref="CPK5:CPL5"/>
    <mergeCell ref="CPM5:CPN5"/>
    <mergeCell ref="CPO5:CPP5"/>
    <mergeCell ref="CPQ5:CPR5"/>
    <mergeCell ref="CPS5:CPT5"/>
    <mergeCell ref="CPU5:CPV5"/>
    <mergeCell ref="CPW5:CPX5"/>
    <mergeCell ref="CPY5:CPZ5"/>
    <mergeCell ref="CQA5:CQB5"/>
    <mergeCell ref="CQC5:CQD5"/>
    <mergeCell ref="CQE5:CQF5"/>
    <mergeCell ref="CQG5:CQH5"/>
    <mergeCell ref="CQI5:CQJ5"/>
    <mergeCell ref="CQK5:CQL5"/>
    <mergeCell ref="CQM5:CQN5"/>
    <mergeCell ref="CQO5:CQP5"/>
    <mergeCell ref="CQQ5:CQR5"/>
    <mergeCell ref="CQS5:CQT5"/>
    <mergeCell ref="CQU5:CQV5"/>
    <mergeCell ref="CQW5:CQX5"/>
    <mergeCell ref="CQY5:CQZ5"/>
    <mergeCell ref="CRA5:CRB5"/>
    <mergeCell ref="CRC5:CRD5"/>
    <mergeCell ref="CRE5:CRF5"/>
    <mergeCell ref="CRG5:CRH5"/>
    <mergeCell ref="CRI5:CRJ5"/>
    <mergeCell ref="CRK5:CRL5"/>
    <mergeCell ref="CRM5:CRN5"/>
    <mergeCell ref="CRO5:CRP5"/>
    <mergeCell ref="CRQ5:CRR5"/>
    <mergeCell ref="CRS5:CRT5"/>
    <mergeCell ref="CRU5:CRV5"/>
    <mergeCell ref="CRW5:CRX5"/>
    <mergeCell ref="CRY5:CRZ5"/>
    <mergeCell ref="CSA5:CSB5"/>
    <mergeCell ref="CSC5:CSD5"/>
    <mergeCell ref="CSE5:CSF5"/>
    <mergeCell ref="CSG5:CSH5"/>
    <mergeCell ref="CSI5:CSJ5"/>
    <mergeCell ref="CSK5:CSL5"/>
    <mergeCell ref="CSM5:CSN5"/>
    <mergeCell ref="CSO5:CSP5"/>
    <mergeCell ref="CSQ5:CSR5"/>
    <mergeCell ref="CSS5:CST5"/>
    <mergeCell ref="CSU5:CSV5"/>
    <mergeCell ref="CSW5:CSX5"/>
    <mergeCell ref="CSY5:CSZ5"/>
    <mergeCell ref="CTA5:CTB5"/>
    <mergeCell ref="CTC5:CTD5"/>
    <mergeCell ref="CTE5:CTF5"/>
    <mergeCell ref="CTG5:CTH5"/>
    <mergeCell ref="CTI5:CTJ5"/>
    <mergeCell ref="CTK5:CTL5"/>
    <mergeCell ref="CTM5:CTN5"/>
    <mergeCell ref="CTO5:CTP5"/>
    <mergeCell ref="CTQ5:CTR5"/>
    <mergeCell ref="CTS5:CTT5"/>
    <mergeCell ref="CTU5:CTV5"/>
    <mergeCell ref="CTW5:CTX5"/>
    <mergeCell ref="CTY5:CTZ5"/>
    <mergeCell ref="CUA5:CUB5"/>
    <mergeCell ref="CUC5:CUD5"/>
    <mergeCell ref="CUE5:CUF5"/>
    <mergeCell ref="CUG5:CUH5"/>
    <mergeCell ref="CUI5:CUJ5"/>
    <mergeCell ref="CUK5:CUL5"/>
    <mergeCell ref="CUM5:CUN5"/>
    <mergeCell ref="CUO5:CUP5"/>
    <mergeCell ref="CUQ5:CUR5"/>
    <mergeCell ref="CUS5:CUT5"/>
    <mergeCell ref="CUU5:CUV5"/>
    <mergeCell ref="CUW5:CUX5"/>
    <mergeCell ref="CUY5:CUZ5"/>
    <mergeCell ref="CVA5:CVB5"/>
    <mergeCell ref="CVC5:CVD5"/>
    <mergeCell ref="CVE5:CVF5"/>
    <mergeCell ref="CVG5:CVH5"/>
    <mergeCell ref="CVI5:CVJ5"/>
    <mergeCell ref="CVK5:CVL5"/>
    <mergeCell ref="CVM5:CVN5"/>
    <mergeCell ref="CVO5:CVP5"/>
    <mergeCell ref="CVQ5:CVR5"/>
    <mergeCell ref="CVS5:CVT5"/>
    <mergeCell ref="CVU5:CVV5"/>
    <mergeCell ref="CVW5:CVX5"/>
    <mergeCell ref="CVY5:CVZ5"/>
    <mergeCell ref="CWA5:CWB5"/>
    <mergeCell ref="CWC5:CWD5"/>
    <mergeCell ref="CWE5:CWF5"/>
    <mergeCell ref="CWG5:CWH5"/>
    <mergeCell ref="CWI5:CWJ5"/>
    <mergeCell ref="CWK5:CWL5"/>
    <mergeCell ref="CWM5:CWN5"/>
    <mergeCell ref="CWO5:CWP5"/>
    <mergeCell ref="CWQ5:CWR5"/>
    <mergeCell ref="CWS5:CWT5"/>
    <mergeCell ref="CWU5:CWV5"/>
    <mergeCell ref="CWW5:CWX5"/>
    <mergeCell ref="CWY5:CWZ5"/>
    <mergeCell ref="CXA5:CXB5"/>
    <mergeCell ref="CXC5:CXD5"/>
    <mergeCell ref="CXE5:CXF5"/>
    <mergeCell ref="CXG5:CXH5"/>
    <mergeCell ref="CXI5:CXJ5"/>
    <mergeCell ref="CXK5:CXL5"/>
    <mergeCell ref="CXM5:CXN5"/>
    <mergeCell ref="CXO5:CXP5"/>
    <mergeCell ref="CXQ5:CXR5"/>
    <mergeCell ref="CXS5:CXT5"/>
    <mergeCell ref="CXU5:CXV5"/>
    <mergeCell ref="CXW5:CXX5"/>
    <mergeCell ref="CXY5:CXZ5"/>
    <mergeCell ref="CYA5:CYB5"/>
    <mergeCell ref="CYC5:CYD5"/>
    <mergeCell ref="CYE5:CYF5"/>
    <mergeCell ref="CYG5:CYH5"/>
    <mergeCell ref="CYI5:CYJ5"/>
    <mergeCell ref="CYK5:CYL5"/>
    <mergeCell ref="CYM5:CYN5"/>
    <mergeCell ref="CYO5:CYP5"/>
    <mergeCell ref="CYQ5:CYR5"/>
    <mergeCell ref="CYS5:CYT5"/>
    <mergeCell ref="CYU5:CYV5"/>
    <mergeCell ref="CYW5:CYX5"/>
    <mergeCell ref="CYY5:CYZ5"/>
    <mergeCell ref="CZA5:CZB5"/>
    <mergeCell ref="CZC5:CZD5"/>
    <mergeCell ref="CZE5:CZF5"/>
    <mergeCell ref="CZG5:CZH5"/>
    <mergeCell ref="CZI5:CZJ5"/>
    <mergeCell ref="CZK5:CZL5"/>
    <mergeCell ref="CZM5:CZN5"/>
    <mergeCell ref="CZO5:CZP5"/>
    <mergeCell ref="CZQ5:CZR5"/>
    <mergeCell ref="CZS5:CZT5"/>
    <mergeCell ref="CZU5:CZV5"/>
    <mergeCell ref="CZW5:CZX5"/>
    <mergeCell ref="CZY5:CZZ5"/>
    <mergeCell ref="DAA5:DAB5"/>
    <mergeCell ref="DAC5:DAD5"/>
    <mergeCell ref="DAE5:DAF5"/>
    <mergeCell ref="DAG5:DAH5"/>
    <mergeCell ref="DAI5:DAJ5"/>
    <mergeCell ref="DAK5:DAL5"/>
    <mergeCell ref="DAM5:DAN5"/>
    <mergeCell ref="DAO5:DAP5"/>
    <mergeCell ref="DAQ5:DAR5"/>
    <mergeCell ref="DAS5:DAT5"/>
    <mergeCell ref="DAU5:DAV5"/>
    <mergeCell ref="DAW5:DAX5"/>
    <mergeCell ref="DAY5:DAZ5"/>
    <mergeCell ref="DBA5:DBB5"/>
    <mergeCell ref="DBC5:DBD5"/>
    <mergeCell ref="DBE5:DBF5"/>
    <mergeCell ref="DBG5:DBH5"/>
    <mergeCell ref="DBI5:DBJ5"/>
    <mergeCell ref="DBK5:DBL5"/>
    <mergeCell ref="DBM5:DBN5"/>
    <mergeCell ref="DBO5:DBP5"/>
    <mergeCell ref="DBQ5:DBR5"/>
    <mergeCell ref="DBS5:DBT5"/>
    <mergeCell ref="DBU5:DBV5"/>
    <mergeCell ref="DBW5:DBX5"/>
    <mergeCell ref="DBY5:DBZ5"/>
    <mergeCell ref="DCA5:DCB5"/>
    <mergeCell ref="DCC5:DCD5"/>
    <mergeCell ref="DCE5:DCF5"/>
    <mergeCell ref="DCG5:DCH5"/>
    <mergeCell ref="DCI5:DCJ5"/>
    <mergeCell ref="DCK5:DCL5"/>
    <mergeCell ref="DCM5:DCN5"/>
    <mergeCell ref="DCO5:DCP5"/>
    <mergeCell ref="DCQ5:DCR5"/>
    <mergeCell ref="DCS5:DCT5"/>
    <mergeCell ref="DCU5:DCV5"/>
    <mergeCell ref="DCW5:DCX5"/>
    <mergeCell ref="DCY5:DCZ5"/>
    <mergeCell ref="DDA5:DDB5"/>
    <mergeCell ref="DDC5:DDD5"/>
    <mergeCell ref="DDE5:DDF5"/>
    <mergeCell ref="DDG5:DDH5"/>
    <mergeCell ref="DDI5:DDJ5"/>
    <mergeCell ref="DDK5:DDL5"/>
    <mergeCell ref="DDM5:DDN5"/>
    <mergeCell ref="DDO5:DDP5"/>
    <mergeCell ref="DDQ5:DDR5"/>
    <mergeCell ref="DDS5:DDT5"/>
    <mergeCell ref="DDU5:DDV5"/>
    <mergeCell ref="DDW5:DDX5"/>
    <mergeCell ref="DDY5:DDZ5"/>
    <mergeCell ref="DEA5:DEB5"/>
    <mergeCell ref="DEC5:DED5"/>
    <mergeCell ref="DEE5:DEF5"/>
    <mergeCell ref="DEG5:DEH5"/>
    <mergeCell ref="DEI5:DEJ5"/>
    <mergeCell ref="DEK5:DEL5"/>
    <mergeCell ref="DEM5:DEN5"/>
    <mergeCell ref="DEO5:DEP5"/>
    <mergeCell ref="DEQ5:DER5"/>
    <mergeCell ref="DES5:DET5"/>
    <mergeCell ref="DEU5:DEV5"/>
    <mergeCell ref="DEW5:DEX5"/>
    <mergeCell ref="DEY5:DEZ5"/>
    <mergeCell ref="DFA5:DFB5"/>
    <mergeCell ref="DFC5:DFD5"/>
    <mergeCell ref="DFE5:DFF5"/>
    <mergeCell ref="DFG5:DFH5"/>
    <mergeCell ref="DFI5:DFJ5"/>
    <mergeCell ref="DFK5:DFL5"/>
    <mergeCell ref="DFM5:DFN5"/>
    <mergeCell ref="DFO5:DFP5"/>
    <mergeCell ref="DFQ5:DFR5"/>
    <mergeCell ref="DFS5:DFT5"/>
    <mergeCell ref="DFU5:DFV5"/>
    <mergeCell ref="DFW5:DFX5"/>
    <mergeCell ref="DFY5:DFZ5"/>
    <mergeCell ref="DGA5:DGB5"/>
    <mergeCell ref="DGC5:DGD5"/>
    <mergeCell ref="DGE5:DGF5"/>
    <mergeCell ref="DGG5:DGH5"/>
    <mergeCell ref="DGI5:DGJ5"/>
    <mergeCell ref="DGK5:DGL5"/>
    <mergeCell ref="DGM5:DGN5"/>
    <mergeCell ref="DGO5:DGP5"/>
    <mergeCell ref="DGQ5:DGR5"/>
    <mergeCell ref="DGS5:DGT5"/>
    <mergeCell ref="DGU5:DGV5"/>
    <mergeCell ref="DGW5:DGX5"/>
    <mergeCell ref="DGY5:DGZ5"/>
    <mergeCell ref="DHA5:DHB5"/>
    <mergeCell ref="DHC5:DHD5"/>
    <mergeCell ref="DHE5:DHF5"/>
    <mergeCell ref="DHG5:DHH5"/>
    <mergeCell ref="DHI5:DHJ5"/>
    <mergeCell ref="DHK5:DHL5"/>
    <mergeCell ref="DHM5:DHN5"/>
    <mergeCell ref="DHO5:DHP5"/>
    <mergeCell ref="DHQ5:DHR5"/>
    <mergeCell ref="DHS5:DHT5"/>
    <mergeCell ref="DHU5:DHV5"/>
    <mergeCell ref="DHW5:DHX5"/>
    <mergeCell ref="DHY5:DHZ5"/>
    <mergeCell ref="DIA5:DIB5"/>
    <mergeCell ref="DIC5:DID5"/>
    <mergeCell ref="DIE5:DIF5"/>
    <mergeCell ref="DIG5:DIH5"/>
    <mergeCell ref="DII5:DIJ5"/>
    <mergeCell ref="DIK5:DIL5"/>
    <mergeCell ref="DIM5:DIN5"/>
    <mergeCell ref="DIO5:DIP5"/>
    <mergeCell ref="DIQ5:DIR5"/>
    <mergeCell ref="DIS5:DIT5"/>
    <mergeCell ref="DIU5:DIV5"/>
    <mergeCell ref="DIW5:DIX5"/>
    <mergeCell ref="DIY5:DIZ5"/>
    <mergeCell ref="DJA5:DJB5"/>
    <mergeCell ref="DJC5:DJD5"/>
    <mergeCell ref="DJE5:DJF5"/>
    <mergeCell ref="DJG5:DJH5"/>
    <mergeCell ref="DJI5:DJJ5"/>
    <mergeCell ref="DJK5:DJL5"/>
    <mergeCell ref="DJM5:DJN5"/>
    <mergeCell ref="DJO5:DJP5"/>
    <mergeCell ref="DJQ5:DJR5"/>
    <mergeCell ref="DJS5:DJT5"/>
    <mergeCell ref="DJU5:DJV5"/>
    <mergeCell ref="DJW5:DJX5"/>
    <mergeCell ref="DJY5:DJZ5"/>
    <mergeCell ref="DKA5:DKB5"/>
    <mergeCell ref="DKC5:DKD5"/>
    <mergeCell ref="DKE5:DKF5"/>
    <mergeCell ref="DKG5:DKH5"/>
    <mergeCell ref="DKI5:DKJ5"/>
    <mergeCell ref="DKK5:DKL5"/>
    <mergeCell ref="DKM5:DKN5"/>
    <mergeCell ref="DKO5:DKP5"/>
    <mergeCell ref="DKQ5:DKR5"/>
    <mergeCell ref="DKS5:DKT5"/>
    <mergeCell ref="DKU5:DKV5"/>
    <mergeCell ref="DKW5:DKX5"/>
    <mergeCell ref="DKY5:DKZ5"/>
    <mergeCell ref="DLA5:DLB5"/>
    <mergeCell ref="DLC5:DLD5"/>
    <mergeCell ref="DLE5:DLF5"/>
    <mergeCell ref="DLG5:DLH5"/>
    <mergeCell ref="DLI5:DLJ5"/>
    <mergeCell ref="DLK5:DLL5"/>
    <mergeCell ref="DLM5:DLN5"/>
    <mergeCell ref="DLO5:DLP5"/>
    <mergeCell ref="DLQ5:DLR5"/>
    <mergeCell ref="DLS5:DLT5"/>
    <mergeCell ref="DLU5:DLV5"/>
    <mergeCell ref="DLW5:DLX5"/>
    <mergeCell ref="DLY5:DLZ5"/>
    <mergeCell ref="DMA5:DMB5"/>
    <mergeCell ref="DMC5:DMD5"/>
    <mergeCell ref="DME5:DMF5"/>
    <mergeCell ref="DMG5:DMH5"/>
    <mergeCell ref="DMI5:DMJ5"/>
    <mergeCell ref="DMK5:DML5"/>
    <mergeCell ref="DMM5:DMN5"/>
    <mergeCell ref="DMO5:DMP5"/>
    <mergeCell ref="DMQ5:DMR5"/>
    <mergeCell ref="DMS5:DMT5"/>
    <mergeCell ref="DMU5:DMV5"/>
    <mergeCell ref="DMW5:DMX5"/>
    <mergeCell ref="DMY5:DMZ5"/>
    <mergeCell ref="DNA5:DNB5"/>
    <mergeCell ref="DNC5:DND5"/>
    <mergeCell ref="DNE5:DNF5"/>
    <mergeCell ref="DNG5:DNH5"/>
    <mergeCell ref="DNI5:DNJ5"/>
    <mergeCell ref="DNK5:DNL5"/>
    <mergeCell ref="DNM5:DNN5"/>
    <mergeCell ref="DNO5:DNP5"/>
    <mergeCell ref="DNQ5:DNR5"/>
    <mergeCell ref="DNS5:DNT5"/>
    <mergeCell ref="DNU5:DNV5"/>
    <mergeCell ref="DNW5:DNX5"/>
    <mergeCell ref="DNY5:DNZ5"/>
    <mergeCell ref="DOA5:DOB5"/>
    <mergeCell ref="DOC5:DOD5"/>
    <mergeCell ref="DOE5:DOF5"/>
    <mergeCell ref="DOG5:DOH5"/>
    <mergeCell ref="DOI5:DOJ5"/>
    <mergeCell ref="DOK5:DOL5"/>
    <mergeCell ref="DOM5:DON5"/>
    <mergeCell ref="DOO5:DOP5"/>
    <mergeCell ref="DOQ5:DOR5"/>
    <mergeCell ref="DOS5:DOT5"/>
    <mergeCell ref="DOU5:DOV5"/>
    <mergeCell ref="DOW5:DOX5"/>
    <mergeCell ref="DOY5:DOZ5"/>
    <mergeCell ref="DPA5:DPB5"/>
    <mergeCell ref="DPC5:DPD5"/>
    <mergeCell ref="DPE5:DPF5"/>
    <mergeCell ref="DPG5:DPH5"/>
    <mergeCell ref="DPI5:DPJ5"/>
    <mergeCell ref="DPK5:DPL5"/>
    <mergeCell ref="DPM5:DPN5"/>
    <mergeCell ref="DPO5:DPP5"/>
    <mergeCell ref="DPQ5:DPR5"/>
    <mergeCell ref="DPS5:DPT5"/>
    <mergeCell ref="DPU5:DPV5"/>
    <mergeCell ref="DPW5:DPX5"/>
    <mergeCell ref="DPY5:DPZ5"/>
    <mergeCell ref="DQA5:DQB5"/>
    <mergeCell ref="DQC5:DQD5"/>
    <mergeCell ref="DQE5:DQF5"/>
    <mergeCell ref="DQG5:DQH5"/>
    <mergeCell ref="DQI5:DQJ5"/>
    <mergeCell ref="DQK5:DQL5"/>
    <mergeCell ref="DQM5:DQN5"/>
    <mergeCell ref="DQO5:DQP5"/>
    <mergeCell ref="DQQ5:DQR5"/>
    <mergeCell ref="DQS5:DQT5"/>
    <mergeCell ref="DQU5:DQV5"/>
    <mergeCell ref="DQW5:DQX5"/>
    <mergeCell ref="DQY5:DQZ5"/>
    <mergeCell ref="DRA5:DRB5"/>
    <mergeCell ref="DRC5:DRD5"/>
    <mergeCell ref="DRE5:DRF5"/>
    <mergeCell ref="DRG5:DRH5"/>
    <mergeCell ref="DRI5:DRJ5"/>
    <mergeCell ref="DRK5:DRL5"/>
    <mergeCell ref="DRM5:DRN5"/>
    <mergeCell ref="DRO5:DRP5"/>
    <mergeCell ref="DRQ5:DRR5"/>
    <mergeCell ref="DRS5:DRT5"/>
    <mergeCell ref="DRU5:DRV5"/>
    <mergeCell ref="DRW5:DRX5"/>
    <mergeCell ref="DRY5:DRZ5"/>
    <mergeCell ref="DSA5:DSB5"/>
    <mergeCell ref="DSC5:DSD5"/>
    <mergeCell ref="DSE5:DSF5"/>
    <mergeCell ref="DSG5:DSH5"/>
    <mergeCell ref="DSI5:DSJ5"/>
    <mergeCell ref="DSK5:DSL5"/>
    <mergeCell ref="DSM5:DSN5"/>
    <mergeCell ref="DSO5:DSP5"/>
    <mergeCell ref="DSQ5:DSR5"/>
    <mergeCell ref="DSS5:DST5"/>
    <mergeCell ref="DSU5:DSV5"/>
    <mergeCell ref="DSW5:DSX5"/>
    <mergeCell ref="DSY5:DSZ5"/>
    <mergeCell ref="DTA5:DTB5"/>
    <mergeCell ref="DTC5:DTD5"/>
    <mergeCell ref="DTE5:DTF5"/>
    <mergeCell ref="DTG5:DTH5"/>
    <mergeCell ref="DTI5:DTJ5"/>
    <mergeCell ref="DTK5:DTL5"/>
    <mergeCell ref="DTM5:DTN5"/>
    <mergeCell ref="DTO5:DTP5"/>
    <mergeCell ref="DTQ5:DTR5"/>
    <mergeCell ref="DTS5:DTT5"/>
    <mergeCell ref="DTU5:DTV5"/>
    <mergeCell ref="DTW5:DTX5"/>
    <mergeCell ref="DTY5:DTZ5"/>
    <mergeCell ref="DUA5:DUB5"/>
    <mergeCell ref="DUC5:DUD5"/>
    <mergeCell ref="DUE5:DUF5"/>
    <mergeCell ref="DUG5:DUH5"/>
    <mergeCell ref="DUI5:DUJ5"/>
    <mergeCell ref="DUK5:DUL5"/>
    <mergeCell ref="DUM5:DUN5"/>
    <mergeCell ref="DUO5:DUP5"/>
    <mergeCell ref="DUQ5:DUR5"/>
    <mergeCell ref="DUS5:DUT5"/>
    <mergeCell ref="DUU5:DUV5"/>
    <mergeCell ref="DUW5:DUX5"/>
    <mergeCell ref="DUY5:DUZ5"/>
    <mergeCell ref="DVA5:DVB5"/>
    <mergeCell ref="DVC5:DVD5"/>
    <mergeCell ref="DVE5:DVF5"/>
    <mergeCell ref="DVG5:DVH5"/>
    <mergeCell ref="DVI5:DVJ5"/>
    <mergeCell ref="DVK5:DVL5"/>
    <mergeCell ref="DVM5:DVN5"/>
    <mergeCell ref="DVO5:DVP5"/>
    <mergeCell ref="DVQ5:DVR5"/>
    <mergeCell ref="DVS5:DVT5"/>
    <mergeCell ref="DVU5:DVV5"/>
    <mergeCell ref="DVW5:DVX5"/>
    <mergeCell ref="DVY5:DVZ5"/>
    <mergeCell ref="DWA5:DWB5"/>
    <mergeCell ref="DWC5:DWD5"/>
    <mergeCell ref="DWE5:DWF5"/>
    <mergeCell ref="DWG5:DWH5"/>
    <mergeCell ref="DWI5:DWJ5"/>
    <mergeCell ref="DWK5:DWL5"/>
    <mergeCell ref="DWM5:DWN5"/>
    <mergeCell ref="DWO5:DWP5"/>
    <mergeCell ref="DWQ5:DWR5"/>
    <mergeCell ref="DWS5:DWT5"/>
    <mergeCell ref="DWU5:DWV5"/>
    <mergeCell ref="DWW5:DWX5"/>
    <mergeCell ref="DWY5:DWZ5"/>
    <mergeCell ref="DXA5:DXB5"/>
    <mergeCell ref="DXC5:DXD5"/>
    <mergeCell ref="DXE5:DXF5"/>
    <mergeCell ref="DXG5:DXH5"/>
    <mergeCell ref="DXI5:DXJ5"/>
    <mergeCell ref="DXK5:DXL5"/>
    <mergeCell ref="DXM5:DXN5"/>
    <mergeCell ref="DXO5:DXP5"/>
    <mergeCell ref="DXQ5:DXR5"/>
    <mergeCell ref="DXS5:DXT5"/>
    <mergeCell ref="DXU5:DXV5"/>
    <mergeCell ref="DXW5:DXX5"/>
    <mergeCell ref="DXY5:DXZ5"/>
    <mergeCell ref="DYA5:DYB5"/>
    <mergeCell ref="DYC5:DYD5"/>
    <mergeCell ref="DYE5:DYF5"/>
    <mergeCell ref="DYG5:DYH5"/>
    <mergeCell ref="DYI5:DYJ5"/>
    <mergeCell ref="DYK5:DYL5"/>
    <mergeCell ref="DYM5:DYN5"/>
    <mergeCell ref="DYO5:DYP5"/>
    <mergeCell ref="DYQ5:DYR5"/>
    <mergeCell ref="DYS5:DYT5"/>
    <mergeCell ref="DYU5:DYV5"/>
    <mergeCell ref="DYW5:DYX5"/>
    <mergeCell ref="DYY5:DYZ5"/>
    <mergeCell ref="DZA5:DZB5"/>
    <mergeCell ref="DZC5:DZD5"/>
    <mergeCell ref="DZE5:DZF5"/>
    <mergeCell ref="DZG5:DZH5"/>
    <mergeCell ref="DZI5:DZJ5"/>
    <mergeCell ref="DZK5:DZL5"/>
    <mergeCell ref="DZM5:DZN5"/>
    <mergeCell ref="DZO5:DZP5"/>
    <mergeCell ref="DZQ5:DZR5"/>
    <mergeCell ref="DZS5:DZT5"/>
    <mergeCell ref="DZU5:DZV5"/>
    <mergeCell ref="DZW5:DZX5"/>
    <mergeCell ref="DZY5:DZZ5"/>
    <mergeCell ref="EAA5:EAB5"/>
    <mergeCell ref="EAC5:EAD5"/>
    <mergeCell ref="EAE5:EAF5"/>
    <mergeCell ref="EAG5:EAH5"/>
    <mergeCell ref="EAI5:EAJ5"/>
    <mergeCell ref="EAK5:EAL5"/>
    <mergeCell ref="EAM5:EAN5"/>
    <mergeCell ref="EAO5:EAP5"/>
    <mergeCell ref="EAQ5:EAR5"/>
    <mergeCell ref="EAS5:EAT5"/>
    <mergeCell ref="EAU5:EAV5"/>
    <mergeCell ref="EAW5:EAX5"/>
    <mergeCell ref="EAY5:EAZ5"/>
    <mergeCell ref="EBA5:EBB5"/>
    <mergeCell ref="EBC5:EBD5"/>
    <mergeCell ref="EBE5:EBF5"/>
    <mergeCell ref="EBG5:EBH5"/>
    <mergeCell ref="EBI5:EBJ5"/>
    <mergeCell ref="EBK5:EBL5"/>
    <mergeCell ref="EBM5:EBN5"/>
    <mergeCell ref="EBO5:EBP5"/>
    <mergeCell ref="EBQ5:EBR5"/>
    <mergeCell ref="EBS5:EBT5"/>
    <mergeCell ref="EBU5:EBV5"/>
    <mergeCell ref="EBW5:EBX5"/>
    <mergeCell ref="EBY5:EBZ5"/>
    <mergeCell ref="ECA5:ECB5"/>
    <mergeCell ref="ECC5:ECD5"/>
    <mergeCell ref="ECE5:ECF5"/>
    <mergeCell ref="ECG5:ECH5"/>
    <mergeCell ref="ECI5:ECJ5"/>
    <mergeCell ref="ECK5:ECL5"/>
    <mergeCell ref="ECM5:ECN5"/>
    <mergeCell ref="ECO5:ECP5"/>
    <mergeCell ref="ECQ5:ECR5"/>
    <mergeCell ref="ECS5:ECT5"/>
    <mergeCell ref="ECU5:ECV5"/>
    <mergeCell ref="ECW5:ECX5"/>
    <mergeCell ref="ECY5:ECZ5"/>
    <mergeCell ref="EDA5:EDB5"/>
    <mergeCell ref="EDC5:EDD5"/>
    <mergeCell ref="EDE5:EDF5"/>
    <mergeCell ref="EDG5:EDH5"/>
    <mergeCell ref="EDI5:EDJ5"/>
    <mergeCell ref="EDK5:EDL5"/>
    <mergeCell ref="EDM5:EDN5"/>
    <mergeCell ref="EDO5:EDP5"/>
    <mergeCell ref="EDQ5:EDR5"/>
    <mergeCell ref="EDS5:EDT5"/>
    <mergeCell ref="EDU5:EDV5"/>
    <mergeCell ref="EDW5:EDX5"/>
    <mergeCell ref="EDY5:EDZ5"/>
    <mergeCell ref="EEA5:EEB5"/>
    <mergeCell ref="EEC5:EED5"/>
    <mergeCell ref="EEE5:EEF5"/>
    <mergeCell ref="EEG5:EEH5"/>
    <mergeCell ref="EEI5:EEJ5"/>
    <mergeCell ref="EEK5:EEL5"/>
    <mergeCell ref="EEM5:EEN5"/>
    <mergeCell ref="EEO5:EEP5"/>
    <mergeCell ref="EEQ5:EER5"/>
    <mergeCell ref="EES5:EET5"/>
    <mergeCell ref="EEU5:EEV5"/>
    <mergeCell ref="EEW5:EEX5"/>
    <mergeCell ref="EEY5:EEZ5"/>
    <mergeCell ref="EFA5:EFB5"/>
    <mergeCell ref="EFC5:EFD5"/>
    <mergeCell ref="EFE5:EFF5"/>
    <mergeCell ref="EFG5:EFH5"/>
    <mergeCell ref="EFI5:EFJ5"/>
    <mergeCell ref="EFK5:EFL5"/>
    <mergeCell ref="EFM5:EFN5"/>
    <mergeCell ref="EFO5:EFP5"/>
    <mergeCell ref="EFQ5:EFR5"/>
    <mergeCell ref="EFS5:EFT5"/>
    <mergeCell ref="EFU5:EFV5"/>
    <mergeCell ref="EFW5:EFX5"/>
    <mergeCell ref="EFY5:EFZ5"/>
    <mergeCell ref="EGA5:EGB5"/>
    <mergeCell ref="EGC5:EGD5"/>
    <mergeCell ref="EGE5:EGF5"/>
    <mergeCell ref="EGG5:EGH5"/>
    <mergeCell ref="EGI5:EGJ5"/>
    <mergeCell ref="EGK5:EGL5"/>
    <mergeCell ref="EGM5:EGN5"/>
    <mergeCell ref="EGO5:EGP5"/>
    <mergeCell ref="EGQ5:EGR5"/>
    <mergeCell ref="EGS5:EGT5"/>
    <mergeCell ref="EGU5:EGV5"/>
    <mergeCell ref="EGW5:EGX5"/>
    <mergeCell ref="EGY5:EGZ5"/>
    <mergeCell ref="EHA5:EHB5"/>
    <mergeCell ref="EHC5:EHD5"/>
    <mergeCell ref="EHE5:EHF5"/>
    <mergeCell ref="EHG5:EHH5"/>
    <mergeCell ref="EHI5:EHJ5"/>
    <mergeCell ref="EHK5:EHL5"/>
    <mergeCell ref="EHM5:EHN5"/>
    <mergeCell ref="EHO5:EHP5"/>
    <mergeCell ref="EHQ5:EHR5"/>
    <mergeCell ref="EHS5:EHT5"/>
    <mergeCell ref="EHU5:EHV5"/>
    <mergeCell ref="EHW5:EHX5"/>
    <mergeCell ref="EHY5:EHZ5"/>
    <mergeCell ref="EIA5:EIB5"/>
    <mergeCell ref="EIC5:EID5"/>
    <mergeCell ref="EIE5:EIF5"/>
    <mergeCell ref="EIG5:EIH5"/>
    <mergeCell ref="EII5:EIJ5"/>
    <mergeCell ref="EIK5:EIL5"/>
    <mergeCell ref="EIM5:EIN5"/>
    <mergeCell ref="EIO5:EIP5"/>
    <mergeCell ref="EIQ5:EIR5"/>
    <mergeCell ref="EIS5:EIT5"/>
    <mergeCell ref="EIU5:EIV5"/>
    <mergeCell ref="EIW5:EIX5"/>
    <mergeCell ref="EIY5:EIZ5"/>
    <mergeCell ref="EJA5:EJB5"/>
    <mergeCell ref="EJC5:EJD5"/>
    <mergeCell ref="EJE5:EJF5"/>
    <mergeCell ref="EJG5:EJH5"/>
    <mergeCell ref="EJI5:EJJ5"/>
    <mergeCell ref="EJK5:EJL5"/>
    <mergeCell ref="EJM5:EJN5"/>
    <mergeCell ref="EJO5:EJP5"/>
    <mergeCell ref="EJQ5:EJR5"/>
    <mergeCell ref="EJS5:EJT5"/>
    <mergeCell ref="EJU5:EJV5"/>
    <mergeCell ref="EJW5:EJX5"/>
    <mergeCell ref="EJY5:EJZ5"/>
    <mergeCell ref="EKA5:EKB5"/>
    <mergeCell ref="EKC5:EKD5"/>
    <mergeCell ref="EKE5:EKF5"/>
    <mergeCell ref="EKG5:EKH5"/>
    <mergeCell ref="EKI5:EKJ5"/>
    <mergeCell ref="EKK5:EKL5"/>
    <mergeCell ref="EKM5:EKN5"/>
    <mergeCell ref="EKO5:EKP5"/>
    <mergeCell ref="EKQ5:EKR5"/>
    <mergeCell ref="EKS5:EKT5"/>
    <mergeCell ref="EKU5:EKV5"/>
    <mergeCell ref="EKW5:EKX5"/>
    <mergeCell ref="EKY5:EKZ5"/>
    <mergeCell ref="ELA5:ELB5"/>
    <mergeCell ref="ELC5:ELD5"/>
    <mergeCell ref="ELE5:ELF5"/>
    <mergeCell ref="ELG5:ELH5"/>
    <mergeCell ref="ELI5:ELJ5"/>
    <mergeCell ref="ELK5:ELL5"/>
    <mergeCell ref="ELM5:ELN5"/>
    <mergeCell ref="ELO5:ELP5"/>
    <mergeCell ref="ELQ5:ELR5"/>
    <mergeCell ref="ELS5:ELT5"/>
    <mergeCell ref="ELU5:ELV5"/>
    <mergeCell ref="ELW5:ELX5"/>
    <mergeCell ref="ELY5:ELZ5"/>
    <mergeCell ref="EMA5:EMB5"/>
    <mergeCell ref="EMC5:EMD5"/>
    <mergeCell ref="EME5:EMF5"/>
    <mergeCell ref="EMG5:EMH5"/>
    <mergeCell ref="EMI5:EMJ5"/>
    <mergeCell ref="EMK5:EML5"/>
    <mergeCell ref="EMM5:EMN5"/>
    <mergeCell ref="EMO5:EMP5"/>
    <mergeCell ref="EMQ5:EMR5"/>
    <mergeCell ref="EMS5:EMT5"/>
    <mergeCell ref="EMU5:EMV5"/>
    <mergeCell ref="EMW5:EMX5"/>
    <mergeCell ref="EMY5:EMZ5"/>
    <mergeCell ref="ENA5:ENB5"/>
    <mergeCell ref="ENC5:END5"/>
    <mergeCell ref="ENE5:ENF5"/>
    <mergeCell ref="ENG5:ENH5"/>
    <mergeCell ref="ENI5:ENJ5"/>
    <mergeCell ref="ENK5:ENL5"/>
    <mergeCell ref="ENM5:ENN5"/>
    <mergeCell ref="ENO5:ENP5"/>
    <mergeCell ref="ENQ5:ENR5"/>
    <mergeCell ref="ENS5:ENT5"/>
    <mergeCell ref="ENU5:ENV5"/>
    <mergeCell ref="ENW5:ENX5"/>
    <mergeCell ref="ENY5:ENZ5"/>
    <mergeCell ref="EOA5:EOB5"/>
    <mergeCell ref="EOC5:EOD5"/>
    <mergeCell ref="EOE5:EOF5"/>
    <mergeCell ref="EOG5:EOH5"/>
    <mergeCell ref="EOI5:EOJ5"/>
    <mergeCell ref="EOK5:EOL5"/>
    <mergeCell ref="EOM5:EON5"/>
    <mergeCell ref="EOO5:EOP5"/>
    <mergeCell ref="EOQ5:EOR5"/>
    <mergeCell ref="EOS5:EOT5"/>
    <mergeCell ref="EOU5:EOV5"/>
    <mergeCell ref="EOW5:EOX5"/>
    <mergeCell ref="EOY5:EOZ5"/>
    <mergeCell ref="EPA5:EPB5"/>
    <mergeCell ref="EPC5:EPD5"/>
    <mergeCell ref="EPE5:EPF5"/>
    <mergeCell ref="EPG5:EPH5"/>
    <mergeCell ref="EPI5:EPJ5"/>
    <mergeCell ref="EPK5:EPL5"/>
    <mergeCell ref="EPM5:EPN5"/>
    <mergeCell ref="EPO5:EPP5"/>
    <mergeCell ref="EPQ5:EPR5"/>
    <mergeCell ref="EPS5:EPT5"/>
    <mergeCell ref="EPU5:EPV5"/>
    <mergeCell ref="EPW5:EPX5"/>
    <mergeCell ref="EPY5:EPZ5"/>
    <mergeCell ref="EQA5:EQB5"/>
    <mergeCell ref="EQC5:EQD5"/>
    <mergeCell ref="EQE5:EQF5"/>
    <mergeCell ref="EQG5:EQH5"/>
    <mergeCell ref="EQI5:EQJ5"/>
    <mergeCell ref="EQK5:EQL5"/>
    <mergeCell ref="EQM5:EQN5"/>
    <mergeCell ref="EQO5:EQP5"/>
    <mergeCell ref="EQQ5:EQR5"/>
    <mergeCell ref="EQS5:EQT5"/>
    <mergeCell ref="EQU5:EQV5"/>
    <mergeCell ref="EQW5:EQX5"/>
    <mergeCell ref="EQY5:EQZ5"/>
    <mergeCell ref="ERA5:ERB5"/>
    <mergeCell ref="ERC5:ERD5"/>
    <mergeCell ref="ERE5:ERF5"/>
    <mergeCell ref="ERG5:ERH5"/>
    <mergeCell ref="ERI5:ERJ5"/>
    <mergeCell ref="ERK5:ERL5"/>
    <mergeCell ref="ERM5:ERN5"/>
    <mergeCell ref="ERO5:ERP5"/>
    <mergeCell ref="ERQ5:ERR5"/>
    <mergeCell ref="ERS5:ERT5"/>
    <mergeCell ref="ERU5:ERV5"/>
    <mergeCell ref="ERW5:ERX5"/>
    <mergeCell ref="ERY5:ERZ5"/>
    <mergeCell ref="ESA5:ESB5"/>
    <mergeCell ref="ESC5:ESD5"/>
    <mergeCell ref="ESE5:ESF5"/>
    <mergeCell ref="ESG5:ESH5"/>
    <mergeCell ref="ESI5:ESJ5"/>
    <mergeCell ref="ESK5:ESL5"/>
    <mergeCell ref="ESM5:ESN5"/>
    <mergeCell ref="ESO5:ESP5"/>
    <mergeCell ref="ESQ5:ESR5"/>
    <mergeCell ref="ESS5:EST5"/>
    <mergeCell ref="ESU5:ESV5"/>
    <mergeCell ref="ESW5:ESX5"/>
    <mergeCell ref="ESY5:ESZ5"/>
    <mergeCell ref="ETA5:ETB5"/>
    <mergeCell ref="ETC5:ETD5"/>
    <mergeCell ref="ETE5:ETF5"/>
    <mergeCell ref="ETG5:ETH5"/>
    <mergeCell ref="ETI5:ETJ5"/>
    <mergeCell ref="ETK5:ETL5"/>
    <mergeCell ref="ETM5:ETN5"/>
    <mergeCell ref="ETO5:ETP5"/>
    <mergeCell ref="ETQ5:ETR5"/>
    <mergeCell ref="ETS5:ETT5"/>
    <mergeCell ref="ETU5:ETV5"/>
    <mergeCell ref="ETW5:ETX5"/>
    <mergeCell ref="ETY5:ETZ5"/>
    <mergeCell ref="EUA5:EUB5"/>
    <mergeCell ref="EUC5:EUD5"/>
    <mergeCell ref="EUE5:EUF5"/>
    <mergeCell ref="EUG5:EUH5"/>
    <mergeCell ref="EUI5:EUJ5"/>
    <mergeCell ref="EUK5:EUL5"/>
    <mergeCell ref="EUM5:EUN5"/>
    <mergeCell ref="EUO5:EUP5"/>
    <mergeCell ref="EUQ5:EUR5"/>
    <mergeCell ref="EUS5:EUT5"/>
    <mergeCell ref="EUU5:EUV5"/>
    <mergeCell ref="EUW5:EUX5"/>
    <mergeCell ref="EUY5:EUZ5"/>
    <mergeCell ref="EVA5:EVB5"/>
    <mergeCell ref="EVC5:EVD5"/>
    <mergeCell ref="EVE5:EVF5"/>
    <mergeCell ref="EVG5:EVH5"/>
    <mergeCell ref="EVI5:EVJ5"/>
    <mergeCell ref="EVK5:EVL5"/>
    <mergeCell ref="EVM5:EVN5"/>
    <mergeCell ref="EVO5:EVP5"/>
    <mergeCell ref="EVQ5:EVR5"/>
    <mergeCell ref="EVS5:EVT5"/>
    <mergeCell ref="EVU5:EVV5"/>
    <mergeCell ref="EVW5:EVX5"/>
    <mergeCell ref="EVY5:EVZ5"/>
    <mergeCell ref="EWA5:EWB5"/>
    <mergeCell ref="EWC5:EWD5"/>
    <mergeCell ref="EWE5:EWF5"/>
    <mergeCell ref="EWG5:EWH5"/>
    <mergeCell ref="EWI5:EWJ5"/>
    <mergeCell ref="EWK5:EWL5"/>
    <mergeCell ref="EWM5:EWN5"/>
    <mergeCell ref="EWO5:EWP5"/>
    <mergeCell ref="EWQ5:EWR5"/>
    <mergeCell ref="EWS5:EWT5"/>
    <mergeCell ref="EWU5:EWV5"/>
    <mergeCell ref="EWW5:EWX5"/>
    <mergeCell ref="EWY5:EWZ5"/>
    <mergeCell ref="EXA5:EXB5"/>
    <mergeCell ref="EXC5:EXD5"/>
    <mergeCell ref="EXE5:EXF5"/>
    <mergeCell ref="EXG5:EXH5"/>
    <mergeCell ref="EXI5:EXJ5"/>
    <mergeCell ref="EXK5:EXL5"/>
    <mergeCell ref="EXM5:EXN5"/>
    <mergeCell ref="EXO5:EXP5"/>
    <mergeCell ref="EXQ5:EXR5"/>
    <mergeCell ref="EXS5:EXT5"/>
    <mergeCell ref="EXU5:EXV5"/>
    <mergeCell ref="EXW5:EXX5"/>
    <mergeCell ref="EXY5:EXZ5"/>
    <mergeCell ref="EYA5:EYB5"/>
    <mergeCell ref="EYC5:EYD5"/>
    <mergeCell ref="EYE5:EYF5"/>
    <mergeCell ref="EYG5:EYH5"/>
    <mergeCell ref="EYI5:EYJ5"/>
    <mergeCell ref="EYK5:EYL5"/>
    <mergeCell ref="EYM5:EYN5"/>
    <mergeCell ref="EYO5:EYP5"/>
    <mergeCell ref="EYQ5:EYR5"/>
    <mergeCell ref="EYS5:EYT5"/>
    <mergeCell ref="EYU5:EYV5"/>
    <mergeCell ref="EYW5:EYX5"/>
    <mergeCell ref="EYY5:EYZ5"/>
    <mergeCell ref="EZA5:EZB5"/>
    <mergeCell ref="EZC5:EZD5"/>
    <mergeCell ref="EZE5:EZF5"/>
    <mergeCell ref="EZG5:EZH5"/>
    <mergeCell ref="EZI5:EZJ5"/>
    <mergeCell ref="EZK5:EZL5"/>
    <mergeCell ref="EZM5:EZN5"/>
    <mergeCell ref="EZO5:EZP5"/>
    <mergeCell ref="EZQ5:EZR5"/>
    <mergeCell ref="EZS5:EZT5"/>
    <mergeCell ref="EZU5:EZV5"/>
    <mergeCell ref="EZW5:EZX5"/>
    <mergeCell ref="EZY5:EZZ5"/>
    <mergeCell ref="FAA5:FAB5"/>
    <mergeCell ref="FAC5:FAD5"/>
    <mergeCell ref="FAE5:FAF5"/>
    <mergeCell ref="FAG5:FAH5"/>
    <mergeCell ref="FAI5:FAJ5"/>
    <mergeCell ref="FAK5:FAL5"/>
    <mergeCell ref="FAM5:FAN5"/>
    <mergeCell ref="FAO5:FAP5"/>
    <mergeCell ref="FAQ5:FAR5"/>
    <mergeCell ref="FAS5:FAT5"/>
    <mergeCell ref="FAU5:FAV5"/>
    <mergeCell ref="FAW5:FAX5"/>
    <mergeCell ref="FAY5:FAZ5"/>
    <mergeCell ref="FBA5:FBB5"/>
    <mergeCell ref="FBC5:FBD5"/>
    <mergeCell ref="FBE5:FBF5"/>
    <mergeCell ref="FBG5:FBH5"/>
    <mergeCell ref="FBI5:FBJ5"/>
    <mergeCell ref="FBK5:FBL5"/>
    <mergeCell ref="FBM5:FBN5"/>
    <mergeCell ref="FBO5:FBP5"/>
    <mergeCell ref="FBQ5:FBR5"/>
    <mergeCell ref="FBS5:FBT5"/>
    <mergeCell ref="FBU5:FBV5"/>
    <mergeCell ref="FBW5:FBX5"/>
    <mergeCell ref="FBY5:FBZ5"/>
    <mergeCell ref="FCA5:FCB5"/>
    <mergeCell ref="FCC5:FCD5"/>
    <mergeCell ref="FCE5:FCF5"/>
    <mergeCell ref="FCG5:FCH5"/>
    <mergeCell ref="FCI5:FCJ5"/>
    <mergeCell ref="FCK5:FCL5"/>
    <mergeCell ref="FCM5:FCN5"/>
    <mergeCell ref="FCO5:FCP5"/>
    <mergeCell ref="FCQ5:FCR5"/>
    <mergeCell ref="FCS5:FCT5"/>
    <mergeCell ref="FCU5:FCV5"/>
    <mergeCell ref="FCW5:FCX5"/>
    <mergeCell ref="FCY5:FCZ5"/>
    <mergeCell ref="FDA5:FDB5"/>
    <mergeCell ref="FDC5:FDD5"/>
    <mergeCell ref="FDE5:FDF5"/>
    <mergeCell ref="FDG5:FDH5"/>
    <mergeCell ref="FDI5:FDJ5"/>
    <mergeCell ref="FDK5:FDL5"/>
    <mergeCell ref="FDM5:FDN5"/>
    <mergeCell ref="FDO5:FDP5"/>
    <mergeCell ref="FDQ5:FDR5"/>
    <mergeCell ref="FDS5:FDT5"/>
    <mergeCell ref="FDU5:FDV5"/>
    <mergeCell ref="FDW5:FDX5"/>
    <mergeCell ref="FDY5:FDZ5"/>
    <mergeCell ref="FEA5:FEB5"/>
    <mergeCell ref="FEC5:FED5"/>
    <mergeCell ref="FEE5:FEF5"/>
    <mergeCell ref="FEG5:FEH5"/>
    <mergeCell ref="FEI5:FEJ5"/>
    <mergeCell ref="FEK5:FEL5"/>
    <mergeCell ref="FEM5:FEN5"/>
    <mergeCell ref="FEO5:FEP5"/>
    <mergeCell ref="FEQ5:FER5"/>
    <mergeCell ref="FES5:FET5"/>
    <mergeCell ref="FEU5:FEV5"/>
    <mergeCell ref="FEW5:FEX5"/>
    <mergeCell ref="FEY5:FEZ5"/>
    <mergeCell ref="FFA5:FFB5"/>
    <mergeCell ref="FFC5:FFD5"/>
    <mergeCell ref="FFE5:FFF5"/>
    <mergeCell ref="FFG5:FFH5"/>
    <mergeCell ref="FFI5:FFJ5"/>
    <mergeCell ref="FFK5:FFL5"/>
    <mergeCell ref="FFM5:FFN5"/>
    <mergeCell ref="FFO5:FFP5"/>
    <mergeCell ref="FFQ5:FFR5"/>
    <mergeCell ref="FFS5:FFT5"/>
    <mergeCell ref="FFU5:FFV5"/>
    <mergeCell ref="FFW5:FFX5"/>
    <mergeCell ref="FFY5:FFZ5"/>
    <mergeCell ref="FGA5:FGB5"/>
    <mergeCell ref="FGC5:FGD5"/>
    <mergeCell ref="FGE5:FGF5"/>
    <mergeCell ref="FGG5:FGH5"/>
    <mergeCell ref="FGI5:FGJ5"/>
    <mergeCell ref="FGK5:FGL5"/>
    <mergeCell ref="FGM5:FGN5"/>
    <mergeCell ref="FGO5:FGP5"/>
    <mergeCell ref="FGQ5:FGR5"/>
    <mergeCell ref="FGS5:FGT5"/>
    <mergeCell ref="FGU5:FGV5"/>
    <mergeCell ref="FGW5:FGX5"/>
    <mergeCell ref="FGY5:FGZ5"/>
    <mergeCell ref="FHA5:FHB5"/>
    <mergeCell ref="FHC5:FHD5"/>
    <mergeCell ref="FHE5:FHF5"/>
    <mergeCell ref="FHG5:FHH5"/>
    <mergeCell ref="FHI5:FHJ5"/>
    <mergeCell ref="FHK5:FHL5"/>
    <mergeCell ref="FHM5:FHN5"/>
    <mergeCell ref="FHO5:FHP5"/>
    <mergeCell ref="FHQ5:FHR5"/>
    <mergeCell ref="FHS5:FHT5"/>
    <mergeCell ref="FHU5:FHV5"/>
    <mergeCell ref="FHW5:FHX5"/>
    <mergeCell ref="FHY5:FHZ5"/>
    <mergeCell ref="FIA5:FIB5"/>
    <mergeCell ref="FIC5:FID5"/>
    <mergeCell ref="FIE5:FIF5"/>
    <mergeCell ref="FIG5:FIH5"/>
    <mergeCell ref="FII5:FIJ5"/>
    <mergeCell ref="FIK5:FIL5"/>
    <mergeCell ref="FIM5:FIN5"/>
    <mergeCell ref="FIO5:FIP5"/>
    <mergeCell ref="FIQ5:FIR5"/>
    <mergeCell ref="FIS5:FIT5"/>
    <mergeCell ref="FIU5:FIV5"/>
    <mergeCell ref="FIW5:FIX5"/>
    <mergeCell ref="FIY5:FIZ5"/>
    <mergeCell ref="FJA5:FJB5"/>
    <mergeCell ref="FJC5:FJD5"/>
    <mergeCell ref="FJE5:FJF5"/>
    <mergeCell ref="FJG5:FJH5"/>
    <mergeCell ref="FJI5:FJJ5"/>
    <mergeCell ref="FJK5:FJL5"/>
    <mergeCell ref="FJM5:FJN5"/>
    <mergeCell ref="FJO5:FJP5"/>
    <mergeCell ref="FJQ5:FJR5"/>
    <mergeCell ref="FJS5:FJT5"/>
    <mergeCell ref="FJU5:FJV5"/>
    <mergeCell ref="FJW5:FJX5"/>
    <mergeCell ref="FJY5:FJZ5"/>
    <mergeCell ref="FKA5:FKB5"/>
    <mergeCell ref="FKC5:FKD5"/>
    <mergeCell ref="FKE5:FKF5"/>
    <mergeCell ref="FKG5:FKH5"/>
    <mergeCell ref="FKI5:FKJ5"/>
    <mergeCell ref="FKK5:FKL5"/>
    <mergeCell ref="FKM5:FKN5"/>
    <mergeCell ref="FKO5:FKP5"/>
    <mergeCell ref="FKQ5:FKR5"/>
    <mergeCell ref="FKS5:FKT5"/>
    <mergeCell ref="FKU5:FKV5"/>
    <mergeCell ref="FKW5:FKX5"/>
    <mergeCell ref="FKY5:FKZ5"/>
    <mergeCell ref="FLA5:FLB5"/>
    <mergeCell ref="FLC5:FLD5"/>
    <mergeCell ref="FLE5:FLF5"/>
    <mergeCell ref="FLG5:FLH5"/>
    <mergeCell ref="FLI5:FLJ5"/>
    <mergeCell ref="FLK5:FLL5"/>
    <mergeCell ref="FLM5:FLN5"/>
    <mergeCell ref="FLO5:FLP5"/>
    <mergeCell ref="FLQ5:FLR5"/>
    <mergeCell ref="FLS5:FLT5"/>
    <mergeCell ref="FLU5:FLV5"/>
    <mergeCell ref="FLW5:FLX5"/>
    <mergeCell ref="FLY5:FLZ5"/>
    <mergeCell ref="FMA5:FMB5"/>
    <mergeCell ref="FMC5:FMD5"/>
    <mergeCell ref="FME5:FMF5"/>
    <mergeCell ref="FMG5:FMH5"/>
    <mergeCell ref="FMI5:FMJ5"/>
    <mergeCell ref="FMK5:FML5"/>
    <mergeCell ref="FMM5:FMN5"/>
    <mergeCell ref="FMO5:FMP5"/>
    <mergeCell ref="FMQ5:FMR5"/>
    <mergeCell ref="FMS5:FMT5"/>
    <mergeCell ref="FMU5:FMV5"/>
    <mergeCell ref="FMW5:FMX5"/>
    <mergeCell ref="FMY5:FMZ5"/>
    <mergeCell ref="FNA5:FNB5"/>
    <mergeCell ref="FNC5:FND5"/>
    <mergeCell ref="FNE5:FNF5"/>
    <mergeCell ref="FNG5:FNH5"/>
    <mergeCell ref="FNI5:FNJ5"/>
    <mergeCell ref="FNK5:FNL5"/>
    <mergeCell ref="FNM5:FNN5"/>
    <mergeCell ref="FNO5:FNP5"/>
    <mergeCell ref="FNQ5:FNR5"/>
    <mergeCell ref="FNS5:FNT5"/>
    <mergeCell ref="FNU5:FNV5"/>
    <mergeCell ref="FNW5:FNX5"/>
    <mergeCell ref="FNY5:FNZ5"/>
    <mergeCell ref="FOA5:FOB5"/>
    <mergeCell ref="FOC5:FOD5"/>
    <mergeCell ref="FOE5:FOF5"/>
    <mergeCell ref="FOG5:FOH5"/>
    <mergeCell ref="FOI5:FOJ5"/>
    <mergeCell ref="FOK5:FOL5"/>
    <mergeCell ref="FOM5:FON5"/>
    <mergeCell ref="FOO5:FOP5"/>
    <mergeCell ref="FOQ5:FOR5"/>
    <mergeCell ref="FOS5:FOT5"/>
    <mergeCell ref="FOU5:FOV5"/>
    <mergeCell ref="FOW5:FOX5"/>
    <mergeCell ref="FOY5:FOZ5"/>
    <mergeCell ref="FPA5:FPB5"/>
    <mergeCell ref="FPC5:FPD5"/>
    <mergeCell ref="FPE5:FPF5"/>
    <mergeCell ref="FPG5:FPH5"/>
    <mergeCell ref="FPI5:FPJ5"/>
    <mergeCell ref="FPK5:FPL5"/>
    <mergeCell ref="FPM5:FPN5"/>
    <mergeCell ref="FPO5:FPP5"/>
    <mergeCell ref="FPQ5:FPR5"/>
    <mergeCell ref="FPS5:FPT5"/>
    <mergeCell ref="FPU5:FPV5"/>
    <mergeCell ref="FPW5:FPX5"/>
    <mergeCell ref="FPY5:FPZ5"/>
    <mergeCell ref="FQA5:FQB5"/>
    <mergeCell ref="FQC5:FQD5"/>
    <mergeCell ref="FQE5:FQF5"/>
    <mergeCell ref="FQG5:FQH5"/>
    <mergeCell ref="FQI5:FQJ5"/>
    <mergeCell ref="FQK5:FQL5"/>
    <mergeCell ref="FQM5:FQN5"/>
    <mergeCell ref="FQO5:FQP5"/>
    <mergeCell ref="FQQ5:FQR5"/>
    <mergeCell ref="FQS5:FQT5"/>
    <mergeCell ref="FQU5:FQV5"/>
    <mergeCell ref="FQW5:FQX5"/>
    <mergeCell ref="FQY5:FQZ5"/>
    <mergeCell ref="FRA5:FRB5"/>
    <mergeCell ref="FRC5:FRD5"/>
    <mergeCell ref="FRE5:FRF5"/>
    <mergeCell ref="FRG5:FRH5"/>
    <mergeCell ref="FRI5:FRJ5"/>
    <mergeCell ref="FRK5:FRL5"/>
    <mergeCell ref="FRM5:FRN5"/>
    <mergeCell ref="FRO5:FRP5"/>
    <mergeCell ref="FRQ5:FRR5"/>
    <mergeCell ref="FRS5:FRT5"/>
    <mergeCell ref="FRU5:FRV5"/>
    <mergeCell ref="FRW5:FRX5"/>
    <mergeCell ref="FRY5:FRZ5"/>
    <mergeCell ref="FSA5:FSB5"/>
    <mergeCell ref="FSC5:FSD5"/>
    <mergeCell ref="FSE5:FSF5"/>
    <mergeCell ref="FSG5:FSH5"/>
    <mergeCell ref="FSI5:FSJ5"/>
    <mergeCell ref="FSK5:FSL5"/>
    <mergeCell ref="FSM5:FSN5"/>
    <mergeCell ref="FSO5:FSP5"/>
    <mergeCell ref="FSQ5:FSR5"/>
    <mergeCell ref="FSS5:FST5"/>
    <mergeCell ref="FSU5:FSV5"/>
    <mergeCell ref="FSW5:FSX5"/>
    <mergeCell ref="FSY5:FSZ5"/>
    <mergeCell ref="FTA5:FTB5"/>
    <mergeCell ref="FTC5:FTD5"/>
    <mergeCell ref="FTE5:FTF5"/>
    <mergeCell ref="FTG5:FTH5"/>
    <mergeCell ref="FTI5:FTJ5"/>
    <mergeCell ref="FTK5:FTL5"/>
    <mergeCell ref="FTM5:FTN5"/>
    <mergeCell ref="FTO5:FTP5"/>
    <mergeCell ref="FTQ5:FTR5"/>
    <mergeCell ref="FTS5:FTT5"/>
    <mergeCell ref="FTU5:FTV5"/>
    <mergeCell ref="FTW5:FTX5"/>
    <mergeCell ref="FTY5:FTZ5"/>
    <mergeCell ref="FUA5:FUB5"/>
    <mergeCell ref="FUC5:FUD5"/>
    <mergeCell ref="FUE5:FUF5"/>
    <mergeCell ref="FUG5:FUH5"/>
    <mergeCell ref="FUI5:FUJ5"/>
    <mergeCell ref="FUK5:FUL5"/>
    <mergeCell ref="FUM5:FUN5"/>
    <mergeCell ref="FUO5:FUP5"/>
    <mergeCell ref="FUQ5:FUR5"/>
    <mergeCell ref="FUS5:FUT5"/>
    <mergeCell ref="FUU5:FUV5"/>
    <mergeCell ref="FUW5:FUX5"/>
    <mergeCell ref="FUY5:FUZ5"/>
    <mergeCell ref="FVA5:FVB5"/>
    <mergeCell ref="FVC5:FVD5"/>
    <mergeCell ref="FVE5:FVF5"/>
    <mergeCell ref="FVG5:FVH5"/>
    <mergeCell ref="FVI5:FVJ5"/>
    <mergeCell ref="FVK5:FVL5"/>
    <mergeCell ref="FVM5:FVN5"/>
    <mergeCell ref="FVO5:FVP5"/>
    <mergeCell ref="FVQ5:FVR5"/>
    <mergeCell ref="FVS5:FVT5"/>
    <mergeCell ref="FVU5:FVV5"/>
    <mergeCell ref="FVW5:FVX5"/>
    <mergeCell ref="FVY5:FVZ5"/>
    <mergeCell ref="FWA5:FWB5"/>
    <mergeCell ref="FWC5:FWD5"/>
    <mergeCell ref="FWE5:FWF5"/>
    <mergeCell ref="FWG5:FWH5"/>
    <mergeCell ref="FWI5:FWJ5"/>
    <mergeCell ref="FWK5:FWL5"/>
    <mergeCell ref="FWM5:FWN5"/>
    <mergeCell ref="FWO5:FWP5"/>
    <mergeCell ref="FWQ5:FWR5"/>
    <mergeCell ref="FWS5:FWT5"/>
    <mergeCell ref="FWU5:FWV5"/>
    <mergeCell ref="FWW5:FWX5"/>
    <mergeCell ref="FWY5:FWZ5"/>
    <mergeCell ref="FXA5:FXB5"/>
    <mergeCell ref="FXC5:FXD5"/>
    <mergeCell ref="FXE5:FXF5"/>
    <mergeCell ref="FXG5:FXH5"/>
    <mergeCell ref="FXI5:FXJ5"/>
    <mergeCell ref="FXK5:FXL5"/>
    <mergeCell ref="FXM5:FXN5"/>
    <mergeCell ref="FXO5:FXP5"/>
    <mergeCell ref="FXQ5:FXR5"/>
    <mergeCell ref="FXS5:FXT5"/>
    <mergeCell ref="FXU5:FXV5"/>
    <mergeCell ref="FXW5:FXX5"/>
    <mergeCell ref="FXY5:FXZ5"/>
    <mergeCell ref="FYA5:FYB5"/>
    <mergeCell ref="FYC5:FYD5"/>
    <mergeCell ref="FYE5:FYF5"/>
    <mergeCell ref="FYG5:FYH5"/>
    <mergeCell ref="FYI5:FYJ5"/>
    <mergeCell ref="FYK5:FYL5"/>
    <mergeCell ref="FYM5:FYN5"/>
    <mergeCell ref="FYO5:FYP5"/>
    <mergeCell ref="FYQ5:FYR5"/>
    <mergeCell ref="FYS5:FYT5"/>
    <mergeCell ref="FYU5:FYV5"/>
    <mergeCell ref="FYW5:FYX5"/>
    <mergeCell ref="FYY5:FYZ5"/>
    <mergeCell ref="FZA5:FZB5"/>
    <mergeCell ref="FZC5:FZD5"/>
    <mergeCell ref="FZE5:FZF5"/>
    <mergeCell ref="FZG5:FZH5"/>
    <mergeCell ref="FZI5:FZJ5"/>
    <mergeCell ref="FZK5:FZL5"/>
    <mergeCell ref="FZM5:FZN5"/>
    <mergeCell ref="FZO5:FZP5"/>
    <mergeCell ref="FZQ5:FZR5"/>
    <mergeCell ref="FZS5:FZT5"/>
    <mergeCell ref="FZU5:FZV5"/>
    <mergeCell ref="FZW5:FZX5"/>
    <mergeCell ref="FZY5:FZZ5"/>
    <mergeCell ref="GAA5:GAB5"/>
    <mergeCell ref="GAC5:GAD5"/>
    <mergeCell ref="GAE5:GAF5"/>
    <mergeCell ref="GAG5:GAH5"/>
    <mergeCell ref="GAI5:GAJ5"/>
    <mergeCell ref="GAK5:GAL5"/>
    <mergeCell ref="GAM5:GAN5"/>
    <mergeCell ref="GAO5:GAP5"/>
    <mergeCell ref="GAQ5:GAR5"/>
    <mergeCell ref="GAS5:GAT5"/>
    <mergeCell ref="GAU5:GAV5"/>
    <mergeCell ref="GAW5:GAX5"/>
    <mergeCell ref="GAY5:GAZ5"/>
    <mergeCell ref="GBA5:GBB5"/>
    <mergeCell ref="GBC5:GBD5"/>
    <mergeCell ref="GBE5:GBF5"/>
    <mergeCell ref="GBG5:GBH5"/>
    <mergeCell ref="GBI5:GBJ5"/>
    <mergeCell ref="GBK5:GBL5"/>
    <mergeCell ref="GBM5:GBN5"/>
    <mergeCell ref="GBO5:GBP5"/>
    <mergeCell ref="GBQ5:GBR5"/>
    <mergeCell ref="GBS5:GBT5"/>
    <mergeCell ref="GBU5:GBV5"/>
    <mergeCell ref="GBW5:GBX5"/>
    <mergeCell ref="GBY5:GBZ5"/>
    <mergeCell ref="GCA5:GCB5"/>
    <mergeCell ref="GCC5:GCD5"/>
    <mergeCell ref="GCE5:GCF5"/>
    <mergeCell ref="GCG5:GCH5"/>
    <mergeCell ref="GCI5:GCJ5"/>
    <mergeCell ref="GCK5:GCL5"/>
    <mergeCell ref="GCM5:GCN5"/>
    <mergeCell ref="GCO5:GCP5"/>
    <mergeCell ref="GCQ5:GCR5"/>
    <mergeCell ref="GCS5:GCT5"/>
    <mergeCell ref="GCU5:GCV5"/>
    <mergeCell ref="GCW5:GCX5"/>
    <mergeCell ref="GCY5:GCZ5"/>
    <mergeCell ref="GDA5:GDB5"/>
    <mergeCell ref="GDC5:GDD5"/>
    <mergeCell ref="GDE5:GDF5"/>
    <mergeCell ref="GDG5:GDH5"/>
    <mergeCell ref="GDI5:GDJ5"/>
    <mergeCell ref="GDK5:GDL5"/>
    <mergeCell ref="GDM5:GDN5"/>
    <mergeCell ref="GDO5:GDP5"/>
    <mergeCell ref="GDQ5:GDR5"/>
    <mergeCell ref="GDS5:GDT5"/>
    <mergeCell ref="GDU5:GDV5"/>
    <mergeCell ref="GDW5:GDX5"/>
    <mergeCell ref="GDY5:GDZ5"/>
    <mergeCell ref="GEA5:GEB5"/>
    <mergeCell ref="GEC5:GED5"/>
    <mergeCell ref="GEE5:GEF5"/>
    <mergeCell ref="GEG5:GEH5"/>
    <mergeCell ref="GEI5:GEJ5"/>
    <mergeCell ref="GEK5:GEL5"/>
    <mergeCell ref="GEM5:GEN5"/>
    <mergeCell ref="GEO5:GEP5"/>
    <mergeCell ref="GEQ5:GER5"/>
    <mergeCell ref="GES5:GET5"/>
    <mergeCell ref="GEU5:GEV5"/>
    <mergeCell ref="GEW5:GEX5"/>
    <mergeCell ref="GEY5:GEZ5"/>
    <mergeCell ref="GFA5:GFB5"/>
    <mergeCell ref="GFC5:GFD5"/>
    <mergeCell ref="GFE5:GFF5"/>
    <mergeCell ref="GFG5:GFH5"/>
    <mergeCell ref="GFI5:GFJ5"/>
    <mergeCell ref="GFK5:GFL5"/>
    <mergeCell ref="GFM5:GFN5"/>
    <mergeCell ref="GFO5:GFP5"/>
    <mergeCell ref="GFQ5:GFR5"/>
    <mergeCell ref="GFS5:GFT5"/>
    <mergeCell ref="GFU5:GFV5"/>
    <mergeCell ref="GFW5:GFX5"/>
    <mergeCell ref="GFY5:GFZ5"/>
    <mergeCell ref="GGA5:GGB5"/>
    <mergeCell ref="GGC5:GGD5"/>
    <mergeCell ref="GGE5:GGF5"/>
    <mergeCell ref="GGG5:GGH5"/>
    <mergeCell ref="GGI5:GGJ5"/>
    <mergeCell ref="GGK5:GGL5"/>
    <mergeCell ref="GGM5:GGN5"/>
    <mergeCell ref="GGO5:GGP5"/>
    <mergeCell ref="GGQ5:GGR5"/>
    <mergeCell ref="GGS5:GGT5"/>
    <mergeCell ref="GGU5:GGV5"/>
    <mergeCell ref="GGW5:GGX5"/>
    <mergeCell ref="GGY5:GGZ5"/>
    <mergeCell ref="GHA5:GHB5"/>
    <mergeCell ref="GHC5:GHD5"/>
    <mergeCell ref="GHE5:GHF5"/>
    <mergeCell ref="GHG5:GHH5"/>
    <mergeCell ref="GHI5:GHJ5"/>
    <mergeCell ref="GHK5:GHL5"/>
    <mergeCell ref="GHM5:GHN5"/>
    <mergeCell ref="GHO5:GHP5"/>
    <mergeCell ref="GHQ5:GHR5"/>
    <mergeCell ref="GHS5:GHT5"/>
    <mergeCell ref="GHU5:GHV5"/>
    <mergeCell ref="GHW5:GHX5"/>
    <mergeCell ref="GHY5:GHZ5"/>
    <mergeCell ref="GIA5:GIB5"/>
    <mergeCell ref="GIC5:GID5"/>
    <mergeCell ref="GIE5:GIF5"/>
    <mergeCell ref="GIG5:GIH5"/>
    <mergeCell ref="GII5:GIJ5"/>
    <mergeCell ref="GIK5:GIL5"/>
    <mergeCell ref="GIM5:GIN5"/>
    <mergeCell ref="GIO5:GIP5"/>
    <mergeCell ref="GIQ5:GIR5"/>
    <mergeCell ref="GIS5:GIT5"/>
    <mergeCell ref="GIU5:GIV5"/>
    <mergeCell ref="GIW5:GIX5"/>
    <mergeCell ref="GIY5:GIZ5"/>
    <mergeCell ref="GJA5:GJB5"/>
    <mergeCell ref="GJC5:GJD5"/>
    <mergeCell ref="GJE5:GJF5"/>
    <mergeCell ref="GJG5:GJH5"/>
    <mergeCell ref="GJI5:GJJ5"/>
    <mergeCell ref="GJK5:GJL5"/>
    <mergeCell ref="GJM5:GJN5"/>
    <mergeCell ref="GJO5:GJP5"/>
    <mergeCell ref="GJQ5:GJR5"/>
    <mergeCell ref="GJS5:GJT5"/>
    <mergeCell ref="GJU5:GJV5"/>
    <mergeCell ref="GJW5:GJX5"/>
    <mergeCell ref="GJY5:GJZ5"/>
    <mergeCell ref="GKA5:GKB5"/>
    <mergeCell ref="GKC5:GKD5"/>
    <mergeCell ref="GKE5:GKF5"/>
    <mergeCell ref="GKG5:GKH5"/>
    <mergeCell ref="GKI5:GKJ5"/>
    <mergeCell ref="GKK5:GKL5"/>
    <mergeCell ref="GKM5:GKN5"/>
    <mergeCell ref="GKO5:GKP5"/>
    <mergeCell ref="GKQ5:GKR5"/>
    <mergeCell ref="GKS5:GKT5"/>
    <mergeCell ref="GKU5:GKV5"/>
    <mergeCell ref="GKW5:GKX5"/>
    <mergeCell ref="GKY5:GKZ5"/>
    <mergeCell ref="GLA5:GLB5"/>
    <mergeCell ref="GLC5:GLD5"/>
    <mergeCell ref="GLE5:GLF5"/>
    <mergeCell ref="GLG5:GLH5"/>
    <mergeCell ref="GLI5:GLJ5"/>
    <mergeCell ref="GLK5:GLL5"/>
    <mergeCell ref="GLM5:GLN5"/>
    <mergeCell ref="GLO5:GLP5"/>
    <mergeCell ref="GLQ5:GLR5"/>
    <mergeCell ref="GLS5:GLT5"/>
    <mergeCell ref="GLU5:GLV5"/>
    <mergeCell ref="GLW5:GLX5"/>
    <mergeCell ref="GLY5:GLZ5"/>
    <mergeCell ref="GMA5:GMB5"/>
    <mergeCell ref="GMC5:GMD5"/>
    <mergeCell ref="GME5:GMF5"/>
    <mergeCell ref="GMG5:GMH5"/>
    <mergeCell ref="GMI5:GMJ5"/>
    <mergeCell ref="GMK5:GML5"/>
    <mergeCell ref="GMM5:GMN5"/>
    <mergeCell ref="GMO5:GMP5"/>
    <mergeCell ref="GMQ5:GMR5"/>
    <mergeCell ref="GMS5:GMT5"/>
    <mergeCell ref="GMU5:GMV5"/>
    <mergeCell ref="GMW5:GMX5"/>
    <mergeCell ref="GMY5:GMZ5"/>
    <mergeCell ref="GNA5:GNB5"/>
    <mergeCell ref="GNC5:GND5"/>
    <mergeCell ref="GNE5:GNF5"/>
    <mergeCell ref="GNG5:GNH5"/>
    <mergeCell ref="GNI5:GNJ5"/>
    <mergeCell ref="GNK5:GNL5"/>
    <mergeCell ref="GNM5:GNN5"/>
    <mergeCell ref="GNO5:GNP5"/>
    <mergeCell ref="GNQ5:GNR5"/>
    <mergeCell ref="GNS5:GNT5"/>
    <mergeCell ref="GNU5:GNV5"/>
    <mergeCell ref="GNW5:GNX5"/>
    <mergeCell ref="GNY5:GNZ5"/>
    <mergeCell ref="GOA5:GOB5"/>
    <mergeCell ref="GOC5:GOD5"/>
    <mergeCell ref="GOE5:GOF5"/>
    <mergeCell ref="GOG5:GOH5"/>
    <mergeCell ref="GOI5:GOJ5"/>
    <mergeCell ref="GOK5:GOL5"/>
    <mergeCell ref="GOM5:GON5"/>
    <mergeCell ref="GOO5:GOP5"/>
    <mergeCell ref="GOQ5:GOR5"/>
    <mergeCell ref="GOS5:GOT5"/>
    <mergeCell ref="GOU5:GOV5"/>
    <mergeCell ref="GOW5:GOX5"/>
    <mergeCell ref="GOY5:GOZ5"/>
    <mergeCell ref="GPA5:GPB5"/>
    <mergeCell ref="GPC5:GPD5"/>
    <mergeCell ref="GPE5:GPF5"/>
    <mergeCell ref="GPG5:GPH5"/>
    <mergeCell ref="GPI5:GPJ5"/>
    <mergeCell ref="GPK5:GPL5"/>
    <mergeCell ref="GPM5:GPN5"/>
    <mergeCell ref="GPO5:GPP5"/>
    <mergeCell ref="GPQ5:GPR5"/>
    <mergeCell ref="GPS5:GPT5"/>
    <mergeCell ref="GPU5:GPV5"/>
    <mergeCell ref="GPW5:GPX5"/>
    <mergeCell ref="GPY5:GPZ5"/>
    <mergeCell ref="GQA5:GQB5"/>
    <mergeCell ref="GQC5:GQD5"/>
    <mergeCell ref="GQE5:GQF5"/>
    <mergeCell ref="GQG5:GQH5"/>
    <mergeCell ref="GQI5:GQJ5"/>
    <mergeCell ref="GQK5:GQL5"/>
    <mergeCell ref="GQM5:GQN5"/>
    <mergeCell ref="GQO5:GQP5"/>
    <mergeCell ref="GQQ5:GQR5"/>
    <mergeCell ref="GQS5:GQT5"/>
    <mergeCell ref="GQU5:GQV5"/>
    <mergeCell ref="GQW5:GQX5"/>
    <mergeCell ref="GQY5:GQZ5"/>
    <mergeCell ref="GRA5:GRB5"/>
    <mergeCell ref="GRC5:GRD5"/>
    <mergeCell ref="GRE5:GRF5"/>
    <mergeCell ref="GRG5:GRH5"/>
    <mergeCell ref="GRI5:GRJ5"/>
    <mergeCell ref="GRK5:GRL5"/>
    <mergeCell ref="GRM5:GRN5"/>
    <mergeCell ref="GRO5:GRP5"/>
    <mergeCell ref="GRQ5:GRR5"/>
    <mergeCell ref="GRS5:GRT5"/>
    <mergeCell ref="GRU5:GRV5"/>
    <mergeCell ref="GRW5:GRX5"/>
    <mergeCell ref="GRY5:GRZ5"/>
    <mergeCell ref="GSA5:GSB5"/>
    <mergeCell ref="GSC5:GSD5"/>
    <mergeCell ref="GSE5:GSF5"/>
    <mergeCell ref="GSG5:GSH5"/>
    <mergeCell ref="GSI5:GSJ5"/>
    <mergeCell ref="GSK5:GSL5"/>
    <mergeCell ref="GSM5:GSN5"/>
    <mergeCell ref="GSO5:GSP5"/>
    <mergeCell ref="GSQ5:GSR5"/>
    <mergeCell ref="GSS5:GST5"/>
    <mergeCell ref="GSU5:GSV5"/>
    <mergeCell ref="GSW5:GSX5"/>
    <mergeCell ref="GSY5:GSZ5"/>
    <mergeCell ref="GTA5:GTB5"/>
    <mergeCell ref="GTC5:GTD5"/>
    <mergeCell ref="GTE5:GTF5"/>
    <mergeCell ref="GTG5:GTH5"/>
    <mergeCell ref="GTI5:GTJ5"/>
    <mergeCell ref="GTK5:GTL5"/>
    <mergeCell ref="GTM5:GTN5"/>
    <mergeCell ref="GTO5:GTP5"/>
    <mergeCell ref="GTQ5:GTR5"/>
    <mergeCell ref="GTS5:GTT5"/>
    <mergeCell ref="GTU5:GTV5"/>
    <mergeCell ref="GTW5:GTX5"/>
    <mergeCell ref="GTY5:GTZ5"/>
    <mergeCell ref="GUA5:GUB5"/>
    <mergeCell ref="GUC5:GUD5"/>
    <mergeCell ref="GUE5:GUF5"/>
    <mergeCell ref="GUG5:GUH5"/>
    <mergeCell ref="GUI5:GUJ5"/>
    <mergeCell ref="GUK5:GUL5"/>
    <mergeCell ref="GUM5:GUN5"/>
    <mergeCell ref="GUO5:GUP5"/>
    <mergeCell ref="GUQ5:GUR5"/>
    <mergeCell ref="GUS5:GUT5"/>
    <mergeCell ref="GUU5:GUV5"/>
    <mergeCell ref="GUW5:GUX5"/>
    <mergeCell ref="GUY5:GUZ5"/>
    <mergeCell ref="GVA5:GVB5"/>
    <mergeCell ref="GVC5:GVD5"/>
    <mergeCell ref="GVE5:GVF5"/>
    <mergeCell ref="GVG5:GVH5"/>
    <mergeCell ref="GVI5:GVJ5"/>
    <mergeCell ref="GVK5:GVL5"/>
    <mergeCell ref="GVM5:GVN5"/>
    <mergeCell ref="GVO5:GVP5"/>
    <mergeCell ref="GVQ5:GVR5"/>
    <mergeCell ref="GVS5:GVT5"/>
    <mergeCell ref="GVU5:GVV5"/>
    <mergeCell ref="GVW5:GVX5"/>
    <mergeCell ref="GVY5:GVZ5"/>
    <mergeCell ref="GWA5:GWB5"/>
    <mergeCell ref="GWC5:GWD5"/>
    <mergeCell ref="GWE5:GWF5"/>
    <mergeCell ref="GWG5:GWH5"/>
    <mergeCell ref="GWI5:GWJ5"/>
    <mergeCell ref="GWK5:GWL5"/>
    <mergeCell ref="GWM5:GWN5"/>
    <mergeCell ref="GWO5:GWP5"/>
    <mergeCell ref="GWQ5:GWR5"/>
    <mergeCell ref="GWS5:GWT5"/>
    <mergeCell ref="GWU5:GWV5"/>
    <mergeCell ref="GWW5:GWX5"/>
    <mergeCell ref="GWY5:GWZ5"/>
    <mergeCell ref="GXA5:GXB5"/>
    <mergeCell ref="GXC5:GXD5"/>
    <mergeCell ref="GXE5:GXF5"/>
    <mergeCell ref="GXG5:GXH5"/>
    <mergeCell ref="GXI5:GXJ5"/>
    <mergeCell ref="GXK5:GXL5"/>
    <mergeCell ref="GXM5:GXN5"/>
    <mergeCell ref="GXO5:GXP5"/>
    <mergeCell ref="GXQ5:GXR5"/>
    <mergeCell ref="GXS5:GXT5"/>
    <mergeCell ref="GXU5:GXV5"/>
    <mergeCell ref="GXW5:GXX5"/>
    <mergeCell ref="GXY5:GXZ5"/>
    <mergeCell ref="GYA5:GYB5"/>
    <mergeCell ref="GYC5:GYD5"/>
    <mergeCell ref="GYE5:GYF5"/>
    <mergeCell ref="GYG5:GYH5"/>
    <mergeCell ref="GYI5:GYJ5"/>
    <mergeCell ref="GYK5:GYL5"/>
    <mergeCell ref="GYM5:GYN5"/>
    <mergeCell ref="GYO5:GYP5"/>
    <mergeCell ref="GYQ5:GYR5"/>
    <mergeCell ref="GYS5:GYT5"/>
    <mergeCell ref="GYU5:GYV5"/>
    <mergeCell ref="GYW5:GYX5"/>
    <mergeCell ref="GYY5:GYZ5"/>
    <mergeCell ref="GZA5:GZB5"/>
    <mergeCell ref="GZC5:GZD5"/>
    <mergeCell ref="GZE5:GZF5"/>
    <mergeCell ref="GZG5:GZH5"/>
    <mergeCell ref="GZI5:GZJ5"/>
    <mergeCell ref="GZK5:GZL5"/>
    <mergeCell ref="GZM5:GZN5"/>
    <mergeCell ref="GZO5:GZP5"/>
    <mergeCell ref="GZQ5:GZR5"/>
    <mergeCell ref="GZS5:GZT5"/>
    <mergeCell ref="GZU5:GZV5"/>
    <mergeCell ref="GZW5:GZX5"/>
    <mergeCell ref="GZY5:GZZ5"/>
    <mergeCell ref="HAA5:HAB5"/>
    <mergeCell ref="HAC5:HAD5"/>
    <mergeCell ref="HAE5:HAF5"/>
    <mergeCell ref="HAG5:HAH5"/>
    <mergeCell ref="HAI5:HAJ5"/>
    <mergeCell ref="HAK5:HAL5"/>
    <mergeCell ref="HAM5:HAN5"/>
    <mergeCell ref="HAO5:HAP5"/>
    <mergeCell ref="HAQ5:HAR5"/>
    <mergeCell ref="HAS5:HAT5"/>
    <mergeCell ref="HAU5:HAV5"/>
    <mergeCell ref="HAW5:HAX5"/>
    <mergeCell ref="HAY5:HAZ5"/>
    <mergeCell ref="HBA5:HBB5"/>
    <mergeCell ref="HBC5:HBD5"/>
    <mergeCell ref="HBE5:HBF5"/>
    <mergeCell ref="HBG5:HBH5"/>
    <mergeCell ref="HBI5:HBJ5"/>
    <mergeCell ref="HBK5:HBL5"/>
    <mergeCell ref="HBM5:HBN5"/>
    <mergeCell ref="HBO5:HBP5"/>
    <mergeCell ref="HBQ5:HBR5"/>
    <mergeCell ref="HBS5:HBT5"/>
    <mergeCell ref="HBU5:HBV5"/>
    <mergeCell ref="HBW5:HBX5"/>
    <mergeCell ref="HBY5:HBZ5"/>
    <mergeCell ref="HCA5:HCB5"/>
    <mergeCell ref="HCC5:HCD5"/>
    <mergeCell ref="HCE5:HCF5"/>
    <mergeCell ref="HCG5:HCH5"/>
    <mergeCell ref="HCI5:HCJ5"/>
    <mergeCell ref="HCK5:HCL5"/>
    <mergeCell ref="HCM5:HCN5"/>
    <mergeCell ref="HCO5:HCP5"/>
    <mergeCell ref="HCQ5:HCR5"/>
    <mergeCell ref="HCS5:HCT5"/>
    <mergeCell ref="HCU5:HCV5"/>
    <mergeCell ref="HCW5:HCX5"/>
    <mergeCell ref="HCY5:HCZ5"/>
    <mergeCell ref="HDA5:HDB5"/>
    <mergeCell ref="HDC5:HDD5"/>
    <mergeCell ref="HDE5:HDF5"/>
    <mergeCell ref="HDG5:HDH5"/>
    <mergeCell ref="HDI5:HDJ5"/>
    <mergeCell ref="HDK5:HDL5"/>
    <mergeCell ref="HDM5:HDN5"/>
    <mergeCell ref="HDO5:HDP5"/>
    <mergeCell ref="HDQ5:HDR5"/>
    <mergeCell ref="HDS5:HDT5"/>
    <mergeCell ref="HDU5:HDV5"/>
    <mergeCell ref="HDW5:HDX5"/>
    <mergeCell ref="HDY5:HDZ5"/>
    <mergeCell ref="HEA5:HEB5"/>
    <mergeCell ref="HEC5:HED5"/>
    <mergeCell ref="HEE5:HEF5"/>
    <mergeCell ref="HEG5:HEH5"/>
    <mergeCell ref="HEI5:HEJ5"/>
    <mergeCell ref="HEK5:HEL5"/>
    <mergeCell ref="HEM5:HEN5"/>
    <mergeCell ref="HEO5:HEP5"/>
    <mergeCell ref="HEQ5:HER5"/>
    <mergeCell ref="HES5:HET5"/>
    <mergeCell ref="HEU5:HEV5"/>
    <mergeCell ref="HEW5:HEX5"/>
    <mergeCell ref="HEY5:HEZ5"/>
    <mergeCell ref="HFA5:HFB5"/>
    <mergeCell ref="HFC5:HFD5"/>
    <mergeCell ref="HFE5:HFF5"/>
    <mergeCell ref="HFG5:HFH5"/>
    <mergeCell ref="HFI5:HFJ5"/>
    <mergeCell ref="HFK5:HFL5"/>
    <mergeCell ref="HFM5:HFN5"/>
    <mergeCell ref="HFO5:HFP5"/>
    <mergeCell ref="HFQ5:HFR5"/>
    <mergeCell ref="HFS5:HFT5"/>
    <mergeCell ref="HFU5:HFV5"/>
    <mergeCell ref="HFW5:HFX5"/>
    <mergeCell ref="HFY5:HFZ5"/>
    <mergeCell ref="HGA5:HGB5"/>
    <mergeCell ref="HGC5:HGD5"/>
    <mergeCell ref="HGE5:HGF5"/>
    <mergeCell ref="HGG5:HGH5"/>
    <mergeCell ref="HGI5:HGJ5"/>
    <mergeCell ref="HGK5:HGL5"/>
    <mergeCell ref="HGM5:HGN5"/>
    <mergeCell ref="HGO5:HGP5"/>
    <mergeCell ref="HGQ5:HGR5"/>
    <mergeCell ref="HGS5:HGT5"/>
    <mergeCell ref="HGU5:HGV5"/>
    <mergeCell ref="HGW5:HGX5"/>
    <mergeCell ref="HGY5:HGZ5"/>
    <mergeCell ref="HHA5:HHB5"/>
    <mergeCell ref="HHC5:HHD5"/>
    <mergeCell ref="HHE5:HHF5"/>
    <mergeCell ref="HHG5:HHH5"/>
    <mergeCell ref="HHI5:HHJ5"/>
    <mergeCell ref="HHK5:HHL5"/>
    <mergeCell ref="HHM5:HHN5"/>
    <mergeCell ref="HHO5:HHP5"/>
    <mergeCell ref="HHQ5:HHR5"/>
    <mergeCell ref="HHS5:HHT5"/>
    <mergeCell ref="HHU5:HHV5"/>
    <mergeCell ref="HHW5:HHX5"/>
    <mergeCell ref="HHY5:HHZ5"/>
    <mergeCell ref="HIA5:HIB5"/>
    <mergeCell ref="HIC5:HID5"/>
    <mergeCell ref="HIE5:HIF5"/>
    <mergeCell ref="HIG5:HIH5"/>
    <mergeCell ref="HII5:HIJ5"/>
    <mergeCell ref="HIK5:HIL5"/>
    <mergeCell ref="HIM5:HIN5"/>
    <mergeCell ref="HIO5:HIP5"/>
    <mergeCell ref="HIQ5:HIR5"/>
    <mergeCell ref="HIS5:HIT5"/>
    <mergeCell ref="HIU5:HIV5"/>
    <mergeCell ref="HIW5:HIX5"/>
    <mergeCell ref="HIY5:HIZ5"/>
    <mergeCell ref="HJA5:HJB5"/>
    <mergeCell ref="HJC5:HJD5"/>
    <mergeCell ref="HJE5:HJF5"/>
    <mergeCell ref="HJG5:HJH5"/>
    <mergeCell ref="HJI5:HJJ5"/>
    <mergeCell ref="HJK5:HJL5"/>
    <mergeCell ref="HJM5:HJN5"/>
    <mergeCell ref="HJO5:HJP5"/>
    <mergeCell ref="HJQ5:HJR5"/>
    <mergeCell ref="HJS5:HJT5"/>
    <mergeCell ref="HJU5:HJV5"/>
    <mergeCell ref="HJW5:HJX5"/>
    <mergeCell ref="HJY5:HJZ5"/>
    <mergeCell ref="HKA5:HKB5"/>
    <mergeCell ref="HKC5:HKD5"/>
    <mergeCell ref="HKE5:HKF5"/>
    <mergeCell ref="HKG5:HKH5"/>
    <mergeCell ref="HKI5:HKJ5"/>
    <mergeCell ref="HKK5:HKL5"/>
    <mergeCell ref="HKM5:HKN5"/>
    <mergeCell ref="HKO5:HKP5"/>
    <mergeCell ref="HKQ5:HKR5"/>
    <mergeCell ref="HKS5:HKT5"/>
    <mergeCell ref="HKU5:HKV5"/>
    <mergeCell ref="HKW5:HKX5"/>
    <mergeCell ref="HKY5:HKZ5"/>
    <mergeCell ref="HLA5:HLB5"/>
    <mergeCell ref="HLC5:HLD5"/>
    <mergeCell ref="HLE5:HLF5"/>
    <mergeCell ref="HLG5:HLH5"/>
    <mergeCell ref="HLI5:HLJ5"/>
    <mergeCell ref="HLK5:HLL5"/>
    <mergeCell ref="HLM5:HLN5"/>
    <mergeCell ref="HLO5:HLP5"/>
    <mergeCell ref="HLQ5:HLR5"/>
    <mergeCell ref="HLS5:HLT5"/>
    <mergeCell ref="HLU5:HLV5"/>
    <mergeCell ref="HLW5:HLX5"/>
    <mergeCell ref="HLY5:HLZ5"/>
    <mergeCell ref="HMA5:HMB5"/>
    <mergeCell ref="HMC5:HMD5"/>
    <mergeCell ref="HME5:HMF5"/>
    <mergeCell ref="HMG5:HMH5"/>
    <mergeCell ref="HMI5:HMJ5"/>
    <mergeCell ref="HMK5:HML5"/>
    <mergeCell ref="HMM5:HMN5"/>
    <mergeCell ref="HMO5:HMP5"/>
    <mergeCell ref="HMQ5:HMR5"/>
    <mergeCell ref="HMS5:HMT5"/>
    <mergeCell ref="HMU5:HMV5"/>
    <mergeCell ref="HMW5:HMX5"/>
    <mergeCell ref="HMY5:HMZ5"/>
    <mergeCell ref="HNA5:HNB5"/>
    <mergeCell ref="HNC5:HND5"/>
    <mergeCell ref="HNE5:HNF5"/>
    <mergeCell ref="HNG5:HNH5"/>
    <mergeCell ref="HNI5:HNJ5"/>
    <mergeCell ref="HNK5:HNL5"/>
    <mergeCell ref="HNM5:HNN5"/>
    <mergeCell ref="HNO5:HNP5"/>
    <mergeCell ref="HNQ5:HNR5"/>
    <mergeCell ref="HNS5:HNT5"/>
    <mergeCell ref="HNU5:HNV5"/>
    <mergeCell ref="HNW5:HNX5"/>
    <mergeCell ref="HNY5:HNZ5"/>
    <mergeCell ref="HOA5:HOB5"/>
    <mergeCell ref="HOC5:HOD5"/>
    <mergeCell ref="HOE5:HOF5"/>
    <mergeCell ref="HOG5:HOH5"/>
    <mergeCell ref="HOI5:HOJ5"/>
    <mergeCell ref="HOK5:HOL5"/>
    <mergeCell ref="HOM5:HON5"/>
    <mergeCell ref="HOO5:HOP5"/>
    <mergeCell ref="HOQ5:HOR5"/>
    <mergeCell ref="HOS5:HOT5"/>
    <mergeCell ref="HOU5:HOV5"/>
    <mergeCell ref="HOW5:HOX5"/>
    <mergeCell ref="HOY5:HOZ5"/>
    <mergeCell ref="HPA5:HPB5"/>
    <mergeCell ref="HPC5:HPD5"/>
    <mergeCell ref="HPE5:HPF5"/>
    <mergeCell ref="HPG5:HPH5"/>
    <mergeCell ref="HPI5:HPJ5"/>
    <mergeCell ref="HPK5:HPL5"/>
    <mergeCell ref="HPM5:HPN5"/>
    <mergeCell ref="HPO5:HPP5"/>
    <mergeCell ref="HPQ5:HPR5"/>
    <mergeCell ref="HPS5:HPT5"/>
    <mergeCell ref="HPU5:HPV5"/>
    <mergeCell ref="HPW5:HPX5"/>
    <mergeCell ref="HPY5:HPZ5"/>
    <mergeCell ref="HQA5:HQB5"/>
    <mergeCell ref="HQC5:HQD5"/>
    <mergeCell ref="HQE5:HQF5"/>
    <mergeCell ref="HQG5:HQH5"/>
    <mergeCell ref="HQI5:HQJ5"/>
    <mergeCell ref="HQK5:HQL5"/>
    <mergeCell ref="HQM5:HQN5"/>
    <mergeCell ref="HQO5:HQP5"/>
    <mergeCell ref="HQQ5:HQR5"/>
    <mergeCell ref="HQS5:HQT5"/>
    <mergeCell ref="HQU5:HQV5"/>
    <mergeCell ref="HQW5:HQX5"/>
    <mergeCell ref="HQY5:HQZ5"/>
    <mergeCell ref="HRA5:HRB5"/>
    <mergeCell ref="HRC5:HRD5"/>
    <mergeCell ref="HRE5:HRF5"/>
    <mergeCell ref="HRG5:HRH5"/>
    <mergeCell ref="HRI5:HRJ5"/>
    <mergeCell ref="HRK5:HRL5"/>
    <mergeCell ref="HRM5:HRN5"/>
    <mergeCell ref="HRO5:HRP5"/>
    <mergeCell ref="HRQ5:HRR5"/>
    <mergeCell ref="HRS5:HRT5"/>
    <mergeCell ref="HRU5:HRV5"/>
    <mergeCell ref="HRW5:HRX5"/>
    <mergeCell ref="HRY5:HRZ5"/>
    <mergeCell ref="HSA5:HSB5"/>
    <mergeCell ref="HSC5:HSD5"/>
    <mergeCell ref="HSE5:HSF5"/>
    <mergeCell ref="HSG5:HSH5"/>
    <mergeCell ref="HSI5:HSJ5"/>
    <mergeCell ref="HSK5:HSL5"/>
    <mergeCell ref="HSM5:HSN5"/>
    <mergeCell ref="HSO5:HSP5"/>
    <mergeCell ref="HSQ5:HSR5"/>
    <mergeCell ref="HSS5:HST5"/>
    <mergeCell ref="HSU5:HSV5"/>
    <mergeCell ref="HSW5:HSX5"/>
    <mergeCell ref="HSY5:HSZ5"/>
    <mergeCell ref="HTA5:HTB5"/>
    <mergeCell ref="HTC5:HTD5"/>
    <mergeCell ref="HTE5:HTF5"/>
    <mergeCell ref="HTG5:HTH5"/>
    <mergeCell ref="HTI5:HTJ5"/>
    <mergeCell ref="HTK5:HTL5"/>
    <mergeCell ref="HTM5:HTN5"/>
    <mergeCell ref="HTO5:HTP5"/>
    <mergeCell ref="HTQ5:HTR5"/>
    <mergeCell ref="HTS5:HTT5"/>
    <mergeCell ref="HTU5:HTV5"/>
    <mergeCell ref="HTW5:HTX5"/>
    <mergeCell ref="HTY5:HTZ5"/>
    <mergeCell ref="HUA5:HUB5"/>
    <mergeCell ref="HUC5:HUD5"/>
    <mergeCell ref="HUE5:HUF5"/>
    <mergeCell ref="HUG5:HUH5"/>
    <mergeCell ref="HUI5:HUJ5"/>
    <mergeCell ref="HUK5:HUL5"/>
    <mergeCell ref="HUM5:HUN5"/>
    <mergeCell ref="HUO5:HUP5"/>
    <mergeCell ref="HUQ5:HUR5"/>
    <mergeCell ref="HUS5:HUT5"/>
    <mergeCell ref="HUU5:HUV5"/>
    <mergeCell ref="HUW5:HUX5"/>
    <mergeCell ref="HUY5:HUZ5"/>
    <mergeCell ref="HVA5:HVB5"/>
    <mergeCell ref="HVC5:HVD5"/>
    <mergeCell ref="HVE5:HVF5"/>
    <mergeCell ref="HVG5:HVH5"/>
    <mergeCell ref="HVI5:HVJ5"/>
    <mergeCell ref="HVK5:HVL5"/>
    <mergeCell ref="HVM5:HVN5"/>
    <mergeCell ref="HVO5:HVP5"/>
    <mergeCell ref="HVQ5:HVR5"/>
    <mergeCell ref="HVS5:HVT5"/>
    <mergeCell ref="HVU5:HVV5"/>
    <mergeCell ref="HVW5:HVX5"/>
    <mergeCell ref="HVY5:HVZ5"/>
    <mergeCell ref="HWA5:HWB5"/>
    <mergeCell ref="HWC5:HWD5"/>
    <mergeCell ref="HWE5:HWF5"/>
    <mergeCell ref="HWG5:HWH5"/>
    <mergeCell ref="HWI5:HWJ5"/>
    <mergeCell ref="HWK5:HWL5"/>
    <mergeCell ref="HWM5:HWN5"/>
    <mergeCell ref="HWO5:HWP5"/>
    <mergeCell ref="HWQ5:HWR5"/>
    <mergeCell ref="HWS5:HWT5"/>
    <mergeCell ref="HWU5:HWV5"/>
    <mergeCell ref="HWW5:HWX5"/>
    <mergeCell ref="HWY5:HWZ5"/>
    <mergeCell ref="HXA5:HXB5"/>
    <mergeCell ref="HXC5:HXD5"/>
    <mergeCell ref="HXE5:HXF5"/>
    <mergeCell ref="HXG5:HXH5"/>
    <mergeCell ref="HXI5:HXJ5"/>
    <mergeCell ref="HXK5:HXL5"/>
    <mergeCell ref="HXM5:HXN5"/>
    <mergeCell ref="HXO5:HXP5"/>
    <mergeCell ref="HXQ5:HXR5"/>
    <mergeCell ref="HXS5:HXT5"/>
    <mergeCell ref="HXU5:HXV5"/>
    <mergeCell ref="HXW5:HXX5"/>
    <mergeCell ref="HXY5:HXZ5"/>
    <mergeCell ref="HYA5:HYB5"/>
    <mergeCell ref="HYC5:HYD5"/>
    <mergeCell ref="HYE5:HYF5"/>
    <mergeCell ref="HYG5:HYH5"/>
    <mergeCell ref="HYI5:HYJ5"/>
    <mergeCell ref="HYK5:HYL5"/>
    <mergeCell ref="HYM5:HYN5"/>
    <mergeCell ref="HYO5:HYP5"/>
    <mergeCell ref="HYQ5:HYR5"/>
    <mergeCell ref="HYS5:HYT5"/>
    <mergeCell ref="HYU5:HYV5"/>
    <mergeCell ref="HYW5:HYX5"/>
    <mergeCell ref="HYY5:HYZ5"/>
    <mergeCell ref="HZA5:HZB5"/>
    <mergeCell ref="HZC5:HZD5"/>
    <mergeCell ref="HZE5:HZF5"/>
    <mergeCell ref="HZG5:HZH5"/>
    <mergeCell ref="HZI5:HZJ5"/>
    <mergeCell ref="HZK5:HZL5"/>
    <mergeCell ref="HZM5:HZN5"/>
    <mergeCell ref="HZO5:HZP5"/>
    <mergeCell ref="HZQ5:HZR5"/>
    <mergeCell ref="HZS5:HZT5"/>
    <mergeCell ref="HZU5:HZV5"/>
    <mergeCell ref="HZW5:HZX5"/>
    <mergeCell ref="HZY5:HZZ5"/>
    <mergeCell ref="IAA5:IAB5"/>
    <mergeCell ref="IAC5:IAD5"/>
    <mergeCell ref="IAE5:IAF5"/>
    <mergeCell ref="IAG5:IAH5"/>
    <mergeCell ref="IAI5:IAJ5"/>
    <mergeCell ref="IAK5:IAL5"/>
    <mergeCell ref="IAM5:IAN5"/>
    <mergeCell ref="IAO5:IAP5"/>
    <mergeCell ref="IAQ5:IAR5"/>
    <mergeCell ref="IAS5:IAT5"/>
    <mergeCell ref="IAU5:IAV5"/>
    <mergeCell ref="IAW5:IAX5"/>
    <mergeCell ref="IAY5:IAZ5"/>
    <mergeCell ref="IBA5:IBB5"/>
    <mergeCell ref="IBC5:IBD5"/>
    <mergeCell ref="IBE5:IBF5"/>
    <mergeCell ref="IBG5:IBH5"/>
    <mergeCell ref="IBI5:IBJ5"/>
    <mergeCell ref="IBK5:IBL5"/>
    <mergeCell ref="IBM5:IBN5"/>
    <mergeCell ref="IBO5:IBP5"/>
    <mergeCell ref="IBQ5:IBR5"/>
    <mergeCell ref="IBS5:IBT5"/>
    <mergeCell ref="IBU5:IBV5"/>
    <mergeCell ref="IBW5:IBX5"/>
    <mergeCell ref="IBY5:IBZ5"/>
    <mergeCell ref="ICA5:ICB5"/>
    <mergeCell ref="ICC5:ICD5"/>
    <mergeCell ref="ICE5:ICF5"/>
    <mergeCell ref="ICG5:ICH5"/>
    <mergeCell ref="ICI5:ICJ5"/>
    <mergeCell ref="ICK5:ICL5"/>
    <mergeCell ref="ICM5:ICN5"/>
    <mergeCell ref="ICO5:ICP5"/>
    <mergeCell ref="ICQ5:ICR5"/>
    <mergeCell ref="ICS5:ICT5"/>
    <mergeCell ref="ICU5:ICV5"/>
    <mergeCell ref="ICW5:ICX5"/>
    <mergeCell ref="ICY5:ICZ5"/>
    <mergeCell ref="IDA5:IDB5"/>
    <mergeCell ref="IDC5:IDD5"/>
    <mergeCell ref="IDE5:IDF5"/>
    <mergeCell ref="IDG5:IDH5"/>
    <mergeCell ref="IDI5:IDJ5"/>
    <mergeCell ref="IDK5:IDL5"/>
    <mergeCell ref="IDM5:IDN5"/>
    <mergeCell ref="IDO5:IDP5"/>
    <mergeCell ref="IDQ5:IDR5"/>
    <mergeCell ref="IDS5:IDT5"/>
    <mergeCell ref="IDU5:IDV5"/>
    <mergeCell ref="IDW5:IDX5"/>
    <mergeCell ref="IDY5:IDZ5"/>
    <mergeCell ref="IEA5:IEB5"/>
    <mergeCell ref="IEC5:IED5"/>
    <mergeCell ref="IEE5:IEF5"/>
    <mergeCell ref="IEG5:IEH5"/>
    <mergeCell ref="IEI5:IEJ5"/>
    <mergeCell ref="IEK5:IEL5"/>
    <mergeCell ref="IEM5:IEN5"/>
    <mergeCell ref="IEO5:IEP5"/>
    <mergeCell ref="IEQ5:IER5"/>
    <mergeCell ref="IES5:IET5"/>
    <mergeCell ref="IEU5:IEV5"/>
    <mergeCell ref="IEW5:IEX5"/>
    <mergeCell ref="IEY5:IEZ5"/>
    <mergeCell ref="IFA5:IFB5"/>
    <mergeCell ref="IFC5:IFD5"/>
    <mergeCell ref="IFE5:IFF5"/>
    <mergeCell ref="IFG5:IFH5"/>
    <mergeCell ref="IFI5:IFJ5"/>
    <mergeCell ref="IFK5:IFL5"/>
    <mergeCell ref="IFM5:IFN5"/>
    <mergeCell ref="IFO5:IFP5"/>
    <mergeCell ref="IFQ5:IFR5"/>
    <mergeCell ref="IFS5:IFT5"/>
    <mergeCell ref="IFU5:IFV5"/>
    <mergeCell ref="IFW5:IFX5"/>
    <mergeCell ref="IFY5:IFZ5"/>
    <mergeCell ref="IGA5:IGB5"/>
    <mergeCell ref="IGC5:IGD5"/>
    <mergeCell ref="IGE5:IGF5"/>
    <mergeCell ref="IGG5:IGH5"/>
    <mergeCell ref="IGI5:IGJ5"/>
    <mergeCell ref="IGK5:IGL5"/>
    <mergeCell ref="IGM5:IGN5"/>
    <mergeCell ref="IGO5:IGP5"/>
    <mergeCell ref="IGQ5:IGR5"/>
    <mergeCell ref="IGS5:IGT5"/>
    <mergeCell ref="IGU5:IGV5"/>
    <mergeCell ref="IGW5:IGX5"/>
    <mergeCell ref="IGY5:IGZ5"/>
    <mergeCell ref="IHA5:IHB5"/>
    <mergeCell ref="IHC5:IHD5"/>
    <mergeCell ref="IHE5:IHF5"/>
    <mergeCell ref="IHG5:IHH5"/>
    <mergeCell ref="IHI5:IHJ5"/>
    <mergeCell ref="IHK5:IHL5"/>
    <mergeCell ref="IHM5:IHN5"/>
    <mergeCell ref="IHO5:IHP5"/>
    <mergeCell ref="IHQ5:IHR5"/>
    <mergeCell ref="IHS5:IHT5"/>
    <mergeCell ref="IHU5:IHV5"/>
    <mergeCell ref="IHW5:IHX5"/>
    <mergeCell ref="IHY5:IHZ5"/>
    <mergeCell ref="IIA5:IIB5"/>
    <mergeCell ref="IIC5:IID5"/>
    <mergeCell ref="IIE5:IIF5"/>
    <mergeCell ref="IIG5:IIH5"/>
    <mergeCell ref="III5:IIJ5"/>
    <mergeCell ref="IIK5:IIL5"/>
    <mergeCell ref="IIM5:IIN5"/>
    <mergeCell ref="IIO5:IIP5"/>
    <mergeCell ref="IIQ5:IIR5"/>
    <mergeCell ref="IIS5:IIT5"/>
    <mergeCell ref="IIU5:IIV5"/>
    <mergeCell ref="IIW5:IIX5"/>
    <mergeCell ref="IIY5:IIZ5"/>
    <mergeCell ref="IJA5:IJB5"/>
    <mergeCell ref="IJC5:IJD5"/>
    <mergeCell ref="IJE5:IJF5"/>
    <mergeCell ref="IJG5:IJH5"/>
    <mergeCell ref="IJI5:IJJ5"/>
    <mergeCell ref="IJK5:IJL5"/>
    <mergeCell ref="IJM5:IJN5"/>
    <mergeCell ref="IJO5:IJP5"/>
    <mergeCell ref="IJQ5:IJR5"/>
    <mergeCell ref="IJS5:IJT5"/>
    <mergeCell ref="IJU5:IJV5"/>
    <mergeCell ref="IJW5:IJX5"/>
    <mergeCell ref="IJY5:IJZ5"/>
    <mergeCell ref="IKA5:IKB5"/>
    <mergeCell ref="IKC5:IKD5"/>
    <mergeCell ref="IKE5:IKF5"/>
    <mergeCell ref="IKG5:IKH5"/>
    <mergeCell ref="IKI5:IKJ5"/>
    <mergeCell ref="IKK5:IKL5"/>
    <mergeCell ref="IKM5:IKN5"/>
    <mergeCell ref="IKO5:IKP5"/>
    <mergeCell ref="IKQ5:IKR5"/>
    <mergeCell ref="IKS5:IKT5"/>
    <mergeCell ref="IKU5:IKV5"/>
    <mergeCell ref="IKW5:IKX5"/>
    <mergeCell ref="IKY5:IKZ5"/>
    <mergeCell ref="ILA5:ILB5"/>
    <mergeCell ref="ILC5:ILD5"/>
    <mergeCell ref="ILE5:ILF5"/>
    <mergeCell ref="ILG5:ILH5"/>
    <mergeCell ref="ILI5:ILJ5"/>
    <mergeCell ref="ILK5:ILL5"/>
    <mergeCell ref="ILM5:ILN5"/>
    <mergeCell ref="ILO5:ILP5"/>
    <mergeCell ref="ILQ5:ILR5"/>
    <mergeCell ref="ILS5:ILT5"/>
    <mergeCell ref="ILU5:ILV5"/>
    <mergeCell ref="ILW5:ILX5"/>
    <mergeCell ref="ILY5:ILZ5"/>
    <mergeCell ref="IMA5:IMB5"/>
    <mergeCell ref="IMC5:IMD5"/>
    <mergeCell ref="IME5:IMF5"/>
    <mergeCell ref="IMG5:IMH5"/>
    <mergeCell ref="IMI5:IMJ5"/>
    <mergeCell ref="IMK5:IML5"/>
    <mergeCell ref="IMM5:IMN5"/>
    <mergeCell ref="IMO5:IMP5"/>
    <mergeCell ref="IMQ5:IMR5"/>
    <mergeCell ref="IMS5:IMT5"/>
    <mergeCell ref="IMU5:IMV5"/>
    <mergeCell ref="IMW5:IMX5"/>
    <mergeCell ref="IMY5:IMZ5"/>
    <mergeCell ref="INA5:INB5"/>
    <mergeCell ref="INC5:IND5"/>
    <mergeCell ref="INE5:INF5"/>
    <mergeCell ref="ING5:INH5"/>
    <mergeCell ref="INI5:INJ5"/>
    <mergeCell ref="INK5:INL5"/>
    <mergeCell ref="INM5:INN5"/>
    <mergeCell ref="INO5:INP5"/>
    <mergeCell ref="INQ5:INR5"/>
    <mergeCell ref="INS5:INT5"/>
    <mergeCell ref="INU5:INV5"/>
    <mergeCell ref="INW5:INX5"/>
    <mergeCell ref="INY5:INZ5"/>
    <mergeCell ref="IOA5:IOB5"/>
    <mergeCell ref="IOC5:IOD5"/>
    <mergeCell ref="IOE5:IOF5"/>
    <mergeCell ref="IOG5:IOH5"/>
    <mergeCell ref="IOI5:IOJ5"/>
    <mergeCell ref="IOK5:IOL5"/>
    <mergeCell ref="IOM5:ION5"/>
    <mergeCell ref="IOO5:IOP5"/>
    <mergeCell ref="IOQ5:IOR5"/>
    <mergeCell ref="IOS5:IOT5"/>
    <mergeCell ref="IOU5:IOV5"/>
    <mergeCell ref="IOW5:IOX5"/>
    <mergeCell ref="IOY5:IOZ5"/>
    <mergeCell ref="IPA5:IPB5"/>
    <mergeCell ref="IPC5:IPD5"/>
    <mergeCell ref="IPE5:IPF5"/>
    <mergeCell ref="IPG5:IPH5"/>
    <mergeCell ref="IPI5:IPJ5"/>
    <mergeCell ref="IPK5:IPL5"/>
    <mergeCell ref="IPM5:IPN5"/>
    <mergeCell ref="IPO5:IPP5"/>
    <mergeCell ref="IPQ5:IPR5"/>
    <mergeCell ref="IPS5:IPT5"/>
    <mergeCell ref="IPU5:IPV5"/>
    <mergeCell ref="IPW5:IPX5"/>
    <mergeCell ref="IPY5:IPZ5"/>
    <mergeCell ref="IQA5:IQB5"/>
    <mergeCell ref="IQC5:IQD5"/>
    <mergeCell ref="IQE5:IQF5"/>
    <mergeCell ref="IQG5:IQH5"/>
    <mergeCell ref="IQI5:IQJ5"/>
    <mergeCell ref="IQK5:IQL5"/>
    <mergeCell ref="IQM5:IQN5"/>
    <mergeCell ref="IQO5:IQP5"/>
    <mergeCell ref="IQQ5:IQR5"/>
    <mergeCell ref="IQS5:IQT5"/>
    <mergeCell ref="IQU5:IQV5"/>
    <mergeCell ref="IQW5:IQX5"/>
    <mergeCell ref="IQY5:IQZ5"/>
    <mergeCell ref="IRA5:IRB5"/>
    <mergeCell ref="IRC5:IRD5"/>
    <mergeCell ref="IRE5:IRF5"/>
    <mergeCell ref="IRG5:IRH5"/>
    <mergeCell ref="IRI5:IRJ5"/>
    <mergeCell ref="IRK5:IRL5"/>
    <mergeCell ref="IRM5:IRN5"/>
    <mergeCell ref="IRO5:IRP5"/>
    <mergeCell ref="IRQ5:IRR5"/>
    <mergeCell ref="IRS5:IRT5"/>
    <mergeCell ref="IRU5:IRV5"/>
    <mergeCell ref="IRW5:IRX5"/>
    <mergeCell ref="IRY5:IRZ5"/>
    <mergeCell ref="ISA5:ISB5"/>
    <mergeCell ref="ISC5:ISD5"/>
    <mergeCell ref="ISE5:ISF5"/>
    <mergeCell ref="ISG5:ISH5"/>
    <mergeCell ref="ISI5:ISJ5"/>
    <mergeCell ref="ISK5:ISL5"/>
    <mergeCell ref="ISM5:ISN5"/>
    <mergeCell ref="ISO5:ISP5"/>
    <mergeCell ref="ISQ5:ISR5"/>
    <mergeCell ref="ISS5:IST5"/>
    <mergeCell ref="ISU5:ISV5"/>
    <mergeCell ref="ISW5:ISX5"/>
    <mergeCell ref="ISY5:ISZ5"/>
    <mergeCell ref="ITA5:ITB5"/>
    <mergeCell ref="ITC5:ITD5"/>
    <mergeCell ref="ITE5:ITF5"/>
    <mergeCell ref="ITG5:ITH5"/>
    <mergeCell ref="ITI5:ITJ5"/>
    <mergeCell ref="ITK5:ITL5"/>
    <mergeCell ref="ITM5:ITN5"/>
    <mergeCell ref="ITO5:ITP5"/>
    <mergeCell ref="ITQ5:ITR5"/>
    <mergeCell ref="ITS5:ITT5"/>
    <mergeCell ref="ITU5:ITV5"/>
    <mergeCell ref="ITW5:ITX5"/>
    <mergeCell ref="ITY5:ITZ5"/>
    <mergeCell ref="IUA5:IUB5"/>
    <mergeCell ref="IUC5:IUD5"/>
    <mergeCell ref="IUE5:IUF5"/>
    <mergeCell ref="IUG5:IUH5"/>
    <mergeCell ref="IUI5:IUJ5"/>
    <mergeCell ref="IUK5:IUL5"/>
    <mergeCell ref="IUM5:IUN5"/>
    <mergeCell ref="IUO5:IUP5"/>
    <mergeCell ref="IUQ5:IUR5"/>
    <mergeCell ref="IUS5:IUT5"/>
    <mergeCell ref="IUU5:IUV5"/>
    <mergeCell ref="IUW5:IUX5"/>
    <mergeCell ref="IUY5:IUZ5"/>
    <mergeCell ref="IVA5:IVB5"/>
    <mergeCell ref="IVC5:IVD5"/>
    <mergeCell ref="IVE5:IVF5"/>
    <mergeCell ref="IVG5:IVH5"/>
    <mergeCell ref="IVI5:IVJ5"/>
    <mergeCell ref="IVK5:IVL5"/>
    <mergeCell ref="IVM5:IVN5"/>
    <mergeCell ref="IVO5:IVP5"/>
    <mergeCell ref="IVQ5:IVR5"/>
    <mergeCell ref="IVS5:IVT5"/>
    <mergeCell ref="IVU5:IVV5"/>
    <mergeCell ref="IVW5:IVX5"/>
    <mergeCell ref="IVY5:IVZ5"/>
    <mergeCell ref="IWA5:IWB5"/>
    <mergeCell ref="IWC5:IWD5"/>
    <mergeCell ref="IWE5:IWF5"/>
    <mergeCell ref="IWG5:IWH5"/>
    <mergeCell ref="IWI5:IWJ5"/>
    <mergeCell ref="IWK5:IWL5"/>
    <mergeCell ref="IWM5:IWN5"/>
    <mergeCell ref="IWO5:IWP5"/>
    <mergeCell ref="IWQ5:IWR5"/>
    <mergeCell ref="IWS5:IWT5"/>
    <mergeCell ref="IWU5:IWV5"/>
    <mergeCell ref="IWW5:IWX5"/>
    <mergeCell ref="IWY5:IWZ5"/>
    <mergeCell ref="IXA5:IXB5"/>
    <mergeCell ref="IXC5:IXD5"/>
    <mergeCell ref="IXE5:IXF5"/>
    <mergeCell ref="IXG5:IXH5"/>
    <mergeCell ref="IXI5:IXJ5"/>
    <mergeCell ref="IXK5:IXL5"/>
    <mergeCell ref="IXM5:IXN5"/>
    <mergeCell ref="IXO5:IXP5"/>
    <mergeCell ref="IXQ5:IXR5"/>
    <mergeCell ref="IXS5:IXT5"/>
    <mergeCell ref="IXU5:IXV5"/>
    <mergeCell ref="IXW5:IXX5"/>
    <mergeCell ref="IXY5:IXZ5"/>
    <mergeCell ref="IYA5:IYB5"/>
    <mergeCell ref="IYC5:IYD5"/>
    <mergeCell ref="IYE5:IYF5"/>
    <mergeCell ref="IYG5:IYH5"/>
    <mergeCell ref="IYI5:IYJ5"/>
    <mergeCell ref="IYK5:IYL5"/>
    <mergeCell ref="IYM5:IYN5"/>
    <mergeCell ref="IYO5:IYP5"/>
    <mergeCell ref="IYQ5:IYR5"/>
    <mergeCell ref="IYS5:IYT5"/>
    <mergeCell ref="IYU5:IYV5"/>
    <mergeCell ref="IYW5:IYX5"/>
    <mergeCell ref="IYY5:IYZ5"/>
    <mergeCell ref="IZA5:IZB5"/>
    <mergeCell ref="IZC5:IZD5"/>
    <mergeCell ref="IZE5:IZF5"/>
    <mergeCell ref="IZG5:IZH5"/>
    <mergeCell ref="IZI5:IZJ5"/>
    <mergeCell ref="IZK5:IZL5"/>
    <mergeCell ref="IZM5:IZN5"/>
    <mergeCell ref="IZO5:IZP5"/>
    <mergeCell ref="IZQ5:IZR5"/>
    <mergeCell ref="IZS5:IZT5"/>
    <mergeCell ref="IZU5:IZV5"/>
    <mergeCell ref="IZW5:IZX5"/>
    <mergeCell ref="IZY5:IZZ5"/>
    <mergeCell ref="JAA5:JAB5"/>
    <mergeCell ref="JAC5:JAD5"/>
    <mergeCell ref="JAE5:JAF5"/>
    <mergeCell ref="JAG5:JAH5"/>
    <mergeCell ref="JAI5:JAJ5"/>
    <mergeCell ref="JAK5:JAL5"/>
    <mergeCell ref="JAM5:JAN5"/>
    <mergeCell ref="JAO5:JAP5"/>
    <mergeCell ref="JAQ5:JAR5"/>
    <mergeCell ref="JAS5:JAT5"/>
    <mergeCell ref="JAU5:JAV5"/>
    <mergeCell ref="JAW5:JAX5"/>
    <mergeCell ref="JAY5:JAZ5"/>
    <mergeCell ref="JBA5:JBB5"/>
    <mergeCell ref="JBC5:JBD5"/>
    <mergeCell ref="JBE5:JBF5"/>
    <mergeCell ref="JBG5:JBH5"/>
    <mergeCell ref="JBI5:JBJ5"/>
    <mergeCell ref="JBK5:JBL5"/>
    <mergeCell ref="JBM5:JBN5"/>
    <mergeCell ref="JBO5:JBP5"/>
    <mergeCell ref="JBQ5:JBR5"/>
    <mergeCell ref="JBS5:JBT5"/>
    <mergeCell ref="JBU5:JBV5"/>
    <mergeCell ref="JBW5:JBX5"/>
    <mergeCell ref="JBY5:JBZ5"/>
    <mergeCell ref="JCA5:JCB5"/>
    <mergeCell ref="JCC5:JCD5"/>
    <mergeCell ref="JCE5:JCF5"/>
    <mergeCell ref="JCG5:JCH5"/>
    <mergeCell ref="JCI5:JCJ5"/>
    <mergeCell ref="JCK5:JCL5"/>
    <mergeCell ref="JCM5:JCN5"/>
    <mergeCell ref="JCO5:JCP5"/>
    <mergeCell ref="JCQ5:JCR5"/>
    <mergeCell ref="JCS5:JCT5"/>
    <mergeCell ref="JCU5:JCV5"/>
    <mergeCell ref="JCW5:JCX5"/>
    <mergeCell ref="JCY5:JCZ5"/>
    <mergeCell ref="JDA5:JDB5"/>
    <mergeCell ref="JDC5:JDD5"/>
    <mergeCell ref="JDE5:JDF5"/>
    <mergeCell ref="JDG5:JDH5"/>
    <mergeCell ref="JDI5:JDJ5"/>
    <mergeCell ref="JDK5:JDL5"/>
    <mergeCell ref="JDM5:JDN5"/>
    <mergeCell ref="JDO5:JDP5"/>
    <mergeCell ref="JDQ5:JDR5"/>
    <mergeCell ref="JDS5:JDT5"/>
    <mergeCell ref="JDU5:JDV5"/>
    <mergeCell ref="JDW5:JDX5"/>
    <mergeCell ref="JDY5:JDZ5"/>
    <mergeCell ref="JEA5:JEB5"/>
    <mergeCell ref="JEC5:JED5"/>
    <mergeCell ref="JEE5:JEF5"/>
    <mergeCell ref="JEG5:JEH5"/>
    <mergeCell ref="JEI5:JEJ5"/>
    <mergeCell ref="JEK5:JEL5"/>
    <mergeCell ref="JEM5:JEN5"/>
    <mergeCell ref="JEO5:JEP5"/>
    <mergeCell ref="JEQ5:JER5"/>
    <mergeCell ref="JES5:JET5"/>
    <mergeCell ref="JEU5:JEV5"/>
    <mergeCell ref="JEW5:JEX5"/>
    <mergeCell ref="JEY5:JEZ5"/>
    <mergeCell ref="JFA5:JFB5"/>
    <mergeCell ref="JFC5:JFD5"/>
    <mergeCell ref="JFE5:JFF5"/>
    <mergeCell ref="JFG5:JFH5"/>
    <mergeCell ref="JFI5:JFJ5"/>
    <mergeCell ref="JFK5:JFL5"/>
    <mergeCell ref="JFM5:JFN5"/>
    <mergeCell ref="JFO5:JFP5"/>
    <mergeCell ref="JFQ5:JFR5"/>
    <mergeCell ref="JFS5:JFT5"/>
    <mergeCell ref="JFU5:JFV5"/>
    <mergeCell ref="JFW5:JFX5"/>
    <mergeCell ref="JFY5:JFZ5"/>
    <mergeCell ref="JGA5:JGB5"/>
    <mergeCell ref="JGC5:JGD5"/>
    <mergeCell ref="JGE5:JGF5"/>
    <mergeCell ref="JGG5:JGH5"/>
    <mergeCell ref="JGI5:JGJ5"/>
    <mergeCell ref="JGK5:JGL5"/>
    <mergeCell ref="JGM5:JGN5"/>
    <mergeCell ref="JGO5:JGP5"/>
    <mergeCell ref="JGQ5:JGR5"/>
    <mergeCell ref="JGS5:JGT5"/>
    <mergeCell ref="JGU5:JGV5"/>
    <mergeCell ref="JGW5:JGX5"/>
    <mergeCell ref="JGY5:JGZ5"/>
    <mergeCell ref="JHA5:JHB5"/>
    <mergeCell ref="JHC5:JHD5"/>
    <mergeCell ref="JHE5:JHF5"/>
    <mergeCell ref="JHG5:JHH5"/>
    <mergeCell ref="JHI5:JHJ5"/>
    <mergeCell ref="JHK5:JHL5"/>
    <mergeCell ref="JHM5:JHN5"/>
    <mergeCell ref="JHO5:JHP5"/>
    <mergeCell ref="JHQ5:JHR5"/>
    <mergeCell ref="JHS5:JHT5"/>
    <mergeCell ref="JHU5:JHV5"/>
    <mergeCell ref="JHW5:JHX5"/>
    <mergeCell ref="JHY5:JHZ5"/>
    <mergeCell ref="JIA5:JIB5"/>
    <mergeCell ref="JIC5:JID5"/>
    <mergeCell ref="JIE5:JIF5"/>
    <mergeCell ref="JIG5:JIH5"/>
    <mergeCell ref="JII5:JIJ5"/>
    <mergeCell ref="JIK5:JIL5"/>
    <mergeCell ref="JIM5:JIN5"/>
    <mergeCell ref="JIO5:JIP5"/>
    <mergeCell ref="JIQ5:JIR5"/>
    <mergeCell ref="JIS5:JIT5"/>
    <mergeCell ref="JIU5:JIV5"/>
    <mergeCell ref="JIW5:JIX5"/>
    <mergeCell ref="JIY5:JIZ5"/>
    <mergeCell ref="JJA5:JJB5"/>
    <mergeCell ref="JJC5:JJD5"/>
    <mergeCell ref="JJE5:JJF5"/>
    <mergeCell ref="JJG5:JJH5"/>
    <mergeCell ref="JJI5:JJJ5"/>
    <mergeCell ref="JJK5:JJL5"/>
    <mergeCell ref="JJM5:JJN5"/>
    <mergeCell ref="JJO5:JJP5"/>
    <mergeCell ref="JJQ5:JJR5"/>
    <mergeCell ref="JJS5:JJT5"/>
    <mergeCell ref="JJU5:JJV5"/>
    <mergeCell ref="JJW5:JJX5"/>
    <mergeCell ref="JJY5:JJZ5"/>
    <mergeCell ref="JKA5:JKB5"/>
    <mergeCell ref="JKC5:JKD5"/>
    <mergeCell ref="JKE5:JKF5"/>
    <mergeCell ref="JKG5:JKH5"/>
    <mergeCell ref="JKI5:JKJ5"/>
    <mergeCell ref="JKK5:JKL5"/>
    <mergeCell ref="JKM5:JKN5"/>
    <mergeCell ref="JKO5:JKP5"/>
    <mergeCell ref="JKQ5:JKR5"/>
    <mergeCell ref="JKS5:JKT5"/>
    <mergeCell ref="JKU5:JKV5"/>
    <mergeCell ref="JKW5:JKX5"/>
    <mergeCell ref="JKY5:JKZ5"/>
    <mergeCell ref="JLA5:JLB5"/>
    <mergeCell ref="JLC5:JLD5"/>
    <mergeCell ref="JLE5:JLF5"/>
    <mergeCell ref="JLG5:JLH5"/>
    <mergeCell ref="JLI5:JLJ5"/>
    <mergeCell ref="JLK5:JLL5"/>
    <mergeCell ref="JLM5:JLN5"/>
    <mergeCell ref="JLO5:JLP5"/>
    <mergeCell ref="JLQ5:JLR5"/>
    <mergeCell ref="JLS5:JLT5"/>
    <mergeCell ref="JLU5:JLV5"/>
    <mergeCell ref="JLW5:JLX5"/>
    <mergeCell ref="JLY5:JLZ5"/>
    <mergeCell ref="JMA5:JMB5"/>
    <mergeCell ref="JMC5:JMD5"/>
    <mergeCell ref="JME5:JMF5"/>
    <mergeCell ref="JMG5:JMH5"/>
    <mergeCell ref="JMI5:JMJ5"/>
    <mergeCell ref="JMK5:JML5"/>
    <mergeCell ref="JMM5:JMN5"/>
    <mergeCell ref="JMO5:JMP5"/>
    <mergeCell ref="JMQ5:JMR5"/>
    <mergeCell ref="JMS5:JMT5"/>
    <mergeCell ref="JMU5:JMV5"/>
    <mergeCell ref="JMW5:JMX5"/>
    <mergeCell ref="JMY5:JMZ5"/>
    <mergeCell ref="JNA5:JNB5"/>
    <mergeCell ref="JNC5:JND5"/>
    <mergeCell ref="JNE5:JNF5"/>
    <mergeCell ref="JNG5:JNH5"/>
    <mergeCell ref="JNI5:JNJ5"/>
    <mergeCell ref="JNK5:JNL5"/>
    <mergeCell ref="JNM5:JNN5"/>
    <mergeCell ref="JNO5:JNP5"/>
    <mergeCell ref="JNQ5:JNR5"/>
    <mergeCell ref="JNS5:JNT5"/>
    <mergeCell ref="JNU5:JNV5"/>
    <mergeCell ref="JNW5:JNX5"/>
    <mergeCell ref="JNY5:JNZ5"/>
    <mergeCell ref="JOA5:JOB5"/>
    <mergeCell ref="JOC5:JOD5"/>
    <mergeCell ref="JOE5:JOF5"/>
    <mergeCell ref="JOG5:JOH5"/>
    <mergeCell ref="JOI5:JOJ5"/>
    <mergeCell ref="JOK5:JOL5"/>
    <mergeCell ref="JOM5:JON5"/>
    <mergeCell ref="JOO5:JOP5"/>
    <mergeCell ref="JOQ5:JOR5"/>
    <mergeCell ref="JOS5:JOT5"/>
    <mergeCell ref="JOU5:JOV5"/>
    <mergeCell ref="JOW5:JOX5"/>
    <mergeCell ref="JOY5:JOZ5"/>
    <mergeCell ref="JPA5:JPB5"/>
    <mergeCell ref="JPC5:JPD5"/>
    <mergeCell ref="JPE5:JPF5"/>
    <mergeCell ref="JPG5:JPH5"/>
    <mergeCell ref="JPI5:JPJ5"/>
    <mergeCell ref="JPK5:JPL5"/>
    <mergeCell ref="JPM5:JPN5"/>
    <mergeCell ref="JPO5:JPP5"/>
    <mergeCell ref="JPQ5:JPR5"/>
    <mergeCell ref="JPS5:JPT5"/>
    <mergeCell ref="JPU5:JPV5"/>
    <mergeCell ref="JPW5:JPX5"/>
    <mergeCell ref="JPY5:JPZ5"/>
    <mergeCell ref="JQA5:JQB5"/>
    <mergeCell ref="JQC5:JQD5"/>
    <mergeCell ref="JQE5:JQF5"/>
    <mergeCell ref="JQG5:JQH5"/>
    <mergeCell ref="JQI5:JQJ5"/>
    <mergeCell ref="JQK5:JQL5"/>
    <mergeCell ref="JQM5:JQN5"/>
    <mergeCell ref="JQO5:JQP5"/>
    <mergeCell ref="JQQ5:JQR5"/>
    <mergeCell ref="JQS5:JQT5"/>
    <mergeCell ref="JQU5:JQV5"/>
    <mergeCell ref="JQW5:JQX5"/>
    <mergeCell ref="JQY5:JQZ5"/>
    <mergeCell ref="JRA5:JRB5"/>
    <mergeCell ref="JRC5:JRD5"/>
    <mergeCell ref="JRE5:JRF5"/>
    <mergeCell ref="JRG5:JRH5"/>
    <mergeCell ref="JRI5:JRJ5"/>
    <mergeCell ref="JRK5:JRL5"/>
    <mergeCell ref="JRM5:JRN5"/>
    <mergeCell ref="JRO5:JRP5"/>
    <mergeCell ref="JRQ5:JRR5"/>
    <mergeCell ref="JRS5:JRT5"/>
    <mergeCell ref="JRU5:JRV5"/>
    <mergeCell ref="JRW5:JRX5"/>
    <mergeCell ref="JRY5:JRZ5"/>
    <mergeCell ref="JSA5:JSB5"/>
    <mergeCell ref="JSC5:JSD5"/>
    <mergeCell ref="JSE5:JSF5"/>
    <mergeCell ref="JSG5:JSH5"/>
    <mergeCell ref="JSI5:JSJ5"/>
    <mergeCell ref="JSK5:JSL5"/>
    <mergeCell ref="JSM5:JSN5"/>
    <mergeCell ref="JSO5:JSP5"/>
    <mergeCell ref="JSQ5:JSR5"/>
    <mergeCell ref="JSS5:JST5"/>
    <mergeCell ref="JSU5:JSV5"/>
    <mergeCell ref="JSW5:JSX5"/>
    <mergeCell ref="JSY5:JSZ5"/>
    <mergeCell ref="JTA5:JTB5"/>
    <mergeCell ref="JTC5:JTD5"/>
    <mergeCell ref="JTE5:JTF5"/>
    <mergeCell ref="JTG5:JTH5"/>
    <mergeCell ref="JTI5:JTJ5"/>
    <mergeCell ref="JTK5:JTL5"/>
    <mergeCell ref="JTM5:JTN5"/>
    <mergeCell ref="JTO5:JTP5"/>
    <mergeCell ref="JTQ5:JTR5"/>
    <mergeCell ref="JTS5:JTT5"/>
    <mergeCell ref="JTU5:JTV5"/>
    <mergeCell ref="JTW5:JTX5"/>
    <mergeCell ref="JTY5:JTZ5"/>
    <mergeCell ref="JUA5:JUB5"/>
    <mergeCell ref="JUC5:JUD5"/>
    <mergeCell ref="JUE5:JUF5"/>
    <mergeCell ref="JUG5:JUH5"/>
    <mergeCell ref="JUI5:JUJ5"/>
    <mergeCell ref="JUK5:JUL5"/>
    <mergeCell ref="JUM5:JUN5"/>
    <mergeCell ref="JUO5:JUP5"/>
    <mergeCell ref="JUQ5:JUR5"/>
    <mergeCell ref="JUS5:JUT5"/>
    <mergeCell ref="JUU5:JUV5"/>
    <mergeCell ref="JUW5:JUX5"/>
    <mergeCell ref="JUY5:JUZ5"/>
    <mergeCell ref="JVA5:JVB5"/>
    <mergeCell ref="JVC5:JVD5"/>
    <mergeCell ref="JVE5:JVF5"/>
    <mergeCell ref="JVG5:JVH5"/>
    <mergeCell ref="JVI5:JVJ5"/>
    <mergeCell ref="JVK5:JVL5"/>
    <mergeCell ref="JVM5:JVN5"/>
    <mergeCell ref="JVO5:JVP5"/>
    <mergeCell ref="JVQ5:JVR5"/>
    <mergeCell ref="JVS5:JVT5"/>
    <mergeCell ref="JVU5:JVV5"/>
    <mergeCell ref="JVW5:JVX5"/>
    <mergeCell ref="JVY5:JVZ5"/>
    <mergeCell ref="JWA5:JWB5"/>
    <mergeCell ref="JWC5:JWD5"/>
    <mergeCell ref="JWE5:JWF5"/>
    <mergeCell ref="JWG5:JWH5"/>
    <mergeCell ref="JWI5:JWJ5"/>
    <mergeCell ref="JWK5:JWL5"/>
    <mergeCell ref="JWM5:JWN5"/>
    <mergeCell ref="JWO5:JWP5"/>
    <mergeCell ref="JWQ5:JWR5"/>
    <mergeCell ref="JWS5:JWT5"/>
    <mergeCell ref="JWU5:JWV5"/>
    <mergeCell ref="JWW5:JWX5"/>
    <mergeCell ref="JWY5:JWZ5"/>
    <mergeCell ref="JXA5:JXB5"/>
    <mergeCell ref="JXC5:JXD5"/>
    <mergeCell ref="JXE5:JXF5"/>
    <mergeCell ref="JXG5:JXH5"/>
    <mergeCell ref="JXI5:JXJ5"/>
    <mergeCell ref="JXK5:JXL5"/>
    <mergeCell ref="JXM5:JXN5"/>
    <mergeCell ref="JXO5:JXP5"/>
    <mergeCell ref="JXQ5:JXR5"/>
    <mergeCell ref="JXS5:JXT5"/>
    <mergeCell ref="JXU5:JXV5"/>
    <mergeCell ref="JXW5:JXX5"/>
    <mergeCell ref="JXY5:JXZ5"/>
    <mergeCell ref="JYA5:JYB5"/>
    <mergeCell ref="JYC5:JYD5"/>
    <mergeCell ref="JYE5:JYF5"/>
    <mergeCell ref="JYG5:JYH5"/>
    <mergeCell ref="JYI5:JYJ5"/>
    <mergeCell ref="JYK5:JYL5"/>
    <mergeCell ref="JYM5:JYN5"/>
    <mergeCell ref="JYO5:JYP5"/>
    <mergeCell ref="JYQ5:JYR5"/>
    <mergeCell ref="JYS5:JYT5"/>
    <mergeCell ref="JYU5:JYV5"/>
    <mergeCell ref="JYW5:JYX5"/>
    <mergeCell ref="JYY5:JYZ5"/>
    <mergeCell ref="JZA5:JZB5"/>
    <mergeCell ref="JZC5:JZD5"/>
    <mergeCell ref="JZE5:JZF5"/>
    <mergeCell ref="JZG5:JZH5"/>
    <mergeCell ref="JZI5:JZJ5"/>
    <mergeCell ref="JZK5:JZL5"/>
    <mergeCell ref="JZM5:JZN5"/>
    <mergeCell ref="JZO5:JZP5"/>
    <mergeCell ref="JZQ5:JZR5"/>
    <mergeCell ref="JZS5:JZT5"/>
    <mergeCell ref="JZU5:JZV5"/>
    <mergeCell ref="JZW5:JZX5"/>
    <mergeCell ref="JZY5:JZZ5"/>
    <mergeCell ref="KAA5:KAB5"/>
    <mergeCell ref="KAC5:KAD5"/>
    <mergeCell ref="KAE5:KAF5"/>
    <mergeCell ref="KAG5:KAH5"/>
    <mergeCell ref="KAI5:KAJ5"/>
    <mergeCell ref="KAK5:KAL5"/>
    <mergeCell ref="KAM5:KAN5"/>
    <mergeCell ref="KAO5:KAP5"/>
    <mergeCell ref="KAQ5:KAR5"/>
    <mergeCell ref="KAS5:KAT5"/>
    <mergeCell ref="KAU5:KAV5"/>
    <mergeCell ref="KAW5:KAX5"/>
    <mergeCell ref="KAY5:KAZ5"/>
    <mergeCell ref="KBA5:KBB5"/>
    <mergeCell ref="KBC5:KBD5"/>
    <mergeCell ref="KBE5:KBF5"/>
    <mergeCell ref="KBG5:KBH5"/>
    <mergeCell ref="KBI5:KBJ5"/>
    <mergeCell ref="KBK5:KBL5"/>
    <mergeCell ref="KBM5:KBN5"/>
    <mergeCell ref="KBO5:KBP5"/>
    <mergeCell ref="KBQ5:KBR5"/>
    <mergeCell ref="KBS5:KBT5"/>
    <mergeCell ref="KBU5:KBV5"/>
    <mergeCell ref="KBW5:KBX5"/>
    <mergeCell ref="KBY5:KBZ5"/>
    <mergeCell ref="KCA5:KCB5"/>
    <mergeCell ref="KCC5:KCD5"/>
    <mergeCell ref="KCE5:KCF5"/>
    <mergeCell ref="KCG5:KCH5"/>
    <mergeCell ref="KCI5:KCJ5"/>
    <mergeCell ref="KCK5:KCL5"/>
    <mergeCell ref="KCM5:KCN5"/>
    <mergeCell ref="KCO5:KCP5"/>
    <mergeCell ref="KCQ5:KCR5"/>
    <mergeCell ref="KCS5:KCT5"/>
    <mergeCell ref="KCU5:KCV5"/>
    <mergeCell ref="KCW5:KCX5"/>
    <mergeCell ref="KCY5:KCZ5"/>
    <mergeCell ref="KDA5:KDB5"/>
    <mergeCell ref="KDC5:KDD5"/>
    <mergeCell ref="KDE5:KDF5"/>
    <mergeCell ref="KDG5:KDH5"/>
    <mergeCell ref="KDI5:KDJ5"/>
    <mergeCell ref="KDK5:KDL5"/>
    <mergeCell ref="KDM5:KDN5"/>
    <mergeCell ref="KDO5:KDP5"/>
    <mergeCell ref="KDQ5:KDR5"/>
    <mergeCell ref="KDS5:KDT5"/>
    <mergeCell ref="KDU5:KDV5"/>
    <mergeCell ref="KDW5:KDX5"/>
    <mergeCell ref="KDY5:KDZ5"/>
    <mergeCell ref="KEA5:KEB5"/>
    <mergeCell ref="KEC5:KED5"/>
    <mergeCell ref="KEE5:KEF5"/>
    <mergeCell ref="KEG5:KEH5"/>
    <mergeCell ref="KEI5:KEJ5"/>
    <mergeCell ref="KEK5:KEL5"/>
    <mergeCell ref="KEM5:KEN5"/>
    <mergeCell ref="KEO5:KEP5"/>
    <mergeCell ref="KEQ5:KER5"/>
    <mergeCell ref="KES5:KET5"/>
    <mergeCell ref="KEU5:KEV5"/>
    <mergeCell ref="KEW5:KEX5"/>
    <mergeCell ref="KEY5:KEZ5"/>
    <mergeCell ref="KFA5:KFB5"/>
    <mergeCell ref="KFC5:KFD5"/>
    <mergeCell ref="KFE5:KFF5"/>
    <mergeCell ref="KFG5:KFH5"/>
    <mergeCell ref="KFI5:KFJ5"/>
    <mergeCell ref="KFK5:KFL5"/>
    <mergeCell ref="KFM5:KFN5"/>
    <mergeCell ref="KFO5:KFP5"/>
    <mergeCell ref="KFQ5:KFR5"/>
    <mergeCell ref="KFS5:KFT5"/>
    <mergeCell ref="KFU5:KFV5"/>
    <mergeCell ref="KFW5:KFX5"/>
    <mergeCell ref="KFY5:KFZ5"/>
    <mergeCell ref="KGA5:KGB5"/>
    <mergeCell ref="KGC5:KGD5"/>
    <mergeCell ref="KGE5:KGF5"/>
    <mergeCell ref="KGG5:KGH5"/>
    <mergeCell ref="KGI5:KGJ5"/>
    <mergeCell ref="KGK5:KGL5"/>
    <mergeCell ref="KGM5:KGN5"/>
    <mergeCell ref="KGO5:KGP5"/>
    <mergeCell ref="KGQ5:KGR5"/>
    <mergeCell ref="KGS5:KGT5"/>
    <mergeCell ref="KGU5:KGV5"/>
    <mergeCell ref="KGW5:KGX5"/>
    <mergeCell ref="KGY5:KGZ5"/>
    <mergeCell ref="KHA5:KHB5"/>
    <mergeCell ref="KHC5:KHD5"/>
    <mergeCell ref="KHE5:KHF5"/>
    <mergeCell ref="KHG5:KHH5"/>
    <mergeCell ref="KHI5:KHJ5"/>
    <mergeCell ref="KHK5:KHL5"/>
    <mergeCell ref="KHM5:KHN5"/>
    <mergeCell ref="KHO5:KHP5"/>
    <mergeCell ref="KHQ5:KHR5"/>
    <mergeCell ref="KHS5:KHT5"/>
    <mergeCell ref="KHU5:KHV5"/>
    <mergeCell ref="KHW5:KHX5"/>
    <mergeCell ref="KHY5:KHZ5"/>
    <mergeCell ref="KIA5:KIB5"/>
    <mergeCell ref="KIC5:KID5"/>
    <mergeCell ref="KIE5:KIF5"/>
    <mergeCell ref="KIG5:KIH5"/>
    <mergeCell ref="KII5:KIJ5"/>
    <mergeCell ref="KIK5:KIL5"/>
    <mergeCell ref="KIM5:KIN5"/>
    <mergeCell ref="KIO5:KIP5"/>
    <mergeCell ref="KIQ5:KIR5"/>
    <mergeCell ref="KIS5:KIT5"/>
    <mergeCell ref="KIU5:KIV5"/>
    <mergeCell ref="KIW5:KIX5"/>
    <mergeCell ref="KIY5:KIZ5"/>
    <mergeCell ref="KJA5:KJB5"/>
    <mergeCell ref="KJC5:KJD5"/>
    <mergeCell ref="KJE5:KJF5"/>
    <mergeCell ref="KJG5:KJH5"/>
    <mergeCell ref="KJI5:KJJ5"/>
    <mergeCell ref="KJK5:KJL5"/>
    <mergeCell ref="KJM5:KJN5"/>
    <mergeCell ref="KJO5:KJP5"/>
    <mergeCell ref="KJQ5:KJR5"/>
    <mergeCell ref="KJS5:KJT5"/>
    <mergeCell ref="KJU5:KJV5"/>
    <mergeCell ref="KJW5:KJX5"/>
    <mergeCell ref="KJY5:KJZ5"/>
    <mergeCell ref="KKA5:KKB5"/>
    <mergeCell ref="KKC5:KKD5"/>
    <mergeCell ref="KKE5:KKF5"/>
    <mergeCell ref="KKG5:KKH5"/>
    <mergeCell ref="KKI5:KKJ5"/>
    <mergeCell ref="KKK5:KKL5"/>
    <mergeCell ref="KKM5:KKN5"/>
    <mergeCell ref="KKO5:KKP5"/>
    <mergeCell ref="KKQ5:KKR5"/>
    <mergeCell ref="KKS5:KKT5"/>
    <mergeCell ref="KKU5:KKV5"/>
    <mergeCell ref="KKW5:KKX5"/>
    <mergeCell ref="KKY5:KKZ5"/>
    <mergeCell ref="KLA5:KLB5"/>
    <mergeCell ref="KLC5:KLD5"/>
    <mergeCell ref="KLE5:KLF5"/>
    <mergeCell ref="KLG5:KLH5"/>
    <mergeCell ref="KLI5:KLJ5"/>
    <mergeCell ref="KLK5:KLL5"/>
    <mergeCell ref="KLM5:KLN5"/>
    <mergeCell ref="KLO5:KLP5"/>
    <mergeCell ref="KLQ5:KLR5"/>
    <mergeCell ref="KLS5:KLT5"/>
    <mergeCell ref="KLU5:KLV5"/>
    <mergeCell ref="KLW5:KLX5"/>
    <mergeCell ref="KLY5:KLZ5"/>
    <mergeCell ref="KMA5:KMB5"/>
    <mergeCell ref="KMC5:KMD5"/>
    <mergeCell ref="KME5:KMF5"/>
    <mergeCell ref="KMG5:KMH5"/>
    <mergeCell ref="KMI5:KMJ5"/>
    <mergeCell ref="KMK5:KML5"/>
    <mergeCell ref="KMM5:KMN5"/>
    <mergeCell ref="KMO5:KMP5"/>
    <mergeCell ref="KMQ5:KMR5"/>
    <mergeCell ref="KMS5:KMT5"/>
    <mergeCell ref="KMU5:KMV5"/>
    <mergeCell ref="KMW5:KMX5"/>
    <mergeCell ref="KMY5:KMZ5"/>
    <mergeCell ref="KNA5:KNB5"/>
    <mergeCell ref="KNC5:KND5"/>
    <mergeCell ref="KNE5:KNF5"/>
    <mergeCell ref="KNG5:KNH5"/>
    <mergeCell ref="KNI5:KNJ5"/>
    <mergeCell ref="KNK5:KNL5"/>
    <mergeCell ref="KNM5:KNN5"/>
    <mergeCell ref="KNO5:KNP5"/>
    <mergeCell ref="KNQ5:KNR5"/>
    <mergeCell ref="KNS5:KNT5"/>
    <mergeCell ref="KNU5:KNV5"/>
    <mergeCell ref="KNW5:KNX5"/>
    <mergeCell ref="KNY5:KNZ5"/>
    <mergeCell ref="KOA5:KOB5"/>
    <mergeCell ref="KOC5:KOD5"/>
    <mergeCell ref="KOE5:KOF5"/>
    <mergeCell ref="KOG5:KOH5"/>
    <mergeCell ref="KOI5:KOJ5"/>
    <mergeCell ref="KOK5:KOL5"/>
    <mergeCell ref="KOM5:KON5"/>
    <mergeCell ref="KOO5:KOP5"/>
    <mergeCell ref="KOQ5:KOR5"/>
    <mergeCell ref="KOS5:KOT5"/>
    <mergeCell ref="KOU5:KOV5"/>
    <mergeCell ref="KOW5:KOX5"/>
    <mergeCell ref="KOY5:KOZ5"/>
    <mergeCell ref="KPA5:KPB5"/>
    <mergeCell ref="KPC5:KPD5"/>
    <mergeCell ref="KPE5:KPF5"/>
    <mergeCell ref="KPG5:KPH5"/>
    <mergeCell ref="KPI5:KPJ5"/>
    <mergeCell ref="KPK5:KPL5"/>
    <mergeCell ref="KPM5:KPN5"/>
    <mergeCell ref="KPO5:KPP5"/>
    <mergeCell ref="KPQ5:KPR5"/>
    <mergeCell ref="KPS5:KPT5"/>
    <mergeCell ref="KPU5:KPV5"/>
    <mergeCell ref="KPW5:KPX5"/>
    <mergeCell ref="KPY5:KPZ5"/>
    <mergeCell ref="KQA5:KQB5"/>
    <mergeCell ref="KQC5:KQD5"/>
    <mergeCell ref="KQE5:KQF5"/>
    <mergeCell ref="KQG5:KQH5"/>
    <mergeCell ref="KQI5:KQJ5"/>
    <mergeCell ref="KQK5:KQL5"/>
    <mergeCell ref="KQM5:KQN5"/>
    <mergeCell ref="KQO5:KQP5"/>
    <mergeCell ref="KQQ5:KQR5"/>
    <mergeCell ref="KQS5:KQT5"/>
    <mergeCell ref="KQU5:KQV5"/>
    <mergeCell ref="KQW5:KQX5"/>
    <mergeCell ref="KQY5:KQZ5"/>
    <mergeCell ref="KRA5:KRB5"/>
    <mergeCell ref="KRC5:KRD5"/>
    <mergeCell ref="KRE5:KRF5"/>
    <mergeCell ref="KRG5:KRH5"/>
    <mergeCell ref="KRI5:KRJ5"/>
    <mergeCell ref="KRK5:KRL5"/>
    <mergeCell ref="KRM5:KRN5"/>
    <mergeCell ref="KRO5:KRP5"/>
    <mergeCell ref="KRQ5:KRR5"/>
    <mergeCell ref="KRS5:KRT5"/>
    <mergeCell ref="KRU5:KRV5"/>
    <mergeCell ref="KRW5:KRX5"/>
    <mergeCell ref="KRY5:KRZ5"/>
    <mergeCell ref="KSA5:KSB5"/>
    <mergeCell ref="KSC5:KSD5"/>
    <mergeCell ref="KSE5:KSF5"/>
    <mergeCell ref="KSG5:KSH5"/>
    <mergeCell ref="KSI5:KSJ5"/>
    <mergeCell ref="KSK5:KSL5"/>
    <mergeCell ref="KSM5:KSN5"/>
    <mergeCell ref="KSO5:KSP5"/>
    <mergeCell ref="KSQ5:KSR5"/>
    <mergeCell ref="KSS5:KST5"/>
    <mergeCell ref="KSU5:KSV5"/>
    <mergeCell ref="KSW5:KSX5"/>
    <mergeCell ref="KSY5:KSZ5"/>
    <mergeCell ref="KTA5:KTB5"/>
    <mergeCell ref="KTC5:KTD5"/>
    <mergeCell ref="KTE5:KTF5"/>
    <mergeCell ref="KTG5:KTH5"/>
    <mergeCell ref="KTI5:KTJ5"/>
    <mergeCell ref="KTK5:KTL5"/>
    <mergeCell ref="KTM5:KTN5"/>
    <mergeCell ref="KTO5:KTP5"/>
    <mergeCell ref="KTQ5:KTR5"/>
    <mergeCell ref="KTS5:KTT5"/>
    <mergeCell ref="KTU5:KTV5"/>
    <mergeCell ref="KTW5:KTX5"/>
    <mergeCell ref="KTY5:KTZ5"/>
    <mergeCell ref="KUA5:KUB5"/>
    <mergeCell ref="KUC5:KUD5"/>
    <mergeCell ref="KUE5:KUF5"/>
    <mergeCell ref="KUG5:KUH5"/>
    <mergeCell ref="KUI5:KUJ5"/>
    <mergeCell ref="KUK5:KUL5"/>
    <mergeCell ref="KUM5:KUN5"/>
    <mergeCell ref="KUO5:KUP5"/>
    <mergeCell ref="KUQ5:KUR5"/>
    <mergeCell ref="KUS5:KUT5"/>
    <mergeCell ref="KUU5:KUV5"/>
    <mergeCell ref="KUW5:KUX5"/>
    <mergeCell ref="KUY5:KUZ5"/>
    <mergeCell ref="KVA5:KVB5"/>
    <mergeCell ref="KVC5:KVD5"/>
    <mergeCell ref="KVE5:KVF5"/>
    <mergeCell ref="KVG5:KVH5"/>
    <mergeCell ref="KVI5:KVJ5"/>
    <mergeCell ref="KVK5:KVL5"/>
    <mergeCell ref="KVM5:KVN5"/>
    <mergeCell ref="KVO5:KVP5"/>
    <mergeCell ref="KVQ5:KVR5"/>
    <mergeCell ref="KVS5:KVT5"/>
    <mergeCell ref="KVU5:KVV5"/>
    <mergeCell ref="KVW5:KVX5"/>
    <mergeCell ref="KVY5:KVZ5"/>
    <mergeCell ref="KWA5:KWB5"/>
    <mergeCell ref="KWC5:KWD5"/>
    <mergeCell ref="KWE5:KWF5"/>
    <mergeCell ref="KWG5:KWH5"/>
    <mergeCell ref="KWI5:KWJ5"/>
    <mergeCell ref="KWK5:KWL5"/>
    <mergeCell ref="KWM5:KWN5"/>
    <mergeCell ref="KWO5:KWP5"/>
    <mergeCell ref="KWQ5:KWR5"/>
    <mergeCell ref="KWS5:KWT5"/>
    <mergeCell ref="KWU5:KWV5"/>
    <mergeCell ref="KWW5:KWX5"/>
    <mergeCell ref="KWY5:KWZ5"/>
    <mergeCell ref="KXA5:KXB5"/>
    <mergeCell ref="KXC5:KXD5"/>
    <mergeCell ref="KXE5:KXF5"/>
    <mergeCell ref="KXG5:KXH5"/>
    <mergeCell ref="KXI5:KXJ5"/>
    <mergeCell ref="KXK5:KXL5"/>
    <mergeCell ref="KXM5:KXN5"/>
    <mergeCell ref="KXO5:KXP5"/>
    <mergeCell ref="KXQ5:KXR5"/>
    <mergeCell ref="KXS5:KXT5"/>
    <mergeCell ref="KXU5:KXV5"/>
    <mergeCell ref="KXW5:KXX5"/>
    <mergeCell ref="KXY5:KXZ5"/>
    <mergeCell ref="KYA5:KYB5"/>
    <mergeCell ref="KYC5:KYD5"/>
    <mergeCell ref="KYE5:KYF5"/>
    <mergeCell ref="KYG5:KYH5"/>
    <mergeCell ref="KYI5:KYJ5"/>
    <mergeCell ref="KYK5:KYL5"/>
    <mergeCell ref="KYM5:KYN5"/>
    <mergeCell ref="KYO5:KYP5"/>
    <mergeCell ref="KYQ5:KYR5"/>
    <mergeCell ref="KYS5:KYT5"/>
    <mergeCell ref="KYU5:KYV5"/>
    <mergeCell ref="KYW5:KYX5"/>
    <mergeCell ref="KYY5:KYZ5"/>
    <mergeCell ref="KZA5:KZB5"/>
    <mergeCell ref="KZC5:KZD5"/>
    <mergeCell ref="KZE5:KZF5"/>
    <mergeCell ref="KZG5:KZH5"/>
    <mergeCell ref="KZI5:KZJ5"/>
    <mergeCell ref="KZK5:KZL5"/>
    <mergeCell ref="KZM5:KZN5"/>
    <mergeCell ref="KZO5:KZP5"/>
    <mergeCell ref="KZQ5:KZR5"/>
    <mergeCell ref="KZS5:KZT5"/>
    <mergeCell ref="KZU5:KZV5"/>
    <mergeCell ref="KZW5:KZX5"/>
    <mergeCell ref="KZY5:KZZ5"/>
    <mergeCell ref="LAA5:LAB5"/>
    <mergeCell ref="LAC5:LAD5"/>
    <mergeCell ref="LAE5:LAF5"/>
    <mergeCell ref="LAG5:LAH5"/>
    <mergeCell ref="LAI5:LAJ5"/>
    <mergeCell ref="LAK5:LAL5"/>
    <mergeCell ref="LAM5:LAN5"/>
    <mergeCell ref="LAO5:LAP5"/>
    <mergeCell ref="LAQ5:LAR5"/>
    <mergeCell ref="LAS5:LAT5"/>
    <mergeCell ref="LAU5:LAV5"/>
    <mergeCell ref="LAW5:LAX5"/>
    <mergeCell ref="LAY5:LAZ5"/>
    <mergeCell ref="LBA5:LBB5"/>
    <mergeCell ref="LBC5:LBD5"/>
    <mergeCell ref="LBE5:LBF5"/>
    <mergeCell ref="LBG5:LBH5"/>
    <mergeCell ref="LBI5:LBJ5"/>
    <mergeCell ref="LBK5:LBL5"/>
    <mergeCell ref="LBM5:LBN5"/>
    <mergeCell ref="LBO5:LBP5"/>
    <mergeCell ref="LBQ5:LBR5"/>
    <mergeCell ref="LBS5:LBT5"/>
    <mergeCell ref="LBU5:LBV5"/>
    <mergeCell ref="LBW5:LBX5"/>
    <mergeCell ref="LBY5:LBZ5"/>
    <mergeCell ref="LCA5:LCB5"/>
    <mergeCell ref="LCC5:LCD5"/>
    <mergeCell ref="LCE5:LCF5"/>
    <mergeCell ref="LCG5:LCH5"/>
    <mergeCell ref="LCI5:LCJ5"/>
    <mergeCell ref="LCK5:LCL5"/>
    <mergeCell ref="LCM5:LCN5"/>
    <mergeCell ref="LCO5:LCP5"/>
    <mergeCell ref="LCQ5:LCR5"/>
    <mergeCell ref="LCS5:LCT5"/>
    <mergeCell ref="LCU5:LCV5"/>
    <mergeCell ref="LCW5:LCX5"/>
    <mergeCell ref="LCY5:LCZ5"/>
    <mergeCell ref="LDA5:LDB5"/>
    <mergeCell ref="LDC5:LDD5"/>
    <mergeCell ref="LDE5:LDF5"/>
    <mergeCell ref="LDG5:LDH5"/>
    <mergeCell ref="LDI5:LDJ5"/>
    <mergeCell ref="LDK5:LDL5"/>
    <mergeCell ref="LDM5:LDN5"/>
    <mergeCell ref="LDO5:LDP5"/>
    <mergeCell ref="LDQ5:LDR5"/>
    <mergeCell ref="LDS5:LDT5"/>
    <mergeCell ref="LDU5:LDV5"/>
    <mergeCell ref="LDW5:LDX5"/>
    <mergeCell ref="LDY5:LDZ5"/>
    <mergeCell ref="LEA5:LEB5"/>
    <mergeCell ref="LEC5:LED5"/>
    <mergeCell ref="LEE5:LEF5"/>
    <mergeCell ref="LEG5:LEH5"/>
    <mergeCell ref="LEI5:LEJ5"/>
    <mergeCell ref="LEK5:LEL5"/>
    <mergeCell ref="LEM5:LEN5"/>
    <mergeCell ref="LEO5:LEP5"/>
    <mergeCell ref="LEQ5:LER5"/>
    <mergeCell ref="LES5:LET5"/>
    <mergeCell ref="LEU5:LEV5"/>
    <mergeCell ref="LEW5:LEX5"/>
    <mergeCell ref="LEY5:LEZ5"/>
    <mergeCell ref="LFA5:LFB5"/>
    <mergeCell ref="LFC5:LFD5"/>
    <mergeCell ref="LFE5:LFF5"/>
    <mergeCell ref="LFG5:LFH5"/>
    <mergeCell ref="LFI5:LFJ5"/>
    <mergeCell ref="LFK5:LFL5"/>
    <mergeCell ref="LFM5:LFN5"/>
    <mergeCell ref="LFO5:LFP5"/>
    <mergeCell ref="LFQ5:LFR5"/>
    <mergeCell ref="LFS5:LFT5"/>
    <mergeCell ref="LFU5:LFV5"/>
    <mergeCell ref="LFW5:LFX5"/>
    <mergeCell ref="LFY5:LFZ5"/>
    <mergeCell ref="LGA5:LGB5"/>
    <mergeCell ref="LGC5:LGD5"/>
    <mergeCell ref="LGE5:LGF5"/>
    <mergeCell ref="LGG5:LGH5"/>
    <mergeCell ref="LGI5:LGJ5"/>
    <mergeCell ref="LGK5:LGL5"/>
    <mergeCell ref="LGM5:LGN5"/>
    <mergeCell ref="LGO5:LGP5"/>
    <mergeCell ref="LGQ5:LGR5"/>
    <mergeCell ref="LGS5:LGT5"/>
    <mergeCell ref="LGU5:LGV5"/>
    <mergeCell ref="LGW5:LGX5"/>
    <mergeCell ref="LGY5:LGZ5"/>
    <mergeCell ref="LHA5:LHB5"/>
    <mergeCell ref="LHC5:LHD5"/>
    <mergeCell ref="LHE5:LHF5"/>
    <mergeCell ref="LHG5:LHH5"/>
    <mergeCell ref="LHI5:LHJ5"/>
    <mergeCell ref="LHK5:LHL5"/>
    <mergeCell ref="LHM5:LHN5"/>
    <mergeCell ref="LHO5:LHP5"/>
    <mergeCell ref="LHQ5:LHR5"/>
    <mergeCell ref="LHS5:LHT5"/>
    <mergeCell ref="LHU5:LHV5"/>
    <mergeCell ref="LHW5:LHX5"/>
    <mergeCell ref="LHY5:LHZ5"/>
    <mergeCell ref="LIA5:LIB5"/>
    <mergeCell ref="LIC5:LID5"/>
    <mergeCell ref="LIE5:LIF5"/>
    <mergeCell ref="LIG5:LIH5"/>
    <mergeCell ref="LII5:LIJ5"/>
    <mergeCell ref="LIK5:LIL5"/>
    <mergeCell ref="LIM5:LIN5"/>
    <mergeCell ref="LIO5:LIP5"/>
    <mergeCell ref="LIQ5:LIR5"/>
    <mergeCell ref="LIS5:LIT5"/>
    <mergeCell ref="LIU5:LIV5"/>
    <mergeCell ref="LIW5:LIX5"/>
    <mergeCell ref="LIY5:LIZ5"/>
    <mergeCell ref="LJA5:LJB5"/>
    <mergeCell ref="LJC5:LJD5"/>
    <mergeCell ref="LJE5:LJF5"/>
    <mergeCell ref="LJG5:LJH5"/>
    <mergeCell ref="LJI5:LJJ5"/>
    <mergeCell ref="LJK5:LJL5"/>
    <mergeCell ref="LJM5:LJN5"/>
    <mergeCell ref="LJO5:LJP5"/>
    <mergeCell ref="LJQ5:LJR5"/>
    <mergeCell ref="LJS5:LJT5"/>
    <mergeCell ref="LJU5:LJV5"/>
    <mergeCell ref="LJW5:LJX5"/>
    <mergeCell ref="LJY5:LJZ5"/>
    <mergeCell ref="LKA5:LKB5"/>
    <mergeCell ref="LKC5:LKD5"/>
    <mergeCell ref="LKE5:LKF5"/>
    <mergeCell ref="LKG5:LKH5"/>
    <mergeCell ref="LKI5:LKJ5"/>
    <mergeCell ref="LKK5:LKL5"/>
    <mergeCell ref="LKM5:LKN5"/>
    <mergeCell ref="LKO5:LKP5"/>
    <mergeCell ref="LKQ5:LKR5"/>
    <mergeCell ref="LKS5:LKT5"/>
    <mergeCell ref="LKU5:LKV5"/>
    <mergeCell ref="LKW5:LKX5"/>
    <mergeCell ref="LKY5:LKZ5"/>
    <mergeCell ref="LLA5:LLB5"/>
    <mergeCell ref="LLC5:LLD5"/>
    <mergeCell ref="LLE5:LLF5"/>
    <mergeCell ref="LLG5:LLH5"/>
    <mergeCell ref="LLI5:LLJ5"/>
    <mergeCell ref="LLK5:LLL5"/>
    <mergeCell ref="LLM5:LLN5"/>
    <mergeCell ref="LLO5:LLP5"/>
    <mergeCell ref="LLQ5:LLR5"/>
    <mergeCell ref="LLS5:LLT5"/>
    <mergeCell ref="LLU5:LLV5"/>
    <mergeCell ref="LLW5:LLX5"/>
    <mergeCell ref="LLY5:LLZ5"/>
    <mergeCell ref="LMA5:LMB5"/>
    <mergeCell ref="LMC5:LMD5"/>
    <mergeCell ref="LME5:LMF5"/>
    <mergeCell ref="LMG5:LMH5"/>
    <mergeCell ref="LMI5:LMJ5"/>
    <mergeCell ref="LMK5:LML5"/>
    <mergeCell ref="LMM5:LMN5"/>
    <mergeCell ref="LMO5:LMP5"/>
    <mergeCell ref="LMQ5:LMR5"/>
    <mergeCell ref="LMS5:LMT5"/>
    <mergeCell ref="LMU5:LMV5"/>
    <mergeCell ref="LMW5:LMX5"/>
    <mergeCell ref="LMY5:LMZ5"/>
    <mergeCell ref="LNA5:LNB5"/>
    <mergeCell ref="LNC5:LND5"/>
    <mergeCell ref="LNE5:LNF5"/>
    <mergeCell ref="LNG5:LNH5"/>
    <mergeCell ref="LNI5:LNJ5"/>
    <mergeCell ref="LNK5:LNL5"/>
    <mergeCell ref="LNM5:LNN5"/>
    <mergeCell ref="LNO5:LNP5"/>
    <mergeCell ref="LNQ5:LNR5"/>
    <mergeCell ref="LNS5:LNT5"/>
    <mergeCell ref="LNU5:LNV5"/>
    <mergeCell ref="LNW5:LNX5"/>
    <mergeCell ref="LNY5:LNZ5"/>
    <mergeCell ref="LOA5:LOB5"/>
    <mergeCell ref="LOC5:LOD5"/>
    <mergeCell ref="LOE5:LOF5"/>
    <mergeCell ref="LOG5:LOH5"/>
    <mergeCell ref="LOI5:LOJ5"/>
    <mergeCell ref="LOK5:LOL5"/>
    <mergeCell ref="LOM5:LON5"/>
    <mergeCell ref="LOO5:LOP5"/>
    <mergeCell ref="LOQ5:LOR5"/>
    <mergeCell ref="LOS5:LOT5"/>
    <mergeCell ref="LOU5:LOV5"/>
    <mergeCell ref="LOW5:LOX5"/>
    <mergeCell ref="LOY5:LOZ5"/>
    <mergeCell ref="LPA5:LPB5"/>
    <mergeCell ref="LPC5:LPD5"/>
    <mergeCell ref="LPE5:LPF5"/>
    <mergeCell ref="LPG5:LPH5"/>
    <mergeCell ref="LPI5:LPJ5"/>
    <mergeCell ref="LPK5:LPL5"/>
    <mergeCell ref="LPM5:LPN5"/>
    <mergeCell ref="LPO5:LPP5"/>
    <mergeCell ref="LPQ5:LPR5"/>
    <mergeCell ref="LPS5:LPT5"/>
    <mergeCell ref="LPU5:LPV5"/>
    <mergeCell ref="LPW5:LPX5"/>
    <mergeCell ref="LPY5:LPZ5"/>
    <mergeCell ref="LQA5:LQB5"/>
    <mergeCell ref="LQC5:LQD5"/>
    <mergeCell ref="LQE5:LQF5"/>
    <mergeCell ref="LQG5:LQH5"/>
    <mergeCell ref="LQI5:LQJ5"/>
    <mergeCell ref="LQK5:LQL5"/>
    <mergeCell ref="LQM5:LQN5"/>
    <mergeCell ref="LQO5:LQP5"/>
    <mergeCell ref="LQQ5:LQR5"/>
    <mergeCell ref="LQS5:LQT5"/>
    <mergeCell ref="LQU5:LQV5"/>
    <mergeCell ref="LQW5:LQX5"/>
    <mergeCell ref="LQY5:LQZ5"/>
    <mergeCell ref="LRA5:LRB5"/>
    <mergeCell ref="LRC5:LRD5"/>
    <mergeCell ref="LRE5:LRF5"/>
    <mergeCell ref="LRG5:LRH5"/>
    <mergeCell ref="LRI5:LRJ5"/>
    <mergeCell ref="LRK5:LRL5"/>
    <mergeCell ref="LRM5:LRN5"/>
    <mergeCell ref="LRO5:LRP5"/>
    <mergeCell ref="LRQ5:LRR5"/>
    <mergeCell ref="LRS5:LRT5"/>
    <mergeCell ref="LRU5:LRV5"/>
    <mergeCell ref="LRW5:LRX5"/>
    <mergeCell ref="LRY5:LRZ5"/>
    <mergeCell ref="LSA5:LSB5"/>
    <mergeCell ref="LSC5:LSD5"/>
    <mergeCell ref="LSE5:LSF5"/>
    <mergeCell ref="LSG5:LSH5"/>
    <mergeCell ref="LSI5:LSJ5"/>
    <mergeCell ref="LSK5:LSL5"/>
    <mergeCell ref="LSM5:LSN5"/>
    <mergeCell ref="LSO5:LSP5"/>
    <mergeCell ref="LSQ5:LSR5"/>
    <mergeCell ref="LSS5:LST5"/>
    <mergeCell ref="LSU5:LSV5"/>
    <mergeCell ref="LSW5:LSX5"/>
    <mergeCell ref="LSY5:LSZ5"/>
    <mergeCell ref="LTA5:LTB5"/>
    <mergeCell ref="LTC5:LTD5"/>
    <mergeCell ref="LTE5:LTF5"/>
    <mergeCell ref="LTG5:LTH5"/>
    <mergeCell ref="LTI5:LTJ5"/>
    <mergeCell ref="LTK5:LTL5"/>
    <mergeCell ref="LTM5:LTN5"/>
    <mergeCell ref="LTO5:LTP5"/>
    <mergeCell ref="LTQ5:LTR5"/>
    <mergeCell ref="LTS5:LTT5"/>
    <mergeCell ref="LTU5:LTV5"/>
    <mergeCell ref="LTW5:LTX5"/>
    <mergeCell ref="LTY5:LTZ5"/>
    <mergeCell ref="LUA5:LUB5"/>
    <mergeCell ref="LUC5:LUD5"/>
    <mergeCell ref="LUE5:LUF5"/>
    <mergeCell ref="LUG5:LUH5"/>
    <mergeCell ref="LUI5:LUJ5"/>
    <mergeCell ref="LUK5:LUL5"/>
    <mergeCell ref="LUM5:LUN5"/>
    <mergeCell ref="LUO5:LUP5"/>
    <mergeCell ref="LUQ5:LUR5"/>
    <mergeCell ref="LUS5:LUT5"/>
    <mergeCell ref="LUU5:LUV5"/>
    <mergeCell ref="LUW5:LUX5"/>
    <mergeCell ref="LUY5:LUZ5"/>
    <mergeCell ref="LVA5:LVB5"/>
    <mergeCell ref="LVC5:LVD5"/>
    <mergeCell ref="LVE5:LVF5"/>
    <mergeCell ref="LVG5:LVH5"/>
    <mergeCell ref="LVI5:LVJ5"/>
    <mergeCell ref="LVK5:LVL5"/>
    <mergeCell ref="LVM5:LVN5"/>
    <mergeCell ref="LVO5:LVP5"/>
    <mergeCell ref="LVQ5:LVR5"/>
    <mergeCell ref="LVS5:LVT5"/>
    <mergeCell ref="LVU5:LVV5"/>
    <mergeCell ref="LVW5:LVX5"/>
    <mergeCell ref="LVY5:LVZ5"/>
    <mergeCell ref="LWA5:LWB5"/>
    <mergeCell ref="LWC5:LWD5"/>
    <mergeCell ref="LWE5:LWF5"/>
    <mergeCell ref="LWG5:LWH5"/>
    <mergeCell ref="LWI5:LWJ5"/>
    <mergeCell ref="LWK5:LWL5"/>
    <mergeCell ref="LWM5:LWN5"/>
    <mergeCell ref="LWO5:LWP5"/>
    <mergeCell ref="LWQ5:LWR5"/>
    <mergeCell ref="LWS5:LWT5"/>
    <mergeCell ref="LWU5:LWV5"/>
    <mergeCell ref="LWW5:LWX5"/>
    <mergeCell ref="LWY5:LWZ5"/>
    <mergeCell ref="LXA5:LXB5"/>
    <mergeCell ref="LXC5:LXD5"/>
    <mergeCell ref="LXE5:LXF5"/>
    <mergeCell ref="LXG5:LXH5"/>
    <mergeCell ref="LXI5:LXJ5"/>
    <mergeCell ref="LXK5:LXL5"/>
    <mergeCell ref="LXM5:LXN5"/>
    <mergeCell ref="LXO5:LXP5"/>
    <mergeCell ref="LXQ5:LXR5"/>
    <mergeCell ref="LXS5:LXT5"/>
    <mergeCell ref="LXU5:LXV5"/>
    <mergeCell ref="LXW5:LXX5"/>
    <mergeCell ref="LXY5:LXZ5"/>
    <mergeCell ref="LYA5:LYB5"/>
    <mergeCell ref="LYC5:LYD5"/>
    <mergeCell ref="LYE5:LYF5"/>
    <mergeCell ref="LYG5:LYH5"/>
    <mergeCell ref="LYI5:LYJ5"/>
    <mergeCell ref="LYK5:LYL5"/>
    <mergeCell ref="LYM5:LYN5"/>
    <mergeCell ref="LYO5:LYP5"/>
    <mergeCell ref="LYQ5:LYR5"/>
    <mergeCell ref="LYS5:LYT5"/>
    <mergeCell ref="LYU5:LYV5"/>
    <mergeCell ref="LYW5:LYX5"/>
    <mergeCell ref="LYY5:LYZ5"/>
    <mergeCell ref="LZA5:LZB5"/>
    <mergeCell ref="LZC5:LZD5"/>
    <mergeCell ref="LZE5:LZF5"/>
    <mergeCell ref="LZG5:LZH5"/>
    <mergeCell ref="LZI5:LZJ5"/>
    <mergeCell ref="LZK5:LZL5"/>
    <mergeCell ref="LZM5:LZN5"/>
    <mergeCell ref="LZO5:LZP5"/>
    <mergeCell ref="LZQ5:LZR5"/>
    <mergeCell ref="LZS5:LZT5"/>
    <mergeCell ref="LZU5:LZV5"/>
    <mergeCell ref="LZW5:LZX5"/>
    <mergeCell ref="LZY5:LZZ5"/>
    <mergeCell ref="MAA5:MAB5"/>
    <mergeCell ref="MAC5:MAD5"/>
    <mergeCell ref="MAE5:MAF5"/>
    <mergeCell ref="MAG5:MAH5"/>
    <mergeCell ref="MAI5:MAJ5"/>
    <mergeCell ref="MAK5:MAL5"/>
    <mergeCell ref="MAM5:MAN5"/>
    <mergeCell ref="MAO5:MAP5"/>
    <mergeCell ref="MAQ5:MAR5"/>
    <mergeCell ref="MAS5:MAT5"/>
    <mergeCell ref="MAU5:MAV5"/>
    <mergeCell ref="MAW5:MAX5"/>
    <mergeCell ref="MAY5:MAZ5"/>
    <mergeCell ref="MBA5:MBB5"/>
    <mergeCell ref="MBC5:MBD5"/>
    <mergeCell ref="MBE5:MBF5"/>
    <mergeCell ref="MBG5:MBH5"/>
    <mergeCell ref="MBI5:MBJ5"/>
    <mergeCell ref="MBK5:MBL5"/>
    <mergeCell ref="MBM5:MBN5"/>
    <mergeCell ref="MBO5:MBP5"/>
    <mergeCell ref="MBQ5:MBR5"/>
    <mergeCell ref="MBS5:MBT5"/>
    <mergeCell ref="MBU5:MBV5"/>
    <mergeCell ref="MBW5:MBX5"/>
    <mergeCell ref="MBY5:MBZ5"/>
    <mergeCell ref="MCA5:MCB5"/>
    <mergeCell ref="MCC5:MCD5"/>
    <mergeCell ref="MCE5:MCF5"/>
    <mergeCell ref="MCG5:MCH5"/>
    <mergeCell ref="MCI5:MCJ5"/>
    <mergeCell ref="MCK5:MCL5"/>
    <mergeCell ref="MCM5:MCN5"/>
    <mergeCell ref="MCO5:MCP5"/>
    <mergeCell ref="MCQ5:MCR5"/>
    <mergeCell ref="MCS5:MCT5"/>
    <mergeCell ref="MCU5:MCV5"/>
    <mergeCell ref="MCW5:MCX5"/>
    <mergeCell ref="MCY5:MCZ5"/>
    <mergeCell ref="MDA5:MDB5"/>
    <mergeCell ref="MDC5:MDD5"/>
    <mergeCell ref="MDE5:MDF5"/>
    <mergeCell ref="MDG5:MDH5"/>
    <mergeCell ref="MDI5:MDJ5"/>
    <mergeCell ref="MDK5:MDL5"/>
    <mergeCell ref="MDM5:MDN5"/>
    <mergeCell ref="MDO5:MDP5"/>
    <mergeCell ref="MDQ5:MDR5"/>
    <mergeCell ref="MDS5:MDT5"/>
    <mergeCell ref="MDU5:MDV5"/>
    <mergeCell ref="MDW5:MDX5"/>
    <mergeCell ref="MDY5:MDZ5"/>
    <mergeCell ref="MEA5:MEB5"/>
    <mergeCell ref="MEC5:MED5"/>
    <mergeCell ref="MEE5:MEF5"/>
    <mergeCell ref="MEG5:MEH5"/>
    <mergeCell ref="MEI5:MEJ5"/>
    <mergeCell ref="MEK5:MEL5"/>
    <mergeCell ref="MEM5:MEN5"/>
    <mergeCell ref="MEO5:MEP5"/>
    <mergeCell ref="MEQ5:MER5"/>
    <mergeCell ref="MES5:MET5"/>
    <mergeCell ref="MEU5:MEV5"/>
    <mergeCell ref="MEW5:MEX5"/>
    <mergeCell ref="MEY5:MEZ5"/>
    <mergeCell ref="MFA5:MFB5"/>
    <mergeCell ref="MFC5:MFD5"/>
    <mergeCell ref="MFE5:MFF5"/>
    <mergeCell ref="MFG5:MFH5"/>
    <mergeCell ref="MFI5:MFJ5"/>
    <mergeCell ref="MFK5:MFL5"/>
    <mergeCell ref="MFM5:MFN5"/>
    <mergeCell ref="MFO5:MFP5"/>
    <mergeCell ref="MFQ5:MFR5"/>
    <mergeCell ref="MFS5:MFT5"/>
    <mergeCell ref="MFU5:MFV5"/>
    <mergeCell ref="MFW5:MFX5"/>
    <mergeCell ref="MFY5:MFZ5"/>
    <mergeCell ref="MGA5:MGB5"/>
    <mergeCell ref="MGC5:MGD5"/>
    <mergeCell ref="MGE5:MGF5"/>
    <mergeCell ref="MGG5:MGH5"/>
    <mergeCell ref="MGI5:MGJ5"/>
    <mergeCell ref="MGK5:MGL5"/>
    <mergeCell ref="MGM5:MGN5"/>
    <mergeCell ref="MGO5:MGP5"/>
    <mergeCell ref="MGQ5:MGR5"/>
    <mergeCell ref="MGS5:MGT5"/>
    <mergeCell ref="MGU5:MGV5"/>
    <mergeCell ref="MGW5:MGX5"/>
    <mergeCell ref="MGY5:MGZ5"/>
    <mergeCell ref="MHA5:MHB5"/>
    <mergeCell ref="MHC5:MHD5"/>
    <mergeCell ref="MHE5:MHF5"/>
    <mergeCell ref="MHG5:MHH5"/>
    <mergeCell ref="MHI5:MHJ5"/>
    <mergeCell ref="MHK5:MHL5"/>
    <mergeCell ref="MHM5:MHN5"/>
    <mergeCell ref="MHO5:MHP5"/>
    <mergeCell ref="MHQ5:MHR5"/>
    <mergeCell ref="MHS5:MHT5"/>
    <mergeCell ref="MHU5:MHV5"/>
    <mergeCell ref="MHW5:MHX5"/>
    <mergeCell ref="MHY5:MHZ5"/>
    <mergeCell ref="MIA5:MIB5"/>
    <mergeCell ref="MIC5:MID5"/>
    <mergeCell ref="MIE5:MIF5"/>
    <mergeCell ref="MIG5:MIH5"/>
    <mergeCell ref="MII5:MIJ5"/>
    <mergeCell ref="MIK5:MIL5"/>
    <mergeCell ref="MIM5:MIN5"/>
    <mergeCell ref="MIO5:MIP5"/>
    <mergeCell ref="MIQ5:MIR5"/>
    <mergeCell ref="MIS5:MIT5"/>
    <mergeCell ref="MIU5:MIV5"/>
    <mergeCell ref="MIW5:MIX5"/>
    <mergeCell ref="MIY5:MIZ5"/>
    <mergeCell ref="MJA5:MJB5"/>
    <mergeCell ref="MJC5:MJD5"/>
    <mergeCell ref="MJE5:MJF5"/>
    <mergeCell ref="MJG5:MJH5"/>
    <mergeCell ref="MJI5:MJJ5"/>
    <mergeCell ref="MJK5:MJL5"/>
    <mergeCell ref="MJM5:MJN5"/>
    <mergeCell ref="MJO5:MJP5"/>
    <mergeCell ref="MJQ5:MJR5"/>
    <mergeCell ref="MJS5:MJT5"/>
    <mergeCell ref="MJU5:MJV5"/>
    <mergeCell ref="MJW5:MJX5"/>
    <mergeCell ref="MJY5:MJZ5"/>
    <mergeCell ref="MKA5:MKB5"/>
    <mergeCell ref="MKC5:MKD5"/>
    <mergeCell ref="MKE5:MKF5"/>
    <mergeCell ref="MKG5:MKH5"/>
    <mergeCell ref="MKI5:MKJ5"/>
    <mergeCell ref="MKK5:MKL5"/>
    <mergeCell ref="MKM5:MKN5"/>
    <mergeCell ref="MKO5:MKP5"/>
    <mergeCell ref="MKQ5:MKR5"/>
    <mergeCell ref="MKS5:MKT5"/>
    <mergeCell ref="MKU5:MKV5"/>
    <mergeCell ref="MKW5:MKX5"/>
    <mergeCell ref="MKY5:MKZ5"/>
    <mergeCell ref="MLA5:MLB5"/>
    <mergeCell ref="MLC5:MLD5"/>
    <mergeCell ref="MLE5:MLF5"/>
    <mergeCell ref="MLG5:MLH5"/>
    <mergeCell ref="MLI5:MLJ5"/>
    <mergeCell ref="MLK5:MLL5"/>
    <mergeCell ref="MLM5:MLN5"/>
    <mergeCell ref="MLO5:MLP5"/>
    <mergeCell ref="MLQ5:MLR5"/>
    <mergeCell ref="MLS5:MLT5"/>
    <mergeCell ref="MLU5:MLV5"/>
    <mergeCell ref="MLW5:MLX5"/>
    <mergeCell ref="MLY5:MLZ5"/>
    <mergeCell ref="MMA5:MMB5"/>
    <mergeCell ref="MMC5:MMD5"/>
    <mergeCell ref="MME5:MMF5"/>
    <mergeCell ref="MMG5:MMH5"/>
    <mergeCell ref="MMI5:MMJ5"/>
    <mergeCell ref="MMK5:MML5"/>
    <mergeCell ref="MMM5:MMN5"/>
    <mergeCell ref="MMO5:MMP5"/>
    <mergeCell ref="MMQ5:MMR5"/>
    <mergeCell ref="MMS5:MMT5"/>
    <mergeCell ref="MMU5:MMV5"/>
    <mergeCell ref="MMW5:MMX5"/>
    <mergeCell ref="MMY5:MMZ5"/>
    <mergeCell ref="MNA5:MNB5"/>
    <mergeCell ref="MNC5:MND5"/>
    <mergeCell ref="MNE5:MNF5"/>
    <mergeCell ref="MNG5:MNH5"/>
    <mergeCell ref="MNI5:MNJ5"/>
    <mergeCell ref="MNK5:MNL5"/>
    <mergeCell ref="MNM5:MNN5"/>
    <mergeCell ref="MNO5:MNP5"/>
    <mergeCell ref="MNQ5:MNR5"/>
    <mergeCell ref="MNS5:MNT5"/>
    <mergeCell ref="MNU5:MNV5"/>
    <mergeCell ref="MNW5:MNX5"/>
    <mergeCell ref="MNY5:MNZ5"/>
    <mergeCell ref="MOA5:MOB5"/>
    <mergeCell ref="MOC5:MOD5"/>
    <mergeCell ref="MOE5:MOF5"/>
    <mergeCell ref="MOG5:MOH5"/>
    <mergeCell ref="MOI5:MOJ5"/>
    <mergeCell ref="MOK5:MOL5"/>
    <mergeCell ref="MOM5:MON5"/>
    <mergeCell ref="MOO5:MOP5"/>
    <mergeCell ref="MOQ5:MOR5"/>
    <mergeCell ref="MOS5:MOT5"/>
    <mergeCell ref="MOU5:MOV5"/>
    <mergeCell ref="MOW5:MOX5"/>
    <mergeCell ref="MOY5:MOZ5"/>
    <mergeCell ref="MPA5:MPB5"/>
    <mergeCell ref="MPC5:MPD5"/>
    <mergeCell ref="MPE5:MPF5"/>
    <mergeCell ref="MPG5:MPH5"/>
    <mergeCell ref="MPI5:MPJ5"/>
    <mergeCell ref="MPK5:MPL5"/>
    <mergeCell ref="MPM5:MPN5"/>
    <mergeCell ref="MPO5:MPP5"/>
    <mergeCell ref="MPQ5:MPR5"/>
    <mergeCell ref="MPS5:MPT5"/>
    <mergeCell ref="MPU5:MPV5"/>
    <mergeCell ref="MPW5:MPX5"/>
    <mergeCell ref="MPY5:MPZ5"/>
    <mergeCell ref="MQA5:MQB5"/>
    <mergeCell ref="MQC5:MQD5"/>
    <mergeCell ref="MQE5:MQF5"/>
    <mergeCell ref="MQG5:MQH5"/>
    <mergeCell ref="MQI5:MQJ5"/>
    <mergeCell ref="MQK5:MQL5"/>
    <mergeCell ref="MQM5:MQN5"/>
    <mergeCell ref="MQO5:MQP5"/>
    <mergeCell ref="MQQ5:MQR5"/>
    <mergeCell ref="MQS5:MQT5"/>
    <mergeCell ref="MQU5:MQV5"/>
    <mergeCell ref="MQW5:MQX5"/>
    <mergeCell ref="MQY5:MQZ5"/>
    <mergeCell ref="MRA5:MRB5"/>
    <mergeCell ref="MRC5:MRD5"/>
    <mergeCell ref="MRE5:MRF5"/>
    <mergeCell ref="MRG5:MRH5"/>
    <mergeCell ref="MRI5:MRJ5"/>
    <mergeCell ref="MRK5:MRL5"/>
    <mergeCell ref="MRM5:MRN5"/>
    <mergeCell ref="MRO5:MRP5"/>
    <mergeCell ref="MRQ5:MRR5"/>
    <mergeCell ref="MRS5:MRT5"/>
    <mergeCell ref="MRU5:MRV5"/>
    <mergeCell ref="MRW5:MRX5"/>
    <mergeCell ref="MRY5:MRZ5"/>
    <mergeCell ref="MSA5:MSB5"/>
    <mergeCell ref="MSC5:MSD5"/>
    <mergeCell ref="MSE5:MSF5"/>
    <mergeCell ref="MSG5:MSH5"/>
    <mergeCell ref="MSI5:MSJ5"/>
    <mergeCell ref="MSK5:MSL5"/>
    <mergeCell ref="MSM5:MSN5"/>
    <mergeCell ref="MSO5:MSP5"/>
    <mergeCell ref="MSQ5:MSR5"/>
    <mergeCell ref="MSS5:MST5"/>
    <mergeCell ref="MSU5:MSV5"/>
    <mergeCell ref="MSW5:MSX5"/>
    <mergeCell ref="MSY5:MSZ5"/>
    <mergeCell ref="MTA5:MTB5"/>
    <mergeCell ref="MTC5:MTD5"/>
    <mergeCell ref="MTE5:MTF5"/>
    <mergeCell ref="MTG5:MTH5"/>
    <mergeCell ref="MTI5:MTJ5"/>
    <mergeCell ref="MTK5:MTL5"/>
    <mergeCell ref="MTM5:MTN5"/>
    <mergeCell ref="MTO5:MTP5"/>
    <mergeCell ref="MTQ5:MTR5"/>
    <mergeCell ref="MTS5:MTT5"/>
    <mergeCell ref="MTU5:MTV5"/>
    <mergeCell ref="MTW5:MTX5"/>
    <mergeCell ref="MTY5:MTZ5"/>
    <mergeCell ref="MUA5:MUB5"/>
    <mergeCell ref="MUC5:MUD5"/>
    <mergeCell ref="MUE5:MUF5"/>
    <mergeCell ref="MUG5:MUH5"/>
    <mergeCell ref="MUI5:MUJ5"/>
    <mergeCell ref="MUK5:MUL5"/>
    <mergeCell ref="MUM5:MUN5"/>
    <mergeCell ref="MUO5:MUP5"/>
    <mergeCell ref="MUQ5:MUR5"/>
    <mergeCell ref="MUS5:MUT5"/>
    <mergeCell ref="MUU5:MUV5"/>
    <mergeCell ref="MUW5:MUX5"/>
    <mergeCell ref="MUY5:MUZ5"/>
    <mergeCell ref="MVA5:MVB5"/>
    <mergeCell ref="MVC5:MVD5"/>
    <mergeCell ref="MVE5:MVF5"/>
    <mergeCell ref="MVG5:MVH5"/>
    <mergeCell ref="MVI5:MVJ5"/>
    <mergeCell ref="MVK5:MVL5"/>
    <mergeCell ref="MVM5:MVN5"/>
    <mergeCell ref="MVO5:MVP5"/>
    <mergeCell ref="MVQ5:MVR5"/>
    <mergeCell ref="MVS5:MVT5"/>
    <mergeCell ref="MVU5:MVV5"/>
    <mergeCell ref="MVW5:MVX5"/>
    <mergeCell ref="MVY5:MVZ5"/>
    <mergeCell ref="MWA5:MWB5"/>
    <mergeCell ref="MWC5:MWD5"/>
    <mergeCell ref="MWE5:MWF5"/>
    <mergeCell ref="MWG5:MWH5"/>
    <mergeCell ref="MWI5:MWJ5"/>
    <mergeCell ref="MWK5:MWL5"/>
    <mergeCell ref="MWM5:MWN5"/>
    <mergeCell ref="MWO5:MWP5"/>
    <mergeCell ref="MWQ5:MWR5"/>
    <mergeCell ref="MWS5:MWT5"/>
    <mergeCell ref="MWU5:MWV5"/>
    <mergeCell ref="MWW5:MWX5"/>
    <mergeCell ref="MWY5:MWZ5"/>
    <mergeCell ref="MXA5:MXB5"/>
    <mergeCell ref="MXC5:MXD5"/>
    <mergeCell ref="MXE5:MXF5"/>
    <mergeCell ref="MXG5:MXH5"/>
    <mergeCell ref="MXI5:MXJ5"/>
    <mergeCell ref="MXK5:MXL5"/>
    <mergeCell ref="MXM5:MXN5"/>
    <mergeCell ref="MXO5:MXP5"/>
    <mergeCell ref="MXQ5:MXR5"/>
    <mergeCell ref="MXS5:MXT5"/>
    <mergeCell ref="MXU5:MXV5"/>
    <mergeCell ref="MXW5:MXX5"/>
    <mergeCell ref="MXY5:MXZ5"/>
    <mergeCell ref="MYA5:MYB5"/>
    <mergeCell ref="MYC5:MYD5"/>
    <mergeCell ref="MYE5:MYF5"/>
    <mergeCell ref="MYG5:MYH5"/>
    <mergeCell ref="MYI5:MYJ5"/>
    <mergeCell ref="MYK5:MYL5"/>
    <mergeCell ref="MYM5:MYN5"/>
    <mergeCell ref="MYO5:MYP5"/>
    <mergeCell ref="MYQ5:MYR5"/>
    <mergeCell ref="MYS5:MYT5"/>
    <mergeCell ref="MYU5:MYV5"/>
    <mergeCell ref="MYW5:MYX5"/>
    <mergeCell ref="MYY5:MYZ5"/>
    <mergeCell ref="MZA5:MZB5"/>
    <mergeCell ref="MZC5:MZD5"/>
    <mergeCell ref="MZE5:MZF5"/>
    <mergeCell ref="MZG5:MZH5"/>
    <mergeCell ref="MZI5:MZJ5"/>
    <mergeCell ref="MZK5:MZL5"/>
    <mergeCell ref="MZM5:MZN5"/>
    <mergeCell ref="MZO5:MZP5"/>
    <mergeCell ref="MZQ5:MZR5"/>
    <mergeCell ref="MZS5:MZT5"/>
    <mergeCell ref="MZU5:MZV5"/>
    <mergeCell ref="MZW5:MZX5"/>
    <mergeCell ref="MZY5:MZZ5"/>
    <mergeCell ref="NAA5:NAB5"/>
    <mergeCell ref="NAC5:NAD5"/>
    <mergeCell ref="NAE5:NAF5"/>
    <mergeCell ref="NAG5:NAH5"/>
    <mergeCell ref="NAI5:NAJ5"/>
    <mergeCell ref="NAK5:NAL5"/>
    <mergeCell ref="NAM5:NAN5"/>
    <mergeCell ref="NAO5:NAP5"/>
    <mergeCell ref="NAQ5:NAR5"/>
    <mergeCell ref="NAS5:NAT5"/>
    <mergeCell ref="NAU5:NAV5"/>
    <mergeCell ref="NAW5:NAX5"/>
    <mergeCell ref="NAY5:NAZ5"/>
    <mergeCell ref="NBA5:NBB5"/>
    <mergeCell ref="NBC5:NBD5"/>
    <mergeCell ref="NBE5:NBF5"/>
    <mergeCell ref="NBG5:NBH5"/>
    <mergeCell ref="NBI5:NBJ5"/>
    <mergeCell ref="NBK5:NBL5"/>
    <mergeCell ref="NBM5:NBN5"/>
    <mergeCell ref="NBO5:NBP5"/>
    <mergeCell ref="NBQ5:NBR5"/>
    <mergeCell ref="NBS5:NBT5"/>
    <mergeCell ref="NBU5:NBV5"/>
    <mergeCell ref="NBW5:NBX5"/>
    <mergeCell ref="NBY5:NBZ5"/>
    <mergeCell ref="NCA5:NCB5"/>
    <mergeCell ref="NCC5:NCD5"/>
    <mergeCell ref="NCE5:NCF5"/>
    <mergeCell ref="NCG5:NCH5"/>
    <mergeCell ref="NCI5:NCJ5"/>
    <mergeCell ref="NCK5:NCL5"/>
    <mergeCell ref="NCM5:NCN5"/>
    <mergeCell ref="NCO5:NCP5"/>
    <mergeCell ref="NCQ5:NCR5"/>
    <mergeCell ref="NCS5:NCT5"/>
    <mergeCell ref="NCU5:NCV5"/>
    <mergeCell ref="NCW5:NCX5"/>
    <mergeCell ref="NCY5:NCZ5"/>
    <mergeCell ref="NDA5:NDB5"/>
    <mergeCell ref="NDC5:NDD5"/>
    <mergeCell ref="NDE5:NDF5"/>
    <mergeCell ref="NDG5:NDH5"/>
    <mergeCell ref="NDI5:NDJ5"/>
    <mergeCell ref="NDK5:NDL5"/>
    <mergeCell ref="NDM5:NDN5"/>
    <mergeCell ref="NDO5:NDP5"/>
    <mergeCell ref="NDQ5:NDR5"/>
    <mergeCell ref="NDS5:NDT5"/>
    <mergeCell ref="NDU5:NDV5"/>
    <mergeCell ref="NDW5:NDX5"/>
    <mergeCell ref="NDY5:NDZ5"/>
    <mergeCell ref="NEA5:NEB5"/>
    <mergeCell ref="NEC5:NED5"/>
    <mergeCell ref="NEE5:NEF5"/>
    <mergeCell ref="NEG5:NEH5"/>
    <mergeCell ref="NEI5:NEJ5"/>
    <mergeCell ref="NEK5:NEL5"/>
    <mergeCell ref="NEM5:NEN5"/>
    <mergeCell ref="NEO5:NEP5"/>
    <mergeCell ref="NEQ5:NER5"/>
    <mergeCell ref="NES5:NET5"/>
    <mergeCell ref="NEU5:NEV5"/>
    <mergeCell ref="NEW5:NEX5"/>
    <mergeCell ref="NEY5:NEZ5"/>
    <mergeCell ref="NFA5:NFB5"/>
    <mergeCell ref="NFC5:NFD5"/>
    <mergeCell ref="NFE5:NFF5"/>
    <mergeCell ref="NFG5:NFH5"/>
    <mergeCell ref="NFI5:NFJ5"/>
    <mergeCell ref="NFK5:NFL5"/>
    <mergeCell ref="NFM5:NFN5"/>
    <mergeCell ref="NFO5:NFP5"/>
    <mergeCell ref="NFQ5:NFR5"/>
    <mergeCell ref="NFS5:NFT5"/>
    <mergeCell ref="NFU5:NFV5"/>
    <mergeCell ref="NFW5:NFX5"/>
    <mergeCell ref="NFY5:NFZ5"/>
    <mergeCell ref="NGA5:NGB5"/>
    <mergeCell ref="NGC5:NGD5"/>
    <mergeCell ref="NGE5:NGF5"/>
    <mergeCell ref="NGG5:NGH5"/>
    <mergeCell ref="NGI5:NGJ5"/>
    <mergeCell ref="NGK5:NGL5"/>
    <mergeCell ref="NGM5:NGN5"/>
    <mergeCell ref="NGO5:NGP5"/>
    <mergeCell ref="NGQ5:NGR5"/>
    <mergeCell ref="NGS5:NGT5"/>
    <mergeCell ref="NGU5:NGV5"/>
    <mergeCell ref="NGW5:NGX5"/>
    <mergeCell ref="NGY5:NGZ5"/>
    <mergeCell ref="NHA5:NHB5"/>
    <mergeCell ref="NHC5:NHD5"/>
    <mergeCell ref="NHE5:NHF5"/>
    <mergeCell ref="NHG5:NHH5"/>
    <mergeCell ref="NHI5:NHJ5"/>
    <mergeCell ref="NHK5:NHL5"/>
    <mergeCell ref="NHM5:NHN5"/>
    <mergeCell ref="NHO5:NHP5"/>
    <mergeCell ref="NHQ5:NHR5"/>
    <mergeCell ref="NHS5:NHT5"/>
    <mergeCell ref="NHU5:NHV5"/>
    <mergeCell ref="NHW5:NHX5"/>
    <mergeCell ref="NHY5:NHZ5"/>
    <mergeCell ref="NIA5:NIB5"/>
    <mergeCell ref="NIC5:NID5"/>
    <mergeCell ref="NIE5:NIF5"/>
    <mergeCell ref="NIG5:NIH5"/>
    <mergeCell ref="NII5:NIJ5"/>
    <mergeCell ref="NIK5:NIL5"/>
    <mergeCell ref="NIM5:NIN5"/>
    <mergeCell ref="NIO5:NIP5"/>
    <mergeCell ref="NIQ5:NIR5"/>
    <mergeCell ref="NIS5:NIT5"/>
    <mergeCell ref="NIU5:NIV5"/>
    <mergeCell ref="NIW5:NIX5"/>
    <mergeCell ref="NIY5:NIZ5"/>
    <mergeCell ref="NJA5:NJB5"/>
    <mergeCell ref="NJC5:NJD5"/>
    <mergeCell ref="NJE5:NJF5"/>
    <mergeCell ref="NJG5:NJH5"/>
    <mergeCell ref="NJI5:NJJ5"/>
    <mergeCell ref="NJK5:NJL5"/>
    <mergeCell ref="NJM5:NJN5"/>
    <mergeCell ref="NJO5:NJP5"/>
    <mergeCell ref="NJQ5:NJR5"/>
    <mergeCell ref="NJS5:NJT5"/>
    <mergeCell ref="NJU5:NJV5"/>
    <mergeCell ref="NJW5:NJX5"/>
    <mergeCell ref="NJY5:NJZ5"/>
    <mergeCell ref="NKA5:NKB5"/>
    <mergeCell ref="NKC5:NKD5"/>
    <mergeCell ref="NKE5:NKF5"/>
    <mergeCell ref="NKG5:NKH5"/>
    <mergeCell ref="NKI5:NKJ5"/>
    <mergeCell ref="NKK5:NKL5"/>
    <mergeCell ref="NKM5:NKN5"/>
    <mergeCell ref="NKO5:NKP5"/>
    <mergeCell ref="NKQ5:NKR5"/>
    <mergeCell ref="NKS5:NKT5"/>
    <mergeCell ref="NKU5:NKV5"/>
    <mergeCell ref="NKW5:NKX5"/>
    <mergeCell ref="NKY5:NKZ5"/>
    <mergeCell ref="NLA5:NLB5"/>
    <mergeCell ref="NLC5:NLD5"/>
    <mergeCell ref="NLE5:NLF5"/>
    <mergeCell ref="NLG5:NLH5"/>
    <mergeCell ref="NLI5:NLJ5"/>
    <mergeCell ref="NLK5:NLL5"/>
    <mergeCell ref="NLM5:NLN5"/>
    <mergeCell ref="NLO5:NLP5"/>
    <mergeCell ref="NLQ5:NLR5"/>
    <mergeCell ref="NLS5:NLT5"/>
    <mergeCell ref="NLU5:NLV5"/>
    <mergeCell ref="NLW5:NLX5"/>
    <mergeCell ref="NLY5:NLZ5"/>
    <mergeCell ref="NMA5:NMB5"/>
    <mergeCell ref="NMC5:NMD5"/>
    <mergeCell ref="NME5:NMF5"/>
    <mergeCell ref="NMG5:NMH5"/>
    <mergeCell ref="NMI5:NMJ5"/>
    <mergeCell ref="NMK5:NML5"/>
    <mergeCell ref="NMM5:NMN5"/>
    <mergeCell ref="NMO5:NMP5"/>
    <mergeCell ref="NMQ5:NMR5"/>
    <mergeCell ref="NMS5:NMT5"/>
    <mergeCell ref="NMU5:NMV5"/>
    <mergeCell ref="NMW5:NMX5"/>
    <mergeCell ref="NMY5:NMZ5"/>
    <mergeCell ref="NNA5:NNB5"/>
    <mergeCell ref="NNC5:NND5"/>
    <mergeCell ref="NNE5:NNF5"/>
    <mergeCell ref="NNG5:NNH5"/>
    <mergeCell ref="NNI5:NNJ5"/>
    <mergeCell ref="NNK5:NNL5"/>
    <mergeCell ref="NNM5:NNN5"/>
    <mergeCell ref="NNO5:NNP5"/>
    <mergeCell ref="NNQ5:NNR5"/>
    <mergeCell ref="NNS5:NNT5"/>
    <mergeCell ref="NNU5:NNV5"/>
    <mergeCell ref="NNW5:NNX5"/>
    <mergeCell ref="NNY5:NNZ5"/>
    <mergeCell ref="NOA5:NOB5"/>
    <mergeCell ref="NOC5:NOD5"/>
    <mergeCell ref="NOE5:NOF5"/>
    <mergeCell ref="NOG5:NOH5"/>
    <mergeCell ref="NOI5:NOJ5"/>
    <mergeCell ref="NOK5:NOL5"/>
    <mergeCell ref="NOM5:NON5"/>
    <mergeCell ref="NOO5:NOP5"/>
    <mergeCell ref="NOQ5:NOR5"/>
    <mergeCell ref="NOS5:NOT5"/>
    <mergeCell ref="NOU5:NOV5"/>
    <mergeCell ref="NOW5:NOX5"/>
    <mergeCell ref="NOY5:NOZ5"/>
    <mergeCell ref="NPA5:NPB5"/>
    <mergeCell ref="NPC5:NPD5"/>
    <mergeCell ref="NPE5:NPF5"/>
    <mergeCell ref="NPG5:NPH5"/>
    <mergeCell ref="NPI5:NPJ5"/>
    <mergeCell ref="NPK5:NPL5"/>
    <mergeCell ref="NPM5:NPN5"/>
    <mergeCell ref="NPO5:NPP5"/>
    <mergeCell ref="NPQ5:NPR5"/>
    <mergeCell ref="NPS5:NPT5"/>
    <mergeCell ref="NPU5:NPV5"/>
    <mergeCell ref="NPW5:NPX5"/>
    <mergeCell ref="NPY5:NPZ5"/>
    <mergeCell ref="NQA5:NQB5"/>
    <mergeCell ref="NQC5:NQD5"/>
    <mergeCell ref="NQE5:NQF5"/>
    <mergeCell ref="NQG5:NQH5"/>
    <mergeCell ref="NQI5:NQJ5"/>
    <mergeCell ref="NQK5:NQL5"/>
    <mergeCell ref="NQM5:NQN5"/>
    <mergeCell ref="NQO5:NQP5"/>
    <mergeCell ref="NQQ5:NQR5"/>
    <mergeCell ref="NQS5:NQT5"/>
    <mergeCell ref="NQU5:NQV5"/>
    <mergeCell ref="NQW5:NQX5"/>
    <mergeCell ref="NQY5:NQZ5"/>
    <mergeCell ref="NRA5:NRB5"/>
    <mergeCell ref="NRC5:NRD5"/>
    <mergeCell ref="NRE5:NRF5"/>
    <mergeCell ref="NRG5:NRH5"/>
    <mergeCell ref="NRI5:NRJ5"/>
    <mergeCell ref="NRK5:NRL5"/>
    <mergeCell ref="NRM5:NRN5"/>
    <mergeCell ref="NRO5:NRP5"/>
    <mergeCell ref="NRQ5:NRR5"/>
    <mergeCell ref="NRS5:NRT5"/>
    <mergeCell ref="NRU5:NRV5"/>
    <mergeCell ref="NRW5:NRX5"/>
    <mergeCell ref="NRY5:NRZ5"/>
    <mergeCell ref="NSA5:NSB5"/>
    <mergeCell ref="NSC5:NSD5"/>
    <mergeCell ref="NSE5:NSF5"/>
    <mergeCell ref="NSG5:NSH5"/>
    <mergeCell ref="NSI5:NSJ5"/>
    <mergeCell ref="NSK5:NSL5"/>
    <mergeCell ref="NSM5:NSN5"/>
    <mergeCell ref="NSO5:NSP5"/>
    <mergeCell ref="NSQ5:NSR5"/>
    <mergeCell ref="NSS5:NST5"/>
    <mergeCell ref="NSU5:NSV5"/>
    <mergeCell ref="NSW5:NSX5"/>
    <mergeCell ref="NSY5:NSZ5"/>
    <mergeCell ref="NTA5:NTB5"/>
    <mergeCell ref="NTC5:NTD5"/>
    <mergeCell ref="NTE5:NTF5"/>
    <mergeCell ref="NTG5:NTH5"/>
    <mergeCell ref="NTI5:NTJ5"/>
    <mergeCell ref="NTK5:NTL5"/>
    <mergeCell ref="NTM5:NTN5"/>
    <mergeCell ref="NTO5:NTP5"/>
    <mergeCell ref="NTQ5:NTR5"/>
    <mergeCell ref="NTS5:NTT5"/>
    <mergeCell ref="NTU5:NTV5"/>
    <mergeCell ref="NTW5:NTX5"/>
    <mergeCell ref="NTY5:NTZ5"/>
    <mergeCell ref="NUA5:NUB5"/>
    <mergeCell ref="NUC5:NUD5"/>
    <mergeCell ref="NUE5:NUF5"/>
    <mergeCell ref="NUG5:NUH5"/>
    <mergeCell ref="NUI5:NUJ5"/>
    <mergeCell ref="NUK5:NUL5"/>
    <mergeCell ref="NUM5:NUN5"/>
    <mergeCell ref="NUO5:NUP5"/>
    <mergeCell ref="NUQ5:NUR5"/>
    <mergeCell ref="NUS5:NUT5"/>
    <mergeCell ref="NUU5:NUV5"/>
    <mergeCell ref="NUW5:NUX5"/>
    <mergeCell ref="NUY5:NUZ5"/>
    <mergeCell ref="NVA5:NVB5"/>
    <mergeCell ref="NVC5:NVD5"/>
    <mergeCell ref="NVE5:NVF5"/>
    <mergeCell ref="NVG5:NVH5"/>
    <mergeCell ref="NVI5:NVJ5"/>
    <mergeCell ref="NVK5:NVL5"/>
    <mergeCell ref="NVM5:NVN5"/>
    <mergeCell ref="NVO5:NVP5"/>
    <mergeCell ref="NVQ5:NVR5"/>
    <mergeCell ref="NVS5:NVT5"/>
    <mergeCell ref="NVU5:NVV5"/>
    <mergeCell ref="NVW5:NVX5"/>
    <mergeCell ref="NVY5:NVZ5"/>
    <mergeCell ref="NWA5:NWB5"/>
    <mergeCell ref="NWC5:NWD5"/>
    <mergeCell ref="NWE5:NWF5"/>
    <mergeCell ref="NWG5:NWH5"/>
    <mergeCell ref="NWI5:NWJ5"/>
    <mergeCell ref="NWK5:NWL5"/>
    <mergeCell ref="NWM5:NWN5"/>
    <mergeCell ref="NWO5:NWP5"/>
    <mergeCell ref="NWQ5:NWR5"/>
    <mergeCell ref="NWS5:NWT5"/>
    <mergeCell ref="NWU5:NWV5"/>
    <mergeCell ref="NWW5:NWX5"/>
    <mergeCell ref="NWY5:NWZ5"/>
    <mergeCell ref="NXA5:NXB5"/>
    <mergeCell ref="NXC5:NXD5"/>
    <mergeCell ref="NXE5:NXF5"/>
    <mergeCell ref="NXG5:NXH5"/>
    <mergeCell ref="NXI5:NXJ5"/>
    <mergeCell ref="NXK5:NXL5"/>
    <mergeCell ref="NXM5:NXN5"/>
    <mergeCell ref="NXO5:NXP5"/>
    <mergeCell ref="NXQ5:NXR5"/>
    <mergeCell ref="NXS5:NXT5"/>
    <mergeCell ref="NXU5:NXV5"/>
    <mergeCell ref="NXW5:NXX5"/>
    <mergeCell ref="NXY5:NXZ5"/>
    <mergeCell ref="NYA5:NYB5"/>
    <mergeCell ref="NYC5:NYD5"/>
    <mergeCell ref="NYE5:NYF5"/>
    <mergeCell ref="NYG5:NYH5"/>
    <mergeCell ref="NYI5:NYJ5"/>
    <mergeCell ref="NYK5:NYL5"/>
    <mergeCell ref="NYM5:NYN5"/>
    <mergeCell ref="NYO5:NYP5"/>
    <mergeCell ref="NYQ5:NYR5"/>
    <mergeCell ref="NYS5:NYT5"/>
    <mergeCell ref="NYU5:NYV5"/>
    <mergeCell ref="NYW5:NYX5"/>
    <mergeCell ref="NYY5:NYZ5"/>
    <mergeCell ref="NZA5:NZB5"/>
    <mergeCell ref="NZC5:NZD5"/>
    <mergeCell ref="NZE5:NZF5"/>
    <mergeCell ref="NZG5:NZH5"/>
    <mergeCell ref="NZI5:NZJ5"/>
    <mergeCell ref="NZK5:NZL5"/>
    <mergeCell ref="NZM5:NZN5"/>
    <mergeCell ref="NZO5:NZP5"/>
    <mergeCell ref="NZQ5:NZR5"/>
    <mergeCell ref="NZS5:NZT5"/>
    <mergeCell ref="NZU5:NZV5"/>
    <mergeCell ref="NZW5:NZX5"/>
    <mergeCell ref="NZY5:NZZ5"/>
    <mergeCell ref="OAA5:OAB5"/>
    <mergeCell ref="OAC5:OAD5"/>
    <mergeCell ref="OAE5:OAF5"/>
    <mergeCell ref="OAG5:OAH5"/>
    <mergeCell ref="OAI5:OAJ5"/>
    <mergeCell ref="OAK5:OAL5"/>
    <mergeCell ref="OAM5:OAN5"/>
    <mergeCell ref="OAO5:OAP5"/>
    <mergeCell ref="OAQ5:OAR5"/>
    <mergeCell ref="OAS5:OAT5"/>
    <mergeCell ref="OAU5:OAV5"/>
    <mergeCell ref="OAW5:OAX5"/>
    <mergeCell ref="OAY5:OAZ5"/>
    <mergeCell ref="OBA5:OBB5"/>
    <mergeCell ref="OBC5:OBD5"/>
    <mergeCell ref="OBE5:OBF5"/>
    <mergeCell ref="OBG5:OBH5"/>
    <mergeCell ref="OBI5:OBJ5"/>
    <mergeCell ref="OBK5:OBL5"/>
    <mergeCell ref="OBM5:OBN5"/>
    <mergeCell ref="OBO5:OBP5"/>
    <mergeCell ref="OBQ5:OBR5"/>
    <mergeCell ref="OBS5:OBT5"/>
    <mergeCell ref="OBU5:OBV5"/>
    <mergeCell ref="OBW5:OBX5"/>
    <mergeCell ref="OBY5:OBZ5"/>
    <mergeCell ref="OCA5:OCB5"/>
    <mergeCell ref="OCC5:OCD5"/>
    <mergeCell ref="OCE5:OCF5"/>
    <mergeCell ref="OCG5:OCH5"/>
    <mergeCell ref="OCI5:OCJ5"/>
    <mergeCell ref="OCK5:OCL5"/>
    <mergeCell ref="OCM5:OCN5"/>
    <mergeCell ref="OCO5:OCP5"/>
    <mergeCell ref="OCQ5:OCR5"/>
    <mergeCell ref="OCS5:OCT5"/>
    <mergeCell ref="OCU5:OCV5"/>
    <mergeCell ref="OCW5:OCX5"/>
    <mergeCell ref="OCY5:OCZ5"/>
    <mergeCell ref="ODA5:ODB5"/>
    <mergeCell ref="ODC5:ODD5"/>
    <mergeCell ref="ODE5:ODF5"/>
    <mergeCell ref="ODG5:ODH5"/>
    <mergeCell ref="ODI5:ODJ5"/>
    <mergeCell ref="ODK5:ODL5"/>
    <mergeCell ref="ODM5:ODN5"/>
    <mergeCell ref="ODO5:ODP5"/>
    <mergeCell ref="ODQ5:ODR5"/>
    <mergeCell ref="ODS5:ODT5"/>
    <mergeCell ref="ODU5:ODV5"/>
    <mergeCell ref="ODW5:ODX5"/>
    <mergeCell ref="ODY5:ODZ5"/>
    <mergeCell ref="OEA5:OEB5"/>
    <mergeCell ref="OEC5:OED5"/>
    <mergeCell ref="OEE5:OEF5"/>
    <mergeCell ref="OEG5:OEH5"/>
    <mergeCell ref="OEI5:OEJ5"/>
    <mergeCell ref="OEK5:OEL5"/>
    <mergeCell ref="OEM5:OEN5"/>
    <mergeCell ref="OEO5:OEP5"/>
    <mergeCell ref="OEQ5:OER5"/>
    <mergeCell ref="OES5:OET5"/>
    <mergeCell ref="OEU5:OEV5"/>
    <mergeCell ref="OEW5:OEX5"/>
    <mergeCell ref="OEY5:OEZ5"/>
    <mergeCell ref="OFA5:OFB5"/>
    <mergeCell ref="OFC5:OFD5"/>
    <mergeCell ref="OFE5:OFF5"/>
    <mergeCell ref="OFG5:OFH5"/>
    <mergeCell ref="OFI5:OFJ5"/>
    <mergeCell ref="OFK5:OFL5"/>
    <mergeCell ref="OFM5:OFN5"/>
    <mergeCell ref="OFO5:OFP5"/>
    <mergeCell ref="OFQ5:OFR5"/>
    <mergeCell ref="OFS5:OFT5"/>
    <mergeCell ref="OFU5:OFV5"/>
    <mergeCell ref="OFW5:OFX5"/>
    <mergeCell ref="OFY5:OFZ5"/>
    <mergeCell ref="OGA5:OGB5"/>
    <mergeCell ref="OGC5:OGD5"/>
    <mergeCell ref="OGE5:OGF5"/>
    <mergeCell ref="OGG5:OGH5"/>
    <mergeCell ref="OGI5:OGJ5"/>
    <mergeCell ref="OGK5:OGL5"/>
    <mergeCell ref="OGM5:OGN5"/>
    <mergeCell ref="OGO5:OGP5"/>
    <mergeCell ref="OGQ5:OGR5"/>
    <mergeCell ref="OGS5:OGT5"/>
    <mergeCell ref="OGU5:OGV5"/>
    <mergeCell ref="OGW5:OGX5"/>
    <mergeCell ref="OGY5:OGZ5"/>
    <mergeCell ref="OHA5:OHB5"/>
    <mergeCell ref="OHC5:OHD5"/>
    <mergeCell ref="OHE5:OHF5"/>
    <mergeCell ref="OHG5:OHH5"/>
    <mergeCell ref="OHI5:OHJ5"/>
    <mergeCell ref="OHK5:OHL5"/>
    <mergeCell ref="OHM5:OHN5"/>
    <mergeCell ref="OHO5:OHP5"/>
    <mergeCell ref="OHQ5:OHR5"/>
    <mergeCell ref="OHS5:OHT5"/>
    <mergeCell ref="OHU5:OHV5"/>
    <mergeCell ref="OHW5:OHX5"/>
    <mergeCell ref="OHY5:OHZ5"/>
    <mergeCell ref="OIA5:OIB5"/>
    <mergeCell ref="OIC5:OID5"/>
    <mergeCell ref="OIE5:OIF5"/>
    <mergeCell ref="OIG5:OIH5"/>
    <mergeCell ref="OII5:OIJ5"/>
    <mergeCell ref="OIK5:OIL5"/>
    <mergeCell ref="OIM5:OIN5"/>
    <mergeCell ref="OIO5:OIP5"/>
    <mergeCell ref="OIQ5:OIR5"/>
    <mergeCell ref="OIS5:OIT5"/>
    <mergeCell ref="OIU5:OIV5"/>
    <mergeCell ref="OIW5:OIX5"/>
    <mergeCell ref="OIY5:OIZ5"/>
    <mergeCell ref="OJA5:OJB5"/>
    <mergeCell ref="OJC5:OJD5"/>
    <mergeCell ref="OJE5:OJF5"/>
    <mergeCell ref="OJG5:OJH5"/>
    <mergeCell ref="OJI5:OJJ5"/>
    <mergeCell ref="OJK5:OJL5"/>
    <mergeCell ref="OJM5:OJN5"/>
    <mergeCell ref="OJO5:OJP5"/>
    <mergeCell ref="OJQ5:OJR5"/>
    <mergeCell ref="OJS5:OJT5"/>
    <mergeCell ref="OJU5:OJV5"/>
    <mergeCell ref="OJW5:OJX5"/>
    <mergeCell ref="OJY5:OJZ5"/>
    <mergeCell ref="OKA5:OKB5"/>
    <mergeCell ref="OKC5:OKD5"/>
    <mergeCell ref="OKE5:OKF5"/>
    <mergeCell ref="OKG5:OKH5"/>
    <mergeCell ref="OKI5:OKJ5"/>
    <mergeCell ref="OKK5:OKL5"/>
    <mergeCell ref="OKM5:OKN5"/>
    <mergeCell ref="OKO5:OKP5"/>
    <mergeCell ref="OKQ5:OKR5"/>
    <mergeCell ref="OKS5:OKT5"/>
    <mergeCell ref="OKU5:OKV5"/>
    <mergeCell ref="OKW5:OKX5"/>
    <mergeCell ref="OKY5:OKZ5"/>
    <mergeCell ref="OLA5:OLB5"/>
    <mergeCell ref="OLC5:OLD5"/>
    <mergeCell ref="OLE5:OLF5"/>
    <mergeCell ref="OLG5:OLH5"/>
    <mergeCell ref="OLI5:OLJ5"/>
    <mergeCell ref="OLK5:OLL5"/>
    <mergeCell ref="OLM5:OLN5"/>
    <mergeCell ref="OLO5:OLP5"/>
    <mergeCell ref="OLQ5:OLR5"/>
    <mergeCell ref="OLS5:OLT5"/>
    <mergeCell ref="OLU5:OLV5"/>
    <mergeCell ref="OLW5:OLX5"/>
    <mergeCell ref="OLY5:OLZ5"/>
    <mergeCell ref="OMA5:OMB5"/>
    <mergeCell ref="OMC5:OMD5"/>
    <mergeCell ref="OME5:OMF5"/>
    <mergeCell ref="OMG5:OMH5"/>
    <mergeCell ref="OMI5:OMJ5"/>
    <mergeCell ref="OMK5:OML5"/>
    <mergeCell ref="OMM5:OMN5"/>
    <mergeCell ref="OMO5:OMP5"/>
    <mergeCell ref="OMQ5:OMR5"/>
    <mergeCell ref="OMS5:OMT5"/>
    <mergeCell ref="OMU5:OMV5"/>
    <mergeCell ref="OMW5:OMX5"/>
    <mergeCell ref="OMY5:OMZ5"/>
    <mergeCell ref="ONA5:ONB5"/>
    <mergeCell ref="ONC5:OND5"/>
    <mergeCell ref="ONE5:ONF5"/>
    <mergeCell ref="ONG5:ONH5"/>
    <mergeCell ref="ONI5:ONJ5"/>
    <mergeCell ref="ONK5:ONL5"/>
    <mergeCell ref="ONM5:ONN5"/>
    <mergeCell ref="ONO5:ONP5"/>
    <mergeCell ref="ONQ5:ONR5"/>
    <mergeCell ref="ONS5:ONT5"/>
    <mergeCell ref="ONU5:ONV5"/>
    <mergeCell ref="ONW5:ONX5"/>
    <mergeCell ref="ONY5:ONZ5"/>
    <mergeCell ref="OOA5:OOB5"/>
    <mergeCell ref="OOC5:OOD5"/>
    <mergeCell ref="OOE5:OOF5"/>
    <mergeCell ref="OOG5:OOH5"/>
    <mergeCell ref="OOI5:OOJ5"/>
    <mergeCell ref="OOK5:OOL5"/>
    <mergeCell ref="OOM5:OON5"/>
    <mergeCell ref="OOO5:OOP5"/>
    <mergeCell ref="OOQ5:OOR5"/>
    <mergeCell ref="OOS5:OOT5"/>
    <mergeCell ref="OOU5:OOV5"/>
    <mergeCell ref="OOW5:OOX5"/>
    <mergeCell ref="OOY5:OOZ5"/>
    <mergeCell ref="OPA5:OPB5"/>
    <mergeCell ref="OPC5:OPD5"/>
    <mergeCell ref="OPE5:OPF5"/>
    <mergeCell ref="OPG5:OPH5"/>
    <mergeCell ref="OPI5:OPJ5"/>
    <mergeCell ref="OPK5:OPL5"/>
    <mergeCell ref="OPM5:OPN5"/>
    <mergeCell ref="OPO5:OPP5"/>
    <mergeCell ref="OPQ5:OPR5"/>
    <mergeCell ref="OPS5:OPT5"/>
    <mergeCell ref="OPU5:OPV5"/>
    <mergeCell ref="OPW5:OPX5"/>
    <mergeCell ref="OPY5:OPZ5"/>
    <mergeCell ref="OQA5:OQB5"/>
    <mergeCell ref="OQC5:OQD5"/>
    <mergeCell ref="OQE5:OQF5"/>
    <mergeCell ref="OQG5:OQH5"/>
    <mergeCell ref="OQI5:OQJ5"/>
    <mergeCell ref="OQK5:OQL5"/>
    <mergeCell ref="OQM5:OQN5"/>
    <mergeCell ref="OQO5:OQP5"/>
    <mergeCell ref="OQQ5:OQR5"/>
    <mergeCell ref="OQS5:OQT5"/>
    <mergeCell ref="OQU5:OQV5"/>
    <mergeCell ref="OQW5:OQX5"/>
    <mergeCell ref="OQY5:OQZ5"/>
    <mergeCell ref="ORA5:ORB5"/>
    <mergeCell ref="ORC5:ORD5"/>
    <mergeCell ref="ORE5:ORF5"/>
    <mergeCell ref="ORG5:ORH5"/>
    <mergeCell ref="ORI5:ORJ5"/>
    <mergeCell ref="ORK5:ORL5"/>
    <mergeCell ref="ORM5:ORN5"/>
    <mergeCell ref="ORO5:ORP5"/>
    <mergeCell ref="ORQ5:ORR5"/>
    <mergeCell ref="ORS5:ORT5"/>
    <mergeCell ref="ORU5:ORV5"/>
    <mergeCell ref="ORW5:ORX5"/>
    <mergeCell ref="ORY5:ORZ5"/>
    <mergeCell ref="OSA5:OSB5"/>
    <mergeCell ref="OSC5:OSD5"/>
    <mergeCell ref="OSE5:OSF5"/>
    <mergeCell ref="OSG5:OSH5"/>
    <mergeCell ref="OSI5:OSJ5"/>
    <mergeCell ref="OSK5:OSL5"/>
    <mergeCell ref="OSM5:OSN5"/>
    <mergeCell ref="OSO5:OSP5"/>
    <mergeCell ref="OSQ5:OSR5"/>
    <mergeCell ref="OSS5:OST5"/>
    <mergeCell ref="OSU5:OSV5"/>
    <mergeCell ref="OSW5:OSX5"/>
    <mergeCell ref="OSY5:OSZ5"/>
    <mergeCell ref="OTA5:OTB5"/>
    <mergeCell ref="OTC5:OTD5"/>
    <mergeCell ref="OTE5:OTF5"/>
    <mergeCell ref="OTG5:OTH5"/>
    <mergeCell ref="OTI5:OTJ5"/>
    <mergeCell ref="OTK5:OTL5"/>
    <mergeCell ref="OTM5:OTN5"/>
    <mergeCell ref="OTO5:OTP5"/>
    <mergeCell ref="OTQ5:OTR5"/>
    <mergeCell ref="OTS5:OTT5"/>
    <mergeCell ref="OTU5:OTV5"/>
    <mergeCell ref="OTW5:OTX5"/>
    <mergeCell ref="OTY5:OTZ5"/>
    <mergeCell ref="OUA5:OUB5"/>
    <mergeCell ref="OUC5:OUD5"/>
    <mergeCell ref="OUE5:OUF5"/>
    <mergeCell ref="OUG5:OUH5"/>
    <mergeCell ref="OUI5:OUJ5"/>
    <mergeCell ref="OUK5:OUL5"/>
    <mergeCell ref="OUM5:OUN5"/>
    <mergeCell ref="OUO5:OUP5"/>
    <mergeCell ref="OUQ5:OUR5"/>
    <mergeCell ref="OUS5:OUT5"/>
    <mergeCell ref="OUU5:OUV5"/>
    <mergeCell ref="OUW5:OUX5"/>
    <mergeCell ref="OUY5:OUZ5"/>
    <mergeCell ref="OVA5:OVB5"/>
    <mergeCell ref="OVC5:OVD5"/>
    <mergeCell ref="OVE5:OVF5"/>
    <mergeCell ref="OVG5:OVH5"/>
    <mergeCell ref="OVI5:OVJ5"/>
    <mergeCell ref="OVK5:OVL5"/>
    <mergeCell ref="OVM5:OVN5"/>
    <mergeCell ref="OVO5:OVP5"/>
    <mergeCell ref="OVQ5:OVR5"/>
    <mergeCell ref="OVS5:OVT5"/>
    <mergeCell ref="OVU5:OVV5"/>
    <mergeCell ref="OVW5:OVX5"/>
    <mergeCell ref="OVY5:OVZ5"/>
    <mergeCell ref="OWA5:OWB5"/>
    <mergeCell ref="OWC5:OWD5"/>
    <mergeCell ref="OWE5:OWF5"/>
    <mergeCell ref="OWG5:OWH5"/>
    <mergeCell ref="OWI5:OWJ5"/>
    <mergeCell ref="OWK5:OWL5"/>
    <mergeCell ref="OWM5:OWN5"/>
    <mergeCell ref="OWO5:OWP5"/>
    <mergeCell ref="OWQ5:OWR5"/>
    <mergeCell ref="OWS5:OWT5"/>
    <mergeCell ref="OWU5:OWV5"/>
    <mergeCell ref="OWW5:OWX5"/>
    <mergeCell ref="OWY5:OWZ5"/>
    <mergeCell ref="OXA5:OXB5"/>
    <mergeCell ref="OXC5:OXD5"/>
    <mergeCell ref="OXE5:OXF5"/>
    <mergeCell ref="OXG5:OXH5"/>
    <mergeCell ref="OXI5:OXJ5"/>
    <mergeCell ref="OXK5:OXL5"/>
    <mergeCell ref="OXM5:OXN5"/>
    <mergeCell ref="OXO5:OXP5"/>
    <mergeCell ref="OXQ5:OXR5"/>
    <mergeCell ref="OXS5:OXT5"/>
    <mergeCell ref="OXU5:OXV5"/>
    <mergeCell ref="OXW5:OXX5"/>
    <mergeCell ref="OXY5:OXZ5"/>
    <mergeCell ref="OYA5:OYB5"/>
    <mergeCell ref="OYC5:OYD5"/>
    <mergeCell ref="OYE5:OYF5"/>
    <mergeCell ref="OYG5:OYH5"/>
    <mergeCell ref="OYI5:OYJ5"/>
    <mergeCell ref="OYK5:OYL5"/>
    <mergeCell ref="OYM5:OYN5"/>
    <mergeCell ref="OYO5:OYP5"/>
    <mergeCell ref="OYQ5:OYR5"/>
    <mergeCell ref="OYS5:OYT5"/>
    <mergeCell ref="OYU5:OYV5"/>
    <mergeCell ref="OYW5:OYX5"/>
    <mergeCell ref="OYY5:OYZ5"/>
    <mergeCell ref="OZA5:OZB5"/>
    <mergeCell ref="OZC5:OZD5"/>
    <mergeCell ref="OZE5:OZF5"/>
    <mergeCell ref="OZG5:OZH5"/>
    <mergeCell ref="OZI5:OZJ5"/>
    <mergeCell ref="OZK5:OZL5"/>
    <mergeCell ref="OZM5:OZN5"/>
    <mergeCell ref="OZO5:OZP5"/>
    <mergeCell ref="OZQ5:OZR5"/>
    <mergeCell ref="OZS5:OZT5"/>
    <mergeCell ref="OZU5:OZV5"/>
    <mergeCell ref="OZW5:OZX5"/>
    <mergeCell ref="OZY5:OZZ5"/>
    <mergeCell ref="PAA5:PAB5"/>
    <mergeCell ref="PAC5:PAD5"/>
    <mergeCell ref="PAE5:PAF5"/>
    <mergeCell ref="PAG5:PAH5"/>
    <mergeCell ref="PAI5:PAJ5"/>
    <mergeCell ref="PAK5:PAL5"/>
    <mergeCell ref="PAM5:PAN5"/>
    <mergeCell ref="PAO5:PAP5"/>
    <mergeCell ref="PAQ5:PAR5"/>
    <mergeCell ref="PAS5:PAT5"/>
    <mergeCell ref="PAU5:PAV5"/>
    <mergeCell ref="PAW5:PAX5"/>
    <mergeCell ref="PAY5:PAZ5"/>
    <mergeCell ref="PBA5:PBB5"/>
    <mergeCell ref="PBC5:PBD5"/>
    <mergeCell ref="PBE5:PBF5"/>
    <mergeCell ref="PBG5:PBH5"/>
    <mergeCell ref="PBI5:PBJ5"/>
    <mergeCell ref="PBK5:PBL5"/>
    <mergeCell ref="PBM5:PBN5"/>
    <mergeCell ref="PBO5:PBP5"/>
    <mergeCell ref="PBQ5:PBR5"/>
    <mergeCell ref="PBS5:PBT5"/>
    <mergeCell ref="PBU5:PBV5"/>
    <mergeCell ref="PBW5:PBX5"/>
    <mergeCell ref="PBY5:PBZ5"/>
    <mergeCell ref="PCA5:PCB5"/>
    <mergeCell ref="PCC5:PCD5"/>
    <mergeCell ref="PCE5:PCF5"/>
    <mergeCell ref="PCG5:PCH5"/>
    <mergeCell ref="PCI5:PCJ5"/>
    <mergeCell ref="PCK5:PCL5"/>
    <mergeCell ref="PCM5:PCN5"/>
    <mergeCell ref="PCO5:PCP5"/>
    <mergeCell ref="PCQ5:PCR5"/>
    <mergeCell ref="PCS5:PCT5"/>
    <mergeCell ref="PCU5:PCV5"/>
    <mergeCell ref="PCW5:PCX5"/>
    <mergeCell ref="PCY5:PCZ5"/>
    <mergeCell ref="PDA5:PDB5"/>
    <mergeCell ref="PDC5:PDD5"/>
    <mergeCell ref="PDE5:PDF5"/>
    <mergeCell ref="PDG5:PDH5"/>
    <mergeCell ref="PDI5:PDJ5"/>
    <mergeCell ref="PDK5:PDL5"/>
    <mergeCell ref="PDM5:PDN5"/>
    <mergeCell ref="PDO5:PDP5"/>
    <mergeCell ref="PDQ5:PDR5"/>
    <mergeCell ref="PDS5:PDT5"/>
    <mergeCell ref="PDU5:PDV5"/>
    <mergeCell ref="PDW5:PDX5"/>
    <mergeCell ref="PDY5:PDZ5"/>
    <mergeCell ref="PEA5:PEB5"/>
    <mergeCell ref="PEC5:PED5"/>
    <mergeCell ref="PEE5:PEF5"/>
    <mergeCell ref="PEG5:PEH5"/>
    <mergeCell ref="PEI5:PEJ5"/>
    <mergeCell ref="PEK5:PEL5"/>
    <mergeCell ref="PEM5:PEN5"/>
    <mergeCell ref="PEO5:PEP5"/>
    <mergeCell ref="PEQ5:PER5"/>
    <mergeCell ref="PES5:PET5"/>
    <mergeCell ref="PEU5:PEV5"/>
    <mergeCell ref="PEW5:PEX5"/>
    <mergeCell ref="PEY5:PEZ5"/>
    <mergeCell ref="PFA5:PFB5"/>
    <mergeCell ref="PFC5:PFD5"/>
    <mergeCell ref="PFE5:PFF5"/>
    <mergeCell ref="PFG5:PFH5"/>
    <mergeCell ref="PFI5:PFJ5"/>
    <mergeCell ref="PFK5:PFL5"/>
    <mergeCell ref="PFM5:PFN5"/>
    <mergeCell ref="PFO5:PFP5"/>
    <mergeCell ref="PFQ5:PFR5"/>
    <mergeCell ref="PFS5:PFT5"/>
    <mergeCell ref="PFU5:PFV5"/>
    <mergeCell ref="PFW5:PFX5"/>
    <mergeCell ref="PFY5:PFZ5"/>
    <mergeCell ref="PGA5:PGB5"/>
    <mergeCell ref="PGC5:PGD5"/>
    <mergeCell ref="PGE5:PGF5"/>
    <mergeCell ref="PGG5:PGH5"/>
    <mergeCell ref="PGI5:PGJ5"/>
    <mergeCell ref="PGK5:PGL5"/>
    <mergeCell ref="PGM5:PGN5"/>
    <mergeCell ref="PGO5:PGP5"/>
    <mergeCell ref="PGQ5:PGR5"/>
    <mergeCell ref="PGS5:PGT5"/>
    <mergeCell ref="PGU5:PGV5"/>
    <mergeCell ref="PGW5:PGX5"/>
    <mergeCell ref="PGY5:PGZ5"/>
    <mergeCell ref="PHA5:PHB5"/>
    <mergeCell ref="PHC5:PHD5"/>
    <mergeCell ref="PHE5:PHF5"/>
    <mergeCell ref="PHG5:PHH5"/>
    <mergeCell ref="PHI5:PHJ5"/>
    <mergeCell ref="PHK5:PHL5"/>
    <mergeCell ref="PHM5:PHN5"/>
    <mergeCell ref="PHO5:PHP5"/>
    <mergeCell ref="PHQ5:PHR5"/>
    <mergeCell ref="PHS5:PHT5"/>
    <mergeCell ref="PHU5:PHV5"/>
    <mergeCell ref="PHW5:PHX5"/>
    <mergeCell ref="PHY5:PHZ5"/>
    <mergeCell ref="PIA5:PIB5"/>
    <mergeCell ref="PIC5:PID5"/>
    <mergeCell ref="PIE5:PIF5"/>
    <mergeCell ref="PIG5:PIH5"/>
    <mergeCell ref="PII5:PIJ5"/>
    <mergeCell ref="PIK5:PIL5"/>
    <mergeCell ref="PIM5:PIN5"/>
    <mergeCell ref="PIO5:PIP5"/>
    <mergeCell ref="PIQ5:PIR5"/>
    <mergeCell ref="PIS5:PIT5"/>
    <mergeCell ref="PIU5:PIV5"/>
    <mergeCell ref="PIW5:PIX5"/>
    <mergeCell ref="PIY5:PIZ5"/>
    <mergeCell ref="PJA5:PJB5"/>
    <mergeCell ref="PJC5:PJD5"/>
    <mergeCell ref="PJE5:PJF5"/>
    <mergeCell ref="PJG5:PJH5"/>
    <mergeCell ref="PJI5:PJJ5"/>
    <mergeCell ref="PJK5:PJL5"/>
    <mergeCell ref="PJM5:PJN5"/>
    <mergeCell ref="PJO5:PJP5"/>
    <mergeCell ref="PJQ5:PJR5"/>
    <mergeCell ref="PJS5:PJT5"/>
    <mergeCell ref="PJU5:PJV5"/>
    <mergeCell ref="PJW5:PJX5"/>
    <mergeCell ref="PJY5:PJZ5"/>
    <mergeCell ref="PKA5:PKB5"/>
    <mergeCell ref="PKC5:PKD5"/>
    <mergeCell ref="PKE5:PKF5"/>
    <mergeCell ref="PKG5:PKH5"/>
    <mergeCell ref="PKI5:PKJ5"/>
    <mergeCell ref="PKK5:PKL5"/>
    <mergeCell ref="PKM5:PKN5"/>
    <mergeCell ref="PKO5:PKP5"/>
    <mergeCell ref="PKQ5:PKR5"/>
    <mergeCell ref="PKS5:PKT5"/>
    <mergeCell ref="PKU5:PKV5"/>
    <mergeCell ref="PKW5:PKX5"/>
    <mergeCell ref="PKY5:PKZ5"/>
    <mergeCell ref="PLA5:PLB5"/>
    <mergeCell ref="PLC5:PLD5"/>
    <mergeCell ref="PLE5:PLF5"/>
    <mergeCell ref="PLG5:PLH5"/>
    <mergeCell ref="PLI5:PLJ5"/>
    <mergeCell ref="PLK5:PLL5"/>
    <mergeCell ref="PLM5:PLN5"/>
    <mergeCell ref="PLO5:PLP5"/>
    <mergeCell ref="PLQ5:PLR5"/>
    <mergeCell ref="PLS5:PLT5"/>
    <mergeCell ref="PLU5:PLV5"/>
    <mergeCell ref="PLW5:PLX5"/>
    <mergeCell ref="PLY5:PLZ5"/>
    <mergeCell ref="PMA5:PMB5"/>
    <mergeCell ref="PMC5:PMD5"/>
    <mergeCell ref="PME5:PMF5"/>
    <mergeCell ref="PMG5:PMH5"/>
    <mergeCell ref="PMI5:PMJ5"/>
    <mergeCell ref="PMK5:PML5"/>
    <mergeCell ref="PMM5:PMN5"/>
    <mergeCell ref="PMO5:PMP5"/>
    <mergeCell ref="PMQ5:PMR5"/>
    <mergeCell ref="PMS5:PMT5"/>
    <mergeCell ref="PMU5:PMV5"/>
    <mergeCell ref="PMW5:PMX5"/>
    <mergeCell ref="PMY5:PMZ5"/>
    <mergeCell ref="PNA5:PNB5"/>
    <mergeCell ref="PNC5:PND5"/>
    <mergeCell ref="PNE5:PNF5"/>
    <mergeCell ref="PNG5:PNH5"/>
    <mergeCell ref="PNI5:PNJ5"/>
    <mergeCell ref="PNK5:PNL5"/>
    <mergeCell ref="PNM5:PNN5"/>
    <mergeCell ref="PNO5:PNP5"/>
    <mergeCell ref="PNQ5:PNR5"/>
    <mergeCell ref="PNS5:PNT5"/>
    <mergeCell ref="PNU5:PNV5"/>
    <mergeCell ref="PNW5:PNX5"/>
    <mergeCell ref="PNY5:PNZ5"/>
    <mergeCell ref="POA5:POB5"/>
    <mergeCell ref="POC5:POD5"/>
    <mergeCell ref="POE5:POF5"/>
    <mergeCell ref="POG5:POH5"/>
    <mergeCell ref="POI5:POJ5"/>
    <mergeCell ref="POK5:POL5"/>
    <mergeCell ref="POM5:PON5"/>
    <mergeCell ref="POO5:POP5"/>
    <mergeCell ref="POQ5:POR5"/>
    <mergeCell ref="POS5:POT5"/>
    <mergeCell ref="POU5:POV5"/>
    <mergeCell ref="POW5:POX5"/>
    <mergeCell ref="POY5:POZ5"/>
    <mergeCell ref="PPA5:PPB5"/>
    <mergeCell ref="PPC5:PPD5"/>
    <mergeCell ref="PPE5:PPF5"/>
    <mergeCell ref="PPG5:PPH5"/>
    <mergeCell ref="PPI5:PPJ5"/>
    <mergeCell ref="PPK5:PPL5"/>
    <mergeCell ref="PPM5:PPN5"/>
    <mergeCell ref="PPO5:PPP5"/>
    <mergeCell ref="PPQ5:PPR5"/>
    <mergeCell ref="PPS5:PPT5"/>
    <mergeCell ref="PPU5:PPV5"/>
    <mergeCell ref="PPW5:PPX5"/>
    <mergeCell ref="PPY5:PPZ5"/>
    <mergeCell ref="PQA5:PQB5"/>
    <mergeCell ref="PQC5:PQD5"/>
    <mergeCell ref="PQE5:PQF5"/>
    <mergeCell ref="PQG5:PQH5"/>
    <mergeCell ref="PQI5:PQJ5"/>
    <mergeCell ref="PQK5:PQL5"/>
    <mergeCell ref="PQM5:PQN5"/>
    <mergeCell ref="PQO5:PQP5"/>
    <mergeCell ref="PQQ5:PQR5"/>
    <mergeCell ref="PQS5:PQT5"/>
    <mergeCell ref="PQU5:PQV5"/>
    <mergeCell ref="PQW5:PQX5"/>
    <mergeCell ref="PQY5:PQZ5"/>
    <mergeCell ref="PRA5:PRB5"/>
    <mergeCell ref="PRC5:PRD5"/>
    <mergeCell ref="PRE5:PRF5"/>
    <mergeCell ref="PRG5:PRH5"/>
    <mergeCell ref="PRI5:PRJ5"/>
    <mergeCell ref="PRK5:PRL5"/>
    <mergeCell ref="PRM5:PRN5"/>
    <mergeCell ref="PRO5:PRP5"/>
    <mergeCell ref="PRQ5:PRR5"/>
    <mergeCell ref="PRS5:PRT5"/>
    <mergeCell ref="PRU5:PRV5"/>
    <mergeCell ref="PRW5:PRX5"/>
    <mergeCell ref="PRY5:PRZ5"/>
    <mergeCell ref="PSA5:PSB5"/>
    <mergeCell ref="PSC5:PSD5"/>
    <mergeCell ref="PSE5:PSF5"/>
    <mergeCell ref="PSG5:PSH5"/>
    <mergeCell ref="PSI5:PSJ5"/>
    <mergeCell ref="PSK5:PSL5"/>
    <mergeCell ref="PSM5:PSN5"/>
    <mergeCell ref="PSO5:PSP5"/>
    <mergeCell ref="PSQ5:PSR5"/>
    <mergeCell ref="PSS5:PST5"/>
    <mergeCell ref="PSU5:PSV5"/>
    <mergeCell ref="PSW5:PSX5"/>
    <mergeCell ref="PSY5:PSZ5"/>
    <mergeCell ref="PTA5:PTB5"/>
    <mergeCell ref="PTC5:PTD5"/>
    <mergeCell ref="PTE5:PTF5"/>
    <mergeCell ref="PTG5:PTH5"/>
    <mergeCell ref="PTI5:PTJ5"/>
    <mergeCell ref="PTK5:PTL5"/>
    <mergeCell ref="PTM5:PTN5"/>
    <mergeCell ref="PTO5:PTP5"/>
    <mergeCell ref="PTQ5:PTR5"/>
    <mergeCell ref="PTS5:PTT5"/>
    <mergeCell ref="PTU5:PTV5"/>
    <mergeCell ref="PTW5:PTX5"/>
    <mergeCell ref="PTY5:PTZ5"/>
    <mergeCell ref="PUA5:PUB5"/>
    <mergeCell ref="PUC5:PUD5"/>
    <mergeCell ref="PUE5:PUF5"/>
    <mergeCell ref="PUG5:PUH5"/>
    <mergeCell ref="PUI5:PUJ5"/>
    <mergeCell ref="PUK5:PUL5"/>
    <mergeCell ref="PUM5:PUN5"/>
    <mergeCell ref="PUO5:PUP5"/>
    <mergeCell ref="PUQ5:PUR5"/>
    <mergeCell ref="PUS5:PUT5"/>
    <mergeCell ref="PUU5:PUV5"/>
    <mergeCell ref="PUW5:PUX5"/>
    <mergeCell ref="PUY5:PUZ5"/>
    <mergeCell ref="PVA5:PVB5"/>
    <mergeCell ref="PVC5:PVD5"/>
    <mergeCell ref="PVE5:PVF5"/>
    <mergeCell ref="PVG5:PVH5"/>
    <mergeCell ref="PVI5:PVJ5"/>
    <mergeCell ref="PVK5:PVL5"/>
    <mergeCell ref="PVM5:PVN5"/>
    <mergeCell ref="PVO5:PVP5"/>
    <mergeCell ref="PVQ5:PVR5"/>
    <mergeCell ref="PVS5:PVT5"/>
    <mergeCell ref="PVU5:PVV5"/>
    <mergeCell ref="PVW5:PVX5"/>
    <mergeCell ref="PVY5:PVZ5"/>
    <mergeCell ref="PWA5:PWB5"/>
    <mergeCell ref="PWC5:PWD5"/>
    <mergeCell ref="PWE5:PWF5"/>
    <mergeCell ref="PWG5:PWH5"/>
    <mergeCell ref="PWI5:PWJ5"/>
    <mergeCell ref="PWK5:PWL5"/>
    <mergeCell ref="PWM5:PWN5"/>
    <mergeCell ref="PWO5:PWP5"/>
    <mergeCell ref="PWQ5:PWR5"/>
    <mergeCell ref="PWS5:PWT5"/>
    <mergeCell ref="PWU5:PWV5"/>
    <mergeCell ref="PWW5:PWX5"/>
    <mergeCell ref="PWY5:PWZ5"/>
    <mergeCell ref="PXA5:PXB5"/>
    <mergeCell ref="PXC5:PXD5"/>
    <mergeCell ref="PXE5:PXF5"/>
    <mergeCell ref="PXG5:PXH5"/>
    <mergeCell ref="PXI5:PXJ5"/>
    <mergeCell ref="PXK5:PXL5"/>
    <mergeCell ref="PXM5:PXN5"/>
    <mergeCell ref="PXO5:PXP5"/>
    <mergeCell ref="PXQ5:PXR5"/>
    <mergeCell ref="PXS5:PXT5"/>
    <mergeCell ref="PXU5:PXV5"/>
    <mergeCell ref="PXW5:PXX5"/>
    <mergeCell ref="PXY5:PXZ5"/>
    <mergeCell ref="PYA5:PYB5"/>
    <mergeCell ref="PYC5:PYD5"/>
    <mergeCell ref="PYE5:PYF5"/>
    <mergeCell ref="PYG5:PYH5"/>
    <mergeCell ref="PYI5:PYJ5"/>
    <mergeCell ref="PYK5:PYL5"/>
    <mergeCell ref="PYM5:PYN5"/>
    <mergeCell ref="PYO5:PYP5"/>
    <mergeCell ref="PYQ5:PYR5"/>
    <mergeCell ref="PYS5:PYT5"/>
    <mergeCell ref="PYU5:PYV5"/>
    <mergeCell ref="PYW5:PYX5"/>
    <mergeCell ref="PYY5:PYZ5"/>
    <mergeCell ref="PZA5:PZB5"/>
    <mergeCell ref="PZC5:PZD5"/>
    <mergeCell ref="PZE5:PZF5"/>
    <mergeCell ref="PZG5:PZH5"/>
    <mergeCell ref="PZI5:PZJ5"/>
    <mergeCell ref="PZK5:PZL5"/>
    <mergeCell ref="PZM5:PZN5"/>
    <mergeCell ref="PZO5:PZP5"/>
    <mergeCell ref="PZQ5:PZR5"/>
    <mergeCell ref="PZS5:PZT5"/>
    <mergeCell ref="PZU5:PZV5"/>
    <mergeCell ref="PZW5:PZX5"/>
    <mergeCell ref="PZY5:PZZ5"/>
    <mergeCell ref="QAA5:QAB5"/>
    <mergeCell ref="QAC5:QAD5"/>
    <mergeCell ref="QAE5:QAF5"/>
    <mergeCell ref="QAG5:QAH5"/>
    <mergeCell ref="QAI5:QAJ5"/>
    <mergeCell ref="QAK5:QAL5"/>
    <mergeCell ref="QAM5:QAN5"/>
    <mergeCell ref="QAO5:QAP5"/>
    <mergeCell ref="QAQ5:QAR5"/>
    <mergeCell ref="QAS5:QAT5"/>
    <mergeCell ref="QAU5:QAV5"/>
    <mergeCell ref="QAW5:QAX5"/>
    <mergeCell ref="QAY5:QAZ5"/>
    <mergeCell ref="QBA5:QBB5"/>
    <mergeCell ref="QBC5:QBD5"/>
    <mergeCell ref="QBE5:QBF5"/>
    <mergeCell ref="QBG5:QBH5"/>
    <mergeCell ref="QBI5:QBJ5"/>
    <mergeCell ref="QBK5:QBL5"/>
    <mergeCell ref="QBM5:QBN5"/>
    <mergeCell ref="QBO5:QBP5"/>
    <mergeCell ref="QBQ5:QBR5"/>
    <mergeCell ref="QBS5:QBT5"/>
    <mergeCell ref="QBU5:QBV5"/>
    <mergeCell ref="QBW5:QBX5"/>
    <mergeCell ref="QBY5:QBZ5"/>
    <mergeCell ref="QCA5:QCB5"/>
    <mergeCell ref="QCC5:QCD5"/>
    <mergeCell ref="QCE5:QCF5"/>
    <mergeCell ref="QCG5:QCH5"/>
    <mergeCell ref="QCI5:QCJ5"/>
    <mergeCell ref="QCK5:QCL5"/>
    <mergeCell ref="QCM5:QCN5"/>
    <mergeCell ref="QCO5:QCP5"/>
    <mergeCell ref="QCQ5:QCR5"/>
    <mergeCell ref="QCS5:QCT5"/>
    <mergeCell ref="QCU5:QCV5"/>
    <mergeCell ref="QCW5:QCX5"/>
    <mergeCell ref="QCY5:QCZ5"/>
    <mergeCell ref="QDA5:QDB5"/>
    <mergeCell ref="QDC5:QDD5"/>
    <mergeCell ref="QDE5:QDF5"/>
    <mergeCell ref="QDG5:QDH5"/>
    <mergeCell ref="QDI5:QDJ5"/>
    <mergeCell ref="QDK5:QDL5"/>
    <mergeCell ref="QDM5:QDN5"/>
    <mergeCell ref="QDO5:QDP5"/>
    <mergeCell ref="QDQ5:QDR5"/>
    <mergeCell ref="QDS5:QDT5"/>
    <mergeCell ref="QDU5:QDV5"/>
    <mergeCell ref="QDW5:QDX5"/>
    <mergeCell ref="QDY5:QDZ5"/>
    <mergeCell ref="QEA5:QEB5"/>
    <mergeCell ref="QEC5:QED5"/>
    <mergeCell ref="QEE5:QEF5"/>
    <mergeCell ref="QEG5:QEH5"/>
    <mergeCell ref="QEI5:QEJ5"/>
    <mergeCell ref="QEK5:QEL5"/>
    <mergeCell ref="QEM5:QEN5"/>
    <mergeCell ref="QEO5:QEP5"/>
    <mergeCell ref="QEQ5:QER5"/>
    <mergeCell ref="QES5:QET5"/>
    <mergeCell ref="QEU5:QEV5"/>
    <mergeCell ref="QEW5:QEX5"/>
    <mergeCell ref="QEY5:QEZ5"/>
    <mergeCell ref="QFA5:QFB5"/>
    <mergeCell ref="QFC5:QFD5"/>
    <mergeCell ref="QFE5:QFF5"/>
    <mergeCell ref="QFG5:QFH5"/>
    <mergeCell ref="QFI5:QFJ5"/>
    <mergeCell ref="QFK5:QFL5"/>
    <mergeCell ref="QFM5:QFN5"/>
    <mergeCell ref="QFO5:QFP5"/>
    <mergeCell ref="QFQ5:QFR5"/>
    <mergeCell ref="QFS5:QFT5"/>
    <mergeCell ref="QFU5:QFV5"/>
    <mergeCell ref="QFW5:QFX5"/>
    <mergeCell ref="QFY5:QFZ5"/>
    <mergeCell ref="QGA5:QGB5"/>
    <mergeCell ref="QGC5:QGD5"/>
    <mergeCell ref="QGE5:QGF5"/>
    <mergeCell ref="QGG5:QGH5"/>
    <mergeCell ref="QGI5:QGJ5"/>
    <mergeCell ref="QGK5:QGL5"/>
    <mergeCell ref="QGM5:QGN5"/>
    <mergeCell ref="QGO5:QGP5"/>
    <mergeCell ref="QGQ5:QGR5"/>
    <mergeCell ref="QGS5:QGT5"/>
    <mergeCell ref="QGU5:QGV5"/>
    <mergeCell ref="QGW5:QGX5"/>
    <mergeCell ref="QGY5:QGZ5"/>
    <mergeCell ref="QHA5:QHB5"/>
    <mergeCell ref="QHC5:QHD5"/>
    <mergeCell ref="QHE5:QHF5"/>
    <mergeCell ref="QHG5:QHH5"/>
    <mergeCell ref="QHI5:QHJ5"/>
    <mergeCell ref="QHK5:QHL5"/>
    <mergeCell ref="QHM5:QHN5"/>
    <mergeCell ref="QHO5:QHP5"/>
    <mergeCell ref="QHQ5:QHR5"/>
    <mergeCell ref="QHS5:QHT5"/>
    <mergeCell ref="QHU5:QHV5"/>
    <mergeCell ref="QHW5:QHX5"/>
    <mergeCell ref="QHY5:QHZ5"/>
    <mergeCell ref="QIA5:QIB5"/>
    <mergeCell ref="QIC5:QID5"/>
    <mergeCell ref="QIE5:QIF5"/>
    <mergeCell ref="QIG5:QIH5"/>
    <mergeCell ref="QII5:QIJ5"/>
    <mergeCell ref="QIK5:QIL5"/>
    <mergeCell ref="QIM5:QIN5"/>
    <mergeCell ref="QIO5:QIP5"/>
    <mergeCell ref="QIQ5:QIR5"/>
    <mergeCell ref="QIS5:QIT5"/>
    <mergeCell ref="QIU5:QIV5"/>
    <mergeCell ref="QIW5:QIX5"/>
    <mergeCell ref="QIY5:QIZ5"/>
    <mergeCell ref="QJA5:QJB5"/>
    <mergeCell ref="QJC5:QJD5"/>
    <mergeCell ref="QJE5:QJF5"/>
    <mergeCell ref="QJG5:QJH5"/>
    <mergeCell ref="QJI5:QJJ5"/>
    <mergeCell ref="QJK5:QJL5"/>
    <mergeCell ref="QJM5:QJN5"/>
    <mergeCell ref="QJO5:QJP5"/>
    <mergeCell ref="QJQ5:QJR5"/>
    <mergeCell ref="QJS5:QJT5"/>
    <mergeCell ref="QJU5:QJV5"/>
    <mergeCell ref="QJW5:QJX5"/>
    <mergeCell ref="QJY5:QJZ5"/>
    <mergeCell ref="QKA5:QKB5"/>
    <mergeCell ref="QKC5:QKD5"/>
    <mergeCell ref="QKE5:QKF5"/>
    <mergeCell ref="QKG5:QKH5"/>
    <mergeCell ref="QKI5:QKJ5"/>
    <mergeCell ref="QKK5:QKL5"/>
    <mergeCell ref="QKM5:QKN5"/>
    <mergeCell ref="QKO5:QKP5"/>
    <mergeCell ref="QKQ5:QKR5"/>
    <mergeCell ref="QKS5:QKT5"/>
    <mergeCell ref="QKU5:QKV5"/>
    <mergeCell ref="QKW5:QKX5"/>
    <mergeCell ref="QKY5:QKZ5"/>
    <mergeCell ref="QLA5:QLB5"/>
    <mergeCell ref="QLC5:QLD5"/>
    <mergeCell ref="QLE5:QLF5"/>
    <mergeCell ref="QLG5:QLH5"/>
    <mergeCell ref="QLI5:QLJ5"/>
    <mergeCell ref="QLK5:QLL5"/>
    <mergeCell ref="QLM5:QLN5"/>
    <mergeCell ref="QLO5:QLP5"/>
    <mergeCell ref="QLQ5:QLR5"/>
    <mergeCell ref="QLS5:QLT5"/>
    <mergeCell ref="QLU5:QLV5"/>
    <mergeCell ref="QLW5:QLX5"/>
    <mergeCell ref="QLY5:QLZ5"/>
    <mergeCell ref="QMA5:QMB5"/>
    <mergeCell ref="QMC5:QMD5"/>
    <mergeCell ref="QME5:QMF5"/>
    <mergeCell ref="QMG5:QMH5"/>
    <mergeCell ref="QMI5:QMJ5"/>
    <mergeCell ref="QMK5:QML5"/>
    <mergeCell ref="QMM5:QMN5"/>
    <mergeCell ref="QMO5:QMP5"/>
    <mergeCell ref="QMQ5:QMR5"/>
    <mergeCell ref="QMS5:QMT5"/>
    <mergeCell ref="QMU5:QMV5"/>
    <mergeCell ref="QMW5:QMX5"/>
    <mergeCell ref="QMY5:QMZ5"/>
    <mergeCell ref="QNA5:QNB5"/>
    <mergeCell ref="QNC5:QND5"/>
    <mergeCell ref="QNE5:QNF5"/>
    <mergeCell ref="QNG5:QNH5"/>
    <mergeCell ref="QNI5:QNJ5"/>
    <mergeCell ref="QNK5:QNL5"/>
    <mergeCell ref="QNM5:QNN5"/>
    <mergeCell ref="QNO5:QNP5"/>
    <mergeCell ref="QNQ5:QNR5"/>
    <mergeCell ref="QNS5:QNT5"/>
    <mergeCell ref="QNU5:QNV5"/>
    <mergeCell ref="QNW5:QNX5"/>
    <mergeCell ref="QNY5:QNZ5"/>
    <mergeCell ref="QOA5:QOB5"/>
    <mergeCell ref="QOC5:QOD5"/>
    <mergeCell ref="QOE5:QOF5"/>
    <mergeCell ref="QOG5:QOH5"/>
    <mergeCell ref="QOI5:QOJ5"/>
    <mergeCell ref="QOK5:QOL5"/>
    <mergeCell ref="QOM5:QON5"/>
    <mergeCell ref="QOO5:QOP5"/>
    <mergeCell ref="QOQ5:QOR5"/>
    <mergeCell ref="QOS5:QOT5"/>
    <mergeCell ref="QOU5:QOV5"/>
    <mergeCell ref="QOW5:QOX5"/>
    <mergeCell ref="QOY5:QOZ5"/>
    <mergeCell ref="QPA5:QPB5"/>
    <mergeCell ref="QPC5:QPD5"/>
    <mergeCell ref="QPE5:QPF5"/>
    <mergeCell ref="QPG5:QPH5"/>
    <mergeCell ref="QPI5:QPJ5"/>
    <mergeCell ref="QPK5:QPL5"/>
    <mergeCell ref="QPM5:QPN5"/>
    <mergeCell ref="QPO5:QPP5"/>
    <mergeCell ref="QPQ5:QPR5"/>
    <mergeCell ref="QPS5:QPT5"/>
    <mergeCell ref="QPU5:QPV5"/>
    <mergeCell ref="QPW5:QPX5"/>
    <mergeCell ref="QPY5:QPZ5"/>
    <mergeCell ref="QQA5:QQB5"/>
    <mergeCell ref="QQC5:QQD5"/>
    <mergeCell ref="QQE5:QQF5"/>
    <mergeCell ref="QQG5:QQH5"/>
    <mergeCell ref="QQI5:QQJ5"/>
    <mergeCell ref="QQK5:QQL5"/>
    <mergeCell ref="QQM5:QQN5"/>
    <mergeCell ref="QQO5:QQP5"/>
    <mergeCell ref="QQQ5:QQR5"/>
    <mergeCell ref="QQS5:QQT5"/>
    <mergeCell ref="QQU5:QQV5"/>
    <mergeCell ref="QQW5:QQX5"/>
    <mergeCell ref="QQY5:QQZ5"/>
    <mergeCell ref="QRA5:QRB5"/>
    <mergeCell ref="QRC5:QRD5"/>
    <mergeCell ref="QRE5:QRF5"/>
    <mergeCell ref="QRG5:QRH5"/>
    <mergeCell ref="QRI5:QRJ5"/>
    <mergeCell ref="QRK5:QRL5"/>
    <mergeCell ref="QRM5:QRN5"/>
    <mergeCell ref="QRO5:QRP5"/>
    <mergeCell ref="QRQ5:QRR5"/>
    <mergeCell ref="QRS5:QRT5"/>
    <mergeCell ref="QRU5:QRV5"/>
    <mergeCell ref="QRW5:QRX5"/>
    <mergeCell ref="QRY5:QRZ5"/>
    <mergeCell ref="QSA5:QSB5"/>
    <mergeCell ref="QSC5:QSD5"/>
    <mergeCell ref="QSE5:QSF5"/>
    <mergeCell ref="QSG5:QSH5"/>
    <mergeCell ref="QSI5:QSJ5"/>
    <mergeCell ref="QSK5:QSL5"/>
    <mergeCell ref="QSM5:QSN5"/>
    <mergeCell ref="QSO5:QSP5"/>
    <mergeCell ref="QSQ5:QSR5"/>
    <mergeCell ref="QSS5:QST5"/>
    <mergeCell ref="QSU5:QSV5"/>
    <mergeCell ref="QSW5:QSX5"/>
    <mergeCell ref="QSY5:QSZ5"/>
    <mergeCell ref="QTA5:QTB5"/>
    <mergeCell ref="QTC5:QTD5"/>
    <mergeCell ref="QTE5:QTF5"/>
    <mergeCell ref="QTG5:QTH5"/>
    <mergeCell ref="QTI5:QTJ5"/>
    <mergeCell ref="QTK5:QTL5"/>
    <mergeCell ref="QTM5:QTN5"/>
    <mergeCell ref="QTO5:QTP5"/>
    <mergeCell ref="QTQ5:QTR5"/>
    <mergeCell ref="QTS5:QTT5"/>
    <mergeCell ref="QTU5:QTV5"/>
    <mergeCell ref="QTW5:QTX5"/>
    <mergeCell ref="QTY5:QTZ5"/>
    <mergeCell ref="QUA5:QUB5"/>
    <mergeCell ref="QUC5:QUD5"/>
    <mergeCell ref="QUE5:QUF5"/>
    <mergeCell ref="QUG5:QUH5"/>
    <mergeCell ref="QUI5:QUJ5"/>
    <mergeCell ref="QUK5:QUL5"/>
    <mergeCell ref="QUM5:QUN5"/>
    <mergeCell ref="QUO5:QUP5"/>
    <mergeCell ref="QUQ5:QUR5"/>
    <mergeCell ref="QUS5:QUT5"/>
    <mergeCell ref="QUU5:QUV5"/>
    <mergeCell ref="QUW5:QUX5"/>
    <mergeCell ref="QUY5:QUZ5"/>
    <mergeCell ref="QVA5:QVB5"/>
    <mergeCell ref="QVC5:QVD5"/>
    <mergeCell ref="QVE5:QVF5"/>
    <mergeCell ref="QVG5:QVH5"/>
    <mergeCell ref="QVI5:QVJ5"/>
    <mergeCell ref="QVK5:QVL5"/>
    <mergeCell ref="QVM5:QVN5"/>
    <mergeCell ref="QVO5:QVP5"/>
    <mergeCell ref="QVQ5:QVR5"/>
    <mergeCell ref="QVS5:QVT5"/>
    <mergeCell ref="QVU5:QVV5"/>
    <mergeCell ref="QVW5:QVX5"/>
    <mergeCell ref="QVY5:QVZ5"/>
    <mergeCell ref="QWA5:QWB5"/>
    <mergeCell ref="QWC5:QWD5"/>
    <mergeCell ref="QWE5:QWF5"/>
    <mergeCell ref="QWG5:QWH5"/>
    <mergeCell ref="QWI5:QWJ5"/>
    <mergeCell ref="QWK5:QWL5"/>
    <mergeCell ref="QWM5:QWN5"/>
    <mergeCell ref="QWO5:QWP5"/>
    <mergeCell ref="QWQ5:QWR5"/>
    <mergeCell ref="QWS5:QWT5"/>
    <mergeCell ref="QWU5:QWV5"/>
    <mergeCell ref="QWW5:QWX5"/>
    <mergeCell ref="QWY5:QWZ5"/>
    <mergeCell ref="QXA5:QXB5"/>
    <mergeCell ref="QXC5:QXD5"/>
    <mergeCell ref="QXE5:QXF5"/>
    <mergeCell ref="QXG5:QXH5"/>
    <mergeCell ref="QXI5:QXJ5"/>
    <mergeCell ref="QXK5:QXL5"/>
    <mergeCell ref="QXM5:QXN5"/>
    <mergeCell ref="QXO5:QXP5"/>
    <mergeCell ref="QXQ5:QXR5"/>
    <mergeCell ref="QXS5:QXT5"/>
    <mergeCell ref="QXU5:QXV5"/>
    <mergeCell ref="QXW5:QXX5"/>
    <mergeCell ref="QXY5:QXZ5"/>
    <mergeCell ref="QYA5:QYB5"/>
    <mergeCell ref="QYC5:QYD5"/>
    <mergeCell ref="QYE5:QYF5"/>
    <mergeCell ref="QYG5:QYH5"/>
    <mergeCell ref="QYI5:QYJ5"/>
    <mergeCell ref="QYK5:QYL5"/>
    <mergeCell ref="QYM5:QYN5"/>
    <mergeCell ref="QYO5:QYP5"/>
    <mergeCell ref="QYQ5:QYR5"/>
    <mergeCell ref="QYS5:QYT5"/>
    <mergeCell ref="QYU5:QYV5"/>
    <mergeCell ref="QYW5:QYX5"/>
    <mergeCell ref="QYY5:QYZ5"/>
    <mergeCell ref="QZA5:QZB5"/>
    <mergeCell ref="QZC5:QZD5"/>
    <mergeCell ref="QZE5:QZF5"/>
    <mergeCell ref="QZG5:QZH5"/>
    <mergeCell ref="QZI5:QZJ5"/>
    <mergeCell ref="QZK5:QZL5"/>
    <mergeCell ref="QZM5:QZN5"/>
    <mergeCell ref="QZO5:QZP5"/>
    <mergeCell ref="QZQ5:QZR5"/>
    <mergeCell ref="QZS5:QZT5"/>
    <mergeCell ref="QZU5:QZV5"/>
    <mergeCell ref="QZW5:QZX5"/>
    <mergeCell ref="QZY5:QZZ5"/>
    <mergeCell ref="RAA5:RAB5"/>
    <mergeCell ref="RAC5:RAD5"/>
    <mergeCell ref="RAE5:RAF5"/>
    <mergeCell ref="RAG5:RAH5"/>
    <mergeCell ref="RAI5:RAJ5"/>
    <mergeCell ref="RAK5:RAL5"/>
    <mergeCell ref="RAM5:RAN5"/>
    <mergeCell ref="RAO5:RAP5"/>
    <mergeCell ref="RAQ5:RAR5"/>
    <mergeCell ref="RAS5:RAT5"/>
    <mergeCell ref="RAU5:RAV5"/>
    <mergeCell ref="RAW5:RAX5"/>
    <mergeCell ref="RAY5:RAZ5"/>
    <mergeCell ref="RBA5:RBB5"/>
    <mergeCell ref="RBC5:RBD5"/>
    <mergeCell ref="RBE5:RBF5"/>
    <mergeCell ref="RBG5:RBH5"/>
    <mergeCell ref="RBI5:RBJ5"/>
    <mergeCell ref="RBK5:RBL5"/>
    <mergeCell ref="RBM5:RBN5"/>
    <mergeCell ref="RBO5:RBP5"/>
    <mergeCell ref="RBQ5:RBR5"/>
    <mergeCell ref="RBS5:RBT5"/>
    <mergeCell ref="RBU5:RBV5"/>
    <mergeCell ref="RBW5:RBX5"/>
    <mergeCell ref="RBY5:RBZ5"/>
    <mergeCell ref="RCA5:RCB5"/>
    <mergeCell ref="RCC5:RCD5"/>
    <mergeCell ref="RCE5:RCF5"/>
    <mergeCell ref="RCG5:RCH5"/>
    <mergeCell ref="RCI5:RCJ5"/>
    <mergeCell ref="RCK5:RCL5"/>
    <mergeCell ref="RCM5:RCN5"/>
    <mergeCell ref="RCO5:RCP5"/>
    <mergeCell ref="RCQ5:RCR5"/>
    <mergeCell ref="RCS5:RCT5"/>
    <mergeCell ref="RCU5:RCV5"/>
    <mergeCell ref="RCW5:RCX5"/>
    <mergeCell ref="RCY5:RCZ5"/>
    <mergeCell ref="RDA5:RDB5"/>
    <mergeCell ref="RDC5:RDD5"/>
    <mergeCell ref="RDE5:RDF5"/>
    <mergeCell ref="RDG5:RDH5"/>
    <mergeCell ref="RDI5:RDJ5"/>
    <mergeCell ref="RDK5:RDL5"/>
    <mergeCell ref="RDM5:RDN5"/>
    <mergeCell ref="RDO5:RDP5"/>
    <mergeCell ref="RDQ5:RDR5"/>
    <mergeCell ref="RDS5:RDT5"/>
    <mergeCell ref="RDU5:RDV5"/>
    <mergeCell ref="RDW5:RDX5"/>
    <mergeCell ref="RDY5:RDZ5"/>
    <mergeCell ref="REA5:REB5"/>
    <mergeCell ref="REC5:RED5"/>
    <mergeCell ref="REE5:REF5"/>
    <mergeCell ref="REG5:REH5"/>
    <mergeCell ref="REI5:REJ5"/>
    <mergeCell ref="REK5:REL5"/>
    <mergeCell ref="REM5:REN5"/>
    <mergeCell ref="REO5:REP5"/>
    <mergeCell ref="REQ5:RER5"/>
    <mergeCell ref="RES5:RET5"/>
    <mergeCell ref="REU5:REV5"/>
    <mergeCell ref="REW5:REX5"/>
    <mergeCell ref="REY5:REZ5"/>
    <mergeCell ref="RFA5:RFB5"/>
    <mergeCell ref="RFC5:RFD5"/>
    <mergeCell ref="RFE5:RFF5"/>
    <mergeCell ref="RFG5:RFH5"/>
    <mergeCell ref="RFI5:RFJ5"/>
    <mergeCell ref="RFK5:RFL5"/>
    <mergeCell ref="RFM5:RFN5"/>
    <mergeCell ref="RFO5:RFP5"/>
    <mergeCell ref="RFQ5:RFR5"/>
    <mergeCell ref="RFS5:RFT5"/>
    <mergeCell ref="RFU5:RFV5"/>
    <mergeCell ref="RFW5:RFX5"/>
    <mergeCell ref="RFY5:RFZ5"/>
    <mergeCell ref="RGA5:RGB5"/>
    <mergeCell ref="RGC5:RGD5"/>
    <mergeCell ref="RGE5:RGF5"/>
    <mergeCell ref="RGG5:RGH5"/>
    <mergeCell ref="RGI5:RGJ5"/>
    <mergeCell ref="RGK5:RGL5"/>
    <mergeCell ref="RGM5:RGN5"/>
    <mergeCell ref="RGO5:RGP5"/>
    <mergeCell ref="RGQ5:RGR5"/>
    <mergeCell ref="RGS5:RGT5"/>
    <mergeCell ref="RGU5:RGV5"/>
    <mergeCell ref="RGW5:RGX5"/>
    <mergeCell ref="RGY5:RGZ5"/>
    <mergeCell ref="RHA5:RHB5"/>
    <mergeCell ref="RHC5:RHD5"/>
    <mergeCell ref="RHE5:RHF5"/>
    <mergeCell ref="RHG5:RHH5"/>
    <mergeCell ref="RHI5:RHJ5"/>
    <mergeCell ref="RHK5:RHL5"/>
    <mergeCell ref="RHM5:RHN5"/>
    <mergeCell ref="RHO5:RHP5"/>
    <mergeCell ref="RHQ5:RHR5"/>
    <mergeCell ref="RHS5:RHT5"/>
    <mergeCell ref="RHU5:RHV5"/>
    <mergeCell ref="RHW5:RHX5"/>
    <mergeCell ref="RHY5:RHZ5"/>
    <mergeCell ref="RIA5:RIB5"/>
    <mergeCell ref="RIC5:RID5"/>
    <mergeCell ref="RIE5:RIF5"/>
    <mergeCell ref="RIG5:RIH5"/>
    <mergeCell ref="RII5:RIJ5"/>
    <mergeCell ref="RIK5:RIL5"/>
    <mergeCell ref="RIM5:RIN5"/>
    <mergeCell ref="RIO5:RIP5"/>
    <mergeCell ref="RIQ5:RIR5"/>
    <mergeCell ref="RIS5:RIT5"/>
    <mergeCell ref="RIU5:RIV5"/>
    <mergeCell ref="RIW5:RIX5"/>
    <mergeCell ref="RIY5:RIZ5"/>
    <mergeCell ref="RJA5:RJB5"/>
    <mergeCell ref="RJC5:RJD5"/>
    <mergeCell ref="RJE5:RJF5"/>
    <mergeCell ref="RJG5:RJH5"/>
    <mergeCell ref="RJI5:RJJ5"/>
    <mergeCell ref="RJK5:RJL5"/>
    <mergeCell ref="RJM5:RJN5"/>
    <mergeCell ref="RJO5:RJP5"/>
    <mergeCell ref="RJQ5:RJR5"/>
    <mergeCell ref="RJS5:RJT5"/>
    <mergeCell ref="RJU5:RJV5"/>
    <mergeCell ref="RJW5:RJX5"/>
    <mergeCell ref="RJY5:RJZ5"/>
    <mergeCell ref="RKA5:RKB5"/>
    <mergeCell ref="RKC5:RKD5"/>
    <mergeCell ref="RKE5:RKF5"/>
    <mergeCell ref="RKG5:RKH5"/>
    <mergeCell ref="RKI5:RKJ5"/>
    <mergeCell ref="RKK5:RKL5"/>
    <mergeCell ref="RKM5:RKN5"/>
    <mergeCell ref="RKO5:RKP5"/>
    <mergeCell ref="RKQ5:RKR5"/>
    <mergeCell ref="RKS5:RKT5"/>
    <mergeCell ref="RKU5:RKV5"/>
    <mergeCell ref="RKW5:RKX5"/>
    <mergeCell ref="RKY5:RKZ5"/>
    <mergeCell ref="RLA5:RLB5"/>
    <mergeCell ref="RLC5:RLD5"/>
    <mergeCell ref="RLE5:RLF5"/>
    <mergeCell ref="RLG5:RLH5"/>
    <mergeCell ref="RLI5:RLJ5"/>
    <mergeCell ref="RLK5:RLL5"/>
    <mergeCell ref="RLM5:RLN5"/>
    <mergeCell ref="RLO5:RLP5"/>
    <mergeCell ref="RLQ5:RLR5"/>
    <mergeCell ref="RLS5:RLT5"/>
    <mergeCell ref="RLU5:RLV5"/>
    <mergeCell ref="RLW5:RLX5"/>
    <mergeCell ref="RLY5:RLZ5"/>
    <mergeCell ref="RMA5:RMB5"/>
    <mergeCell ref="RMC5:RMD5"/>
    <mergeCell ref="RME5:RMF5"/>
    <mergeCell ref="RMG5:RMH5"/>
    <mergeCell ref="RMI5:RMJ5"/>
    <mergeCell ref="RMK5:RML5"/>
    <mergeCell ref="RMM5:RMN5"/>
    <mergeCell ref="RMO5:RMP5"/>
    <mergeCell ref="RMQ5:RMR5"/>
    <mergeCell ref="RMS5:RMT5"/>
    <mergeCell ref="RMU5:RMV5"/>
    <mergeCell ref="RMW5:RMX5"/>
    <mergeCell ref="RMY5:RMZ5"/>
    <mergeCell ref="RNA5:RNB5"/>
    <mergeCell ref="RNC5:RND5"/>
    <mergeCell ref="RNE5:RNF5"/>
    <mergeCell ref="RNG5:RNH5"/>
    <mergeCell ref="RNI5:RNJ5"/>
    <mergeCell ref="RNK5:RNL5"/>
    <mergeCell ref="RNM5:RNN5"/>
    <mergeCell ref="RNO5:RNP5"/>
    <mergeCell ref="RNQ5:RNR5"/>
    <mergeCell ref="RNS5:RNT5"/>
    <mergeCell ref="RNU5:RNV5"/>
    <mergeCell ref="RNW5:RNX5"/>
    <mergeCell ref="RNY5:RNZ5"/>
    <mergeCell ref="ROA5:ROB5"/>
    <mergeCell ref="ROC5:ROD5"/>
    <mergeCell ref="ROE5:ROF5"/>
    <mergeCell ref="ROG5:ROH5"/>
    <mergeCell ref="ROI5:ROJ5"/>
    <mergeCell ref="ROK5:ROL5"/>
    <mergeCell ref="ROM5:RON5"/>
    <mergeCell ref="ROO5:ROP5"/>
    <mergeCell ref="ROQ5:ROR5"/>
    <mergeCell ref="ROS5:ROT5"/>
    <mergeCell ref="ROU5:ROV5"/>
    <mergeCell ref="ROW5:ROX5"/>
    <mergeCell ref="ROY5:ROZ5"/>
    <mergeCell ref="RPA5:RPB5"/>
    <mergeCell ref="RPC5:RPD5"/>
    <mergeCell ref="RPE5:RPF5"/>
    <mergeCell ref="RPG5:RPH5"/>
    <mergeCell ref="RPI5:RPJ5"/>
    <mergeCell ref="RPK5:RPL5"/>
    <mergeCell ref="RPM5:RPN5"/>
    <mergeCell ref="RPO5:RPP5"/>
    <mergeCell ref="RPQ5:RPR5"/>
    <mergeCell ref="RPS5:RPT5"/>
    <mergeCell ref="RPU5:RPV5"/>
    <mergeCell ref="RPW5:RPX5"/>
    <mergeCell ref="RPY5:RPZ5"/>
    <mergeCell ref="RQA5:RQB5"/>
    <mergeCell ref="RQC5:RQD5"/>
    <mergeCell ref="RQE5:RQF5"/>
    <mergeCell ref="RQG5:RQH5"/>
    <mergeCell ref="RQI5:RQJ5"/>
    <mergeCell ref="RQK5:RQL5"/>
    <mergeCell ref="RQM5:RQN5"/>
    <mergeCell ref="RQO5:RQP5"/>
    <mergeCell ref="RQQ5:RQR5"/>
    <mergeCell ref="RQS5:RQT5"/>
    <mergeCell ref="RQU5:RQV5"/>
    <mergeCell ref="RQW5:RQX5"/>
    <mergeCell ref="RQY5:RQZ5"/>
    <mergeCell ref="RRA5:RRB5"/>
    <mergeCell ref="RRC5:RRD5"/>
    <mergeCell ref="RRE5:RRF5"/>
    <mergeCell ref="RRG5:RRH5"/>
    <mergeCell ref="RRI5:RRJ5"/>
    <mergeCell ref="RRK5:RRL5"/>
    <mergeCell ref="RRM5:RRN5"/>
    <mergeCell ref="RRO5:RRP5"/>
    <mergeCell ref="RRQ5:RRR5"/>
    <mergeCell ref="RRS5:RRT5"/>
    <mergeCell ref="RRU5:RRV5"/>
    <mergeCell ref="RRW5:RRX5"/>
    <mergeCell ref="RRY5:RRZ5"/>
    <mergeCell ref="RSA5:RSB5"/>
    <mergeCell ref="RSC5:RSD5"/>
    <mergeCell ref="RSE5:RSF5"/>
    <mergeCell ref="RSG5:RSH5"/>
    <mergeCell ref="RSI5:RSJ5"/>
    <mergeCell ref="RSK5:RSL5"/>
    <mergeCell ref="RSM5:RSN5"/>
    <mergeCell ref="RSO5:RSP5"/>
    <mergeCell ref="RSQ5:RSR5"/>
    <mergeCell ref="RSS5:RST5"/>
    <mergeCell ref="RSU5:RSV5"/>
    <mergeCell ref="RSW5:RSX5"/>
    <mergeCell ref="RSY5:RSZ5"/>
    <mergeCell ref="RTA5:RTB5"/>
    <mergeCell ref="RTC5:RTD5"/>
    <mergeCell ref="RTE5:RTF5"/>
    <mergeCell ref="RTG5:RTH5"/>
    <mergeCell ref="RTI5:RTJ5"/>
    <mergeCell ref="RTK5:RTL5"/>
    <mergeCell ref="RTM5:RTN5"/>
    <mergeCell ref="RTO5:RTP5"/>
    <mergeCell ref="RTQ5:RTR5"/>
    <mergeCell ref="RTS5:RTT5"/>
    <mergeCell ref="RTU5:RTV5"/>
    <mergeCell ref="RTW5:RTX5"/>
    <mergeCell ref="RTY5:RTZ5"/>
    <mergeCell ref="RUA5:RUB5"/>
    <mergeCell ref="RUC5:RUD5"/>
    <mergeCell ref="RUE5:RUF5"/>
    <mergeCell ref="RUG5:RUH5"/>
    <mergeCell ref="RUI5:RUJ5"/>
    <mergeCell ref="RUK5:RUL5"/>
    <mergeCell ref="RUM5:RUN5"/>
    <mergeCell ref="RUO5:RUP5"/>
    <mergeCell ref="RUQ5:RUR5"/>
    <mergeCell ref="RUS5:RUT5"/>
    <mergeCell ref="RUU5:RUV5"/>
    <mergeCell ref="RUW5:RUX5"/>
    <mergeCell ref="RUY5:RUZ5"/>
    <mergeCell ref="RVA5:RVB5"/>
    <mergeCell ref="RVC5:RVD5"/>
    <mergeCell ref="RVE5:RVF5"/>
    <mergeCell ref="RVG5:RVH5"/>
    <mergeCell ref="RVI5:RVJ5"/>
    <mergeCell ref="RVK5:RVL5"/>
    <mergeCell ref="RVM5:RVN5"/>
    <mergeCell ref="RVO5:RVP5"/>
    <mergeCell ref="RVQ5:RVR5"/>
    <mergeCell ref="RVS5:RVT5"/>
    <mergeCell ref="RVU5:RVV5"/>
    <mergeCell ref="RVW5:RVX5"/>
    <mergeCell ref="RVY5:RVZ5"/>
    <mergeCell ref="RWA5:RWB5"/>
    <mergeCell ref="RWC5:RWD5"/>
    <mergeCell ref="RWE5:RWF5"/>
    <mergeCell ref="RWG5:RWH5"/>
    <mergeCell ref="RWI5:RWJ5"/>
    <mergeCell ref="RWK5:RWL5"/>
    <mergeCell ref="RWM5:RWN5"/>
    <mergeCell ref="RWO5:RWP5"/>
    <mergeCell ref="RWQ5:RWR5"/>
    <mergeCell ref="RWS5:RWT5"/>
    <mergeCell ref="RWU5:RWV5"/>
    <mergeCell ref="RWW5:RWX5"/>
    <mergeCell ref="RWY5:RWZ5"/>
    <mergeCell ref="RXA5:RXB5"/>
    <mergeCell ref="RXC5:RXD5"/>
    <mergeCell ref="RXE5:RXF5"/>
    <mergeCell ref="RXG5:RXH5"/>
    <mergeCell ref="RXI5:RXJ5"/>
    <mergeCell ref="RXK5:RXL5"/>
    <mergeCell ref="RXM5:RXN5"/>
    <mergeCell ref="RXO5:RXP5"/>
    <mergeCell ref="RXQ5:RXR5"/>
    <mergeCell ref="RXS5:RXT5"/>
    <mergeCell ref="RXU5:RXV5"/>
    <mergeCell ref="RXW5:RXX5"/>
    <mergeCell ref="RXY5:RXZ5"/>
    <mergeCell ref="RYA5:RYB5"/>
    <mergeCell ref="RYC5:RYD5"/>
    <mergeCell ref="RYE5:RYF5"/>
    <mergeCell ref="RYG5:RYH5"/>
    <mergeCell ref="RYI5:RYJ5"/>
    <mergeCell ref="RYK5:RYL5"/>
    <mergeCell ref="RYM5:RYN5"/>
    <mergeCell ref="RYO5:RYP5"/>
    <mergeCell ref="RYQ5:RYR5"/>
    <mergeCell ref="RYS5:RYT5"/>
    <mergeCell ref="RYU5:RYV5"/>
    <mergeCell ref="RYW5:RYX5"/>
    <mergeCell ref="RYY5:RYZ5"/>
    <mergeCell ref="RZA5:RZB5"/>
    <mergeCell ref="RZC5:RZD5"/>
    <mergeCell ref="RZE5:RZF5"/>
    <mergeCell ref="RZG5:RZH5"/>
    <mergeCell ref="RZI5:RZJ5"/>
    <mergeCell ref="RZK5:RZL5"/>
    <mergeCell ref="RZM5:RZN5"/>
    <mergeCell ref="RZO5:RZP5"/>
    <mergeCell ref="RZQ5:RZR5"/>
    <mergeCell ref="RZS5:RZT5"/>
    <mergeCell ref="RZU5:RZV5"/>
    <mergeCell ref="RZW5:RZX5"/>
    <mergeCell ref="RZY5:RZZ5"/>
    <mergeCell ref="SAA5:SAB5"/>
    <mergeCell ref="SAC5:SAD5"/>
    <mergeCell ref="SAE5:SAF5"/>
    <mergeCell ref="SAG5:SAH5"/>
    <mergeCell ref="SAI5:SAJ5"/>
    <mergeCell ref="SAK5:SAL5"/>
    <mergeCell ref="SAM5:SAN5"/>
    <mergeCell ref="SAO5:SAP5"/>
    <mergeCell ref="SAQ5:SAR5"/>
    <mergeCell ref="SAS5:SAT5"/>
    <mergeCell ref="SAU5:SAV5"/>
    <mergeCell ref="SAW5:SAX5"/>
    <mergeCell ref="SAY5:SAZ5"/>
    <mergeCell ref="SBA5:SBB5"/>
    <mergeCell ref="SBC5:SBD5"/>
    <mergeCell ref="SBE5:SBF5"/>
    <mergeCell ref="SBG5:SBH5"/>
    <mergeCell ref="SBI5:SBJ5"/>
    <mergeCell ref="SBK5:SBL5"/>
    <mergeCell ref="SBM5:SBN5"/>
    <mergeCell ref="SBO5:SBP5"/>
    <mergeCell ref="SBQ5:SBR5"/>
    <mergeCell ref="SBS5:SBT5"/>
    <mergeCell ref="SBU5:SBV5"/>
    <mergeCell ref="SBW5:SBX5"/>
    <mergeCell ref="SBY5:SBZ5"/>
    <mergeCell ref="SCA5:SCB5"/>
    <mergeCell ref="SCC5:SCD5"/>
    <mergeCell ref="SCE5:SCF5"/>
    <mergeCell ref="SCG5:SCH5"/>
    <mergeCell ref="SCI5:SCJ5"/>
    <mergeCell ref="SCK5:SCL5"/>
    <mergeCell ref="SCM5:SCN5"/>
    <mergeCell ref="SCO5:SCP5"/>
    <mergeCell ref="SCQ5:SCR5"/>
    <mergeCell ref="SCS5:SCT5"/>
    <mergeCell ref="SCU5:SCV5"/>
    <mergeCell ref="SCW5:SCX5"/>
    <mergeCell ref="SCY5:SCZ5"/>
    <mergeCell ref="SDA5:SDB5"/>
    <mergeCell ref="SDC5:SDD5"/>
    <mergeCell ref="SDE5:SDF5"/>
    <mergeCell ref="SDG5:SDH5"/>
    <mergeCell ref="SDI5:SDJ5"/>
    <mergeCell ref="SDK5:SDL5"/>
    <mergeCell ref="SDM5:SDN5"/>
    <mergeCell ref="SDO5:SDP5"/>
    <mergeCell ref="SDQ5:SDR5"/>
    <mergeCell ref="SDS5:SDT5"/>
    <mergeCell ref="SDU5:SDV5"/>
    <mergeCell ref="SDW5:SDX5"/>
    <mergeCell ref="SDY5:SDZ5"/>
    <mergeCell ref="SEA5:SEB5"/>
    <mergeCell ref="SEC5:SED5"/>
    <mergeCell ref="SEE5:SEF5"/>
    <mergeCell ref="SEG5:SEH5"/>
    <mergeCell ref="SEI5:SEJ5"/>
    <mergeCell ref="SEK5:SEL5"/>
    <mergeCell ref="SEM5:SEN5"/>
    <mergeCell ref="SEO5:SEP5"/>
    <mergeCell ref="SEQ5:SER5"/>
    <mergeCell ref="SES5:SET5"/>
    <mergeCell ref="SEU5:SEV5"/>
    <mergeCell ref="SEW5:SEX5"/>
    <mergeCell ref="SEY5:SEZ5"/>
    <mergeCell ref="SFA5:SFB5"/>
    <mergeCell ref="SFC5:SFD5"/>
    <mergeCell ref="SFE5:SFF5"/>
    <mergeCell ref="SFG5:SFH5"/>
    <mergeCell ref="SFI5:SFJ5"/>
    <mergeCell ref="SFK5:SFL5"/>
    <mergeCell ref="SFM5:SFN5"/>
    <mergeCell ref="SFO5:SFP5"/>
    <mergeCell ref="SFQ5:SFR5"/>
    <mergeCell ref="SFS5:SFT5"/>
    <mergeCell ref="SFU5:SFV5"/>
    <mergeCell ref="SFW5:SFX5"/>
    <mergeCell ref="SFY5:SFZ5"/>
    <mergeCell ref="SGA5:SGB5"/>
    <mergeCell ref="SGC5:SGD5"/>
    <mergeCell ref="SGE5:SGF5"/>
    <mergeCell ref="SGG5:SGH5"/>
    <mergeCell ref="SGI5:SGJ5"/>
    <mergeCell ref="SGK5:SGL5"/>
    <mergeCell ref="SGM5:SGN5"/>
    <mergeCell ref="SGO5:SGP5"/>
    <mergeCell ref="SGQ5:SGR5"/>
    <mergeCell ref="SGS5:SGT5"/>
    <mergeCell ref="SGU5:SGV5"/>
    <mergeCell ref="SGW5:SGX5"/>
    <mergeCell ref="SGY5:SGZ5"/>
    <mergeCell ref="SHA5:SHB5"/>
    <mergeCell ref="SHC5:SHD5"/>
    <mergeCell ref="SHE5:SHF5"/>
    <mergeCell ref="SHG5:SHH5"/>
    <mergeCell ref="SHI5:SHJ5"/>
    <mergeCell ref="SHK5:SHL5"/>
    <mergeCell ref="SHM5:SHN5"/>
    <mergeCell ref="SHO5:SHP5"/>
    <mergeCell ref="SHQ5:SHR5"/>
    <mergeCell ref="SHS5:SHT5"/>
    <mergeCell ref="SHU5:SHV5"/>
    <mergeCell ref="SHW5:SHX5"/>
    <mergeCell ref="SHY5:SHZ5"/>
    <mergeCell ref="SIA5:SIB5"/>
    <mergeCell ref="SIC5:SID5"/>
    <mergeCell ref="SIE5:SIF5"/>
    <mergeCell ref="SIG5:SIH5"/>
    <mergeCell ref="SII5:SIJ5"/>
    <mergeCell ref="SIK5:SIL5"/>
    <mergeCell ref="SIM5:SIN5"/>
    <mergeCell ref="SIO5:SIP5"/>
    <mergeCell ref="SIQ5:SIR5"/>
    <mergeCell ref="SIS5:SIT5"/>
    <mergeCell ref="SIU5:SIV5"/>
    <mergeCell ref="SIW5:SIX5"/>
    <mergeCell ref="SIY5:SIZ5"/>
    <mergeCell ref="SJA5:SJB5"/>
    <mergeCell ref="SJC5:SJD5"/>
    <mergeCell ref="SJE5:SJF5"/>
    <mergeCell ref="SJG5:SJH5"/>
    <mergeCell ref="SJI5:SJJ5"/>
    <mergeCell ref="SJK5:SJL5"/>
    <mergeCell ref="SJM5:SJN5"/>
    <mergeCell ref="SJO5:SJP5"/>
    <mergeCell ref="SJQ5:SJR5"/>
    <mergeCell ref="SJS5:SJT5"/>
    <mergeCell ref="SJU5:SJV5"/>
    <mergeCell ref="SJW5:SJX5"/>
    <mergeCell ref="SJY5:SJZ5"/>
    <mergeCell ref="SKA5:SKB5"/>
    <mergeCell ref="SKC5:SKD5"/>
    <mergeCell ref="SKE5:SKF5"/>
    <mergeCell ref="SKG5:SKH5"/>
    <mergeCell ref="SKI5:SKJ5"/>
    <mergeCell ref="SKK5:SKL5"/>
    <mergeCell ref="SKM5:SKN5"/>
    <mergeCell ref="SKO5:SKP5"/>
    <mergeCell ref="SKQ5:SKR5"/>
    <mergeCell ref="SKS5:SKT5"/>
    <mergeCell ref="SKU5:SKV5"/>
    <mergeCell ref="SKW5:SKX5"/>
    <mergeCell ref="SKY5:SKZ5"/>
    <mergeCell ref="SLA5:SLB5"/>
    <mergeCell ref="SLC5:SLD5"/>
    <mergeCell ref="SLE5:SLF5"/>
    <mergeCell ref="SLG5:SLH5"/>
    <mergeCell ref="SLI5:SLJ5"/>
    <mergeCell ref="SLK5:SLL5"/>
    <mergeCell ref="SLM5:SLN5"/>
    <mergeCell ref="SLO5:SLP5"/>
    <mergeCell ref="SLQ5:SLR5"/>
    <mergeCell ref="SLS5:SLT5"/>
    <mergeCell ref="SLU5:SLV5"/>
    <mergeCell ref="SLW5:SLX5"/>
    <mergeCell ref="SLY5:SLZ5"/>
    <mergeCell ref="SMA5:SMB5"/>
    <mergeCell ref="SMC5:SMD5"/>
    <mergeCell ref="SME5:SMF5"/>
    <mergeCell ref="SMG5:SMH5"/>
    <mergeCell ref="SMI5:SMJ5"/>
    <mergeCell ref="SMK5:SML5"/>
    <mergeCell ref="SMM5:SMN5"/>
    <mergeCell ref="SMO5:SMP5"/>
    <mergeCell ref="SMQ5:SMR5"/>
    <mergeCell ref="SMS5:SMT5"/>
    <mergeCell ref="SMU5:SMV5"/>
    <mergeCell ref="SMW5:SMX5"/>
    <mergeCell ref="SMY5:SMZ5"/>
    <mergeCell ref="SNA5:SNB5"/>
    <mergeCell ref="SNC5:SND5"/>
    <mergeCell ref="SNE5:SNF5"/>
    <mergeCell ref="SNG5:SNH5"/>
    <mergeCell ref="SNI5:SNJ5"/>
    <mergeCell ref="SNK5:SNL5"/>
    <mergeCell ref="SNM5:SNN5"/>
    <mergeCell ref="SNO5:SNP5"/>
    <mergeCell ref="SNQ5:SNR5"/>
    <mergeCell ref="SNS5:SNT5"/>
    <mergeCell ref="SNU5:SNV5"/>
    <mergeCell ref="SNW5:SNX5"/>
    <mergeCell ref="SNY5:SNZ5"/>
    <mergeCell ref="SOA5:SOB5"/>
    <mergeCell ref="SOC5:SOD5"/>
    <mergeCell ref="SOE5:SOF5"/>
    <mergeCell ref="SOG5:SOH5"/>
    <mergeCell ref="SOI5:SOJ5"/>
    <mergeCell ref="SOK5:SOL5"/>
    <mergeCell ref="SOM5:SON5"/>
    <mergeCell ref="SOO5:SOP5"/>
    <mergeCell ref="SOQ5:SOR5"/>
    <mergeCell ref="SOS5:SOT5"/>
    <mergeCell ref="SOU5:SOV5"/>
    <mergeCell ref="SOW5:SOX5"/>
    <mergeCell ref="SOY5:SOZ5"/>
    <mergeCell ref="SPA5:SPB5"/>
    <mergeCell ref="SPC5:SPD5"/>
    <mergeCell ref="SPE5:SPF5"/>
    <mergeCell ref="SPG5:SPH5"/>
    <mergeCell ref="SPI5:SPJ5"/>
    <mergeCell ref="SPK5:SPL5"/>
    <mergeCell ref="SPM5:SPN5"/>
    <mergeCell ref="SPO5:SPP5"/>
    <mergeCell ref="SPQ5:SPR5"/>
    <mergeCell ref="SPS5:SPT5"/>
    <mergeCell ref="SPU5:SPV5"/>
    <mergeCell ref="SPW5:SPX5"/>
    <mergeCell ref="SPY5:SPZ5"/>
    <mergeCell ref="SQA5:SQB5"/>
    <mergeCell ref="SQC5:SQD5"/>
    <mergeCell ref="SQE5:SQF5"/>
    <mergeCell ref="SQG5:SQH5"/>
    <mergeCell ref="SQI5:SQJ5"/>
    <mergeCell ref="SQK5:SQL5"/>
    <mergeCell ref="SQM5:SQN5"/>
    <mergeCell ref="SQO5:SQP5"/>
    <mergeCell ref="SQQ5:SQR5"/>
    <mergeCell ref="SQS5:SQT5"/>
    <mergeCell ref="SQU5:SQV5"/>
    <mergeCell ref="SQW5:SQX5"/>
    <mergeCell ref="SQY5:SQZ5"/>
    <mergeCell ref="SRA5:SRB5"/>
    <mergeCell ref="SRC5:SRD5"/>
    <mergeCell ref="SRE5:SRF5"/>
    <mergeCell ref="SRG5:SRH5"/>
    <mergeCell ref="SRI5:SRJ5"/>
    <mergeCell ref="SRK5:SRL5"/>
    <mergeCell ref="SRM5:SRN5"/>
    <mergeCell ref="SRO5:SRP5"/>
    <mergeCell ref="SRQ5:SRR5"/>
    <mergeCell ref="SRS5:SRT5"/>
    <mergeCell ref="SRU5:SRV5"/>
    <mergeCell ref="SRW5:SRX5"/>
    <mergeCell ref="SRY5:SRZ5"/>
    <mergeCell ref="SSA5:SSB5"/>
    <mergeCell ref="SSC5:SSD5"/>
    <mergeCell ref="SSE5:SSF5"/>
    <mergeCell ref="SSG5:SSH5"/>
    <mergeCell ref="SSI5:SSJ5"/>
    <mergeCell ref="SSK5:SSL5"/>
    <mergeCell ref="SSM5:SSN5"/>
    <mergeCell ref="SSO5:SSP5"/>
    <mergeCell ref="SSQ5:SSR5"/>
    <mergeCell ref="SSS5:SST5"/>
    <mergeCell ref="SSU5:SSV5"/>
    <mergeCell ref="SSW5:SSX5"/>
    <mergeCell ref="SSY5:SSZ5"/>
    <mergeCell ref="STA5:STB5"/>
    <mergeCell ref="STC5:STD5"/>
    <mergeCell ref="STE5:STF5"/>
    <mergeCell ref="STG5:STH5"/>
    <mergeCell ref="STI5:STJ5"/>
    <mergeCell ref="STK5:STL5"/>
    <mergeCell ref="STM5:STN5"/>
    <mergeCell ref="STO5:STP5"/>
    <mergeCell ref="STQ5:STR5"/>
    <mergeCell ref="STS5:STT5"/>
    <mergeCell ref="STU5:STV5"/>
    <mergeCell ref="STW5:STX5"/>
    <mergeCell ref="STY5:STZ5"/>
    <mergeCell ref="SUA5:SUB5"/>
    <mergeCell ref="SUC5:SUD5"/>
    <mergeCell ref="SUE5:SUF5"/>
    <mergeCell ref="SUG5:SUH5"/>
    <mergeCell ref="SUI5:SUJ5"/>
    <mergeCell ref="SUK5:SUL5"/>
    <mergeCell ref="SUM5:SUN5"/>
    <mergeCell ref="SUO5:SUP5"/>
    <mergeCell ref="SUQ5:SUR5"/>
    <mergeCell ref="SUS5:SUT5"/>
    <mergeCell ref="SUU5:SUV5"/>
    <mergeCell ref="SUW5:SUX5"/>
    <mergeCell ref="SUY5:SUZ5"/>
    <mergeCell ref="SVA5:SVB5"/>
    <mergeCell ref="SVC5:SVD5"/>
    <mergeCell ref="SVE5:SVF5"/>
    <mergeCell ref="SVG5:SVH5"/>
    <mergeCell ref="SVI5:SVJ5"/>
    <mergeCell ref="SVK5:SVL5"/>
    <mergeCell ref="SVM5:SVN5"/>
    <mergeCell ref="SVO5:SVP5"/>
    <mergeCell ref="SVQ5:SVR5"/>
    <mergeCell ref="SVS5:SVT5"/>
    <mergeCell ref="SVU5:SVV5"/>
    <mergeCell ref="SVW5:SVX5"/>
    <mergeCell ref="SVY5:SVZ5"/>
    <mergeCell ref="SWA5:SWB5"/>
    <mergeCell ref="SWC5:SWD5"/>
    <mergeCell ref="SWE5:SWF5"/>
    <mergeCell ref="SWG5:SWH5"/>
    <mergeCell ref="SWI5:SWJ5"/>
    <mergeCell ref="SWK5:SWL5"/>
    <mergeCell ref="SWM5:SWN5"/>
    <mergeCell ref="SWO5:SWP5"/>
    <mergeCell ref="SWQ5:SWR5"/>
    <mergeCell ref="SWS5:SWT5"/>
    <mergeCell ref="SWU5:SWV5"/>
    <mergeCell ref="SWW5:SWX5"/>
    <mergeCell ref="SWY5:SWZ5"/>
    <mergeCell ref="SXA5:SXB5"/>
    <mergeCell ref="SXC5:SXD5"/>
    <mergeCell ref="SXE5:SXF5"/>
    <mergeCell ref="SXG5:SXH5"/>
    <mergeCell ref="SXI5:SXJ5"/>
    <mergeCell ref="SXK5:SXL5"/>
    <mergeCell ref="SXM5:SXN5"/>
    <mergeCell ref="SXO5:SXP5"/>
    <mergeCell ref="SXQ5:SXR5"/>
    <mergeCell ref="SXS5:SXT5"/>
    <mergeCell ref="SXU5:SXV5"/>
    <mergeCell ref="SXW5:SXX5"/>
    <mergeCell ref="SXY5:SXZ5"/>
    <mergeCell ref="SYA5:SYB5"/>
    <mergeCell ref="SYC5:SYD5"/>
    <mergeCell ref="SYE5:SYF5"/>
    <mergeCell ref="SYG5:SYH5"/>
    <mergeCell ref="SYI5:SYJ5"/>
    <mergeCell ref="SYK5:SYL5"/>
    <mergeCell ref="SYM5:SYN5"/>
    <mergeCell ref="SYO5:SYP5"/>
    <mergeCell ref="SYQ5:SYR5"/>
    <mergeCell ref="SYS5:SYT5"/>
    <mergeCell ref="SYU5:SYV5"/>
    <mergeCell ref="SYW5:SYX5"/>
    <mergeCell ref="SYY5:SYZ5"/>
    <mergeCell ref="SZA5:SZB5"/>
    <mergeCell ref="SZC5:SZD5"/>
    <mergeCell ref="SZE5:SZF5"/>
    <mergeCell ref="SZG5:SZH5"/>
    <mergeCell ref="SZI5:SZJ5"/>
    <mergeCell ref="SZK5:SZL5"/>
    <mergeCell ref="SZM5:SZN5"/>
    <mergeCell ref="SZO5:SZP5"/>
    <mergeCell ref="SZQ5:SZR5"/>
    <mergeCell ref="SZS5:SZT5"/>
    <mergeCell ref="SZU5:SZV5"/>
    <mergeCell ref="SZW5:SZX5"/>
    <mergeCell ref="SZY5:SZZ5"/>
    <mergeCell ref="TAA5:TAB5"/>
    <mergeCell ref="TAC5:TAD5"/>
    <mergeCell ref="TAE5:TAF5"/>
    <mergeCell ref="TAG5:TAH5"/>
    <mergeCell ref="TAI5:TAJ5"/>
    <mergeCell ref="TAK5:TAL5"/>
    <mergeCell ref="TAM5:TAN5"/>
    <mergeCell ref="TAO5:TAP5"/>
    <mergeCell ref="TAQ5:TAR5"/>
    <mergeCell ref="TAS5:TAT5"/>
    <mergeCell ref="TAU5:TAV5"/>
    <mergeCell ref="TAW5:TAX5"/>
    <mergeCell ref="TAY5:TAZ5"/>
    <mergeCell ref="TBA5:TBB5"/>
    <mergeCell ref="TBC5:TBD5"/>
    <mergeCell ref="TBE5:TBF5"/>
    <mergeCell ref="TBG5:TBH5"/>
    <mergeCell ref="TBI5:TBJ5"/>
    <mergeCell ref="TBK5:TBL5"/>
    <mergeCell ref="TBM5:TBN5"/>
    <mergeCell ref="TBO5:TBP5"/>
    <mergeCell ref="TBQ5:TBR5"/>
    <mergeCell ref="TBS5:TBT5"/>
    <mergeCell ref="TBU5:TBV5"/>
    <mergeCell ref="TBW5:TBX5"/>
    <mergeCell ref="TBY5:TBZ5"/>
    <mergeCell ref="TCA5:TCB5"/>
    <mergeCell ref="TCC5:TCD5"/>
    <mergeCell ref="TCE5:TCF5"/>
    <mergeCell ref="TCG5:TCH5"/>
    <mergeCell ref="TCI5:TCJ5"/>
    <mergeCell ref="TCK5:TCL5"/>
    <mergeCell ref="TCM5:TCN5"/>
    <mergeCell ref="TCO5:TCP5"/>
    <mergeCell ref="TCQ5:TCR5"/>
    <mergeCell ref="TCS5:TCT5"/>
    <mergeCell ref="TCU5:TCV5"/>
    <mergeCell ref="TCW5:TCX5"/>
    <mergeCell ref="TCY5:TCZ5"/>
    <mergeCell ref="TDA5:TDB5"/>
    <mergeCell ref="TDC5:TDD5"/>
    <mergeCell ref="TDE5:TDF5"/>
    <mergeCell ref="TDG5:TDH5"/>
    <mergeCell ref="TDI5:TDJ5"/>
    <mergeCell ref="TDK5:TDL5"/>
    <mergeCell ref="TDM5:TDN5"/>
    <mergeCell ref="TDO5:TDP5"/>
    <mergeCell ref="TDQ5:TDR5"/>
    <mergeCell ref="TDS5:TDT5"/>
    <mergeCell ref="TDU5:TDV5"/>
    <mergeCell ref="TDW5:TDX5"/>
    <mergeCell ref="TDY5:TDZ5"/>
    <mergeCell ref="TEA5:TEB5"/>
    <mergeCell ref="TEC5:TED5"/>
    <mergeCell ref="TEE5:TEF5"/>
    <mergeCell ref="TEG5:TEH5"/>
    <mergeCell ref="TEI5:TEJ5"/>
    <mergeCell ref="TEK5:TEL5"/>
    <mergeCell ref="TEM5:TEN5"/>
    <mergeCell ref="TEO5:TEP5"/>
    <mergeCell ref="TEQ5:TER5"/>
    <mergeCell ref="TES5:TET5"/>
    <mergeCell ref="TEU5:TEV5"/>
    <mergeCell ref="TEW5:TEX5"/>
    <mergeCell ref="TEY5:TEZ5"/>
    <mergeCell ref="TFA5:TFB5"/>
    <mergeCell ref="TFC5:TFD5"/>
    <mergeCell ref="TFE5:TFF5"/>
    <mergeCell ref="TFG5:TFH5"/>
    <mergeCell ref="TFI5:TFJ5"/>
    <mergeCell ref="TFK5:TFL5"/>
    <mergeCell ref="TFM5:TFN5"/>
    <mergeCell ref="TFO5:TFP5"/>
    <mergeCell ref="TFQ5:TFR5"/>
    <mergeCell ref="TFS5:TFT5"/>
    <mergeCell ref="TFU5:TFV5"/>
    <mergeCell ref="TFW5:TFX5"/>
    <mergeCell ref="TFY5:TFZ5"/>
    <mergeCell ref="TGA5:TGB5"/>
    <mergeCell ref="TGC5:TGD5"/>
    <mergeCell ref="TGE5:TGF5"/>
    <mergeCell ref="TGG5:TGH5"/>
    <mergeCell ref="TGI5:TGJ5"/>
    <mergeCell ref="TGK5:TGL5"/>
    <mergeCell ref="TGM5:TGN5"/>
    <mergeCell ref="TGO5:TGP5"/>
    <mergeCell ref="TGQ5:TGR5"/>
    <mergeCell ref="TGS5:TGT5"/>
    <mergeCell ref="TGU5:TGV5"/>
    <mergeCell ref="TGW5:TGX5"/>
    <mergeCell ref="TGY5:TGZ5"/>
    <mergeCell ref="THA5:THB5"/>
    <mergeCell ref="THC5:THD5"/>
    <mergeCell ref="THE5:THF5"/>
    <mergeCell ref="THG5:THH5"/>
    <mergeCell ref="THI5:THJ5"/>
    <mergeCell ref="THK5:THL5"/>
    <mergeCell ref="THM5:THN5"/>
    <mergeCell ref="THO5:THP5"/>
    <mergeCell ref="THQ5:THR5"/>
    <mergeCell ref="THS5:THT5"/>
    <mergeCell ref="THU5:THV5"/>
    <mergeCell ref="THW5:THX5"/>
    <mergeCell ref="THY5:THZ5"/>
    <mergeCell ref="TIA5:TIB5"/>
    <mergeCell ref="TIC5:TID5"/>
    <mergeCell ref="TIE5:TIF5"/>
    <mergeCell ref="TIG5:TIH5"/>
    <mergeCell ref="TII5:TIJ5"/>
    <mergeCell ref="TIK5:TIL5"/>
    <mergeCell ref="TIM5:TIN5"/>
    <mergeCell ref="TIO5:TIP5"/>
    <mergeCell ref="TIQ5:TIR5"/>
    <mergeCell ref="TIS5:TIT5"/>
    <mergeCell ref="TIU5:TIV5"/>
    <mergeCell ref="TIW5:TIX5"/>
    <mergeCell ref="TIY5:TIZ5"/>
    <mergeCell ref="TJA5:TJB5"/>
    <mergeCell ref="TJC5:TJD5"/>
    <mergeCell ref="TJE5:TJF5"/>
    <mergeCell ref="TJG5:TJH5"/>
    <mergeCell ref="TJI5:TJJ5"/>
    <mergeCell ref="TJK5:TJL5"/>
    <mergeCell ref="TJM5:TJN5"/>
    <mergeCell ref="TJO5:TJP5"/>
    <mergeCell ref="TJQ5:TJR5"/>
    <mergeCell ref="TJS5:TJT5"/>
    <mergeCell ref="TJU5:TJV5"/>
    <mergeCell ref="TJW5:TJX5"/>
    <mergeCell ref="TJY5:TJZ5"/>
    <mergeCell ref="TKA5:TKB5"/>
    <mergeCell ref="TKC5:TKD5"/>
    <mergeCell ref="TKE5:TKF5"/>
    <mergeCell ref="TKG5:TKH5"/>
    <mergeCell ref="TKI5:TKJ5"/>
    <mergeCell ref="TKK5:TKL5"/>
    <mergeCell ref="TKM5:TKN5"/>
    <mergeCell ref="TKO5:TKP5"/>
    <mergeCell ref="TKQ5:TKR5"/>
    <mergeCell ref="TKS5:TKT5"/>
    <mergeCell ref="TKU5:TKV5"/>
    <mergeCell ref="TKW5:TKX5"/>
    <mergeCell ref="TKY5:TKZ5"/>
    <mergeCell ref="TLA5:TLB5"/>
    <mergeCell ref="TLC5:TLD5"/>
    <mergeCell ref="TLE5:TLF5"/>
    <mergeCell ref="TLG5:TLH5"/>
    <mergeCell ref="TLI5:TLJ5"/>
    <mergeCell ref="TLK5:TLL5"/>
    <mergeCell ref="TLM5:TLN5"/>
    <mergeCell ref="TLO5:TLP5"/>
    <mergeCell ref="TLQ5:TLR5"/>
    <mergeCell ref="TLS5:TLT5"/>
    <mergeCell ref="TLU5:TLV5"/>
    <mergeCell ref="TLW5:TLX5"/>
    <mergeCell ref="TLY5:TLZ5"/>
    <mergeCell ref="TMA5:TMB5"/>
    <mergeCell ref="TMC5:TMD5"/>
    <mergeCell ref="TME5:TMF5"/>
    <mergeCell ref="TMG5:TMH5"/>
    <mergeCell ref="TMI5:TMJ5"/>
    <mergeCell ref="TMK5:TML5"/>
    <mergeCell ref="TMM5:TMN5"/>
    <mergeCell ref="TMO5:TMP5"/>
    <mergeCell ref="TMQ5:TMR5"/>
    <mergeCell ref="TMS5:TMT5"/>
    <mergeCell ref="TMU5:TMV5"/>
    <mergeCell ref="TMW5:TMX5"/>
    <mergeCell ref="TMY5:TMZ5"/>
    <mergeCell ref="TNA5:TNB5"/>
    <mergeCell ref="TNC5:TND5"/>
    <mergeCell ref="TNE5:TNF5"/>
    <mergeCell ref="TNG5:TNH5"/>
    <mergeCell ref="TNI5:TNJ5"/>
    <mergeCell ref="TNK5:TNL5"/>
    <mergeCell ref="TNM5:TNN5"/>
    <mergeCell ref="TNO5:TNP5"/>
    <mergeCell ref="TNQ5:TNR5"/>
    <mergeCell ref="TNS5:TNT5"/>
    <mergeCell ref="TNU5:TNV5"/>
    <mergeCell ref="TNW5:TNX5"/>
    <mergeCell ref="TNY5:TNZ5"/>
    <mergeCell ref="TOA5:TOB5"/>
    <mergeCell ref="TOC5:TOD5"/>
    <mergeCell ref="TOE5:TOF5"/>
    <mergeCell ref="TOG5:TOH5"/>
    <mergeCell ref="TOI5:TOJ5"/>
    <mergeCell ref="TOK5:TOL5"/>
    <mergeCell ref="TOM5:TON5"/>
    <mergeCell ref="TOO5:TOP5"/>
    <mergeCell ref="TOQ5:TOR5"/>
    <mergeCell ref="TOS5:TOT5"/>
    <mergeCell ref="TOU5:TOV5"/>
    <mergeCell ref="TOW5:TOX5"/>
    <mergeCell ref="TOY5:TOZ5"/>
    <mergeCell ref="TPA5:TPB5"/>
    <mergeCell ref="TPC5:TPD5"/>
    <mergeCell ref="TPE5:TPF5"/>
    <mergeCell ref="TPG5:TPH5"/>
    <mergeCell ref="TPI5:TPJ5"/>
    <mergeCell ref="TPK5:TPL5"/>
    <mergeCell ref="TPM5:TPN5"/>
    <mergeCell ref="TPO5:TPP5"/>
    <mergeCell ref="TPQ5:TPR5"/>
    <mergeCell ref="TPS5:TPT5"/>
    <mergeCell ref="TPU5:TPV5"/>
    <mergeCell ref="TPW5:TPX5"/>
    <mergeCell ref="TPY5:TPZ5"/>
    <mergeCell ref="TQA5:TQB5"/>
    <mergeCell ref="TQC5:TQD5"/>
    <mergeCell ref="TQE5:TQF5"/>
    <mergeCell ref="TQG5:TQH5"/>
    <mergeCell ref="TQI5:TQJ5"/>
    <mergeCell ref="TQK5:TQL5"/>
    <mergeCell ref="TQM5:TQN5"/>
    <mergeCell ref="TQO5:TQP5"/>
    <mergeCell ref="TQQ5:TQR5"/>
    <mergeCell ref="TQS5:TQT5"/>
    <mergeCell ref="TQU5:TQV5"/>
    <mergeCell ref="TQW5:TQX5"/>
    <mergeCell ref="TQY5:TQZ5"/>
    <mergeCell ref="TRA5:TRB5"/>
    <mergeCell ref="TRC5:TRD5"/>
    <mergeCell ref="TRE5:TRF5"/>
    <mergeCell ref="TRG5:TRH5"/>
    <mergeCell ref="TRI5:TRJ5"/>
    <mergeCell ref="TRK5:TRL5"/>
    <mergeCell ref="TRM5:TRN5"/>
    <mergeCell ref="TRO5:TRP5"/>
    <mergeCell ref="TRQ5:TRR5"/>
    <mergeCell ref="TRS5:TRT5"/>
    <mergeCell ref="TRU5:TRV5"/>
    <mergeCell ref="TRW5:TRX5"/>
    <mergeCell ref="TRY5:TRZ5"/>
    <mergeCell ref="TSA5:TSB5"/>
    <mergeCell ref="TSC5:TSD5"/>
    <mergeCell ref="TSE5:TSF5"/>
    <mergeCell ref="TSG5:TSH5"/>
    <mergeCell ref="TSI5:TSJ5"/>
    <mergeCell ref="TSK5:TSL5"/>
    <mergeCell ref="TSM5:TSN5"/>
    <mergeCell ref="TSO5:TSP5"/>
    <mergeCell ref="TSQ5:TSR5"/>
    <mergeCell ref="TSS5:TST5"/>
    <mergeCell ref="TSU5:TSV5"/>
    <mergeCell ref="TSW5:TSX5"/>
    <mergeCell ref="TSY5:TSZ5"/>
    <mergeCell ref="TTA5:TTB5"/>
    <mergeCell ref="TTC5:TTD5"/>
    <mergeCell ref="TTE5:TTF5"/>
    <mergeCell ref="TTG5:TTH5"/>
    <mergeCell ref="TTI5:TTJ5"/>
    <mergeCell ref="TTK5:TTL5"/>
    <mergeCell ref="TTM5:TTN5"/>
    <mergeCell ref="TTO5:TTP5"/>
    <mergeCell ref="TTQ5:TTR5"/>
    <mergeCell ref="TTS5:TTT5"/>
    <mergeCell ref="TTU5:TTV5"/>
    <mergeCell ref="TTW5:TTX5"/>
    <mergeCell ref="TTY5:TTZ5"/>
    <mergeCell ref="TUA5:TUB5"/>
    <mergeCell ref="TUC5:TUD5"/>
    <mergeCell ref="TUE5:TUF5"/>
    <mergeCell ref="TUG5:TUH5"/>
    <mergeCell ref="TUI5:TUJ5"/>
    <mergeCell ref="TUK5:TUL5"/>
    <mergeCell ref="TUM5:TUN5"/>
    <mergeCell ref="TUO5:TUP5"/>
    <mergeCell ref="TUQ5:TUR5"/>
    <mergeCell ref="TUS5:TUT5"/>
    <mergeCell ref="TUU5:TUV5"/>
    <mergeCell ref="TUW5:TUX5"/>
    <mergeCell ref="TUY5:TUZ5"/>
    <mergeCell ref="TVA5:TVB5"/>
    <mergeCell ref="TVC5:TVD5"/>
    <mergeCell ref="TVE5:TVF5"/>
    <mergeCell ref="TVG5:TVH5"/>
    <mergeCell ref="TVI5:TVJ5"/>
    <mergeCell ref="TVK5:TVL5"/>
    <mergeCell ref="TVM5:TVN5"/>
    <mergeCell ref="TVO5:TVP5"/>
    <mergeCell ref="TVQ5:TVR5"/>
    <mergeCell ref="TVS5:TVT5"/>
    <mergeCell ref="TVU5:TVV5"/>
    <mergeCell ref="TVW5:TVX5"/>
    <mergeCell ref="TVY5:TVZ5"/>
    <mergeCell ref="TWA5:TWB5"/>
    <mergeCell ref="TWC5:TWD5"/>
    <mergeCell ref="TWE5:TWF5"/>
    <mergeCell ref="TWG5:TWH5"/>
    <mergeCell ref="TWI5:TWJ5"/>
    <mergeCell ref="TWK5:TWL5"/>
    <mergeCell ref="TWM5:TWN5"/>
    <mergeCell ref="TWO5:TWP5"/>
    <mergeCell ref="TWQ5:TWR5"/>
    <mergeCell ref="TWS5:TWT5"/>
    <mergeCell ref="TWU5:TWV5"/>
    <mergeCell ref="TWW5:TWX5"/>
    <mergeCell ref="TWY5:TWZ5"/>
    <mergeCell ref="TXA5:TXB5"/>
    <mergeCell ref="TXC5:TXD5"/>
    <mergeCell ref="TXE5:TXF5"/>
    <mergeCell ref="TXG5:TXH5"/>
    <mergeCell ref="TXI5:TXJ5"/>
    <mergeCell ref="TXK5:TXL5"/>
    <mergeCell ref="TXM5:TXN5"/>
    <mergeCell ref="TXO5:TXP5"/>
    <mergeCell ref="TXQ5:TXR5"/>
    <mergeCell ref="TXS5:TXT5"/>
    <mergeCell ref="TXU5:TXV5"/>
    <mergeCell ref="TXW5:TXX5"/>
    <mergeCell ref="TXY5:TXZ5"/>
    <mergeCell ref="TYA5:TYB5"/>
    <mergeCell ref="TYC5:TYD5"/>
    <mergeCell ref="TYE5:TYF5"/>
    <mergeCell ref="TYG5:TYH5"/>
    <mergeCell ref="TYI5:TYJ5"/>
    <mergeCell ref="TYK5:TYL5"/>
    <mergeCell ref="TYM5:TYN5"/>
    <mergeCell ref="TYO5:TYP5"/>
    <mergeCell ref="TYQ5:TYR5"/>
    <mergeCell ref="TYS5:TYT5"/>
    <mergeCell ref="TYU5:TYV5"/>
    <mergeCell ref="TYW5:TYX5"/>
    <mergeCell ref="TYY5:TYZ5"/>
    <mergeCell ref="TZA5:TZB5"/>
    <mergeCell ref="TZC5:TZD5"/>
    <mergeCell ref="TZE5:TZF5"/>
    <mergeCell ref="TZG5:TZH5"/>
    <mergeCell ref="TZI5:TZJ5"/>
    <mergeCell ref="TZK5:TZL5"/>
    <mergeCell ref="TZM5:TZN5"/>
    <mergeCell ref="TZO5:TZP5"/>
    <mergeCell ref="TZQ5:TZR5"/>
    <mergeCell ref="TZS5:TZT5"/>
    <mergeCell ref="TZU5:TZV5"/>
    <mergeCell ref="TZW5:TZX5"/>
    <mergeCell ref="TZY5:TZZ5"/>
    <mergeCell ref="UAA5:UAB5"/>
    <mergeCell ref="UAC5:UAD5"/>
    <mergeCell ref="UAE5:UAF5"/>
    <mergeCell ref="UAG5:UAH5"/>
    <mergeCell ref="UAI5:UAJ5"/>
    <mergeCell ref="UAK5:UAL5"/>
    <mergeCell ref="UAM5:UAN5"/>
    <mergeCell ref="UAO5:UAP5"/>
    <mergeCell ref="UAQ5:UAR5"/>
    <mergeCell ref="UAS5:UAT5"/>
    <mergeCell ref="UAU5:UAV5"/>
    <mergeCell ref="UAW5:UAX5"/>
    <mergeCell ref="UAY5:UAZ5"/>
    <mergeCell ref="UBA5:UBB5"/>
    <mergeCell ref="UBC5:UBD5"/>
    <mergeCell ref="UBE5:UBF5"/>
    <mergeCell ref="UBG5:UBH5"/>
    <mergeCell ref="UBI5:UBJ5"/>
    <mergeCell ref="UBK5:UBL5"/>
    <mergeCell ref="UBM5:UBN5"/>
    <mergeCell ref="UBO5:UBP5"/>
    <mergeCell ref="UBQ5:UBR5"/>
    <mergeCell ref="UBS5:UBT5"/>
    <mergeCell ref="UBU5:UBV5"/>
    <mergeCell ref="UBW5:UBX5"/>
    <mergeCell ref="UBY5:UBZ5"/>
    <mergeCell ref="UCA5:UCB5"/>
    <mergeCell ref="UCC5:UCD5"/>
    <mergeCell ref="UCE5:UCF5"/>
    <mergeCell ref="UCG5:UCH5"/>
    <mergeCell ref="UCI5:UCJ5"/>
    <mergeCell ref="UCK5:UCL5"/>
    <mergeCell ref="UCM5:UCN5"/>
    <mergeCell ref="UCO5:UCP5"/>
    <mergeCell ref="UCQ5:UCR5"/>
    <mergeCell ref="UCS5:UCT5"/>
    <mergeCell ref="UCU5:UCV5"/>
    <mergeCell ref="UCW5:UCX5"/>
    <mergeCell ref="UCY5:UCZ5"/>
    <mergeCell ref="UDA5:UDB5"/>
    <mergeCell ref="UDC5:UDD5"/>
    <mergeCell ref="UDE5:UDF5"/>
    <mergeCell ref="UDG5:UDH5"/>
    <mergeCell ref="UDI5:UDJ5"/>
    <mergeCell ref="UDK5:UDL5"/>
    <mergeCell ref="UDM5:UDN5"/>
    <mergeCell ref="UDO5:UDP5"/>
    <mergeCell ref="UDQ5:UDR5"/>
    <mergeCell ref="UDS5:UDT5"/>
    <mergeCell ref="UDU5:UDV5"/>
    <mergeCell ref="UDW5:UDX5"/>
    <mergeCell ref="UDY5:UDZ5"/>
    <mergeCell ref="UEA5:UEB5"/>
    <mergeCell ref="UEC5:UED5"/>
    <mergeCell ref="UEE5:UEF5"/>
    <mergeCell ref="UEG5:UEH5"/>
    <mergeCell ref="UEI5:UEJ5"/>
    <mergeCell ref="UEK5:UEL5"/>
    <mergeCell ref="UEM5:UEN5"/>
    <mergeCell ref="UEO5:UEP5"/>
    <mergeCell ref="UEQ5:UER5"/>
    <mergeCell ref="UES5:UET5"/>
    <mergeCell ref="UEU5:UEV5"/>
    <mergeCell ref="UEW5:UEX5"/>
    <mergeCell ref="UEY5:UEZ5"/>
    <mergeCell ref="UFA5:UFB5"/>
    <mergeCell ref="UFC5:UFD5"/>
    <mergeCell ref="UFE5:UFF5"/>
    <mergeCell ref="UFG5:UFH5"/>
    <mergeCell ref="UFI5:UFJ5"/>
    <mergeCell ref="UFK5:UFL5"/>
    <mergeCell ref="UFM5:UFN5"/>
    <mergeCell ref="UFO5:UFP5"/>
    <mergeCell ref="UFQ5:UFR5"/>
    <mergeCell ref="UFS5:UFT5"/>
    <mergeCell ref="UFU5:UFV5"/>
    <mergeCell ref="UFW5:UFX5"/>
    <mergeCell ref="UFY5:UFZ5"/>
    <mergeCell ref="UGA5:UGB5"/>
    <mergeCell ref="UGC5:UGD5"/>
    <mergeCell ref="UGE5:UGF5"/>
    <mergeCell ref="UGG5:UGH5"/>
    <mergeCell ref="UGI5:UGJ5"/>
    <mergeCell ref="UGK5:UGL5"/>
    <mergeCell ref="UGM5:UGN5"/>
    <mergeCell ref="UGO5:UGP5"/>
    <mergeCell ref="UGQ5:UGR5"/>
    <mergeCell ref="UGS5:UGT5"/>
    <mergeCell ref="UGU5:UGV5"/>
    <mergeCell ref="UGW5:UGX5"/>
    <mergeCell ref="UGY5:UGZ5"/>
    <mergeCell ref="UHA5:UHB5"/>
    <mergeCell ref="UHC5:UHD5"/>
    <mergeCell ref="UHE5:UHF5"/>
    <mergeCell ref="UHG5:UHH5"/>
    <mergeCell ref="UHI5:UHJ5"/>
    <mergeCell ref="UHK5:UHL5"/>
    <mergeCell ref="UHM5:UHN5"/>
    <mergeCell ref="UHO5:UHP5"/>
    <mergeCell ref="UHQ5:UHR5"/>
    <mergeCell ref="UHS5:UHT5"/>
    <mergeCell ref="UHU5:UHV5"/>
    <mergeCell ref="UHW5:UHX5"/>
    <mergeCell ref="UHY5:UHZ5"/>
    <mergeCell ref="UIA5:UIB5"/>
    <mergeCell ref="UIC5:UID5"/>
    <mergeCell ref="UIE5:UIF5"/>
    <mergeCell ref="UIG5:UIH5"/>
    <mergeCell ref="UII5:UIJ5"/>
    <mergeCell ref="UIK5:UIL5"/>
    <mergeCell ref="UIM5:UIN5"/>
    <mergeCell ref="UIO5:UIP5"/>
    <mergeCell ref="UIQ5:UIR5"/>
    <mergeCell ref="UIS5:UIT5"/>
    <mergeCell ref="UIU5:UIV5"/>
    <mergeCell ref="UIW5:UIX5"/>
    <mergeCell ref="UIY5:UIZ5"/>
    <mergeCell ref="UJA5:UJB5"/>
    <mergeCell ref="UJC5:UJD5"/>
    <mergeCell ref="UJE5:UJF5"/>
    <mergeCell ref="UJG5:UJH5"/>
    <mergeCell ref="UJI5:UJJ5"/>
    <mergeCell ref="UJK5:UJL5"/>
    <mergeCell ref="UJM5:UJN5"/>
    <mergeCell ref="UJO5:UJP5"/>
    <mergeCell ref="UJQ5:UJR5"/>
    <mergeCell ref="UJS5:UJT5"/>
    <mergeCell ref="UJU5:UJV5"/>
    <mergeCell ref="UJW5:UJX5"/>
    <mergeCell ref="UJY5:UJZ5"/>
    <mergeCell ref="UKA5:UKB5"/>
    <mergeCell ref="UKC5:UKD5"/>
    <mergeCell ref="UKE5:UKF5"/>
    <mergeCell ref="UKG5:UKH5"/>
    <mergeCell ref="UKI5:UKJ5"/>
    <mergeCell ref="UKK5:UKL5"/>
    <mergeCell ref="UKM5:UKN5"/>
    <mergeCell ref="UKO5:UKP5"/>
    <mergeCell ref="UKQ5:UKR5"/>
    <mergeCell ref="UKS5:UKT5"/>
    <mergeCell ref="UKU5:UKV5"/>
    <mergeCell ref="UKW5:UKX5"/>
    <mergeCell ref="UKY5:UKZ5"/>
    <mergeCell ref="ULA5:ULB5"/>
    <mergeCell ref="ULC5:ULD5"/>
    <mergeCell ref="ULE5:ULF5"/>
    <mergeCell ref="ULG5:ULH5"/>
    <mergeCell ref="ULI5:ULJ5"/>
    <mergeCell ref="ULK5:ULL5"/>
    <mergeCell ref="ULM5:ULN5"/>
    <mergeCell ref="ULO5:ULP5"/>
    <mergeCell ref="ULQ5:ULR5"/>
    <mergeCell ref="ULS5:ULT5"/>
    <mergeCell ref="ULU5:ULV5"/>
    <mergeCell ref="ULW5:ULX5"/>
    <mergeCell ref="ULY5:ULZ5"/>
    <mergeCell ref="UMA5:UMB5"/>
    <mergeCell ref="UMC5:UMD5"/>
    <mergeCell ref="UME5:UMF5"/>
    <mergeCell ref="UMG5:UMH5"/>
    <mergeCell ref="UMI5:UMJ5"/>
    <mergeCell ref="UMK5:UML5"/>
    <mergeCell ref="UMM5:UMN5"/>
    <mergeCell ref="UMO5:UMP5"/>
    <mergeCell ref="UMQ5:UMR5"/>
    <mergeCell ref="UMS5:UMT5"/>
    <mergeCell ref="UMU5:UMV5"/>
    <mergeCell ref="UMW5:UMX5"/>
    <mergeCell ref="UMY5:UMZ5"/>
    <mergeCell ref="UNA5:UNB5"/>
    <mergeCell ref="UNC5:UND5"/>
    <mergeCell ref="UNE5:UNF5"/>
    <mergeCell ref="UNG5:UNH5"/>
    <mergeCell ref="UNI5:UNJ5"/>
    <mergeCell ref="UNK5:UNL5"/>
    <mergeCell ref="UNM5:UNN5"/>
    <mergeCell ref="UNO5:UNP5"/>
    <mergeCell ref="UNQ5:UNR5"/>
    <mergeCell ref="UNS5:UNT5"/>
    <mergeCell ref="UNU5:UNV5"/>
    <mergeCell ref="UNW5:UNX5"/>
    <mergeCell ref="UNY5:UNZ5"/>
    <mergeCell ref="UOA5:UOB5"/>
    <mergeCell ref="UOC5:UOD5"/>
    <mergeCell ref="UOE5:UOF5"/>
    <mergeCell ref="UOG5:UOH5"/>
    <mergeCell ref="UOI5:UOJ5"/>
    <mergeCell ref="UOK5:UOL5"/>
    <mergeCell ref="UOM5:UON5"/>
    <mergeCell ref="UOO5:UOP5"/>
    <mergeCell ref="UOQ5:UOR5"/>
    <mergeCell ref="UOS5:UOT5"/>
    <mergeCell ref="UOU5:UOV5"/>
    <mergeCell ref="UOW5:UOX5"/>
    <mergeCell ref="UOY5:UOZ5"/>
    <mergeCell ref="UPA5:UPB5"/>
    <mergeCell ref="UPC5:UPD5"/>
    <mergeCell ref="UPE5:UPF5"/>
    <mergeCell ref="UPG5:UPH5"/>
    <mergeCell ref="UPI5:UPJ5"/>
    <mergeCell ref="UPK5:UPL5"/>
    <mergeCell ref="UPM5:UPN5"/>
    <mergeCell ref="UPO5:UPP5"/>
    <mergeCell ref="UPQ5:UPR5"/>
    <mergeCell ref="UPS5:UPT5"/>
    <mergeCell ref="UPU5:UPV5"/>
    <mergeCell ref="UPW5:UPX5"/>
    <mergeCell ref="UPY5:UPZ5"/>
    <mergeCell ref="UQA5:UQB5"/>
    <mergeCell ref="UQC5:UQD5"/>
    <mergeCell ref="UQE5:UQF5"/>
    <mergeCell ref="UQG5:UQH5"/>
    <mergeCell ref="UQI5:UQJ5"/>
    <mergeCell ref="UQK5:UQL5"/>
    <mergeCell ref="UQM5:UQN5"/>
    <mergeCell ref="UQO5:UQP5"/>
    <mergeCell ref="UQQ5:UQR5"/>
    <mergeCell ref="UQS5:UQT5"/>
    <mergeCell ref="UQU5:UQV5"/>
    <mergeCell ref="UQW5:UQX5"/>
    <mergeCell ref="UQY5:UQZ5"/>
    <mergeCell ref="URA5:URB5"/>
    <mergeCell ref="URC5:URD5"/>
    <mergeCell ref="URE5:URF5"/>
    <mergeCell ref="URG5:URH5"/>
    <mergeCell ref="URI5:URJ5"/>
    <mergeCell ref="URK5:URL5"/>
    <mergeCell ref="URM5:URN5"/>
    <mergeCell ref="URO5:URP5"/>
    <mergeCell ref="URQ5:URR5"/>
    <mergeCell ref="URS5:URT5"/>
    <mergeCell ref="URU5:URV5"/>
    <mergeCell ref="URW5:URX5"/>
    <mergeCell ref="URY5:URZ5"/>
    <mergeCell ref="USA5:USB5"/>
    <mergeCell ref="USC5:USD5"/>
    <mergeCell ref="USE5:USF5"/>
    <mergeCell ref="USG5:USH5"/>
    <mergeCell ref="USI5:USJ5"/>
    <mergeCell ref="USK5:USL5"/>
    <mergeCell ref="USM5:USN5"/>
    <mergeCell ref="USO5:USP5"/>
    <mergeCell ref="USQ5:USR5"/>
    <mergeCell ref="USS5:UST5"/>
    <mergeCell ref="USU5:USV5"/>
    <mergeCell ref="USW5:USX5"/>
    <mergeCell ref="USY5:USZ5"/>
    <mergeCell ref="UTA5:UTB5"/>
    <mergeCell ref="UTC5:UTD5"/>
    <mergeCell ref="UTE5:UTF5"/>
    <mergeCell ref="UTG5:UTH5"/>
    <mergeCell ref="UTI5:UTJ5"/>
    <mergeCell ref="UTK5:UTL5"/>
    <mergeCell ref="UTM5:UTN5"/>
    <mergeCell ref="UTO5:UTP5"/>
    <mergeCell ref="UTQ5:UTR5"/>
    <mergeCell ref="UTS5:UTT5"/>
    <mergeCell ref="UTU5:UTV5"/>
    <mergeCell ref="UTW5:UTX5"/>
    <mergeCell ref="UTY5:UTZ5"/>
    <mergeCell ref="UUA5:UUB5"/>
    <mergeCell ref="UUC5:UUD5"/>
    <mergeCell ref="UUE5:UUF5"/>
    <mergeCell ref="UUG5:UUH5"/>
    <mergeCell ref="UUI5:UUJ5"/>
    <mergeCell ref="UUK5:UUL5"/>
    <mergeCell ref="UUM5:UUN5"/>
    <mergeCell ref="UUO5:UUP5"/>
    <mergeCell ref="UUQ5:UUR5"/>
    <mergeCell ref="UUS5:UUT5"/>
    <mergeCell ref="UUU5:UUV5"/>
    <mergeCell ref="UUW5:UUX5"/>
    <mergeCell ref="UUY5:UUZ5"/>
    <mergeCell ref="UVA5:UVB5"/>
    <mergeCell ref="UVC5:UVD5"/>
    <mergeCell ref="UVE5:UVF5"/>
    <mergeCell ref="UVG5:UVH5"/>
    <mergeCell ref="UVI5:UVJ5"/>
    <mergeCell ref="UVK5:UVL5"/>
    <mergeCell ref="UVM5:UVN5"/>
    <mergeCell ref="UVO5:UVP5"/>
    <mergeCell ref="UVQ5:UVR5"/>
    <mergeCell ref="UVS5:UVT5"/>
    <mergeCell ref="UVU5:UVV5"/>
    <mergeCell ref="UVW5:UVX5"/>
    <mergeCell ref="UVY5:UVZ5"/>
    <mergeCell ref="UWA5:UWB5"/>
    <mergeCell ref="UWC5:UWD5"/>
    <mergeCell ref="UWE5:UWF5"/>
    <mergeCell ref="UWG5:UWH5"/>
    <mergeCell ref="UWI5:UWJ5"/>
    <mergeCell ref="UWK5:UWL5"/>
    <mergeCell ref="UWM5:UWN5"/>
    <mergeCell ref="UWO5:UWP5"/>
    <mergeCell ref="UWQ5:UWR5"/>
    <mergeCell ref="UWS5:UWT5"/>
    <mergeCell ref="UWU5:UWV5"/>
    <mergeCell ref="UWW5:UWX5"/>
    <mergeCell ref="UWY5:UWZ5"/>
    <mergeCell ref="UXA5:UXB5"/>
    <mergeCell ref="UXC5:UXD5"/>
    <mergeCell ref="UXE5:UXF5"/>
    <mergeCell ref="UXG5:UXH5"/>
    <mergeCell ref="UXI5:UXJ5"/>
    <mergeCell ref="UXK5:UXL5"/>
    <mergeCell ref="UXM5:UXN5"/>
    <mergeCell ref="UXO5:UXP5"/>
    <mergeCell ref="UXQ5:UXR5"/>
    <mergeCell ref="UXS5:UXT5"/>
    <mergeCell ref="UXU5:UXV5"/>
    <mergeCell ref="UXW5:UXX5"/>
    <mergeCell ref="UXY5:UXZ5"/>
    <mergeCell ref="UYA5:UYB5"/>
    <mergeCell ref="UYC5:UYD5"/>
    <mergeCell ref="UYE5:UYF5"/>
    <mergeCell ref="UYG5:UYH5"/>
    <mergeCell ref="UYI5:UYJ5"/>
    <mergeCell ref="UYK5:UYL5"/>
    <mergeCell ref="UYM5:UYN5"/>
    <mergeCell ref="UYO5:UYP5"/>
    <mergeCell ref="UYQ5:UYR5"/>
    <mergeCell ref="UYS5:UYT5"/>
    <mergeCell ref="UYU5:UYV5"/>
    <mergeCell ref="UYW5:UYX5"/>
    <mergeCell ref="UYY5:UYZ5"/>
    <mergeCell ref="UZA5:UZB5"/>
    <mergeCell ref="UZC5:UZD5"/>
    <mergeCell ref="UZE5:UZF5"/>
    <mergeCell ref="UZG5:UZH5"/>
    <mergeCell ref="UZI5:UZJ5"/>
    <mergeCell ref="UZK5:UZL5"/>
    <mergeCell ref="UZM5:UZN5"/>
    <mergeCell ref="UZO5:UZP5"/>
    <mergeCell ref="UZQ5:UZR5"/>
    <mergeCell ref="UZS5:UZT5"/>
    <mergeCell ref="UZU5:UZV5"/>
    <mergeCell ref="UZW5:UZX5"/>
    <mergeCell ref="UZY5:UZZ5"/>
    <mergeCell ref="VAA5:VAB5"/>
    <mergeCell ref="VAC5:VAD5"/>
    <mergeCell ref="VAE5:VAF5"/>
    <mergeCell ref="VAG5:VAH5"/>
    <mergeCell ref="VAI5:VAJ5"/>
    <mergeCell ref="VAK5:VAL5"/>
    <mergeCell ref="VAM5:VAN5"/>
    <mergeCell ref="VAO5:VAP5"/>
    <mergeCell ref="VAQ5:VAR5"/>
    <mergeCell ref="VAS5:VAT5"/>
    <mergeCell ref="VAU5:VAV5"/>
    <mergeCell ref="VAW5:VAX5"/>
    <mergeCell ref="VAY5:VAZ5"/>
    <mergeCell ref="VBA5:VBB5"/>
    <mergeCell ref="VBC5:VBD5"/>
    <mergeCell ref="VBE5:VBF5"/>
    <mergeCell ref="VBG5:VBH5"/>
    <mergeCell ref="VBI5:VBJ5"/>
    <mergeCell ref="VBK5:VBL5"/>
    <mergeCell ref="VBM5:VBN5"/>
    <mergeCell ref="VBO5:VBP5"/>
    <mergeCell ref="VBQ5:VBR5"/>
    <mergeCell ref="VBS5:VBT5"/>
    <mergeCell ref="VBU5:VBV5"/>
    <mergeCell ref="VBW5:VBX5"/>
    <mergeCell ref="VBY5:VBZ5"/>
    <mergeCell ref="VCA5:VCB5"/>
    <mergeCell ref="VCC5:VCD5"/>
    <mergeCell ref="VCE5:VCF5"/>
    <mergeCell ref="VCG5:VCH5"/>
    <mergeCell ref="VCI5:VCJ5"/>
    <mergeCell ref="VCK5:VCL5"/>
    <mergeCell ref="VCM5:VCN5"/>
    <mergeCell ref="VCO5:VCP5"/>
    <mergeCell ref="VCQ5:VCR5"/>
    <mergeCell ref="VCS5:VCT5"/>
    <mergeCell ref="VCU5:VCV5"/>
    <mergeCell ref="VCW5:VCX5"/>
    <mergeCell ref="VCY5:VCZ5"/>
    <mergeCell ref="VDA5:VDB5"/>
    <mergeCell ref="VDC5:VDD5"/>
    <mergeCell ref="VDE5:VDF5"/>
    <mergeCell ref="VDG5:VDH5"/>
    <mergeCell ref="VDI5:VDJ5"/>
    <mergeCell ref="VDK5:VDL5"/>
    <mergeCell ref="VDM5:VDN5"/>
    <mergeCell ref="VDO5:VDP5"/>
    <mergeCell ref="VDQ5:VDR5"/>
    <mergeCell ref="VDS5:VDT5"/>
    <mergeCell ref="VDU5:VDV5"/>
    <mergeCell ref="VDW5:VDX5"/>
    <mergeCell ref="VDY5:VDZ5"/>
    <mergeCell ref="VEA5:VEB5"/>
    <mergeCell ref="VEC5:VED5"/>
    <mergeCell ref="VEE5:VEF5"/>
    <mergeCell ref="VEG5:VEH5"/>
    <mergeCell ref="VEI5:VEJ5"/>
    <mergeCell ref="VEK5:VEL5"/>
    <mergeCell ref="VEM5:VEN5"/>
    <mergeCell ref="VEO5:VEP5"/>
    <mergeCell ref="VEQ5:VER5"/>
    <mergeCell ref="VES5:VET5"/>
    <mergeCell ref="VEU5:VEV5"/>
    <mergeCell ref="VEW5:VEX5"/>
    <mergeCell ref="VEY5:VEZ5"/>
    <mergeCell ref="VFA5:VFB5"/>
    <mergeCell ref="VFC5:VFD5"/>
    <mergeCell ref="VFE5:VFF5"/>
    <mergeCell ref="VFG5:VFH5"/>
    <mergeCell ref="VFI5:VFJ5"/>
    <mergeCell ref="VFK5:VFL5"/>
    <mergeCell ref="VFM5:VFN5"/>
    <mergeCell ref="VFO5:VFP5"/>
    <mergeCell ref="VFQ5:VFR5"/>
    <mergeCell ref="VFS5:VFT5"/>
    <mergeCell ref="VFU5:VFV5"/>
    <mergeCell ref="VFW5:VFX5"/>
    <mergeCell ref="VFY5:VFZ5"/>
    <mergeCell ref="VGA5:VGB5"/>
    <mergeCell ref="VGC5:VGD5"/>
    <mergeCell ref="VGE5:VGF5"/>
    <mergeCell ref="VGG5:VGH5"/>
    <mergeCell ref="VGI5:VGJ5"/>
    <mergeCell ref="VGK5:VGL5"/>
    <mergeCell ref="VGM5:VGN5"/>
    <mergeCell ref="VGO5:VGP5"/>
    <mergeCell ref="VGQ5:VGR5"/>
    <mergeCell ref="VGS5:VGT5"/>
    <mergeCell ref="VGU5:VGV5"/>
    <mergeCell ref="VGW5:VGX5"/>
    <mergeCell ref="VGY5:VGZ5"/>
    <mergeCell ref="VHA5:VHB5"/>
    <mergeCell ref="VHC5:VHD5"/>
    <mergeCell ref="VHE5:VHF5"/>
    <mergeCell ref="VHG5:VHH5"/>
    <mergeCell ref="VHI5:VHJ5"/>
    <mergeCell ref="VHK5:VHL5"/>
    <mergeCell ref="VHM5:VHN5"/>
    <mergeCell ref="VHO5:VHP5"/>
    <mergeCell ref="VHQ5:VHR5"/>
    <mergeCell ref="VHS5:VHT5"/>
    <mergeCell ref="VHU5:VHV5"/>
    <mergeCell ref="VHW5:VHX5"/>
    <mergeCell ref="VHY5:VHZ5"/>
    <mergeCell ref="VIA5:VIB5"/>
    <mergeCell ref="VIC5:VID5"/>
    <mergeCell ref="VIE5:VIF5"/>
    <mergeCell ref="VIG5:VIH5"/>
    <mergeCell ref="VII5:VIJ5"/>
    <mergeCell ref="VIK5:VIL5"/>
    <mergeCell ref="VIM5:VIN5"/>
    <mergeCell ref="VIO5:VIP5"/>
    <mergeCell ref="VIQ5:VIR5"/>
    <mergeCell ref="VIS5:VIT5"/>
    <mergeCell ref="VIU5:VIV5"/>
    <mergeCell ref="VIW5:VIX5"/>
    <mergeCell ref="VIY5:VIZ5"/>
    <mergeCell ref="VJA5:VJB5"/>
    <mergeCell ref="VJC5:VJD5"/>
    <mergeCell ref="VJE5:VJF5"/>
    <mergeCell ref="VJG5:VJH5"/>
    <mergeCell ref="VJI5:VJJ5"/>
    <mergeCell ref="VJK5:VJL5"/>
    <mergeCell ref="VJM5:VJN5"/>
    <mergeCell ref="VJO5:VJP5"/>
    <mergeCell ref="VJQ5:VJR5"/>
    <mergeCell ref="VJS5:VJT5"/>
    <mergeCell ref="VJU5:VJV5"/>
    <mergeCell ref="VJW5:VJX5"/>
    <mergeCell ref="VJY5:VJZ5"/>
    <mergeCell ref="VKA5:VKB5"/>
    <mergeCell ref="VKC5:VKD5"/>
    <mergeCell ref="VKE5:VKF5"/>
    <mergeCell ref="VKG5:VKH5"/>
    <mergeCell ref="VKI5:VKJ5"/>
    <mergeCell ref="VKK5:VKL5"/>
    <mergeCell ref="VKM5:VKN5"/>
    <mergeCell ref="VKO5:VKP5"/>
    <mergeCell ref="VKQ5:VKR5"/>
    <mergeCell ref="VKS5:VKT5"/>
    <mergeCell ref="VKU5:VKV5"/>
    <mergeCell ref="VKW5:VKX5"/>
    <mergeCell ref="VKY5:VKZ5"/>
    <mergeCell ref="VLA5:VLB5"/>
    <mergeCell ref="VLC5:VLD5"/>
    <mergeCell ref="VLE5:VLF5"/>
    <mergeCell ref="VLG5:VLH5"/>
    <mergeCell ref="VLI5:VLJ5"/>
    <mergeCell ref="VLK5:VLL5"/>
    <mergeCell ref="VLM5:VLN5"/>
    <mergeCell ref="VLO5:VLP5"/>
    <mergeCell ref="VLQ5:VLR5"/>
    <mergeCell ref="VLS5:VLT5"/>
    <mergeCell ref="VLU5:VLV5"/>
    <mergeCell ref="VLW5:VLX5"/>
    <mergeCell ref="VLY5:VLZ5"/>
    <mergeCell ref="VMA5:VMB5"/>
    <mergeCell ref="VMC5:VMD5"/>
    <mergeCell ref="VME5:VMF5"/>
    <mergeCell ref="VMG5:VMH5"/>
    <mergeCell ref="VMI5:VMJ5"/>
    <mergeCell ref="VMK5:VML5"/>
    <mergeCell ref="VMM5:VMN5"/>
    <mergeCell ref="VMO5:VMP5"/>
    <mergeCell ref="VMQ5:VMR5"/>
    <mergeCell ref="VMS5:VMT5"/>
    <mergeCell ref="VMU5:VMV5"/>
    <mergeCell ref="VMW5:VMX5"/>
    <mergeCell ref="VMY5:VMZ5"/>
    <mergeCell ref="VNA5:VNB5"/>
    <mergeCell ref="VNC5:VND5"/>
    <mergeCell ref="VNE5:VNF5"/>
    <mergeCell ref="VNG5:VNH5"/>
    <mergeCell ref="VNI5:VNJ5"/>
    <mergeCell ref="VNK5:VNL5"/>
    <mergeCell ref="VNM5:VNN5"/>
    <mergeCell ref="VNO5:VNP5"/>
    <mergeCell ref="VNQ5:VNR5"/>
    <mergeCell ref="VNS5:VNT5"/>
    <mergeCell ref="VNU5:VNV5"/>
    <mergeCell ref="VNW5:VNX5"/>
    <mergeCell ref="VNY5:VNZ5"/>
    <mergeCell ref="VOA5:VOB5"/>
    <mergeCell ref="VOC5:VOD5"/>
    <mergeCell ref="VOE5:VOF5"/>
    <mergeCell ref="VOG5:VOH5"/>
    <mergeCell ref="VOI5:VOJ5"/>
    <mergeCell ref="VOK5:VOL5"/>
    <mergeCell ref="VOM5:VON5"/>
    <mergeCell ref="VOO5:VOP5"/>
    <mergeCell ref="VOQ5:VOR5"/>
    <mergeCell ref="VOS5:VOT5"/>
    <mergeCell ref="VOU5:VOV5"/>
    <mergeCell ref="VOW5:VOX5"/>
    <mergeCell ref="VOY5:VOZ5"/>
    <mergeCell ref="VPA5:VPB5"/>
    <mergeCell ref="VPC5:VPD5"/>
    <mergeCell ref="VPE5:VPF5"/>
    <mergeCell ref="VPG5:VPH5"/>
    <mergeCell ref="VPI5:VPJ5"/>
    <mergeCell ref="VPK5:VPL5"/>
    <mergeCell ref="VPM5:VPN5"/>
    <mergeCell ref="VPO5:VPP5"/>
    <mergeCell ref="VPQ5:VPR5"/>
    <mergeCell ref="VPS5:VPT5"/>
    <mergeCell ref="VPU5:VPV5"/>
    <mergeCell ref="VPW5:VPX5"/>
    <mergeCell ref="VPY5:VPZ5"/>
    <mergeCell ref="VQA5:VQB5"/>
    <mergeCell ref="VQC5:VQD5"/>
    <mergeCell ref="VQE5:VQF5"/>
    <mergeCell ref="VQG5:VQH5"/>
    <mergeCell ref="VQI5:VQJ5"/>
    <mergeCell ref="VQK5:VQL5"/>
    <mergeCell ref="VQM5:VQN5"/>
    <mergeCell ref="VQO5:VQP5"/>
    <mergeCell ref="VQQ5:VQR5"/>
    <mergeCell ref="VQS5:VQT5"/>
    <mergeCell ref="VQU5:VQV5"/>
    <mergeCell ref="VQW5:VQX5"/>
    <mergeCell ref="VQY5:VQZ5"/>
    <mergeCell ref="VRA5:VRB5"/>
    <mergeCell ref="VRC5:VRD5"/>
    <mergeCell ref="VRE5:VRF5"/>
    <mergeCell ref="VRG5:VRH5"/>
    <mergeCell ref="VRI5:VRJ5"/>
    <mergeCell ref="VRK5:VRL5"/>
    <mergeCell ref="VRM5:VRN5"/>
    <mergeCell ref="VRO5:VRP5"/>
    <mergeCell ref="VRQ5:VRR5"/>
    <mergeCell ref="VRS5:VRT5"/>
    <mergeCell ref="VRU5:VRV5"/>
    <mergeCell ref="VRW5:VRX5"/>
    <mergeCell ref="VRY5:VRZ5"/>
    <mergeCell ref="VSA5:VSB5"/>
    <mergeCell ref="VSC5:VSD5"/>
    <mergeCell ref="VSE5:VSF5"/>
    <mergeCell ref="VSG5:VSH5"/>
    <mergeCell ref="VSI5:VSJ5"/>
    <mergeCell ref="VSK5:VSL5"/>
    <mergeCell ref="VSM5:VSN5"/>
    <mergeCell ref="VSO5:VSP5"/>
    <mergeCell ref="VSQ5:VSR5"/>
    <mergeCell ref="VSS5:VST5"/>
    <mergeCell ref="VSU5:VSV5"/>
    <mergeCell ref="VSW5:VSX5"/>
    <mergeCell ref="VSY5:VSZ5"/>
    <mergeCell ref="VTA5:VTB5"/>
    <mergeCell ref="VTC5:VTD5"/>
    <mergeCell ref="VTE5:VTF5"/>
    <mergeCell ref="VTG5:VTH5"/>
    <mergeCell ref="VTI5:VTJ5"/>
    <mergeCell ref="VTK5:VTL5"/>
    <mergeCell ref="VTM5:VTN5"/>
    <mergeCell ref="VTO5:VTP5"/>
    <mergeCell ref="VTQ5:VTR5"/>
    <mergeCell ref="VTS5:VTT5"/>
    <mergeCell ref="VTU5:VTV5"/>
    <mergeCell ref="VTW5:VTX5"/>
    <mergeCell ref="VTY5:VTZ5"/>
    <mergeCell ref="VUA5:VUB5"/>
    <mergeCell ref="VUC5:VUD5"/>
    <mergeCell ref="VUE5:VUF5"/>
    <mergeCell ref="VUG5:VUH5"/>
    <mergeCell ref="VUI5:VUJ5"/>
    <mergeCell ref="VUK5:VUL5"/>
    <mergeCell ref="VUM5:VUN5"/>
    <mergeCell ref="VUO5:VUP5"/>
    <mergeCell ref="VUQ5:VUR5"/>
    <mergeCell ref="VUS5:VUT5"/>
    <mergeCell ref="VUU5:VUV5"/>
    <mergeCell ref="VUW5:VUX5"/>
    <mergeCell ref="VUY5:VUZ5"/>
    <mergeCell ref="VVA5:VVB5"/>
    <mergeCell ref="VVC5:VVD5"/>
    <mergeCell ref="VVE5:VVF5"/>
    <mergeCell ref="VVG5:VVH5"/>
    <mergeCell ref="VVI5:VVJ5"/>
    <mergeCell ref="VVK5:VVL5"/>
    <mergeCell ref="VVM5:VVN5"/>
    <mergeCell ref="VVO5:VVP5"/>
    <mergeCell ref="VVQ5:VVR5"/>
    <mergeCell ref="VVS5:VVT5"/>
    <mergeCell ref="VVU5:VVV5"/>
    <mergeCell ref="VVW5:VVX5"/>
    <mergeCell ref="VVY5:VVZ5"/>
    <mergeCell ref="VWA5:VWB5"/>
    <mergeCell ref="VWC5:VWD5"/>
    <mergeCell ref="VWE5:VWF5"/>
    <mergeCell ref="VWG5:VWH5"/>
    <mergeCell ref="VWI5:VWJ5"/>
    <mergeCell ref="VWK5:VWL5"/>
    <mergeCell ref="VWM5:VWN5"/>
    <mergeCell ref="VWO5:VWP5"/>
    <mergeCell ref="VWQ5:VWR5"/>
    <mergeCell ref="VWS5:VWT5"/>
    <mergeCell ref="VWU5:VWV5"/>
    <mergeCell ref="VWW5:VWX5"/>
    <mergeCell ref="VWY5:VWZ5"/>
    <mergeCell ref="VXA5:VXB5"/>
    <mergeCell ref="VXC5:VXD5"/>
    <mergeCell ref="VXE5:VXF5"/>
    <mergeCell ref="VXG5:VXH5"/>
    <mergeCell ref="VXI5:VXJ5"/>
    <mergeCell ref="VXK5:VXL5"/>
    <mergeCell ref="VXM5:VXN5"/>
    <mergeCell ref="VXO5:VXP5"/>
    <mergeCell ref="VXQ5:VXR5"/>
    <mergeCell ref="VXS5:VXT5"/>
    <mergeCell ref="VXU5:VXV5"/>
    <mergeCell ref="VXW5:VXX5"/>
    <mergeCell ref="VXY5:VXZ5"/>
    <mergeCell ref="VYA5:VYB5"/>
    <mergeCell ref="VYC5:VYD5"/>
    <mergeCell ref="VYE5:VYF5"/>
    <mergeCell ref="VYG5:VYH5"/>
    <mergeCell ref="VYI5:VYJ5"/>
    <mergeCell ref="VYK5:VYL5"/>
    <mergeCell ref="VYM5:VYN5"/>
    <mergeCell ref="VYO5:VYP5"/>
    <mergeCell ref="VYQ5:VYR5"/>
    <mergeCell ref="VYS5:VYT5"/>
    <mergeCell ref="VYU5:VYV5"/>
    <mergeCell ref="VYW5:VYX5"/>
    <mergeCell ref="VYY5:VYZ5"/>
    <mergeCell ref="VZA5:VZB5"/>
    <mergeCell ref="VZC5:VZD5"/>
    <mergeCell ref="VZE5:VZF5"/>
    <mergeCell ref="VZG5:VZH5"/>
    <mergeCell ref="VZI5:VZJ5"/>
    <mergeCell ref="VZK5:VZL5"/>
    <mergeCell ref="VZM5:VZN5"/>
    <mergeCell ref="VZO5:VZP5"/>
    <mergeCell ref="VZQ5:VZR5"/>
    <mergeCell ref="VZS5:VZT5"/>
    <mergeCell ref="VZU5:VZV5"/>
    <mergeCell ref="VZW5:VZX5"/>
    <mergeCell ref="VZY5:VZZ5"/>
    <mergeCell ref="WAA5:WAB5"/>
    <mergeCell ref="WAC5:WAD5"/>
    <mergeCell ref="WAE5:WAF5"/>
    <mergeCell ref="WAG5:WAH5"/>
    <mergeCell ref="WAI5:WAJ5"/>
    <mergeCell ref="WAK5:WAL5"/>
    <mergeCell ref="WAM5:WAN5"/>
    <mergeCell ref="WAO5:WAP5"/>
    <mergeCell ref="WAQ5:WAR5"/>
    <mergeCell ref="WAS5:WAT5"/>
    <mergeCell ref="WAU5:WAV5"/>
    <mergeCell ref="WAW5:WAX5"/>
    <mergeCell ref="WAY5:WAZ5"/>
    <mergeCell ref="WBA5:WBB5"/>
    <mergeCell ref="WBC5:WBD5"/>
    <mergeCell ref="WBE5:WBF5"/>
    <mergeCell ref="WBG5:WBH5"/>
    <mergeCell ref="WBI5:WBJ5"/>
    <mergeCell ref="WBK5:WBL5"/>
    <mergeCell ref="WBM5:WBN5"/>
    <mergeCell ref="WBO5:WBP5"/>
    <mergeCell ref="WBQ5:WBR5"/>
    <mergeCell ref="WBS5:WBT5"/>
    <mergeCell ref="WBU5:WBV5"/>
    <mergeCell ref="WBW5:WBX5"/>
    <mergeCell ref="WBY5:WBZ5"/>
    <mergeCell ref="WCA5:WCB5"/>
    <mergeCell ref="WCC5:WCD5"/>
    <mergeCell ref="WCE5:WCF5"/>
    <mergeCell ref="WCG5:WCH5"/>
    <mergeCell ref="WCI5:WCJ5"/>
    <mergeCell ref="WCK5:WCL5"/>
    <mergeCell ref="WCM5:WCN5"/>
    <mergeCell ref="WCO5:WCP5"/>
    <mergeCell ref="WCQ5:WCR5"/>
    <mergeCell ref="WCS5:WCT5"/>
    <mergeCell ref="WCU5:WCV5"/>
    <mergeCell ref="WCW5:WCX5"/>
    <mergeCell ref="WCY5:WCZ5"/>
    <mergeCell ref="WDA5:WDB5"/>
    <mergeCell ref="WDC5:WDD5"/>
    <mergeCell ref="WDE5:WDF5"/>
    <mergeCell ref="WDG5:WDH5"/>
    <mergeCell ref="WDI5:WDJ5"/>
    <mergeCell ref="WDK5:WDL5"/>
    <mergeCell ref="WDM5:WDN5"/>
    <mergeCell ref="WDO5:WDP5"/>
    <mergeCell ref="WDQ5:WDR5"/>
    <mergeCell ref="WDS5:WDT5"/>
    <mergeCell ref="WDU5:WDV5"/>
    <mergeCell ref="WDW5:WDX5"/>
    <mergeCell ref="WDY5:WDZ5"/>
    <mergeCell ref="WEA5:WEB5"/>
    <mergeCell ref="WEC5:WED5"/>
    <mergeCell ref="WEE5:WEF5"/>
    <mergeCell ref="WEG5:WEH5"/>
    <mergeCell ref="WEI5:WEJ5"/>
    <mergeCell ref="WEK5:WEL5"/>
    <mergeCell ref="WEM5:WEN5"/>
    <mergeCell ref="WEO5:WEP5"/>
    <mergeCell ref="WEQ5:WER5"/>
    <mergeCell ref="WES5:WET5"/>
    <mergeCell ref="WEU5:WEV5"/>
    <mergeCell ref="WEW5:WEX5"/>
    <mergeCell ref="WEY5:WEZ5"/>
    <mergeCell ref="WFA5:WFB5"/>
    <mergeCell ref="WFC5:WFD5"/>
    <mergeCell ref="WFE5:WFF5"/>
    <mergeCell ref="WFG5:WFH5"/>
    <mergeCell ref="WFI5:WFJ5"/>
    <mergeCell ref="WFK5:WFL5"/>
    <mergeCell ref="WFM5:WFN5"/>
    <mergeCell ref="WFO5:WFP5"/>
    <mergeCell ref="WFQ5:WFR5"/>
    <mergeCell ref="WFS5:WFT5"/>
    <mergeCell ref="WFU5:WFV5"/>
    <mergeCell ref="WFW5:WFX5"/>
    <mergeCell ref="WFY5:WFZ5"/>
    <mergeCell ref="WGA5:WGB5"/>
    <mergeCell ref="WGC5:WGD5"/>
    <mergeCell ref="WGE5:WGF5"/>
    <mergeCell ref="WGG5:WGH5"/>
    <mergeCell ref="WGI5:WGJ5"/>
    <mergeCell ref="WGK5:WGL5"/>
    <mergeCell ref="WGM5:WGN5"/>
    <mergeCell ref="WGO5:WGP5"/>
    <mergeCell ref="WGQ5:WGR5"/>
    <mergeCell ref="WGS5:WGT5"/>
    <mergeCell ref="WGU5:WGV5"/>
    <mergeCell ref="WGW5:WGX5"/>
    <mergeCell ref="WGY5:WGZ5"/>
    <mergeCell ref="WHA5:WHB5"/>
    <mergeCell ref="WHC5:WHD5"/>
    <mergeCell ref="WHE5:WHF5"/>
    <mergeCell ref="WHG5:WHH5"/>
    <mergeCell ref="WHI5:WHJ5"/>
    <mergeCell ref="WHK5:WHL5"/>
    <mergeCell ref="WHM5:WHN5"/>
    <mergeCell ref="WHO5:WHP5"/>
    <mergeCell ref="WHQ5:WHR5"/>
    <mergeCell ref="WHS5:WHT5"/>
    <mergeCell ref="WHU5:WHV5"/>
    <mergeCell ref="WHW5:WHX5"/>
    <mergeCell ref="WHY5:WHZ5"/>
    <mergeCell ref="WIA5:WIB5"/>
    <mergeCell ref="WIC5:WID5"/>
    <mergeCell ref="WIE5:WIF5"/>
    <mergeCell ref="WIG5:WIH5"/>
    <mergeCell ref="WII5:WIJ5"/>
    <mergeCell ref="WIK5:WIL5"/>
    <mergeCell ref="WIM5:WIN5"/>
    <mergeCell ref="WIO5:WIP5"/>
    <mergeCell ref="WIQ5:WIR5"/>
    <mergeCell ref="WIS5:WIT5"/>
    <mergeCell ref="WIU5:WIV5"/>
    <mergeCell ref="WIW5:WIX5"/>
    <mergeCell ref="WIY5:WIZ5"/>
    <mergeCell ref="WJA5:WJB5"/>
    <mergeCell ref="WJC5:WJD5"/>
    <mergeCell ref="WJE5:WJF5"/>
    <mergeCell ref="WJG5:WJH5"/>
    <mergeCell ref="WJI5:WJJ5"/>
    <mergeCell ref="WJK5:WJL5"/>
    <mergeCell ref="WJM5:WJN5"/>
    <mergeCell ref="WJO5:WJP5"/>
    <mergeCell ref="WJQ5:WJR5"/>
    <mergeCell ref="WJS5:WJT5"/>
    <mergeCell ref="WJU5:WJV5"/>
    <mergeCell ref="WJW5:WJX5"/>
    <mergeCell ref="WJY5:WJZ5"/>
    <mergeCell ref="WKA5:WKB5"/>
    <mergeCell ref="WKC5:WKD5"/>
    <mergeCell ref="WKE5:WKF5"/>
    <mergeCell ref="WKG5:WKH5"/>
    <mergeCell ref="WKI5:WKJ5"/>
    <mergeCell ref="WKK5:WKL5"/>
    <mergeCell ref="WKM5:WKN5"/>
    <mergeCell ref="WKO5:WKP5"/>
    <mergeCell ref="WKQ5:WKR5"/>
    <mergeCell ref="WKS5:WKT5"/>
    <mergeCell ref="WKU5:WKV5"/>
    <mergeCell ref="WKW5:WKX5"/>
    <mergeCell ref="WKY5:WKZ5"/>
    <mergeCell ref="WLA5:WLB5"/>
    <mergeCell ref="WLC5:WLD5"/>
    <mergeCell ref="WLE5:WLF5"/>
    <mergeCell ref="WLG5:WLH5"/>
    <mergeCell ref="WLI5:WLJ5"/>
    <mergeCell ref="WLK5:WLL5"/>
    <mergeCell ref="WLM5:WLN5"/>
    <mergeCell ref="WLO5:WLP5"/>
    <mergeCell ref="WLQ5:WLR5"/>
    <mergeCell ref="WLS5:WLT5"/>
    <mergeCell ref="WLU5:WLV5"/>
    <mergeCell ref="WLW5:WLX5"/>
    <mergeCell ref="WLY5:WLZ5"/>
    <mergeCell ref="WMA5:WMB5"/>
    <mergeCell ref="WMC5:WMD5"/>
    <mergeCell ref="WME5:WMF5"/>
    <mergeCell ref="WMG5:WMH5"/>
    <mergeCell ref="WMI5:WMJ5"/>
    <mergeCell ref="WMK5:WML5"/>
    <mergeCell ref="WMM5:WMN5"/>
    <mergeCell ref="WMO5:WMP5"/>
    <mergeCell ref="WMQ5:WMR5"/>
    <mergeCell ref="WMS5:WMT5"/>
    <mergeCell ref="WMU5:WMV5"/>
    <mergeCell ref="WMW5:WMX5"/>
    <mergeCell ref="WMY5:WMZ5"/>
    <mergeCell ref="WNA5:WNB5"/>
    <mergeCell ref="WNC5:WND5"/>
    <mergeCell ref="WNE5:WNF5"/>
    <mergeCell ref="WNG5:WNH5"/>
    <mergeCell ref="WNI5:WNJ5"/>
    <mergeCell ref="WNK5:WNL5"/>
    <mergeCell ref="WNM5:WNN5"/>
    <mergeCell ref="WNO5:WNP5"/>
    <mergeCell ref="WNQ5:WNR5"/>
    <mergeCell ref="WNS5:WNT5"/>
    <mergeCell ref="WNU5:WNV5"/>
    <mergeCell ref="WNW5:WNX5"/>
    <mergeCell ref="WNY5:WNZ5"/>
    <mergeCell ref="WOA5:WOB5"/>
    <mergeCell ref="WOC5:WOD5"/>
    <mergeCell ref="WOE5:WOF5"/>
    <mergeCell ref="WOG5:WOH5"/>
    <mergeCell ref="WOI5:WOJ5"/>
    <mergeCell ref="WOK5:WOL5"/>
    <mergeCell ref="WOM5:WON5"/>
    <mergeCell ref="WOO5:WOP5"/>
    <mergeCell ref="WOQ5:WOR5"/>
    <mergeCell ref="WOS5:WOT5"/>
    <mergeCell ref="WOU5:WOV5"/>
    <mergeCell ref="WOW5:WOX5"/>
    <mergeCell ref="WOY5:WOZ5"/>
    <mergeCell ref="WPA5:WPB5"/>
    <mergeCell ref="WPC5:WPD5"/>
    <mergeCell ref="WPE5:WPF5"/>
    <mergeCell ref="WPG5:WPH5"/>
    <mergeCell ref="WPI5:WPJ5"/>
    <mergeCell ref="WPK5:WPL5"/>
    <mergeCell ref="WPM5:WPN5"/>
    <mergeCell ref="WPO5:WPP5"/>
    <mergeCell ref="WPQ5:WPR5"/>
    <mergeCell ref="WPS5:WPT5"/>
    <mergeCell ref="WPU5:WPV5"/>
    <mergeCell ref="WPW5:WPX5"/>
    <mergeCell ref="WPY5:WPZ5"/>
    <mergeCell ref="WQA5:WQB5"/>
    <mergeCell ref="WQC5:WQD5"/>
    <mergeCell ref="WQE5:WQF5"/>
    <mergeCell ref="WQG5:WQH5"/>
    <mergeCell ref="WQI5:WQJ5"/>
    <mergeCell ref="WQK5:WQL5"/>
    <mergeCell ref="WQM5:WQN5"/>
    <mergeCell ref="WQO5:WQP5"/>
    <mergeCell ref="WQQ5:WQR5"/>
    <mergeCell ref="WQS5:WQT5"/>
    <mergeCell ref="WQU5:WQV5"/>
    <mergeCell ref="WQW5:WQX5"/>
    <mergeCell ref="WQY5:WQZ5"/>
    <mergeCell ref="WRA5:WRB5"/>
    <mergeCell ref="WRC5:WRD5"/>
    <mergeCell ref="WRE5:WRF5"/>
    <mergeCell ref="WRG5:WRH5"/>
    <mergeCell ref="WRI5:WRJ5"/>
    <mergeCell ref="WRK5:WRL5"/>
    <mergeCell ref="WRM5:WRN5"/>
    <mergeCell ref="WRO5:WRP5"/>
    <mergeCell ref="WRQ5:WRR5"/>
    <mergeCell ref="WRS5:WRT5"/>
    <mergeCell ref="WRU5:WRV5"/>
    <mergeCell ref="WRW5:WRX5"/>
    <mergeCell ref="WRY5:WRZ5"/>
    <mergeCell ref="WSA5:WSB5"/>
    <mergeCell ref="WSC5:WSD5"/>
    <mergeCell ref="WSE5:WSF5"/>
    <mergeCell ref="WSG5:WSH5"/>
    <mergeCell ref="WSI5:WSJ5"/>
    <mergeCell ref="WSK5:WSL5"/>
    <mergeCell ref="WSM5:WSN5"/>
    <mergeCell ref="WSO5:WSP5"/>
    <mergeCell ref="WSQ5:WSR5"/>
    <mergeCell ref="WSS5:WST5"/>
    <mergeCell ref="WSU5:WSV5"/>
    <mergeCell ref="WSW5:WSX5"/>
    <mergeCell ref="WSY5:WSZ5"/>
    <mergeCell ref="WTA5:WTB5"/>
    <mergeCell ref="WTC5:WTD5"/>
    <mergeCell ref="WTE5:WTF5"/>
    <mergeCell ref="WTG5:WTH5"/>
    <mergeCell ref="WTI5:WTJ5"/>
    <mergeCell ref="WTK5:WTL5"/>
    <mergeCell ref="WTM5:WTN5"/>
    <mergeCell ref="WTO5:WTP5"/>
    <mergeCell ref="WTQ5:WTR5"/>
    <mergeCell ref="WTS5:WTT5"/>
    <mergeCell ref="WTU5:WTV5"/>
    <mergeCell ref="WTW5:WTX5"/>
    <mergeCell ref="WTY5:WTZ5"/>
    <mergeCell ref="WUA5:WUB5"/>
    <mergeCell ref="WUC5:WUD5"/>
    <mergeCell ref="WUE5:WUF5"/>
    <mergeCell ref="WUG5:WUH5"/>
    <mergeCell ref="WUI5:WUJ5"/>
    <mergeCell ref="WUK5:WUL5"/>
    <mergeCell ref="WUM5:WUN5"/>
    <mergeCell ref="WUO5:WUP5"/>
    <mergeCell ref="WUQ5:WUR5"/>
    <mergeCell ref="WUS5:WUT5"/>
    <mergeCell ref="WUU5:WUV5"/>
    <mergeCell ref="WUW5:WUX5"/>
    <mergeCell ref="WUY5:WUZ5"/>
    <mergeCell ref="WVA5:WVB5"/>
    <mergeCell ref="WVC5:WVD5"/>
    <mergeCell ref="WVE5:WVF5"/>
    <mergeCell ref="WVG5:WVH5"/>
    <mergeCell ref="WVI5:WVJ5"/>
    <mergeCell ref="WVK5:WVL5"/>
    <mergeCell ref="WVM5:WVN5"/>
    <mergeCell ref="WVO5:WVP5"/>
    <mergeCell ref="WVQ5:WVR5"/>
    <mergeCell ref="WVS5:WVT5"/>
    <mergeCell ref="WVU5:WVV5"/>
    <mergeCell ref="WVW5:WVX5"/>
    <mergeCell ref="WVY5:WVZ5"/>
    <mergeCell ref="WWA5:WWB5"/>
    <mergeCell ref="WWC5:WWD5"/>
    <mergeCell ref="WWE5:WWF5"/>
    <mergeCell ref="WWG5:WWH5"/>
    <mergeCell ref="WWI5:WWJ5"/>
    <mergeCell ref="WWK5:WWL5"/>
    <mergeCell ref="WWM5:WWN5"/>
    <mergeCell ref="WWO5:WWP5"/>
    <mergeCell ref="WWQ5:WWR5"/>
    <mergeCell ref="WWS5:WWT5"/>
    <mergeCell ref="WWU5:WWV5"/>
    <mergeCell ref="WWW5:WWX5"/>
    <mergeCell ref="WWY5:WWZ5"/>
    <mergeCell ref="WXA5:WXB5"/>
    <mergeCell ref="WXC5:WXD5"/>
    <mergeCell ref="WXE5:WXF5"/>
    <mergeCell ref="WXG5:WXH5"/>
    <mergeCell ref="WXI5:WXJ5"/>
    <mergeCell ref="WXK5:WXL5"/>
    <mergeCell ref="WXM5:WXN5"/>
    <mergeCell ref="WXO5:WXP5"/>
    <mergeCell ref="WXQ5:WXR5"/>
    <mergeCell ref="WXS5:WXT5"/>
    <mergeCell ref="WXU5:WXV5"/>
    <mergeCell ref="WXW5:WXX5"/>
    <mergeCell ref="WXY5:WXZ5"/>
    <mergeCell ref="WYA5:WYB5"/>
    <mergeCell ref="WYC5:WYD5"/>
    <mergeCell ref="WYE5:WYF5"/>
    <mergeCell ref="WYG5:WYH5"/>
    <mergeCell ref="WYI5:WYJ5"/>
    <mergeCell ref="WYK5:WYL5"/>
    <mergeCell ref="WYM5:WYN5"/>
    <mergeCell ref="WYO5:WYP5"/>
    <mergeCell ref="WYQ5:WYR5"/>
    <mergeCell ref="WYS5:WYT5"/>
    <mergeCell ref="WYU5:WYV5"/>
    <mergeCell ref="WYW5:WYX5"/>
    <mergeCell ref="WYY5:WYZ5"/>
    <mergeCell ref="WZA5:WZB5"/>
    <mergeCell ref="WZC5:WZD5"/>
    <mergeCell ref="WZE5:WZF5"/>
    <mergeCell ref="WZG5:WZH5"/>
    <mergeCell ref="WZI5:WZJ5"/>
    <mergeCell ref="WZK5:WZL5"/>
    <mergeCell ref="WZM5:WZN5"/>
    <mergeCell ref="WZO5:WZP5"/>
    <mergeCell ref="WZQ5:WZR5"/>
    <mergeCell ref="WZS5:WZT5"/>
    <mergeCell ref="WZU5:WZV5"/>
    <mergeCell ref="WZW5:WZX5"/>
    <mergeCell ref="WZY5:WZZ5"/>
    <mergeCell ref="XAA5:XAB5"/>
    <mergeCell ref="XAC5:XAD5"/>
    <mergeCell ref="XAE5:XAF5"/>
    <mergeCell ref="XAG5:XAH5"/>
    <mergeCell ref="XAI5:XAJ5"/>
    <mergeCell ref="XAK5:XAL5"/>
    <mergeCell ref="XAM5:XAN5"/>
    <mergeCell ref="XAO5:XAP5"/>
    <mergeCell ref="XAQ5:XAR5"/>
    <mergeCell ref="XAS5:XAT5"/>
    <mergeCell ref="XAU5:XAV5"/>
    <mergeCell ref="XAW5:XAX5"/>
    <mergeCell ref="XAY5:XAZ5"/>
    <mergeCell ref="XBA5:XBB5"/>
    <mergeCell ref="XBC5:XBD5"/>
    <mergeCell ref="XBE5:XBF5"/>
    <mergeCell ref="XBG5:XBH5"/>
    <mergeCell ref="XBI5:XBJ5"/>
    <mergeCell ref="XBK5:XBL5"/>
    <mergeCell ref="XBM5:XBN5"/>
    <mergeCell ref="XBO5:XBP5"/>
    <mergeCell ref="XBQ5:XBR5"/>
    <mergeCell ref="XBS5:XBT5"/>
    <mergeCell ref="XBU5:XBV5"/>
    <mergeCell ref="XBW5:XBX5"/>
    <mergeCell ref="XBY5:XBZ5"/>
    <mergeCell ref="XCA5:XCB5"/>
    <mergeCell ref="XCC5:XCD5"/>
    <mergeCell ref="XCE5:XCF5"/>
    <mergeCell ref="XCG5:XCH5"/>
    <mergeCell ref="XEE5:XEF5"/>
    <mergeCell ref="XEG5:XEH5"/>
    <mergeCell ref="XEI5:XEJ5"/>
    <mergeCell ref="XEK5:XEL5"/>
    <mergeCell ref="XEM5:XEN5"/>
    <mergeCell ref="XEO5:XEP5"/>
    <mergeCell ref="XEQ5:XER5"/>
    <mergeCell ref="XES5:XET5"/>
    <mergeCell ref="XEU5:XEV5"/>
    <mergeCell ref="XEW5:XEX5"/>
    <mergeCell ref="XCI5:XCJ5"/>
    <mergeCell ref="XCK5:XCL5"/>
    <mergeCell ref="XCM5:XCN5"/>
    <mergeCell ref="XCO5:XCP5"/>
    <mergeCell ref="XCQ5:XCR5"/>
    <mergeCell ref="XCS5:XCT5"/>
    <mergeCell ref="XCU5:XCV5"/>
    <mergeCell ref="XCW5:XCX5"/>
    <mergeCell ref="XCY5:XCZ5"/>
    <mergeCell ref="XDA5:XDB5"/>
    <mergeCell ref="XDC5:XDD5"/>
    <mergeCell ref="XDE5:XDF5"/>
    <mergeCell ref="XDG5:XDH5"/>
    <mergeCell ref="XDI5:XDJ5"/>
    <mergeCell ref="XDK5:XDL5"/>
    <mergeCell ref="XDM5:XDN5"/>
    <mergeCell ref="XDO5:XDP5"/>
    <mergeCell ref="B14:D14"/>
    <mergeCell ref="E14:G14"/>
    <mergeCell ref="B24:G24"/>
    <mergeCell ref="B26:G26"/>
    <mergeCell ref="B27:G27"/>
    <mergeCell ref="B28:G28"/>
    <mergeCell ref="B29:G29"/>
    <mergeCell ref="B30:G30"/>
    <mergeCell ref="XEY5:XEZ5"/>
    <mergeCell ref="XFA5:XFB5"/>
    <mergeCell ref="XFC5:XFD5"/>
    <mergeCell ref="B6:C6"/>
    <mergeCell ref="F6:G6"/>
    <mergeCell ref="B7:C7"/>
    <mergeCell ref="F7:G7"/>
    <mergeCell ref="B8:C8"/>
    <mergeCell ref="F8:G8"/>
    <mergeCell ref="B9:C9"/>
    <mergeCell ref="F9:G9"/>
    <mergeCell ref="B10:C10"/>
    <mergeCell ref="F10:G10"/>
    <mergeCell ref="B11:C11"/>
    <mergeCell ref="F11:G11"/>
    <mergeCell ref="B12:C12"/>
    <mergeCell ref="F12:G12"/>
    <mergeCell ref="XDQ5:XDR5"/>
    <mergeCell ref="XDS5:XDT5"/>
    <mergeCell ref="XDU5:XDV5"/>
    <mergeCell ref="XDW5:XDX5"/>
    <mergeCell ref="XDY5:XDZ5"/>
    <mergeCell ref="XEA5:XEB5"/>
    <mergeCell ref="XEC5:XED5"/>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2"/>
  <sheetViews>
    <sheetView workbookViewId="0">
      <selection activeCell="B4" sqref="B4"/>
    </sheetView>
  </sheetViews>
  <sheetFormatPr defaultColWidth="9" defaultRowHeight="13.2"/>
  <cols>
    <col min="1" max="1" width="22.44140625" customWidth="1"/>
    <col min="2" max="2" width="25" customWidth="1"/>
    <col min="3" max="3" width="22.88671875" customWidth="1"/>
    <col min="4" max="4" width="12.109375" customWidth="1"/>
    <col min="5" max="5" width="10.5546875" customWidth="1"/>
    <col min="6" max="6" width="10.6640625" customWidth="1"/>
  </cols>
  <sheetData>
    <row r="1" spans="1:6" ht="16.2" customHeight="1">
      <c r="A1" s="232" t="s">
        <v>430</v>
      </c>
      <c r="B1" s="233"/>
      <c r="C1" s="233"/>
      <c r="D1" s="233"/>
      <c r="E1" s="233"/>
      <c r="F1" s="234"/>
    </row>
    <row r="2" spans="1:6" ht="15" customHeight="1">
      <c r="A2" s="235" t="s">
        <v>431</v>
      </c>
      <c r="B2" s="236"/>
      <c r="C2" s="236"/>
      <c r="D2" s="236"/>
      <c r="E2" s="236"/>
      <c r="F2" s="237"/>
    </row>
    <row r="3" spans="1:6" ht="13.8">
      <c r="A3" s="238"/>
      <c r="B3" s="239" t="s">
        <v>347</v>
      </c>
      <c r="C3" s="239" t="s">
        <v>432</v>
      </c>
      <c r="D3" s="239" t="s">
        <v>369</v>
      </c>
      <c r="E3" s="239" t="s">
        <v>370</v>
      </c>
      <c r="F3" s="240" t="s">
        <v>433</v>
      </c>
    </row>
    <row r="4" spans="1:6" ht="13.8">
      <c r="A4" s="241">
        <v>1</v>
      </c>
      <c r="B4" s="242"/>
      <c r="C4" s="243" t="s">
        <v>27</v>
      </c>
      <c r="D4" s="244">
        <v>985000</v>
      </c>
      <c r="E4" s="244">
        <v>735000</v>
      </c>
      <c r="F4" s="245">
        <f>D4-E4</f>
        <v>250000</v>
      </c>
    </row>
    <row r="5" spans="1:6" ht="14.4">
      <c r="A5" s="235" t="s">
        <v>434</v>
      </c>
      <c r="B5" s="236"/>
      <c r="C5" s="236"/>
      <c r="D5" s="236"/>
      <c r="E5" s="236"/>
      <c r="F5" s="237"/>
    </row>
    <row r="6" spans="1:6" ht="13.8">
      <c r="A6" s="238"/>
      <c r="B6" s="239" t="s">
        <v>347</v>
      </c>
      <c r="C6" s="239" t="s">
        <v>432</v>
      </c>
      <c r="D6" s="239" t="s">
        <v>369</v>
      </c>
      <c r="E6" s="239" t="s">
        <v>370</v>
      </c>
      <c r="F6" s="240" t="s">
        <v>433</v>
      </c>
    </row>
    <row r="7" spans="1:6" ht="13.8">
      <c r="A7" s="241">
        <v>1</v>
      </c>
      <c r="B7" s="242"/>
      <c r="C7" s="243" t="s">
        <v>27</v>
      </c>
      <c r="D7" s="244">
        <f>B48</f>
        <v>0</v>
      </c>
      <c r="E7" s="244">
        <f>D48</f>
        <v>0</v>
      </c>
      <c r="F7" s="245">
        <f>D7-E7</f>
        <v>0</v>
      </c>
    </row>
    <row r="8" spans="1:6" ht="14.4" customHeight="1">
      <c r="A8" s="246" t="s">
        <v>435</v>
      </c>
      <c r="B8" s="247"/>
      <c r="C8" s="247"/>
      <c r="D8" s="247"/>
      <c r="E8" s="247"/>
      <c r="F8" s="248"/>
    </row>
    <row r="9" spans="1:6" ht="13.8">
      <c r="A9" s="241" t="s">
        <v>436</v>
      </c>
      <c r="B9" s="242" t="s">
        <v>437</v>
      </c>
      <c r="C9" s="242" t="s">
        <v>438</v>
      </c>
      <c r="D9" s="249">
        <v>1</v>
      </c>
      <c r="E9" s="242"/>
      <c r="F9" s="250"/>
    </row>
    <row r="10" spans="1:6" ht="13.8">
      <c r="A10" s="238"/>
      <c r="B10" s="239" t="s">
        <v>347</v>
      </c>
      <c r="C10" s="239" t="s">
        <v>439</v>
      </c>
      <c r="D10" s="239" t="s">
        <v>440</v>
      </c>
      <c r="E10" s="239" t="s">
        <v>441</v>
      </c>
      <c r="F10" s="240" t="s">
        <v>442</v>
      </c>
    </row>
    <row r="11" spans="1:6" ht="13.8">
      <c r="A11" s="241">
        <v>1</v>
      </c>
      <c r="B11" s="242"/>
      <c r="C11" s="244">
        <f>'PNW 1'!O99</f>
        <v>0</v>
      </c>
      <c r="D11" s="242">
        <v>782</v>
      </c>
      <c r="E11" s="242" t="s">
        <v>443</v>
      </c>
      <c r="F11" s="251">
        <v>1</v>
      </c>
    </row>
    <row r="12" spans="1:6" ht="13.8">
      <c r="A12" s="252">
        <v>2</v>
      </c>
      <c r="B12" s="253"/>
      <c r="C12" s="244">
        <f>'PNW 2'!O99</f>
        <v>251316</v>
      </c>
      <c r="D12" s="254">
        <v>769</v>
      </c>
      <c r="E12" s="254" t="s">
        <v>443</v>
      </c>
      <c r="F12" s="255">
        <v>1</v>
      </c>
    </row>
    <row r="38" spans="1:4">
      <c r="A38" s="256" t="s">
        <v>444</v>
      </c>
      <c r="B38" s="256" cm="1">
        <f t="array" ref="B38:D38">'Corporate Guarantor PNW 1'!A17:C17</f>
        <v>0</v>
      </c>
      <c r="C38" s="257">
        <v>0</v>
      </c>
      <c r="D38" s="257">
        <v>0</v>
      </c>
    </row>
    <row r="39" spans="1:4">
      <c r="A39" s="258" t="s">
        <v>445</v>
      </c>
      <c r="B39" s="258" t="s">
        <v>27</v>
      </c>
      <c r="C39" s="259" t="s">
        <v>446</v>
      </c>
      <c r="D39" s="260">
        <v>45748</v>
      </c>
    </row>
    <row r="40" spans="1:4">
      <c r="A40" s="261" t="s">
        <v>369</v>
      </c>
      <c r="B40" s="261" t="s">
        <v>106</v>
      </c>
      <c r="C40" s="261" t="s">
        <v>370</v>
      </c>
      <c r="D40" s="261" t="s">
        <v>106</v>
      </c>
    </row>
    <row r="41" spans="1:4">
      <c r="A41" s="257" t="s">
        <v>447</v>
      </c>
      <c r="B41" s="262">
        <f>'Corporate Guarantor PNW 1'!F91</f>
        <v>0</v>
      </c>
      <c r="C41" s="257" t="s">
        <v>448</v>
      </c>
      <c r="D41" s="262">
        <f>'Corporate Guarantor PNW 1'!O91</f>
        <v>0</v>
      </c>
    </row>
    <row r="42" spans="1:4">
      <c r="A42" s="257" t="s">
        <v>449</v>
      </c>
      <c r="B42" s="262">
        <f>'Corporate Guarantor PNW 1'!F92</f>
        <v>0</v>
      </c>
      <c r="C42" s="257" t="s">
        <v>450</v>
      </c>
      <c r="D42" s="262">
        <f>'Corporate Guarantor PNW 1'!O92</f>
        <v>0</v>
      </c>
    </row>
    <row r="43" spans="1:4">
      <c r="A43" s="257" t="s">
        <v>451</v>
      </c>
      <c r="B43" s="262">
        <f>'Corporate Guarantor PNW 1'!F93</f>
        <v>0</v>
      </c>
      <c r="C43" s="257" t="s">
        <v>452</v>
      </c>
      <c r="D43" s="262">
        <f>'Corporate Guarantor PNW 1'!O93</f>
        <v>0</v>
      </c>
    </row>
    <row r="44" spans="1:4">
      <c r="A44" s="257" t="s">
        <v>453</v>
      </c>
      <c r="B44" s="262">
        <f>'Corporate Guarantor PNW 1'!F94</f>
        <v>0</v>
      </c>
      <c r="C44" s="257"/>
      <c r="D44" s="262"/>
    </row>
    <row r="45" spans="1:4">
      <c r="A45" s="257" t="s">
        <v>454</v>
      </c>
      <c r="B45" s="262">
        <f>'Corporate Guarantor PNW 1'!F95</f>
        <v>0</v>
      </c>
      <c r="C45" s="257"/>
      <c r="D45" s="262"/>
    </row>
    <row r="46" spans="1:4">
      <c r="A46" s="257" t="s">
        <v>455</v>
      </c>
      <c r="B46" s="262">
        <f>'Corporate Guarantor PNW 1'!F96</f>
        <v>0</v>
      </c>
      <c r="C46" s="257"/>
      <c r="D46" s="262"/>
    </row>
    <row r="47" spans="1:4">
      <c r="A47" s="257" t="s">
        <v>456</v>
      </c>
      <c r="B47" s="262">
        <f>'Corporate Guarantor PNW 1'!F97</f>
        <v>0</v>
      </c>
      <c r="C47" s="257"/>
      <c r="D47" s="262"/>
    </row>
    <row r="48" spans="1:4">
      <c r="A48" s="263" t="s">
        <v>377</v>
      </c>
      <c r="B48" s="264">
        <f>SUM(B41:B47)</f>
        <v>0</v>
      </c>
      <c r="C48" s="263" t="s">
        <v>378</v>
      </c>
      <c r="D48" s="264">
        <f>SUM(D41:D47)</f>
        <v>0</v>
      </c>
    </row>
    <row r="49" spans="1:4">
      <c r="A49" s="265"/>
      <c r="B49" s="265"/>
      <c r="C49" s="263" t="s">
        <v>379</v>
      </c>
      <c r="D49" s="264">
        <f>B48-D48</f>
        <v>0</v>
      </c>
    </row>
    <row r="52" spans="1:4">
      <c r="A52" s="256" t="s">
        <v>457</v>
      </c>
      <c r="B52" s="256">
        <f>B11</f>
        <v>0</v>
      </c>
      <c r="C52" s="257"/>
      <c r="D52" s="257"/>
    </row>
    <row r="53" spans="1:4">
      <c r="A53" s="258" t="s">
        <v>445</v>
      </c>
      <c r="B53" s="258">
        <f>D11</f>
        <v>782</v>
      </c>
      <c r="C53" s="259" t="s">
        <v>446</v>
      </c>
      <c r="D53" s="260">
        <v>45748</v>
      </c>
    </row>
    <row r="54" spans="1:4">
      <c r="A54" s="261" t="s">
        <v>369</v>
      </c>
      <c r="B54" s="261" t="s">
        <v>106</v>
      </c>
      <c r="C54" s="261" t="s">
        <v>370</v>
      </c>
      <c r="D54" s="261" t="s">
        <v>106</v>
      </c>
    </row>
    <row r="55" spans="1:4">
      <c r="A55" s="257" t="s">
        <v>447</v>
      </c>
      <c r="B55" s="262">
        <f>'PNW 1'!F91</f>
        <v>0</v>
      </c>
      <c r="C55" s="257" t="s">
        <v>448</v>
      </c>
      <c r="D55" s="262">
        <f>'PNW 1'!O91</f>
        <v>0</v>
      </c>
    </row>
    <row r="56" spans="1:4">
      <c r="A56" s="257" t="s">
        <v>449</v>
      </c>
      <c r="B56" s="262">
        <f>'PNW 1'!F92</f>
        <v>0</v>
      </c>
      <c r="C56" s="257" t="s">
        <v>450</v>
      </c>
      <c r="D56" s="262">
        <f>'PNW 1'!O92</f>
        <v>0</v>
      </c>
    </row>
    <row r="57" spans="1:4">
      <c r="A57" s="257" t="s">
        <v>451</v>
      </c>
      <c r="B57" s="262">
        <f>'PNW 1'!F93</f>
        <v>0</v>
      </c>
      <c r="C57" s="257" t="s">
        <v>452</v>
      </c>
      <c r="D57" s="262">
        <f>'PNW 1'!O93</f>
        <v>0</v>
      </c>
    </row>
    <row r="58" spans="1:4">
      <c r="A58" s="257" t="s">
        <v>453</v>
      </c>
      <c r="B58" s="262">
        <f>'PNW 1'!F94</f>
        <v>0</v>
      </c>
      <c r="C58" s="257"/>
      <c r="D58" s="262"/>
    </row>
    <row r="59" spans="1:4">
      <c r="A59" s="257" t="s">
        <v>454</v>
      </c>
      <c r="B59" s="262">
        <f>'PNW 1'!F95</f>
        <v>0</v>
      </c>
      <c r="C59" s="257"/>
      <c r="D59" s="262"/>
    </row>
    <row r="60" spans="1:4">
      <c r="A60" s="257" t="s">
        <v>455</v>
      </c>
      <c r="B60" s="262">
        <f>'PNW 1'!F96</f>
        <v>0</v>
      </c>
      <c r="C60" s="257"/>
      <c r="D60" s="262"/>
    </row>
    <row r="61" spans="1:4">
      <c r="A61" s="257" t="s">
        <v>456</v>
      </c>
      <c r="B61" s="262">
        <f>'PNW 1'!F97</f>
        <v>0</v>
      </c>
      <c r="C61" s="257"/>
      <c r="D61" s="262"/>
    </row>
    <row r="62" spans="1:4">
      <c r="A62" s="263" t="s">
        <v>377</v>
      </c>
      <c r="B62" s="264">
        <f>SUM(B55:B61)</f>
        <v>0</v>
      </c>
      <c r="C62" s="263" t="s">
        <v>378</v>
      </c>
      <c r="D62" s="264">
        <f>SUM(D55:D61)</f>
        <v>0</v>
      </c>
    </row>
    <row r="63" spans="1:4">
      <c r="A63" s="265"/>
      <c r="B63" s="265"/>
      <c r="C63" s="263" t="s">
        <v>379</v>
      </c>
      <c r="D63" s="264">
        <f>B62-D62</f>
        <v>0</v>
      </c>
    </row>
    <row r="65" spans="1:4">
      <c r="A65" s="266"/>
    </row>
    <row r="66" spans="1:4">
      <c r="A66" s="256" t="s">
        <v>458</v>
      </c>
      <c r="B66" s="256">
        <f>B12</f>
        <v>0</v>
      </c>
      <c r="C66" s="257"/>
      <c r="D66" s="257"/>
    </row>
    <row r="67" spans="1:4">
      <c r="A67" s="258" t="s">
        <v>445</v>
      </c>
      <c r="B67" s="258">
        <f>D12</f>
        <v>769</v>
      </c>
      <c r="C67" s="259" t="s">
        <v>446</v>
      </c>
      <c r="D67" s="260">
        <v>45748</v>
      </c>
    </row>
    <row r="68" spans="1:4">
      <c r="A68" s="261" t="s">
        <v>369</v>
      </c>
      <c r="B68" s="261" t="s">
        <v>106</v>
      </c>
      <c r="C68" s="261" t="s">
        <v>370</v>
      </c>
      <c r="D68" s="261" t="s">
        <v>106</v>
      </c>
    </row>
    <row r="69" spans="1:4">
      <c r="A69" s="257" t="s">
        <v>447</v>
      </c>
      <c r="B69" s="262">
        <f>'PNW 2'!F91</f>
        <v>251316</v>
      </c>
      <c r="C69" s="257" t="s">
        <v>448</v>
      </c>
      <c r="D69" s="262">
        <f>'PNW 2'!O91</f>
        <v>0</v>
      </c>
    </row>
    <row r="70" spans="1:4">
      <c r="A70" s="257" t="s">
        <v>449</v>
      </c>
      <c r="B70" s="262">
        <f>'PNW 2'!F92</f>
        <v>0</v>
      </c>
      <c r="C70" s="257" t="s">
        <v>450</v>
      </c>
      <c r="D70" s="262">
        <f>'PNW 2'!O92</f>
        <v>0</v>
      </c>
    </row>
    <row r="71" spans="1:4">
      <c r="A71" s="257" t="s">
        <v>451</v>
      </c>
      <c r="B71" s="262">
        <f>'PNW 2'!F93</f>
        <v>0</v>
      </c>
      <c r="C71" s="257" t="s">
        <v>452</v>
      </c>
      <c r="D71" s="262">
        <f>'PNW 2'!O93</f>
        <v>0</v>
      </c>
    </row>
    <row r="72" spans="1:4">
      <c r="A72" s="257" t="s">
        <v>453</v>
      </c>
      <c r="B72" s="262">
        <f>'PNW 2'!F94</f>
        <v>0</v>
      </c>
      <c r="C72" s="257"/>
      <c r="D72" s="262"/>
    </row>
    <row r="73" spans="1:4">
      <c r="A73" s="257" t="s">
        <v>454</v>
      </c>
      <c r="B73" s="262">
        <f>'PNW 2'!F95</f>
        <v>0</v>
      </c>
      <c r="C73" s="257"/>
      <c r="D73" s="262"/>
    </row>
    <row r="74" spans="1:4">
      <c r="A74" s="257" t="s">
        <v>455</v>
      </c>
      <c r="B74" s="262">
        <f>'PNW 2'!F96</f>
        <v>0</v>
      </c>
      <c r="C74" s="257"/>
      <c r="D74" s="262"/>
    </row>
    <row r="75" spans="1:4">
      <c r="A75" s="257" t="s">
        <v>456</v>
      </c>
      <c r="B75" s="262">
        <f>'PNW 2'!F97</f>
        <v>0</v>
      </c>
      <c r="C75" s="257"/>
      <c r="D75" s="262"/>
    </row>
    <row r="76" spans="1:4">
      <c r="A76" s="263" t="s">
        <v>377</v>
      </c>
      <c r="B76" s="264">
        <f>SUM(B69:B75)</f>
        <v>251316</v>
      </c>
      <c r="C76" s="263" t="s">
        <v>378</v>
      </c>
      <c r="D76" s="264">
        <f>SUM(D69:D75)</f>
        <v>0</v>
      </c>
    </row>
    <row r="77" spans="1:4">
      <c r="A77" s="265"/>
      <c r="B77" s="265"/>
      <c r="C77" s="263" t="s">
        <v>379</v>
      </c>
      <c r="D77" s="264">
        <f>B76-D76</f>
        <v>251316</v>
      </c>
    </row>
    <row r="80" spans="1:4">
      <c r="A80" t="s">
        <v>459</v>
      </c>
      <c r="B80" s="267">
        <f>D77+D63+D49</f>
        <v>251316</v>
      </c>
      <c r="C80" s="268">
        <f>B80/'Proforma Construction'!E50</f>
        <v>2.7169297297297296E-3</v>
      </c>
    </row>
    <row r="81" spans="1:3">
      <c r="A81" t="s">
        <v>460</v>
      </c>
      <c r="B81" s="267">
        <f>B74-D71+B60-D57+B46-D43</f>
        <v>0</v>
      </c>
    </row>
    <row r="82" spans="1:3">
      <c r="A82" t="s">
        <v>461</v>
      </c>
      <c r="B82" s="267">
        <f>B69+B56+B55+B70+B41+B42</f>
        <v>251316</v>
      </c>
      <c r="C82" s="268">
        <f>B82/'Proforma Construction'!E50</f>
        <v>2.7169297297297296E-3</v>
      </c>
    </row>
  </sheetData>
  <pageMargins left="0.7" right="0.7" top="0.75" bottom="0.75" header="0.3" footer="0.3"/>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J77"/>
  <sheetViews>
    <sheetView workbookViewId="0">
      <selection activeCell="C39" sqref="C39"/>
    </sheetView>
  </sheetViews>
  <sheetFormatPr defaultColWidth="11.44140625" defaultRowHeight="13.2"/>
  <cols>
    <col min="1" max="1" width="11.44140625" style="70"/>
    <col min="2" max="2" width="21.33203125" style="70" customWidth="1"/>
    <col min="3" max="3" width="11.6640625" style="70" customWidth="1"/>
    <col min="4" max="4" width="7.33203125" style="70" customWidth="1"/>
    <col min="5" max="6" width="13.109375" style="70" customWidth="1"/>
    <col min="7" max="7" width="10.33203125" style="70" customWidth="1"/>
    <col min="8" max="8" width="7.6640625" style="70" customWidth="1"/>
    <col min="9" max="9" width="10.109375" style="70" customWidth="1"/>
    <col min="10" max="10" width="11.88671875" style="70" customWidth="1"/>
    <col min="11" max="16384" width="11.44140625" style="70"/>
  </cols>
  <sheetData>
    <row r="2" spans="2:9">
      <c r="B2" s="1003" t="str">
        <f>'Proforma Construction'!B2</f>
        <v>Proforma - MLI Select 50 pts (Energy efficiency)</v>
      </c>
      <c r="C2" s="1004"/>
      <c r="D2" s="1004"/>
      <c r="E2" s="1004"/>
      <c r="F2" s="1004"/>
      <c r="G2" s="1004"/>
      <c r="H2" s="1004"/>
      <c r="I2" s="1005"/>
    </row>
    <row r="3" spans="2:9">
      <c r="B3" s="1006" t="str">
        <f>'Proforma Construction'!B3</f>
        <v>2240 Birchmount Rd Scarborough</v>
      </c>
      <c r="C3" s="1007"/>
      <c r="D3" s="1007"/>
      <c r="E3" s="1007"/>
      <c r="F3" s="1007"/>
      <c r="G3" s="1007"/>
      <c r="H3" s="1007"/>
      <c r="I3" s="1008"/>
    </row>
    <row r="4" spans="2:9">
      <c r="B4" s="71" t="s">
        <v>123</v>
      </c>
      <c r="C4" s="72" t="s">
        <v>124</v>
      </c>
      <c r="D4" s="72"/>
      <c r="E4" s="72" t="s">
        <v>125</v>
      </c>
      <c r="F4" s="72" t="s">
        <v>126</v>
      </c>
      <c r="G4" s="73" t="s">
        <v>127</v>
      </c>
      <c r="H4" s="72" t="s">
        <v>128</v>
      </c>
      <c r="I4" s="181" t="s">
        <v>129</v>
      </c>
    </row>
    <row r="5" spans="2:9">
      <c r="B5" s="74" t="s">
        <v>130</v>
      </c>
      <c r="C5" s="75"/>
      <c r="D5" s="75"/>
      <c r="E5" s="75"/>
      <c r="F5" s="75"/>
      <c r="G5" s="76"/>
      <c r="H5" s="75"/>
      <c r="I5" s="182"/>
    </row>
    <row r="6" spans="2:9">
      <c r="B6" s="77" t="str">
        <f>'Rent Roll'!C9</f>
        <v>Bachelor</v>
      </c>
      <c r="C6" s="78">
        <f>'Rent Roll'!D9</f>
        <v>0</v>
      </c>
      <c r="D6" s="78" t="s">
        <v>131</v>
      </c>
      <c r="E6" s="79">
        <f>'Rent Roll'!H9</f>
        <v>0</v>
      </c>
      <c r="F6" s="80">
        <f>'Rent Roll'!F9</f>
        <v>0</v>
      </c>
      <c r="G6" s="81" t="e">
        <f>E6/F6</f>
        <v>#DIV/0!</v>
      </c>
      <c r="H6" s="82">
        <f>E6*C6</f>
        <v>0</v>
      </c>
      <c r="I6" s="183">
        <f>C6*E6*12</f>
        <v>0</v>
      </c>
    </row>
    <row r="7" spans="2:9">
      <c r="B7" s="77" t="str">
        <f>'Rent Roll'!C10</f>
        <v>1 Bedroom</v>
      </c>
      <c r="C7" s="78">
        <f>'Rent Roll'!D10</f>
        <v>84</v>
      </c>
      <c r="D7" s="78" t="s">
        <v>131</v>
      </c>
      <c r="E7" s="79">
        <f>'Rent Roll'!H10</f>
        <v>2490</v>
      </c>
      <c r="F7" s="80">
        <f>'Rent Roll'!F10</f>
        <v>624</v>
      </c>
      <c r="G7" s="81">
        <f>E7/F7</f>
        <v>3.9903846153846154</v>
      </c>
      <c r="H7" s="82">
        <f>E7*C7</f>
        <v>209160</v>
      </c>
      <c r="I7" s="183">
        <f>C7*E7*12</f>
        <v>2509920</v>
      </c>
    </row>
    <row r="8" spans="2:9">
      <c r="B8" s="77"/>
      <c r="C8" s="78"/>
      <c r="D8" s="78"/>
      <c r="E8" s="79"/>
      <c r="F8" s="83"/>
      <c r="G8" s="81"/>
      <c r="H8" s="82"/>
      <c r="I8" s="183"/>
    </row>
    <row r="9" spans="2:9">
      <c r="B9" s="84" t="s">
        <v>132</v>
      </c>
      <c r="C9" s="85" t="s">
        <v>131</v>
      </c>
      <c r="D9" s="85" t="s">
        <v>131</v>
      </c>
      <c r="E9" s="86" t="s">
        <v>131</v>
      </c>
      <c r="F9" s="86" t="s">
        <v>131</v>
      </c>
      <c r="G9" s="87" t="s">
        <v>131</v>
      </c>
      <c r="H9" s="88"/>
      <c r="I9" s="184" t="s">
        <v>131</v>
      </c>
    </row>
    <row r="10" spans="2:9">
      <c r="B10" s="77"/>
      <c r="C10" s="78"/>
      <c r="D10" s="78"/>
      <c r="E10" s="79"/>
      <c r="F10" s="83"/>
      <c r="G10" s="81"/>
      <c r="H10" s="82"/>
      <c r="I10" s="183"/>
    </row>
    <row r="11" spans="2:9">
      <c r="B11" s="77"/>
      <c r="C11" s="78"/>
      <c r="D11" s="78"/>
      <c r="E11" s="89"/>
      <c r="F11" s="83"/>
      <c r="G11" s="81"/>
      <c r="H11" s="90"/>
      <c r="I11" s="183"/>
    </row>
    <row r="12" spans="2:9">
      <c r="B12" s="91" t="s">
        <v>106</v>
      </c>
      <c r="C12" s="92">
        <f>SUM(C6:C10)</f>
        <v>84</v>
      </c>
      <c r="D12" s="93"/>
      <c r="E12" s="94">
        <f>SUMPRODUCT(C6:C11,E6:E11)</f>
        <v>209160</v>
      </c>
      <c r="F12" s="95">
        <f>SUMPRODUCT(C6:C11,F6:F11)</f>
        <v>52416</v>
      </c>
      <c r="G12" s="96"/>
      <c r="H12" s="97">
        <f>SUM(H6:H11)</f>
        <v>209160</v>
      </c>
      <c r="I12" s="185">
        <f>SUM(I6:I11)</f>
        <v>2509920</v>
      </c>
    </row>
    <row r="13" spans="2:9">
      <c r="B13" s="91" t="s">
        <v>133</v>
      </c>
      <c r="C13" s="93"/>
      <c r="D13" s="93"/>
      <c r="E13" s="94">
        <f>E12/C12</f>
        <v>2490</v>
      </c>
      <c r="F13" s="98">
        <f>F12/C12</f>
        <v>624</v>
      </c>
      <c r="G13" s="99">
        <f>E13/F13</f>
        <v>3.9903846153846154</v>
      </c>
      <c r="H13" s="100"/>
      <c r="I13" s="186"/>
    </row>
    <row r="14" spans="2:9" hidden="1">
      <c r="B14" s="77"/>
      <c r="C14" s="78"/>
      <c r="D14" s="78"/>
      <c r="E14" s="89"/>
      <c r="F14" s="101"/>
      <c r="G14" s="81"/>
      <c r="H14" s="102"/>
      <c r="I14" s="183"/>
    </row>
    <row r="15" spans="2:9" hidden="1">
      <c r="B15" s="103" t="s">
        <v>134</v>
      </c>
      <c r="C15" s="78"/>
      <c r="D15" s="78"/>
      <c r="E15" s="104" t="s">
        <v>135</v>
      </c>
      <c r="F15" s="83"/>
      <c r="H15" s="104" t="s">
        <v>128</v>
      </c>
      <c r="I15" s="183"/>
    </row>
    <row r="16" spans="2:9" hidden="1">
      <c r="B16" s="77" t="s">
        <v>462</v>
      </c>
      <c r="C16" s="78"/>
      <c r="D16" s="78"/>
      <c r="E16" s="79"/>
      <c r="F16" s="83">
        <v>0</v>
      </c>
      <c r="G16" s="105" t="s">
        <v>137</v>
      </c>
      <c r="H16" s="82">
        <f>E16*F16</f>
        <v>0</v>
      </c>
      <c r="I16" s="183">
        <f>H16*12</f>
        <v>0</v>
      </c>
    </row>
    <row r="17" spans="2:9" hidden="1">
      <c r="B17" s="77"/>
      <c r="C17" s="78"/>
      <c r="D17" s="78"/>
      <c r="E17" s="89"/>
      <c r="F17" s="83">
        <v>0</v>
      </c>
      <c r="G17" s="81" t="s">
        <v>138</v>
      </c>
      <c r="H17" s="102"/>
      <c r="I17" s="183"/>
    </row>
    <row r="18" spans="2:9" hidden="1">
      <c r="B18" s="77" t="s">
        <v>139</v>
      </c>
      <c r="C18" s="78"/>
      <c r="D18" s="78"/>
      <c r="E18" s="89"/>
      <c r="F18" s="83"/>
      <c r="G18" s="81"/>
      <c r="H18" s="102"/>
      <c r="I18" s="183"/>
    </row>
    <row r="19" spans="2:9" hidden="1">
      <c r="B19" s="77" t="s">
        <v>463</v>
      </c>
      <c r="C19" s="78"/>
      <c r="D19" s="78"/>
      <c r="E19" s="89"/>
      <c r="F19" s="83"/>
      <c r="G19" s="81"/>
      <c r="H19" s="102"/>
      <c r="I19" s="183"/>
    </row>
    <row r="20" spans="2:9" hidden="1">
      <c r="B20" s="77" t="s">
        <v>141</v>
      </c>
      <c r="C20" s="78"/>
      <c r="D20" s="78"/>
      <c r="E20" s="89"/>
      <c r="F20" s="83"/>
      <c r="G20" s="81"/>
      <c r="H20" s="102"/>
      <c r="I20" s="183"/>
    </row>
    <row r="21" spans="2:9" hidden="1">
      <c r="B21" s="77"/>
      <c r="C21" s="78"/>
      <c r="D21" s="78"/>
      <c r="E21" s="89"/>
      <c r="F21" s="83"/>
      <c r="G21" s="81"/>
      <c r="H21" s="102"/>
      <c r="I21" s="183"/>
    </row>
    <row r="22" spans="2:9" hidden="1">
      <c r="B22" s="106" t="s">
        <v>142</v>
      </c>
      <c r="C22" s="78"/>
      <c r="D22" s="78"/>
      <c r="E22" s="89"/>
      <c r="F22" s="83"/>
      <c r="G22" s="81"/>
      <c r="H22" s="102"/>
      <c r="I22" s="187">
        <f>SUM(I16:I21)</f>
        <v>0</v>
      </c>
    </row>
    <row r="23" spans="2:9" hidden="1">
      <c r="B23" s="106"/>
      <c r="C23" s="78"/>
      <c r="D23" s="78"/>
      <c r="E23" s="89"/>
      <c r="F23" s="83"/>
      <c r="G23" s="81"/>
      <c r="H23" s="102"/>
      <c r="I23" s="187"/>
    </row>
    <row r="24" spans="2:9">
      <c r="B24" s="107" t="s">
        <v>143</v>
      </c>
      <c r="C24" s="108"/>
      <c r="D24" s="108"/>
      <c r="E24" s="109"/>
      <c r="F24" s="110"/>
      <c r="G24" s="111"/>
      <c r="H24" s="112"/>
      <c r="I24" s="188">
        <f>I12+I22</f>
        <v>2509920</v>
      </c>
    </row>
    <row r="25" spans="2:9">
      <c r="B25" s="106"/>
      <c r="C25" s="78"/>
      <c r="D25" s="78"/>
      <c r="E25" s="89"/>
      <c r="F25" s="83"/>
      <c r="G25" s="81"/>
      <c r="H25" s="102"/>
      <c r="I25" s="187"/>
    </row>
    <row r="26" spans="2:9">
      <c r="B26" s="113" t="s">
        <v>144</v>
      </c>
      <c r="C26" s="114"/>
      <c r="D26" s="114"/>
      <c r="E26" s="115">
        <f>'Proforma Construction'!E28</f>
        <v>0.03</v>
      </c>
      <c r="F26" s="116" t="s">
        <v>145</v>
      </c>
      <c r="G26" s="81"/>
      <c r="H26" s="102"/>
      <c r="I26" s="189">
        <f>-E26*I24</f>
        <v>-75297.599999999991</v>
      </c>
    </row>
    <row r="27" spans="2:9">
      <c r="B27" s="117" t="str">
        <f>'Proforma Construction'!B29</f>
        <v>2025 CMHC Vacancy Toronto North York ON</v>
      </c>
      <c r="C27" s="114"/>
      <c r="D27" s="114"/>
      <c r="E27" s="115">
        <f>'Proforma Construction'!E29</f>
        <v>3.2000000000000001E-2</v>
      </c>
      <c r="F27" s="83"/>
      <c r="G27" s="81"/>
      <c r="H27" s="102"/>
      <c r="I27" s="187"/>
    </row>
    <row r="28" spans="2:9">
      <c r="B28" s="117" t="str">
        <f>'Proforma Construction'!B30</f>
        <v>CMHC 4 Year Average Vacancy, Toronto North York ON</v>
      </c>
      <c r="C28" s="114"/>
      <c r="D28" s="114"/>
      <c r="E28" s="115">
        <f>'Proforma Construction'!E30</f>
        <v>1.6250000000000001E-2</v>
      </c>
      <c r="F28" s="83"/>
      <c r="G28" s="81"/>
      <c r="H28" s="102"/>
      <c r="I28" s="187"/>
    </row>
    <row r="29" spans="2:9">
      <c r="B29" s="106"/>
      <c r="C29" s="78"/>
      <c r="D29" s="78"/>
      <c r="E29" s="118"/>
      <c r="F29" s="83"/>
      <c r="G29" s="81"/>
      <c r="H29" s="102"/>
      <c r="I29" s="187"/>
    </row>
    <row r="30" spans="2:9">
      <c r="B30" s="119" t="s">
        <v>147</v>
      </c>
      <c r="C30" s="120"/>
      <c r="D30" s="120"/>
      <c r="E30" s="120"/>
      <c r="F30" s="121"/>
      <c r="G30" s="121"/>
      <c r="H30" s="121"/>
      <c r="I30" s="188">
        <f>I24+I26</f>
        <v>2434622.4</v>
      </c>
    </row>
    <row r="31" spans="2:9">
      <c r="B31" s="122"/>
      <c r="C31" s="123"/>
      <c r="D31" s="123"/>
      <c r="E31" s="123"/>
      <c r="F31" s="124"/>
      <c r="G31" s="124"/>
      <c r="H31" s="124"/>
      <c r="I31" s="190"/>
    </row>
    <row r="32" spans="2:9">
      <c r="B32" s="125" t="s">
        <v>148</v>
      </c>
      <c r="C32" s="126"/>
      <c r="D32" s="126"/>
      <c r="E32" s="126"/>
      <c r="F32" s="127"/>
      <c r="G32" s="127"/>
      <c r="H32" s="127"/>
      <c r="I32" s="191"/>
    </row>
    <row r="33" spans="2:9">
      <c r="B33" s="125" t="s">
        <v>149</v>
      </c>
      <c r="C33" s="127"/>
      <c r="D33" s="127"/>
      <c r="E33" s="128" t="s">
        <v>150</v>
      </c>
      <c r="F33" s="128" t="s">
        <v>63</v>
      </c>
      <c r="G33" s="128" t="s">
        <v>64</v>
      </c>
      <c r="H33" s="127"/>
      <c r="I33" s="191"/>
    </row>
    <row r="34" spans="2:9">
      <c r="B34" s="129" t="str">
        <f>'Proforma Construction'!B36</f>
        <v>Property Taxes</v>
      </c>
      <c r="C34" s="130"/>
      <c r="D34" s="130"/>
      <c r="E34" s="131" t="str">
        <f>'Proforma Construction'!E36</f>
        <v>Appraisal</v>
      </c>
      <c r="F34" s="132">
        <f>'Proforma Construction'!F36</f>
        <v>9.1091585669454314E-2</v>
      </c>
      <c r="G34" s="133">
        <f>'Proforma Construction'!G36</f>
        <v>3393.3941176470589</v>
      </c>
      <c r="H34" s="130"/>
      <c r="I34" s="192">
        <f>'Proforma Construction'!I36</f>
        <v>576877</v>
      </c>
    </row>
    <row r="35" spans="2:9">
      <c r="B35" s="129" t="str">
        <f>'Proforma Construction'!B37</f>
        <v>Insurance</v>
      </c>
      <c r="C35" s="127"/>
      <c r="D35" s="127"/>
      <c r="E35" s="131" t="str">
        <f>'Proforma Construction'!E37</f>
        <v>Appraisal</v>
      </c>
      <c r="F35" s="132">
        <f>'Proforma Construction'!F37</f>
        <v>1.2079709025863842E-2</v>
      </c>
      <c r="G35" s="133">
        <f>'Proforma Construction'!G37</f>
        <v>450</v>
      </c>
      <c r="H35" s="134"/>
      <c r="I35" s="192">
        <f>'Proforma Construction'!I37</f>
        <v>76500</v>
      </c>
    </row>
    <row r="36" spans="2:9">
      <c r="B36" s="129" t="str">
        <f>'Proforma Construction'!B38</f>
        <v>Utilities</v>
      </c>
      <c r="C36" s="127"/>
      <c r="D36" s="127"/>
      <c r="E36" s="131" t="str">
        <f>'Proforma Construction'!E38</f>
        <v>Common Area</v>
      </c>
      <c r="F36" s="132">
        <f>'Proforma Construction'!F38</f>
        <v>3.0333491553835867E-2</v>
      </c>
      <c r="G36" s="133">
        <f>'Proforma Construction'!G38</f>
        <v>1130</v>
      </c>
      <c r="H36" s="134"/>
      <c r="I36" s="192">
        <f>'Proforma Construction'!I38</f>
        <v>192100</v>
      </c>
    </row>
    <row r="37" spans="2:9">
      <c r="B37" s="129" t="str">
        <f>'Proforma Construction'!B39</f>
        <v>Management Fee</v>
      </c>
      <c r="C37" s="127"/>
      <c r="D37" s="127"/>
      <c r="E37" s="131" t="str">
        <f>'Proforma Construction'!E39</f>
        <v>CMHC Bench</v>
      </c>
      <c r="F37" s="132">
        <f>'Proforma Construction'!F39</f>
        <v>4.2500000000000003E-2</v>
      </c>
      <c r="G37" s="133">
        <f>'Proforma Construction'!G39</f>
        <v>1583.2335</v>
      </c>
      <c r="H37" s="134"/>
      <c r="I37" s="192">
        <f>'Proforma Construction'!I39</f>
        <v>269149.69500000001</v>
      </c>
    </row>
    <row r="38" spans="2:9">
      <c r="B38" s="129" t="str">
        <f>'Proforma Construction'!B40</f>
        <v>Maintenance</v>
      </c>
      <c r="C38" s="127"/>
      <c r="D38" s="127"/>
      <c r="E38" s="131" t="str">
        <f>'Proforma Construction'!E40</f>
        <v>CMHC Bench</v>
      </c>
      <c r="F38" s="132">
        <f>'Proforma Construction'!F40</f>
        <v>2.2280352203259975E-2</v>
      </c>
      <c r="G38" s="133">
        <f>'Proforma Construction'!G40</f>
        <v>830</v>
      </c>
      <c r="H38" s="134"/>
      <c r="I38" s="192">
        <f>'Proforma Construction'!I40</f>
        <v>141100</v>
      </c>
    </row>
    <row r="39" spans="2:9">
      <c r="B39" s="129" t="str">
        <f>'Proforma Construction'!B41</f>
        <v>Wages &amp; Salaries</v>
      </c>
      <c r="C39" s="130"/>
      <c r="D39" s="130"/>
      <c r="E39" s="131" t="str">
        <f>'Proforma Construction'!E41</f>
        <v>CMHC Bench</v>
      </c>
      <c r="F39" s="132">
        <f>'Proforma Construction'!F41</f>
        <v>1.4898307798565404E-2</v>
      </c>
      <c r="G39" s="133">
        <f>'Proforma Construction'!G41</f>
        <v>555</v>
      </c>
      <c r="H39" s="130"/>
      <c r="I39" s="192">
        <f>'Proforma Construction'!I41</f>
        <v>94350</v>
      </c>
    </row>
    <row r="40" spans="2:9">
      <c r="B40" s="129" t="str">
        <f>'Proforma Construction'!B42</f>
        <v>General &amp; Admin</v>
      </c>
      <c r="C40" s="130"/>
      <c r="D40" s="130"/>
      <c r="E40" s="131" t="str">
        <f>'Proforma Construction'!E42</f>
        <v>CMHC Bench</v>
      </c>
      <c r="F40" s="132">
        <f>'Proforma Construction'!F42</f>
        <v>0.01</v>
      </c>
      <c r="G40" s="133">
        <f>'Proforma Construction'!G42</f>
        <v>372.52552941176475</v>
      </c>
      <c r="H40" s="134"/>
      <c r="I40" s="192">
        <f>'Proforma Construction'!I42</f>
        <v>63329.340000000004</v>
      </c>
    </row>
    <row r="41" spans="2:9">
      <c r="B41" s="129" t="str">
        <f>'Proforma Construction'!B43</f>
        <v>Replacement Reserve</v>
      </c>
      <c r="C41" s="130"/>
      <c r="D41" s="130"/>
      <c r="E41" s="131" t="str">
        <f>'Proforma Construction'!E43</f>
        <v>CMHC Bench</v>
      </c>
      <c r="F41" s="132">
        <f>'Proforma Construction'!F43</f>
        <v>8.0531393505758938E-3</v>
      </c>
      <c r="G41" s="133">
        <f>'Proforma Construction'!G43</f>
        <v>300</v>
      </c>
      <c r="H41" s="134"/>
      <c r="I41" s="192">
        <f>'Proforma Construction'!I43</f>
        <v>51000</v>
      </c>
    </row>
    <row r="42" spans="2:9">
      <c r="B42" s="129" t="str">
        <f>'Proforma Construction'!B44</f>
        <v>Replacement Reserve(Garden suite heat pump)</v>
      </c>
      <c r="C42" s="130"/>
      <c r="D42" s="130"/>
      <c r="E42" s="131" t="str">
        <f>'Proforma Construction'!E44</f>
        <v>CMHC Bench</v>
      </c>
      <c r="F42" s="132">
        <f>'Proforma Construction'!F44</f>
        <v>0</v>
      </c>
      <c r="G42" s="133">
        <f>'Proforma Construction'!G44</f>
        <v>0</v>
      </c>
      <c r="H42" s="134"/>
      <c r="I42" s="192">
        <f>'Proforma Construction'!I44</f>
        <v>0</v>
      </c>
    </row>
    <row r="43" spans="2:9">
      <c r="B43" s="135" t="s">
        <v>71</v>
      </c>
      <c r="C43" s="136"/>
      <c r="D43" s="136"/>
      <c r="E43" s="137"/>
      <c r="F43" s="138">
        <f>SUM(F34:F42)</f>
        <v>0.2312365856015553</v>
      </c>
      <c r="G43" s="139">
        <v>6863</v>
      </c>
      <c r="H43" s="140"/>
      <c r="I43" s="193">
        <f>SUM(I34:I42)</f>
        <v>1464406.0350000001</v>
      </c>
    </row>
    <row r="44" spans="2:9">
      <c r="B44" s="141"/>
      <c r="C44" s="127"/>
      <c r="D44" s="127"/>
      <c r="E44" s="127"/>
      <c r="F44" s="142"/>
      <c r="G44" s="127"/>
      <c r="H44" s="127"/>
      <c r="I44" s="191"/>
    </row>
    <row r="45" spans="2:9">
      <c r="B45" s="143" t="s">
        <v>155</v>
      </c>
      <c r="C45" s="144"/>
      <c r="D45" s="144"/>
      <c r="E45" s="144"/>
      <c r="F45" s="144"/>
      <c r="G45" s="144"/>
      <c r="H45" s="144"/>
      <c r="I45" s="194">
        <f>I30-I43</f>
        <v>970216.36499999976</v>
      </c>
    </row>
    <row r="46" spans="2:9">
      <c r="B46" s="704" t="s">
        <v>156</v>
      </c>
      <c r="C46" s="705"/>
      <c r="D46" s="705"/>
      <c r="E46" s="705"/>
      <c r="F46" s="705"/>
      <c r="G46" s="705"/>
      <c r="H46" s="705"/>
      <c r="I46" s="706"/>
    </row>
    <row r="47" spans="2:9">
      <c r="B47" s="145"/>
      <c r="C47" s="146" t="s">
        <v>157</v>
      </c>
      <c r="D47" s="146" t="s">
        <v>158</v>
      </c>
      <c r="E47" s="146" t="s">
        <v>159</v>
      </c>
      <c r="F47" s="146" t="s">
        <v>160</v>
      </c>
      <c r="G47" s="146" t="s">
        <v>42</v>
      </c>
      <c r="H47" s="146" t="s">
        <v>161</v>
      </c>
      <c r="I47" s="195" t="s">
        <v>162</v>
      </c>
    </row>
    <row r="48" spans="2:9">
      <c r="B48" s="129" t="s">
        <v>163</v>
      </c>
      <c r="C48" s="147">
        <f>E48/G77</f>
        <v>0.96735242488178041</v>
      </c>
      <c r="D48" s="147">
        <f>E48/C59</f>
        <v>3.8135823445938279</v>
      </c>
      <c r="E48" s="133">
        <f>'Proforma Construction'!E50</f>
        <v>92500000</v>
      </c>
      <c r="F48" s="148">
        <f>'Proforma Construction'!F50</f>
        <v>3.6999999999999998E-2</v>
      </c>
      <c r="G48" s="149">
        <f>'Proforma Construction'!G50</f>
        <v>40</v>
      </c>
      <c r="H48" s="150">
        <f>I45/I48</f>
        <v>0.21974700499847277</v>
      </c>
      <c r="I48" s="196">
        <f>IF(G48="IO",F48*E48,PMT((F48/2+1)^(1/6)-1,G48*12,-(E48))*12)</f>
        <v>4415151.7105170228</v>
      </c>
    </row>
    <row r="49" spans="2:10">
      <c r="B49" s="125" t="s">
        <v>164</v>
      </c>
      <c r="C49" s="127"/>
      <c r="D49" s="127"/>
      <c r="E49" s="127"/>
      <c r="F49" s="127"/>
      <c r="G49" s="127"/>
      <c r="H49" s="127"/>
      <c r="I49" s="197">
        <f>I45-I48</f>
        <v>-3444935.345517023</v>
      </c>
    </row>
    <row r="50" spans="2:10">
      <c r="B50" s="704" t="s">
        <v>165</v>
      </c>
      <c r="C50" s="705"/>
      <c r="D50" s="705"/>
      <c r="E50" s="705"/>
      <c r="F50" s="705"/>
      <c r="G50" s="705"/>
      <c r="H50" s="705"/>
      <c r="I50" s="706"/>
    </row>
    <row r="51" spans="2:10">
      <c r="B51" s="710" t="s">
        <v>156</v>
      </c>
      <c r="C51" s="711"/>
      <c r="D51" s="151"/>
      <c r="E51" s="151"/>
      <c r="F51" s="712" t="s">
        <v>166</v>
      </c>
      <c r="G51" s="712"/>
      <c r="H51" s="712"/>
      <c r="I51" s="713"/>
    </row>
    <row r="52" spans="2:10">
      <c r="B52" s="152" t="s">
        <v>167</v>
      </c>
      <c r="C52" s="153">
        <f>F12</f>
        <v>52416</v>
      </c>
      <c r="D52" s="154"/>
      <c r="E52" s="127"/>
      <c r="F52" s="152" t="s">
        <v>168</v>
      </c>
      <c r="G52" s="155"/>
      <c r="H52" s="156"/>
      <c r="I52" s="198">
        <f>E48</f>
        <v>92500000</v>
      </c>
    </row>
    <row r="53" spans="2:10">
      <c r="B53" s="157" t="s">
        <v>169</v>
      </c>
      <c r="C53" s="153">
        <f>C52/C12</f>
        <v>624</v>
      </c>
      <c r="D53" s="158"/>
      <c r="E53" s="159"/>
      <c r="F53" s="157" t="s">
        <v>170</v>
      </c>
      <c r="G53" s="160"/>
      <c r="H53" s="161"/>
      <c r="I53" s="199">
        <f>C59</f>
        <v>24255409.124999993</v>
      </c>
    </row>
    <row r="54" spans="2:10">
      <c r="B54" s="157" t="s">
        <v>171</v>
      </c>
      <c r="C54" s="162">
        <f>C12</f>
        <v>84</v>
      </c>
      <c r="D54" s="158"/>
      <c r="E54" s="127"/>
      <c r="F54" s="157" t="s">
        <v>158</v>
      </c>
      <c r="G54" s="160"/>
      <c r="H54" s="161"/>
      <c r="I54" s="200">
        <f>D48</f>
        <v>3.8135823445938279</v>
      </c>
    </row>
    <row r="55" spans="2:10">
      <c r="B55" s="157" t="s">
        <v>172</v>
      </c>
      <c r="C55" s="163">
        <f>H12</f>
        <v>209160</v>
      </c>
      <c r="D55" s="158"/>
      <c r="E55" s="127"/>
      <c r="F55" s="157" t="s">
        <v>157</v>
      </c>
      <c r="G55" s="160"/>
      <c r="H55" s="164"/>
      <c r="I55" s="200">
        <f>C48</f>
        <v>0.96735242488178041</v>
      </c>
    </row>
    <row r="56" spans="2:10">
      <c r="B56" s="157" t="s">
        <v>155</v>
      </c>
      <c r="C56" s="163">
        <f>I45</f>
        <v>970216.36499999976</v>
      </c>
      <c r="D56" s="158"/>
      <c r="E56" s="127"/>
      <c r="F56" s="157" t="s">
        <v>173</v>
      </c>
      <c r="G56" s="160"/>
      <c r="H56" s="164"/>
      <c r="I56" s="201">
        <f>I52/C52</f>
        <v>1764.7283272283273</v>
      </c>
    </row>
    <row r="57" spans="2:10">
      <c r="B57" s="157" t="s">
        <v>174</v>
      </c>
      <c r="C57" s="163">
        <f>C56/C54</f>
        <v>11550.194821428569</v>
      </c>
      <c r="D57" s="158"/>
      <c r="E57" s="127"/>
      <c r="F57" s="165" t="s">
        <v>175</v>
      </c>
      <c r="G57" s="166"/>
      <c r="H57" s="167"/>
      <c r="I57" s="202">
        <f>I52/C54</f>
        <v>1101190.4761904762</v>
      </c>
    </row>
    <row r="58" spans="2:10">
      <c r="B58" s="157" t="s">
        <v>176</v>
      </c>
      <c r="C58" s="168">
        <f>'Proforma Construction'!C60</f>
        <v>0.04</v>
      </c>
      <c r="D58" s="158"/>
      <c r="E58" s="130"/>
      <c r="F58" s="702" t="s">
        <v>177</v>
      </c>
      <c r="G58" s="702"/>
      <c r="H58" s="702"/>
      <c r="I58" s="703"/>
    </row>
    <row r="59" spans="2:10">
      <c r="B59" s="157" t="s">
        <v>178</v>
      </c>
      <c r="C59" s="163">
        <f>C56/C58</f>
        <v>24255409.124999993</v>
      </c>
      <c r="D59" s="169"/>
      <c r="E59" s="130"/>
      <c r="F59" s="152" t="s">
        <v>179</v>
      </c>
      <c r="G59" s="170"/>
      <c r="H59" s="171"/>
      <c r="I59" s="203">
        <f>I52</f>
        <v>92500000</v>
      </c>
    </row>
    <row r="60" spans="2:10">
      <c r="B60" s="165" t="s">
        <v>180</v>
      </c>
      <c r="C60" s="172">
        <f>C59/C54</f>
        <v>288754.8705357142</v>
      </c>
      <c r="D60" s="158"/>
      <c r="E60" s="130"/>
      <c r="F60" s="157" t="s">
        <v>181</v>
      </c>
      <c r="G60" s="164"/>
      <c r="H60" s="173"/>
      <c r="I60" s="204">
        <f>'Proforma Construction'!I62</f>
        <v>55000</v>
      </c>
    </row>
    <row r="61" spans="2:10">
      <c r="B61" s="174"/>
      <c r="C61" s="158"/>
      <c r="D61" s="158"/>
      <c r="E61" s="130"/>
      <c r="F61" s="157" t="s">
        <v>182</v>
      </c>
      <c r="G61" s="164"/>
      <c r="H61" s="173"/>
      <c r="I61" s="204">
        <f>'Proforma Construction'!I63</f>
        <v>4786875</v>
      </c>
    </row>
    <row r="62" spans="2:10">
      <c r="B62" s="174"/>
      <c r="C62" s="158"/>
      <c r="D62" s="158"/>
      <c r="E62" s="130"/>
      <c r="F62" s="157" t="s">
        <v>183</v>
      </c>
      <c r="G62" s="164"/>
      <c r="H62" s="173"/>
      <c r="I62" s="204">
        <f>SUM(I60:I61)</f>
        <v>4841875</v>
      </c>
    </row>
    <row r="63" spans="2:10">
      <c r="B63" s="174"/>
      <c r="C63" s="158"/>
      <c r="D63" s="158"/>
      <c r="E63" s="130"/>
      <c r="F63" s="165" t="s">
        <v>184</v>
      </c>
      <c r="G63" s="167"/>
      <c r="H63" s="175"/>
      <c r="I63" s="205">
        <f>I59+I62</f>
        <v>97341875</v>
      </c>
      <c r="J63" s="206"/>
    </row>
    <row r="64" spans="2:10">
      <c r="B64" s="176"/>
      <c r="C64" s="177"/>
      <c r="D64" s="177"/>
      <c r="E64" s="178"/>
      <c r="F64" s="179"/>
      <c r="G64" s="180"/>
      <c r="H64" s="179"/>
      <c r="I64" s="207"/>
    </row>
    <row r="65" spans="2:9">
      <c r="B65" s="208"/>
      <c r="C65" s="158"/>
      <c r="D65" s="158"/>
      <c r="E65" s="130"/>
      <c r="F65" s="127"/>
      <c r="G65" s="208"/>
      <c r="H65" s="127"/>
      <c r="I65" s="127"/>
    </row>
    <row r="66" spans="2:9">
      <c r="B66" s="208"/>
      <c r="C66" s="158"/>
      <c r="D66" s="158"/>
      <c r="E66" s="130"/>
      <c r="F66" s="127"/>
      <c r="G66" s="208"/>
      <c r="H66" s="127"/>
      <c r="I66" s="127"/>
    </row>
    <row r="67" spans="2:9">
      <c r="B67" s="704" t="str">
        <f>'Proforma Construction'!B69</f>
        <v>Capital Stack</v>
      </c>
      <c r="C67" s="705"/>
      <c r="D67" s="705"/>
      <c r="E67" s="705"/>
      <c r="F67" s="705"/>
      <c r="G67" s="705"/>
      <c r="H67" s="705"/>
      <c r="I67" s="706"/>
    </row>
    <row r="68" spans="2:9">
      <c r="B68" s="209" t="str">
        <f>'Proforma Construction'!B70</f>
        <v>Sources</v>
      </c>
      <c r="C68" s="210" t="str">
        <f>'Proforma Construction'!C70</f>
        <v>Amount</v>
      </c>
      <c r="D68" s="211" t="str">
        <f>'Proforma Construction'!D70</f>
        <v>%</v>
      </c>
      <c r="E68" s="212" t="str">
        <f>'Proforma Construction'!E70</f>
        <v>Uses</v>
      </c>
      <c r="F68" s="210"/>
      <c r="G68" s="213" t="str">
        <f>'Proforma Construction'!G70</f>
        <v>Amount</v>
      </c>
      <c r="H68" s="210" t="str">
        <f>'Proforma Construction'!H70</f>
        <v>Per Unit</v>
      </c>
      <c r="I68" s="211" t="str">
        <f>'Proforma Construction'!I70</f>
        <v>%</v>
      </c>
    </row>
    <row r="69" spans="2:9">
      <c r="B69" s="174" t="str">
        <f>'Proforma Construction'!B71</f>
        <v>First Mortgage</v>
      </c>
      <c r="C69" s="214">
        <f>'Proforma Construction'!C71</f>
        <v>92500000</v>
      </c>
      <c r="D69" s="215">
        <f>'Proforma Construction'!D71</f>
        <v>0.96735242488178041</v>
      </c>
      <c r="E69" s="141" t="str">
        <f>'Proforma Construction'!E71</f>
        <v>Land</v>
      </c>
      <c r="F69" s="127"/>
      <c r="G69" s="216">
        <f>'Proforma Construction'!G71</f>
        <v>10902956</v>
      </c>
      <c r="H69" s="217">
        <f>'Proforma Construction'!H71</f>
        <v>64135.035294117646</v>
      </c>
      <c r="I69" s="230">
        <f>'Proforma Construction'!I71</f>
        <v>0.11402163162139844</v>
      </c>
    </row>
    <row r="70" spans="2:9">
      <c r="B70" s="174" t="str">
        <f>'Proforma Construction'!B72</f>
        <v>Borrower's Equity</v>
      </c>
      <c r="C70" s="218">
        <f>'Proforma Construction'!C72</f>
        <v>3121820.5699999928</v>
      </c>
      <c r="D70" s="215">
        <f>'Proforma Construction'!D72</f>
        <v>3.264757511821962E-2</v>
      </c>
      <c r="E70" s="141" t="str">
        <f>'Proforma Construction'!E72</f>
        <v>Hard Costs</v>
      </c>
      <c r="F70" s="127"/>
      <c r="G70" s="216">
        <f>'Proforma Construction'!G72</f>
        <v>65683716</v>
      </c>
      <c r="H70" s="217">
        <f>'Proforma Construction'!H72</f>
        <v>386374.8</v>
      </c>
      <c r="I70" s="230">
        <f>'Proforma Construction'!I72</f>
        <v>0.68691137240914801</v>
      </c>
    </row>
    <row r="71" spans="2:9">
      <c r="B71" s="174"/>
      <c r="C71" s="158"/>
      <c r="D71" s="219"/>
      <c r="E71" s="141" t="str">
        <f>'Proforma Construction'!E73</f>
        <v>Soft Costs</v>
      </c>
      <c r="F71" s="127"/>
      <c r="G71" s="216">
        <f>'Proforma Construction'!G73</f>
        <v>10816785</v>
      </c>
      <c r="H71" s="217">
        <f>'Proforma Construction'!H73</f>
        <v>63628.147058823532</v>
      </c>
      <c r="I71" s="230">
        <f>'Proforma Construction'!I73</f>
        <v>0.11312046701810669</v>
      </c>
    </row>
    <row r="72" spans="2:9">
      <c r="B72" s="174"/>
      <c r="C72" s="158"/>
      <c r="D72" s="219"/>
      <c r="E72" s="220" t="str">
        <f>'Proforma Construction'!E74</f>
        <v>Contingency</v>
      </c>
      <c r="F72" s="221"/>
      <c r="G72" s="222">
        <f>'Proforma Construction'!G74</f>
        <v>1854513.57</v>
      </c>
      <c r="H72" s="223">
        <f>'Proforma Construction'!H74</f>
        <v>10908.903352941177</v>
      </c>
      <c r="I72" s="231">
        <f>'Proforma Construction'!I74</f>
        <v>1.9394250799088297E-2</v>
      </c>
    </row>
    <row r="73" spans="2:9">
      <c r="B73" s="174"/>
      <c r="C73" s="158"/>
      <c r="D73" s="219"/>
      <c r="E73" s="220" t="str">
        <f>'Proforma Construction'!E75</f>
        <v>Interest Reserve</v>
      </c>
      <c r="F73" s="221"/>
      <c r="G73" s="222">
        <f>'Proforma Construction'!G75</f>
        <v>3300000</v>
      </c>
      <c r="H73" s="223">
        <f>'Proforma Construction'!H75</f>
        <v>19411.764705882353</v>
      </c>
      <c r="I73" s="231">
        <f>'Proforma Construction'!I75</f>
        <v>3.4510951374160811E-2</v>
      </c>
    </row>
    <row r="74" spans="2:9">
      <c r="B74" s="174"/>
      <c r="C74" s="158"/>
      <c r="D74" s="219"/>
      <c r="E74" s="220" t="str">
        <f>'Proforma Construction'!E76</f>
        <v>Financing Fees</v>
      </c>
      <c r="F74" s="221"/>
      <c r="G74" s="222">
        <f>'Proforma Construction'!G76</f>
        <v>1387500</v>
      </c>
      <c r="H74" s="223">
        <f>'Proforma Construction'!H76</f>
        <v>8161.7647058823532</v>
      </c>
      <c r="I74" s="231">
        <f>'Proforma Construction'!I76</f>
        <v>1.4510286373226705E-2</v>
      </c>
    </row>
    <row r="75" spans="2:9">
      <c r="B75" s="174"/>
      <c r="C75" s="158"/>
      <c r="D75" s="219"/>
      <c r="E75" s="220" t="str">
        <f>'Proforma Construction'!E77</f>
        <v>GST</v>
      </c>
      <c r="F75" s="221"/>
      <c r="G75" s="222"/>
      <c r="H75" s="223"/>
      <c r="I75" s="231"/>
    </row>
    <row r="76" spans="2:9">
      <c r="B76" s="174"/>
      <c r="C76" s="158"/>
      <c r="D76" s="219"/>
      <c r="E76" s="220" t="str">
        <f>'Proforma Construction'!E78</f>
        <v>Marketing</v>
      </c>
      <c r="F76" s="221"/>
      <c r="G76" s="222"/>
      <c r="H76" s="223"/>
      <c r="I76" s="231"/>
    </row>
    <row r="77" spans="2:9">
      <c r="B77" s="224" t="str">
        <f>'Proforma Construction'!B79</f>
        <v>Total Source</v>
      </c>
      <c r="C77" s="225">
        <f>'Proforma Construction'!C79</f>
        <v>95621820.569999993</v>
      </c>
      <c r="D77" s="226">
        <f>'Proforma Construction'!D79</f>
        <v>1</v>
      </c>
      <c r="E77" s="227" t="str">
        <f>'Proforma Construction'!E79</f>
        <v>Total Uses</v>
      </c>
      <c r="F77" s="228"/>
      <c r="G77" s="229">
        <f>'Proforma Construction'!G79</f>
        <v>95621820.569999993</v>
      </c>
      <c r="H77" s="225">
        <f>'Proforma Construction'!H79</f>
        <v>562481.29747058824</v>
      </c>
      <c r="I77" s="226">
        <f>'Proforma Construction'!I79</f>
        <v>1</v>
      </c>
    </row>
  </sheetData>
  <mergeCells count="8">
    <mergeCell ref="F58:I58"/>
    <mergeCell ref="B67:I67"/>
    <mergeCell ref="B2:I2"/>
    <mergeCell ref="B3:I3"/>
    <mergeCell ref="B46:I46"/>
    <mergeCell ref="B50:I50"/>
    <mergeCell ref="B51:C51"/>
    <mergeCell ref="F51:I5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O29"/>
  <sheetViews>
    <sheetView zoomScale="80" zoomScaleNormal="80" workbookViewId="0">
      <selection activeCell="J18" sqref="J18"/>
    </sheetView>
  </sheetViews>
  <sheetFormatPr defaultColWidth="18.109375" defaultRowHeight="13.2"/>
  <cols>
    <col min="2" max="2" width="24.88671875" customWidth="1"/>
    <col min="7" max="7" width="17.109375" customWidth="1"/>
    <col min="9" max="9" width="9.5546875" customWidth="1"/>
  </cols>
  <sheetData>
    <row r="1" spans="2:15" ht="16.2" customHeight="1">
      <c r="B1" s="1009" t="s">
        <v>464</v>
      </c>
      <c r="C1" s="1010"/>
      <c r="D1" s="1010"/>
      <c r="E1" s="1010"/>
      <c r="F1" s="1010"/>
      <c r="G1" s="1011"/>
      <c r="I1" s="1012" t="s">
        <v>465</v>
      </c>
      <c r="J1" s="1013"/>
      <c r="K1" s="63"/>
      <c r="L1" s="63"/>
      <c r="M1" s="63"/>
      <c r="N1" s="63"/>
      <c r="O1" s="64"/>
    </row>
    <row r="2" spans="2:15" ht="13.8">
      <c r="B2" s="44" t="s">
        <v>466</v>
      </c>
      <c r="C2" s="45" t="s">
        <v>467</v>
      </c>
      <c r="D2" s="45" t="s">
        <v>468</v>
      </c>
      <c r="E2" s="45" t="s">
        <v>469</v>
      </c>
      <c r="F2" s="45" t="s">
        <v>470</v>
      </c>
      <c r="G2" s="45" t="s">
        <v>471</v>
      </c>
      <c r="I2" s="56" t="s">
        <v>472</v>
      </c>
      <c r="J2" s="57" t="s">
        <v>305</v>
      </c>
      <c r="K2" s="57" t="s">
        <v>473</v>
      </c>
      <c r="L2" s="57" t="s">
        <v>348</v>
      </c>
      <c r="M2" s="57" t="s">
        <v>474</v>
      </c>
      <c r="N2" s="57" t="s">
        <v>475</v>
      </c>
      <c r="O2" s="57" t="s">
        <v>476</v>
      </c>
    </row>
    <row r="3" spans="2:15" ht="13.8">
      <c r="B3" s="46" t="s">
        <v>477</v>
      </c>
      <c r="C3" s="47">
        <v>4</v>
      </c>
      <c r="D3" s="48">
        <f>C3/C5</f>
        <v>0.8</v>
      </c>
      <c r="E3" s="49">
        <v>2.5999999999999999E-2</v>
      </c>
      <c r="F3" s="48">
        <v>2.5999999999999999E-2</v>
      </c>
      <c r="G3" s="48">
        <v>0</v>
      </c>
      <c r="I3" s="46" t="s">
        <v>470</v>
      </c>
      <c r="J3" s="59" t="str">
        <f>C16</f>
        <v>119 Belgravia</v>
      </c>
      <c r="K3" s="47"/>
      <c r="L3" s="65">
        <v>3551457.7777777798</v>
      </c>
      <c r="M3" s="47">
        <v>5</v>
      </c>
      <c r="N3" s="53">
        <f>L3/M3</f>
        <v>710291.55555555597</v>
      </c>
      <c r="O3" s="48">
        <v>0.05</v>
      </c>
    </row>
    <row r="4" spans="2:15" ht="27.6">
      <c r="B4" s="46" t="s">
        <v>478</v>
      </c>
      <c r="C4" s="47">
        <v>1</v>
      </c>
      <c r="D4" s="48">
        <f>C4/C5</f>
        <v>0.2</v>
      </c>
      <c r="E4" s="49">
        <v>2.5000000000000001E-2</v>
      </c>
      <c r="F4" s="48">
        <v>2.5999999999999999E-2</v>
      </c>
      <c r="G4" s="48">
        <f>F4/E4-1</f>
        <v>3.99999999999998E-2</v>
      </c>
      <c r="I4" s="46">
        <v>1</v>
      </c>
      <c r="J4" s="47" t="s">
        <v>479</v>
      </c>
      <c r="K4" s="66" t="s">
        <v>480</v>
      </c>
      <c r="L4" s="67">
        <v>7180000</v>
      </c>
      <c r="M4" s="59">
        <v>10</v>
      </c>
      <c r="N4" s="53">
        <f t="shared" ref="N4:N12" si="0">L4/M4</f>
        <v>718000</v>
      </c>
      <c r="O4" s="48">
        <v>3.3000000000000002E-2</v>
      </c>
    </row>
    <row r="5" spans="2:15" ht="27.6">
      <c r="B5" s="44" t="s">
        <v>106</v>
      </c>
      <c r="C5" s="45">
        <f>SUM(C3:C4)</f>
        <v>5</v>
      </c>
      <c r="D5" s="50">
        <f>SUM(D3)</f>
        <v>0.8</v>
      </c>
      <c r="E5" s="51">
        <f>E3</f>
        <v>2.5999999999999999E-2</v>
      </c>
      <c r="F5" s="51">
        <v>2.5999999999999999E-2</v>
      </c>
      <c r="G5" s="51">
        <f>(G3*C3+G4*C4)/C5</f>
        <v>7.9999999999999603E-3</v>
      </c>
      <c r="I5" s="46">
        <v>2</v>
      </c>
      <c r="J5" s="47" t="s">
        <v>481</v>
      </c>
      <c r="K5" s="66" t="s">
        <v>480</v>
      </c>
      <c r="L5" s="67">
        <v>5575000</v>
      </c>
      <c r="M5" s="59">
        <v>9</v>
      </c>
      <c r="N5" s="53">
        <f t="shared" si="0"/>
        <v>619444.44444444403</v>
      </c>
      <c r="O5" s="48">
        <v>3.9E-2</v>
      </c>
    </row>
    <row r="6" spans="2:15" ht="27.6">
      <c r="B6" s="1009" t="s">
        <v>482</v>
      </c>
      <c r="C6" s="1010"/>
      <c r="D6" s="1010"/>
      <c r="E6" s="1010"/>
      <c r="F6" s="1010"/>
      <c r="G6" s="1011"/>
      <c r="I6" s="46">
        <v>3</v>
      </c>
      <c r="J6" s="47" t="s">
        <v>483</v>
      </c>
      <c r="K6" s="66" t="s">
        <v>484</v>
      </c>
      <c r="L6" s="67">
        <v>101000000</v>
      </c>
      <c r="M6" s="59">
        <v>319</v>
      </c>
      <c r="N6" s="53">
        <f t="shared" si="0"/>
        <v>316614.42006269598</v>
      </c>
      <c r="O6" s="48">
        <v>4.2000000000000003E-2</v>
      </c>
    </row>
    <row r="7" spans="2:15" ht="27.6">
      <c r="B7" s="44" t="s">
        <v>485</v>
      </c>
      <c r="C7" s="45" t="s">
        <v>486</v>
      </c>
      <c r="D7" s="45" t="s">
        <v>468</v>
      </c>
      <c r="E7" s="45" t="s">
        <v>469</v>
      </c>
      <c r="F7" s="45" t="s">
        <v>470</v>
      </c>
      <c r="G7" s="45" t="s">
        <v>471</v>
      </c>
      <c r="I7" s="46">
        <v>4</v>
      </c>
      <c r="J7" s="47" t="s">
        <v>487</v>
      </c>
      <c r="K7" s="66" t="s">
        <v>488</v>
      </c>
      <c r="L7" s="67">
        <v>2600000</v>
      </c>
      <c r="M7" s="59">
        <v>3</v>
      </c>
      <c r="N7" s="53">
        <f t="shared" si="0"/>
        <v>866666.66666666698</v>
      </c>
      <c r="O7" s="48">
        <v>3.8600000000000002E-2</v>
      </c>
    </row>
    <row r="8" spans="2:15" ht="27.6">
      <c r="B8" s="46" t="s">
        <v>489</v>
      </c>
      <c r="C8" s="47">
        <v>4</v>
      </c>
      <c r="D8" s="52">
        <f>C8/C10</f>
        <v>0.8</v>
      </c>
      <c r="E8" s="53">
        <v>2706</v>
      </c>
      <c r="F8" s="53">
        <v>3513</v>
      </c>
      <c r="G8" s="52">
        <f>F8/E8-1</f>
        <v>0.298226164079823</v>
      </c>
      <c r="I8" s="46">
        <v>5</v>
      </c>
      <c r="J8" s="47" t="s">
        <v>490</v>
      </c>
      <c r="K8" s="66" t="s">
        <v>491</v>
      </c>
      <c r="L8" s="67">
        <v>7480000</v>
      </c>
      <c r="M8" s="59">
        <v>35</v>
      </c>
      <c r="N8" s="53">
        <f t="shared" si="0"/>
        <v>213714.285714286</v>
      </c>
      <c r="O8" s="48">
        <v>3.5900000000000001E-2</v>
      </c>
    </row>
    <row r="9" spans="2:15" ht="27.6">
      <c r="B9" s="46" t="s">
        <v>492</v>
      </c>
      <c r="C9" s="47">
        <v>1</v>
      </c>
      <c r="D9" s="52">
        <f>C9/C10</f>
        <v>0.2</v>
      </c>
      <c r="E9" s="53">
        <v>1665</v>
      </c>
      <c r="F9" s="53">
        <v>2750</v>
      </c>
      <c r="G9" s="52">
        <f>F9/E9-1</f>
        <v>0.65165165165165195</v>
      </c>
      <c r="I9" s="46">
        <v>6</v>
      </c>
      <c r="J9" s="47" t="s">
        <v>493</v>
      </c>
      <c r="K9" s="66" t="s">
        <v>491</v>
      </c>
      <c r="L9" s="67">
        <v>25880000</v>
      </c>
      <c r="M9" s="59">
        <v>94</v>
      </c>
      <c r="N9" s="53">
        <f t="shared" si="0"/>
        <v>275319.14893616998</v>
      </c>
      <c r="O9" s="48">
        <v>3.6999999999999998E-2</v>
      </c>
    </row>
    <row r="10" spans="2:15" ht="27.6">
      <c r="B10" s="44"/>
      <c r="C10" s="45">
        <f>SUM(C8:C9)</f>
        <v>5</v>
      </c>
      <c r="D10" s="54">
        <f>SUM(D8:D9)</f>
        <v>1</v>
      </c>
      <c r="E10" s="55">
        <f>(E8*C8+E9*C9)/C10</f>
        <v>2497.8000000000002</v>
      </c>
      <c r="F10" s="55">
        <f>(F8*C8+F9*C9)/C10</f>
        <v>3360.4</v>
      </c>
      <c r="G10" s="54">
        <f>(G8*C8+G9*C9)/C10</f>
        <v>0.36891126159418902</v>
      </c>
      <c r="I10" s="46">
        <v>7</v>
      </c>
      <c r="J10" s="47" t="s">
        <v>494</v>
      </c>
      <c r="K10" s="66" t="s">
        <v>491</v>
      </c>
      <c r="L10" s="67">
        <v>8228000</v>
      </c>
      <c r="M10" s="59">
        <v>33</v>
      </c>
      <c r="N10" s="53">
        <f t="shared" si="0"/>
        <v>249333.33333333299</v>
      </c>
      <c r="O10" s="48">
        <v>2.7300000000000001E-2</v>
      </c>
    </row>
    <row r="11" spans="2:15" ht="27.6">
      <c r="I11" s="46">
        <v>8</v>
      </c>
      <c r="J11" s="47" t="s">
        <v>495</v>
      </c>
      <c r="K11" s="66" t="s">
        <v>496</v>
      </c>
      <c r="L11" s="67">
        <v>7175000</v>
      </c>
      <c r="M11" s="59">
        <v>27</v>
      </c>
      <c r="N11" s="53">
        <f t="shared" si="0"/>
        <v>265740.74074074102</v>
      </c>
      <c r="O11" s="48">
        <v>3.7499999999999999E-2</v>
      </c>
    </row>
    <row r="12" spans="2:15" ht="27.6">
      <c r="I12" s="46">
        <v>9</v>
      </c>
      <c r="J12" s="47" t="s">
        <v>497</v>
      </c>
      <c r="K12" s="66" t="s">
        <v>498</v>
      </c>
      <c r="L12" s="67">
        <v>2864900</v>
      </c>
      <c r="M12" s="59">
        <v>5</v>
      </c>
      <c r="N12" s="53">
        <f t="shared" si="0"/>
        <v>572980</v>
      </c>
      <c r="O12" s="48">
        <v>4.6199999999999998E-2</v>
      </c>
    </row>
    <row r="13" spans="2:15" ht="13.8">
      <c r="I13" s="46"/>
      <c r="J13" s="47"/>
      <c r="K13" s="45" t="s">
        <v>499</v>
      </c>
      <c r="L13" s="55">
        <f>AVERAGE(L4:L12)</f>
        <v>18664766.666666701</v>
      </c>
      <c r="M13" s="68">
        <f>AVERAGE(M4:M12)</f>
        <v>59.4444444444444</v>
      </c>
      <c r="N13" s="55">
        <f>AVERAGE(N4:N12)</f>
        <v>455312.55998870399</v>
      </c>
      <c r="O13" s="54">
        <f>AVERAGE(O4:O12)</f>
        <v>3.7388888888888902E-2</v>
      </c>
    </row>
    <row r="14" spans="2:15" ht="16.95" customHeight="1">
      <c r="B14" s="1014" t="s">
        <v>500</v>
      </c>
      <c r="C14" s="1015"/>
      <c r="D14" s="1015"/>
      <c r="E14" s="1016"/>
      <c r="I14" s="46"/>
      <c r="J14" s="47"/>
      <c r="K14" s="45" t="s">
        <v>501</v>
      </c>
      <c r="L14" s="55">
        <f>MIN(L4:L12)</f>
        <v>2600000</v>
      </c>
      <c r="M14" s="69">
        <f>MIN(M4:M12)</f>
        <v>3</v>
      </c>
      <c r="N14" s="55">
        <f>MIN(N4:N12)</f>
        <v>213714.285714286</v>
      </c>
      <c r="O14" s="54">
        <f>MIN(O4:O12)</f>
        <v>2.7300000000000001E-2</v>
      </c>
    </row>
    <row r="15" spans="2:15" ht="14.4" customHeight="1">
      <c r="B15" s="56" t="s">
        <v>472</v>
      </c>
      <c r="C15" s="57" t="s">
        <v>305</v>
      </c>
      <c r="D15" s="45" t="s">
        <v>502</v>
      </c>
      <c r="E15" s="45" t="s">
        <v>503</v>
      </c>
      <c r="I15" s="46"/>
      <c r="J15" s="47"/>
      <c r="K15" s="45" t="s">
        <v>504</v>
      </c>
      <c r="L15" s="55">
        <f>MAX(L4:L12)</f>
        <v>101000000</v>
      </c>
      <c r="M15" s="69">
        <f>MAX(M4:M12)</f>
        <v>319</v>
      </c>
      <c r="N15" s="55">
        <f>MAX(N4:N12)</f>
        <v>866666.66666666698</v>
      </c>
      <c r="O15" s="54">
        <f>MAX(O4:O12)</f>
        <v>4.6199999999999998E-2</v>
      </c>
    </row>
    <row r="16" spans="2:15" ht="13.8">
      <c r="B16" s="58" t="s">
        <v>470</v>
      </c>
      <c r="C16" s="59" t="s">
        <v>505</v>
      </c>
      <c r="D16" s="59" t="s">
        <v>506</v>
      </c>
      <c r="E16" s="60">
        <v>3513</v>
      </c>
    </row>
    <row r="17" spans="2:5" ht="13.8">
      <c r="B17" s="58" t="s">
        <v>470</v>
      </c>
      <c r="C17" s="59" t="s">
        <v>505</v>
      </c>
      <c r="D17" s="59" t="s">
        <v>507</v>
      </c>
      <c r="E17" s="60">
        <v>2750</v>
      </c>
    </row>
    <row r="18" spans="2:5" ht="27.6">
      <c r="B18" s="58">
        <v>1</v>
      </c>
      <c r="C18" s="47" t="s">
        <v>508</v>
      </c>
      <c r="D18" s="47" t="s">
        <v>509</v>
      </c>
      <c r="E18" s="61">
        <v>3600</v>
      </c>
    </row>
    <row r="19" spans="2:5" ht="27.6">
      <c r="B19" s="58">
        <v>2</v>
      </c>
      <c r="C19" s="47" t="s">
        <v>510</v>
      </c>
      <c r="D19" s="47" t="s">
        <v>511</v>
      </c>
      <c r="E19" s="61">
        <v>3750</v>
      </c>
    </row>
    <row r="20" spans="2:5" ht="41.4">
      <c r="B20" s="58">
        <v>3</v>
      </c>
      <c r="C20" s="47" t="s">
        <v>512</v>
      </c>
      <c r="D20" s="47" t="s">
        <v>513</v>
      </c>
      <c r="E20" s="61">
        <v>3650</v>
      </c>
    </row>
    <row r="21" spans="2:5" ht="27.6">
      <c r="B21" s="58">
        <v>4</v>
      </c>
      <c r="C21" s="47" t="s">
        <v>514</v>
      </c>
      <c r="D21" s="47" t="s">
        <v>513</v>
      </c>
      <c r="E21" s="61">
        <v>3400</v>
      </c>
    </row>
    <row r="22" spans="2:5" ht="27.6">
      <c r="B22" s="58">
        <v>5</v>
      </c>
      <c r="C22" s="47" t="s">
        <v>515</v>
      </c>
      <c r="D22" s="47" t="s">
        <v>516</v>
      </c>
      <c r="E22" s="61">
        <v>3745</v>
      </c>
    </row>
    <row r="23" spans="2:5" ht="27.6">
      <c r="B23" s="58">
        <v>6</v>
      </c>
      <c r="C23" s="47" t="s">
        <v>517</v>
      </c>
      <c r="D23" s="47" t="s">
        <v>518</v>
      </c>
      <c r="E23" s="61">
        <v>3750</v>
      </c>
    </row>
    <row r="24" spans="2:5" ht="27.6">
      <c r="B24" s="58">
        <v>7</v>
      </c>
      <c r="C24" s="47" t="s">
        <v>519</v>
      </c>
      <c r="D24" s="47" t="s">
        <v>513</v>
      </c>
      <c r="E24" s="61">
        <v>3400</v>
      </c>
    </row>
    <row r="25" spans="2:5" ht="27.6">
      <c r="B25" s="58">
        <v>8</v>
      </c>
      <c r="C25" s="47" t="s">
        <v>520</v>
      </c>
      <c r="D25" s="47" t="s">
        <v>521</v>
      </c>
      <c r="E25" s="61">
        <v>2800</v>
      </c>
    </row>
    <row r="26" spans="2:5" ht="41.4">
      <c r="B26" s="58">
        <v>9</v>
      </c>
      <c r="C26" s="47" t="s">
        <v>522</v>
      </c>
      <c r="D26" s="47" t="s">
        <v>523</v>
      </c>
      <c r="E26" s="61">
        <v>2700</v>
      </c>
    </row>
    <row r="27" spans="2:5" ht="13.8">
      <c r="B27" s="1017" t="s">
        <v>499</v>
      </c>
      <c r="C27" s="1018"/>
      <c r="D27" s="45" t="s">
        <v>524</v>
      </c>
      <c r="E27" s="62">
        <f>AVERAGE(E18:E24)</f>
        <v>3613.5714285714298</v>
      </c>
    </row>
    <row r="28" spans="2:5" ht="13.8">
      <c r="B28" s="1019"/>
      <c r="C28" s="1020"/>
      <c r="D28" s="45" t="s">
        <v>525</v>
      </c>
      <c r="E28" s="62">
        <f>AVERAGE(E25:E26)</f>
        <v>2750</v>
      </c>
    </row>
    <row r="29" spans="2:5" ht="13.8">
      <c r="B29" s="1019"/>
      <c r="C29" s="1020"/>
      <c r="D29" s="45" t="s">
        <v>425</v>
      </c>
      <c r="E29" s="62">
        <f>AVERAGE(E18:E26)</f>
        <v>3421.6666666666702</v>
      </c>
    </row>
  </sheetData>
  <mergeCells count="5">
    <mergeCell ref="B1:G1"/>
    <mergeCell ref="I1:J1"/>
    <mergeCell ref="B6:G6"/>
    <mergeCell ref="B14:E14"/>
    <mergeCell ref="B27:C2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72"/>
  <sheetViews>
    <sheetView topLeftCell="F39" workbookViewId="0">
      <selection activeCell="K46" sqref="K46"/>
    </sheetView>
  </sheetViews>
  <sheetFormatPr defaultColWidth="8.6640625" defaultRowHeight="13.2"/>
  <cols>
    <col min="1" max="2" width="44.6640625" customWidth="1"/>
    <col min="3" max="3" width="28.44140625" customWidth="1"/>
    <col min="5" max="5" width="9.6640625" customWidth="1"/>
    <col min="6" max="6" width="37.44140625" customWidth="1"/>
    <col min="7" max="7" width="33.109375" customWidth="1"/>
    <col min="8" max="8" width="10.44140625" customWidth="1"/>
    <col min="9" max="9" width="15.6640625" customWidth="1"/>
    <col min="10" max="10" width="36.44140625" customWidth="1"/>
    <col min="11" max="11" width="45.6640625" customWidth="1"/>
    <col min="12" max="14" width="13.33203125" customWidth="1"/>
    <col min="15" max="15" width="22.6640625" customWidth="1"/>
    <col min="16" max="16" width="12.6640625" customWidth="1"/>
    <col min="18" max="18" width="18.6640625" customWidth="1"/>
    <col min="19" max="19" width="19.6640625" customWidth="1"/>
    <col min="20" max="20" width="17.109375" customWidth="1"/>
    <col min="21" max="21" width="11.109375" customWidth="1"/>
  </cols>
  <sheetData>
    <row r="1" spans="1:21" ht="14.4">
      <c r="A1" s="1" t="s">
        <v>526</v>
      </c>
      <c r="B1" s="1" t="s">
        <v>526</v>
      </c>
      <c r="C1" s="2">
        <v>46900</v>
      </c>
      <c r="L1" s="6" t="s">
        <v>527</v>
      </c>
      <c r="M1" s="6" t="s">
        <v>152</v>
      </c>
      <c r="N1" s="6" t="s">
        <v>528</v>
      </c>
      <c r="O1" s="6" t="s">
        <v>529</v>
      </c>
      <c r="P1" s="6" t="s">
        <v>530</v>
      </c>
      <c r="Q1" s="6" t="s">
        <v>531</v>
      </c>
      <c r="R1" s="6" t="s">
        <v>532</v>
      </c>
      <c r="S1" s="6" t="s">
        <v>533</v>
      </c>
      <c r="T1" s="6" t="s">
        <v>534</v>
      </c>
      <c r="U1" s="6" t="s">
        <v>535</v>
      </c>
    </row>
    <row r="2" spans="1:21">
      <c r="A2" s="3" t="s">
        <v>536</v>
      </c>
      <c r="B2" s="3" t="str">
        <f>_xlfn.CONCAT("Province - ",A2)</f>
        <v>Province - Alberta</v>
      </c>
      <c r="C2" s="2">
        <v>61500</v>
      </c>
      <c r="F2" t="s">
        <v>2</v>
      </c>
      <c r="I2" t="s">
        <v>537</v>
      </c>
      <c r="J2" t="s">
        <v>538</v>
      </c>
      <c r="K2" t="str">
        <f>_xlfn.CONCAT(I2," - ",J2)</f>
        <v>Atlantic - Wood Frame 11 units and less</v>
      </c>
      <c r="L2" t="s">
        <v>539</v>
      </c>
      <c r="M2" t="s">
        <v>539</v>
      </c>
      <c r="N2" t="s">
        <v>539</v>
      </c>
      <c r="O2">
        <v>610</v>
      </c>
      <c r="P2" s="7">
        <v>4.2500000000000003E-2</v>
      </c>
      <c r="Q2">
        <v>420</v>
      </c>
      <c r="R2">
        <v>60</v>
      </c>
      <c r="S2">
        <v>190</v>
      </c>
      <c r="T2">
        <v>300</v>
      </c>
      <c r="U2" s="35">
        <v>0.01</v>
      </c>
    </row>
    <row r="3" spans="1:21">
      <c r="A3" s="3" t="s">
        <v>540</v>
      </c>
      <c r="B3" s="3" t="str">
        <f t="shared" ref="B3:B14" si="0">_xlfn.CONCAT("Province - ",A3)</f>
        <v>Province - Colombie-Britannique</v>
      </c>
      <c r="C3" s="2">
        <v>57600</v>
      </c>
      <c r="F3" t="s">
        <v>541</v>
      </c>
      <c r="I3" t="s">
        <v>537</v>
      </c>
      <c r="J3" t="s">
        <v>542</v>
      </c>
      <c r="K3" t="str">
        <f t="shared" ref="K3:K16" si="1">_xlfn.CONCAT(I3," - ",J3)</f>
        <v>Atlantic - Wood Frame 12 units and more</v>
      </c>
      <c r="L3" t="s">
        <v>539</v>
      </c>
      <c r="M3" t="s">
        <v>539</v>
      </c>
      <c r="N3" t="s">
        <v>539</v>
      </c>
      <c r="O3">
        <v>610</v>
      </c>
      <c r="P3" s="7">
        <v>4.2500000000000003E-2</v>
      </c>
      <c r="Q3">
        <v>420</v>
      </c>
      <c r="R3">
        <v>60</v>
      </c>
      <c r="S3">
        <v>190</v>
      </c>
      <c r="T3">
        <v>300</v>
      </c>
      <c r="U3" s="35">
        <v>0.01</v>
      </c>
    </row>
    <row r="4" spans="1:21">
      <c r="A4" s="3" t="s">
        <v>543</v>
      </c>
      <c r="B4" s="3" t="str">
        <f t="shared" si="0"/>
        <v>Province - Ile-du-Prince-Édouard</v>
      </c>
      <c r="C4" s="2">
        <v>47400</v>
      </c>
      <c r="I4" t="s">
        <v>537</v>
      </c>
      <c r="J4" t="s">
        <v>544</v>
      </c>
      <c r="K4" t="str">
        <f t="shared" si="1"/>
        <v>Atlantic - Concrete</v>
      </c>
      <c r="L4" t="s">
        <v>539</v>
      </c>
      <c r="M4" t="s">
        <v>539</v>
      </c>
      <c r="N4" t="s">
        <v>539</v>
      </c>
      <c r="O4">
        <v>825</v>
      </c>
      <c r="P4" s="7">
        <v>4.2500000000000003E-2</v>
      </c>
      <c r="Q4">
        <v>610</v>
      </c>
      <c r="R4">
        <v>60</v>
      </c>
      <c r="S4">
        <v>190</v>
      </c>
      <c r="T4">
        <v>0</v>
      </c>
      <c r="U4" s="35">
        <v>1.2999999999999999E-2</v>
      </c>
    </row>
    <row r="5" spans="1:21">
      <c r="A5" s="3" t="s">
        <v>545</v>
      </c>
      <c r="B5" s="3" t="str">
        <f t="shared" si="0"/>
        <v>Province - Manitoba</v>
      </c>
      <c r="C5" s="2">
        <v>41700</v>
      </c>
      <c r="I5" t="s">
        <v>546</v>
      </c>
      <c r="J5" t="s">
        <v>538</v>
      </c>
      <c r="K5" t="str">
        <f t="shared" si="1"/>
        <v>Quebec - Wood Frame 11 units and less</v>
      </c>
      <c r="L5" t="s">
        <v>539</v>
      </c>
      <c r="M5" t="s">
        <v>539</v>
      </c>
      <c r="N5" t="s">
        <v>539</v>
      </c>
      <c r="O5">
        <v>610</v>
      </c>
      <c r="P5" s="7">
        <v>4.2500000000000003E-2</v>
      </c>
      <c r="Q5">
        <v>215</v>
      </c>
      <c r="R5">
        <v>60</v>
      </c>
      <c r="S5">
        <v>190</v>
      </c>
      <c r="T5">
        <v>300</v>
      </c>
      <c r="U5" s="35">
        <v>0</v>
      </c>
    </row>
    <row r="6" spans="1:21">
      <c r="A6" s="3" t="s">
        <v>547</v>
      </c>
      <c r="B6" s="3" t="str">
        <f t="shared" si="0"/>
        <v>Province - Nouveau-Brunswick</v>
      </c>
      <c r="C6" s="2">
        <v>43200</v>
      </c>
      <c r="F6" t="s">
        <v>22</v>
      </c>
      <c r="I6" t="s">
        <v>546</v>
      </c>
      <c r="J6" t="s">
        <v>542</v>
      </c>
      <c r="K6" t="str">
        <f t="shared" si="1"/>
        <v>Quebec - Wood Frame 12 units and more</v>
      </c>
      <c r="L6" t="s">
        <v>539</v>
      </c>
      <c r="M6" t="s">
        <v>539</v>
      </c>
      <c r="N6" t="s">
        <v>539</v>
      </c>
      <c r="O6">
        <v>610</v>
      </c>
      <c r="P6" s="7">
        <v>0.05</v>
      </c>
      <c r="Q6">
        <v>365</v>
      </c>
      <c r="R6">
        <v>60</v>
      </c>
      <c r="S6">
        <v>190</v>
      </c>
      <c r="T6">
        <v>300</v>
      </c>
      <c r="U6" s="35">
        <v>0</v>
      </c>
    </row>
    <row r="7" spans="1:21">
      <c r="A7" s="3" t="s">
        <v>548</v>
      </c>
      <c r="B7" s="3" t="str">
        <f t="shared" si="0"/>
        <v>Province - Nouvelle-Écosse</v>
      </c>
      <c r="C7" s="2">
        <v>45000</v>
      </c>
      <c r="F7" t="s">
        <v>549</v>
      </c>
      <c r="I7" t="s">
        <v>546</v>
      </c>
      <c r="J7" t="s">
        <v>544</v>
      </c>
      <c r="K7" t="str">
        <f t="shared" si="1"/>
        <v>Quebec - Concrete</v>
      </c>
      <c r="L7" t="s">
        <v>539</v>
      </c>
      <c r="M7" t="s">
        <v>539</v>
      </c>
      <c r="N7" t="s">
        <v>539</v>
      </c>
      <c r="O7">
        <v>925</v>
      </c>
      <c r="P7" s="7">
        <v>0.05</v>
      </c>
      <c r="Q7">
        <v>610</v>
      </c>
      <c r="R7">
        <v>60</v>
      </c>
      <c r="S7">
        <v>190</v>
      </c>
      <c r="T7">
        <v>0</v>
      </c>
      <c r="U7" s="35">
        <v>0</v>
      </c>
    </row>
    <row r="8" spans="1:21">
      <c r="A8" s="3" t="s">
        <v>550</v>
      </c>
      <c r="B8" s="3" t="str">
        <f t="shared" si="0"/>
        <v>Province - Nunavut</v>
      </c>
      <c r="C8" s="2">
        <v>93900</v>
      </c>
      <c r="I8" t="s">
        <v>551</v>
      </c>
      <c r="J8" t="s">
        <v>538</v>
      </c>
      <c r="K8" t="str">
        <f t="shared" si="1"/>
        <v>Ontario - Wood Frame 11 units and less</v>
      </c>
      <c r="L8" t="s">
        <v>539</v>
      </c>
      <c r="M8" t="s">
        <v>539</v>
      </c>
      <c r="N8" t="s">
        <v>539</v>
      </c>
      <c r="O8">
        <v>830</v>
      </c>
      <c r="P8" s="7">
        <v>4.2500000000000003E-2</v>
      </c>
      <c r="Q8">
        <v>555</v>
      </c>
      <c r="R8">
        <v>60</v>
      </c>
      <c r="S8">
        <v>190</v>
      </c>
      <c r="T8">
        <v>300</v>
      </c>
      <c r="U8" s="35">
        <v>0.01</v>
      </c>
    </row>
    <row r="9" spans="1:21">
      <c r="A9" s="3" t="s">
        <v>551</v>
      </c>
      <c r="B9" s="3" t="str">
        <f t="shared" si="0"/>
        <v>Province - Ontario</v>
      </c>
      <c r="C9" s="2">
        <v>48600</v>
      </c>
      <c r="F9" t="s">
        <v>33</v>
      </c>
      <c r="I9" t="s">
        <v>551</v>
      </c>
      <c r="J9" t="s">
        <v>542</v>
      </c>
      <c r="K9" t="str">
        <f t="shared" si="1"/>
        <v>Ontario - Wood Frame 12 units and more</v>
      </c>
      <c r="L9" t="s">
        <v>539</v>
      </c>
      <c r="M9" t="s">
        <v>539</v>
      </c>
      <c r="N9" t="s">
        <v>539</v>
      </c>
      <c r="O9">
        <v>830</v>
      </c>
      <c r="P9" s="7">
        <v>4.2500000000000003E-2</v>
      </c>
      <c r="Q9">
        <v>555</v>
      </c>
      <c r="R9">
        <v>60</v>
      </c>
      <c r="S9">
        <v>190</v>
      </c>
      <c r="T9">
        <v>300</v>
      </c>
      <c r="U9" s="35">
        <v>0.01</v>
      </c>
    </row>
    <row r="10" spans="1:21">
      <c r="A10" s="3" t="s">
        <v>552</v>
      </c>
      <c r="B10" s="3" t="str">
        <f t="shared" si="0"/>
        <v>Province - Québec</v>
      </c>
      <c r="C10" s="2">
        <v>40900</v>
      </c>
      <c r="F10" t="s">
        <v>16</v>
      </c>
      <c r="I10" t="s">
        <v>551</v>
      </c>
      <c r="J10" t="s">
        <v>544</v>
      </c>
      <c r="K10" t="str">
        <f t="shared" si="1"/>
        <v>Ontario - Concrete</v>
      </c>
      <c r="L10" t="s">
        <v>539</v>
      </c>
      <c r="M10" t="s">
        <v>539</v>
      </c>
      <c r="N10" t="s">
        <v>539</v>
      </c>
      <c r="O10">
        <v>975</v>
      </c>
      <c r="P10" s="7">
        <v>4.2500000000000003E-2</v>
      </c>
      <c r="Q10">
        <v>700</v>
      </c>
      <c r="R10">
        <v>60</v>
      </c>
      <c r="S10">
        <v>190</v>
      </c>
      <c r="T10">
        <v>0</v>
      </c>
      <c r="U10" s="35">
        <v>0.01</v>
      </c>
    </row>
    <row r="11" spans="1:21">
      <c r="A11" s="3" t="s">
        <v>553</v>
      </c>
      <c r="B11" s="3" t="str">
        <f t="shared" si="0"/>
        <v>Province - Saskatchewan</v>
      </c>
      <c r="C11" s="2">
        <v>43600</v>
      </c>
      <c r="F11" t="s">
        <v>17</v>
      </c>
      <c r="I11" t="s">
        <v>554</v>
      </c>
      <c r="J11" t="s">
        <v>538</v>
      </c>
      <c r="K11" t="str">
        <f t="shared" si="1"/>
        <v>Prairies - Wood Frame 11 units and less</v>
      </c>
      <c r="L11" t="s">
        <v>539</v>
      </c>
      <c r="M11" t="s">
        <v>539</v>
      </c>
      <c r="N11" t="s">
        <v>539</v>
      </c>
      <c r="O11">
        <v>830</v>
      </c>
      <c r="P11" s="7">
        <v>4.2500000000000003E-2</v>
      </c>
      <c r="Q11">
        <v>500</v>
      </c>
      <c r="R11">
        <v>60</v>
      </c>
      <c r="S11">
        <v>190</v>
      </c>
      <c r="T11">
        <v>300</v>
      </c>
      <c r="U11" s="35">
        <v>0.02</v>
      </c>
    </row>
    <row r="12" spans="1:21">
      <c r="A12" s="3" t="s">
        <v>555</v>
      </c>
      <c r="B12" s="3" t="str">
        <f t="shared" si="0"/>
        <v>Province - Terre-Neuve-et-Labrador</v>
      </c>
      <c r="C12" s="2">
        <v>44800</v>
      </c>
      <c r="F12" t="s">
        <v>18</v>
      </c>
      <c r="I12" t="s">
        <v>554</v>
      </c>
      <c r="J12" t="s">
        <v>542</v>
      </c>
      <c r="K12" t="str">
        <f t="shared" si="1"/>
        <v>Prairies - Wood Frame 12 units and more</v>
      </c>
      <c r="L12" t="s">
        <v>539</v>
      </c>
      <c r="M12" t="s">
        <v>539</v>
      </c>
      <c r="N12" t="s">
        <v>539</v>
      </c>
      <c r="O12">
        <v>830</v>
      </c>
      <c r="P12" s="7">
        <v>4.2500000000000003E-2</v>
      </c>
      <c r="Q12">
        <v>500</v>
      </c>
      <c r="R12">
        <v>60</v>
      </c>
      <c r="S12">
        <v>190</v>
      </c>
      <c r="T12">
        <v>300</v>
      </c>
      <c r="U12" s="35">
        <v>0.02</v>
      </c>
    </row>
    <row r="13" spans="1:21">
      <c r="A13" s="3" t="s">
        <v>556</v>
      </c>
      <c r="B13" s="3" t="str">
        <f t="shared" si="0"/>
        <v>Province - Territoires du Nord-Ouest</v>
      </c>
      <c r="C13" s="2">
        <v>76000</v>
      </c>
      <c r="I13" t="s">
        <v>554</v>
      </c>
      <c r="J13" t="s">
        <v>544</v>
      </c>
      <c r="K13" t="str">
        <f t="shared" si="1"/>
        <v>Prairies - Concrete</v>
      </c>
      <c r="L13" t="s">
        <v>539</v>
      </c>
      <c r="M13" t="s">
        <v>539</v>
      </c>
      <c r="N13" t="s">
        <v>539</v>
      </c>
      <c r="O13">
        <v>975</v>
      </c>
      <c r="P13" s="7">
        <v>4.2500000000000003E-2</v>
      </c>
      <c r="Q13">
        <v>665</v>
      </c>
      <c r="R13">
        <v>60</v>
      </c>
      <c r="S13">
        <v>190</v>
      </c>
      <c r="T13">
        <v>0</v>
      </c>
      <c r="U13" s="35">
        <v>0.02</v>
      </c>
    </row>
    <row r="14" spans="1:21">
      <c r="A14" s="3" t="s">
        <v>557</v>
      </c>
      <c r="B14" s="3" t="str">
        <f t="shared" si="0"/>
        <v>Province - Yukon</v>
      </c>
      <c r="C14" s="2">
        <v>67400</v>
      </c>
      <c r="I14" t="s">
        <v>558</v>
      </c>
      <c r="J14" t="s">
        <v>538</v>
      </c>
      <c r="K14" t="str">
        <f t="shared" si="1"/>
        <v>British Columbia - Wood Frame 11 units and less</v>
      </c>
      <c r="L14" t="s">
        <v>539</v>
      </c>
      <c r="M14" t="s">
        <v>539</v>
      </c>
      <c r="N14" t="s">
        <v>539</v>
      </c>
      <c r="O14">
        <v>830</v>
      </c>
      <c r="P14" s="7">
        <v>4.2500000000000003E-2</v>
      </c>
      <c r="Q14">
        <v>635</v>
      </c>
      <c r="R14">
        <v>60</v>
      </c>
      <c r="S14">
        <v>190</v>
      </c>
      <c r="T14">
        <v>300</v>
      </c>
      <c r="U14" s="35">
        <v>1.7000000000000001E-2</v>
      </c>
    </row>
    <row r="15" spans="1:21">
      <c r="A15" s="3" t="s">
        <v>536</v>
      </c>
      <c r="B15" s="3" t="str">
        <f>_xlfn.CONCAT("Rural Center - ",A15)</f>
        <v>Rural Center - Alberta</v>
      </c>
      <c r="C15" s="2">
        <v>45300</v>
      </c>
      <c r="F15" t="s">
        <v>109</v>
      </c>
      <c r="I15" t="s">
        <v>558</v>
      </c>
      <c r="J15" t="s">
        <v>542</v>
      </c>
      <c r="K15" t="str">
        <f t="shared" si="1"/>
        <v>British Columbia - Wood Frame 12 units and more</v>
      </c>
      <c r="L15" t="s">
        <v>539</v>
      </c>
      <c r="M15" t="s">
        <v>539</v>
      </c>
      <c r="N15" t="s">
        <v>539</v>
      </c>
      <c r="O15">
        <v>830</v>
      </c>
      <c r="P15" s="7">
        <v>4.2500000000000003E-2</v>
      </c>
      <c r="Q15">
        <v>635</v>
      </c>
      <c r="R15">
        <v>60</v>
      </c>
      <c r="S15">
        <v>190</v>
      </c>
      <c r="T15">
        <v>300</v>
      </c>
      <c r="U15" s="35">
        <v>1.7000000000000001E-2</v>
      </c>
    </row>
    <row r="16" spans="1:21">
      <c r="A16" s="3" t="s">
        <v>540</v>
      </c>
      <c r="B16" s="3" t="str">
        <f t="shared" ref="B16:B24" si="2">_xlfn.CONCAT("Rural Center - ",A16)</f>
        <v>Rural Center - Colombie-Britannique</v>
      </c>
      <c r="C16" s="2">
        <v>46000</v>
      </c>
      <c r="F16" t="s">
        <v>116</v>
      </c>
      <c r="I16" t="s">
        <v>558</v>
      </c>
      <c r="J16" t="s">
        <v>544</v>
      </c>
      <c r="K16" t="str">
        <f t="shared" si="1"/>
        <v>British Columbia - Concrete</v>
      </c>
      <c r="L16" t="s">
        <v>539</v>
      </c>
      <c r="M16" t="s">
        <v>539</v>
      </c>
      <c r="N16" t="s">
        <v>539</v>
      </c>
      <c r="O16">
        <v>975</v>
      </c>
      <c r="P16" s="7">
        <v>4.2500000000000003E-2</v>
      </c>
      <c r="Q16">
        <v>700</v>
      </c>
      <c r="R16">
        <v>60</v>
      </c>
      <c r="S16">
        <v>190</v>
      </c>
      <c r="T16">
        <v>0</v>
      </c>
      <c r="U16" s="35">
        <v>1.7999999999999999E-2</v>
      </c>
    </row>
    <row r="17" spans="1:15">
      <c r="A17" s="3" t="s">
        <v>543</v>
      </c>
      <c r="B17" s="3" t="str">
        <f t="shared" si="2"/>
        <v>Rural Center - Ile-du-Prince-Édouard</v>
      </c>
      <c r="C17" s="2">
        <v>47400</v>
      </c>
      <c r="F17" t="s">
        <v>206</v>
      </c>
    </row>
    <row r="18" spans="1:15">
      <c r="A18" s="3" t="s">
        <v>545</v>
      </c>
      <c r="B18" s="3" t="str">
        <f t="shared" si="2"/>
        <v>Rural Center - Manitoba</v>
      </c>
      <c r="C18" s="2">
        <v>36900</v>
      </c>
      <c r="F18" t="s">
        <v>559</v>
      </c>
    </row>
    <row r="19" spans="1:15">
      <c r="A19" s="3" t="s">
        <v>547</v>
      </c>
      <c r="B19" s="3" t="str">
        <f t="shared" si="2"/>
        <v>Rural Center - Nouveau-Brunswick</v>
      </c>
      <c r="C19" s="2">
        <v>39300</v>
      </c>
      <c r="F19" t="s">
        <v>560</v>
      </c>
    </row>
    <row r="20" spans="1:15" ht="43.2">
      <c r="A20" s="3" t="s">
        <v>548</v>
      </c>
      <c r="B20" s="3" t="str">
        <f t="shared" si="2"/>
        <v>Rural Center - Nouvelle-Écosse</v>
      </c>
      <c r="C20" s="2">
        <v>38800</v>
      </c>
      <c r="F20" t="s">
        <v>561</v>
      </c>
      <c r="I20" s="8" t="s">
        <v>562</v>
      </c>
      <c r="J20" s="8" t="s">
        <v>563</v>
      </c>
      <c r="K20" s="9" t="s">
        <v>564</v>
      </c>
      <c r="L20" s="9" t="s">
        <v>565</v>
      </c>
      <c r="M20" s="9" t="s">
        <v>566</v>
      </c>
      <c r="N20" s="10" t="s">
        <v>565</v>
      </c>
    </row>
    <row r="21" spans="1:15" ht="14.4">
      <c r="A21" s="3" t="s">
        <v>551</v>
      </c>
      <c r="B21" s="3" t="str">
        <f t="shared" si="2"/>
        <v>Rural Center - Ontario</v>
      </c>
      <c r="C21" s="2">
        <v>41500</v>
      </c>
      <c r="I21" s="11">
        <v>0</v>
      </c>
      <c r="J21" s="12">
        <v>500000</v>
      </c>
      <c r="K21" s="13">
        <v>260</v>
      </c>
      <c r="L21" s="13">
        <v>25</v>
      </c>
      <c r="M21" s="13">
        <v>200</v>
      </c>
      <c r="N21" s="14">
        <v>15</v>
      </c>
      <c r="O21" s="1021" t="s">
        <v>567</v>
      </c>
    </row>
    <row r="22" spans="1:15" ht="14.4">
      <c r="A22" s="3" t="s">
        <v>552</v>
      </c>
      <c r="B22" s="3" t="str">
        <f t="shared" si="2"/>
        <v>Rural Center - Québec</v>
      </c>
      <c r="C22" s="2">
        <v>36000</v>
      </c>
      <c r="I22" s="15">
        <v>500001</v>
      </c>
      <c r="J22" s="16">
        <v>750000</v>
      </c>
      <c r="K22" s="17">
        <v>150</v>
      </c>
      <c r="L22" s="17">
        <v>25</v>
      </c>
      <c r="M22" s="17">
        <v>125</v>
      </c>
      <c r="N22" s="18">
        <v>15</v>
      </c>
      <c r="O22" s="1021"/>
    </row>
    <row r="23" spans="1:15" ht="14.4">
      <c r="A23" s="3" t="s">
        <v>553</v>
      </c>
      <c r="B23" s="3" t="str">
        <f t="shared" si="2"/>
        <v>Rural Center - Saskatchewan</v>
      </c>
      <c r="C23" s="2">
        <v>42600</v>
      </c>
      <c r="F23" t="s">
        <v>153</v>
      </c>
      <c r="I23" s="15">
        <f>J22+1</f>
        <v>750001</v>
      </c>
      <c r="J23" s="16">
        <v>1000000</v>
      </c>
      <c r="K23" s="17">
        <v>115</v>
      </c>
      <c r="L23" s="17">
        <v>25</v>
      </c>
      <c r="M23" s="17">
        <v>110</v>
      </c>
      <c r="N23" s="18">
        <v>15</v>
      </c>
      <c r="O23" s="1021"/>
    </row>
    <row r="24" spans="1:15" ht="14.4">
      <c r="A24" s="3" t="s">
        <v>555</v>
      </c>
      <c r="B24" s="3" t="str">
        <f t="shared" si="2"/>
        <v>Rural Center - Terre-Neuve-et-Labrador</v>
      </c>
      <c r="C24" s="2">
        <v>38800</v>
      </c>
      <c r="F24" t="s">
        <v>568</v>
      </c>
      <c r="I24" s="15">
        <f>J23+1</f>
        <v>1000001</v>
      </c>
      <c r="J24" s="16">
        <v>1500000</v>
      </c>
      <c r="K24" s="19">
        <v>105</v>
      </c>
      <c r="L24" s="19">
        <v>25</v>
      </c>
      <c r="M24" s="19">
        <v>100</v>
      </c>
      <c r="N24" s="20">
        <v>15</v>
      </c>
      <c r="O24" s="1021"/>
    </row>
    <row r="25" spans="1:15" ht="14.4">
      <c r="A25" s="4" t="s">
        <v>569</v>
      </c>
      <c r="B25" s="3" t="str">
        <f>_xlfn.CONCAT("Urban Center - ",A25)</f>
        <v>Urban Center - Abbotsford</v>
      </c>
      <c r="C25" s="2">
        <v>64200</v>
      </c>
      <c r="F25" t="s">
        <v>570</v>
      </c>
      <c r="I25" s="15">
        <f t="shared" ref="I25:I30" si="3">J24+1</f>
        <v>1500001</v>
      </c>
      <c r="J25" s="16">
        <v>2000000</v>
      </c>
      <c r="K25" s="19">
        <v>100</v>
      </c>
      <c r="L25" s="19">
        <v>25</v>
      </c>
      <c r="M25" s="19">
        <v>95</v>
      </c>
      <c r="N25" s="20">
        <v>15</v>
      </c>
      <c r="O25" s="1021"/>
    </row>
    <row r="26" spans="1:15" ht="14.4">
      <c r="A26" s="4" t="s">
        <v>571</v>
      </c>
      <c r="B26" s="3" t="str">
        <f t="shared" ref="B26:B82" si="4">_xlfn.CONCAT("Urban Center - ",A26)</f>
        <v>Urban Center - Barrie</v>
      </c>
      <c r="C26" s="2">
        <v>58900</v>
      </c>
      <c r="F26" t="s">
        <v>572</v>
      </c>
      <c r="I26" s="15">
        <f t="shared" si="3"/>
        <v>2000001</v>
      </c>
      <c r="J26" s="16">
        <v>3000000</v>
      </c>
      <c r="K26" s="19">
        <v>80</v>
      </c>
      <c r="L26" s="19">
        <v>25</v>
      </c>
      <c r="M26" s="19">
        <v>65</v>
      </c>
      <c r="N26" s="20">
        <v>15</v>
      </c>
      <c r="O26" s="1021"/>
    </row>
    <row r="27" spans="1:15" ht="14.4">
      <c r="A27" s="4" t="s">
        <v>573</v>
      </c>
      <c r="B27" s="3" t="str">
        <f t="shared" si="4"/>
        <v>Urban Center - Brampton</v>
      </c>
      <c r="C27" s="2">
        <v>67700</v>
      </c>
      <c r="I27" s="15">
        <f t="shared" si="3"/>
        <v>3000001</v>
      </c>
      <c r="J27" s="16">
        <v>5000000</v>
      </c>
      <c r="K27" s="19">
        <v>70</v>
      </c>
      <c r="L27" s="19">
        <v>23</v>
      </c>
      <c r="M27" s="19">
        <v>55</v>
      </c>
      <c r="N27" s="20">
        <v>15</v>
      </c>
      <c r="O27" s="1021"/>
    </row>
    <row r="28" spans="1:15" ht="14.4">
      <c r="A28" s="4" t="s">
        <v>574</v>
      </c>
      <c r="B28" s="3" t="str">
        <f t="shared" si="4"/>
        <v>Urban Center - Brantford</v>
      </c>
      <c r="C28" s="2">
        <v>40300</v>
      </c>
      <c r="I28" s="15">
        <f t="shared" si="3"/>
        <v>5000001</v>
      </c>
      <c r="J28" s="16">
        <v>7000000</v>
      </c>
      <c r="K28" s="19">
        <v>55</v>
      </c>
      <c r="L28" s="19">
        <v>17</v>
      </c>
      <c r="M28" s="19">
        <v>50</v>
      </c>
      <c r="N28" s="20">
        <v>15</v>
      </c>
      <c r="O28" s="1021"/>
    </row>
    <row r="29" spans="1:15" ht="14.4">
      <c r="A29" s="4" t="s">
        <v>575</v>
      </c>
      <c r="B29" s="3" t="str">
        <f t="shared" si="4"/>
        <v>Urban Center - Burnaby</v>
      </c>
      <c r="C29" s="2">
        <v>60200</v>
      </c>
      <c r="F29" t="s">
        <v>576</v>
      </c>
      <c r="I29" s="15">
        <f t="shared" si="3"/>
        <v>7000001</v>
      </c>
      <c r="J29" s="16">
        <v>10000000</v>
      </c>
      <c r="K29" s="19">
        <v>50</v>
      </c>
      <c r="L29" s="19">
        <v>12</v>
      </c>
      <c r="M29" s="19">
        <v>49</v>
      </c>
      <c r="N29" s="20">
        <v>10</v>
      </c>
      <c r="O29" s="1021"/>
    </row>
    <row r="30" spans="1:15" ht="14.4">
      <c r="A30" s="4" t="s">
        <v>577</v>
      </c>
      <c r="B30" s="3" t="str">
        <f t="shared" si="4"/>
        <v>Urban Center - Calgary</v>
      </c>
      <c r="C30" s="2">
        <v>69500</v>
      </c>
      <c r="F30" t="s">
        <v>578</v>
      </c>
      <c r="I30" s="21">
        <f t="shared" si="3"/>
        <v>10000001</v>
      </c>
      <c r="J30" s="22">
        <v>1E+22</v>
      </c>
      <c r="K30" s="23">
        <v>45</v>
      </c>
      <c r="L30" s="23">
        <v>8</v>
      </c>
      <c r="M30" s="23">
        <v>48</v>
      </c>
      <c r="N30" s="24">
        <v>5</v>
      </c>
      <c r="O30" s="1021"/>
    </row>
    <row r="31" spans="1:15">
      <c r="A31" s="4" t="s">
        <v>579</v>
      </c>
      <c r="B31" s="3" t="str">
        <f t="shared" si="4"/>
        <v>Urban Center - Cape Breton</v>
      </c>
      <c r="C31" s="2">
        <v>39400</v>
      </c>
      <c r="F31" t="s">
        <v>580</v>
      </c>
    </row>
    <row r="32" spans="1:15" ht="43.2">
      <c r="A32" s="4" t="s">
        <v>581</v>
      </c>
      <c r="B32" s="3" t="str">
        <f t="shared" si="4"/>
        <v>Urban Center - Charlottetown</v>
      </c>
      <c r="C32" s="2">
        <v>49300</v>
      </c>
      <c r="F32" t="s">
        <v>582</v>
      </c>
      <c r="I32" s="8" t="s">
        <v>562</v>
      </c>
      <c r="J32" s="8" t="s">
        <v>563</v>
      </c>
      <c r="K32" s="9" t="s">
        <v>564</v>
      </c>
      <c r="L32" s="9" t="s">
        <v>565</v>
      </c>
      <c r="M32" s="9" t="s">
        <v>566</v>
      </c>
      <c r="N32" s="10" t="s">
        <v>565</v>
      </c>
    </row>
    <row r="33" spans="1:14" ht="14.4">
      <c r="A33" s="4" t="s">
        <v>583</v>
      </c>
      <c r="B33" s="3" t="str">
        <f t="shared" si="4"/>
        <v>Urban Center - Chilliwack</v>
      </c>
      <c r="C33" s="2">
        <v>83200</v>
      </c>
      <c r="F33" t="s">
        <v>584</v>
      </c>
      <c r="I33" s="11">
        <v>0</v>
      </c>
      <c r="J33" s="12">
        <v>500000</v>
      </c>
      <c r="K33" s="25">
        <f>K21/10000</f>
        <v>2.5999999999999999E-2</v>
      </c>
      <c r="L33" s="25">
        <f t="shared" ref="L33:N33" si="5">L21/10000</f>
        <v>2.5000000000000001E-3</v>
      </c>
      <c r="M33" s="25">
        <f t="shared" si="5"/>
        <v>0.02</v>
      </c>
      <c r="N33" s="25">
        <f t="shared" si="5"/>
        <v>1.5E-3</v>
      </c>
    </row>
    <row r="34" spans="1:14" ht="14.4">
      <c r="A34" s="4" t="s">
        <v>585</v>
      </c>
      <c r="B34" s="3" t="str">
        <f t="shared" si="4"/>
        <v>Urban Center - Cornwall</v>
      </c>
      <c r="C34" s="2">
        <v>24700</v>
      </c>
      <c r="F34" t="s">
        <v>102</v>
      </c>
      <c r="I34" s="15">
        <v>500001</v>
      </c>
      <c r="J34" s="16">
        <v>750000</v>
      </c>
      <c r="K34" s="26">
        <f t="shared" ref="K34:N42" si="6">K22/10000</f>
        <v>1.4999999999999999E-2</v>
      </c>
      <c r="L34" s="26">
        <f t="shared" si="6"/>
        <v>2.5000000000000001E-3</v>
      </c>
      <c r="M34" s="26">
        <f t="shared" si="6"/>
        <v>1.2500000000000001E-2</v>
      </c>
      <c r="N34" s="27">
        <f t="shared" si="6"/>
        <v>1.5E-3</v>
      </c>
    </row>
    <row r="35" spans="1:14" ht="14.4">
      <c r="A35" s="4" t="s">
        <v>586</v>
      </c>
      <c r="B35" s="3" t="str">
        <f t="shared" si="4"/>
        <v>Urban Center - Edmonton</v>
      </c>
      <c r="C35" s="2">
        <v>66600</v>
      </c>
      <c r="F35" t="s">
        <v>587</v>
      </c>
      <c r="I35" s="15">
        <f>J34+1</f>
        <v>750001</v>
      </c>
      <c r="J35" s="16">
        <v>1000000</v>
      </c>
      <c r="K35" s="26">
        <f t="shared" si="6"/>
        <v>1.15E-2</v>
      </c>
      <c r="L35" s="26">
        <f t="shared" si="6"/>
        <v>2.5000000000000001E-3</v>
      </c>
      <c r="M35" s="26">
        <f t="shared" si="6"/>
        <v>1.0999999999999999E-2</v>
      </c>
      <c r="N35" s="27">
        <f t="shared" si="6"/>
        <v>1.5E-3</v>
      </c>
    </row>
    <row r="36" spans="1:14" ht="14.4">
      <c r="A36" s="4" t="s">
        <v>588</v>
      </c>
      <c r="B36" s="3" t="str">
        <f t="shared" si="4"/>
        <v>Urban Center - Fredericton</v>
      </c>
      <c r="C36" s="2">
        <v>49800</v>
      </c>
      <c r="I36" s="15">
        <f>J35+1</f>
        <v>1000001</v>
      </c>
      <c r="J36" s="16">
        <v>1500000</v>
      </c>
      <c r="K36" s="28">
        <f t="shared" si="6"/>
        <v>1.0500000000000001E-2</v>
      </c>
      <c r="L36" s="28">
        <f t="shared" si="6"/>
        <v>2.5000000000000001E-3</v>
      </c>
      <c r="M36" s="28">
        <f t="shared" si="6"/>
        <v>0.01</v>
      </c>
      <c r="N36" s="29">
        <f t="shared" si="6"/>
        <v>1.5E-3</v>
      </c>
    </row>
    <row r="37" spans="1:14" ht="14.4">
      <c r="A37" s="4" t="s">
        <v>589</v>
      </c>
      <c r="B37" s="3" t="str">
        <f t="shared" si="4"/>
        <v>Urban Center - Greater Sudbury</v>
      </c>
      <c r="C37" s="2">
        <v>46500</v>
      </c>
      <c r="I37" s="15">
        <f t="shared" ref="I37:I42" si="7">J36+1</f>
        <v>1500001</v>
      </c>
      <c r="J37" s="16">
        <v>2000000</v>
      </c>
      <c r="K37" s="28">
        <f t="shared" si="6"/>
        <v>0.01</v>
      </c>
      <c r="L37" s="28">
        <f t="shared" si="6"/>
        <v>2.5000000000000001E-3</v>
      </c>
      <c r="M37" s="28">
        <f t="shared" si="6"/>
        <v>9.4999999999999998E-3</v>
      </c>
      <c r="N37" s="29">
        <f t="shared" si="6"/>
        <v>1.5E-3</v>
      </c>
    </row>
    <row r="38" spans="1:14" ht="14.4">
      <c r="A38" s="4" t="s">
        <v>590</v>
      </c>
      <c r="B38" s="3" t="str">
        <f t="shared" si="4"/>
        <v>Urban Center - Guelph</v>
      </c>
      <c r="C38" s="2">
        <v>57400</v>
      </c>
      <c r="F38" t="s">
        <v>104</v>
      </c>
      <c r="I38" s="15">
        <f t="shared" si="7"/>
        <v>2000001</v>
      </c>
      <c r="J38" s="16">
        <v>3000000</v>
      </c>
      <c r="K38" s="28">
        <f t="shared" si="6"/>
        <v>8.0000000000000002E-3</v>
      </c>
      <c r="L38" s="28">
        <f t="shared" si="6"/>
        <v>2.5000000000000001E-3</v>
      </c>
      <c r="M38" s="28">
        <f t="shared" si="6"/>
        <v>6.4999999999999997E-3</v>
      </c>
      <c r="N38" s="29">
        <f t="shared" si="6"/>
        <v>1.5E-3</v>
      </c>
    </row>
    <row r="39" spans="1:14" ht="14.4">
      <c r="A39" s="3" t="s">
        <v>591</v>
      </c>
      <c r="B39" s="3" t="str">
        <f t="shared" si="4"/>
        <v>Urban Center - Halifax</v>
      </c>
      <c r="C39" s="2">
        <v>49900</v>
      </c>
      <c r="F39" t="s">
        <v>592</v>
      </c>
      <c r="I39" s="15">
        <f t="shared" si="7"/>
        <v>3000001</v>
      </c>
      <c r="J39" s="16">
        <v>5000000</v>
      </c>
      <c r="K39" s="28">
        <f t="shared" si="6"/>
        <v>7.0000000000000001E-3</v>
      </c>
      <c r="L39" s="28">
        <f t="shared" si="6"/>
        <v>2.3E-3</v>
      </c>
      <c r="M39" s="28">
        <f t="shared" si="6"/>
        <v>5.4999999999999997E-3</v>
      </c>
      <c r="N39" s="29">
        <f t="shared" si="6"/>
        <v>1.5E-3</v>
      </c>
    </row>
    <row r="40" spans="1:14" ht="14.4">
      <c r="A40" s="4" t="s">
        <v>593</v>
      </c>
      <c r="B40" s="3" t="str">
        <f t="shared" si="4"/>
        <v>Urban Center - Hamilton</v>
      </c>
      <c r="C40" s="2">
        <v>44400</v>
      </c>
      <c r="F40" t="s">
        <v>594</v>
      </c>
      <c r="I40" s="15">
        <f t="shared" si="7"/>
        <v>5000001</v>
      </c>
      <c r="J40" s="16">
        <v>7000000</v>
      </c>
      <c r="K40" s="28">
        <f t="shared" si="6"/>
        <v>5.4999999999999997E-3</v>
      </c>
      <c r="L40" s="28">
        <f t="shared" si="6"/>
        <v>1.6999999999999999E-3</v>
      </c>
      <c r="M40" s="28">
        <f t="shared" si="6"/>
        <v>5.0000000000000001E-3</v>
      </c>
      <c r="N40" s="29">
        <f t="shared" si="6"/>
        <v>1.5E-3</v>
      </c>
    </row>
    <row r="41" spans="1:14" ht="14.4">
      <c r="A41" s="4" t="s">
        <v>595</v>
      </c>
      <c r="B41" s="3" t="str">
        <f t="shared" si="4"/>
        <v>Urban Center - Kamloops</v>
      </c>
      <c r="C41" s="2">
        <v>40900</v>
      </c>
      <c r="F41" t="s">
        <v>596</v>
      </c>
      <c r="I41" s="15">
        <f t="shared" si="7"/>
        <v>7000001</v>
      </c>
      <c r="J41" s="16">
        <v>10000000</v>
      </c>
      <c r="K41" s="28">
        <f t="shared" si="6"/>
        <v>5.0000000000000001E-3</v>
      </c>
      <c r="L41" s="28">
        <f t="shared" si="6"/>
        <v>1.1999999999999999E-3</v>
      </c>
      <c r="M41" s="28">
        <f t="shared" si="6"/>
        <v>4.8999999999999998E-3</v>
      </c>
      <c r="N41" s="29">
        <f t="shared" si="6"/>
        <v>1E-3</v>
      </c>
    </row>
    <row r="42" spans="1:14" ht="14.4">
      <c r="A42" s="4" t="s">
        <v>597</v>
      </c>
      <c r="B42" s="3" t="str">
        <f t="shared" si="4"/>
        <v>Urban Center - Kelowna</v>
      </c>
      <c r="C42" s="2">
        <v>47500</v>
      </c>
      <c r="F42" t="s">
        <v>598</v>
      </c>
      <c r="I42" s="21">
        <f t="shared" si="7"/>
        <v>10000001</v>
      </c>
      <c r="J42" s="22">
        <v>1E+22</v>
      </c>
      <c r="K42" s="30">
        <f t="shared" si="6"/>
        <v>4.4999999999999997E-3</v>
      </c>
      <c r="L42" s="30">
        <f t="shared" si="6"/>
        <v>8.0000000000000004E-4</v>
      </c>
      <c r="M42" s="30">
        <f t="shared" si="6"/>
        <v>4.7999999999999996E-3</v>
      </c>
      <c r="N42" s="31">
        <f t="shared" si="6"/>
        <v>5.0000000000000001E-4</v>
      </c>
    </row>
    <row r="43" spans="1:14">
      <c r="A43" s="4" t="s">
        <v>599</v>
      </c>
      <c r="B43" s="3" t="str">
        <f t="shared" si="4"/>
        <v>Urban Center - Kingston</v>
      </c>
      <c r="C43" s="2">
        <v>52500</v>
      </c>
      <c r="F43" t="s">
        <v>600</v>
      </c>
      <c r="I43" t="s">
        <v>601</v>
      </c>
    </row>
    <row r="44" spans="1:14">
      <c r="A44" s="4" t="s">
        <v>602</v>
      </c>
      <c r="B44" s="3" t="str">
        <f t="shared" si="4"/>
        <v>Urban Center - Kitchener</v>
      </c>
      <c r="C44" s="2">
        <v>57000</v>
      </c>
      <c r="F44" t="s">
        <v>603</v>
      </c>
      <c r="I44" t="s">
        <v>604</v>
      </c>
    </row>
    <row r="45" spans="1:14">
      <c r="A45" s="4" t="s">
        <v>605</v>
      </c>
      <c r="B45" s="3" t="str">
        <f t="shared" si="4"/>
        <v>Urban Center - Laval</v>
      </c>
      <c r="C45" s="2">
        <v>48800</v>
      </c>
      <c r="F45" t="s">
        <v>606</v>
      </c>
      <c r="I45" t="s">
        <v>607</v>
      </c>
    </row>
    <row r="46" spans="1:14">
      <c r="A46" s="4" t="s">
        <v>608</v>
      </c>
      <c r="B46" s="3" t="str">
        <f t="shared" si="4"/>
        <v>Urban Center - Lethbridge</v>
      </c>
      <c r="C46" s="2">
        <v>43000</v>
      </c>
      <c r="F46" t="s">
        <v>609</v>
      </c>
    </row>
    <row r="47" spans="1:14">
      <c r="A47" s="4" t="s">
        <v>610</v>
      </c>
      <c r="B47" s="3" t="str">
        <f t="shared" si="4"/>
        <v>Urban Center - London</v>
      </c>
      <c r="C47" s="2">
        <v>39600</v>
      </c>
    </row>
    <row r="48" spans="1:14">
      <c r="A48" s="4" t="s">
        <v>611</v>
      </c>
      <c r="B48" s="3" t="str">
        <f t="shared" si="4"/>
        <v>Urban Center - Mississauga</v>
      </c>
      <c r="C48" s="2">
        <v>49000</v>
      </c>
      <c r="F48" t="s">
        <v>113</v>
      </c>
      <c r="I48" t="s">
        <v>4</v>
      </c>
    </row>
    <row r="49" spans="1:12">
      <c r="A49" s="4" t="s">
        <v>612</v>
      </c>
      <c r="B49" s="3" t="str">
        <f t="shared" si="4"/>
        <v>Urban Center - Moncton</v>
      </c>
      <c r="C49" s="2">
        <v>45700</v>
      </c>
      <c r="F49" t="s">
        <v>114</v>
      </c>
      <c r="I49" t="s">
        <v>613</v>
      </c>
      <c r="J49" t="s">
        <v>40</v>
      </c>
      <c r="K49" t="s">
        <v>614</v>
      </c>
      <c r="L49" t="s">
        <v>615</v>
      </c>
    </row>
    <row r="50" spans="1:12">
      <c r="A50" s="3" t="s">
        <v>616</v>
      </c>
      <c r="B50" s="3" t="str">
        <f t="shared" si="4"/>
        <v>Urban Center - Montréal</v>
      </c>
      <c r="C50" s="2">
        <v>43600</v>
      </c>
      <c r="F50" t="s">
        <v>115</v>
      </c>
      <c r="I50" s="1025" t="s">
        <v>617</v>
      </c>
      <c r="J50" s="32">
        <v>0.65</v>
      </c>
      <c r="K50" s="33">
        <v>3.2500000000000001E-2</v>
      </c>
      <c r="L50" s="33">
        <v>2.5999999999999999E-2</v>
      </c>
    </row>
    <row r="51" spans="1:12">
      <c r="A51" s="4" t="s">
        <v>618</v>
      </c>
      <c r="B51" s="3" t="str">
        <f t="shared" si="4"/>
        <v>Urban Center - Nanaimo</v>
      </c>
      <c r="C51" s="2">
        <v>40900</v>
      </c>
      <c r="F51" t="s">
        <v>116</v>
      </c>
      <c r="I51" s="1025"/>
      <c r="J51" s="32">
        <v>0.7</v>
      </c>
      <c r="K51" s="33">
        <v>3.7499999999999999E-2</v>
      </c>
      <c r="L51" s="33">
        <v>2.8500000000000001E-2</v>
      </c>
    </row>
    <row r="52" spans="1:12">
      <c r="A52" s="4" t="s">
        <v>619</v>
      </c>
      <c r="B52" s="3" t="str">
        <f t="shared" si="4"/>
        <v>Urban Center - Oshawa</v>
      </c>
      <c r="C52" s="2">
        <v>54000</v>
      </c>
      <c r="F52" t="s">
        <v>117</v>
      </c>
      <c r="I52" s="1025"/>
      <c r="J52" s="32">
        <v>0.75</v>
      </c>
      <c r="K52" s="33">
        <v>4.2500000000000003E-2</v>
      </c>
      <c r="L52" s="33">
        <v>3.3500000000000002E-2</v>
      </c>
    </row>
    <row r="53" spans="1:12">
      <c r="A53" s="4" t="s">
        <v>620</v>
      </c>
      <c r="B53" s="3" t="str">
        <f t="shared" si="4"/>
        <v>Urban Center - Ottawa - Gatineau (Ontario)</v>
      </c>
      <c r="C53" s="2">
        <v>61400</v>
      </c>
      <c r="F53" t="s">
        <v>118</v>
      </c>
      <c r="I53" s="1025"/>
      <c r="J53" s="32">
        <v>0.8</v>
      </c>
      <c r="K53" s="33">
        <v>0.05</v>
      </c>
      <c r="L53" s="33">
        <v>4.3499999999999997E-2</v>
      </c>
    </row>
    <row r="54" spans="1:12">
      <c r="A54" s="4" t="s">
        <v>621</v>
      </c>
      <c r="B54" s="3" t="str">
        <f t="shared" si="4"/>
        <v>Urban Center - Ottawa - Gatineau (Québec)</v>
      </c>
      <c r="C54" s="2">
        <v>48800</v>
      </c>
      <c r="F54" t="s">
        <v>119</v>
      </c>
      <c r="I54" s="1025"/>
      <c r="J54" s="32">
        <v>0.85</v>
      </c>
      <c r="K54" s="33">
        <v>0.06</v>
      </c>
      <c r="L54" s="33">
        <v>5.3499999999999999E-2</v>
      </c>
    </row>
    <row r="55" spans="1:12">
      <c r="A55" s="4" t="s">
        <v>622</v>
      </c>
      <c r="B55" s="3" t="str">
        <f t="shared" si="4"/>
        <v>Urban Center - Prince George</v>
      </c>
      <c r="C55" s="2">
        <v>34700</v>
      </c>
      <c r="F55" t="s">
        <v>120</v>
      </c>
      <c r="I55" s="1026" t="s">
        <v>623</v>
      </c>
      <c r="J55" s="32">
        <v>0.9</v>
      </c>
      <c r="K55" s="33">
        <v>6.7500000000000004E-2</v>
      </c>
      <c r="L55" s="33">
        <v>5.8999999999999997E-2</v>
      </c>
    </row>
    <row r="56" spans="1:12">
      <c r="A56" s="4" t="s">
        <v>624</v>
      </c>
      <c r="B56" s="3" t="str">
        <f t="shared" si="4"/>
        <v>Urban Center - Red Deer</v>
      </c>
      <c r="C56" s="2">
        <v>35900</v>
      </c>
      <c r="I56" s="1026"/>
      <c r="J56" s="32" t="s">
        <v>625</v>
      </c>
      <c r="K56" s="33">
        <v>7.0000000000000007E-2</v>
      </c>
      <c r="L56" s="33">
        <v>6.1499999999999999E-2</v>
      </c>
    </row>
    <row r="57" spans="1:12">
      <c r="A57" s="4" t="s">
        <v>626</v>
      </c>
      <c r="B57" s="3" t="str">
        <f t="shared" si="4"/>
        <v>Urban Center - Regina</v>
      </c>
      <c r="C57" s="2">
        <v>42400</v>
      </c>
      <c r="F57" s="5" t="s">
        <v>49</v>
      </c>
    </row>
    <row r="58" spans="1:12">
      <c r="A58" s="3" t="s">
        <v>627</v>
      </c>
      <c r="B58" s="3" t="str">
        <f t="shared" si="4"/>
        <v>Urban Center - RMR Québec</v>
      </c>
      <c r="C58" s="2">
        <v>41100</v>
      </c>
      <c r="F58" t="s">
        <v>4</v>
      </c>
      <c r="I58" t="s">
        <v>628</v>
      </c>
    </row>
    <row r="59" spans="1:12">
      <c r="A59" s="4" t="s">
        <v>629</v>
      </c>
      <c r="B59" s="3" t="str">
        <f t="shared" si="4"/>
        <v>Urban Center - Rouyn-Noranda</v>
      </c>
      <c r="C59" s="2">
        <v>39000</v>
      </c>
      <c r="F59" t="s">
        <v>630</v>
      </c>
      <c r="I59" t="s">
        <v>613</v>
      </c>
      <c r="J59" t="s">
        <v>40</v>
      </c>
      <c r="K59" t="s">
        <v>614</v>
      </c>
      <c r="L59" t="s">
        <v>615</v>
      </c>
    </row>
    <row r="60" spans="1:12">
      <c r="A60" s="3" t="s">
        <v>631</v>
      </c>
      <c r="B60" s="3" t="str">
        <f t="shared" si="4"/>
        <v>Urban Center - Saguenay</v>
      </c>
      <c r="C60" s="2">
        <v>39200</v>
      </c>
      <c r="F60" t="s">
        <v>632</v>
      </c>
      <c r="I60" s="1025" t="s">
        <v>617</v>
      </c>
      <c r="J60" s="32">
        <v>0.65</v>
      </c>
      <c r="K60" s="33">
        <v>6.5500000000000003E-2</v>
      </c>
      <c r="L60" s="33">
        <v>6.3E-2</v>
      </c>
    </row>
    <row r="61" spans="1:12">
      <c r="A61" s="3" t="s">
        <v>633</v>
      </c>
      <c r="B61" s="3" t="str">
        <f t="shared" si="4"/>
        <v>Urban Center - Saint John</v>
      </c>
      <c r="C61" s="2">
        <v>48000</v>
      </c>
      <c r="F61" t="s">
        <v>634</v>
      </c>
      <c r="I61" s="1025"/>
      <c r="J61" s="32">
        <v>0.7</v>
      </c>
      <c r="K61" s="33">
        <v>6.8500000000000005E-2</v>
      </c>
      <c r="L61" s="33">
        <v>6.6000000000000003E-2</v>
      </c>
    </row>
    <row r="62" spans="1:12">
      <c r="A62" s="4" t="s">
        <v>635</v>
      </c>
      <c r="B62" s="3" t="str">
        <f t="shared" si="4"/>
        <v>Urban Center - Saint-Georges</v>
      </c>
      <c r="C62" s="2">
        <v>43700</v>
      </c>
      <c r="F62" t="s">
        <v>636</v>
      </c>
      <c r="I62" s="1025"/>
      <c r="J62" s="32">
        <v>0.75</v>
      </c>
      <c r="K62" s="33">
        <v>7.1499999999999994E-2</v>
      </c>
      <c r="L62" s="33">
        <v>6.9000000000000006E-2</v>
      </c>
    </row>
    <row r="63" spans="1:12">
      <c r="A63" s="4" t="s">
        <v>637</v>
      </c>
      <c r="B63" s="3" t="str">
        <f t="shared" si="4"/>
        <v>Urban Center - Saint-Hyacinthe</v>
      </c>
      <c r="C63" s="2">
        <v>26900</v>
      </c>
      <c r="I63" s="1025"/>
      <c r="J63" s="32">
        <v>0.8</v>
      </c>
      <c r="K63" s="33">
        <v>7.2999999999999995E-2</v>
      </c>
      <c r="L63" s="33">
        <v>7.0499999999999993E-2</v>
      </c>
    </row>
    <row r="64" spans="1:12">
      <c r="A64" s="4" t="s">
        <v>638</v>
      </c>
      <c r="B64" s="3" t="str">
        <f t="shared" si="4"/>
        <v>Urban Center - Saint-Jean-Iberville</v>
      </c>
      <c r="C64" s="2">
        <v>44500</v>
      </c>
      <c r="I64" s="1025"/>
      <c r="J64" s="32">
        <v>0.85</v>
      </c>
      <c r="K64" s="33">
        <v>0.08</v>
      </c>
      <c r="L64" s="33">
        <v>7.7499999999999999E-2</v>
      </c>
    </row>
    <row r="65" spans="1:12">
      <c r="A65" s="4" t="s">
        <v>639</v>
      </c>
      <c r="B65" s="3" t="str">
        <f t="shared" si="4"/>
        <v>Urban Center - Sarnia</v>
      </c>
      <c r="C65" s="2">
        <v>25800</v>
      </c>
      <c r="I65" s="1026" t="s">
        <v>623</v>
      </c>
      <c r="J65" s="32">
        <v>0.9</v>
      </c>
      <c r="K65" s="33">
        <v>8.2500000000000004E-2</v>
      </c>
      <c r="L65" s="33">
        <v>0.08</v>
      </c>
    </row>
    <row r="66" spans="1:12">
      <c r="A66" s="4" t="s">
        <v>640</v>
      </c>
      <c r="B66" s="3" t="str">
        <f t="shared" si="4"/>
        <v>Urban Center - Saskatoon</v>
      </c>
      <c r="C66" s="2">
        <v>43600</v>
      </c>
      <c r="I66" s="1026"/>
      <c r="J66" s="32" t="s">
        <v>625</v>
      </c>
      <c r="K66" s="33">
        <v>0.09</v>
      </c>
      <c r="L66" s="33">
        <v>8.7499999999999994E-2</v>
      </c>
    </row>
    <row r="67" spans="1:12">
      <c r="A67" s="4" t="s">
        <v>641</v>
      </c>
      <c r="B67" s="3" t="str">
        <f t="shared" si="4"/>
        <v>Urban Center - Sault Ste. Marie</v>
      </c>
      <c r="C67" s="2">
        <v>22100</v>
      </c>
    </row>
    <row r="68" spans="1:12">
      <c r="A68" s="3" t="s">
        <v>642</v>
      </c>
      <c r="B68" s="3" t="str">
        <f t="shared" si="4"/>
        <v>Urban Center - Sherbrooke</v>
      </c>
      <c r="C68" s="2">
        <v>32600</v>
      </c>
      <c r="I68" t="s">
        <v>643</v>
      </c>
    </row>
    <row r="69" spans="1:12" ht="39.6">
      <c r="A69" s="3" t="s">
        <v>644</v>
      </c>
      <c r="B69" s="3" t="str">
        <f t="shared" si="4"/>
        <v>Urban Center - St John's</v>
      </c>
      <c r="C69" s="2">
        <v>52400</v>
      </c>
      <c r="I69" t="s">
        <v>645</v>
      </c>
      <c r="J69" s="42" t="s">
        <v>646</v>
      </c>
    </row>
    <row r="70" spans="1:12" ht="39.6">
      <c r="A70" s="4" t="s">
        <v>647</v>
      </c>
      <c r="B70" s="3" t="str">
        <f t="shared" si="4"/>
        <v>Urban Center - St. Catharines-Niagara</v>
      </c>
      <c r="C70" s="2">
        <v>41900</v>
      </c>
      <c r="I70" t="s">
        <v>56</v>
      </c>
      <c r="J70" s="42" t="s">
        <v>648</v>
      </c>
    </row>
    <row r="71" spans="1:12" ht="39.6">
      <c r="A71" s="4" t="s">
        <v>649</v>
      </c>
      <c r="B71" s="3" t="str">
        <f t="shared" si="4"/>
        <v>Urban Center - Summerside</v>
      </c>
      <c r="C71" s="2">
        <v>34600</v>
      </c>
      <c r="I71" t="s">
        <v>650</v>
      </c>
      <c r="J71" s="42" t="s">
        <v>651</v>
      </c>
    </row>
    <row r="72" spans="1:12" ht="66">
      <c r="A72" s="4" t="s">
        <v>652</v>
      </c>
      <c r="B72" s="3" t="str">
        <f t="shared" si="4"/>
        <v>Urban Center - Surrey</v>
      </c>
      <c r="C72" s="2">
        <v>51000</v>
      </c>
      <c r="I72" t="s">
        <v>653</v>
      </c>
      <c r="J72" s="42" t="s">
        <v>654</v>
      </c>
    </row>
    <row r="73" spans="1:12">
      <c r="A73" s="4" t="s">
        <v>655</v>
      </c>
      <c r="B73" s="3" t="str">
        <f t="shared" si="4"/>
        <v>Urban Center - Thompson</v>
      </c>
      <c r="C73" s="2">
        <v>68300</v>
      </c>
    </row>
    <row r="74" spans="1:12">
      <c r="A74" s="4" t="s">
        <v>656</v>
      </c>
      <c r="B74" s="3" t="str">
        <f t="shared" si="4"/>
        <v>Urban Center - Thunder Bay</v>
      </c>
      <c r="C74" s="2">
        <v>42800</v>
      </c>
      <c r="I74" t="s">
        <v>60</v>
      </c>
    </row>
    <row r="75" spans="1:12">
      <c r="A75" s="4" t="s">
        <v>657</v>
      </c>
      <c r="B75" s="3" t="str">
        <f t="shared" si="4"/>
        <v>Urban Center - Toronto</v>
      </c>
      <c r="C75" s="2">
        <v>53900</v>
      </c>
      <c r="I75">
        <v>50</v>
      </c>
      <c r="J75" s="43">
        <v>0.1</v>
      </c>
    </row>
    <row r="76" spans="1:12">
      <c r="A76" s="3" t="s">
        <v>658</v>
      </c>
      <c r="B76" s="3" t="str">
        <f t="shared" si="4"/>
        <v>Urban Center - Trois-Rivières</v>
      </c>
      <c r="C76" s="2">
        <v>30700</v>
      </c>
      <c r="I76">
        <v>70</v>
      </c>
      <c r="J76" s="43">
        <v>0.2</v>
      </c>
    </row>
    <row r="77" spans="1:12">
      <c r="A77" s="4" t="s">
        <v>659</v>
      </c>
      <c r="B77" s="3" t="str">
        <f t="shared" si="4"/>
        <v>Urban Center - Val-d’Or</v>
      </c>
      <c r="C77" s="2">
        <v>49300</v>
      </c>
      <c r="I77">
        <v>90</v>
      </c>
      <c r="J77" s="43">
        <v>0.3</v>
      </c>
    </row>
    <row r="78" spans="1:12">
      <c r="A78" s="4" t="s">
        <v>660</v>
      </c>
      <c r="B78" s="3" t="str">
        <f t="shared" si="4"/>
        <v>Urban Center - Vancouver</v>
      </c>
      <c r="C78" s="2">
        <v>66900</v>
      </c>
    </row>
    <row r="79" spans="1:12">
      <c r="A79" s="4" t="s">
        <v>661</v>
      </c>
      <c r="B79" s="3" t="str">
        <f t="shared" si="4"/>
        <v>Urban Center - Victoria</v>
      </c>
      <c r="C79" s="2">
        <v>48900</v>
      </c>
    </row>
    <row r="80" spans="1:12">
      <c r="A80" s="4" t="s">
        <v>662</v>
      </c>
      <c r="B80" s="3" t="str">
        <f t="shared" si="4"/>
        <v>Urban Center - Windsor</v>
      </c>
      <c r="C80" s="2">
        <v>34000</v>
      </c>
    </row>
    <row r="81" spans="1:11">
      <c r="A81" s="4" t="s">
        <v>663</v>
      </c>
      <c r="B81" s="3" t="str">
        <f t="shared" si="4"/>
        <v>Urban Center - Winnipeg</v>
      </c>
      <c r="C81" s="2">
        <v>44000</v>
      </c>
    </row>
    <row r="82" spans="1:11">
      <c r="A82" s="4" t="s">
        <v>664</v>
      </c>
      <c r="B82" s="3" t="str">
        <f t="shared" si="4"/>
        <v>Urban Center - Wood Buffalo</v>
      </c>
      <c r="C82" s="2">
        <v>72400</v>
      </c>
    </row>
    <row r="89" spans="1:11" ht="14.4">
      <c r="A89" s="1027" t="s">
        <v>665</v>
      </c>
      <c r="B89" s="1028"/>
      <c r="C89" s="1028"/>
      <c r="E89" s="1027" t="s">
        <v>666</v>
      </c>
      <c r="F89" s="1028"/>
      <c r="G89" s="1028"/>
      <c r="I89" s="1027" t="s">
        <v>667</v>
      </c>
      <c r="J89" s="1028"/>
      <c r="K89" s="1028"/>
    </row>
    <row r="90" spans="1:11" ht="14.4">
      <c r="A90" s="1023" t="s">
        <v>668</v>
      </c>
      <c r="B90" s="36" t="s">
        <v>669</v>
      </c>
      <c r="C90" s="37">
        <f>((1+('Proforma Construction'!F50/2))^2)^(1/12)-1</f>
        <v>3.0598312035203801E-3</v>
      </c>
      <c r="E90" s="1023" t="s">
        <v>668</v>
      </c>
      <c r="F90" s="36" t="s">
        <v>669</v>
      </c>
      <c r="G90" s="37">
        <f>((1+('Proforma Construction'!F50/2))^2)^(1/12)-1</f>
        <v>3.0598312035203801E-3</v>
      </c>
      <c r="I90" s="1023" t="s">
        <v>668</v>
      </c>
      <c r="J90" s="36" t="s">
        <v>669</v>
      </c>
      <c r="K90" s="37">
        <f>((1+('Proforma Construction'!F50/2))^2)^(1/12)-1</f>
        <v>3.0598312035203801E-3</v>
      </c>
    </row>
    <row r="91" spans="1:11" ht="14.4">
      <c r="A91" s="1023"/>
      <c r="B91" s="36" t="s">
        <v>670</v>
      </c>
      <c r="C91" s="38">
        <f>'Proforma Construction'!I50/12</f>
        <v>367929.3092097519</v>
      </c>
      <c r="E91" s="1023"/>
      <c r="F91" s="36" t="s">
        <v>670</v>
      </c>
      <c r="G91" s="38">
        <f>'Proforma Construction'!I50/12</f>
        <v>367929.3092097519</v>
      </c>
      <c r="I91" s="1023"/>
      <c r="J91" s="36" t="s">
        <v>670</v>
      </c>
      <c r="K91" s="38">
        <f>'Proforma Construction'!I50/12</f>
        <v>367929.3092097519</v>
      </c>
    </row>
    <row r="92" spans="1:11" ht="6" customHeight="1">
      <c r="A92" s="36"/>
      <c r="B92" s="38"/>
      <c r="E92" s="36"/>
      <c r="F92" s="38"/>
      <c r="I92" s="36"/>
      <c r="J92" s="38"/>
    </row>
    <row r="93" spans="1:11" ht="12.75" customHeight="1">
      <c r="A93" s="1024" t="s">
        <v>671</v>
      </c>
      <c r="B93" s="36" t="s">
        <v>672</v>
      </c>
      <c r="C93" s="39">
        <f>SUM(B112:B123)</f>
        <v>1561556.4975941281</v>
      </c>
      <c r="E93" s="1024" t="s">
        <v>671</v>
      </c>
      <c r="F93" s="36" t="s">
        <v>672</v>
      </c>
      <c r="G93" s="39">
        <f>SUM(F112:F123)</f>
        <v>1816415.138516099</v>
      </c>
      <c r="I93" s="1024" t="s">
        <v>671</v>
      </c>
      <c r="J93" s="36" t="s">
        <v>672</v>
      </c>
      <c r="K93" s="39">
        <f>SUM(J112:J123)</f>
        <v>1199078.8151414858</v>
      </c>
    </row>
    <row r="94" spans="1:11" ht="12.75" customHeight="1">
      <c r="A94" s="1024"/>
      <c r="B94" s="36" t="s">
        <v>673</v>
      </c>
      <c r="C94" s="39">
        <f>SUM(B124:B135)</f>
        <v>1454996.8317543548</v>
      </c>
      <c r="E94" s="1024"/>
      <c r="F94" s="36" t="s">
        <v>673</v>
      </c>
      <c r="G94" s="39">
        <f>SUM(F124:F135)</f>
        <v>1719372.4677602951</v>
      </c>
      <c r="I94" s="1024"/>
      <c r="J94" s="36" t="s">
        <v>673</v>
      </c>
      <c r="K94" s="39">
        <f>SUM(J124:J135)</f>
        <v>1078983.4170641452</v>
      </c>
    </row>
    <row r="95" spans="1:11" ht="12.75" customHeight="1">
      <c r="A95" s="1024"/>
      <c r="B95" s="36" t="s">
        <v>674</v>
      </c>
      <c r="C95" s="39">
        <f>SUM(B136:B147)</f>
        <v>1344457.9882328769</v>
      </c>
      <c r="E95" s="1024"/>
      <c r="F95" s="36" t="s">
        <v>674</v>
      </c>
      <c r="G95" s="39">
        <f>SUM(F136:F147)</f>
        <v>1618706.0053324595</v>
      </c>
      <c r="I95" s="1024"/>
      <c r="J95" s="36" t="s">
        <v>674</v>
      </c>
      <c r="K95" s="39">
        <f>SUM(J136:J147)</f>
        <v>954403.38660795055</v>
      </c>
    </row>
    <row r="96" spans="1:11" ht="12.75" customHeight="1">
      <c r="A96" s="1024"/>
      <c r="B96" s="36" t="s">
        <v>675</v>
      </c>
      <c r="C96" s="39">
        <f>SUM(B148:B159)</f>
        <v>1229791.3755819078</v>
      </c>
      <c r="E96" s="1024"/>
      <c r="F96" s="36" t="s">
        <v>675</v>
      </c>
      <c r="G96" s="39">
        <f>SUM(F148:F159)</f>
        <v>1514280.4306980285</v>
      </c>
      <c r="I96" s="1024"/>
      <c r="J96" s="36" t="s">
        <v>675</v>
      </c>
      <c r="K96" s="39">
        <f>SUM(J148:J159)</f>
        <v>825171.25750945322</v>
      </c>
    </row>
    <row r="97" spans="1:11" ht="12.75" customHeight="1">
      <c r="A97" s="1024"/>
      <c r="B97" s="36" t="s">
        <v>675</v>
      </c>
      <c r="C97" s="39">
        <f>SUM(B160:B171)</f>
        <v>1110842.8536146739</v>
      </c>
      <c r="E97" s="1024"/>
      <c r="F97" s="36" t="s">
        <v>675</v>
      </c>
      <c r="G97" s="39">
        <f>SUM(F160:F171)</f>
        <v>1405955.3701492045</v>
      </c>
      <c r="I97" s="1024"/>
      <c r="J97" s="36" t="s">
        <v>675</v>
      </c>
      <c r="K97" s="39">
        <f>SUM(J160:J171)</f>
        <v>691113.30993812694</v>
      </c>
    </row>
    <row r="98" spans="1:11" ht="6" customHeight="1">
      <c r="A98" s="1024"/>
      <c r="B98" s="36"/>
      <c r="E98" s="1024"/>
      <c r="F98" s="36"/>
      <c r="I98" s="1024"/>
      <c r="J98" s="36"/>
    </row>
    <row r="99" spans="1:11" ht="15.75" customHeight="1">
      <c r="A99" s="1024"/>
      <c r="B99" s="36" t="s">
        <v>676</v>
      </c>
      <c r="C99" s="40">
        <f>($C$91*12)-C93</f>
        <v>2853595.2129228944</v>
      </c>
      <c r="E99" s="1024"/>
      <c r="F99" s="36" t="s">
        <v>676</v>
      </c>
      <c r="G99" s="40">
        <f>($G$91*12)-G93</f>
        <v>2598736.5720009236</v>
      </c>
      <c r="I99" s="1024"/>
      <c r="J99" s="36" t="s">
        <v>676</v>
      </c>
      <c r="K99" s="40">
        <f>($K$91*12)-K93</f>
        <v>3216072.8953755368</v>
      </c>
    </row>
    <row r="100" spans="1:11" ht="15.75" customHeight="1">
      <c r="A100" s="1024"/>
      <c r="B100" s="36" t="s">
        <v>677</v>
      </c>
      <c r="C100" s="40">
        <f t="shared" ref="C100:C103" si="8">($C$91*12)-C94</f>
        <v>2960154.878762668</v>
      </c>
      <c r="E100" s="1024"/>
      <c r="F100" s="36" t="s">
        <v>677</v>
      </c>
      <c r="G100" s="40">
        <f>($G$91*12)-G94</f>
        <v>2695779.2427567276</v>
      </c>
      <c r="I100" s="1024"/>
      <c r="J100" s="36" t="s">
        <v>677</v>
      </c>
      <c r="K100" s="40">
        <f>($K$91*12)-K94</f>
        <v>3336168.2934528776</v>
      </c>
    </row>
    <row r="101" spans="1:11" ht="15.75" customHeight="1">
      <c r="A101" s="1024"/>
      <c r="B101" s="36" t="s">
        <v>678</v>
      </c>
      <c r="C101" s="40">
        <f t="shared" si="8"/>
        <v>3070693.7222841457</v>
      </c>
      <c r="E101" s="1024"/>
      <c r="F101" s="36" t="s">
        <v>678</v>
      </c>
      <c r="G101" s="40">
        <f>($G$91*12)-G95</f>
        <v>2796445.7051845631</v>
      </c>
      <c r="I101" s="1024"/>
      <c r="J101" s="36" t="s">
        <v>678</v>
      </c>
      <c r="K101" s="40">
        <f>($K$91*12)-K95</f>
        <v>3460748.3239090722</v>
      </c>
    </row>
    <row r="102" spans="1:11" ht="15.75" customHeight="1">
      <c r="A102" s="1024"/>
      <c r="B102" s="36" t="s">
        <v>679</v>
      </c>
      <c r="C102" s="40">
        <f t="shared" si="8"/>
        <v>3185360.3349351147</v>
      </c>
      <c r="E102" s="1024"/>
      <c r="F102" s="36" t="s">
        <v>679</v>
      </c>
      <c r="G102" s="40">
        <f>($G$91*12)-G96</f>
        <v>2900871.279818994</v>
      </c>
      <c r="I102" s="1024"/>
      <c r="J102" s="36" t="s">
        <v>679</v>
      </c>
      <c r="K102" s="40">
        <f>($K$91*12)-K96</f>
        <v>3589980.4530075695</v>
      </c>
    </row>
    <row r="103" spans="1:11" ht="14.4">
      <c r="A103" s="1024"/>
      <c r="B103" s="36" t="s">
        <v>680</v>
      </c>
      <c r="C103" s="40">
        <f t="shared" si="8"/>
        <v>3304308.8569023488</v>
      </c>
      <c r="E103" s="1024"/>
      <c r="F103" s="36" t="s">
        <v>680</v>
      </c>
      <c r="G103" s="40">
        <f>($G$91*12)-G97</f>
        <v>3009196.3403678183</v>
      </c>
      <c r="I103" s="1024"/>
      <c r="J103" s="36" t="s">
        <v>680</v>
      </c>
      <c r="K103" s="40">
        <f>($K$91*12)-K97</f>
        <v>3724038.4005788956</v>
      </c>
    </row>
    <row r="104" spans="1:11" ht="14.4">
      <c r="A104" s="36"/>
      <c r="B104" s="41"/>
      <c r="C104" s="41"/>
      <c r="E104" s="36"/>
      <c r="F104" s="41"/>
      <c r="G104" s="41"/>
      <c r="I104" s="36"/>
      <c r="J104" s="41"/>
      <c r="K104" s="41"/>
    </row>
    <row r="105" spans="1:11" ht="14.4">
      <c r="A105" s="1022" t="s">
        <v>681</v>
      </c>
      <c r="B105" s="36" t="s">
        <v>682</v>
      </c>
      <c r="C105" s="40">
        <f>C91*60</f>
        <v>22075758.552585114</v>
      </c>
      <c r="E105" s="1022" t="s">
        <v>681</v>
      </c>
      <c r="F105" s="36" t="s">
        <v>682</v>
      </c>
      <c r="G105" s="40">
        <f>G91*60</f>
        <v>22075758.552585114</v>
      </c>
      <c r="I105" s="1022" t="s">
        <v>681</v>
      </c>
      <c r="J105" s="36" t="s">
        <v>682</v>
      </c>
      <c r="K105" s="40">
        <f>K91*60</f>
        <v>22075758.552585114</v>
      </c>
    </row>
    <row r="106" spans="1:11" ht="14.4">
      <c r="A106" s="1022"/>
      <c r="B106" s="36" t="s">
        <v>683</v>
      </c>
      <c r="C106" s="40">
        <f>SUM(C93:C97)</f>
        <v>6701645.5467779422</v>
      </c>
      <c r="E106" s="1022"/>
      <c r="F106" s="36" t="s">
        <v>683</v>
      </c>
      <c r="G106" s="40">
        <f>SUM(G93:G97)</f>
        <v>8074729.4124560868</v>
      </c>
      <c r="I106" s="1022"/>
      <c r="J106" s="36" t="s">
        <v>683</v>
      </c>
      <c r="K106" s="40">
        <f>SUM(K93:K97)</f>
        <v>4748750.1862611622</v>
      </c>
    </row>
    <row r="107" spans="1:11" ht="14.4">
      <c r="A107" s="1022"/>
      <c r="B107" s="36" t="s">
        <v>684</v>
      </c>
      <c r="C107" s="40">
        <f>SUM(C99:C103)</f>
        <v>15374113.005807173</v>
      </c>
      <c r="E107" s="1022"/>
      <c r="F107" s="36" t="s">
        <v>684</v>
      </c>
      <c r="G107" s="40">
        <f>SUM(G99:G103)</f>
        <v>14001029.140129026</v>
      </c>
      <c r="I107" s="1022"/>
      <c r="J107" s="36" t="s">
        <v>684</v>
      </c>
      <c r="K107" s="40">
        <f>SUM(K99:K103)</f>
        <v>17327008.366323952</v>
      </c>
    </row>
    <row r="108" spans="1:11" ht="14.4">
      <c r="A108" s="1022"/>
      <c r="B108" s="36" t="s">
        <v>685</v>
      </c>
      <c r="C108" s="40">
        <f>C105-C106-C107</f>
        <v>0</v>
      </c>
      <c r="E108" s="1022"/>
      <c r="F108" s="36" t="s">
        <v>685</v>
      </c>
      <c r="G108" s="40">
        <f>G105-G106-G107</f>
        <v>0</v>
      </c>
      <c r="I108" s="1022"/>
      <c r="J108" s="36" t="s">
        <v>685</v>
      </c>
      <c r="K108" s="40">
        <f>K105-K106-K107</f>
        <v>0</v>
      </c>
    </row>
    <row r="109" spans="1:11" ht="14.4">
      <c r="A109" s="36"/>
      <c r="B109" s="41"/>
      <c r="C109" s="41"/>
      <c r="E109" s="36"/>
      <c r="F109" s="41"/>
      <c r="G109" s="41"/>
      <c r="I109" s="36"/>
      <c r="J109" s="41"/>
      <c r="K109" s="41"/>
    </row>
    <row r="110" spans="1:11" ht="14.4">
      <c r="A110" s="36"/>
      <c r="B110" s="41" t="s">
        <v>686</v>
      </c>
      <c r="C110" s="41" t="s">
        <v>687</v>
      </c>
      <c r="E110" s="36"/>
      <c r="F110" s="41" t="s">
        <v>686</v>
      </c>
      <c r="G110" s="41" t="s">
        <v>687</v>
      </c>
      <c r="I110" s="36"/>
      <c r="J110" s="41" t="s">
        <v>686</v>
      </c>
      <c r="K110" s="41" t="s">
        <v>687</v>
      </c>
    </row>
    <row r="111" spans="1:11" ht="14.4">
      <c r="A111" s="36"/>
      <c r="B111" s="38"/>
      <c r="C111" s="38">
        <f>'[1]INPUTS - PROFORMA'!C83</f>
        <v>43827634.727083318</v>
      </c>
      <c r="E111" s="36"/>
      <c r="F111" s="38"/>
      <c r="G111" s="38">
        <f>'[1]INPUTS - PROFORMA'!C97</f>
        <v>50652575.402108595</v>
      </c>
      <c r="I111" s="36"/>
      <c r="J111" s="38"/>
      <c r="K111" s="38">
        <f>'[1]INPUTS - PROFORMA'!C113</f>
        <v>34120729.480274886</v>
      </c>
    </row>
    <row r="112" spans="1:11" ht="14.4">
      <c r="A112" s="36" t="s">
        <v>688</v>
      </c>
      <c r="B112" s="38">
        <f t="shared" ref="B112:B171" si="9">$C$90*C111</f>
        <v>134105.16431442296</v>
      </c>
      <c r="C112" s="38">
        <f>C111-($C$91-B112)</f>
        <v>43593810.582187988</v>
      </c>
      <c r="E112" s="36" t="s">
        <v>688</v>
      </c>
      <c r="F112" s="38">
        <f>$G$90*G111</f>
        <v>154988.33075404074</v>
      </c>
      <c r="G112" s="38">
        <f>G111-($G$91-F112)</f>
        <v>50439634.423652887</v>
      </c>
      <c r="I112" s="36" t="s">
        <v>688</v>
      </c>
      <c r="J112" s="38">
        <f>$K$90*K111</f>
        <v>104403.67275062282</v>
      </c>
      <c r="K112" s="38">
        <f>K111-($K$91-J112)</f>
        <v>33857203.843815759</v>
      </c>
    </row>
    <row r="113" spans="1:11" ht="14.4">
      <c r="A113" s="36" t="s">
        <v>689</v>
      </c>
      <c r="B113" s="38">
        <f t="shared" si="9"/>
        <v>133389.70189973575</v>
      </c>
      <c r="C113" s="38">
        <f t="shared" ref="C113:C171" si="10">C112-($C$91-B113)</f>
        <v>43359270.974877968</v>
      </c>
      <c r="E113" s="36" t="s">
        <v>689</v>
      </c>
      <c r="F113" s="38">
        <f t="shared" ref="F113:F171" si="11">$G$90*G112</f>
        <v>154336.76730365382</v>
      </c>
      <c r="G113" s="38">
        <f t="shared" ref="G113:G171" si="12">G112-($G$91-F113)</f>
        <v>50226041.881746791</v>
      </c>
      <c r="I113" s="36" t="s">
        <v>689</v>
      </c>
      <c r="J113" s="38">
        <f t="shared" ref="J113:J171" si="13">$K$90*K112</f>
        <v>103597.32878525762</v>
      </c>
      <c r="K113" s="38">
        <f t="shared" ref="K113:K171" si="14">K112-($K$91-J113)</f>
        <v>33592871.863391265</v>
      </c>
    </row>
    <row r="114" spans="1:11" ht="14.4">
      <c r="A114" s="36" t="s">
        <v>690</v>
      </c>
      <c r="B114" s="38">
        <f t="shared" si="9"/>
        <v>132672.05029082714</v>
      </c>
      <c r="C114" s="38">
        <f t="shared" si="10"/>
        <v>43124013.715959042</v>
      </c>
      <c r="E114" s="36" t="s">
        <v>690</v>
      </c>
      <c r="F114" s="38">
        <f t="shared" si="11"/>
        <v>153683.2101790903</v>
      </c>
      <c r="G114" s="38">
        <f t="shared" si="12"/>
        <v>50011795.782716133</v>
      </c>
      <c r="I114" s="36" t="s">
        <v>690</v>
      </c>
      <c r="J114" s="38">
        <f t="shared" si="13"/>
        <v>102788.51754346641</v>
      </c>
      <c r="K114" s="38">
        <f t="shared" si="14"/>
        <v>33327731.071724981</v>
      </c>
    </row>
    <row r="115" spans="1:11" ht="14.4">
      <c r="A115" s="36" t="s">
        <v>691</v>
      </c>
      <c r="B115" s="38">
        <f t="shared" si="9"/>
        <v>131952.20278913234</v>
      </c>
      <c r="C115" s="38">
        <f t="shared" si="10"/>
        <v>42888036.609538421</v>
      </c>
      <c r="E115" s="36" t="s">
        <v>691</v>
      </c>
      <c r="F115" s="38">
        <f t="shared" si="11"/>
        <v>153027.65328004377</v>
      </c>
      <c r="G115" s="38">
        <f t="shared" si="12"/>
        <v>49796894.126786426</v>
      </c>
      <c r="I115" s="36" t="s">
        <v>691</v>
      </c>
      <c r="J115" s="38">
        <f t="shared" si="13"/>
        <v>101977.23147579981</v>
      </c>
      <c r="K115" s="38">
        <f t="shared" si="14"/>
        <v>33061778.993991029</v>
      </c>
    </row>
    <row r="116" spans="1:11" ht="14.4">
      <c r="A116" s="36" t="s">
        <v>692</v>
      </c>
      <c r="B116" s="38">
        <f t="shared" si="9"/>
        <v>131230.15267559007</v>
      </c>
      <c r="C116" s="38">
        <f t="shared" si="10"/>
        <v>42651337.453004256</v>
      </c>
      <c r="E116" s="36" t="s">
        <v>692</v>
      </c>
      <c r="F116" s="38">
        <f t="shared" si="11"/>
        <v>152370.09048754186</v>
      </c>
      <c r="G116" s="38">
        <f t="shared" si="12"/>
        <v>49581334.908064216</v>
      </c>
      <c r="I116" s="36" t="s">
        <v>692</v>
      </c>
      <c r="J116" s="38">
        <f t="shared" si="13"/>
        <v>101163.46300970839</v>
      </c>
      <c r="K116" s="38">
        <f t="shared" si="14"/>
        <v>32795013.147790983</v>
      </c>
    </row>
    <row r="117" spans="1:11" ht="14.4">
      <c r="A117" s="36" t="s">
        <v>693</v>
      </c>
      <c r="B117" s="38">
        <f t="shared" si="9"/>
        <v>130505.89321057987</v>
      </c>
      <c r="C117" s="38">
        <f t="shared" si="10"/>
        <v>42413914.037005082</v>
      </c>
      <c r="E117" s="36" t="s">
        <v>693</v>
      </c>
      <c r="F117" s="38">
        <f t="shared" si="11"/>
        <v>151710.51566388918</v>
      </c>
      <c r="G117" s="38">
        <f t="shared" si="12"/>
        <v>49365116.114518352</v>
      </c>
      <c r="I117" s="36" t="s">
        <v>693</v>
      </c>
      <c r="J117" s="38">
        <f t="shared" si="13"/>
        <v>100347.20454947198</v>
      </c>
      <c r="K117" s="38">
        <f t="shared" si="14"/>
        <v>32527431.043130703</v>
      </c>
    </row>
    <row r="118" spans="1:11" ht="14.4">
      <c r="A118" s="36" t="s">
        <v>694</v>
      </c>
      <c r="B118" s="38">
        <f t="shared" si="9"/>
        <v>129779.41763385921</v>
      </c>
      <c r="C118" s="38">
        <f t="shared" si="10"/>
        <v>42175764.145429187</v>
      </c>
      <c r="E118" s="36" t="s">
        <v>694</v>
      </c>
      <c r="F118" s="38">
        <f t="shared" si="11"/>
        <v>151048.92265261</v>
      </c>
      <c r="G118" s="38">
        <f t="shared" si="12"/>
        <v>49148235.727961212</v>
      </c>
      <c r="I118" s="36" t="s">
        <v>694</v>
      </c>
      <c r="J118" s="38">
        <f t="shared" si="13"/>
        <v>99528.448476128789</v>
      </c>
      <c r="K118" s="38">
        <f t="shared" si="14"/>
        <v>32259030.182397079</v>
      </c>
    </row>
    <row r="119" spans="1:11" ht="14.4">
      <c r="A119" s="36" t="s">
        <v>695</v>
      </c>
      <c r="B119" s="38">
        <f t="shared" si="9"/>
        <v>129050.71916450027</v>
      </c>
      <c r="C119" s="38">
        <f t="shared" si="10"/>
        <v>41936885.555383936</v>
      </c>
      <c r="E119" s="36" t="s">
        <v>695</v>
      </c>
      <c r="F119" s="38">
        <f t="shared" si="11"/>
        <v>150385.30527839091</v>
      </c>
      <c r="G119" s="38">
        <f t="shared" si="12"/>
        <v>48930691.724029854</v>
      </c>
      <c r="I119" s="36" t="s">
        <v>695</v>
      </c>
      <c r="J119" s="38">
        <f t="shared" si="13"/>
        <v>98707.187147404315</v>
      </c>
      <c r="K119" s="38">
        <f t="shared" si="14"/>
        <v>31989808.060334731</v>
      </c>
    </row>
    <row r="120" spans="1:11" ht="14.4">
      <c r="A120" s="36" t="s">
        <v>696</v>
      </c>
      <c r="B120" s="38">
        <f t="shared" si="9"/>
        <v>128319.79100082687</v>
      </c>
      <c r="C120" s="38">
        <f t="shared" si="10"/>
        <v>41697276.037175007</v>
      </c>
      <c r="E120" s="36" t="s">
        <v>696</v>
      </c>
      <c r="F120" s="38">
        <f t="shared" si="11"/>
        <v>149719.65734702296</v>
      </c>
      <c r="G120" s="38">
        <f t="shared" si="12"/>
        <v>48712482.072167128</v>
      </c>
      <c r="I120" s="36" t="s">
        <v>696</v>
      </c>
      <c r="J120" s="38">
        <f t="shared" si="13"/>
        <v>97883.412897639981</v>
      </c>
      <c r="K120" s="38">
        <f t="shared" si="14"/>
        <v>31719762.164022621</v>
      </c>
    </row>
    <row r="121" spans="1:11" ht="14.4">
      <c r="A121" s="36" t="s">
        <v>697</v>
      </c>
      <c r="B121" s="38">
        <f t="shared" si="9"/>
        <v>127586.62632035071</v>
      </c>
      <c r="C121" s="38">
        <f t="shared" si="10"/>
        <v>41456933.354285605</v>
      </c>
      <c r="E121" s="36" t="s">
        <v>697</v>
      </c>
      <c r="F121" s="38">
        <f t="shared" si="11"/>
        <v>149051.9726453441</v>
      </c>
      <c r="G121" s="38">
        <f t="shared" si="12"/>
        <v>48493604.735602722</v>
      </c>
      <c r="I121" s="36" t="s">
        <v>697</v>
      </c>
      <c r="J121" s="38">
        <f t="shared" si="13"/>
        <v>97057.11803772155</v>
      </c>
      <c r="K121" s="38">
        <f t="shared" si="14"/>
        <v>31448889.972850591</v>
      </c>
    </row>
    <row r="122" spans="1:11" ht="14.4">
      <c r="A122" s="36" t="s">
        <v>698</v>
      </c>
      <c r="B122" s="38">
        <f t="shared" si="9"/>
        <v>126851.21827970791</v>
      </c>
      <c r="C122" s="38">
        <f t="shared" si="10"/>
        <v>41215855.263355561</v>
      </c>
      <c r="E122" s="36" t="s">
        <v>698</v>
      </c>
      <c r="F122" s="38">
        <f t="shared" si="11"/>
        <v>148382.24494118089</v>
      </c>
      <c r="G122" s="38">
        <f t="shared" si="12"/>
        <v>48274057.671334147</v>
      </c>
      <c r="I122" s="36" t="s">
        <v>698</v>
      </c>
      <c r="J122" s="38">
        <f t="shared" si="13"/>
        <v>96228.294855007436</v>
      </c>
      <c r="K122" s="38">
        <f t="shared" si="14"/>
        <v>31177188.958495848</v>
      </c>
    </row>
    <row r="123" spans="1:11" ht="14.4">
      <c r="A123" s="36" t="s">
        <v>699</v>
      </c>
      <c r="B123" s="38">
        <f t="shared" si="9"/>
        <v>126113.56001459503</v>
      </c>
      <c r="C123" s="38">
        <f t="shared" si="10"/>
        <v>40974039.514160402</v>
      </c>
      <c r="E123" s="36" t="s">
        <v>699</v>
      </c>
      <c r="F123" s="38">
        <f t="shared" si="11"/>
        <v>147710.46798329061</v>
      </c>
      <c r="G123" s="38">
        <f t="shared" si="12"/>
        <v>48053838.830107689</v>
      </c>
      <c r="I123" s="36" t="s">
        <v>699</v>
      </c>
      <c r="J123" s="38">
        <f t="shared" si="13"/>
        <v>95396.935613256661</v>
      </c>
      <c r="K123" s="38">
        <f t="shared" si="14"/>
        <v>30904656.584899351</v>
      </c>
    </row>
    <row r="124" spans="1:11" ht="14.4">
      <c r="A124" s="36" t="s">
        <v>700</v>
      </c>
      <c r="B124" s="38">
        <f t="shared" si="9"/>
        <v>125373.64463970503</v>
      </c>
      <c r="C124" s="38">
        <f t="shared" si="10"/>
        <v>40731483.849590354</v>
      </c>
      <c r="E124" s="36" t="s">
        <v>700</v>
      </c>
      <c r="F124" s="38">
        <f t="shared" si="11"/>
        <v>147036.63550130278</v>
      </c>
      <c r="G124" s="38">
        <f t="shared" si="12"/>
        <v>47832946.156399243</v>
      </c>
      <c r="I124" s="36" t="s">
        <v>700</v>
      </c>
      <c r="J124" s="38">
        <f t="shared" si="13"/>
        <v>94563.032552556615</v>
      </c>
      <c r="K124" s="38">
        <f t="shared" si="14"/>
        <v>30631290.308242157</v>
      </c>
    </row>
    <row r="125" spans="1:11" ht="14.4">
      <c r="A125" s="36" t="s">
        <v>701</v>
      </c>
      <c r="B125" s="38">
        <f t="shared" si="9"/>
        <v>124631.46524866298</v>
      </c>
      <c r="C125" s="38">
        <f t="shared" si="10"/>
        <v>40488186.005629264</v>
      </c>
      <c r="E125" s="36" t="s">
        <v>701</v>
      </c>
      <c r="F125" s="38">
        <f t="shared" si="11"/>
        <v>146360.74120566063</v>
      </c>
      <c r="G125" s="38">
        <f t="shared" si="12"/>
        <v>47611377.588395149</v>
      </c>
      <c r="I125" s="36" t="s">
        <v>701</v>
      </c>
      <c r="J125" s="38">
        <f t="shared" si="13"/>
        <v>93726.577889250751</v>
      </c>
      <c r="K125" s="38">
        <f t="shared" si="14"/>
        <v>30357087.576921657</v>
      </c>
    </row>
    <row r="126" spans="1:11" ht="14.4">
      <c r="A126" s="36" t="s">
        <v>702</v>
      </c>
      <c r="B126" s="38">
        <f t="shared" si="9"/>
        <v>123887.0149139616</v>
      </c>
      <c r="C126" s="38">
        <f t="shared" si="10"/>
        <v>40244143.711333476</v>
      </c>
      <c r="E126" s="36" t="s">
        <v>702</v>
      </c>
      <c r="F126" s="38">
        <f t="shared" si="11"/>
        <v>145682.77878756239</v>
      </c>
      <c r="G126" s="38">
        <f t="shared" si="12"/>
        <v>47389131.05797296</v>
      </c>
      <c r="I126" s="36" t="s">
        <v>702</v>
      </c>
      <c r="J126" s="38">
        <f t="shared" si="13"/>
        <v>92887.563815865768</v>
      </c>
      <c r="K126" s="38">
        <f t="shared" si="14"/>
        <v>30082045.83152777</v>
      </c>
    </row>
    <row r="127" spans="1:11" ht="14.4">
      <c r="A127" s="36" t="s">
        <v>703</v>
      </c>
      <c r="B127" s="38">
        <f t="shared" si="9"/>
        <v>123140.28668689665</v>
      </c>
      <c r="C127" s="38">
        <f t="shared" si="10"/>
        <v>39999354.688810624</v>
      </c>
      <c r="E127" s="36" t="s">
        <v>703</v>
      </c>
      <c r="F127" s="38">
        <f t="shared" si="11"/>
        <v>145002.74191890244</v>
      </c>
      <c r="G127" s="38">
        <f t="shared" si="12"/>
        <v>47166204.49068211</v>
      </c>
      <c r="I127" s="36" t="s">
        <v>703</v>
      </c>
      <c r="J127" s="38">
        <f t="shared" si="13"/>
        <v>92045.982501038845</v>
      </c>
      <c r="K127" s="38">
        <f t="shared" si="14"/>
        <v>29806162.504819058</v>
      </c>
    </row>
    <row r="128" spans="1:11" ht="14.4">
      <c r="A128" s="36" t="s">
        <v>704</v>
      </c>
      <c r="B128" s="38">
        <f t="shared" si="9"/>
        <v>122391.27359750198</v>
      </c>
      <c r="C128" s="38">
        <f t="shared" si="10"/>
        <v>39753816.653198376</v>
      </c>
      <c r="E128" s="36" t="s">
        <v>704</v>
      </c>
      <c r="F128" s="38">
        <f t="shared" si="11"/>
        <v>144320.6242522122</v>
      </c>
      <c r="G128" s="38">
        <f t="shared" si="12"/>
        <v>46942595.805724569</v>
      </c>
      <c r="I128" s="36" t="s">
        <v>704</v>
      </c>
      <c r="J128" s="38">
        <f t="shared" si="13"/>
        <v>91201.826089444527</v>
      </c>
      <c r="K128" s="38">
        <f t="shared" si="14"/>
        <v>29529435.021698751</v>
      </c>
    </row>
    <row r="129" spans="1:11" ht="14.4">
      <c r="A129" s="36" t="s">
        <v>705</v>
      </c>
      <c r="B129" s="38">
        <f t="shared" si="9"/>
        <v>121639.96865448452</v>
      </c>
      <c r="C129" s="38">
        <f t="shared" si="10"/>
        <v>39507527.312643111</v>
      </c>
      <c r="E129" s="36" t="s">
        <v>705</v>
      </c>
      <c r="F129" s="38">
        <f t="shared" si="11"/>
        <v>143636.41942060096</v>
      </c>
      <c r="G129" s="38">
        <f t="shared" si="12"/>
        <v>46718302.915935419</v>
      </c>
      <c r="I129" s="36" t="s">
        <v>705</v>
      </c>
      <c r="J129" s="38">
        <f t="shared" si="13"/>
        <v>90355.086701721346</v>
      </c>
      <c r="K129" s="38">
        <f t="shared" si="14"/>
        <v>29251860.799190719</v>
      </c>
    </row>
    <row r="130" spans="1:11" ht="14.4">
      <c r="A130" s="36" t="s">
        <v>706</v>
      </c>
      <c r="B130" s="38">
        <f t="shared" si="9"/>
        <v>120886.36484515906</v>
      </c>
      <c r="C130" s="38">
        <f t="shared" si="10"/>
        <v>39260484.368278518</v>
      </c>
      <c r="E130" s="36" t="s">
        <v>706</v>
      </c>
      <c r="F130" s="38">
        <f t="shared" si="11"/>
        <v>142950.12103769634</v>
      </c>
      <c r="G130" s="38">
        <f t="shared" si="12"/>
        <v>46493323.727763362</v>
      </c>
      <c r="I130" s="36" t="s">
        <v>706</v>
      </c>
      <c r="J130" s="38">
        <f t="shared" si="13"/>
        <v>89505.756434398369</v>
      </c>
      <c r="K130" s="38">
        <f t="shared" si="14"/>
        <v>28973437.246415365</v>
      </c>
    </row>
    <row r="131" spans="1:11" ht="14.4">
      <c r="A131" s="36" t="s">
        <v>707</v>
      </c>
      <c r="B131" s="38">
        <f t="shared" si="9"/>
        <v>120130.45513538273</v>
      </c>
      <c r="C131" s="38">
        <f t="shared" si="10"/>
        <v>39012685.514204152</v>
      </c>
      <c r="E131" s="36" t="s">
        <v>707</v>
      </c>
      <c r="F131" s="38">
        <f t="shared" si="11"/>
        <v>142261.7226975848</v>
      </c>
      <c r="G131" s="38">
        <f t="shared" si="12"/>
        <v>46267656.141251191</v>
      </c>
      <c r="I131" s="36" t="s">
        <v>707</v>
      </c>
      <c r="J131" s="38">
        <f t="shared" si="13"/>
        <v>88653.827359821342</v>
      </c>
      <c r="K131" s="38">
        <f t="shared" si="14"/>
        <v>28694161.764565434</v>
      </c>
    </row>
    <row r="132" spans="1:11" ht="14.4">
      <c r="A132" s="36" t="s">
        <v>708</v>
      </c>
      <c r="B132" s="38">
        <f t="shared" si="9"/>
        <v>119372.23246948939</v>
      </c>
      <c r="C132" s="38">
        <f t="shared" si="10"/>
        <v>38764128.437463887</v>
      </c>
      <c r="E132" s="36" t="s">
        <v>708</v>
      </c>
      <c r="F132" s="38">
        <f t="shared" si="11"/>
        <v>141571.21797475175</v>
      </c>
      <c r="G132" s="38">
        <f t="shared" si="12"/>
        <v>46041298.050016195</v>
      </c>
      <c r="I132" s="36" t="s">
        <v>708</v>
      </c>
      <c r="J132" s="38">
        <f t="shared" si="13"/>
        <v>87799.291526078727</v>
      </c>
      <c r="K132" s="38">
        <f t="shared" si="14"/>
        <v>28414031.746881761</v>
      </c>
    </row>
    <row r="133" spans="1:11" ht="14.4">
      <c r="A133" s="36" t="s">
        <v>709</v>
      </c>
      <c r="B133" s="38">
        <f t="shared" si="9"/>
        <v>118611.68977022372</v>
      </c>
      <c r="C133" s="38">
        <f t="shared" si="10"/>
        <v>38514810.81802436</v>
      </c>
      <c r="E133" s="36" t="s">
        <v>709</v>
      </c>
      <c r="F133" s="38">
        <f t="shared" si="11"/>
        <v>140878.60042402157</v>
      </c>
      <c r="G133" s="38">
        <f t="shared" si="12"/>
        <v>45814247.341230467</v>
      </c>
      <c r="I133" s="36" t="s">
        <v>709</v>
      </c>
      <c r="J133" s="38">
        <f t="shared" si="13"/>
        <v>86942.140956927498</v>
      </c>
      <c r="K133" s="38">
        <f t="shared" si="14"/>
        <v>28133044.578628935</v>
      </c>
    </row>
    <row r="134" spans="1:11" ht="14.4">
      <c r="A134" s="36" t="s">
        <v>710</v>
      </c>
      <c r="B134" s="38">
        <f t="shared" si="9"/>
        <v>117848.81993867522</v>
      </c>
      <c r="C134" s="38">
        <f t="shared" si="10"/>
        <v>38264730.328753285</v>
      </c>
      <c r="E134" s="36" t="s">
        <v>710</v>
      </c>
      <c r="F134" s="38">
        <f t="shared" si="11"/>
        <v>140183.86358049759</v>
      </c>
      <c r="G134" s="38">
        <f t="shared" si="12"/>
        <v>45586501.895601213</v>
      </c>
      <c r="I134" s="36" t="s">
        <v>710</v>
      </c>
      <c r="J134" s="38">
        <f t="shared" si="13"/>
        <v>86082.367651718683</v>
      </c>
      <c r="K134" s="38">
        <f t="shared" si="14"/>
        <v>27851197.637070902</v>
      </c>
    </row>
    <row r="135" spans="1:11" ht="14.4">
      <c r="A135" s="36" t="s">
        <v>711</v>
      </c>
      <c r="B135" s="38">
        <f t="shared" si="9"/>
        <v>117083.61585421195</v>
      </c>
      <c r="C135" s="38">
        <f t="shared" si="10"/>
        <v>38013884.635397747</v>
      </c>
      <c r="E135" s="36" t="s">
        <v>711</v>
      </c>
      <c r="F135" s="38">
        <f t="shared" si="11"/>
        <v>139487.00095950154</v>
      </c>
      <c r="G135" s="38">
        <f t="shared" si="12"/>
        <v>45358059.587350965</v>
      </c>
      <c r="I135" s="36" t="s">
        <v>711</v>
      </c>
      <c r="J135" s="38">
        <f t="shared" si="13"/>
        <v>85219.963585322621</v>
      </c>
      <c r="K135" s="38">
        <f t="shared" si="14"/>
        <v>27568488.291446473</v>
      </c>
    </row>
    <row r="136" spans="1:11" ht="14.4">
      <c r="A136" s="36" t="s">
        <v>712</v>
      </c>
      <c r="B136" s="38">
        <f t="shared" si="9"/>
        <v>116316.07037441398</v>
      </c>
      <c r="C136" s="38">
        <f t="shared" si="10"/>
        <v>37762271.396562412</v>
      </c>
      <c r="E136" s="36" t="s">
        <v>712</v>
      </c>
      <c r="F136" s="38">
        <f t="shared" si="11"/>
        <v>138788.00605651323</v>
      </c>
      <c r="G136" s="38">
        <f t="shared" si="12"/>
        <v>45128918.284197725</v>
      </c>
      <c r="I136" s="36" t="s">
        <v>712</v>
      </c>
      <c r="J136" s="38">
        <f t="shared" si="13"/>
        <v>84354.920708054167</v>
      </c>
      <c r="K136" s="38">
        <f t="shared" si="14"/>
        <v>27284913.902944777</v>
      </c>
    </row>
    <row r="137" spans="1:11" ht="14.4">
      <c r="A137" s="36" t="s">
        <v>713</v>
      </c>
      <c r="B137" s="38">
        <f t="shared" si="9"/>
        <v>115546.17633500679</v>
      </c>
      <c r="C137" s="38">
        <f t="shared" si="10"/>
        <v>37509888.26368767</v>
      </c>
      <c r="E137" s="36" t="s">
        <v>713</v>
      </c>
      <c r="F137" s="38">
        <f t="shared" si="11"/>
        <v>138086.8723471096</v>
      </c>
      <c r="G137" s="38">
        <f t="shared" si="12"/>
        <v>44899075.847335085</v>
      </c>
      <c r="I137" s="36" t="s">
        <v>713</v>
      </c>
      <c r="J137" s="38">
        <f t="shared" si="13"/>
        <v>83487.230945597461</v>
      </c>
      <c r="K137" s="38">
        <f t="shared" si="14"/>
        <v>27000471.824680623</v>
      </c>
    </row>
    <row r="138" spans="1:11" ht="14.4">
      <c r="A138" s="36" t="s">
        <v>714</v>
      </c>
      <c r="B138" s="38">
        <f t="shared" si="9"/>
        <v>114773.92654979443</v>
      </c>
      <c r="C138" s="38">
        <f t="shared" si="10"/>
        <v>37256732.881027713</v>
      </c>
      <c r="E138" s="36" t="s">
        <v>714</v>
      </c>
      <c r="F138" s="38">
        <f t="shared" si="11"/>
        <v>137383.59328690416</v>
      </c>
      <c r="G138" s="38">
        <f t="shared" si="12"/>
        <v>44668530.131412238</v>
      </c>
      <c r="I138" s="36" t="s">
        <v>714</v>
      </c>
      <c r="J138" s="38">
        <f t="shared" si="13"/>
        <v>82616.886198930617</v>
      </c>
      <c r="K138" s="38">
        <f t="shared" si="14"/>
        <v>26715159.4016698</v>
      </c>
    </row>
    <row r="139" spans="1:11" ht="14.4">
      <c r="A139" s="36" t="s">
        <v>715</v>
      </c>
      <c r="B139" s="38">
        <f t="shared" si="9"/>
        <v>113999.31381059234</v>
      </c>
      <c r="C139" s="38">
        <f t="shared" si="10"/>
        <v>37002802.885628551</v>
      </c>
      <c r="E139" s="36" t="s">
        <v>715</v>
      </c>
      <c r="F139" s="38">
        <f t="shared" si="11"/>
        <v>136678.16231148547</v>
      </c>
      <c r="G139" s="38">
        <f t="shared" si="12"/>
        <v>44437278.984513968</v>
      </c>
      <c r="I139" s="36" t="s">
        <v>715</v>
      </c>
      <c r="J139" s="38">
        <f t="shared" si="13"/>
        <v>81743.878344250101</v>
      </c>
      <c r="K139" s="38">
        <f t="shared" si="14"/>
        <v>26428973.9708043</v>
      </c>
    </row>
    <row r="140" spans="1:11" ht="14.4">
      <c r="A140" s="36" t="s">
        <v>716</v>
      </c>
      <c r="B140" s="38">
        <f t="shared" si="9"/>
        <v>113222.33088716021</v>
      </c>
      <c r="C140" s="38">
        <f t="shared" si="10"/>
        <v>36748095.907305956</v>
      </c>
      <c r="E140" s="36" t="s">
        <v>716</v>
      </c>
      <c r="F140" s="38">
        <f t="shared" si="11"/>
        <v>135970.57283635627</v>
      </c>
      <c r="G140" s="38">
        <f t="shared" si="12"/>
        <v>44205320.248140574</v>
      </c>
      <c r="I140" s="36" t="s">
        <v>716</v>
      </c>
      <c r="J140" s="38">
        <f t="shared" si="13"/>
        <v>80868.199232894927</v>
      </c>
      <c r="K140" s="38">
        <f t="shared" si="14"/>
        <v>26141912.860827442</v>
      </c>
    </row>
    <row r="141" spans="1:11" ht="14.4">
      <c r="A141" s="36" t="s">
        <v>717</v>
      </c>
      <c r="B141" s="38">
        <f t="shared" si="9"/>
        <v>112442.97052713434</v>
      </c>
      <c r="C141" s="38">
        <f t="shared" si="10"/>
        <v>36492609.568623342</v>
      </c>
      <c r="E141" s="36" t="s">
        <v>717</v>
      </c>
      <c r="F141" s="38">
        <f t="shared" si="11"/>
        <v>135260.8182568718</v>
      </c>
      <c r="G141" s="38">
        <f t="shared" si="12"/>
        <v>43972651.757187694</v>
      </c>
      <c r="I141" s="36" t="s">
        <v>717</v>
      </c>
      <c r="J141" s="38">
        <f t="shared" si="13"/>
        <v>79989.84069127054</v>
      </c>
      <c r="K141" s="38">
        <f t="shared" si="14"/>
        <v>25853973.392308962</v>
      </c>
    </row>
    <row r="142" spans="1:11" ht="14.4">
      <c r="A142" s="36" t="s">
        <v>718</v>
      </c>
      <c r="B142" s="38">
        <f t="shared" si="9"/>
        <v>111661.2254559601</v>
      </c>
      <c r="C142" s="38">
        <f t="shared" si="10"/>
        <v>36236341.484869547</v>
      </c>
      <c r="E142" s="36" t="s">
        <v>718</v>
      </c>
      <c r="F142" s="38">
        <f t="shared" si="11"/>
        <v>134548.89194817818</v>
      </c>
      <c r="G142" s="38">
        <f t="shared" si="12"/>
        <v>43739271.339926124</v>
      </c>
      <c r="I142" s="36" t="s">
        <v>718</v>
      </c>
      <c r="J142" s="38">
        <f t="shared" si="13"/>
        <v>79108.794520772615</v>
      </c>
      <c r="K142" s="38">
        <f t="shared" si="14"/>
        <v>25565152.877619982</v>
      </c>
    </row>
    <row r="143" spans="1:11" ht="14.4">
      <c r="A143" s="36" t="s">
        <v>719</v>
      </c>
      <c r="B143" s="38">
        <f t="shared" si="9"/>
        <v>110877.08837682386</v>
      </c>
      <c r="C143" s="38">
        <f t="shared" si="10"/>
        <v>35979289.264036618</v>
      </c>
      <c r="E143" s="36" t="s">
        <v>719</v>
      </c>
      <c r="F143" s="38">
        <f t="shared" si="11"/>
        <v>133834.7872651506</v>
      </c>
      <c r="G143" s="38">
        <f t="shared" si="12"/>
        <v>43505176.817981519</v>
      </c>
      <c r="I143" s="36" t="s">
        <v>719</v>
      </c>
      <c r="J143" s="38">
        <f t="shared" si="13"/>
        <v>78225.052497710451</v>
      </c>
      <c r="K143" s="38">
        <f t="shared" si="14"/>
        <v>25275448.62090794</v>
      </c>
    </row>
    <row r="144" spans="1:11" ht="14.4">
      <c r="A144" s="36" t="s">
        <v>720</v>
      </c>
      <c r="B144" s="38">
        <f t="shared" si="9"/>
        <v>110090.55197058506</v>
      </c>
      <c r="C144" s="38">
        <f t="shared" si="10"/>
        <v>35721450.506797448</v>
      </c>
      <c r="E144" s="36" t="s">
        <v>720</v>
      </c>
      <c r="F144" s="38">
        <f t="shared" si="11"/>
        <v>133118.49754233132</v>
      </c>
      <c r="G144" s="38">
        <f t="shared" si="12"/>
        <v>43270366.006314099</v>
      </c>
      <c r="I144" s="36" t="s">
        <v>720</v>
      </c>
      <c r="J144" s="38">
        <f t="shared" si="13"/>
        <v>77338.606373230272</v>
      </c>
      <c r="K144" s="38">
        <f t="shared" si="14"/>
        <v>24984857.918071419</v>
      </c>
    </row>
    <row r="145" spans="1:11" ht="14.4">
      <c r="A145" s="36" t="s">
        <v>721</v>
      </c>
      <c r="B145" s="38">
        <f t="shared" si="9"/>
        <v>109301.60889570773</v>
      </c>
      <c r="C145" s="38">
        <f t="shared" si="10"/>
        <v>35462822.806483403</v>
      </c>
      <c r="E145" s="36" t="s">
        <v>721</v>
      </c>
      <c r="F145" s="38">
        <f t="shared" si="11"/>
        <v>132400.01609386742</v>
      </c>
      <c r="G145" s="38">
        <f t="shared" si="12"/>
        <v>43034836.713198215</v>
      </c>
      <c r="I145" s="36" t="s">
        <v>721</v>
      </c>
      <c r="J145" s="38">
        <f t="shared" si="13"/>
        <v>76449.447873238169</v>
      </c>
      <c r="K145" s="38">
        <f t="shared" si="14"/>
        <v>24693378.056734905</v>
      </c>
    </row>
    <row r="146" spans="1:11" ht="14.4">
      <c r="A146" s="36" t="s">
        <v>722</v>
      </c>
      <c r="B146" s="38">
        <f t="shared" si="9"/>
        <v>108510.25178819209</v>
      </c>
      <c r="C146" s="38">
        <f t="shared" si="10"/>
        <v>35203403.749061845</v>
      </c>
      <c r="E146" s="36" t="s">
        <v>722</v>
      </c>
      <c r="F146" s="38">
        <f t="shared" si="11"/>
        <v>131679.33621344832</v>
      </c>
      <c r="G146" s="38">
        <f t="shared" si="12"/>
        <v>42798586.740201913</v>
      </c>
      <c r="I146" s="36" t="s">
        <v>722</v>
      </c>
      <c r="J146" s="38">
        <f t="shared" si="13"/>
        <v>75557.56869832291</v>
      </c>
      <c r="K146" s="38">
        <f t="shared" si="14"/>
        <v>24401006.316223476</v>
      </c>
    </row>
    <row r="147" spans="1:11" ht="14.4">
      <c r="A147" s="36" t="s">
        <v>723</v>
      </c>
      <c r="B147" s="38">
        <f t="shared" si="9"/>
        <v>107716.47326150577</v>
      </c>
      <c r="C147" s="38">
        <f t="shared" si="10"/>
        <v>34943190.913113602</v>
      </c>
      <c r="E147" s="36" t="s">
        <v>723</v>
      </c>
      <c r="F147" s="38">
        <f t="shared" si="11"/>
        <v>130956.4511742434</v>
      </c>
      <c r="G147" s="38">
        <f t="shared" si="12"/>
        <v>42561613.882166408</v>
      </c>
      <c r="I147" s="36" t="s">
        <v>723</v>
      </c>
      <c r="J147" s="38">
        <f t="shared" si="13"/>
        <v>74662.96052367847</v>
      </c>
      <c r="K147" s="38">
        <f t="shared" si="14"/>
        <v>24107739.967537403</v>
      </c>
    </row>
    <row r="148" spans="1:11" ht="14.4">
      <c r="A148" s="36" t="s">
        <v>724</v>
      </c>
      <c r="B148" s="38">
        <f t="shared" si="9"/>
        <v>106920.2659065148</v>
      </c>
      <c r="C148" s="38">
        <f t="shared" si="10"/>
        <v>34682181.869810365</v>
      </c>
      <c r="E148" s="36" t="s">
        <v>724</v>
      </c>
      <c r="F148" s="38">
        <f t="shared" si="11"/>
        <v>130231.35422883896</v>
      </c>
      <c r="G148" s="38">
        <f t="shared" si="12"/>
        <v>42323915.927185498</v>
      </c>
      <c r="I148" s="36" t="s">
        <v>724</v>
      </c>
      <c r="J148" s="38">
        <f t="shared" si="13"/>
        <v>73765.614999026337</v>
      </c>
      <c r="K148" s="38">
        <f t="shared" si="14"/>
        <v>23813576.273326676</v>
      </c>
    </row>
    <row r="149" spans="1:11" ht="14.4">
      <c r="A149" s="36" t="s">
        <v>725</v>
      </c>
      <c r="B149" s="38">
        <f t="shared" si="9"/>
        <v>106121.62229141456</v>
      </c>
      <c r="C149" s="38">
        <f t="shared" si="10"/>
        <v>34420374.182892025</v>
      </c>
      <c r="E149" s="36" t="s">
        <v>725</v>
      </c>
      <c r="F149" s="38">
        <f t="shared" si="11"/>
        <v>129504.03860917539</v>
      </c>
      <c r="G149" s="38">
        <f t="shared" si="12"/>
        <v>42085490.656584918</v>
      </c>
      <c r="I149" s="36" t="s">
        <v>725</v>
      </c>
      <c r="J149" s="38">
        <f t="shared" si="13"/>
        <v>72865.523748537526</v>
      </c>
      <c r="K149" s="38">
        <f t="shared" si="14"/>
        <v>23518512.487865463</v>
      </c>
    </row>
    <row r="150" spans="1:11" ht="14.4">
      <c r="A150" s="36" t="s">
        <v>726</v>
      </c>
      <c r="B150" s="38">
        <f t="shared" si="9"/>
        <v>105320.53496166032</v>
      </c>
      <c r="C150" s="38">
        <f t="shared" si="10"/>
        <v>34157765.408643931</v>
      </c>
      <c r="E150" s="36" t="s">
        <v>726</v>
      </c>
      <c r="F150" s="38">
        <f t="shared" si="11"/>
        <v>128774.49752648394</v>
      </c>
      <c r="G150" s="38">
        <f t="shared" si="12"/>
        <v>41846335.844901651</v>
      </c>
      <c r="I150" s="36" t="s">
        <v>726</v>
      </c>
      <c r="J150" s="38">
        <f t="shared" si="13"/>
        <v>71962.678370754467</v>
      </c>
      <c r="K150" s="38">
        <f t="shared" si="14"/>
        <v>23222545.857026465</v>
      </c>
    </row>
    <row r="151" spans="1:11" ht="14.4">
      <c r="A151" s="36" t="s">
        <v>727</v>
      </c>
      <c r="B151" s="38">
        <f t="shared" si="9"/>
        <v>104516.99643989776</v>
      </c>
      <c r="C151" s="38">
        <f t="shared" si="10"/>
        <v>33894353.095874079</v>
      </c>
      <c r="E151" s="36" t="s">
        <v>727</v>
      </c>
      <c r="F151" s="38">
        <f t="shared" si="11"/>
        <v>128042.72417122344</v>
      </c>
      <c r="G151" s="38">
        <f t="shared" si="12"/>
        <v>41606449.259863123</v>
      </c>
      <c r="I151" s="36" t="s">
        <v>727</v>
      </c>
      <c r="J151" s="38">
        <f t="shared" si="13"/>
        <v>71057.070438512499</v>
      </c>
      <c r="K151" s="38">
        <f t="shared" si="14"/>
        <v>22925673.618255224</v>
      </c>
    </row>
    <row r="152" spans="1:11" ht="14.4">
      <c r="A152" s="36" t="s">
        <v>728</v>
      </c>
      <c r="B152" s="38">
        <f t="shared" si="9"/>
        <v>103710.9992258931</v>
      </c>
      <c r="C152" s="38">
        <f t="shared" si="10"/>
        <v>33630134.785890222</v>
      </c>
      <c r="E152" s="36" t="s">
        <v>728</v>
      </c>
      <c r="F152" s="38">
        <f t="shared" si="11"/>
        <v>127308.7117130166</v>
      </c>
      <c r="G152" s="38">
        <f t="shared" si="12"/>
        <v>41365828.66236639</v>
      </c>
      <c r="I152" s="36" t="s">
        <v>728</v>
      </c>
      <c r="J152" s="38">
        <f t="shared" si="13"/>
        <v>70148.691498861313</v>
      </c>
      <c r="K152" s="38">
        <f t="shared" si="14"/>
        <v>22627893.000544332</v>
      </c>
    </row>
    <row r="153" spans="1:11" ht="14.4">
      <c r="A153" s="36" t="s">
        <v>729</v>
      </c>
      <c r="B153" s="38">
        <f t="shared" si="9"/>
        <v>102902.53579646308</v>
      </c>
      <c r="C153" s="38">
        <f t="shared" si="10"/>
        <v>33365108.012476932</v>
      </c>
      <c r="E153" s="36" t="s">
        <v>729</v>
      </c>
      <c r="F153" s="38">
        <f t="shared" si="11"/>
        <v>126572.45330058639</v>
      </c>
      <c r="G153" s="38">
        <f t="shared" si="12"/>
        <v>41124471.806457222</v>
      </c>
      <c r="I153" s="36" t="s">
        <v>729</v>
      </c>
      <c r="J153" s="38">
        <f t="shared" si="13"/>
        <v>69237.533072985942</v>
      </c>
      <c r="K153" s="38">
        <f t="shared" si="14"/>
        <v>22329201.224407565</v>
      </c>
    </row>
    <row r="154" spans="1:11" ht="14.4">
      <c r="A154" s="36" t="s">
        <v>730</v>
      </c>
      <c r="B154" s="38">
        <f t="shared" si="9"/>
        <v>102091.59860540477</v>
      </c>
      <c r="C154" s="38">
        <f t="shared" si="10"/>
        <v>33099270.301872585</v>
      </c>
      <c r="E154" s="36" t="s">
        <v>730</v>
      </c>
      <c r="F154" s="38">
        <f t="shared" si="11"/>
        <v>125833.94206169194</v>
      </c>
      <c r="G154" s="38">
        <f t="shared" si="12"/>
        <v>40882376.439309165</v>
      </c>
      <c r="I154" s="36" t="s">
        <v>730</v>
      </c>
      <c r="J154" s="38">
        <f t="shared" si="13"/>
        <v>68323.586656127736</v>
      </c>
      <c r="K154" s="38">
        <f t="shared" si="14"/>
        <v>22029595.501853939</v>
      </c>
    </row>
    <row r="155" spans="1:11" ht="14.4">
      <c r="A155" s="36" t="s">
        <v>731</v>
      </c>
      <c r="B155" s="38">
        <f t="shared" si="9"/>
        <v>101278.18008342516</v>
      </c>
      <c r="C155" s="38">
        <f t="shared" si="10"/>
        <v>32832619.17274626</v>
      </c>
      <c r="E155" s="36" t="s">
        <v>731</v>
      </c>
      <c r="F155" s="38">
        <f t="shared" si="11"/>
        <v>125093.1711030646</v>
      </c>
      <c r="G155" s="38">
        <f t="shared" si="12"/>
        <v>40639540.301202476</v>
      </c>
      <c r="I155" s="36" t="s">
        <v>731</v>
      </c>
      <c r="J155" s="38">
        <f t="shared" si="13"/>
        <v>67406.843717504889</v>
      </c>
      <c r="K155" s="38">
        <f t="shared" si="14"/>
        <v>21729073.036361691</v>
      </c>
    </row>
    <row r="156" spans="1:11" ht="14.4">
      <c r="A156" s="36" t="s">
        <v>732</v>
      </c>
      <c r="B156" s="38">
        <f t="shared" si="9"/>
        <v>100462.2726380705</v>
      </c>
      <c r="C156" s="38">
        <f t="shared" si="10"/>
        <v>32565152.136174578</v>
      </c>
      <c r="E156" s="36" t="s">
        <v>732</v>
      </c>
      <c r="F156" s="38">
        <f t="shared" si="11"/>
        <v>124350.13351034337</v>
      </c>
      <c r="G156" s="38">
        <f t="shared" si="12"/>
        <v>40395961.125503071</v>
      </c>
      <c r="I156" s="36" t="s">
        <v>732</v>
      </c>
      <c r="J156" s="38">
        <f t="shared" si="13"/>
        <v>66487.295700232833</v>
      </c>
      <c r="K156" s="38">
        <f t="shared" si="14"/>
        <v>21427631.022852171</v>
      </c>
    </row>
    <row r="157" spans="1:11" ht="14.4">
      <c r="A157" s="36" t="s">
        <v>733</v>
      </c>
      <c r="B157" s="38">
        <f t="shared" si="9"/>
        <v>99643.868653655329</v>
      </c>
      <c r="C157" s="38">
        <f t="shared" si="10"/>
        <v>32296866.69561848</v>
      </c>
      <c r="E157" s="36" t="s">
        <v>733</v>
      </c>
      <c r="F157" s="38">
        <f t="shared" si="11"/>
        <v>123604.82234801055</v>
      </c>
      <c r="G157" s="38">
        <f t="shared" si="12"/>
        <v>40151636.638641328</v>
      </c>
      <c r="I157" s="36" t="s">
        <v>733</v>
      </c>
      <c r="J157" s="38">
        <f t="shared" si="13"/>
        <v>65564.934021244393</v>
      </c>
      <c r="K157" s="38">
        <f t="shared" si="14"/>
        <v>21125266.647663664</v>
      </c>
    </row>
    <row r="158" spans="1:11" ht="14.4">
      <c r="A158" s="36" t="s">
        <v>734</v>
      </c>
      <c r="B158" s="38">
        <f t="shared" si="9"/>
        <v>98822.960491191581</v>
      </c>
      <c r="C158" s="38">
        <f t="shared" si="10"/>
        <v>32027760.346899919</v>
      </c>
      <c r="E158" s="36" t="s">
        <v>734</v>
      </c>
      <c r="F158" s="38">
        <f t="shared" si="11"/>
        <v>122857.23065932689</v>
      </c>
      <c r="G158" s="38">
        <f t="shared" si="12"/>
        <v>39906564.560090899</v>
      </c>
      <c r="I158" s="36" t="s">
        <v>734</v>
      </c>
      <c r="J158" s="38">
        <f t="shared" si="13"/>
        <v>64639.750071209652</v>
      </c>
      <c r="K158" s="38">
        <f t="shared" si="14"/>
        <v>20821977.08852512</v>
      </c>
    </row>
    <row r="159" spans="1:11" ht="14.4">
      <c r="A159" s="36" t="s">
        <v>735</v>
      </c>
      <c r="B159" s="38">
        <f t="shared" si="9"/>
        <v>97999.540488317085</v>
      </c>
      <c r="C159" s="38">
        <f t="shared" si="10"/>
        <v>31757830.578178484</v>
      </c>
      <c r="E159" s="36" t="s">
        <v>735</v>
      </c>
      <c r="F159" s="38">
        <f t="shared" si="11"/>
        <v>122107.35146626669</v>
      </c>
      <c r="G159" s="38">
        <f t="shared" si="12"/>
        <v>39660742.602347411</v>
      </c>
      <c r="I159" s="36" t="s">
        <v>735</v>
      </c>
      <c r="J159" s="38">
        <f t="shared" si="13"/>
        <v>63711.735214455599</v>
      </c>
      <c r="K159" s="38">
        <f t="shared" si="14"/>
        <v>20517759.514529824</v>
      </c>
    </row>
    <row r="160" spans="1:11" ht="14.4">
      <c r="A160" s="36" t="s">
        <v>736</v>
      </c>
      <c r="B160" s="38">
        <f t="shared" si="9"/>
        <v>97173.600959224204</v>
      </c>
      <c r="C160" s="38">
        <f t="shared" si="10"/>
        <v>31487074.869927958</v>
      </c>
      <c r="E160" s="36" t="s">
        <v>736</v>
      </c>
      <c r="F160" s="38">
        <f t="shared" si="11"/>
        <v>121355.17776945268</v>
      </c>
      <c r="G160" s="38">
        <f t="shared" si="12"/>
        <v>39414168.470907114</v>
      </c>
      <c r="I160" s="36" t="s">
        <v>736</v>
      </c>
      <c r="J160" s="38">
        <f t="shared" si="13"/>
        <v>62780.880788885523</v>
      </c>
      <c r="K160" s="38">
        <f t="shared" si="14"/>
        <v>20212611.086108956</v>
      </c>
    </row>
    <row r="161" spans="1:11" ht="14.4">
      <c r="A161" s="36" t="s">
        <v>737</v>
      </c>
      <c r="B161" s="38">
        <f t="shared" si="9"/>
        <v>96345.134194587983</v>
      </c>
      <c r="C161" s="38">
        <f t="shared" si="10"/>
        <v>31215490.694912795</v>
      </c>
      <c r="E161" s="36" t="s">
        <v>737</v>
      </c>
      <c r="F161" s="38">
        <f t="shared" si="11"/>
        <v>120600.70254809073</v>
      </c>
      <c r="G161" s="38">
        <f t="shared" si="12"/>
        <v>39166839.864245452</v>
      </c>
      <c r="I161" s="36" t="s">
        <v>737</v>
      </c>
      <c r="J161" s="38">
        <f t="shared" si="13"/>
        <v>61847.178105898143</v>
      </c>
      <c r="K161" s="38">
        <f t="shared" si="14"/>
        <v>19906528.955005102</v>
      </c>
    </row>
    <row r="162" spans="1:11" ht="14.4">
      <c r="A162" s="36" t="s">
        <v>738</v>
      </c>
      <c r="B162" s="38">
        <f t="shared" si="9"/>
        <v>95514.132461494242</v>
      </c>
      <c r="C162" s="38">
        <f t="shared" si="10"/>
        <v>30943075.518164538</v>
      </c>
      <c r="E162" s="36" t="s">
        <v>738</v>
      </c>
      <c r="F162" s="38">
        <f t="shared" si="11"/>
        <v>119843.91875990416</v>
      </c>
      <c r="G162" s="38">
        <f t="shared" si="12"/>
        <v>38918754.473795608</v>
      </c>
      <c r="I162" s="36" t="s">
        <v>738</v>
      </c>
      <c r="J162" s="38">
        <f t="shared" si="13"/>
        <v>60910.618450306552</v>
      </c>
      <c r="K162" s="38">
        <f t="shared" si="14"/>
        <v>19599510.264245655</v>
      </c>
    </row>
    <row r="163" spans="1:11" ht="14.4">
      <c r="A163" s="36" t="s">
        <v>739</v>
      </c>
      <c r="B163" s="38">
        <f t="shared" si="9"/>
        <v>94680.588003367404</v>
      </c>
      <c r="C163" s="38">
        <f t="shared" si="10"/>
        <v>30669826.796958152</v>
      </c>
      <c r="E163" s="36" t="s">
        <v>739</v>
      </c>
      <c r="F163" s="38">
        <f t="shared" si="11"/>
        <v>119084.81934106819</v>
      </c>
      <c r="G163" s="38">
        <f t="shared" si="12"/>
        <v>38669909.983926922</v>
      </c>
      <c r="I163" s="36" t="s">
        <v>739</v>
      </c>
      <c r="J163" s="38">
        <f t="shared" si="13"/>
        <v>59971.193080256824</v>
      </c>
      <c r="K163" s="38">
        <f t="shared" si="14"/>
        <v>19291552.14811616</v>
      </c>
    </row>
    <row r="164" spans="1:11" ht="14.4">
      <c r="A164" s="36" t="s">
        <v>740</v>
      </c>
      <c r="B164" s="38">
        <f t="shared" si="9"/>
        <v>93844.493039898065</v>
      </c>
      <c r="C164" s="38">
        <f t="shared" si="10"/>
        <v>30395741.980788298</v>
      </c>
      <c r="E164" s="36" t="s">
        <v>740</v>
      </c>
      <c r="F164" s="38">
        <f t="shared" si="11"/>
        <v>118323.39720614387</v>
      </c>
      <c r="G164" s="38">
        <f t="shared" si="12"/>
        <v>38420304.071923316</v>
      </c>
      <c r="I164" s="36" t="s">
        <v>740</v>
      </c>
      <c r="J164" s="38">
        <f t="shared" si="13"/>
        <v>59028.893227146444</v>
      </c>
      <c r="K164" s="38">
        <f t="shared" si="14"/>
        <v>18982651.732133556</v>
      </c>
    </row>
    <row r="165" spans="1:11" ht="14.4">
      <c r="A165" s="36" t="s">
        <v>741</v>
      </c>
      <c r="B165" s="38">
        <f t="shared" si="9"/>
        <v>93005.839766970399</v>
      </c>
      <c r="C165" s="38">
        <f t="shared" si="10"/>
        <v>30120818.511345517</v>
      </c>
      <c r="E165" s="36" t="s">
        <v>741</v>
      </c>
      <c r="F165" s="38">
        <f t="shared" si="11"/>
        <v>117559.64524801208</v>
      </c>
      <c r="G165" s="38">
        <f t="shared" si="12"/>
        <v>38169934.407961577</v>
      </c>
      <c r="I165" s="36" t="s">
        <v>741</v>
      </c>
      <c r="J165" s="38">
        <f t="shared" si="13"/>
        <v>58083.710095542447</v>
      </c>
      <c r="K165" s="38">
        <f t="shared" si="14"/>
        <v>18672806.133019347</v>
      </c>
    </row>
    <row r="166" spans="1:11" ht="14.4">
      <c r="A166" s="36" t="s">
        <v>742</v>
      </c>
      <c r="B166" s="38">
        <f t="shared" si="9"/>
        <v>92164.620356589294</v>
      </c>
      <c r="C166" s="38">
        <f t="shared" si="10"/>
        <v>29845053.822492354</v>
      </c>
      <c r="E166" s="36" t="s">
        <v>742</v>
      </c>
      <c r="F166" s="38">
        <f t="shared" si="11"/>
        <v>116793.55633780704</v>
      </c>
      <c r="G166" s="38">
        <f t="shared" si="12"/>
        <v>37918798.655089632</v>
      </c>
      <c r="I166" s="36" t="s">
        <v>742</v>
      </c>
      <c r="J166" s="38">
        <f t="shared" si="13"/>
        <v>57135.634863099323</v>
      </c>
      <c r="K166" s="38">
        <f t="shared" si="14"/>
        <v>18362012.458672695</v>
      </c>
    </row>
    <row r="167" spans="1:11" ht="14.4">
      <c r="A167" s="36" t="s">
        <v>743</v>
      </c>
      <c r="B167" s="38">
        <f t="shared" si="9"/>
        <v>91320.826956807301</v>
      </c>
      <c r="C167" s="38">
        <f t="shared" si="10"/>
        <v>29568445.340239409</v>
      </c>
      <c r="E167" s="36" t="s">
        <v>743</v>
      </c>
      <c r="F167" s="38">
        <f t="shared" si="11"/>
        <v>116025.12332484988</v>
      </c>
      <c r="G167" s="38">
        <f t="shared" si="12"/>
        <v>37666894.469204731</v>
      </c>
      <c r="I167" s="36" t="s">
        <v>743</v>
      </c>
      <c r="J167" s="38">
        <f t="shared" si="13"/>
        <v>56184.658680476685</v>
      </c>
      <c r="K167" s="38">
        <f t="shared" si="14"/>
        <v>18050267.808143418</v>
      </c>
    </row>
    <row r="168" spans="1:11" ht="14.4">
      <c r="A168" s="36" t="s">
        <v>744</v>
      </c>
      <c r="B168" s="38">
        <f t="shared" si="9"/>
        <v>90474.451691651324</v>
      </c>
      <c r="C168" s="38">
        <f t="shared" si="10"/>
        <v>29290990.48272131</v>
      </c>
      <c r="E168" s="36" t="s">
        <v>744</v>
      </c>
      <c r="F168" s="38">
        <f t="shared" si="11"/>
        <v>115254.33903658186</v>
      </c>
      <c r="G168" s="38">
        <f t="shared" si="12"/>
        <v>37414219.499031559</v>
      </c>
      <c r="I168" s="36" t="s">
        <v>744</v>
      </c>
      <c r="J168" s="38">
        <f t="shared" si="13"/>
        <v>55230.772671256651</v>
      </c>
      <c r="K168" s="38">
        <f t="shared" si="14"/>
        <v>17737569.271604922</v>
      </c>
    </row>
    <row r="169" spans="1:11" ht="14.4">
      <c r="A169" s="36" t="s">
        <v>745</v>
      </c>
      <c r="B169" s="38">
        <f t="shared" si="9"/>
        <v>89625.486661049144</v>
      </c>
      <c r="C169" s="38">
        <f t="shared" si="10"/>
        <v>29012686.660172608</v>
      </c>
      <c r="E169" s="36" t="s">
        <v>745</v>
      </c>
      <c r="F169" s="38">
        <f t="shared" si="11"/>
        <v>114481.1962784974</v>
      </c>
      <c r="G169" s="38">
        <f t="shared" si="12"/>
        <v>37160771.386100307</v>
      </c>
      <c r="I169" s="36" t="s">
        <v>745</v>
      </c>
      <c r="J169" s="38">
        <f t="shared" si="13"/>
        <v>54273.967931861</v>
      </c>
      <c r="K169" s="38">
        <f t="shared" si="14"/>
        <v>17423913.930327032</v>
      </c>
    </row>
    <row r="170" spans="1:11" ht="14.4">
      <c r="A170" s="36" t="s">
        <v>746</v>
      </c>
      <c r="B170" s="38">
        <f t="shared" si="9"/>
        <v>88773.923940755631</v>
      </c>
      <c r="C170" s="38">
        <f t="shared" si="10"/>
        <v>28733531.27490361</v>
      </c>
      <c r="E170" s="36" t="s">
        <v>746</v>
      </c>
      <c r="F170" s="38">
        <f t="shared" si="11"/>
        <v>113705.68783407701</v>
      </c>
      <c r="G170" s="38">
        <f t="shared" si="12"/>
        <v>36906547.764724635</v>
      </c>
      <c r="I170" s="36" t="s">
        <v>746</v>
      </c>
      <c r="J170" s="38">
        <f t="shared" si="13"/>
        <v>53314.235531468075</v>
      </c>
      <c r="K170" s="38">
        <f t="shared" si="14"/>
        <v>17109298.856648747</v>
      </c>
    </row>
    <row r="171" spans="1:11" ht="14.4">
      <c r="A171" s="36" t="s">
        <v>747</v>
      </c>
      <c r="B171" s="38">
        <f t="shared" si="9"/>
        <v>87919.755582278798</v>
      </c>
      <c r="C171" s="38">
        <f t="shared" si="10"/>
        <v>28453521.721276138</v>
      </c>
      <c r="E171" s="36" t="s">
        <v>747</v>
      </c>
      <c r="F171" s="38">
        <f t="shared" si="11"/>
        <v>112927.80646471978</v>
      </c>
      <c r="G171" s="38">
        <f t="shared" si="12"/>
        <v>36651546.261979602</v>
      </c>
      <c r="I171" s="36" t="s">
        <v>747</v>
      </c>
      <c r="J171" s="38">
        <f t="shared" si="13"/>
        <v>52351.566511929399</v>
      </c>
      <c r="K171" s="38">
        <f t="shared" si="14"/>
        <v>16793721.113950923</v>
      </c>
    </row>
    <row r="172" spans="1:11" ht="14.4">
      <c r="A172" s="36"/>
      <c r="B172" s="38"/>
      <c r="C172" s="38"/>
    </row>
  </sheetData>
  <sheetProtection algorithmName="SHA-512" hashValue="9c1MVI063q9sgZih37PzT+JE/vQBXPW6AS4zvPONLNhz6/XhH6sQaHXC3D2YGgVnyhMo1YL3klwVCRXe+dVu7Q==" saltValue="pxuAtGHcv3V/oM+tc+JCiA==" spinCount="100000" sheet="1" objects="1" scenarios="1"/>
  <mergeCells count="17">
    <mergeCell ref="A93:A103"/>
    <mergeCell ref="O21:O30"/>
    <mergeCell ref="A105:A108"/>
    <mergeCell ref="E90:E91"/>
    <mergeCell ref="E93:E103"/>
    <mergeCell ref="E105:E108"/>
    <mergeCell ref="I50:I54"/>
    <mergeCell ref="I55:I56"/>
    <mergeCell ref="I60:I64"/>
    <mergeCell ref="I65:I66"/>
    <mergeCell ref="I90:I91"/>
    <mergeCell ref="I93:I103"/>
    <mergeCell ref="I105:I108"/>
    <mergeCell ref="A89:C89"/>
    <mergeCell ref="E89:G89"/>
    <mergeCell ref="I89:K89"/>
    <mergeCell ref="A90:A91"/>
  </mergeCells>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6" master="" otherUserPermission="visible">
    <arrUserId title="Input CMHC" rangeCreator="" othersAccessPermission="edit"/>
  </rangeList>
  <rangeList sheetStid="18" master="" otherUserPermission="visible"/>
  <rangeList sheetStid="19" master="" otherUserPermission="visible"/>
  <rangeList sheetStid="6" master="" otherUserPermission="visible">
    <arrUserId title="Proforma construction" rangeCreator="" othersAccessPermission="edit"/>
  </rangeList>
  <rangeList sheetStid="21" master="" otherUserPermission="visible">
    <arrUserId title="Proforma Purchase refi" rangeCreator="" othersAccessPermission="edit"/>
  </rangeList>
  <rangeList sheetStid="3" master="" otherUserPermission="visible">
    <arrUserId title="Rent roll" rangeCreator="" othersAccessPermission="edit"/>
  </rangeList>
  <rangeList sheetStid="5" master="" otherUserPermission="visible"/>
  <rangeList sheetStid="20" master="" otherUserPermission="visible"/>
  <rangeList sheetStid="10" master="" otherUserPermission="visible"/>
  <rangeList sheetStid="14" master="" otherUserPermission="visible"/>
  <rangeList sheetStid="7" master="" otherUserPermission="visible"/>
  <rangeList sheetStid="8" master="" otherUserPermission="visible"/>
  <rangeList sheetStid="9" master="" otherUserPermission="visible"/>
  <rangeList sheetStid="11" master="" otherUserPermission="visible"/>
  <rangeList sheetStid="22" master="" otherUserPermission="visible"/>
  <rangeList sheetStid="12" master="" otherUserPermission="visible"/>
  <rangeList sheetStid="1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Input CMHC MLI Select</vt:lpstr>
      <vt:lpstr>Rent Roll(MLI Select)</vt:lpstr>
      <vt:lpstr>Rent Roll CMHC</vt:lpstr>
      <vt:lpstr>Proforma Construction</vt:lpstr>
      <vt:lpstr>Rent Roll</vt:lpstr>
      <vt:lpstr>Proforma Purchase Refi</vt:lpstr>
      <vt:lpstr>Budget</vt:lpstr>
      <vt:lpstr>Corporate Guarantor PNW 1</vt:lpstr>
      <vt:lpstr>PNW 1</vt:lpstr>
      <vt:lpstr>PNW 2</vt:lpstr>
      <vt:lpstr>Executive Summary</vt:lpstr>
      <vt:lpstr>Mortgage Details</vt:lpstr>
      <vt:lpstr>Sponsorship</vt:lpstr>
      <vt:lpstr>Proforma summary</vt:lpstr>
      <vt:lpstr>Project economics</vt:lpstr>
      <vt:lpstr>DATA</vt:lpstr>
      <vt:lpstr>Budget!Print_Area</vt:lpstr>
      <vt:lpstr>'Rent Roll'!Print_Area</vt:lpstr>
    </vt:vector>
  </TitlesOfParts>
  <Company>Firm Capital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Weitzner</dc:creator>
  <cp:lastModifiedBy>Jeffrey Niu</cp:lastModifiedBy>
  <cp:lastPrinted>2025-03-31T17:36:00Z</cp:lastPrinted>
  <dcterms:created xsi:type="dcterms:W3CDTF">2004-12-22T00:32:00Z</dcterms:created>
  <dcterms:modified xsi:type="dcterms:W3CDTF">2026-03-02T03:41:27Z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F42038102EFD48178061B4515E4C37E3_13</vt:lpwstr>
  </property>
</Properties>
</file>