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9.xml" ContentType="application/vnd.openxmlformats-officedocument.drawing+xml"/>
  <Override PartName="/xl/ctrlProps/ctrlProp3.xml" ContentType="application/vnd.ms-excel.controlproperties+xml"/>
  <Override PartName="/xl/comments2.xml" ContentType="application/vnd.openxmlformats-officedocument.spreadsheetml.comments+xml"/>
  <Override PartName="/xl/threadedComments/threadedComment1.xml" ContentType="application/vnd.ms-excel.threadedcomments+xml"/>
  <Override PartName="/xl/drawings/drawing10.xml" ContentType="application/vnd.openxmlformats-officedocument.drawing+xml"/>
  <Override PartName="/xl/ctrlProps/ctrlProp4.xml" ContentType="application/vnd.ms-excel.controlproperties+xml"/>
  <Override PartName="/xl/drawings/drawing1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noork\OneDrive - Moldenhauer\Documents\SVN Rock Oct 2025\1B - Reverse 1B\Reverse 1B\"/>
    </mc:Choice>
  </mc:AlternateContent>
  <xr:revisionPtr revIDLastSave="0" documentId="13_ncr:1_{4BD2E568-751D-4E4B-8D93-8145054623D4}" xr6:coauthVersionLast="47" xr6:coauthVersionMax="47" xr10:uidLastSave="{00000000-0000-0000-0000-000000000000}"/>
  <bookViews>
    <workbookView xWindow="-120" yWindow="-120" windowWidth="29040" windowHeight="15840" tabRatio="684" xr2:uid="{00000000-000D-0000-FFFF-FFFF00000000}"/>
  </bookViews>
  <sheets>
    <sheet name="1. 1A Proforma" sheetId="23" r:id="rId1"/>
    <sheet name="2. Rev 1B Exec Summary" sheetId="1" r:id="rId2"/>
    <sheet name="3. Headline #s" sheetId="2" r:id="rId3"/>
    <sheet name="4. Area Schedule" sheetId="24" r:id="rId4"/>
    <sheet name="5. Key Assumptions" sheetId="17" r:id="rId5"/>
    <sheet name="6. Debt Stack &amp; Financing" sheetId="16" r:id="rId6"/>
    <sheet name="7. Op Rev and Exp" sheetId="4" r:id="rId7"/>
    <sheet name="8. Schedule" sheetId="10" r:id="rId8"/>
    <sheet name="9. Development Costs" sheetId="5" r:id="rId9"/>
    <sheet name="10. Development Cash Flow" sheetId="8" r:id="rId10"/>
    <sheet name="11. 10-Yr Cash Flow IRR" sheetId="6" r:id="rId11"/>
    <sheet name="12. Sensitivity" sheetId="9" r:id="rId12"/>
    <sheet name="13. Altus Cost Guide 25" sheetId="22" r:id="rId13"/>
    <sheet name="14. Sensitivity 2" sheetId="13" r:id="rId14"/>
    <sheet name="15. Headline #s" sheetId="14" r:id="rId15"/>
  </sheets>
  <externalReferences>
    <externalReference r:id="rId16"/>
    <externalReference r:id="rId17"/>
  </externalReferences>
  <definedNames>
    <definedName name="AltusCC">#REF!</definedName>
    <definedName name="AltusParking">#REF!</definedName>
    <definedName name="Amenities">'[1]Amenities DDM'!$B$2:$C$11</definedName>
    <definedName name="CMHCActualAverage">'[1]CMHC vs Actual Rents'!$B$3:$G$73</definedName>
    <definedName name="CMHCGap">'[1]CMHC Gap'!$B$3:$F$73</definedName>
    <definedName name="CMHCRentDensity">'[1]CMHC - Rental Density'!$A$5:$F$75</definedName>
    <definedName name="CMHCRents">'[1]CMHC - Rental Rates'!$A$5:$G$74</definedName>
    <definedName name="CMHCSecondary">'[1]CMHC - Secondary Universe'!$A$4:$E$74</definedName>
    <definedName name="CMHCUniverse">'[1]CMHC - Universe'!$A$5:$J$76</definedName>
    <definedName name="CMHCVac">'[1]CMHC - Vacancy'!$A$5:$G$74</definedName>
    <definedName name="_xlnm.Print_Area" localSheetId="0">'1. 1A Proforma'!$C$1:$N$53</definedName>
    <definedName name="_xlnm.Print_Area" localSheetId="9">'10. Development Cash Flow'!$A$1:$CZ$113</definedName>
    <definedName name="_xlnm.Print_Area" localSheetId="10">'11. 10-Yr Cash Flow IRR'!$A$1:$M$67</definedName>
    <definedName name="_xlnm.Print_Area" localSheetId="14">'15. Headline #s'!$A$1:$L$61</definedName>
    <definedName name="_xlnm.Print_Area" localSheetId="1">'2. Rev 1B Exec Summary'!$A$1:$J$60</definedName>
    <definedName name="_xlnm.Print_Area" localSheetId="2">'3. Headline #s'!$A$1:$J$61</definedName>
    <definedName name="_xlnm.Print_Titles" localSheetId="9">'10. Development Cash Flow'!$A:$H</definedName>
    <definedName name="_xlnm.Print_Titles" localSheetId="8">'9. Development Costs'!$1:$12</definedName>
    <definedName name="PrizmGroups">'[1]PRIZM Profiles'!$B$5:$E$72</definedName>
    <definedName name="PrizmNameRange">'[1]PRIZM Profiles'!$B$6:$B$72</definedName>
    <definedName name="PrizmPicLookup1">INDEX(PrizmNameRange,MATCH('[1]7 - Prizm'!A1,PrizmNameRange,0))</definedName>
    <definedName name="Proforma">#REF!</definedName>
    <definedName name="RentalDensity">'[1]CMHC - Rental Density'!$A$6:$F$75</definedName>
    <definedName name="SecondaryU">'[1]CMHC - Secondary Universe'!$A$5:$E$74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T38" i="6" l="1"/>
  <c r="S38" i="6"/>
  <c r="R38" i="6"/>
  <c r="Q38" i="6"/>
  <c r="P38" i="6"/>
  <c r="O38" i="6"/>
  <c r="E12" i="6"/>
  <c r="E13" i="6"/>
  <c r="E15" i="6"/>
  <c r="E14" i="6"/>
  <c r="C40" i="2" l="1"/>
  <c r="E44" i="17"/>
  <c r="D92" i="17" s="1"/>
  <c r="G35" i="17"/>
  <c r="P49" i="17" l="1"/>
  <c r="O49" i="17"/>
  <c r="P48" i="17"/>
  <c r="O48" i="17"/>
  <c r="F29" i="17"/>
  <c r="H26" i="17"/>
  <c r="H25" i="17"/>
  <c r="H24" i="17"/>
  <c r="H23" i="17"/>
  <c r="H22" i="17"/>
  <c r="H21" i="17"/>
  <c r="H20" i="17"/>
  <c r="F25" i="17"/>
  <c r="F24" i="17"/>
  <c r="N49" i="17" s="1"/>
  <c r="R49" i="17" s="1"/>
  <c r="F23" i="17"/>
  <c r="F22" i="17"/>
  <c r="F21" i="17"/>
  <c r="F20" i="17"/>
  <c r="Q49" i="17" l="1"/>
  <c r="S49" i="17" s="1"/>
  <c r="F26" i="17"/>
  <c r="H13" i="9"/>
  <c r="H12" i="9"/>
  <c r="H11" i="9"/>
  <c r="M39" i="4"/>
  <c r="C47" i="4"/>
  <c r="D47" i="4"/>
  <c r="D46" i="4"/>
  <c r="D45" i="4"/>
  <c r="D44" i="4"/>
  <c r="D43" i="4"/>
  <c r="D42" i="4"/>
  <c r="D41" i="4"/>
  <c r="D40" i="4"/>
  <c r="D39" i="4"/>
  <c r="E44" i="4"/>
  <c r="E43" i="4"/>
  <c r="E42" i="4"/>
  <c r="E41" i="4"/>
  <c r="E40" i="4"/>
  <c r="E39" i="4"/>
  <c r="C46" i="4"/>
  <c r="C45" i="4"/>
  <c r="C44" i="4"/>
  <c r="C43" i="4"/>
  <c r="C42" i="4"/>
  <c r="C41" i="4"/>
  <c r="C40" i="4"/>
  <c r="C39" i="4"/>
  <c r="D29" i="4"/>
  <c r="C29" i="4"/>
  <c r="C33" i="4"/>
  <c r="D28" i="4"/>
  <c r="D27" i="4"/>
  <c r="D26" i="4"/>
  <c r="D25" i="4"/>
  <c r="D24" i="4"/>
  <c r="C28" i="4"/>
  <c r="C27" i="4"/>
  <c r="C26" i="4"/>
  <c r="D11" i="4" s="1"/>
  <c r="C25" i="4"/>
  <c r="D10" i="4" s="1"/>
  <c r="C24" i="4"/>
  <c r="D9" i="4" s="1"/>
  <c r="G18" i="4"/>
  <c r="G17" i="4"/>
  <c r="G16" i="4"/>
  <c r="E18" i="4"/>
  <c r="Q59" i="17" s="1"/>
  <c r="S59" i="17" s="1"/>
  <c r="E17" i="4"/>
  <c r="Q58" i="17" s="1"/>
  <c r="S58" i="17" s="1"/>
  <c r="E16" i="4"/>
  <c r="Q57" i="17" s="1"/>
  <c r="C18" i="4"/>
  <c r="C17" i="4"/>
  <c r="C16" i="4"/>
  <c r="B18" i="4"/>
  <c r="M59" i="17" s="1"/>
  <c r="B17" i="4"/>
  <c r="M58" i="17" s="1"/>
  <c r="B16" i="4"/>
  <c r="M57" i="17" s="1"/>
  <c r="A12" i="2"/>
  <c r="E59" i="24"/>
  <c r="E57" i="24"/>
  <c r="E55" i="24"/>
  <c r="E50" i="24"/>
  <c r="C42" i="24"/>
  <c r="E41" i="24"/>
  <c r="E40" i="24"/>
  <c r="E39" i="24"/>
  <c r="E42" i="24" s="1"/>
  <c r="E58" i="24" s="1"/>
  <c r="E31" i="24"/>
  <c r="E30" i="24"/>
  <c r="E29" i="24"/>
  <c r="E28" i="24"/>
  <c r="E26" i="24"/>
  <c r="E25" i="24"/>
  <c r="E24" i="24"/>
  <c r="E23" i="24"/>
  <c r="E32" i="24" s="1"/>
  <c r="E56" i="24" s="1"/>
  <c r="E19" i="24"/>
  <c r="C10" i="24"/>
  <c r="D10" i="24" s="1"/>
  <c r="E9" i="24"/>
  <c r="E8" i="24"/>
  <c r="E7" i="24"/>
  <c r="E10" i="24" s="1"/>
  <c r="E54" i="24" s="1"/>
  <c r="M40" i="4" l="1"/>
  <c r="H39" i="4"/>
  <c r="G39" i="4" s="1"/>
  <c r="F39" i="4" s="1"/>
  <c r="Q60" i="17"/>
  <c r="S57" i="17"/>
  <c r="S60" i="17" s="1"/>
  <c r="F56" i="17" s="1"/>
  <c r="F57" i="17" s="1"/>
  <c r="N48" i="17"/>
  <c r="H29" i="4"/>
  <c r="G26" i="4"/>
  <c r="H26" i="4" s="1"/>
  <c r="G27" i="4"/>
  <c r="H27" i="4" s="1"/>
  <c r="G24" i="4"/>
  <c r="G28" i="4"/>
  <c r="H28" i="4" s="1"/>
  <c r="G25" i="4"/>
  <c r="H25" i="4" s="1"/>
  <c r="D18" i="4"/>
  <c r="H18" i="4"/>
  <c r="E60" i="24"/>
  <c r="E65" i="24" s="1"/>
  <c r="E66" i="24" s="1"/>
  <c r="H135" i="23"/>
  <c r="N132" i="23"/>
  <c r="M132" i="23"/>
  <c r="L132" i="23"/>
  <c r="F130" i="23"/>
  <c r="G125" i="23"/>
  <c r="F125" i="23"/>
  <c r="G120" i="23"/>
  <c r="L119" i="23"/>
  <c r="G115" i="23"/>
  <c r="F115" i="23"/>
  <c r="I113" i="23"/>
  <c r="I112" i="23"/>
  <c r="G112" i="23"/>
  <c r="I111" i="23"/>
  <c r="I108" i="23"/>
  <c r="L107" i="23"/>
  <c r="K107" i="23"/>
  <c r="F106" i="23"/>
  <c r="I105" i="23"/>
  <c r="I104" i="23"/>
  <c r="I103" i="23"/>
  <c r="I102" i="23"/>
  <c r="I101" i="23"/>
  <c r="I100" i="23"/>
  <c r="I97" i="23"/>
  <c r="I96" i="23"/>
  <c r="G96" i="23"/>
  <c r="I95" i="23"/>
  <c r="G95" i="23"/>
  <c r="G111" i="23" s="1"/>
  <c r="L92" i="23"/>
  <c r="K92" i="23"/>
  <c r="G90" i="23"/>
  <c r="F90" i="23"/>
  <c r="D90" i="23"/>
  <c r="I77" i="23"/>
  <c r="H77" i="23"/>
  <c r="F77" i="23"/>
  <c r="J74" i="23"/>
  <c r="H74" i="23"/>
  <c r="F74" i="23"/>
  <c r="K73" i="23"/>
  <c r="J73" i="23"/>
  <c r="I73" i="23"/>
  <c r="H73" i="23"/>
  <c r="F73" i="23"/>
  <c r="K72" i="23"/>
  <c r="J72" i="23"/>
  <c r="I72" i="23"/>
  <c r="H72" i="23"/>
  <c r="G72" i="23"/>
  <c r="F72" i="23"/>
  <c r="E72" i="23"/>
  <c r="K71" i="23"/>
  <c r="J71" i="23"/>
  <c r="I71" i="23"/>
  <c r="H71" i="23"/>
  <c r="G71" i="23"/>
  <c r="G73" i="23" s="1"/>
  <c r="F71" i="23"/>
  <c r="K70" i="23"/>
  <c r="J70" i="23"/>
  <c r="I70" i="23"/>
  <c r="H70" i="23"/>
  <c r="G70" i="23"/>
  <c r="F70" i="23"/>
  <c r="G64" i="23"/>
  <c r="G39" i="23"/>
  <c r="H36" i="23"/>
  <c r="I36" i="23" s="1"/>
  <c r="H35" i="23"/>
  <c r="I35" i="23" s="1"/>
  <c r="H34" i="23"/>
  <c r="I34" i="23" s="1"/>
  <c r="H33" i="23"/>
  <c r="I32" i="23"/>
  <c r="H32" i="23"/>
  <c r="K26" i="23"/>
  <c r="K27" i="23" s="1"/>
  <c r="J27" i="23" s="1"/>
  <c r="J26" i="23"/>
  <c r="I22" i="23"/>
  <c r="G22" i="23"/>
  <c r="J21" i="23"/>
  <c r="J18" i="23"/>
  <c r="C12" i="23"/>
  <c r="F10" i="23"/>
  <c r="F13" i="23" s="1"/>
  <c r="E10" i="23"/>
  <c r="H63" i="23" s="1"/>
  <c r="K9" i="23"/>
  <c r="K10" i="23" s="1"/>
  <c r="J9" i="23"/>
  <c r="H9" i="23"/>
  <c r="G9" i="23"/>
  <c r="L8" i="23"/>
  <c r="K8" i="23"/>
  <c r="J8" i="23"/>
  <c r="H8" i="23"/>
  <c r="G8" i="23"/>
  <c r="G10" i="23" s="1"/>
  <c r="K7" i="23"/>
  <c r="L7" i="23" s="1"/>
  <c r="J7" i="23"/>
  <c r="H7" i="23"/>
  <c r="H10" i="23" s="1"/>
  <c r="G7" i="23"/>
  <c r="M41" i="4" l="1"/>
  <c r="H40" i="4"/>
  <c r="G40" i="4"/>
  <c r="F40" i="4" s="1"/>
  <c r="R48" i="17"/>
  <c r="R50" i="17" s="1"/>
  <c r="Q48" i="17"/>
  <c r="G29" i="4"/>
  <c r="G30" i="4" s="1"/>
  <c r="H24" i="4"/>
  <c r="H30" i="4" s="1"/>
  <c r="I18" i="4"/>
  <c r="I106" i="23"/>
  <c r="I107" i="23" s="1"/>
  <c r="J10" i="23"/>
  <c r="I10" i="23"/>
  <c r="I17" i="23" s="1"/>
  <c r="J14" i="23"/>
  <c r="J17" i="23"/>
  <c r="F63" i="23"/>
  <c r="J13" i="23"/>
  <c r="H133" i="23"/>
  <c r="H136" i="23" s="1"/>
  <c r="H88" i="23"/>
  <c r="F121" i="23"/>
  <c r="I89" i="23"/>
  <c r="I87" i="23"/>
  <c r="I90" i="23" s="1"/>
  <c r="I91" i="23" s="1"/>
  <c r="F36" i="23"/>
  <c r="K36" i="23" s="1"/>
  <c r="F32" i="23"/>
  <c r="K32" i="23" s="1"/>
  <c r="F22" i="23"/>
  <c r="H87" i="23"/>
  <c r="F34" i="23"/>
  <c r="K34" i="23" s="1"/>
  <c r="F126" i="23"/>
  <c r="F116" i="23"/>
  <c r="H89" i="23"/>
  <c r="J22" i="23"/>
  <c r="K22" i="23" s="1"/>
  <c r="H22" i="23" s="1"/>
  <c r="F33" i="23"/>
  <c r="I88" i="23"/>
  <c r="G126" i="23"/>
  <c r="F31" i="23"/>
  <c r="F35" i="23"/>
  <c r="K35" i="23" s="1"/>
  <c r="G121" i="23"/>
  <c r="I18" i="23"/>
  <c r="K33" i="23"/>
  <c r="H134" i="23"/>
  <c r="I21" i="23"/>
  <c r="K38" i="23"/>
  <c r="K21" i="23"/>
  <c r="H21" i="23" s="1"/>
  <c r="L9" i="23"/>
  <c r="L10" i="23" s="1"/>
  <c r="K17" i="23" s="1"/>
  <c r="K18" i="23"/>
  <c r="H18" i="23" s="1"/>
  <c r="G116" i="23"/>
  <c r="M42" i="4" l="1"/>
  <c r="H41" i="4"/>
  <c r="G41" i="4" s="1"/>
  <c r="F41" i="4" s="1"/>
  <c r="Q50" i="17"/>
  <c r="S50" i="17" s="1"/>
  <c r="F48" i="17" s="1"/>
  <c r="F49" i="17" s="1"/>
  <c r="S48" i="17"/>
  <c r="K23" i="23"/>
  <c r="H17" i="23"/>
  <c r="H23" i="23" s="1"/>
  <c r="J38" i="23"/>
  <c r="I38" i="23" s="1"/>
  <c r="H38" i="23"/>
  <c r="L130" i="23" s="1"/>
  <c r="H90" i="23"/>
  <c r="H91" i="23" s="1"/>
  <c r="I92" i="23" s="1"/>
  <c r="J35" i="23"/>
  <c r="L122" i="23"/>
  <c r="J32" i="23"/>
  <c r="F65" i="23"/>
  <c r="G63" i="23"/>
  <c r="I23" i="23"/>
  <c r="J33" i="23"/>
  <c r="I33" i="23" s="1"/>
  <c r="J34" i="23"/>
  <c r="J36" i="23"/>
  <c r="L123" i="23"/>
  <c r="J23" i="23"/>
  <c r="M43" i="4" l="1"/>
  <c r="H42" i="4"/>
  <c r="G42" i="4" s="1"/>
  <c r="F42" i="4" s="1"/>
  <c r="H24" i="23"/>
  <c r="H28" i="23" s="1"/>
  <c r="F81" i="23"/>
  <c r="G65" i="23"/>
  <c r="I24" i="23"/>
  <c r="I28" i="23" s="1"/>
  <c r="L124" i="23"/>
  <c r="K24" i="23"/>
  <c r="J24" i="23" s="1"/>
  <c r="J28" i="23" s="1"/>
  <c r="M44" i="4" l="1"/>
  <c r="H43" i="4"/>
  <c r="G43" i="4" s="1"/>
  <c r="F43" i="4" s="1"/>
  <c r="F82" i="23"/>
  <c r="F83" i="23"/>
  <c r="H80" i="23"/>
  <c r="K28" i="23"/>
  <c r="M45" i="4" l="1"/>
  <c r="M46" i="4" s="1"/>
  <c r="H44" i="4"/>
  <c r="G44" i="4" s="1"/>
  <c r="F44" i="4" s="1"/>
  <c r="K37" i="23"/>
  <c r="K39" i="23"/>
  <c r="L120" i="23"/>
  <c r="L33" i="23"/>
  <c r="L32" i="23"/>
  <c r="I136" i="23"/>
  <c r="L36" i="23"/>
  <c r="L34" i="23"/>
  <c r="L38" i="23"/>
  <c r="L35" i="23"/>
  <c r="H81" i="23"/>
  <c r="H31" i="23"/>
  <c r="M47" i="4" l="1"/>
  <c r="H46" i="4"/>
  <c r="L39" i="23"/>
  <c r="H39" i="23"/>
  <c r="J39" i="23"/>
  <c r="I39" i="23" s="1"/>
  <c r="I31" i="23"/>
  <c r="I40" i="23" s="1"/>
  <c r="I42" i="23" s="1"/>
  <c r="K31" i="23"/>
  <c r="J37" i="23"/>
  <c r="I37" i="23" s="1"/>
  <c r="L37" i="23"/>
  <c r="H37" i="23"/>
  <c r="H40" i="23" s="1"/>
  <c r="H42" i="23" s="1"/>
  <c r="J31" i="23" l="1"/>
  <c r="J40" i="23" s="1"/>
  <c r="J42" i="23" s="1"/>
  <c r="L31" i="23"/>
  <c r="K40" i="23"/>
  <c r="L40" i="23" l="1"/>
  <c r="F40" i="23"/>
  <c r="K42" i="23"/>
  <c r="K47" i="23" l="1"/>
  <c r="K48" i="23"/>
  <c r="K46" i="23"/>
  <c r="J46" i="23" l="1"/>
  <c r="I46" i="23"/>
  <c r="J48" i="23"/>
  <c r="I48" i="23"/>
  <c r="J47" i="23"/>
  <c r="I47" i="23"/>
  <c r="G130" i="23" s="1"/>
  <c r="I130" i="23" s="1"/>
  <c r="J130" i="23" s="1"/>
  <c r="G69" i="17"/>
  <c r="E17" i="16"/>
  <c r="G70" i="17"/>
  <c r="E18" i="16" s="1"/>
  <c r="H21" i="9"/>
  <c r="G10" i="17"/>
  <c r="D8" i="10" s="1"/>
  <c r="F55" i="5"/>
  <c r="E38" i="17"/>
  <c r="G21" i="10"/>
  <c r="G17" i="10"/>
  <c r="G15" i="10"/>
  <c r="G13" i="10"/>
  <c r="G19" i="10"/>
  <c r="C21" i="10"/>
  <c r="C15" i="10"/>
  <c r="C13" i="10"/>
  <c r="B4" i="17"/>
  <c r="B3" i="17"/>
  <c r="C40" i="14" l="1"/>
  <c r="A5" i="14"/>
  <c r="B73" i="8" l="1"/>
  <c r="H17" i="4" l="1"/>
  <c r="H16" i="4"/>
  <c r="D17" i="4"/>
  <c r="D16" i="4"/>
  <c r="G21" i="4" l="1"/>
  <c r="D20" i="4"/>
  <c r="J35" i="17" s="1"/>
  <c r="M19" i="5" l="1"/>
  <c r="H19" i="5" s="1"/>
  <c r="M19" i="4"/>
  <c r="H20" i="4" s="1"/>
  <c r="L20" i="4" l="1"/>
  <c r="L21" i="4" s="1"/>
  <c r="H32" i="4"/>
  <c r="F33" i="1"/>
  <c r="G32" i="4" l="1"/>
  <c r="H33" i="4"/>
  <c r="H34" i="4" s="1"/>
  <c r="F61" i="17"/>
  <c r="F62" i="17" s="1"/>
  <c r="C55" i="8"/>
  <c r="G33" i="4" l="1"/>
  <c r="H45" i="4"/>
  <c r="H47" i="4"/>
  <c r="G34" i="4"/>
  <c r="I39" i="4"/>
  <c r="I41" i="4"/>
  <c r="I42" i="4"/>
  <c r="I44" i="4"/>
  <c r="I43" i="4"/>
  <c r="I40" i="4"/>
  <c r="E33" i="1"/>
  <c r="G47" i="4" l="1"/>
  <c r="I47" i="4"/>
  <c r="H33" i="1"/>
  <c r="I17" i="4"/>
  <c r="I33" i="1" l="1"/>
  <c r="I16" i="4"/>
  <c r="I20" i="4"/>
  <c r="D55" i="4" l="1"/>
  <c r="H23" i="9"/>
  <c r="H22" i="9"/>
  <c r="B64" i="8" l="1"/>
  <c r="E20" i="4" l="1"/>
  <c r="F28" i="17" l="1"/>
  <c r="F58" i="17" s="1"/>
  <c r="E47" i="4"/>
  <c r="F47" i="4"/>
  <c r="G12" i="4"/>
  <c r="F26" i="4"/>
  <c r="F28" i="4"/>
  <c r="F24" i="4"/>
  <c r="F27" i="4"/>
  <c r="F25" i="4"/>
  <c r="E28" i="4"/>
  <c r="E27" i="4"/>
  <c r="E24" i="4"/>
  <c r="E26" i="4"/>
  <c r="E25" i="4"/>
  <c r="F18" i="4"/>
  <c r="D21" i="4"/>
  <c r="I21" i="4" s="1"/>
  <c r="E15" i="17"/>
  <c r="H26" i="9" s="1"/>
  <c r="C20" i="4"/>
  <c r="G20" i="4"/>
  <c r="G33" i="1"/>
  <c r="E46" i="4" l="1"/>
  <c r="G46" i="4"/>
  <c r="F46" i="4" s="1"/>
  <c r="I46" i="4"/>
  <c r="H28" i="9"/>
  <c r="H27" i="9"/>
  <c r="H60" i="6" l="1"/>
  <c r="I60" i="6"/>
  <c r="J60" i="6"/>
  <c r="K60" i="6"/>
  <c r="L60" i="6"/>
  <c r="J63" i="6"/>
  <c r="K63" i="6"/>
  <c r="L63" i="6"/>
  <c r="B19" i="1" l="1"/>
  <c r="C53" i="6"/>
  <c r="C48" i="6"/>
  <c r="C43" i="6"/>
  <c r="A52" i="6"/>
  <c r="A47" i="6"/>
  <c r="A42" i="6"/>
  <c r="A51" i="6"/>
  <c r="A41" i="6"/>
  <c r="D12" i="1"/>
  <c r="C20" i="6" l="1"/>
  <c r="C23" i="6" l="1"/>
  <c r="D20" i="6"/>
  <c r="C22" i="6"/>
  <c r="D23" i="6" l="1"/>
  <c r="D22" i="6"/>
  <c r="E20" i="6"/>
  <c r="E23" i="6" l="1"/>
  <c r="F20" i="6"/>
  <c r="E22" i="6"/>
  <c r="F23" i="6" l="1"/>
  <c r="G20" i="6"/>
  <c r="F22" i="6"/>
  <c r="G23" i="6" l="1"/>
  <c r="H20" i="6"/>
  <c r="G22" i="6"/>
  <c r="I103" i="8"/>
  <c r="H23" i="6" l="1"/>
  <c r="I20" i="6"/>
  <c r="H22" i="6"/>
  <c r="I23" i="6" l="1"/>
  <c r="J20" i="6"/>
  <c r="I22" i="6"/>
  <c r="H104" i="8"/>
  <c r="J23" i="6" l="1"/>
  <c r="K20" i="6"/>
  <c r="J22" i="6"/>
  <c r="I16" i="8"/>
  <c r="K23" i="6" l="1"/>
  <c r="L20" i="6"/>
  <c r="K22" i="6"/>
  <c r="C85" i="8"/>
  <c r="C86" i="8"/>
  <c r="C87" i="8"/>
  <c r="C88" i="8"/>
  <c r="C89" i="8"/>
  <c r="C91" i="8"/>
  <c r="B85" i="8"/>
  <c r="B86" i="8"/>
  <c r="B87" i="8"/>
  <c r="B88" i="8"/>
  <c r="B89" i="8"/>
  <c r="B90" i="8"/>
  <c r="B91" i="8"/>
  <c r="B92" i="8"/>
  <c r="B93" i="8"/>
  <c r="B94" i="8"/>
  <c r="B95" i="8"/>
  <c r="C84" i="8"/>
  <c r="B84" i="8"/>
  <c r="B81" i="8"/>
  <c r="B80" i="8"/>
  <c r="C68" i="8"/>
  <c r="C69" i="8"/>
  <c r="C70" i="8"/>
  <c r="C71" i="8"/>
  <c r="C74" i="8"/>
  <c r="C75" i="8"/>
  <c r="C67" i="8"/>
  <c r="C48" i="8"/>
  <c r="C49" i="8"/>
  <c r="C50" i="8"/>
  <c r="C51" i="8"/>
  <c r="C52" i="8"/>
  <c r="C53" i="8"/>
  <c r="C54" i="8"/>
  <c r="C56" i="8"/>
  <c r="C57" i="8"/>
  <c r="C58" i="8"/>
  <c r="C59" i="8"/>
  <c r="C42" i="8"/>
  <c r="B77" i="8"/>
  <c r="B68" i="8"/>
  <c r="B69" i="8"/>
  <c r="B70" i="8"/>
  <c r="B71" i="8"/>
  <c r="B72" i="8"/>
  <c r="B74" i="8"/>
  <c r="B75" i="8"/>
  <c r="B76" i="8"/>
  <c r="B67" i="8"/>
  <c r="B61" i="8"/>
  <c r="B59" i="8"/>
  <c r="B60" i="8"/>
  <c r="B48" i="8"/>
  <c r="B49" i="8"/>
  <c r="B50" i="8"/>
  <c r="B51" i="8"/>
  <c r="B52" i="8"/>
  <c r="B53" i="8"/>
  <c r="B54" i="8"/>
  <c r="B56" i="8"/>
  <c r="B57" i="8"/>
  <c r="B58" i="8"/>
  <c r="B47" i="8"/>
  <c r="B42" i="8"/>
  <c r="B43" i="8"/>
  <c r="B44" i="8"/>
  <c r="B41" i="8"/>
  <c r="B30" i="8"/>
  <c r="B31" i="8"/>
  <c r="B29" i="8"/>
  <c r="L23" i="6" l="1"/>
  <c r="L22" i="6"/>
  <c r="I7" i="8" l="1"/>
  <c r="I5" i="8" l="1"/>
  <c r="I21" i="8"/>
  <c r="I20" i="8"/>
  <c r="J1" i="1" l="1"/>
  <c r="I10" i="1"/>
  <c r="G10" i="1"/>
  <c r="I27" i="1"/>
  <c r="I24" i="1"/>
  <c r="I23" i="1"/>
  <c r="H25" i="9"/>
  <c r="C19" i="10" s="1"/>
  <c r="F13" i="10"/>
  <c r="F15" i="10"/>
  <c r="F17" i="10"/>
  <c r="F19" i="10"/>
  <c r="F21" i="10"/>
  <c r="I1" i="16" l="1"/>
  <c r="I26" i="1"/>
  <c r="I10" i="10"/>
  <c r="D13" i="10"/>
  <c r="F84" i="8" s="1"/>
  <c r="B4" i="10"/>
  <c r="B3" i="10"/>
  <c r="BP1" i="10"/>
  <c r="F85" i="8" l="1"/>
  <c r="E13" i="10"/>
  <c r="F64" i="8"/>
  <c r="F29" i="8"/>
  <c r="G23" i="1"/>
  <c r="I11" i="10"/>
  <c r="I20" i="10"/>
  <c r="J1" i="9"/>
  <c r="M1" i="6"/>
  <c r="J1" i="5"/>
  <c r="I1" i="4"/>
  <c r="H30" i="9"/>
  <c r="H49" i="4" s="1"/>
  <c r="H20" i="9"/>
  <c r="C17" i="10" s="1"/>
  <c r="H10" i="9"/>
  <c r="H10" i="1" l="1"/>
  <c r="D58" i="4"/>
  <c r="I13" i="10"/>
  <c r="G84" i="8"/>
  <c r="I25" i="1"/>
  <c r="D56" i="6"/>
  <c r="A46" i="6"/>
  <c r="F30" i="8"/>
  <c r="D15" i="10"/>
  <c r="G29" i="8"/>
  <c r="H29" i="8" s="1"/>
  <c r="H23" i="1"/>
  <c r="D56" i="4"/>
  <c r="D36" i="17" s="1"/>
  <c r="G29" i="2" l="1"/>
  <c r="F101" i="17" s="1"/>
  <c r="G29" i="14"/>
  <c r="K29" i="14" s="1"/>
  <c r="F86" i="8"/>
  <c r="F87" i="8" s="1"/>
  <c r="F67" i="8"/>
  <c r="G85" i="8"/>
  <c r="H84" i="8"/>
  <c r="I84" i="8" s="1"/>
  <c r="E15" i="10"/>
  <c r="F47" i="8"/>
  <c r="G24" i="1"/>
  <c r="G30" i="8"/>
  <c r="H30" i="8" s="1"/>
  <c r="K10" i="6"/>
  <c r="C37" i="16" s="1"/>
  <c r="I15" i="10" l="1"/>
  <c r="G67" i="8"/>
  <c r="F68" i="8"/>
  <c r="H85" i="8"/>
  <c r="I85" i="8" s="1"/>
  <c r="F52" i="8"/>
  <c r="F56" i="8"/>
  <c r="F58" i="8"/>
  <c r="F74" i="8"/>
  <c r="F75" i="8" s="1"/>
  <c r="G75" i="8" s="1"/>
  <c r="F51" i="8"/>
  <c r="F53" i="8"/>
  <c r="F55" i="8"/>
  <c r="F57" i="8"/>
  <c r="F94" i="8"/>
  <c r="F50" i="8"/>
  <c r="F54" i="8"/>
  <c r="F59" i="8"/>
  <c r="F91" i="8"/>
  <c r="F60" i="8"/>
  <c r="F89" i="8"/>
  <c r="F48" i="8"/>
  <c r="F90" i="8"/>
  <c r="F76" i="8"/>
  <c r="F88" i="8"/>
  <c r="F49" i="8"/>
  <c r="H24" i="1"/>
  <c r="D17" i="10"/>
  <c r="H31" i="1"/>
  <c r="H32" i="1"/>
  <c r="F31" i="1"/>
  <c r="F32" i="1"/>
  <c r="E31" i="1"/>
  <c r="E32" i="1"/>
  <c r="B31" i="1"/>
  <c r="B32" i="1"/>
  <c r="J7" i="8"/>
  <c r="H67" i="8" l="1"/>
  <c r="I67" i="8" s="1"/>
  <c r="G76" i="8"/>
  <c r="F69" i="8"/>
  <c r="G68" i="8"/>
  <c r="J5" i="8"/>
  <c r="J20" i="8"/>
  <c r="F41" i="8"/>
  <c r="E17" i="10"/>
  <c r="G25" i="1"/>
  <c r="J21" i="8"/>
  <c r="J84" i="8"/>
  <c r="J85" i="8"/>
  <c r="J29" i="8"/>
  <c r="J30" i="8"/>
  <c r="K7" i="8"/>
  <c r="B3" i="8"/>
  <c r="B2" i="8"/>
  <c r="J67" i="8" l="1"/>
  <c r="G86" i="8"/>
  <c r="H86" i="8" s="1"/>
  <c r="I86" i="8" s="1"/>
  <c r="F70" i="8"/>
  <c r="G70" i="8" s="1"/>
  <c r="G69" i="8"/>
  <c r="H69" i="8" s="1"/>
  <c r="K69" i="8" s="1"/>
  <c r="H68" i="8"/>
  <c r="J68" i="8" s="1"/>
  <c r="G87" i="8"/>
  <c r="D19" i="10"/>
  <c r="F80" i="8" s="1"/>
  <c r="I9" i="8"/>
  <c r="H25" i="1"/>
  <c r="G64" i="8"/>
  <c r="H64" i="8" s="1"/>
  <c r="G41" i="8"/>
  <c r="G47" i="8"/>
  <c r="J9" i="8"/>
  <c r="F37" i="8"/>
  <c r="F36" i="8"/>
  <c r="F43" i="8"/>
  <c r="F42" i="8"/>
  <c r="I17" i="10"/>
  <c r="K5" i="8"/>
  <c r="K9" i="8"/>
  <c r="K20" i="8"/>
  <c r="K21" i="8"/>
  <c r="K84" i="8"/>
  <c r="K85" i="8"/>
  <c r="K67" i="8"/>
  <c r="J31" i="8"/>
  <c r="K30" i="8"/>
  <c r="K29" i="8"/>
  <c r="L7" i="8"/>
  <c r="D12" i="4"/>
  <c r="H41" i="8" l="1"/>
  <c r="F73" i="8"/>
  <c r="G73" i="8" s="1"/>
  <c r="K86" i="8"/>
  <c r="K68" i="8"/>
  <c r="F71" i="8"/>
  <c r="F72" i="8" s="1"/>
  <c r="F92" i="8" s="1"/>
  <c r="I68" i="8"/>
  <c r="H70" i="8"/>
  <c r="L70" i="8" s="1"/>
  <c r="I69" i="8"/>
  <c r="J69" i="8"/>
  <c r="J86" i="8"/>
  <c r="H87" i="8"/>
  <c r="K87" i="8" s="1"/>
  <c r="L5" i="8"/>
  <c r="L9" i="8"/>
  <c r="L20" i="8"/>
  <c r="G94" i="8"/>
  <c r="G51" i="8"/>
  <c r="G53" i="8"/>
  <c r="G55" i="8"/>
  <c r="G57" i="8"/>
  <c r="G50" i="8"/>
  <c r="G54" i="8"/>
  <c r="G58" i="8"/>
  <c r="G74" i="8"/>
  <c r="H74" i="8" s="1"/>
  <c r="I74" i="8" s="1"/>
  <c r="G52" i="8"/>
  <c r="G56" i="8"/>
  <c r="G59" i="8"/>
  <c r="G91" i="8"/>
  <c r="G48" i="8"/>
  <c r="H47" i="8"/>
  <c r="G49" i="8"/>
  <c r="G90" i="8"/>
  <c r="G60" i="8"/>
  <c r="G89" i="8"/>
  <c r="G88" i="8"/>
  <c r="I10" i="8"/>
  <c r="G37" i="8"/>
  <c r="H37" i="8" s="1"/>
  <c r="G36" i="8"/>
  <c r="K36" i="8" s="1"/>
  <c r="G43" i="8"/>
  <c r="H43" i="8" s="1"/>
  <c r="G42" i="8"/>
  <c r="E19" i="10"/>
  <c r="I19" i="10" s="1"/>
  <c r="G26" i="1"/>
  <c r="F12" i="8"/>
  <c r="L21" i="8"/>
  <c r="L85" i="8"/>
  <c r="L86" i="8"/>
  <c r="L84" i="8"/>
  <c r="L69" i="8"/>
  <c r="L68" i="8"/>
  <c r="L67" i="8"/>
  <c r="L30" i="8"/>
  <c r="L29" i="8"/>
  <c r="K31" i="8"/>
  <c r="M7" i="8"/>
  <c r="L36" i="8" l="1"/>
  <c r="G71" i="8"/>
  <c r="I70" i="8"/>
  <c r="J70" i="8"/>
  <c r="K70" i="8"/>
  <c r="J87" i="8"/>
  <c r="L87" i="8"/>
  <c r="I87" i="8"/>
  <c r="J36" i="8"/>
  <c r="I43" i="8"/>
  <c r="L43" i="8"/>
  <c r="H55" i="8"/>
  <c r="I55" i="8" s="1"/>
  <c r="J10" i="8"/>
  <c r="K10" i="8" s="1"/>
  <c r="L10" i="8" s="1"/>
  <c r="H76" i="8"/>
  <c r="H49" i="8"/>
  <c r="H59" i="8"/>
  <c r="J59" i="8" s="1"/>
  <c r="H53" i="8"/>
  <c r="J53" i="8" s="1"/>
  <c r="I37" i="8"/>
  <c r="J37" i="8"/>
  <c r="K37" i="8"/>
  <c r="H88" i="8"/>
  <c r="J88" i="8" s="1"/>
  <c r="H90" i="8"/>
  <c r="I90" i="8" s="1"/>
  <c r="H91" i="8"/>
  <c r="J91" i="8" s="1"/>
  <c r="H50" i="8"/>
  <c r="L50" i="8" s="1"/>
  <c r="H94" i="8"/>
  <c r="I94" i="8" s="1"/>
  <c r="M5" i="8"/>
  <c r="M9" i="8"/>
  <c r="M20" i="8"/>
  <c r="L37" i="8"/>
  <c r="J43" i="8"/>
  <c r="K43" i="8"/>
  <c r="I36" i="8"/>
  <c r="I40" i="8" s="1"/>
  <c r="H89" i="8"/>
  <c r="K89" i="8" s="1"/>
  <c r="I47" i="8"/>
  <c r="H56" i="8"/>
  <c r="K56" i="8" s="1"/>
  <c r="H58" i="8"/>
  <c r="J58" i="8" s="1"/>
  <c r="H51" i="8"/>
  <c r="J51" i="8" s="1"/>
  <c r="H42" i="8"/>
  <c r="L42" i="8" s="1"/>
  <c r="G12" i="8"/>
  <c r="D21" i="10"/>
  <c r="G80" i="8"/>
  <c r="H26" i="1"/>
  <c r="H36" i="8"/>
  <c r="D35" i="8" s="1"/>
  <c r="H60" i="8"/>
  <c r="H48" i="8"/>
  <c r="K48" i="8" s="1"/>
  <c r="H52" i="8"/>
  <c r="K52" i="8" s="1"/>
  <c r="H54" i="8"/>
  <c r="M54" i="8" s="1"/>
  <c r="H57" i="8"/>
  <c r="L57" i="8" s="1"/>
  <c r="H75" i="8"/>
  <c r="M75" i="8" s="1"/>
  <c r="M37" i="8"/>
  <c r="M36" i="8"/>
  <c r="M21" i="8"/>
  <c r="M87" i="8"/>
  <c r="M85" i="8"/>
  <c r="M86" i="8"/>
  <c r="M84" i="8"/>
  <c r="M69" i="8"/>
  <c r="M67" i="8"/>
  <c r="M70" i="8"/>
  <c r="M68" i="8"/>
  <c r="M29" i="8"/>
  <c r="M30" i="8"/>
  <c r="M43" i="8"/>
  <c r="L31" i="8"/>
  <c r="N7" i="8"/>
  <c r="M88" i="8" l="1"/>
  <c r="G72" i="8"/>
  <c r="G92" i="8" s="1"/>
  <c r="H92" i="8" s="1"/>
  <c r="H71" i="8"/>
  <c r="I71" i="8" s="1"/>
  <c r="M52" i="8"/>
  <c r="M50" i="8"/>
  <c r="M56" i="8"/>
  <c r="M48" i="8"/>
  <c r="M59" i="8"/>
  <c r="K51" i="8"/>
  <c r="J48" i="8"/>
  <c r="J50" i="8"/>
  <c r="J55" i="8"/>
  <c r="K88" i="8"/>
  <c r="M53" i="8"/>
  <c r="M55" i="8"/>
  <c r="M91" i="8"/>
  <c r="M51" i="8"/>
  <c r="I54" i="8"/>
  <c r="L54" i="8"/>
  <c r="I57" i="8"/>
  <c r="I89" i="8"/>
  <c r="L89" i="8"/>
  <c r="I91" i="8"/>
  <c r="L91" i="8"/>
  <c r="I53" i="8"/>
  <c r="L53" i="8"/>
  <c r="I59" i="8"/>
  <c r="L59" i="8"/>
  <c r="M10" i="8"/>
  <c r="I42" i="8"/>
  <c r="I49" i="8"/>
  <c r="L49" i="8"/>
  <c r="H80" i="8"/>
  <c r="I58" i="8"/>
  <c r="L58" i="8"/>
  <c r="M49" i="8"/>
  <c r="K57" i="8"/>
  <c r="J54" i="8"/>
  <c r="I52" i="8"/>
  <c r="L52" i="8"/>
  <c r="I48" i="8"/>
  <c r="L48" i="8"/>
  <c r="G27" i="1"/>
  <c r="E21" i="10"/>
  <c r="I21" i="10" s="1"/>
  <c r="I50" i="8"/>
  <c r="J49" i="8"/>
  <c r="J40" i="8"/>
  <c r="J42" i="8"/>
  <c r="I75" i="8"/>
  <c r="L75" i="8"/>
  <c r="I56" i="8"/>
  <c r="L56" i="8"/>
  <c r="N5" i="8"/>
  <c r="N9" i="8"/>
  <c r="N20" i="8"/>
  <c r="M57" i="8"/>
  <c r="J75" i="8"/>
  <c r="I60" i="8"/>
  <c r="M42" i="8"/>
  <c r="M58" i="8"/>
  <c r="M89" i="8"/>
  <c r="K75" i="8"/>
  <c r="J57" i="8"/>
  <c r="K54" i="8"/>
  <c r="J52" i="8"/>
  <c r="I51" i="8"/>
  <c r="L51" i="8"/>
  <c r="K58" i="8"/>
  <c r="J56" i="8"/>
  <c r="J89" i="8"/>
  <c r="L55" i="8"/>
  <c r="K50" i="8"/>
  <c r="K91" i="8"/>
  <c r="I88" i="8"/>
  <c r="L88" i="8"/>
  <c r="K53" i="8"/>
  <c r="K59" i="8"/>
  <c r="K49" i="8"/>
  <c r="I76" i="8"/>
  <c r="K42" i="8"/>
  <c r="K55" i="8"/>
  <c r="N37" i="8"/>
  <c r="N36" i="8"/>
  <c r="N21" i="8"/>
  <c r="N91" i="8"/>
  <c r="N89" i="8"/>
  <c r="N88" i="8"/>
  <c r="N87" i="8"/>
  <c r="N86" i="8"/>
  <c r="N84" i="8"/>
  <c r="N85" i="8"/>
  <c r="N69" i="8"/>
  <c r="N70" i="8"/>
  <c r="N67" i="8"/>
  <c r="N75" i="8"/>
  <c r="N68" i="8"/>
  <c r="N48" i="8"/>
  <c r="N49" i="8"/>
  <c r="N50" i="8"/>
  <c r="N51" i="8"/>
  <c r="N57" i="8"/>
  <c r="N52" i="8"/>
  <c r="N58" i="8"/>
  <c r="N53" i="8"/>
  <c r="N54" i="8"/>
  <c r="N59" i="8"/>
  <c r="N55" i="8"/>
  <c r="N56" i="8"/>
  <c r="N29" i="8"/>
  <c r="N30" i="8"/>
  <c r="N42" i="8"/>
  <c r="M31" i="8"/>
  <c r="O7" i="8"/>
  <c r="O92" i="8" s="1"/>
  <c r="I92" i="8" l="1"/>
  <c r="J92" i="8"/>
  <c r="K92" i="8"/>
  <c r="L92" i="8"/>
  <c r="M92" i="8"/>
  <c r="N92" i="8"/>
  <c r="H63" i="5"/>
  <c r="F63" i="17"/>
  <c r="G61" i="17"/>
  <c r="H65" i="5"/>
  <c r="H66" i="5" s="1"/>
  <c r="C80" i="8" s="1"/>
  <c r="C81" i="8" s="1"/>
  <c r="G62" i="17"/>
  <c r="H72" i="8"/>
  <c r="I72" i="8" s="1"/>
  <c r="N110" i="8"/>
  <c r="I61" i="8"/>
  <c r="K40" i="8"/>
  <c r="D21" i="6"/>
  <c r="K31" i="6"/>
  <c r="H27" i="1"/>
  <c r="B76" i="6"/>
  <c r="G21" i="6"/>
  <c r="I21" i="6"/>
  <c r="K21" i="6"/>
  <c r="C21" i="6"/>
  <c r="E21" i="6"/>
  <c r="L31" i="6"/>
  <c r="I110" i="8"/>
  <c r="J110" i="8"/>
  <c r="K110" i="8"/>
  <c r="D34" i="6"/>
  <c r="F21" i="6"/>
  <c r="H21" i="6"/>
  <c r="J21" i="6"/>
  <c r="L21" i="6"/>
  <c r="L110" i="8"/>
  <c r="M110" i="8"/>
  <c r="O5" i="8"/>
  <c r="O9" i="8"/>
  <c r="O20" i="8"/>
  <c r="N10" i="8"/>
  <c r="O37" i="8"/>
  <c r="O36" i="8"/>
  <c r="O110" i="8"/>
  <c r="O21" i="8"/>
  <c r="O89" i="8"/>
  <c r="O91" i="8"/>
  <c r="O86" i="8"/>
  <c r="O84" i="8"/>
  <c r="O85" i="8"/>
  <c r="O88" i="8"/>
  <c r="O87" i="8"/>
  <c r="O70" i="8"/>
  <c r="O75" i="8"/>
  <c r="O68" i="8"/>
  <c r="O69" i="8"/>
  <c r="O67" i="8"/>
  <c r="O48" i="8"/>
  <c r="O49" i="8"/>
  <c r="O50" i="8"/>
  <c r="O57" i="8"/>
  <c r="O51" i="8"/>
  <c r="O52" i="8"/>
  <c r="O53" i="8"/>
  <c r="O58" i="8"/>
  <c r="O54" i="8"/>
  <c r="O59" i="8"/>
  <c r="O55" i="8"/>
  <c r="O56" i="8"/>
  <c r="O30" i="8"/>
  <c r="O29" i="8"/>
  <c r="O42" i="8"/>
  <c r="N31" i="8"/>
  <c r="P7" i="8"/>
  <c r="P92" i="8" s="1"/>
  <c r="I10" i="5"/>
  <c r="E34" i="1"/>
  <c r="H34" i="1"/>
  <c r="L27" i="6" l="1"/>
  <c r="L26" i="6"/>
  <c r="I26" i="6"/>
  <c r="I27" i="6"/>
  <c r="J26" i="6"/>
  <c r="J27" i="6"/>
  <c r="E26" i="6"/>
  <c r="E27" i="6"/>
  <c r="G27" i="6"/>
  <c r="G26" i="6"/>
  <c r="D27" i="6"/>
  <c r="D26" i="6"/>
  <c r="H27" i="6"/>
  <c r="H26" i="6"/>
  <c r="F26" i="6"/>
  <c r="F27" i="6"/>
  <c r="K27" i="6"/>
  <c r="K26" i="6"/>
  <c r="C26" i="6"/>
  <c r="C27" i="6"/>
  <c r="J100" i="8"/>
  <c r="I23" i="8"/>
  <c r="I24" i="8"/>
  <c r="G63" i="17"/>
  <c r="G44" i="1"/>
  <c r="J63" i="5"/>
  <c r="J64" i="5"/>
  <c r="J62" i="5"/>
  <c r="J65" i="5"/>
  <c r="J35" i="5"/>
  <c r="J34" i="5"/>
  <c r="H73" i="8"/>
  <c r="O73" i="8" s="1"/>
  <c r="I35" i="1"/>
  <c r="P5" i="8"/>
  <c r="P9" i="8"/>
  <c r="P20" i="8"/>
  <c r="D46" i="6"/>
  <c r="D47" i="6" s="1"/>
  <c r="D41" i="6"/>
  <c r="D42" i="6" s="1"/>
  <c r="D51" i="6"/>
  <c r="D52" i="6" s="1"/>
  <c r="O10" i="8"/>
  <c r="D53" i="6"/>
  <c r="D43" i="6"/>
  <c r="D48" i="6"/>
  <c r="C46" i="6"/>
  <c r="C47" i="6" s="1"/>
  <c r="C49" i="6" s="1"/>
  <c r="C41" i="6"/>
  <c r="C42" i="6" s="1"/>
  <c r="C44" i="6" s="1"/>
  <c r="C51" i="6"/>
  <c r="C52" i="6" s="1"/>
  <c r="C54" i="6" s="1"/>
  <c r="L40" i="8"/>
  <c r="C76" i="6"/>
  <c r="B77" i="6"/>
  <c r="P37" i="8"/>
  <c r="P36" i="8"/>
  <c r="P110" i="8"/>
  <c r="P21" i="8"/>
  <c r="P91" i="8"/>
  <c r="P89" i="8"/>
  <c r="P85" i="8"/>
  <c r="P87" i="8"/>
  <c r="P88" i="8"/>
  <c r="P86" i="8"/>
  <c r="P84" i="8"/>
  <c r="P80" i="8"/>
  <c r="P70" i="8"/>
  <c r="P75" i="8"/>
  <c r="P69" i="8"/>
  <c r="P68" i="8"/>
  <c r="P67" i="8"/>
  <c r="P48" i="8"/>
  <c r="P49" i="8"/>
  <c r="P51" i="8"/>
  <c r="P50" i="8"/>
  <c r="P52" i="8"/>
  <c r="P57" i="8"/>
  <c r="P53" i="8"/>
  <c r="P58" i="8"/>
  <c r="P54" i="8"/>
  <c r="P59" i="8"/>
  <c r="P55" i="8"/>
  <c r="P56" i="8"/>
  <c r="P30" i="8"/>
  <c r="P29" i="8"/>
  <c r="P42" i="8"/>
  <c r="O31" i="8"/>
  <c r="Q7" i="8"/>
  <c r="Q92" i="8" s="1"/>
  <c r="J56" i="5"/>
  <c r="J73" i="5"/>
  <c r="J76" i="5"/>
  <c r="J20" i="5"/>
  <c r="J72" i="5"/>
  <c r="J57" i="5"/>
  <c r="J53" i="5"/>
  <c r="J51" i="5"/>
  <c r="J49" i="5"/>
  <c r="J52" i="5"/>
  <c r="J50" i="5"/>
  <c r="J37" i="5"/>
  <c r="J33" i="5"/>
  <c r="J39" i="5"/>
  <c r="J38" i="5"/>
  <c r="J36" i="5"/>
  <c r="J31" i="5"/>
  <c r="J29" i="5"/>
  <c r="J27" i="5"/>
  <c r="J32" i="5"/>
  <c r="J30" i="5"/>
  <c r="J28" i="5"/>
  <c r="J26" i="5"/>
  <c r="J71" i="5"/>
  <c r="J70" i="5"/>
  <c r="J69" i="5"/>
  <c r="J74" i="5"/>
  <c r="I31" i="1"/>
  <c r="I32" i="1"/>
  <c r="J66" i="5" l="1"/>
  <c r="I44" i="1" s="1"/>
  <c r="Q73" i="8"/>
  <c r="M73" i="8"/>
  <c r="N73" i="8"/>
  <c r="K73" i="8"/>
  <c r="J73" i="8"/>
  <c r="I73" i="8"/>
  <c r="I77" i="8" s="1"/>
  <c r="P73" i="8"/>
  <c r="L73" i="8"/>
  <c r="N80" i="8"/>
  <c r="I80" i="8"/>
  <c r="M80" i="8"/>
  <c r="J80" i="8"/>
  <c r="L80" i="8"/>
  <c r="K80" i="8"/>
  <c r="O80" i="8"/>
  <c r="D44" i="6"/>
  <c r="D54" i="6"/>
  <c r="B78" i="6"/>
  <c r="C77" i="6"/>
  <c r="D49" i="6"/>
  <c r="M40" i="8"/>
  <c r="Q5" i="8"/>
  <c r="Q9" i="8"/>
  <c r="Q20" i="8"/>
  <c r="P10" i="8"/>
  <c r="Q37" i="8"/>
  <c r="Q36" i="8"/>
  <c r="Q110" i="8"/>
  <c r="Q21" i="8"/>
  <c r="Q91" i="8"/>
  <c r="Q89" i="8"/>
  <c r="Q87" i="8"/>
  <c r="Q88" i="8"/>
  <c r="Q86" i="8"/>
  <c r="Q84" i="8"/>
  <c r="Q85" i="8"/>
  <c r="Q80" i="8"/>
  <c r="Q75" i="8"/>
  <c r="Q70" i="8"/>
  <c r="Q67" i="8"/>
  <c r="Q69" i="8"/>
  <c r="Q68" i="8"/>
  <c r="Q48" i="8"/>
  <c r="Q49" i="8"/>
  <c r="Q50" i="8"/>
  <c r="Q51" i="8"/>
  <c r="Q57" i="8"/>
  <c r="Q52" i="8"/>
  <c r="Q58" i="8"/>
  <c r="Q53" i="8"/>
  <c r="Q54" i="8"/>
  <c r="Q59" i="8"/>
  <c r="Q55" i="8"/>
  <c r="Q56" i="8"/>
  <c r="Q29" i="8"/>
  <c r="Q30" i="8"/>
  <c r="Q42" i="8"/>
  <c r="P31" i="8"/>
  <c r="R7" i="8"/>
  <c r="F34" i="1"/>
  <c r="A14" i="14" s="1"/>
  <c r="E35" i="1"/>
  <c r="I34" i="1" s="1"/>
  <c r="I9" i="5"/>
  <c r="H55" i="5" s="1"/>
  <c r="H35" i="1"/>
  <c r="F16" i="4"/>
  <c r="F17" i="4"/>
  <c r="G32" i="1" s="1"/>
  <c r="B4" i="9"/>
  <c r="B3" i="9"/>
  <c r="A5" i="2"/>
  <c r="R73" i="8" l="1"/>
  <c r="R92" i="8"/>
  <c r="J55" i="5"/>
  <c r="I55" i="5"/>
  <c r="C73" i="8"/>
  <c r="A14" i="2"/>
  <c r="I64" i="5"/>
  <c r="I62" i="5"/>
  <c r="I63" i="5"/>
  <c r="G31" i="1"/>
  <c r="F20" i="4"/>
  <c r="G34" i="1" s="1"/>
  <c r="I34" i="5"/>
  <c r="I35" i="5"/>
  <c r="I36" i="5"/>
  <c r="I65" i="5"/>
  <c r="Q10" i="8"/>
  <c r="Q11" i="8" s="1"/>
  <c r="R5" i="8"/>
  <c r="R9" i="8"/>
  <c r="R20" i="8"/>
  <c r="N40" i="8"/>
  <c r="B79" i="6"/>
  <c r="C78" i="6"/>
  <c r="R37" i="8"/>
  <c r="R36" i="8"/>
  <c r="C13" i="8"/>
  <c r="C10" i="8"/>
  <c r="C15" i="8"/>
  <c r="C9" i="8"/>
  <c r="C12" i="8"/>
  <c r="C16" i="8"/>
  <c r="I17" i="8"/>
  <c r="I11" i="8"/>
  <c r="J11" i="8"/>
  <c r="K11" i="8"/>
  <c r="L11" i="8"/>
  <c r="M11" i="8"/>
  <c r="N11" i="8"/>
  <c r="O11" i="8"/>
  <c r="P11" i="8"/>
  <c r="R110" i="8"/>
  <c r="R21" i="8"/>
  <c r="R91" i="8"/>
  <c r="R89" i="8"/>
  <c r="R88" i="8"/>
  <c r="R86" i="8"/>
  <c r="R84" i="8"/>
  <c r="R87" i="8"/>
  <c r="R85" i="8"/>
  <c r="R80" i="8"/>
  <c r="R69" i="8"/>
  <c r="R70" i="8"/>
  <c r="R67" i="8"/>
  <c r="R68" i="8"/>
  <c r="R75" i="8"/>
  <c r="R48" i="8"/>
  <c r="R51" i="8"/>
  <c r="R49" i="8"/>
  <c r="R50" i="8"/>
  <c r="R52" i="8"/>
  <c r="R57" i="8"/>
  <c r="R58" i="8"/>
  <c r="R53" i="8"/>
  <c r="R54" i="8"/>
  <c r="R59" i="8"/>
  <c r="R55" i="8"/>
  <c r="R56" i="8"/>
  <c r="Q31" i="8"/>
  <c r="R29" i="8"/>
  <c r="R30" i="8"/>
  <c r="R43" i="8"/>
  <c r="R42" i="8"/>
  <c r="S7" i="8"/>
  <c r="I56" i="5"/>
  <c r="I57" i="5"/>
  <c r="I51" i="5"/>
  <c r="I49" i="5"/>
  <c r="I53" i="5"/>
  <c r="I52" i="5"/>
  <c r="I50" i="5"/>
  <c r="I39" i="5"/>
  <c r="I38" i="5"/>
  <c r="I37" i="5"/>
  <c r="I33" i="5"/>
  <c r="I31" i="5"/>
  <c r="I27" i="5"/>
  <c r="I28" i="5"/>
  <c r="I29" i="5"/>
  <c r="I26" i="5"/>
  <c r="I32" i="5"/>
  <c r="I30" i="5"/>
  <c r="I70" i="5"/>
  <c r="I20" i="5"/>
  <c r="I73" i="5"/>
  <c r="I72" i="5"/>
  <c r="I76" i="5"/>
  <c r="I74" i="5"/>
  <c r="I69" i="5"/>
  <c r="I71" i="5"/>
  <c r="A3" i="6"/>
  <c r="A2" i="6"/>
  <c r="B4" i="5"/>
  <c r="B3" i="5"/>
  <c r="B4" i="4"/>
  <c r="B3" i="4"/>
  <c r="B4" i="1"/>
  <c r="B3" i="1"/>
  <c r="S73" i="8" l="1"/>
  <c r="S92" i="8"/>
  <c r="B4" i="16"/>
  <c r="B5" i="16"/>
  <c r="I66" i="5"/>
  <c r="H44" i="1" s="1"/>
  <c r="N43" i="8"/>
  <c r="O43" i="8"/>
  <c r="P43" i="8"/>
  <c r="Q43" i="8"/>
  <c r="O40" i="8"/>
  <c r="S5" i="8"/>
  <c r="S9" i="8"/>
  <c r="S20" i="8"/>
  <c r="B80" i="6"/>
  <c r="C79" i="6"/>
  <c r="R10" i="8"/>
  <c r="S37" i="8"/>
  <c r="S36" i="8"/>
  <c r="S110" i="8"/>
  <c r="S21" i="8"/>
  <c r="S91" i="8"/>
  <c r="S89" i="8"/>
  <c r="S86" i="8"/>
  <c r="S84" i="8"/>
  <c r="S88" i="8"/>
  <c r="S85" i="8"/>
  <c r="S87" i="8"/>
  <c r="S80" i="8"/>
  <c r="S70" i="8"/>
  <c r="S75" i="8"/>
  <c r="S68" i="8"/>
  <c r="S67" i="8"/>
  <c r="S69" i="8"/>
  <c r="R31" i="8"/>
  <c r="S48" i="8"/>
  <c r="S49" i="8"/>
  <c r="S50" i="8"/>
  <c r="S52" i="8"/>
  <c r="S57" i="8"/>
  <c r="S51" i="8"/>
  <c r="S58" i="8"/>
  <c r="S53" i="8"/>
  <c r="S54" i="8"/>
  <c r="S55" i="8"/>
  <c r="S59" i="8"/>
  <c r="S56" i="8"/>
  <c r="S30" i="8"/>
  <c r="S29" i="8"/>
  <c r="S43" i="8"/>
  <c r="S42" i="8"/>
  <c r="T7" i="8"/>
  <c r="T73" i="8" l="1"/>
  <c r="T92" i="8"/>
  <c r="B81" i="6"/>
  <c r="C80" i="6"/>
  <c r="T5" i="8"/>
  <c r="T9" i="8"/>
  <c r="T20" i="8"/>
  <c r="S10" i="8"/>
  <c r="R11" i="8"/>
  <c r="P40" i="8"/>
  <c r="T37" i="8"/>
  <c r="T36" i="8"/>
  <c r="T110" i="8"/>
  <c r="T21" i="8"/>
  <c r="T91" i="8"/>
  <c r="T85" i="8"/>
  <c r="T86" i="8"/>
  <c r="T87" i="8"/>
  <c r="T88" i="8"/>
  <c r="T89" i="8"/>
  <c r="T84" i="8"/>
  <c r="T80" i="8"/>
  <c r="T70" i="8"/>
  <c r="T75" i="8"/>
  <c r="T69" i="8"/>
  <c r="T67" i="8"/>
  <c r="T68" i="8"/>
  <c r="T49" i="8"/>
  <c r="T48" i="8"/>
  <c r="T50" i="8"/>
  <c r="T57" i="8"/>
  <c r="T51" i="8"/>
  <c r="T52" i="8"/>
  <c r="T58" i="8"/>
  <c r="T53" i="8"/>
  <c r="T54" i="8"/>
  <c r="T55" i="8"/>
  <c r="T59" i="8"/>
  <c r="T56" i="8"/>
  <c r="S31" i="8"/>
  <c r="T30" i="8"/>
  <c r="T29" i="8"/>
  <c r="T43" i="8"/>
  <c r="T42" i="8"/>
  <c r="U7" i="8"/>
  <c r="U73" i="8" l="1"/>
  <c r="U92" i="8"/>
  <c r="U5" i="8"/>
  <c r="U9" i="8"/>
  <c r="U20" i="8"/>
  <c r="T10" i="8"/>
  <c r="S11" i="8"/>
  <c r="Q40" i="8"/>
  <c r="B82" i="6"/>
  <c r="C81" i="6"/>
  <c r="U37" i="8"/>
  <c r="U36" i="8"/>
  <c r="U110" i="8"/>
  <c r="U21" i="8"/>
  <c r="U91" i="8"/>
  <c r="U89" i="8"/>
  <c r="U87" i="8"/>
  <c r="U88" i="8"/>
  <c r="U85" i="8"/>
  <c r="U86" i="8"/>
  <c r="U84" i="8"/>
  <c r="U80" i="8"/>
  <c r="U75" i="8"/>
  <c r="U70" i="8"/>
  <c r="U69" i="8"/>
  <c r="U67" i="8"/>
  <c r="U68" i="8"/>
  <c r="U49" i="8"/>
  <c r="U48" i="8"/>
  <c r="U50" i="8"/>
  <c r="U51" i="8"/>
  <c r="U52" i="8"/>
  <c r="U57" i="8"/>
  <c r="U58" i="8"/>
  <c r="U53" i="8"/>
  <c r="U54" i="8"/>
  <c r="U55" i="8"/>
  <c r="U59" i="8"/>
  <c r="U56" i="8"/>
  <c r="T31" i="8"/>
  <c r="U29" i="8"/>
  <c r="U30" i="8"/>
  <c r="U43" i="8"/>
  <c r="U42" i="8"/>
  <c r="V7" i="8"/>
  <c r="J10" i="10"/>
  <c r="V73" i="8" l="1"/>
  <c r="V92" i="8"/>
  <c r="B83" i="6"/>
  <c r="C82" i="6"/>
  <c r="V5" i="8"/>
  <c r="V9" i="8"/>
  <c r="V20" i="8"/>
  <c r="R40" i="8"/>
  <c r="U10" i="8"/>
  <c r="T11" i="8"/>
  <c r="V37" i="8"/>
  <c r="V36" i="8"/>
  <c r="V110" i="8"/>
  <c r="V21" i="8"/>
  <c r="V91" i="8"/>
  <c r="V89" i="8"/>
  <c r="V88" i="8"/>
  <c r="V86" i="8"/>
  <c r="V84" i="8"/>
  <c r="V85" i="8"/>
  <c r="V87" i="8"/>
  <c r="V80" i="8"/>
  <c r="V69" i="8"/>
  <c r="V70" i="8"/>
  <c r="V67" i="8"/>
  <c r="V75" i="8"/>
  <c r="V68" i="8"/>
  <c r="V48" i="8"/>
  <c r="V49" i="8"/>
  <c r="V51" i="8"/>
  <c r="V50" i="8"/>
  <c r="V57" i="8"/>
  <c r="V52" i="8"/>
  <c r="V53" i="8"/>
  <c r="V58" i="8"/>
  <c r="V54" i="8"/>
  <c r="V59" i="8"/>
  <c r="V56" i="8"/>
  <c r="V55" i="8"/>
  <c r="V29" i="8"/>
  <c r="V30" i="8"/>
  <c r="V43" i="8"/>
  <c r="V42" i="8"/>
  <c r="U31" i="8"/>
  <c r="W7" i="8"/>
  <c r="K10" i="10"/>
  <c r="J21" i="10"/>
  <c r="J17" i="10"/>
  <c r="J19" i="10"/>
  <c r="J13" i="10"/>
  <c r="J20" i="10"/>
  <c r="J15" i="10"/>
  <c r="W73" i="8" l="1"/>
  <c r="W92" i="8"/>
  <c r="S51" i="17"/>
  <c r="S61" i="17"/>
  <c r="S62" i="17" s="1"/>
  <c r="S63" i="17" s="1"/>
  <c r="S40" i="8"/>
  <c r="W5" i="8"/>
  <c r="W9" i="8"/>
  <c r="W20" i="8"/>
  <c r="B84" i="6"/>
  <c r="C83" i="6"/>
  <c r="V10" i="8"/>
  <c r="U11" i="8"/>
  <c r="W37" i="8"/>
  <c r="W36" i="8"/>
  <c r="W110" i="8"/>
  <c r="W21" i="8"/>
  <c r="W89" i="8"/>
  <c r="W86" i="8"/>
  <c r="W84" i="8"/>
  <c r="W85" i="8"/>
  <c r="W88" i="8"/>
  <c r="W91" i="8"/>
  <c r="W87" i="8"/>
  <c r="W80" i="8"/>
  <c r="W70" i="8"/>
  <c r="W75" i="8"/>
  <c r="W68" i="8"/>
  <c r="W67" i="8"/>
  <c r="W69" i="8"/>
  <c r="W48" i="8"/>
  <c r="W49" i="8"/>
  <c r="W51" i="8"/>
  <c r="W50" i="8"/>
  <c r="W57" i="8"/>
  <c r="W52" i="8"/>
  <c r="W58" i="8"/>
  <c r="W53" i="8"/>
  <c r="W54" i="8"/>
  <c r="W59" i="8"/>
  <c r="W55" i="8"/>
  <c r="W56" i="8"/>
  <c r="V31" i="8"/>
  <c r="W30" i="8"/>
  <c r="W29" i="8"/>
  <c r="W42" i="8"/>
  <c r="X7" i="8"/>
  <c r="L10" i="10"/>
  <c r="K21" i="10"/>
  <c r="K20" i="10"/>
  <c r="K19" i="10"/>
  <c r="K13" i="10"/>
  <c r="K17" i="10"/>
  <c r="K15" i="10"/>
  <c r="X73" i="8" l="1"/>
  <c r="X92" i="8"/>
  <c r="S52" i="17"/>
  <c r="S53" i="17" s="1"/>
  <c r="G49" i="17"/>
  <c r="H21" i="5"/>
  <c r="H54" i="5"/>
  <c r="G56" i="17"/>
  <c r="G48" i="17"/>
  <c r="G57" i="17"/>
  <c r="H58" i="5"/>
  <c r="X5" i="8"/>
  <c r="X9" i="8"/>
  <c r="X20" i="8"/>
  <c r="C84" i="6"/>
  <c r="B85" i="6"/>
  <c r="T40" i="8"/>
  <c r="W10" i="8"/>
  <c r="V11" i="8"/>
  <c r="X37" i="8"/>
  <c r="X36" i="8"/>
  <c r="X110" i="8"/>
  <c r="X21" i="8"/>
  <c r="X91" i="8"/>
  <c r="X85" i="8"/>
  <c r="X87" i="8"/>
  <c r="X89" i="8"/>
  <c r="X88" i="8"/>
  <c r="X86" i="8"/>
  <c r="X84" i="8"/>
  <c r="X80" i="8"/>
  <c r="X70" i="8"/>
  <c r="X75" i="8"/>
  <c r="X69" i="8"/>
  <c r="X68" i="8"/>
  <c r="X67" i="8"/>
  <c r="W31" i="8"/>
  <c r="X49" i="8"/>
  <c r="X48" i="8"/>
  <c r="X50" i="8"/>
  <c r="X51" i="8"/>
  <c r="X57" i="8"/>
  <c r="X52" i="8"/>
  <c r="X53" i="8"/>
  <c r="X58" i="8"/>
  <c r="X54" i="8"/>
  <c r="X59" i="8"/>
  <c r="X55" i="8"/>
  <c r="X56" i="8"/>
  <c r="X30" i="8"/>
  <c r="X29" i="8"/>
  <c r="X42" i="8"/>
  <c r="Y7" i="8"/>
  <c r="L21" i="10"/>
  <c r="L20" i="10"/>
  <c r="L19" i="10"/>
  <c r="L13" i="10"/>
  <c r="L17" i="10"/>
  <c r="L15" i="10"/>
  <c r="M10" i="10"/>
  <c r="L11" i="10"/>
  <c r="Y73" i="8" l="1"/>
  <c r="Y92" i="8"/>
  <c r="L21" i="5"/>
  <c r="H22" i="5"/>
  <c r="J19" i="5"/>
  <c r="C41" i="8"/>
  <c r="T41" i="8" s="1"/>
  <c r="T44" i="8" s="1"/>
  <c r="I19" i="5"/>
  <c r="C72" i="8"/>
  <c r="J54" i="5"/>
  <c r="I54" i="5"/>
  <c r="H59" i="5"/>
  <c r="M59" i="5"/>
  <c r="I58" i="5"/>
  <c r="C76" i="8"/>
  <c r="Y76" i="8" s="1"/>
  <c r="J58" i="5"/>
  <c r="M21" i="5"/>
  <c r="G21" i="5"/>
  <c r="K21" i="5"/>
  <c r="C43" i="8"/>
  <c r="Y43" i="8" s="1"/>
  <c r="I21" i="5"/>
  <c r="J21" i="5"/>
  <c r="X10" i="8"/>
  <c r="W11" i="8"/>
  <c r="U40" i="8"/>
  <c r="Y5" i="8"/>
  <c r="Y9" i="8"/>
  <c r="Y20" i="8"/>
  <c r="B86" i="6"/>
  <c r="C85" i="6"/>
  <c r="Y37" i="8"/>
  <c r="Y36" i="8"/>
  <c r="Y110" i="8"/>
  <c r="Y21" i="8"/>
  <c r="Y91" i="8"/>
  <c r="Y89" i="8"/>
  <c r="Y87" i="8"/>
  <c r="Y88" i="8"/>
  <c r="Y86" i="8"/>
  <c r="Y84" i="8"/>
  <c r="Y85" i="8"/>
  <c r="Y80" i="8"/>
  <c r="Y75" i="8"/>
  <c r="Y70" i="8"/>
  <c r="Y67" i="8"/>
  <c r="Y69" i="8"/>
  <c r="Y68" i="8"/>
  <c r="Y49" i="8"/>
  <c r="Y48" i="8"/>
  <c r="Y51" i="8"/>
  <c r="Y50" i="8"/>
  <c r="Y52" i="8"/>
  <c r="Y57" i="8"/>
  <c r="Y53" i="8"/>
  <c r="Y58" i="8"/>
  <c r="Y54" i="8"/>
  <c r="Y59" i="8"/>
  <c r="Y55" i="8"/>
  <c r="Y56" i="8"/>
  <c r="X31" i="8"/>
  <c r="Y30" i="8"/>
  <c r="Y29" i="8"/>
  <c r="Y42" i="8"/>
  <c r="Z7" i="8"/>
  <c r="N10" i="10"/>
  <c r="M21" i="10"/>
  <c r="M20" i="10"/>
  <c r="M13" i="10"/>
  <c r="M19" i="10"/>
  <c r="M17" i="10"/>
  <c r="M15" i="10"/>
  <c r="Z73" i="8" l="1"/>
  <c r="Z92" i="8"/>
  <c r="I59" i="5"/>
  <c r="H43" i="1" s="1"/>
  <c r="W43" i="8"/>
  <c r="X43" i="8"/>
  <c r="J22" i="5"/>
  <c r="I40" i="1" s="1"/>
  <c r="L41" i="8"/>
  <c r="L44" i="8" s="1"/>
  <c r="J41" i="8"/>
  <c r="J44" i="8" s="1"/>
  <c r="M41" i="8"/>
  <c r="M44" i="8" s="1"/>
  <c r="K41" i="8"/>
  <c r="K44" i="8" s="1"/>
  <c r="I41" i="8"/>
  <c r="I44" i="8" s="1"/>
  <c r="N41" i="8"/>
  <c r="N44" i="8" s="1"/>
  <c r="O41" i="8"/>
  <c r="O44" i="8" s="1"/>
  <c r="P41" i="8"/>
  <c r="P44" i="8" s="1"/>
  <c r="Q41" i="8"/>
  <c r="Q44" i="8" s="1"/>
  <c r="R41" i="8"/>
  <c r="R44" i="8" s="1"/>
  <c r="S41" i="8"/>
  <c r="S44" i="8" s="1"/>
  <c r="G40" i="1"/>
  <c r="C44" i="8"/>
  <c r="S76" i="8"/>
  <c r="J76" i="8"/>
  <c r="M76" i="8"/>
  <c r="R76" i="8"/>
  <c r="L76" i="8"/>
  <c r="O76" i="8"/>
  <c r="T76" i="8"/>
  <c r="N76" i="8"/>
  <c r="K76" i="8"/>
  <c r="P76" i="8"/>
  <c r="Q76" i="8"/>
  <c r="U76" i="8"/>
  <c r="V76" i="8"/>
  <c r="W76" i="8"/>
  <c r="X76" i="8"/>
  <c r="J59" i="5"/>
  <c r="I43" i="1" s="1"/>
  <c r="L59" i="5"/>
  <c r="N59" i="5" s="1"/>
  <c r="C77" i="8"/>
  <c r="G43" i="1"/>
  <c r="N21" i="5"/>
  <c r="B87" i="6"/>
  <c r="C86" i="6"/>
  <c r="U41" i="8"/>
  <c r="U44" i="8" s="1"/>
  <c r="V40" i="8"/>
  <c r="Z5" i="8"/>
  <c r="Z9" i="8"/>
  <c r="Z20" i="8"/>
  <c r="Y10" i="8"/>
  <c r="X11" i="8"/>
  <c r="Z37" i="8"/>
  <c r="Z36" i="8"/>
  <c r="Z110" i="8"/>
  <c r="Z21" i="8"/>
  <c r="Z91" i="8"/>
  <c r="Z89" i="8"/>
  <c r="Z88" i="8"/>
  <c r="Z87" i="8"/>
  <c r="Z86" i="8"/>
  <c r="Z84" i="8"/>
  <c r="Z85" i="8"/>
  <c r="Z80" i="8"/>
  <c r="Z76" i="8"/>
  <c r="Z75" i="8"/>
  <c r="Z69" i="8"/>
  <c r="Z70" i="8"/>
  <c r="Z67" i="8"/>
  <c r="Z68" i="8"/>
  <c r="Z48" i="8"/>
  <c r="Z51" i="8"/>
  <c r="Z49" i="8"/>
  <c r="Z50" i="8"/>
  <c r="Z52" i="8"/>
  <c r="Z57" i="8"/>
  <c r="Z58" i="8"/>
  <c r="Z53" i="8"/>
  <c r="Z54" i="8"/>
  <c r="Z55" i="8"/>
  <c r="Z59" i="8"/>
  <c r="Z56" i="8"/>
  <c r="Y31" i="8"/>
  <c r="Z29" i="8"/>
  <c r="Z30" i="8"/>
  <c r="Z43" i="8"/>
  <c r="Z42" i="8"/>
  <c r="AA7" i="8"/>
  <c r="O10" i="10"/>
  <c r="N19" i="10"/>
  <c r="N17" i="10"/>
  <c r="N21" i="10"/>
  <c r="N20" i="10"/>
  <c r="N13" i="10"/>
  <c r="N15" i="10"/>
  <c r="AA73" i="8" l="1"/>
  <c r="AA92" i="8"/>
  <c r="Z10" i="8"/>
  <c r="Y11" i="8"/>
  <c r="V41" i="8"/>
  <c r="V44" i="8" s="1"/>
  <c r="W40" i="8"/>
  <c r="AA5" i="8"/>
  <c r="AA9" i="8"/>
  <c r="AA20" i="8"/>
  <c r="B88" i="6"/>
  <c r="C87" i="6"/>
  <c r="AA37" i="8"/>
  <c r="AA36" i="8"/>
  <c r="AA110" i="8"/>
  <c r="AA21" i="8"/>
  <c r="AA89" i="8"/>
  <c r="AA91" i="8"/>
  <c r="AA86" i="8"/>
  <c r="AA84" i="8"/>
  <c r="AA85" i="8"/>
  <c r="AA87" i="8"/>
  <c r="AA88" i="8"/>
  <c r="AA80" i="8"/>
  <c r="AA76" i="8"/>
  <c r="AA70" i="8"/>
  <c r="AA75" i="8"/>
  <c r="AA68" i="8"/>
  <c r="AA69" i="8"/>
  <c r="AA67" i="8"/>
  <c r="AA48" i="8"/>
  <c r="AA49" i="8"/>
  <c r="AA50" i="8"/>
  <c r="AA51" i="8"/>
  <c r="AA52" i="8"/>
  <c r="AA57" i="8"/>
  <c r="AA53" i="8"/>
  <c r="AA58" i="8"/>
  <c r="AA54" i="8"/>
  <c r="AA59" i="8"/>
  <c r="AA55" i="8"/>
  <c r="AA56" i="8"/>
  <c r="AA30" i="8"/>
  <c r="AA29" i="8"/>
  <c r="AA43" i="8"/>
  <c r="AA42" i="8"/>
  <c r="Z31" i="8"/>
  <c r="AB7" i="8"/>
  <c r="O21" i="10"/>
  <c r="O20" i="10"/>
  <c r="O19" i="10"/>
  <c r="O17" i="10"/>
  <c r="O13" i="10"/>
  <c r="O15" i="10"/>
  <c r="P10" i="10"/>
  <c r="O11" i="10"/>
  <c r="AB73" i="8" l="1"/>
  <c r="AB92" i="8"/>
  <c r="B89" i="6"/>
  <c r="C88" i="6"/>
  <c r="W41" i="8"/>
  <c r="W44" i="8" s="1"/>
  <c r="X40" i="8"/>
  <c r="AB5" i="8"/>
  <c r="AB9" i="8"/>
  <c r="AB20" i="8"/>
  <c r="AA10" i="8"/>
  <c r="Z11" i="8"/>
  <c r="AB37" i="8"/>
  <c r="AB36" i="8"/>
  <c r="AB110" i="8"/>
  <c r="AB21" i="8"/>
  <c r="AB91" i="8"/>
  <c r="AB85" i="8"/>
  <c r="AB89" i="8"/>
  <c r="AB87" i="8"/>
  <c r="AB86" i="8"/>
  <c r="AB88" i="8"/>
  <c r="AB84" i="8"/>
  <c r="AB80" i="8"/>
  <c r="AA31" i="8"/>
  <c r="AB76" i="8"/>
  <c r="AB70" i="8"/>
  <c r="AB75" i="8"/>
  <c r="AB69" i="8"/>
  <c r="AB68" i="8"/>
  <c r="AB67" i="8"/>
  <c r="AB48" i="8"/>
  <c r="AB49" i="8"/>
  <c r="AB50" i="8"/>
  <c r="AB51" i="8"/>
  <c r="AB58" i="8"/>
  <c r="AB57" i="8"/>
  <c r="AB52" i="8"/>
  <c r="AB53" i="8"/>
  <c r="AB54" i="8"/>
  <c r="AB59" i="8"/>
  <c r="AB55" i="8"/>
  <c r="AB56" i="8"/>
  <c r="AB30" i="8"/>
  <c r="AB29" i="8"/>
  <c r="AB43" i="8"/>
  <c r="AB42" i="8"/>
  <c r="AC7" i="8"/>
  <c r="Q10" i="10"/>
  <c r="P21" i="10"/>
  <c r="P20" i="10"/>
  <c r="P19" i="10"/>
  <c r="P13" i="10"/>
  <c r="P17" i="10"/>
  <c r="P15" i="10"/>
  <c r="AC73" i="8" l="1"/>
  <c r="AC92" i="8"/>
  <c r="AB10" i="8"/>
  <c r="AA11" i="8"/>
  <c r="X41" i="8"/>
  <c r="X44" i="8" s="1"/>
  <c r="Y40" i="8"/>
  <c r="AC5" i="8"/>
  <c r="AC9" i="8"/>
  <c r="AC20" i="8"/>
  <c r="B90" i="6"/>
  <c r="C89" i="6"/>
  <c r="AC37" i="8"/>
  <c r="AC36" i="8"/>
  <c r="AC110" i="8"/>
  <c r="AC21" i="8"/>
  <c r="AC91" i="8"/>
  <c r="AC89" i="8"/>
  <c r="AC87" i="8"/>
  <c r="AC88" i="8"/>
  <c r="AC85" i="8"/>
  <c r="AC86" i="8"/>
  <c r="AC84" i="8"/>
  <c r="AC80" i="8"/>
  <c r="AC75" i="8"/>
  <c r="AC76" i="8"/>
  <c r="AC69" i="8"/>
  <c r="AC67" i="8"/>
  <c r="AC70" i="8"/>
  <c r="AC68" i="8"/>
  <c r="AC48" i="8"/>
  <c r="AC50" i="8"/>
  <c r="AC49" i="8"/>
  <c r="AC51" i="8"/>
  <c r="AC52" i="8"/>
  <c r="AC57" i="8"/>
  <c r="AC53" i="8"/>
  <c r="AC58" i="8"/>
  <c r="AC54" i="8"/>
  <c r="AC59" i="8"/>
  <c r="AC55" i="8"/>
  <c r="AC56" i="8"/>
  <c r="AB31" i="8"/>
  <c r="AC29" i="8"/>
  <c r="AC30" i="8"/>
  <c r="AC43" i="8"/>
  <c r="AC42" i="8"/>
  <c r="AD7" i="8"/>
  <c r="R10" i="10"/>
  <c r="Q21" i="10"/>
  <c r="Q20" i="10"/>
  <c r="Q13" i="10"/>
  <c r="Q17" i="10"/>
  <c r="Q19" i="10"/>
  <c r="Q15" i="10"/>
  <c r="AD73" i="8" l="1"/>
  <c r="AD92" i="8"/>
  <c r="B91" i="6"/>
  <c r="C90" i="6"/>
  <c r="Y41" i="8"/>
  <c r="Y44" i="8" s="1"/>
  <c r="Z40" i="8"/>
  <c r="AD5" i="8"/>
  <c r="AD9" i="8"/>
  <c r="AD20" i="8"/>
  <c r="AC10" i="8"/>
  <c r="AB11" i="8"/>
  <c r="AD37" i="8"/>
  <c r="AD36" i="8"/>
  <c r="AD110" i="8"/>
  <c r="AD21" i="8"/>
  <c r="AD91" i="8"/>
  <c r="AD88" i="8"/>
  <c r="AD89" i="8"/>
  <c r="AD86" i="8"/>
  <c r="AD84" i="8"/>
  <c r="AD87" i="8"/>
  <c r="AD85" i="8"/>
  <c r="AD80" i="8"/>
  <c r="AD76" i="8"/>
  <c r="AD69" i="8"/>
  <c r="AD75" i="8"/>
  <c r="AD70" i="8"/>
  <c r="AD67" i="8"/>
  <c r="AD68" i="8"/>
  <c r="AD48" i="8"/>
  <c r="AD51" i="8"/>
  <c r="AD50" i="8"/>
  <c r="AD49" i="8"/>
  <c r="AD52" i="8"/>
  <c r="AD57" i="8"/>
  <c r="AD53" i="8"/>
  <c r="AD58" i="8"/>
  <c r="AD54" i="8"/>
  <c r="AD55" i="8"/>
  <c r="AD59" i="8"/>
  <c r="AD56" i="8"/>
  <c r="AC31" i="8"/>
  <c r="AD29" i="8"/>
  <c r="AD30" i="8"/>
  <c r="AD43" i="8"/>
  <c r="AD42" i="8"/>
  <c r="AE7" i="8"/>
  <c r="R17" i="10"/>
  <c r="R20" i="10"/>
  <c r="R21" i="10"/>
  <c r="R19" i="10"/>
  <c r="R13" i="10"/>
  <c r="R15" i="10"/>
  <c r="R11" i="10"/>
  <c r="S10" i="10"/>
  <c r="AE73" i="8" l="1"/>
  <c r="AE92" i="8"/>
  <c r="AD10" i="8"/>
  <c r="AC11" i="8"/>
  <c r="Z41" i="8"/>
  <c r="Z44" i="8" s="1"/>
  <c r="AA40" i="8"/>
  <c r="AE5" i="8"/>
  <c r="AE9" i="8"/>
  <c r="AE20" i="8"/>
  <c r="B92" i="6"/>
  <c r="C91" i="6"/>
  <c r="AE37" i="8"/>
  <c r="AE36" i="8"/>
  <c r="AE110" i="8"/>
  <c r="AE21" i="8"/>
  <c r="AE89" i="8"/>
  <c r="AE91" i="8"/>
  <c r="AE88" i="8"/>
  <c r="AE86" i="8"/>
  <c r="AE84" i="8"/>
  <c r="AE85" i="8"/>
  <c r="AE87" i="8"/>
  <c r="AE80" i="8"/>
  <c r="AD31" i="8"/>
  <c r="AE75" i="8"/>
  <c r="AE76" i="8"/>
  <c r="AE70" i="8"/>
  <c r="AE68" i="8"/>
  <c r="AE69" i="8"/>
  <c r="AE67" i="8"/>
  <c r="AE48" i="8"/>
  <c r="AE49" i="8"/>
  <c r="AE51" i="8"/>
  <c r="AE50" i="8"/>
  <c r="AE52" i="8"/>
  <c r="AE57" i="8"/>
  <c r="AE58" i="8"/>
  <c r="AE53" i="8"/>
  <c r="AE54" i="8"/>
  <c r="AE59" i="8"/>
  <c r="AE55" i="8"/>
  <c r="AE56" i="8"/>
  <c r="AE30" i="8"/>
  <c r="AE29" i="8"/>
  <c r="AE43" i="8"/>
  <c r="AE42" i="8"/>
  <c r="AF7" i="8"/>
  <c r="T10" i="10"/>
  <c r="S21" i="10"/>
  <c r="S20" i="10"/>
  <c r="S19" i="10"/>
  <c r="S17" i="10"/>
  <c r="S13" i="10"/>
  <c r="S15" i="10"/>
  <c r="AF73" i="8" l="1"/>
  <c r="AF92" i="8"/>
  <c r="AA41" i="8"/>
  <c r="AA44" i="8" s="1"/>
  <c r="AB40" i="8"/>
  <c r="B93" i="6"/>
  <c r="C92" i="6"/>
  <c r="AF9" i="8"/>
  <c r="AF20" i="8"/>
  <c r="AE10" i="8"/>
  <c r="AD11" i="8"/>
  <c r="AF36" i="8"/>
  <c r="AF5" i="8"/>
  <c r="AF21" i="8"/>
  <c r="AF37" i="8"/>
  <c r="AF110" i="8"/>
  <c r="AF91" i="8"/>
  <c r="AF88" i="8"/>
  <c r="AF89" i="8"/>
  <c r="AF85" i="8"/>
  <c r="AF86" i="8"/>
  <c r="AF87" i="8"/>
  <c r="AF84" i="8"/>
  <c r="AF80" i="8"/>
  <c r="AF76" i="8"/>
  <c r="AF75" i="8"/>
  <c r="AF70" i="8"/>
  <c r="AF69" i="8"/>
  <c r="AF67" i="8"/>
  <c r="AF68" i="8"/>
  <c r="AF48" i="8"/>
  <c r="AF49" i="8"/>
  <c r="AF50" i="8"/>
  <c r="AF51" i="8"/>
  <c r="AF52" i="8"/>
  <c r="AF57" i="8"/>
  <c r="AF53" i="8"/>
  <c r="AF58" i="8"/>
  <c r="AF54" i="8"/>
  <c r="AF59" i="8"/>
  <c r="AF55" i="8"/>
  <c r="AF56" i="8"/>
  <c r="AE31" i="8"/>
  <c r="AF30" i="8"/>
  <c r="AF29" i="8"/>
  <c r="AF43" i="8"/>
  <c r="AF42" i="8"/>
  <c r="AG7" i="8"/>
  <c r="U10" i="10"/>
  <c r="T21" i="10"/>
  <c r="T20" i="10"/>
  <c r="T19" i="10"/>
  <c r="T13" i="10"/>
  <c r="T17" i="10"/>
  <c r="T15" i="10"/>
  <c r="AG73" i="8" l="1"/>
  <c r="AG92" i="8"/>
  <c r="AF10" i="8"/>
  <c r="AE11" i="8"/>
  <c r="B94" i="6"/>
  <c r="C93" i="6"/>
  <c r="AB41" i="8"/>
  <c r="AB44" i="8" s="1"/>
  <c r="AC40" i="8"/>
  <c r="AG5" i="8"/>
  <c r="AG9" i="8"/>
  <c r="AG20" i="8"/>
  <c r="AG37" i="8"/>
  <c r="AG36" i="8"/>
  <c r="AG110" i="8"/>
  <c r="AG21" i="8"/>
  <c r="AG91" i="8"/>
  <c r="AG88" i="8"/>
  <c r="AG89" i="8"/>
  <c r="AG87" i="8"/>
  <c r="AG86" i="8"/>
  <c r="AG84" i="8"/>
  <c r="AG85" i="8"/>
  <c r="AG80" i="8"/>
  <c r="AG75" i="8"/>
  <c r="AG76" i="8"/>
  <c r="AG70" i="8"/>
  <c r="AG67" i="8"/>
  <c r="AG69" i="8"/>
  <c r="AG68" i="8"/>
  <c r="AG48" i="8"/>
  <c r="AG50" i="8"/>
  <c r="AG49" i="8"/>
  <c r="AG51" i="8"/>
  <c r="AG57" i="8"/>
  <c r="AG52" i="8"/>
  <c r="AG58" i="8"/>
  <c r="AG53" i="8"/>
  <c r="AG54" i="8"/>
  <c r="AG59" i="8"/>
  <c r="AG55" i="8"/>
  <c r="AG56" i="8"/>
  <c r="AF31" i="8"/>
  <c r="AG29" i="8"/>
  <c r="AG30" i="8"/>
  <c r="AG43" i="8"/>
  <c r="AG42" i="8"/>
  <c r="AH7" i="8"/>
  <c r="U21" i="10"/>
  <c r="U20" i="10"/>
  <c r="U19" i="10"/>
  <c r="U17" i="10"/>
  <c r="U13" i="10"/>
  <c r="U15" i="10"/>
  <c r="V10" i="10"/>
  <c r="U11" i="10"/>
  <c r="AH73" i="8" l="1"/>
  <c r="AH92" i="8"/>
  <c r="B95" i="6"/>
  <c r="C94" i="6"/>
  <c r="AC41" i="8"/>
  <c r="AC44" i="8" s="1"/>
  <c r="AD40" i="8"/>
  <c r="AH9" i="8"/>
  <c r="AH20" i="8"/>
  <c r="AG10" i="8"/>
  <c r="AF11" i="8"/>
  <c r="AH36" i="8"/>
  <c r="AH5" i="8"/>
  <c r="AH21" i="8"/>
  <c r="AH37" i="8"/>
  <c r="AH110" i="8"/>
  <c r="AH91" i="8"/>
  <c r="AH88" i="8"/>
  <c r="AH89" i="8"/>
  <c r="AH86" i="8"/>
  <c r="AH84" i="8"/>
  <c r="AH85" i="8"/>
  <c r="AH87" i="8"/>
  <c r="AH80" i="8"/>
  <c r="AH76" i="8"/>
  <c r="AH69" i="8"/>
  <c r="AH70" i="8"/>
  <c r="AH67" i="8"/>
  <c r="AH68" i="8"/>
  <c r="AH75" i="8"/>
  <c r="AH48" i="8"/>
  <c r="AH50" i="8"/>
  <c r="AH49" i="8"/>
  <c r="AH51" i="8"/>
  <c r="AH57" i="8"/>
  <c r="AH58" i="8"/>
  <c r="AH52" i="8"/>
  <c r="AH53" i="8"/>
  <c r="AH54" i="8"/>
  <c r="AH59" i="8"/>
  <c r="AH55" i="8"/>
  <c r="AH56" i="8"/>
  <c r="AG31" i="8"/>
  <c r="AH29" i="8"/>
  <c r="AH30" i="8"/>
  <c r="AH43" i="8"/>
  <c r="AH42" i="8"/>
  <c r="AI7" i="8"/>
  <c r="W10" i="10"/>
  <c r="V20" i="10"/>
  <c r="V19" i="10"/>
  <c r="V17" i="10"/>
  <c r="V21" i="10"/>
  <c r="V13" i="10"/>
  <c r="V15" i="10"/>
  <c r="AI73" i="8" l="1"/>
  <c r="AI92" i="8"/>
  <c r="AD41" i="8"/>
  <c r="AD44" i="8" s="1"/>
  <c r="AE40" i="8"/>
  <c r="AH10" i="8"/>
  <c r="AG11" i="8"/>
  <c r="AI5" i="8"/>
  <c r="AI9" i="8"/>
  <c r="AI20" i="8"/>
  <c r="B96" i="6"/>
  <c r="C95" i="6"/>
  <c r="AI37" i="8"/>
  <c r="AI36" i="8"/>
  <c r="AI110" i="8"/>
  <c r="AI21" i="8"/>
  <c r="AI91" i="8"/>
  <c r="AI89" i="8"/>
  <c r="AI86" i="8"/>
  <c r="AI84" i="8"/>
  <c r="AI88" i="8"/>
  <c r="AI85" i="8"/>
  <c r="AI87" i="8"/>
  <c r="AI80" i="8"/>
  <c r="AH31" i="8"/>
  <c r="AI75" i="8"/>
  <c r="AI74" i="8"/>
  <c r="AI70" i="8"/>
  <c r="AI71" i="8"/>
  <c r="AI72" i="8"/>
  <c r="AI68" i="8"/>
  <c r="AI69" i="8"/>
  <c r="AI67" i="8"/>
  <c r="AI76" i="8"/>
  <c r="AI48" i="8"/>
  <c r="AI49" i="8"/>
  <c r="AI50" i="8"/>
  <c r="AI52" i="8"/>
  <c r="AI58" i="8"/>
  <c r="AI57" i="8"/>
  <c r="AI51" i="8"/>
  <c r="AI53" i="8"/>
  <c r="AI54" i="8"/>
  <c r="AI59" i="8"/>
  <c r="AI55" i="8"/>
  <c r="AI56" i="8"/>
  <c r="AI30" i="8"/>
  <c r="AI29" i="8"/>
  <c r="AI43" i="8"/>
  <c r="AI42" i="8"/>
  <c r="AJ7" i="8"/>
  <c r="X10" i="10"/>
  <c r="W21" i="10"/>
  <c r="W20" i="10"/>
  <c r="W19" i="10"/>
  <c r="W17" i="10"/>
  <c r="W13" i="10"/>
  <c r="W15" i="10"/>
  <c r="AJ73" i="8" l="1"/>
  <c r="AJ92" i="8"/>
  <c r="AJ5" i="8"/>
  <c r="AJ9" i="8"/>
  <c r="AJ20" i="8"/>
  <c r="B97" i="6"/>
  <c r="C96" i="6"/>
  <c r="AI10" i="8"/>
  <c r="AH11" i="8"/>
  <c r="AE41" i="8"/>
  <c r="AE44" i="8" s="1"/>
  <c r="AF40" i="8"/>
  <c r="AJ37" i="8"/>
  <c r="AJ36" i="8"/>
  <c r="AJ110" i="8"/>
  <c r="AJ21" i="8"/>
  <c r="AI77" i="8"/>
  <c r="AJ91" i="8"/>
  <c r="AJ88" i="8"/>
  <c r="AJ85" i="8"/>
  <c r="AJ87" i="8"/>
  <c r="AJ89" i="8"/>
  <c r="AJ86" i="8"/>
  <c r="AJ84" i="8"/>
  <c r="AJ80" i="8"/>
  <c r="AJ76" i="8"/>
  <c r="AJ70" i="8"/>
  <c r="AJ71" i="8"/>
  <c r="AJ75" i="8"/>
  <c r="AJ72" i="8"/>
  <c r="AJ69" i="8"/>
  <c r="AJ74" i="8"/>
  <c r="AJ68" i="8"/>
  <c r="AJ67" i="8"/>
  <c r="AJ49" i="8"/>
  <c r="AJ48" i="8"/>
  <c r="AJ50" i="8"/>
  <c r="AJ52" i="8"/>
  <c r="AJ57" i="8"/>
  <c r="AJ51" i="8"/>
  <c r="AJ58" i="8"/>
  <c r="AJ53" i="8"/>
  <c r="AJ54" i="8"/>
  <c r="AJ59" i="8"/>
  <c r="AJ55" i="8"/>
  <c r="AJ56" i="8"/>
  <c r="AJ30" i="8"/>
  <c r="AJ29" i="8"/>
  <c r="AJ43" i="8"/>
  <c r="AJ42" i="8"/>
  <c r="AI31" i="8"/>
  <c r="AK7" i="8"/>
  <c r="X21" i="10"/>
  <c r="X20" i="10"/>
  <c r="X19" i="10"/>
  <c r="X13" i="10"/>
  <c r="X17" i="10"/>
  <c r="X15" i="10"/>
  <c r="Y10" i="10"/>
  <c r="X11" i="10"/>
  <c r="AK73" i="8" l="1"/>
  <c r="AK92" i="8"/>
  <c r="B98" i="6"/>
  <c r="C97" i="6"/>
  <c r="AJ10" i="8"/>
  <c r="AI11" i="8"/>
  <c r="AK5" i="8"/>
  <c r="AK9" i="8"/>
  <c r="AK20" i="8"/>
  <c r="AF41" i="8"/>
  <c r="AF44" i="8" s="1"/>
  <c r="AG40" i="8"/>
  <c r="AK37" i="8"/>
  <c r="AK36" i="8"/>
  <c r="AK110" i="8"/>
  <c r="AK21" i="8"/>
  <c r="AJ77" i="8"/>
  <c r="AK91" i="8"/>
  <c r="AK88" i="8"/>
  <c r="AK89" i="8"/>
  <c r="AK87" i="8"/>
  <c r="AK85" i="8"/>
  <c r="AK86" i="8"/>
  <c r="AK84" i="8"/>
  <c r="AK80" i="8"/>
  <c r="AK75" i="8"/>
  <c r="AK76" i="8"/>
  <c r="AK71" i="8"/>
  <c r="AK72" i="8"/>
  <c r="AK74" i="8"/>
  <c r="AK70" i="8"/>
  <c r="AK69" i="8"/>
  <c r="AK67" i="8"/>
  <c r="AK68" i="8"/>
  <c r="AK48" i="8"/>
  <c r="AK49" i="8"/>
  <c r="AK50" i="8"/>
  <c r="AK57" i="8"/>
  <c r="AK52" i="8"/>
  <c r="AK51" i="8"/>
  <c r="AK53" i="8"/>
  <c r="AK58" i="8"/>
  <c r="AK54" i="8"/>
  <c r="AK59" i="8"/>
  <c r="AK55" i="8"/>
  <c r="AK56" i="8"/>
  <c r="AJ31" i="8"/>
  <c r="AK29" i="8"/>
  <c r="AK30" i="8"/>
  <c r="AK43" i="8"/>
  <c r="AK42" i="8"/>
  <c r="AL7" i="8"/>
  <c r="Z10" i="10"/>
  <c r="Y21" i="10"/>
  <c r="Y20" i="10"/>
  <c r="Y13" i="10"/>
  <c r="Y19" i="10"/>
  <c r="Y17" i="10"/>
  <c r="Y15" i="10"/>
  <c r="AL73" i="8" l="1"/>
  <c r="AL92" i="8"/>
  <c r="AK10" i="8"/>
  <c r="AJ11" i="8"/>
  <c r="AL5" i="8"/>
  <c r="AL9" i="8"/>
  <c r="AL20" i="8"/>
  <c r="AG41" i="8"/>
  <c r="AG44" i="8" s="1"/>
  <c r="AH40" i="8"/>
  <c r="B99" i="6"/>
  <c r="C98" i="6"/>
  <c r="AL37" i="8"/>
  <c r="AL36" i="8"/>
  <c r="AL110" i="8"/>
  <c r="AL21" i="8"/>
  <c r="AK77" i="8"/>
  <c r="AL91" i="8"/>
  <c r="AL88" i="8"/>
  <c r="AL89" i="8"/>
  <c r="AL86" i="8"/>
  <c r="AL84" i="8"/>
  <c r="AL87" i="8"/>
  <c r="AL85" i="8"/>
  <c r="AL80" i="8"/>
  <c r="AL76" i="8"/>
  <c r="AL72" i="8"/>
  <c r="AL69" i="8"/>
  <c r="AL75" i="8"/>
  <c r="AL74" i="8"/>
  <c r="AL70" i="8"/>
  <c r="AL67" i="8"/>
  <c r="AL68" i="8"/>
  <c r="AL71" i="8"/>
  <c r="AL48" i="8"/>
  <c r="AL49" i="8"/>
  <c r="AL51" i="8"/>
  <c r="AL50" i="8"/>
  <c r="AL57" i="8"/>
  <c r="AL52" i="8"/>
  <c r="AL58" i="8"/>
  <c r="AL53" i="8"/>
  <c r="AL55" i="8"/>
  <c r="AL54" i="8"/>
  <c r="AL59" i="8"/>
  <c r="AL56" i="8"/>
  <c r="AL29" i="8"/>
  <c r="AL30" i="8"/>
  <c r="AL43" i="8"/>
  <c r="AL42" i="8"/>
  <c r="AK31" i="8"/>
  <c r="AM7" i="8"/>
  <c r="AA10" i="10"/>
  <c r="Z21" i="10"/>
  <c r="Z17" i="10"/>
  <c r="Z20" i="10"/>
  <c r="Z19" i="10"/>
  <c r="Z13" i="10"/>
  <c r="Z15" i="10"/>
  <c r="AM73" i="8" l="1"/>
  <c r="AM92" i="8"/>
  <c r="B100" i="6"/>
  <c r="C99" i="6"/>
  <c r="AH41" i="8"/>
  <c r="AH44" i="8" s="1"/>
  <c r="AI40" i="8"/>
  <c r="AM5" i="8"/>
  <c r="AM9" i="8"/>
  <c r="AM20" i="8"/>
  <c r="AL10" i="8"/>
  <c r="AK11" i="8"/>
  <c r="AM37" i="8"/>
  <c r="AM36" i="8"/>
  <c r="AM110" i="8"/>
  <c r="AM21" i="8"/>
  <c r="AL77" i="8"/>
  <c r="AM89" i="8"/>
  <c r="AM86" i="8"/>
  <c r="AM84" i="8"/>
  <c r="AM91" i="8"/>
  <c r="AM85" i="8"/>
  <c r="AM88" i="8"/>
  <c r="AM87" i="8"/>
  <c r="AM80" i="8"/>
  <c r="AM75" i="8"/>
  <c r="AM74" i="8"/>
  <c r="AM70" i="8"/>
  <c r="AM76" i="8"/>
  <c r="AM71" i="8"/>
  <c r="AM68" i="8"/>
  <c r="AM67" i="8"/>
  <c r="AM69" i="8"/>
  <c r="AM72" i="8"/>
  <c r="AM48" i="8"/>
  <c r="AM49" i="8"/>
  <c r="AM50" i="8"/>
  <c r="AM51" i="8"/>
  <c r="AM57" i="8"/>
  <c r="AM52" i="8"/>
  <c r="AM53" i="8"/>
  <c r="AM58" i="8"/>
  <c r="AM54" i="8"/>
  <c r="AM55" i="8"/>
  <c r="AM59" i="8"/>
  <c r="AM56" i="8"/>
  <c r="AM30" i="8"/>
  <c r="AM29" i="8"/>
  <c r="AM43" i="8"/>
  <c r="AM42" i="8"/>
  <c r="AL31" i="8"/>
  <c r="AN7" i="8"/>
  <c r="AA21" i="10"/>
  <c r="AA20" i="10"/>
  <c r="AA19" i="10"/>
  <c r="AA17" i="10"/>
  <c r="AA13" i="10"/>
  <c r="AA15" i="10"/>
  <c r="AA11" i="10"/>
  <c r="AB10" i="10"/>
  <c r="AN73" i="8" l="1"/>
  <c r="AN92" i="8"/>
  <c r="AM10" i="8"/>
  <c r="AL11" i="8"/>
  <c r="AI41" i="8"/>
  <c r="AI44" i="8" s="1"/>
  <c r="AJ40" i="8"/>
  <c r="AN5" i="8"/>
  <c r="AN9" i="8"/>
  <c r="AN20" i="8"/>
  <c r="B101" i="6"/>
  <c r="C100" i="6"/>
  <c r="AN37" i="8"/>
  <c r="AN36" i="8"/>
  <c r="AN110" i="8"/>
  <c r="AN21" i="8"/>
  <c r="AM77" i="8"/>
  <c r="AN91" i="8"/>
  <c r="AN88" i="8"/>
  <c r="AN85" i="8"/>
  <c r="AN87" i="8"/>
  <c r="AN89" i="8"/>
  <c r="AN86" i="8"/>
  <c r="AN84" i="8"/>
  <c r="AN80" i="8"/>
  <c r="AN76" i="8"/>
  <c r="AN75" i="8"/>
  <c r="AN70" i="8"/>
  <c r="AN71" i="8"/>
  <c r="AN72" i="8"/>
  <c r="AN69" i="8"/>
  <c r="AN74" i="8"/>
  <c r="AN67" i="8"/>
  <c r="AN68" i="8"/>
  <c r="AN49" i="8"/>
  <c r="AN48" i="8"/>
  <c r="AN51" i="8"/>
  <c r="AN50" i="8"/>
  <c r="AN52" i="8"/>
  <c r="AN57" i="8"/>
  <c r="AN53" i="8"/>
  <c r="AN58" i="8"/>
  <c r="AN54" i="8"/>
  <c r="AN55" i="8"/>
  <c r="AN59" i="8"/>
  <c r="AN56" i="8"/>
  <c r="AM31" i="8"/>
  <c r="AN30" i="8"/>
  <c r="AN29" i="8"/>
  <c r="AN43" i="8"/>
  <c r="AN42" i="8"/>
  <c r="AO7" i="8"/>
  <c r="AC10" i="10"/>
  <c r="AB21" i="10"/>
  <c r="AB20" i="10"/>
  <c r="AB19" i="10"/>
  <c r="AB13" i="10"/>
  <c r="AB17" i="10"/>
  <c r="AB15" i="10"/>
  <c r="AO73" i="8" l="1"/>
  <c r="AO92" i="8"/>
  <c r="B102" i="6"/>
  <c r="C101" i="6"/>
  <c r="AJ41" i="8"/>
  <c r="AJ44" i="8" s="1"/>
  <c r="AK40" i="8"/>
  <c r="AO5" i="8"/>
  <c r="AO9" i="8"/>
  <c r="AO20" i="8"/>
  <c r="AN10" i="8"/>
  <c r="AM11" i="8"/>
  <c r="AO37" i="8"/>
  <c r="AO36" i="8"/>
  <c r="AO110" i="8"/>
  <c r="AO21" i="8"/>
  <c r="AN77" i="8"/>
  <c r="AO91" i="8"/>
  <c r="AO88" i="8"/>
  <c r="AO89" i="8"/>
  <c r="AO87" i="8"/>
  <c r="AO86" i="8"/>
  <c r="AO84" i="8"/>
  <c r="AO85" i="8"/>
  <c r="AO80" i="8"/>
  <c r="AN31" i="8"/>
  <c r="AO75" i="8"/>
  <c r="AO76" i="8"/>
  <c r="AO71" i="8"/>
  <c r="AO72" i="8"/>
  <c r="AO74" i="8"/>
  <c r="AO67" i="8"/>
  <c r="AO70" i="8"/>
  <c r="AO69" i="8"/>
  <c r="AO68" i="8"/>
  <c r="AO48" i="8"/>
  <c r="AO49" i="8"/>
  <c r="AO50" i="8"/>
  <c r="AO57" i="8"/>
  <c r="AO52" i="8"/>
  <c r="AO51" i="8"/>
  <c r="AO58" i="8"/>
  <c r="AO53" i="8"/>
  <c r="AO54" i="8"/>
  <c r="AO55" i="8"/>
  <c r="AO59" i="8"/>
  <c r="AO56" i="8"/>
  <c r="AO30" i="8"/>
  <c r="AO29" i="8"/>
  <c r="AO43" i="8"/>
  <c r="AO42" i="8"/>
  <c r="AP7" i="8"/>
  <c r="AD10" i="10"/>
  <c r="AC21" i="10"/>
  <c r="AC20" i="10"/>
  <c r="AC19" i="10"/>
  <c r="AC13" i="10"/>
  <c r="AC17" i="10"/>
  <c r="AC15" i="10"/>
  <c r="AP73" i="8" l="1"/>
  <c r="AP92" i="8"/>
  <c r="AO10" i="8"/>
  <c r="AN11" i="8"/>
  <c r="AK41" i="8"/>
  <c r="AK44" i="8" s="1"/>
  <c r="AL40" i="8"/>
  <c r="AP5" i="8"/>
  <c r="AP9" i="8"/>
  <c r="AP20" i="8"/>
  <c r="B103" i="6"/>
  <c r="C102" i="6"/>
  <c r="AP37" i="8"/>
  <c r="AP36" i="8"/>
  <c r="AP110" i="8"/>
  <c r="AP21" i="8"/>
  <c r="AO77" i="8"/>
  <c r="AP91" i="8"/>
  <c r="AP88" i="8"/>
  <c r="AP89" i="8"/>
  <c r="AP87" i="8"/>
  <c r="AP86" i="8"/>
  <c r="AP84" i="8"/>
  <c r="AP85" i="8"/>
  <c r="AP80" i="8"/>
  <c r="AO31" i="8"/>
  <c r="AP76" i="8"/>
  <c r="AP72" i="8"/>
  <c r="AP69" i="8"/>
  <c r="AP74" i="8"/>
  <c r="AP70" i="8"/>
  <c r="AP67" i="8"/>
  <c r="AP71" i="8"/>
  <c r="AP68" i="8"/>
  <c r="AP75" i="8"/>
  <c r="AP47" i="8"/>
  <c r="AP48" i="8"/>
  <c r="AP51" i="8"/>
  <c r="AP49" i="8"/>
  <c r="AP50" i="8"/>
  <c r="AP57" i="8"/>
  <c r="AP52" i="8"/>
  <c r="AP58" i="8"/>
  <c r="AP53" i="8"/>
  <c r="AP54" i="8"/>
  <c r="AP55" i="8"/>
  <c r="AP59" i="8"/>
  <c r="AP56" i="8"/>
  <c r="AP60" i="8"/>
  <c r="AP29" i="8"/>
  <c r="AP30" i="8"/>
  <c r="AP43" i="8"/>
  <c r="AP42" i="8"/>
  <c r="AQ7" i="8"/>
  <c r="AD17" i="10"/>
  <c r="AD19" i="10"/>
  <c r="AD20" i="10"/>
  <c r="AD13" i="10"/>
  <c r="AD21" i="10"/>
  <c r="AD15" i="10"/>
  <c r="AE10" i="10"/>
  <c r="AD11" i="10"/>
  <c r="AQ73" i="8" l="1"/>
  <c r="AQ92" i="8"/>
  <c r="B104" i="6"/>
  <c r="C103" i="6"/>
  <c r="AL41" i="8"/>
  <c r="AL44" i="8" s="1"/>
  <c r="AM40" i="8"/>
  <c r="AQ5" i="8"/>
  <c r="AQ9" i="8"/>
  <c r="AQ20" i="8"/>
  <c r="AP10" i="8"/>
  <c r="AO11" i="8"/>
  <c r="AQ37" i="8"/>
  <c r="AQ36" i="8"/>
  <c r="AQ110" i="8"/>
  <c r="AQ21" i="8"/>
  <c r="AP77" i="8"/>
  <c r="AQ89" i="8"/>
  <c r="AQ91" i="8"/>
  <c r="AQ86" i="8"/>
  <c r="AQ84" i="8"/>
  <c r="AQ88" i="8"/>
  <c r="AQ85" i="8"/>
  <c r="AQ87" i="8"/>
  <c r="AQ80" i="8"/>
  <c r="AQ75" i="8"/>
  <c r="AQ74" i="8"/>
  <c r="AQ76" i="8"/>
  <c r="AQ70" i="8"/>
  <c r="AQ71" i="8"/>
  <c r="AQ68" i="8"/>
  <c r="AQ69" i="8"/>
  <c r="AQ72" i="8"/>
  <c r="AQ67" i="8"/>
  <c r="AP61" i="8"/>
  <c r="AQ47" i="8"/>
  <c r="AQ48" i="8"/>
  <c r="AQ49" i="8"/>
  <c r="AQ51" i="8"/>
  <c r="AQ50" i="8"/>
  <c r="AQ52" i="8"/>
  <c r="AQ57" i="8"/>
  <c r="AQ58" i="8"/>
  <c r="AQ53" i="8"/>
  <c r="AQ54" i="8"/>
  <c r="AQ59" i="8"/>
  <c r="AQ55" i="8"/>
  <c r="AQ60" i="8"/>
  <c r="AQ56" i="8"/>
  <c r="AP31" i="8"/>
  <c r="AQ30" i="8"/>
  <c r="AQ29" i="8"/>
  <c r="AQ43" i="8"/>
  <c r="AQ42" i="8"/>
  <c r="AR7" i="8"/>
  <c r="AF10" i="10"/>
  <c r="AE21" i="10"/>
  <c r="AE20" i="10"/>
  <c r="AE19" i="10"/>
  <c r="AE13" i="10"/>
  <c r="AE17" i="10"/>
  <c r="AE15" i="10"/>
  <c r="AR73" i="8" l="1"/>
  <c r="AR92" i="8"/>
  <c r="AQ10" i="8"/>
  <c r="AP11" i="8"/>
  <c r="AM41" i="8"/>
  <c r="AM44" i="8" s="1"/>
  <c r="AN40" i="8"/>
  <c r="AR5" i="8"/>
  <c r="AR9" i="8"/>
  <c r="AR20" i="8"/>
  <c r="B105" i="6"/>
  <c r="C104" i="6"/>
  <c r="AR37" i="8"/>
  <c r="AR36" i="8"/>
  <c r="AR110" i="8"/>
  <c r="AR21" i="8"/>
  <c r="AQ77" i="8"/>
  <c r="AR91" i="8"/>
  <c r="AR88" i="8"/>
  <c r="AR85" i="8"/>
  <c r="AR86" i="8"/>
  <c r="AR89" i="8"/>
  <c r="AR87" i="8"/>
  <c r="AR84" i="8"/>
  <c r="AR80" i="8"/>
  <c r="AR76" i="8"/>
  <c r="AR70" i="8"/>
  <c r="AR71" i="8"/>
  <c r="AR75" i="8"/>
  <c r="AR72" i="8"/>
  <c r="AR69" i="8"/>
  <c r="AR74" i="8"/>
  <c r="AR68" i="8"/>
  <c r="AR67" i="8"/>
  <c r="AQ61" i="8"/>
  <c r="AR47" i="8"/>
  <c r="AR48" i="8"/>
  <c r="AR49" i="8"/>
  <c r="AR50" i="8"/>
  <c r="AR51" i="8"/>
  <c r="AR57" i="8"/>
  <c r="AR52" i="8"/>
  <c r="AR58" i="8"/>
  <c r="AR53" i="8"/>
  <c r="AR54" i="8"/>
  <c r="AR55" i="8"/>
  <c r="AR59" i="8"/>
  <c r="AR56" i="8"/>
  <c r="AR60" i="8"/>
  <c r="AQ31" i="8"/>
  <c r="AR30" i="8"/>
  <c r="AR29" i="8"/>
  <c r="AR43" i="8"/>
  <c r="AR42" i="8"/>
  <c r="AS7" i="8"/>
  <c r="AG10" i="10"/>
  <c r="AF21" i="10"/>
  <c r="AF20" i="10"/>
  <c r="AF19" i="10"/>
  <c r="AF17" i="10"/>
  <c r="AF13" i="10"/>
  <c r="AF15" i="10"/>
  <c r="AS73" i="8" l="1"/>
  <c r="AS92" i="8"/>
  <c r="B106" i="6"/>
  <c r="C105" i="6"/>
  <c r="AN41" i="8"/>
  <c r="AN44" i="8" s="1"/>
  <c r="AO40" i="8"/>
  <c r="AS5" i="8"/>
  <c r="AS9" i="8"/>
  <c r="AS20" i="8"/>
  <c r="AR10" i="8"/>
  <c r="AQ11" i="8"/>
  <c r="AS37" i="8"/>
  <c r="AS36" i="8"/>
  <c r="AS110" i="8"/>
  <c r="AS21" i="8"/>
  <c r="AR77" i="8"/>
  <c r="AS91" i="8"/>
  <c r="AS88" i="8"/>
  <c r="AS89" i="8"/>
  <c r="AS87" i="8"/>
  <c r="AS90" i="8"/>
  <c r="AS85" i="8"/>
  <c r="AS86" i="8"/>
  <c r="AS84" i="8"/>
  <c r="AS80" i="8"/>
  <c r="AS75" i="8"/>
  <c r="AS76" i="8"/>
  <c r="AS71" i="8"/>
  <c r="AS72" i="8"/>
  <c r="AS74" i="8"/>
  <c r="AS69" i="8"/>
  <c r="AS67" i="8"/>
  <c r="AS70" i="8"/>
  <c r="AS68" i="8"/>
  <c r="AR61" i="8"/>
  <c r="AS47" i="8"/>
  <c r="AS48" i="8"/>
  <c r="AS49" i="8"/>
  <c r="AS51" i="8"/>
  <c r="AS50" i="8"/>
  <c r="AS52" i="8"/>
  <c r="AS57" i="8"/>
  <c r="AS53" i="8"/>
  <c r="AS58" i="8"/>
  <c r="AS54" i="8"/>
  <c r="AS55" i="8"/>
  <c r="AS59" i="8"/>
  <c r="AS60" i="8"/>
  <c r="AS56" i="8"/>
  <c r="AR31" i="8"/>
  <c r="AS29" i="8"/>
  <c r="AS30" i="8"/>
  <c r="AS43" i="8"/>
  <c r="AS42" i="8"/>
  <c r="AT7" i="8"/>
  <c r="AG21" i="10"/>
  <c r="AG20" i="10"/>
  <c r="AG19" i="10"/>
  <c r="AG13" i="10"/>
  <c r="AG17" i="10"/>
  <c r="AG15" i="10"/>
  <c r="AH10" i="10"/>
  <c r="AG11" i="10"/>
  <c r="AT73" i="8" l="1"/>
  <c r="AT92" i="8"/>
  <c r="AS10" i="8"/>
  <c r="AR11" i="8"/>
  <c r="AO41" i="8"/>
  <c r="AO44" i="8" s="1"/>
  <c r="AP40" i="8"/>
  <c r="AT5" i="8"/>
  <c r="AT9" i="8"/>
  <c r="AT20" i="8"/>
  <c r="B107" i="6"/>
  <c r="C106" i="6"/>
  <c r="AT37" i="8"/>
  <c r="AT36" i="8"/>
  <c r="AT110" i="8"/>
  <c r="AT21" i="8"/>
  <c r="AS77" i="8"/>
  <c r="AT91" i="8"/>
  <c r="AT88" i="8"/>
  <c r="AT89" i="8"/>
  <c r="AT90" i="8"/>
  <c r="AT86" i="8"/>
  <c r="AT84" i="8"/>
  <c r="AT85" i="8"/>
  <c r="AT87" i="8"/>
  <c r="AT80" i="8"/>
  <c r="AT76" i="8"/>
  <c r="AT72" i="8"/>
  <c r="AT69" i="8"/>
  <c r="AT75" i="8"/>
  <c r="AT74" i="8"/>
  <c r="AT70" i="8"/>
  <c r="AT71" i="8"/>
  <c r="AT67" i="8"/>
  <c r="AT68" i="8"/>
  <c r="AS61" i="8"/>
  <c r="AT47" i="8"/>
  <c r="AT48" i="8"/>
  <c r="AT50" i="8"/>
  <c r="AT49" i="8"/>
  <c r="AT51" i="8"/>
  <c r="AT52" i="8"/>
  <c r="AT57" i="8"/>
  <c r="AT58" i="8"/>
  <c r="AT53" i="8"/>
  <c r="AT54" i="8"/>
  <c r="AT55" i="8"/>
  <c r="AT56" i="8"/>
  <c r="AT59" i="8"/>
  <c r="AT60" i="8"/>
  <c r="AT29" i="8"/>
  <c r="AT30" i="8"/>
  <c r="AT43" i="8"/>
  <c r="AT42" i="8"/>
  <c r="AS31" i="8"/>
  <c r="AU7" i="8"/>
  <c r="AI10" i="10"/>
  <c r="AH19" i="10"/>
  <c r="AH20" i="10"/>
  <c r="AH17" i="10"/>
  <c r="AH21" i="10"/>
  <c r="AH13" i="10"/>
  <c r="AH15" i="10"/>
  <c r="AU73" i="8" l="1"/>
  <c r="AU92" i="8"/>
  <c r="B108" i="6"/>
  <c r="C107" i="6"/>
  <c r="AP41" i="8"/>
  <c r="AP44" i="8" s="1"/>
  <c r="AQ40" i="8"/>
  <c r="AU5" i="8"/>
  <c r="AU9" i="8"/>
  <c r="AU20" i="8"/>
  <c r="AT10" i="8"/>
  <c r="AS11" i="8"/>
  <c r="AU37" i="8"/>
  <c r="AU36" i="8"/>
  <c r="AU110" i="8"/>
  <c r="AU21" i="8"/>
  <c r="AT77" i="8"/>
  <c r="AU89" i="8"/>
  <c r="AU91" i="8"/>
  <c r="AU90" i="8"/>
  <c r="AU88" i="8"/>
  <c r="AU86" i="8"/>
  <c r="AU84" i="8"/>
  <c r="AU85" i="8"/>
  <c r="AU87" i="8"/>
  <c r="AU80" i="8"/>
  <c r="AT31" i="8"/>
  <c r="AU75" i="8"/>
  <c r="AU76" i="8"/>
  <c r="AU74" i="8"/>
  <c r="AU70" i="8"/>
  <c r="AU71" i="8"/>
  <c r="AU68" i="8"/>
  <c r="AU69" i="8"/>
  <c r="AU72" i="8"/>
  <c r="AU67" i="8"/>
  <c r="AT61" i="8"/>
  <c r="AU47" i="8"/>
  <c r="AU48" i="8"/>
  <c r="AU49" i="8"/>
  <c r="AU50" i="8"/>
  <c r="AU51" i="8"/>
  <c r="AU52" i="8"/>
  <c r="AU57" i="8"/>
  <c r="AU58" i="8"/>
  <c r="AU53" i="8"/>
  <c r="AU54" i="8"/>
  <c r="AU59" i="8"/>
  <c r="AU55" i="8"/>
  <c r="AU56" i="8"/>
  <c r="AU60" i="8"/>
  <c r="AU30" i="8"/>
  <c r="AU29" i="8"/>
  <c r="AU43" i="8"/>
  <c r="AU42" i="8"/>
  <c r="AV7" i="8"/>
  <c r="AJ10" i="10"/>
  <c r="AI21" i="10"/>
  <c r="AI20" i="10"/>
  <c r="AI19" i="10"/>
  <c r="AI17" i="10"/>
  <c r="AI13" i="10"/>
  <c r="AI15" i="10"/>
  <c r="AV73" i="8" l="1"/>
  <c r="AV92" i="8"/>
  <c r="AU10" i="8"/>
  <c r="AT11" i="8"/>
  <c r="AQ41" i="8"/>
  <c r="AQ44" i="8" s="1"/>
  <c r="AR40" i="8"/>
  <c r="AV5" i="8"/>
  <c r="AV9" i="8"/>
  <c r="AV20" i="8"/>
  <c r="B109" i="6"/>
  <c r="C108" i="6"/>
  <c r="AV37" i="8"/>
  <c r="AV36" i="8"/>
  <c r="AV110" i="8"/>
  <c r="AV21" i="8"/>
  <c r="AU77" i="8"/>
  <c r="AV91" i="8"/>
  <c r="AV90" i="8"/>
  <c r="AV88" i="8"/>
  <c r="AV89" i="8"/>
  <c r="AV85" i="8"/>
  <c r="AV87" i="8"/>
  <c r="AV86" i="8"/>
  <c r="AV84" i="8"/>
  <c r="AV80" i="8"/>
  <c r="AV76" i="8"/>
  <c r="AV75" i="8"/>
  <c r="AV70" i="8"/>
  <c r="AV71" i="8"/>
  <c r="AV72" i="8"/>
  <c r="AV69" i="8"/>
  <c r="AV68" i="8"/>
  <c r="AV74" i="8"/>
  <c r="AV67" i="8"/>
  <c r="AU31" i="8"/>
  <c r="AU61" i="8"/>
  <c r="AV47" i="8"/>
  <c r="AV48" i="8"/>
  <c r="AV49" i="8"/>
  <c r="AV50" i="8"/>
  <c r="AV51" i="8"/>
  <c r="AV57" i="8"/>
  <c r="AV52" i="8"/>
  <c r="AV58" i="8"/>
  <c r="AV53" i="8"/>
  <c r="AV54" i="8"/>
  <c r="AV55" i="8"/>
  <c r="AV59" i="8"/>
  <c r="AV60" i="8"/>
  <c r="AV56" i="8"/>
  <c r="AV30" i="8"/>
  <c r="AV29" i="8"/>
  <c r="AV43" i="8"/>
  <c r="AV42" i="8"/>
  <c r="AW7" i="8"/>
  <c r="AJ21" i="10"/>
  <c r="AJ20" i="10"/>
  <c r="AJ19" i="10"/>
  <c r="AJ17" i="10"/>
  <c r="AJ13" i="10"/>
  <c r="AJ15" i="10"/>
  <c r="AK10" i="10"/>
  <c r="AJ11" i="10"/>
  <c r="AW73" i="8" l="1"/>
  <c r="AW92" i="8"/>
  <c r="B110" i="6"/>
  <c r="C109" i="6"/>
  <c r="AR41" i="8"/>
  <c r="AR44" i="8" s="1"/>
  <c r="AS40" i="8"/>
  <c r="AW5" i="8"/>
  <c r="AW9" i="8"/>
  <c r="AW20" i="8"/>
  <c r="AV10" i="8"/>
  <c r="AU11" i="8"/>
  <c r="AW37" i="8"/>
  <c r="AW36" i="8"/>
  <c r="AW110" i="8"/>
  <c r="AW21" i="8"/>
  <c r="AV77" i="8"/>
  <c r="AW91" i="8"/>
  <c r="AW88" i="8"/>
  <c r="AW89" i="8"/>
  <c r="AW90" i="8"/>
  <c r="AW87" i="8"/>
  <c r="AW86" i="8"/>
  <c r="AW84" i="8"/>
  <c r="AW85" i="8"/>
  <c r="AW80" i="8"/>
  <c r="AW75" i="8"/>
  <c r="AW76" i="8"/>
  <c r="AW71" i="8"/>
  <c r="AW72" i="8"/>
  <c r="AW74" i="8"/>
  <c r="AW70" i="8"/>
  <c r="AW67" i="8"/>
  <c r="AW69" i="8"/>
  <c r="AW68" i="8"/>
  <c r="AW47" i="8"/>
  <c r="AW48" i="8"/>
  <c r="AW50" i="8"/>
  <c r="AW49" i="8"/>
  <c r="AW57" i="8"/>
  <c r="AW52" i="8"/>
  <c r="AW51" i="8"/>
  <c r="AW53" i="8"/>
  <c r="AW58" i="8"/>
  <c r="AW54" i="8"/>
  <c r="AW55" i="8"/>
  <c r="AW59" i="8"/>
  <c r="AW60" i="8"/>
  <c r="AW56" i="8"/>
  <c r="AV31" i="8"/>
  <c r="AV61" i="8"/>
  <c r="AW30" i="8"/>
  <c r="AW29" i="8"/>
  <c r="AW43" i="8"/>
  <c r="AW42" i="8"/>
  <c r="AX7" i="8"/>
  <c r="AL10" i="10"/>
  <c r="AK21" i="10"/>
  <c r="AK20" i="10"/>
  <c r="AK19" i="10"/>
  <c r="AK13" i="10"/>
  <c r="AK17" i="10"/>
  <c r="AK15" i="10"/>
  <c r="AX73" i="8" l="1"/>
  <c r="AX92" i="8"/>
  <c r="AW10" i="8"/>
  <c r="AV11" i="8"/>
  <c r="AS41" i="8"/>
  <c r="AS44" i="8" s="1"/>
  <c r="AT40" i="8"/>
  <c r="AX5" i="8"/>
  <c r="AX9" i="8"/>
  <c r="AX20" i="8"/>
  <c r="B111" i="6"/>
  <c r="C110" i="6"/>
  <c r="AX37" i="8"/>
  <c r="AX36" i="8"/>
  <c r="AX110" i="8"/>
  <c r="AX21" i="8"/>
  <c r="AW77" i="8"/>
  <c r="AX91" i="8"/>
  <c r="AX88" i="8"/>
  <c r="AX89" i="8"/>
  <c r="AX90" i="8"/>
  <c r="AX86" i="8"/>
  <c r="AX84" i="8"/>
  <c r="AX87" i="8"/>
  <c r="AX85" i="8"/>
  <c r="AX80" i="8"/>
  <c r="AX76" i="8"/>
  <c r="AX72" i="8"/>
  <c r="AX69" i="8"/>
  <c r="AX74" i="8"/>
  <c r="AX70" i="8"/>
  <c r="AX67" i="8"/>
  <c r="AX75" i="8"/>
  <c r="AX68" i="8"/>
  <c r="AX71" i="8"/>
  <c r="AX47" i="8"/>
  <c r="AX48" i="8"/>
  <c r="AX50" i="8"/>
  <c r="AX51" i="8"/>
  <c r="AX49" i="8"/>
  <c r="AX52" i="8"/>
  <c r="AX57" i="8"/>
  <c r="AX58" i="8"/>
  <c r="AX53" i="8"/>
  <c r="AX54" i="8"/>
  <c r="AX55" i="8"/>
  <c r="AX59" i="8"/>
  <c r="AX56" i="8"/>
  <c r="AX60" i="8"/>
  <c r="AW61" i="8"/>
  <c r="AX29" i="8"/>
  <c r="AX30" i="8"/>
  <c r="AX43" i="8"/>
  <c r="AX42" i="8"/>
  <c r="AW31" i="8"/>
  <c r="AY7" i="8"/>
  <c r="AM10" i="10"/>
  <c r="AL20" i="10"/>
  <c r="AL21" i="10"/>
  <c r="AL17" i="10"/>
  <c r="AL13" i="10"/>
  <c r="AL19" i="10"/>
  <c r="AL15" i="10"/>
  <c r="AY73" i="8" l="1"/>
  <c r="AY92" i="8"/>
  <c r="B112" i="6"/>
  <c r="C111" i="6"/>
  <c r="AT41" i="8"/>
  <c r="AT44" i="8" s="1"/>
  <c r="AU40" i="8"/>
  <c r="AY5" i="8"/>
  <c r="AY9" i="8"/>
  <c r="AY20" i="8"/>
  <c r="AX10" i="8"/>
  <c r="AW11" i="8"/>
  <c r="AY37" i="8"/>
  <c r="AY36" i="8"/>
  <c r="AY110" i="8"/>
  <c r="AY21" i="8"/>
  <c r="AX77" i="8"/>
  <c r="AY91" i="8"/>
  <c r="AY89" i="8"/>
  <c r="AY90" i="8"/>
  <c r="AY86" i="8"/>
  <c r="AY84" i="8"/>
  <c r="AY85" i="8"/>
  <c r="AY88" i="8"/>
  <c r="AY87" i="8"/>
  <c r="AY80" i="8"/>
  <c r="AX61" i="8"/>
  <c r="AY75" i="8"/>
  <c r="AY74" i="8"/>
  <c r="AY70" i="8"/>
  <c r="AY71" i="8"/>
  <c r="AY72" i="8"/>
  <c r="AY68" i="8"/>
  <c r="AY67" i="8"/>
  <c r="AY69" i="8"/>
  <c r="AY76" i="8"/>
  <c r="AY47" i="8"/>
  <c r="AY48" i="8"/>
  <c r="AY49" i="8"/>
  <c r="AY50" i="8"/>
  <c r="AY51" i="8"/>
  <c r="AY57" i="8"/>
  <c r="AY52" i="8"/>
  <c r="AY58" i="8"/>
  <c r="AY53" i="8"/>
  <c r="AY54" i="8"/>
  <c r="AY59" i="8"/>
  <c r="AY55" i="8"/>
  <c r="AY60" i="8"/>
  <c r="AY56" i="8"/>
  <c r="AY30" i="8"/>
  <c r="AY29" i="8"/>
  <c r="AY43" i="8"/>
  <c r="AY42" i="8"/>
  <c r="AX31" i="8"/>
  <c r="AZ7" i="8"/>
  <c r="AM21" i="10"/>
  <c r="AM20" i="10"/>
  <c r="AM19" i="10"/>
  <c r="AM17" i="10"/>
  <c r="AM13" i="10"/>
  <c r="AM15" i="10"/>
  <c r="AN10" i="10"/>
  <c r="AM11" i="10"/>
  <c r="AZ73" i="8" l="1"/>
  <c r="AZ92" i="8"/>
  <c r="AY10" i="8"/>
  <c r="AX11" i="8"/>
  <c r="AU41" i="8"/>
  <c r="AU44" i="8" s="1"/>
  <c r="AV40" i="8"/>
  <c r="AZ5" i="8"/>
  <c r="AZ9" i="8"/>
  <c r="AZ20" i="8"/>
  <c r="B113" i="6"/>
  <c r="C112" i="6"/>
  <c r="AZ37" i="8"/>
  <c r="AZ36" i="8"/>
  <c r="AZ110" i="8"/>
  <c r="AZ21" i="8"/>
  <c r="AY77" i="8"/>
  <c r="AZ91" i="8"/>
  <c r="AZ90" i="8"/>
  <c r="AZ88" i="8"/>
  <c r="AZ85" i="8"/>
  <c r="AZ87" i="8"/>
  <c r="AZ89" i="8"/>
  <c r="AZ86" i="8"/>
  <c r="AZ84" i="8"/>
  <c r="AZ80" i="8"/>
  <c r="AZ76" i="8"/>
  <c r="AZ70" i="8"/>
  <c r="AZ71" i="8"/>
  <c r="AZ75" i="8"/>
  <c r="AZ72" i="8"/>
  <c r="AZ69" i="8"/>
  <c r="AZ74" i="8"/>
  <c r="AZ67" i="8"/>
  <c r="AZ68" i="8"/>
  <c r="AZ47" i="8"/>
  <c r="AZ49" i="8"/>
  <c r="AZ48" i="8"/>
  <c r="AZ50" i="8"/>
  <c r="AZ51" i="8"/>
  <c r="AZ52" i="8"/>
  <c r="AZ57" i="8"/>
  <c r="AZ58" i="8"/>
  <c r="AZ53" i="8"/>
  <c r="AZ54" i="8"/>
  <c r="AZ55" i="8"/>
  <c r="AZ59" i="8"/>
  <c r="AZ56" i="8"/>
  <c r="AZ60" i="8"/>
  <c r="AY61" i="8"/>
  <c r="AY31" i="8"/>
  <c r="AZ30" i="8"/>
  <c r="AZ29" i="8"/>
  <c r="AZ43" i="8"/>
  <c r="AZ42" i="8"/>
  <c r="BA7" i="8"/>
  <c r="AO10" i="10"/>
  <c r="AN21" i="10"/>
  <c r="AN20" i="10"/>
  <c r="AN19" i="10"/>
  <c r="AN17" i="10"/>
  <c r="AN13" i="10"/>
  <c r="AN15" i="10"/>
  <c r="BA73" i="8" l="1"/>
  <c r="BA92" i="8"/>
  <c r="C113" i="6"/>
  <c r="B114" i="6"/>
  <c r="AV41" i="8"/>
  <c r="AV44" i="8" s="1"/>
  <c r="AW40" i="8"/>
  <c r="BA5" i="8"/>
  <c r="BA9" i="8"/>
  <c r="BA20" i="8"/>
  <c r="AZ10" i="8"/>
  <c r="AY11" i="8"/>
  <c r="BA37" i="8"/>
  <c r="BA36" i="8"/>
  <c r="BA110" i="8"/>
  <c r="BA21" i="8"/>
  <c r="AZ77" i="8"/>
  <c r="BA91" i="8"/>
  <c r="BA88" i="8"/>
  <c r="BA89" i="8"/>
  <c r="BA87" i="8"/>
  <c r="BA90" i="8"/>
  <c r="BA85" i="8"/>
  <c r="BA86" i="8"/>
  <c r="BA84" i="8"/>
  <c r="BA80" i="8"/>
  <c r="BA75" i="8"/>
  <c r="BA76" i="8"/>
  <c r="BA71" i="8"/>
  <c r="BA72" i="8"/>
  <c r="BA74" i="8"/>
  <c r="BA70" i="8"/>
  <c r="BA69" i="8"/>
  <c r="BA67" i="8"/>
  <c r="BA68" i="8"/>
  <c r="AZ61" i="8"/>
  <c r="BA47" i="8"/>
  <c r="BA49" i="8"/>
  <c r="BA48" i="8"/>
  <c r="BA50" i="8"/>
  <c r="BA57" i="8"/>
  <c r="BA51" i="8"/>
  <c r="BA52" i="8"/>
  <c r="BA58" i="8"/>
  <c r="BA53" i="8"/>
  <c r="BA54" i="8"/>
  <c r="BA59" i="8"/>
  <c r="BA55" i="8"/>
  <c r="BA56" i="8"/>
  <c r="BA60" i="8"/>
  <c r="AZ31" i="8"/>
  <c r="BA29" i="8"/>
  <c r="BA30" i="8"/>
  <c r="BA43" i="8"/>
  <c r="BA42" i="8"/>
  <c r="BB7" i="8"/>
  <c r="AP10" i="10"/>
  <c r="AO21" i="10"/>
  <c r="AO20" i="10"/>
  <c r="AO19" i="10"/>
  <c r="AO17" i="10"/>
  <c r="AO13" i="10"/>
  <c r="AO15" i="10"/>
  <c r="BB73" i="8" l="1"/>
  <c r="BB92" i="8"/>
  <c r="BA10" i="8"/>
  <c r="AZ11" i="8"/>
  <c r="AW41" i="8"/>
  <c r="AW44" i="8" s="1"/>
  <c r="AX40" i="8"/>
  <c r="BB5" i="8"/>
  <c r="BB9" i="8"/>
  <c r="BB20" i="8"/>
  <c r="B115" i="6"/>
  <c r="C114" i="6"/>
  <c r="BB37" i="8"/>
  <c r="BB36" i="8"/>
  <c r="BB110" i="8"/>
  <c r="BB21" i="8"/>
  <c r="BA77" i="8"/>
  <c r="BB91" i="8"/>
  <c r="BB88" i="8"/>
  <c r="BB89" i="8"/>
  <c r="BB90" i="8"/>
  <c r="BB86" i="8"/>
  <c r="BB84" i="8"/>
  <c r="BB85" i="8"/>
  <c r="BB87" i="8"/>
  <c r="BB80" i="8"/>
  <c r="BB76" i="8"/>
  <c r="BB72" i="8"/>
  <c r="BB69" i="8"/>
  <c r="BB75" i="8"/>
  <c r="BB74" i="8"/>
  <c r="BB70" i="8"/>
  <c r="BB67" i="8"/>
  <c r="BB68" i="8"/>
  <c r="BB71" i="8"/>
  <c r="BA61" i="8"/>
  <c r="BB47" i="8"/>
  <c r="BB48" i="8"/>
  <c r="BB51" i="8"/>
  <c r="BB49" i="8"/>
  <c r="BB50" i="8"/>
  <c r="BB52" i="8"/>
  <c r="BB57" i="8"/>
  <c r="BB53" i="8"/>
  <c r="BB58" i="8"/>
  <c r="BB54" i="8"/>
  <c r="BB59" i="8"/>
  <c r="BB55" i="8"/>
  <c r="BB56" i="8"/>
  <c r="BB60" i="8"/>
  <c r="BB29" i="8"/>
  <c r="BB30" i="8"/>
  <c r="BB43" i="8"/>
  <c r="BB42" i="8"/>
  <c r="BA31" i="8"/>
  <c r="BC7" i="8"/>
  <c r="AP21" i="10"/>
  <c r="AP17" i="10"/>
  <c r="AP20" i="10"/>
  <c r="AP19" i="10"/>
  <c r="AP13" i="10"/>
  <c r="AP15" i="10"/>
  <c r="AQ10" i="10"/>
  <c r="AP11" i="10"/>
  <c r="BC73" i="8" l="1"/>
  <c r="BC92" i="8"/>
  <c r="B116" i="6"/>
  <c r="C115" i="6"/>
  <c r="AX41" i="8"/>
  <c r="AX44" i="8" s="1"/>
  <c r="AY40" i="8"/>
  <c r="BC5" i="8"/>
  <c r="BC9" i="8"/>
  <c r="BC20" i="8"/>
  <c r="BB10" i="8"/>
  <c r="BA11" i="8"/>
  <c r="BC37" i="8"/>
  <c r="BC36" i="8"/>
  <c r="BC110" i="8"/>
  <c r="BC21" i="8"/>
  <c r="BB77" i="8"/>
  <c r="BC89" i="8"/>
  <c r="BC90" i="8"/>
  <c r="BC91" i="8"/>
  <c r="BC86" i="8"/>
  <c r="BC84" i="8"/>
  <c r="BC85" i="8"/>
  <c r="BC88" i="8"/>
  <c r="BC87" i="8"/>
  <c r="BC80" i="8"/>
  <c r="BC75" i="8"/>
  <c r="BC74" i="8"/>
  <c r="BC70" i="8"/>
  <c r="BC76" i="8"/>
  <c r="BC71" i="8"/>
  <c r="BC68" i="8"/>
  <c r="BC72" i="8"/>
  <c r="BC69" i="8"/>
  <c r="BC67" i="8"/>
  <c r="BC47" i="8"/>
  <c r="BC48" i="8"/>
  <c r="BC49" i="8"/>
  <c r="BC51" i="8"/>
  <c r="BC50" i="8"/>
  <c r="BC57" i="8"/>
  <c r="BC52" i="8"/>
  <c r="BC58" i="8"/>
  <c r="BC53" i="8"/>
  <c r="BC54" i="8"/>
  <c r="BC55" i="8"/>
  <c r="BC59" i="8"/>
  <c r="BC60" i="8"/>
  <c r="BC56" i="8"/>
  <c r="BB61" i="8"/>
  <c r="BB31" i="8"/>
  <c r="BC30" i="8"/>
  <c r="BC29" i="8"/>
  <c r="BC43" i="8"/>
  <c r="BC42" i="8"/>
  <c r="BD7" i="8"/>
  <c r="AR10" i="10"/>
  <c r="AQ21" i="10"/>
  <c r="AQ20" i="10"/>
  <c r="AQ19" i="10"/>
  <c r="AQ17" i="10"/>
  <c r="AQ13" i="10"/>
  <c r="AQ15" i="10"/>
  <c r="BD73" i="8" l="1"/>
  <c r="BD92" i="8"/>
  <c r="BC10" i="8"/>
  <c r="BB11" i="8"/>
  <c r="AY41" i="8"/>
  <c r="AY44" i="8" s="1"/>
  <c r="AZ40" i="8"/>
  <c r="BD5" i="8"/>
  <c r="BD9" i="8"/>
  <c r="BD20" i="8"/>
  <c r="B117" i="6"/>
  <c r="C116" i="6"/>
  <c r="BD37" i="8"/>
  <c r="BD36" i="8"/>
  <c r="BD110" i="8"/>
  <c r="BD21" i="8"/>
  <c r="BC77" i="8"/>
  <c r="BD91" i="8"/>
  <c r="BD90" i="8"/>
  <c r="BD88" i="8"/>
  <c r="BD85" i="8"/>
  <c r="BD86" i="8"/>
  <c r="BD87" i="8"/>
  <c r="BD89" i="8"/>
  <c r="BD84" i="8"/>
  <c r="BD80" i="8"/>
  <c r="BD76" i="8"/>
  <c r="BD75" i="8"/>
  <c r="BD70" i="8"/>
  <c r="BD71" i="8"/>
  <c r="BD72" i="8"/>
  <c r="BD69" i="8"/>
  <c r="BD74" i="8"/>
  <c r="BD68" i="8"/>
  <c r="BD67" i="8"/>
  <c r="BC61" i="8"/>
  <c r="BD47" i="8"/>
  <c r="BD49" i="8"/>
  <c r="BD48" i="8"/>
  <c r="BD51" i="8"/>
  <c r="BD50" i="8"/>
  <c r="BD57" i="8"/>
  <c r="BD52" i="8"/>
  <c r="BD58" i="8"/>
  <c r="BD53" i="8"/>
  <c r="BD54" i="8"/>
  <c r="BD55" i="8"/>
  <c r="BD59" i="8"/>
  <c r="BD60" i="8"/>
  <c r="BD56" i="8"/>
  <c r="BC31" i="8"/>
  <c r="BD30" i="8"/>
  <c r="BD29" i="8"/>
  <c r="BD43" i="8"/>
  <c r="BD42" i="8"/>
  <c r="BE7" i="8"/>
  <c r="AS10" i="10"/>
  <c r="AR21" i="10"/>
  <c r="AR20" i="10"/>
  <c r="AR19" i="10"/>
  <c r="AR17" i="10"/>
  <c r="AR13" i="10"/>
  <c r="AR15" i="10"/>
  <c r="BE73" i="8" l="1"/>
  <c r="BE92" i="8"/>
  <c r="C117" i="6"/>
  <c r="B118" i="6"/>
  <c r="AZ41" i="8"/>
  <c r="AZ44" i="8" s="1"/>
  <c r="BA40" i="8"/>
  <c r="BE5" i="8"/>
  <c r="BE9" i="8"/>
  <c r="BE20" i="8"/>
  <c r="BD10" i="8"/>
  <c r="BC11" i="8"/>
  <c r="BE37" i="8"/>
  <c r="BE36" i="8"/>
  <c r="BE110" i="8"/>
  <c r="BE21" i="8"/>
  <c r="BD77" i="8"/>
  <c r="BE91" i="8"/>
  <c r="BE88" i="8"/>
  <c r="BE89" i="8"/>
  <c r="BE87" i="8"/>
  <c r="BE90" i="8"/>
  <c r="BE86" i="8"/>
  <c r="BE84" i="8"/>
  <c r="BE85" i="8"/>
  <c r="BE80" i="8"/>
  <c r="BD31" i="8"/>
  <c r="BE75" i="8"/>
  <c r="BE76" i="8"/>
  <c r="BE71" i="8"/>
  <c r="BE72" i="8"/>
  <c r="BE74" i="8"/>
  <c r="BE70" i="8"/>
  <c r="BE67" i="8"/>
  <c r="BE69" i="8"/>
  <c r="BE68" i="8"/>
  <c r="BD61" i="8"/>
  <c r="BE47" i="8"/>
  <c r="BE49" i="8"/>
  <c r="BE48" i="8"/>
  <c r="BE51" i="8"/>
  <c r="BE50" i="8"/>
  <c r="BE57" i="8"/>
  <c r="BE52" i="8"/>
  <c r="BE58" i="8"/>
  <c r="BE53" i="8"/>
  <c r="BE54" i="8"/>
  <c r="BE55" i="8"/>
  <c r="BE59" i="8"/>
  <c r="BE60" i="8"/>
  <c r="BE56" i="8"/>
  <c r="BE30" i="8"/>
  <c r="BE29" i="8"/>
  <c r="BE43" i="8"/>
  <c r="BE42" i="8"/>
  <c r="BF7" i="8"/>
  <c r="AS21" i="10"/>
  <c r="AS20" i="10"/>
  <c r="AS19" i="10"/>
  <c r="AS13" i="10"/>
  <c r="AS17" i="10"/>
  <c r="AS15" i="10"/>
  <c r="AS11" i="10"/>
  <c r="AT10" i="10"/>
  <c r="BF73" i="8" l="1"/>
  <c r="BF92" i="8"/>
  <c r="BE23" i="8"/>
  <c r="BE24" i="8"/>
  <c r="BE10" i="8"/>
  <c r="BD11" i="8"/>
  <c r="BA41" i="8"/>
  <c r="BA44" i="8" s="1"/>
  <c r="BB40" i="8"/>
  <c r="BF5" i="8"/>
  <c r="BF9" i="8"/>
  <c r="BF20" i="8"/>
  <c r="B119" i="6"/>
  <c r="C118" i="6"/>
  <c r="BF37" i="8"/>
  <c r="BF36" i="8"/>
  <c r="BF110" i="8"/>
  <c r="BF21" i="8"/>
  <c r="BE77" i="8"/>
  <c r="BF91" i="8"/>
  <c r="BF88" i="8"/>
  <c r="BF89" i="8"/>
  <c r="BF90" i="8"/>
  <c r="BF87" i="8"/>
  <c r="BF86" i="8"/>
  <c r="BF84" i="8"/>
  <c r="BF85" i="8"/>
  <c r="BF80" i="8"/>
  <c r="BF76" i="8"/>
  <c r="BF72" i="8"/>
  <c r="BF69" i="8"/>
  <c r="BF74" i="8"/>
  <c r="BF70" i="8"/>
  <c r="BF75" i="8"/>
  <c r="BF67" i="8"/>
  <c r="BF71" i="8"/>
  <c r="BF68" i="8"/>
  <c r="BE61" i="8"/>
  <c r="BF47" i="8"/>
  <c r="BF48" i="8"/>
  <c r="BF49" i="8"/>
  <c r="BF51" i="8"/>
  <c r="BF50" i="8"/>
  <c r="BF57" i="8"/>
  <c r="BF52" i="8"/>
  <c r="BF53" i="8"/>
  <c r="BF58" i="8"/>
  <c r="BF54" i="8"/>
  <c r="BF59" i="8"/>
  <c r="BF55" i="8"/>
  <c r="BF60" i="8"/>
  <c r="BF56" i="8"/>
  <c r="BE31" i="8"/>
  <c r="BF29" i="8"/>
  <c r="BF30" i="8"/>
  <c r="BF43" i="8"/>
  <c r="BF42" i="8"/>
  <c r="BG7" i="8"/>
  <c r="AU10" i="10"/>
  <c r="AT19" i="10"/>
  <c r="AT20" i="10"/>
  <c r="AT17" i="10"/>
  <c r="AT13" i="10"/>
  <c r="AT21" i="10"/>
  <c r="AT15" i="10"/>
  <c r="BG73" i="8" l="1"/>
  <c r="BG92" i="8"/>
  <c r="BF23" i="8"/>
  <c r="BF24" i="8"/>
  <c r="B120" i="6"/>
  <c r="C119" i="6"/>
  <c r="BB41" i="8"/>
  <c r="BB44" i="8" s="1"/>
  <c r="BC40" i="8"/>
  <c r="BG5" i="8"/>
  <c r="BG9" i="8"/>
  <c r="BG20" i="8"/>
  <c r="BF10" i="8"/>
  <c r="BE11" i="8"/>
  <c r="BG37" i="8"/>
  <c r="BG36" i="8"/>
  <c r="BG110" i="8"/>
  <c r="BG21" i="8"/>
  <c r="BF77" i="8"/>
  <c r="BG89" i="8"/>
  <c r="BG90" i="8"/>
  <c r="BG91" i="8"/>
  <c r="BG86" i="8"/>
  <c r="BG84" i="8"/>
  <c r="BG88" i="8"/>
  <c r="BG85" i="8"/>
  <c r="BG87" i="8"/>
  <c r="BG80" i="8"/>
  <c r="BG75" i="8"/>
  <c r="BG74" i="8"/>
  <c r="BG76" i="8"/>
  <c r="BG70" i="8"/>
  <c r="BG71" i="8"/>
  <c r="BG68" i="8"/>
  <c r="BG69" i="8"/>
  <c r="BG67" i="8"/>
  <c r="BG72" i="8"/>
  <c r="BG47" i="8"/>
  <c r="BG48" i="8"/>
  <c r="BG49" i="8"/>
  <c r="BG50" i="8"/>
  <c r="BG51" i="8"/>
  <c r="BG57" i="8"/>
  <c r="BG52" i="8"/>
  <c r="BG58" i="8"/>
  <c r="BG53" i="8"/>
  <c r="BG54" i="8"/>
  <c r="BG55" i="8"/>
  <c r="BG59" i="8"/>
  <c r="BG60" i="8"/>
  <c r="BG56" i="8"/>
  <c r="BF61" i="8"/>
  <c r="BF31" i="8"/>
  <c r="BG30" i="8"/>
  <c r="BG29" i="8"/>
  <c r="BG43" i="8"/>
  <c r="BG42" i="8"/>
  <c r="BH7" i="8"/>
  <c r="AV10" i="10"/>
  <c r="AU21" i="10"/>
  <c r="AU20" i="10"/>
  <c r="AU19" i="10"/>
  <c r="AU17" i="10"/>
  <c r="AU13" i="10"/>
  <c r="AU15" i="10"/>
  <c r="BH73" i="8" l="1"/>
  <c r="BH92" i="8"/>
  <c r="BG23" i="8"/>
  <c r="BG24" i="8"/>
  <c r="BG10" i="8"/>
  <c r="BF11" i="8"/>
  <c r="BC41" i="8"/>
  <c r="BC44" i="8" s="1"/>
  <c r="BD40" i="8"/>
  <c r="BH5" i="8"/>
  <c r="BH9" i="8"/>
  <c r="BH20" i="8"/>
  <c r="B121" i="6"/>
  <c r="C120" i="6"/>
  <c r="BH37" i="8"/>
  <c r="BH36" i="8"/>
  <c r="BH110" i="8"/>
  <c r="BH21" i="8"/>
  <c r="BG77" i="8"/>
  <c r="BH91" i="8"/>
  <c r="BH90" i="8"/>
  <c r="BH88" i="8"/>
  <c r="BH85" i="8"/>
  <c r="BH89" i="8"/>
  <c r="BH87" i="8"/>
  <c r="BH86" i="8"/>
  <c r="BH84" i="8"/>
  <c r="BH80" i="8"/>
  <c r="BH76" i="8"/>
  <c r="BH70" i="8"/>
  <c r="BH71" i="8"/>
  <c r="BH75" i="8"/>
  <c r="BH72" i="8"/>
  <c r="BH69" i="8"/>
  <c r="BH68" i="8"/>
  <c r="BH67" i="8"/>
  <c r="BH74" i="8"/>
  <c r="BH47" i="8"/>
  <c r="BH48" i="8"/>
  <c r="BH49" i="8"/>
  <c r="BH50" i="8"/>
  <c r="BH52" i="8"/>
  <c r="BH57" i="8"/>
  <c r="BH51" i="8"/>
  <c r="BH53" i="8"/>
  <c r="BH58" i="8"/>
  <c r="BH54" i="8"/>
  <c r="BH55" i="8"/>
  <c r="BH59" i="8"/>
  <c r="BH60" i="8"/>
  <c r="BH56" i="8"/>
  <c r="BG61" i="8"/>
  <c r="BG31" i="8"/>
  <c r="BH30" i="8"/>
  <c r="BH29" i="8"/>
  <c r="BH43" i="8"/>
  <c r="BH42" i="8"/>
  <c r="BI7" i="8"/>
  <c r="AV21" i="10"/>
  <c r="AV20" i="10"/>
  <c r="AV19" i="10"/>
  <c r="AV17" i="10"/>
  <c r="AV13" i="10"/>
  <c r="AV15" i="10"/>
  <c r="AW10" i="10"/>
  <c r="AV11" i="10"/>
  <c r="BI73" i="8" l="1"/>
  <c r="BI92" i="8"/>
  <c r="BH24" i="8"/>
  <c r="BH23" i="8"/>
  <c r="C121" i="6"/>
  <c r="B122" i="6"/>
  <c r="BD41" i="8"/>
  <c r="BD44" i="8" s="1"/>
  <c r="BE40" i="8"/>
  <c r="BI5" i="8"/>
  <c r="BI9" i="8"/>
  <c r="BI20" i="8"/>
  <c r="BH10" i="8"/>
  <c r="BG11" i="8"/>
  <c r="BI37" i="8"/>
  <c r="BI36" i="8"/>
  <c r="BI110" i="8"/>
  <c r="BI21" i="8"/>
  <c r="BH77" i="8"/>
  <c r="BI91" i="8"/>
  <c r="BI88" i="8"/>
  <c r="BI89" i="8"/>
  <c r="BI87" i="8"/>
  <c r="BI90" i="8"/>
  <c r="BI85" i="8"/>
  <c r="BI86" i="8"/>
  <c r="BI84" i="8"/>
  <c r="BI80" i="8"/>
  <c r="BI75" i="8"/>
  <c r="BI76" i="8"/>
  <c r="BI71" i="8"/>
  <c r="BI72" i="8"/>
  <c r="BI74" i="8"/>
  <c r="BI69" i="8"/>
  <c r="BI67" i="8"/>
  <c r="BI70" i="8"/>
  <c r="BI68" i="8"/>
  <c r="BH61" i="8"/>
  <c r="BI47" i="8"/>
  <c r="BI48" i="8"/>
  <c r="BI50" i="8"/>
  <c r="BI49" i="8"/>
  <c r="BI51" i="8"/>
  <c r="BI57" i="8"/>
  <c r="BI52" i="8"/>
  <c r="BI53" i="8"/>
  <c r="BI58" i="8"/>
  <c r="BI54" i="8"/>
  <c r="BI59" i="8"/>
  <c r="BI55" i="8"/>
  <c r="BI56" i="8"/>
  <c r="BI60" i="8"/>
  <c r="BH31" i="8"/>
  <c r="BI29" i="8"/>
  <c r="BI30" i="8"/>
  <c r="BI43" i="8"/>
  <c r="BI42" i="8"/>
  <c r="BJ7" i="8"/>
  <c r="AX10" i="10"/>
  <c r="AW21" i="10"/>
  <c r="AW20" i="10"/>
  <c r="AW19" i="10"/>
  <c r="AW13" i="10"/>
  <c r="AW17" i="10"/>
  <c r="AW15" i="10"/>
  <c r="BJ73" i="8" l="1"/>
  <c r="BJ92" i="8"/>
  <c r="BI23" i="8"/>
  <c r="BI24" i="8"/>
  <c r="BI10" i="8"/>
  <c r="BH11" i="8"/>
  <c r="BE41" i="8"/>
  <c r="BE44" i="8" s="1"/>
  <c r="BF40" i="8"/>
  <c r="C122" i="6"/>
  <c r="B123" i="6"/>
  <c r="BJ5" i="8"/>
  <c r="BJ9" i="8"/>
  <c r="BJ20" i="8"/>
  <c r="BJ37" i="8"/>
  <c r="BJ36" i="8"/>
  <c r="BJ110" i="8"/>
  <c r="BJ21" i="8"/>
  <c r="BI77" i="8"/>
  <c r="BJ91" i="8"/>
  <c r="BJ88" i="8"/>
  <c r="BJ89" i="8"/>
  <c r="BJ90" i="8"/>
  <c r="BJ86" i="8"/>
  <c r="BJ84" i="8"/>
  <c r="BJ87" i="8"/>
  <c r="BJ85" i="8"/>
  <c r="BJ80" i="8"/>
  <c r="BJ76" i="8"/>
  <c r="BJ72" i="8"/>
  <c r="BJ69" i="8"/>
  <c r="BJ75" i="8"/>
  <c r="BJ74" i="8"/>
  <c r="BJ70" i="8"/>
  <c r="BJ71" i="8"/>
  <c r="BJ67" i="8"/>
  <c r="BJ68" i="8"/>
  <c r="BJ47" i="8"/>
  <c r="BJ48" i="8"/>
  <c r="BJ50" i="8"/>
  <c r="BJ49" i="8"/>
  <c r="BJ51" i="8"/>
  <c r="BJ57" i="8"/>
  <c r="BJ52" i="8"/>
  <c r="BJ53" i="8"/>
  <c r="BJ58" i="8"/>
  <c r="BJ54" i="8"/>
  <c r="BJ59" i="8"/>
  <c r="BJ55" i="8"/>
  <c r="BJ56" i="8"/>
  <c r="BJ60" i="8"/>
  <c r="BI61" i="8"/>
  <c r="BI31" i="8"/>
  <c r="BJ29" i="8"/>
  <c r="BJ30" i="8"/>
  <c r="BJ43" i="8"/>
  <c r="BJ42" i="8"/>
  <c r="BK7" i="8"/>
  <c r="AY10" i="10"/>
  <c r="AX19" i="10"/>
  <c r="AX17" i="10"/>
  <c r="AX20" i="10"/>
  <c r="AX21" i="10"/>
  <c r="AX13" i="10"/>
  <c r="AX15" i="10"/>
  <c r="BK73" i="8" l="1"/>
  <c r="BK92" i="8"/>
  <c r="BJ23" i="8"/>
  <c r="BJ24" i="8"/>
  <c r="BF41" i="8"/>
  <c r="BF44" i="8" s="1"/>
  <c r="BG40" i="8"/>
  <c r="B124" i="6"/>
  <c r="C123" i="6"/>
  <c r="BK5" i="8"/>
  <c r="BK9" i="8"/>
  <c r="BK20" i="8"/>
  <c r="BJ10" i="8"/>
  <c r="BI11" i="8"/>
  <c r="BK37" i="8"/>
  <c r="BK36" i="8"/>
  <c r="BK110" i="8"/>
  <c r="BK21" i="8"/>
  <c r="BJ77" i="8"/>
  <c r="BK89" i="8"/>
  <c r="BK91" i="8"/>
  <c r="BK90" i="8"/>
  <c r="BK88" i="8"/>
  <c r="BK86" i="8"/>
  <c r="BK84" i="8"/>
  <c r="BK85" i="8"/>
  <c r="BK87" i="8"/>
  <c r="BK80" i="8"/>
  <c r="BJ31" i="8"/>
  <c r="BK75" i="8"/>
  <c r="BK76" i="8"/>
  <c r="BK74" i="8"/>
  <c r="BK70" i="8"/>
  <c r="BK71" i="8"/>
  <c r="BK68" i="8"/>
  <c r="BK69" i="8"/>
  <c r="BK67" i="8"/>
  <c r="BK72" i="8"/>
  <c r="BK47" i="8"/>
  <c r="BK48" i="8"/>
  <c r="BK49" i="8"/>
  <c r="BK50" i="8"/>
  <c r="BK51" i="8"/>
  <c r="BK52" i="8"/>
  <c r="BK57" i="8"/>
  <c r="BK53" i="8"/>
  <c r="BK58" i="8"/>
  <c r="BK54" i="8"/>
  <c r="BK59" i="8"/>
  <c r="BK55" i="8"/>
  <c r="BK60" i="8"/>
  <c r="BK56" i="8"/>
  <c r="BJ61" i="8"/>
  <c r="BK30" i="8"/>
  <c r="BK29" i="8"/>
  <c r="BK43" i="8"/>
  <c r="BK42" i="8"/>
  <c r="BL7" i="8"/>
  <c r="AY21" i="10"/>
  <c r="AY20" i="10"/>
  <c r="AY19" i="10"/>
  <c r="AY17" i="10"/>
  <c r="AY13" i="10"/>
  <c r="AY15" i="10"/>
  <c r="AZ10" i="10"/>
  <c r="AY11" i="10"/>
  <c r="BL73" i="8" l="1"/>
  <c r="BL92" i="8"/>
  <c r="BK23" i="8"/>
  <c r="BK24" i="8"/>
  <c r="BK10" i="8"/>
  <c r="BJ11" i="8"/>
  <c r="C124" i="6"/>
  <c r="B125" i="6"/>
  <c r="BG41" i="8"/>
  <c r="BG44" i="8" s="1"/>
  <c r="BH40" i="8"/>
  <c r="BL5" i="8"/>
  <c r="BL9" i="8"/>
  <c r="BL20" i="8"/>
  <c r="BL37" i="8"/>
  <c r="BL36" i="8"/>
  <c r="BL110" i="8"/>
  <c r="BL21" i="8"/>
  <c r="BK77" i="8"/>
  <c r="BL91" i="8"/>
  <c r="BL90" i="8"/>
  <c r="BL88" i="8"/>
  <c r="BL89" i="8"/>
  <c r="BL85" i="8"/>
  <c r="BL87" i="8"/>
  <c r="BL86" i="8"/>
  <c r="BL84" i="8"/>
  <c r="BL80" i="8"/>
  <c r="BL76" i="8"/>
  <c r="BL75" i="8"/>
  <c r="BL70" i="8"/>
  <c r="BL71" i="8"/>
  <c r="BL72" i="8"/>
  <c r="BL69" i="8"/>
  <c r="BL68" i="8"/>
  <c r="BL74" i="8"/>
  <c r="BL67" i="8"/>
  <c r="BK61" i="8"/>
  <c r="BL47" i="8"/>
  <c r="BL48" i="8"/>
  <c r="BL49" i="8"/>
  <c r="BL50" i="8"/>
  <c r="BL51" i="8"/>
  <c r="BL57" i="8"/>
  <c r="BL52" i="8"/>
  <c r="BL53" i="8"/>
  <c r="BL58" i="8"/>
  <c r="BL54" i="8"/>
  <c r="BL59" i="8"/>
  <c r="BL55" i="8"/>
  <c r="BL56" i="8"/>
  <c r="BL60" i="8"/>
  <c r="BL30" i="8"/>
  <c r="BL29" i="8"/>
  <c r="BL43" i="8"/>
  <c r="BL42" i="8"/>
  <c r="BK31" i="8"/>
  <c r="BM7" i="8"/>
  <c r="BA10" i="10"/>
  <c r="AZ21" i="10"/>
  <c r="AZ20" i="10"/>
  <c r="AZ19" i="10"/>
  <c r="AZ17" i="10"/>
  <c r="AZ13" i="10"/>
  <c r="AZ15" i="10"/>
  <c r="BM73" i="8" l="1"/>
  <c r="BM92" i="8"/>
  <c r="BL24" i="8"/>
  <c r="BL23" i="8"/>
  <c r="C125" i="6"/>
  <c r="B126" i="6"/>
  <c r="BH41" i="8"/>
  <c r="BH44" i="8" s="1"/>
  <c r="BI40" i="8"/>
  <c r="BM5" i="8"/>
  <c r="BM9" i="8"/>
  <c r="BM20" i="8"/>
  <c r="BL10" i="8"/>
  <c r="BK11" i="8"/>
  <c r="BM37" i="8"/>
  <c r="BM36" i="8"/>
  <c r="BM110" i="8"/>
  <c r="BM21" i="8"/>
  <c r="BL77" i="8"/>
  <c r="BM91" i="8"/>
  <c r="BM88" i="8"/>
  <c r="BM89" i="8"/>
  <c r="BM90" i="8"/>
  <c r="BM87" i="8"/>
  <c r="BM86" i="8"/>
  <c r="BM84" i="8"/>
  <c r="BM85" i="8"/>
  <c r="BM80" i="8"/>
  <c r="BL31" i="8"/>
  <c r="BM75" i="8"/>
  <c r="BM76" i="8"/>
  <c r="BM71" i="8"/>
  <c r="BM72" i="8"/>
  <c r="BM74" i="8"/>
  <c r="BM70" i="8"/>
  <c r="BM67" i="8"/>
  <c r="BM69" i="8"/>
  <c r="BM68" i="8"/>
  <c r="BL61" i="8"/>
  <c r="BM47" i="8"/>
  <c r="BM48" i="8"/>
  <c r="BM49" i="8"/>
  <c r="BM50" i="8"/>
  <c r="BM51" i="8"/>
  <c r="BM52" i="8"/>
  <c r="BM57" i="8"/>
  <c r="BM58" i="8"/>
  <c r="BM53" i="8"/>
  <c r="BM54" i="8"/>
  <c r="BM59" i="8"/>
  <c r="BM55" i="8"/>
  <c r="BM60" i="8"/>
  <c r="BM56" i="8"/>
  <c r="BM30" i="8"/>
  <c r="BM29" i="8"/>
  <c r="BM43" i="8"/>
  <c r="BM42" i="8"/>
  <c r="BN7" i="8"/>
  <c r="BB10" i="10"/>
  <c r="BA21" i="10"/>
  <c r="BA20" i="10"/>
  <c r="BA19" i="10"/>
  <c r="BA13" i="10"/>
  <c r="BA17" i="10"/>
  <c r="BA15" i="10"/>
  <c r="BN73" i="8" l="1"/>
  <c r="BN92" i="8"/>
  <c r="BM24" i="8"/>
  <c r="BM23" i="8"/>
  <c r="BM10" i="8"/>
  <c r="BL11" i="8"/>
  <c r="BI41" i="8"/>
  <c r="BI44" i="8" s="1"/>
  <c r="BJ40" i="8"/>
  <c r="B127" i="6"/>
  <c r="C126" i="6"/>
  <c r="BN5" i="8"/>
  <c r="BN9" i="8"/>
  <c r="BN20" i="8"/>
  <c r="BN37" i="8"/>
  <c r="BN36" i="8"/>
  <c r="BN110" i="8"/>
  <c r="BN21" i="8"/>
  <c r="BM77" i="8"/>
  <c r="BN91" i="8"/>
  <c r="BN88" i="8"/>
  <c r="BN89" i="8"/>
  <c r="BN90" i="8"/>
  <c r="BN86" i="8"/>
  <c r="BN84" i="8"/>
  <c r="BN85" i="8"/>
  <c r="BN87" i="8"/>
  <c r="BN80" i="8"/>
  <c r="BN76" i="8"/>
  <c r="BN72" i="8"/>
  <c r="BN69" i="8"/>
  <c r="BN74" i="8"/>
  <c r="BN70" i="8"/>
  <c r="BN67" i="8"/>
  <c r="BN71" i="8"/>
  <c r="BN68" i="8"/>
  <c r="BN75" i="8"/>
  <c r="BM31" i="8"/>
  <c r="BM61" i="8"/>
  <c r="BN47" i="8"/>
  <c r="BN48" i="8"/>
  <c r="BN50" i="8"/>
  <c r="BN51" i="8"/>
  <c r="BN49" i="8"/>
  <c r="BN57" i="8"/>
  <c r="BN52" i="8"/>
  <c r="BN58" i="8"/>
  <c r="BN53" i="8"/>
  <c r="BN54" i="8"/>
  <c r="BN55" i="8"/>
  <c r="BN59" i="8"/>
  <c r="BN60" i="8"/>
  <c r="BN56" i="8"/>
  <c r="BN29" i="8"/>
  <c r="BN30" i="8"/>
  <c r="BN43" i="8"/>
  <c r="BN42" i="8"/>
  <c r="BO7" i="8"/>
  <c r="BB11" i="10"/>
  <c r="BB20" i="10"/>
  <c r="BB19" i="10"/>
  <c r="BB21" i="10"/>
  <c r="BB17" i="10"/>
  <c r="BB13" i="10"/>
  <c r="BB15" i="10"/>
  <c r="BC10" i="10"/>
  <c r="BO73" i="8" l="1"/>
  <c r="BO92" i="8"/>
  <c r="BN23" i="8"/>
  <c r="BN24" i="8"/>
  <c r="BJ41" i="8"/>
  <c r="BJ44" i="8" s="1"/>
  <c r="BK40" i="8"/>
  <c r="BO5" i="8"/>
  <c r="BO9" i="8"/>
  <c r="BO20" i="8"/>
  <c r="B128" i="6"/>
  <c r="C127" i="6"/>
  <c r="BN10" i="8"/>
  <c r="BM11" i="8"/>
  <c r="BO37" i="8"/>
  <c r="BO36" i="8"/>
  <c r="BO110" i="8"/>
  <c r="BO21" i="8"/>
  <c r="BN77" i="8"/>
  <c r="BO91" i="8"/>
  <c r="BO89" i="8"/>
  <c r="BO90" i="8"/>
  <c r="BO86" i="8"/>
  <c r="BO84" i="8"/>
  <c r="BO85" i="8"/>
  <c r="BO87" i="8"/>
  <c r="BO88" i="8"/>
  <c r="BO80" i="8"/>
  <c r="BO75" i="8"/>
  <c r="BO74" i="8"/>
  <c r="BO70" i="8"/>
  <c r="BO71" i="8"/>
  <c r="BO72" i="8"/>
  <c r="BO68" i="8"/>
  <c r="BO76" i="8"/>
  <c r="BO69" i="8"/>
  <c r="BO67" i="8"/>
  <c r="BO47" i="8"/>
  <c r="BO48" i="8"/>
  <c r="BO49" i="8"/>
  <c r="BO50" i="8"/>
  <c r="BO51" i="8"/>
  <c r="BO52" i="8"/>
  <c r="BO57" i="8"/>
  <c r="BO53" i="8"/>
  <c r="BO58" i="8"/>
  <c r="BO54" i="8"/>
  <c r="BO55" i="8"/>
  <c r="BO59" i="8"/>
  <c r="BO56" i="8"/>
  <c r="BO60" i="8"/>
  <c r="BN61" i="8"/>
  <c r="BN31" i="8"/>
  <c r="BO30" i="8"/>
  <c r="BO29" i="8"/>
  <c r="BO43" i="8"/>
  <c r="BO42" i="8"/>
  <c r="BP7" i="8"/>
  <c r="BD10" i="10"/>
  <c r="BC21" i="10"/>
  <c r="BC20" i="10"/>
  <c r="BC19" i="10"/>
  <c r="BC17" i="10"/>
  <c r="BC13" i="10"/>
  <c r="BC15" i="10"/>
  <c r="BP73" i="8" l="1"/>
  <c r="BP92" i="8"/>
  <c r="BO23" i="8"/>
  <c r="BO24" i="8"/>
  <c r="BO10" i="8"/>
  <c r="BN11" i="8"/>
  <c r="B129" i="6"/>
  <c r="C128" i="6"/>
  <c r="BK41" i="8"/>
  <c r="BK44" i="8" s="1"/>
  <c r="BL40" i="8"/>
  <c r="BP5" i="8"/>
  <c r="BP9" i="8"/>
  <c r="BP20" i="8"/>
  <c r="BP37" i="8"/>
  <c r="BP36" i="8"/>
  <c r="BP110" i="8"/>
  <c r="BP21" i="8"/>
  <c r="BO77" i="8"/>
  <c r="BP91" i="8"/>
  <c r="BP90" i="8"/>
  <c r="BP88" i="8"/>
  <c r="BP85" i="8"/>
  <c r="BP86" i="8"/>
  <c r="BP87" i="8"/>
  <c r="BP89" i="8"/>
  <c r="BP84" i="8"/>
  <c r="BP80" i="8"/>
  <c r="BP64" i="8"/>
  <c r="BP76" i="8"/>
  <c r="BP70" i="8"/>
  <c r="BP71" i="8"/>
  <c r="BP75" i="8"/>
  <c r="BP72" i="8"/>
  <c r="BP69" i="8"/>
  <c r="BP74" i="8"/>
  <c r="BP67" i="8"/>
  <c r="BP68" i="8"/>
  <c r="BP47" i="8"/>
  <c r="BP49" i="8"/>
  <c r="BP48" i="8"/>
  <c r="BP50" i="8"/>
  <c r="BP52" i="8"/>
  <c r="BP51" i="8"/>
  <c r="BP57" i="8"/>
  <c r="BP53" i="8"/>
  <c r="BP58" i="8"/>
  <c r="BP54" i="8"/>
  <c r="BP59" i="8"/>
  <c r="BP56" i="8"/>
  <c r="BP55" i="8"/>
  <c r="BP60" i="8"/>
  <c r="BO61" i="8"/>
  <c r="BO31" i="8"/>
  <c r="BP30" i="8"/>
  <c r="BP29" i="8"/>
  <c r="BP43" i="8"/>
  <c r="BP42" i="8"/>
  <c r="BQ7" i="8"/>
  <c r="BE10" i="10"/>
  <c r="BD21" i="10"/>
  <c r="BD20" i="10"/>
  <c r="BD19" i="10"/>
  <c r="BD17" i="10"/>
  <c r="BD13" i="10"/>
  <c r="BD15" i="10"/>
  <c r="BQ73" i="8" l="1"/>
  <c r="BQ92" i="8"/>
  <c r="BP24" i="8"/>
  <c r="BP23" i="8"/>
  <c r="B130" i="6"/>
  <c r="C129" i="6"/>
  <c r="BL41" i="8"/>
  <c r="BL44" i="8" s="1"/>
  <c r="BM40" i="8"/>
  <c r="BQ5" i="8"/>
  <c r="BQ9" i="8"/>
  <c r="BQ20" i="8"/>
  <c r="BP10" i="8"/>
  <c r="BO11" i="8"/>
  <c r="BQ37" i="8"/>
  <c r="BQ36" i="8"/>
  <c r="BQ110" i="8"/>
  <c r="BQ21" i="8"/>
  <c r="BP77" i="8"/>
  <c r="BQ91" i="8"/>
  <c r="BQ88" i="8"/>
  <c r="BQ89" i="8"/>
  <c r="BQ87" i="8"/>
  <c r="BQ85" i="8"/>
  <c r="BQ86" i="8"/>
  <c r="BQ84" i="8"/>
  <c r="BQ90" i="8"/>
  <c r="BQ80" i="8"/>
  <c r="BQ64" i="8"/>
  <c r="BQ75" i="8"/>
  <c r="BQ76" i="8"/>
  <c r="BQ71" i="8"/>
  <c r="BQ72" i="8"/>
  <c r="BQ74" i="8"/>
  <c r="BQ70" i="8"/>
  <c r="BQ69" i="8"/>
  <c r="BQ67" i="8"/>
  <c r="BQ68" i="8"/>
  <c r="BP61" i="8"/>
  <c r="BQ47" i="8"/>
  <c r="BQ48" i="8"/>
  <c r="BQ49" i="8"/>
  <c r="BQ50" i="8"/>
  <c r="BQ57" i="8"/>
  <c r="BQ52" i="8"/>
  <c r="BQ51" i="8"/>
  <c r="BQ53" i="8"/>
  <c r="BQ58" i="8"/>
  <c r="BQ54" i="8"/>
  <c r="BQ59" i="8"/>
  <c r="BQ55" i="8"/>
  <c r="BQ56" i="8"/>
  <c r="BQ60" i="8"/>
  <c r="BP31" i="8"/>
  <c r="BQ29" i="8"/>
  <c r="BQ30" i="8"/>
  <c r="BQ43" i="8"/>
  <c r="BQ42" i="8"/>
  <c r="BR7" i="8"/>
  <c r="BE21" i="10"/>
  <c r="BE20" i="10"/>
  <c r="BE19" i="10"/>
  <c r="BE13" i="10"/>
  <c r="BE17" i="10"/>
  <c r="BE15" i="10"/>
  <c r="BF10" i="10"/>
  <c r="BE11" i="10"/>
  <c r="BR73" i="8" l="1"/>
  <c r="BR92" i="8"/>
  <c r="BQ24" i="8"/>
  <c r="BQ23" i="8"/>
  <c r="BQ10" i="8"/>
  <c r="BP11" i="8"/>
  <c r="BM41" i="8"/>
  <c r="BM44" i="8" s="1"/>
  <c r="BN40" i="8"/>
  <c r="BR5" i="8"/>
  <c r="BR9" i="8"/>
  <c r="BR20" i="8"/>
  <c r="C130" i="6"/>
  <c r="B131" i="6"/>
  <c r="BR37" i="8"/>
  <c r="BR36" i="8"/>
  <c r="BR110" i="8"/>
  <c r="BR21" i="8"/>
  <c r="BQ77" i="8"/>
  <c r="BR91" i="8"/>
  <c r="BR88" i="8"/>
  <c r="BR89" i="8"/>
  <c r="BR90" i="8"/>
  <c r="BR87" i="8"/>
  <c r="BR86" i="8"/>
  <c r="BR84" i="8"/>
  <c r="BR85" i="8"/>
  <c r="BR80" i="8"/>
  <c r="BR64" i="8"/>
  <c r="BR76" i="8"/>
  <c r="BR72" i="8"/>
  <c r="BR69" i="8"/>
  <c r="BR75" i="8"/>
  <c r="BR74" i="8"/>
  <c r="BR70" i="8"/>
  <c r="BR67" i="8"/>
  <c r="BR68" i="8"/>
  <c r="BR71" i="8"/>
  <c r="BQ61" i="8"/>
  <c r="BR47" i="8"/>
  <c r="BR49" i="8"/>
  <c r="BR48" i="8"/>
  <c r="BR50" i="8"/>
  <c r="BR51" i="8"/>
  <c r="BR52" i="8"/>
  <c r="BR57" i="8"/>
  <c r="BR58" i="8"/>
  <c r="BR53" i="8"/>
  <c r="BR54" i="8"/>
  <c r="BR59" i="8"/>
  <c r="BR55" i="8"/>
  <c r="BR56" i="8"/>
  <c r="BR60" i="8"/>
  <c r="BQ31" i="8"/>
  <c r="BR29" i="8"/>
  <c r="BR30" i="8"/>
  <c r="BR43" i="8"/>
  <c r="BR42" i="8"/>
  <c r="BS7" i="8"/>
  <c r="BG10" i="10"/>
  <c r="BF21" i="10"/>
  <c r="BF17" i="10"/>
  <c r="BF19" i="10"/>
  <c r="BF13" i="10"/>
  <c r="BF20" i="10"/>
  <c r="BF15" i="10"/>
  <c r="BS73" i="8" l="1"/>
  <c r="BS92" i="8"/>
  <c r="BR23" i="8"/>
  <c r="BR24" i="8"/>
  <c r="BN41" i="8"/>
  <c r="BN44" i="8" s="1"/>
  <c r="BO40" i="8"/>
  <c r="BS5" i="8"/>
  <c r="BS9" i="8"/>
  <c r="BS20" i="8"/>
  <c r="B132" i="6"/>
  <c r="C131" i="6"/>
  <c r="BR10" i="8"/>
  <c r="BQ11" i="8"/>
  <c r="BS37" i="8"/>
  <c r="BS36" i="8"/>
  <c r="BS110" i="8"/>
  <c r="BS21" i="8"/>
  <c r="BR77" i="8"/>
  <c r="BS89" i="8"/>
  <c r="BS90" i="8"/>
  <c r="BS86" i="8"/>
  <c r="BS84" i="8"/>
  <c r="BS85" i="8"/>
  <c r="BS91" i="8"/>
  <c r="BS88" i="8"/>
  <c r="BS87" i="8"/>
  <c r="BS80" i="8"/>
  <c r="BS64" i="8"/>
  <c r="BS75" i="8"/>
  <c r="BS74" i="8"/>
  <c r="BS70" i="8"/>
  <c r="BS76" i="8"/>
  <c r="BS71" i="8"/>
  <c r="BS68" i="8"/>
  <c r="BS69" i="8"/>
  <c r="BS67" i="8"/>
  <c r="BS72" i="8"/>
  <c r="BR61" i="8"/>
  <c r="BS47" i="8"/>
  <c r="BS48" i="8"/>
  <c r="BS49" i="8"/>
  <c r="BS51" i="8"/>
  <c r="BS50" i="8"/>
  <c r="BS52" i="8"/>
  <c r="BS57" i="8"/>
  <c r="BS53" i="8"/>
  <c r="BS58" i="8"/>
  <c r="BS54" i="8"/>
  <c r="BS59" i="8"/>
  <c r="BS55" i="8"/>
  <c r="BS60" i="8"/>
  <c r="BS56" i="8"/>
  <c r="BS29" i="8"/>
  <c r="BS30" i="8"/>
  <c r="BS43" i="8"/>
  <c r="BS42" i="8"/>
  <c r="BR31" i="8"/>
  <c r="BT7" i="8"/>
  <c r="BH10" i="10"/>
  <c r="BG21" i="10"/>
  <c r="BG20" i="10"/>
  <c r="BG19" i="10"/>
  <c r="BG17" i="10"/>
  <c r="BG13" i="10"/>
  <c r="BG15" i="10"/>
  <c r="BT73" i="8" l="1"/>
  <c r="BT92" i="8"/>
  <c r="BS23" i="8"/>
  <c r="BS24" i="8"/>
  <c r="BS10" i="8"/>
  <c r="BR11" i="8"/>
  <c r="BT5" i="8"/>
  <c r="BT9" i="8"/>
  <c r="BT20" i="8"/>
  <c r="B133" i="6"/>
  <c r="C132" i="6"/>
  <c r="BO41" i="8"/>
  <c r="BO44" i="8" s="1"/>
  <c r="BP40" i="8"/>
  <c r="BT37" i="8"/>
  <c r="BT36" i="8"/>
  <c r="BT110" i="8"/>
  <c r="BT21" i="8"/>
  <c r="BS77" i="8"/>
  <c r="BT94" i="8"/>
  <c r="BT90" i="8"/>
  <c r="BT91" i="8"/>
  <c r="BT88" i="8"/>
  <c r="BT85" i="8"/>
  <c r="BT87" i="8"/>
  <c r="BT86" i="8"/>
  <c r="BT89" i="8"/>
  <c r="BT84" i="8"/>
  <c r="BT80" i="8"/>
  <c r="BT64" i="8"/>
  <c r="BT76" i="8"/>
  <c r="BT75" i="8"/>
  <c r="BT70" i="8"/>
  <c r="BT71" i="8"/>
  <c r="BT72" i="8"/>
  <c r="BT69" i="8"/>
  <c r="BT74" i="8"/>
  <c r="BT68" i="8"/>
  <c r="BT67" i="8"/>
  <c r="BS61" i="8"/>
  <c r="BT47" i="8"/>
  <c r="BT49" i="8"/>
  <c r="BT48" i="8"/>
  <c r="BT50" i="8"/>
  <c r="BT51" i="8"/>
  <c r="BT52" i="8"/>
  <c r="BT57" i="8"/>
  <c r="BT58" i="8"/>
  <c r="BT53" i="8"/>
  <c r="BT54" i="8"/>
  <c r="BT55" i="8"/>
  <c r="BT59" i="8"/>
  <c r="BT56" i="8"/>
  <c r="BT60" i="8"/>
  <c r="BT30" i="8"/>
  <c r="BT29" i="8"/>
  <c r="BT43" i="8"/>
  <c r="BT42" i="8"/>
  <c r="BS31" i="8"/>
  <c r="BU7" i="8"/>
  <c r="BH21" i="10"/>
  <c r="BH20" i="10"/>
  <c r="BH19" i="10"/>
  <c r="BH17" i="10"/>
  <c r="BH13" i="10"/>
  <c r="BH15" i="10"/>
  <c r="BI10" i="10"/>
  <c r="BH11" i="10"/>
  <c r="BU73" i="8" l="1"/>
  <c r="BU92" i="8"/>
  <c r="BT24" i="8"/>
  <c r="BT23" i="8"/>
  <c r="B134" i="6"/>
  <c r="C133" i="6"/>
  <c r="BU5" i="8"/>
  <c r="BU9" i="8"/>
  <c r="BU20" i="8"/>
  <c r="BP41" i="8"/>
  <c r="BP44" i="8" s="1"/>
  <c r="BQ40" i="8"/>
  <c r="BT10" i="8"/>
  <c r="BS11" i="8"/>
  <c r="BU37" i="8"/>
  <c r="BU36" i="8"/>
  <c r="BU110" i="8"/>
  <c r="BU21" i="8"/>
  <c r="BU94" i="8"/>
  <c r="BT77" i="8"/>
  <c r="BU91" i="8"/>
  <c r="BU90" i="8"/>
  <c r="BU88" i="8"/>
  <c r="BU89" i="8"/>
  <c r="BU87" i="8"/>
  <c r="BU86" i="8"/>
  <c r="BU84" i="8"/>
  <c r="BU85" i="8"/>
  <c r="BU80" i="8"/>
  <c r="BU64" i="8"/>
  <c r="BU75" i="8"/>
  <c r="BU76" i="8"/>
  <c r="BU71" i="8"/>
  <c r="BU72" i="8"/>
  <c r="BU74" i="8"/>
  <c r="BU67" i="8"/>
  <c r="BU70" i="8"/>
  <c r="BU69" i="8"/>
  <c r="BU68" i="8"/>
  <c r="BU47" i="8"/>
  <c r="BU48" i="8"/>
  <c r="BU49" i="8"/>
  <c r="BU51" i="8"/>
  <c r="BU50" i="8"/>
  <c r="BU52" i="8"/>
  <c r="BU57" i="8"/>
  <c r="BU53" i="8"/>
  <c r="BU58" i="8"/>
  <c r="BU54" i="8"/>
  <c r="BU59" i="8"/>
  <c r="BU55" i="8"/>
  <c r="BU60" i="8"/>
  <c r="BU56" i="8"/>
  <c r="BT61" i="8"/>
  <c r="BT31" i="8"/>
  <c r="BU29" i="8"/>
  <c r="BU30" i="8"/>
  <c r="BU43" i="8"/>
  <c r="BU42" i="8"/>
  <c r="BV7" i="8"/>
  <c r="BJ10" i="10"/>
  <c r="BI21" i="10"/>
  <c r="BI20" i="10"/>
  <c r="BI19" i="10"/>
  <c r="BI17" i="10"/>
  <c r="BI13" i="10"/>
  <c r="BI15" i="10"/>
  <c r="BV73" i="8" l="1"/>
  <c r="BV92" i="8"/>
  <c r="BU23" i="8"/>
  <c r="BU24" i="8"/>
  <c r="BU10" i="8"/>
  <c r="BT11" i="8"/>
  <c r="BQ41" i="8"/>
  <c r="BQ44" i="8" s="1"/>
  <c r="BR40" i="8"/>
  <c r="BV5" i="8"/>
  <c r="BV9" i="8"/>
  <c r="BV20" i="8"/>
  <c r="B135" i="6"/>
  <c r="C134" i="6"/>
  <c r="BV37" i="8"/>
  <c r="BV36" i="8"/>
  <c r="BV110" i="8"/>
  <c r="BV21" i="8"/>
  <c r="BV94" i="8"/>
  <c r="BU77" i="8"/>
  <c r="BV91" i="8"/>
  <c r="BV88" i="8"/>
  <c r="BV89" i="8"/>
  <c r="BV86" i="8"/>
  <c r="BV84" i="8"/>
  <c r="BV87" i="8"/>
  <c r="BV90" i="8"/>
  <c r="BV85" i="8"/>
  <c r="BV80" i="8"/>
  <c r="BV64" i="8"/>
  <c r="BV76" i="8"/>
  <c r="BV72" i="8"/>
  <c r="BV69" i="8"/>
  <c r="BV74" i="8"/>
  <c r="BV70" i="8"/>
  <c r="BV67" i="8"/>
  <c r="BV71" i="8"/>
  <c r="BV68" i="8"/>
  <c r="BV75" i="8"/>
  <c r="BU61" i="8"/>
  <c r="BV47" i="8"/>
  <c r="BV48" i="8"/>
  <c r="BV49" i="8"/>
  <c r="BV50" i="8"/>
  <c r="BV52" i="8"/>
  <c r="BV51" i="8"/>
  <c r="BV57" i="8"/>
  <c r="BV53" i="8"/>
  <c r="BV58" i="8"/>
  <c r="BV54" i="8"/>
  <c r="BV59" i="8"/>
  <c r="BV55" i="8"/>
  <c r="BV56" i="8"/>
  <c r="BV60" i="8"/>
  <c r="BU31" i="8"/>
  <c r="BV29" i="8"/>
  <c r="BV30" i="8"/>
  <c r="BV43" i="8"/>
  <c r="BV42" i="8"/>
  <c r="BW7" i="8"/>
  <c r="BK10" i="10"/>
  <c r="BJ19" i="10"/>
  <c r="BJ20" i="10"/>
  <c r="BJ17" i="10"/>
  <c r="BJ13" i="10"/>
  <c r="BJ21" i="10"/>
  <c r="BJ15" i="10"/>
  <c r="BW73" i="8" l="1"/>
  <c r="BW92" i="8"/>
  <c r="BV23" i="8"/>
  <c r="BV24" i="8"/>
  <c r="C135" i="6"/>
  <c r="B136" i="6"/>
  <c r="BR41" i="8"/>
  <c r="BR44" i="8" s="1"/>
  <c r="BS40" i="8"/>
  <c r="BW5" i="8"/>
  <c r="BW9" i="8"/>
  <c r="BW20" i="8"/>
  <c r="BV10" i="8"/>
  <c r="BU11" i="8"/>
  <c r="BW37" i="8"/>
  <c r="BW36" i="8"/>
  <c r="BW110" i="8"/>
  <c r="BW21" i="8"/>
  <c r="BW94" i="8"/>
  <c r="BV77" i="8"/>
  <c r="BW89" i="8"/>
  <c r="BW91" i="8"/>
  <c r="BW90" i="8"/>
  <c r="BW86" i="8"/>
  <c r="BW84" i="8"/>
  <c r="BW88" i="8"/>
  <c r="BW85" i="8"/>
  <c r="BW87" i="8"/>
  <c r="BW80" i="8"/>
  <c r="BW64" i="8"/>
  <c r="BW75" i="8"/>
  <c r="BW74" i="8"/>
  <c r="BW76" i="8"/>
  <c r="BW70" i="8"/>
  <c r="BW71" i="8"/>
  <c r="BW68" i="8"/>
  <c r="BW67" i="8"/>
  <c r="BW69" i="8"/>
  <c r="BW72" i="8"/>
  <c r="BV61" i="8"/>
  <c r="BW47" i="8"/>
  <c r="BW48" i="8"/>
  <c r="BW49" i="8"/>
  <c r="BW51" i="8"/>
  <c r="BW50" i="8"/>
  <c r="BW52" i="8"/>
  <c r="BW57" i="8"/>
  <c r="BW58" i="8"/>
  <c r="BW53" i="8"/>
  <c r="BW54" i="8"/>
  <c r="BW55" i="8"/>
  <c r="BW59" i="8"/>
  <c r="BW56" i="8"/>
  <c r="BW60" i="8"/>
  <c r="BW29" i="8"/>
  <c r="BW30" i="8"/>
  <c r="BW43" i="8"/>
  <c r="BW42" i="8"/>
  <c r="BV31" i="8"/>
  <c r="BX7" i="8"/>
  <c r="BK21" i="10"/>
  <c r="BK20" i="10"/>
  <c r="BK19" i="10"/>
  <c r="BK17" i="10"/>
  <c r="BK13" i="10"/>
  <c r="BK15" i="10"/>
  <c r="BK11" i="10"/>
  <c r="BL10" i="10"/>
  <c r="BX73" i="8" l="1"/>
  <c r="BX92" i="8"/>
  <c r="BW23" i="8"/>
  <c r="BW24" i="8"/>
  <c r="BX5" i="8"/>
  <c r="BX9" i="8"/>
  <c r="BX20" i="8"/>
  <c r="BW10" i="8"/>
  <c r="BV11" i="8"/>
  <c r="BS41" i="8"/>
  <c r="BS44" i="8" s="1"/>
  <c r="BT40" i="8"/>
  <c r="B137" i="6"/>
  <c r="C136" i="6"/>
  <c r="BX37" i="8"/>
  <c r="BX36" i="8"/>
  <c r="BX110" i="8"/>
  <c r="BX21" i="8"/>
  <c r="BW77" i="8"/>
  <c r="BX94" i="8"/>
  <c r="BX90" i="8"/>
  <c r="BX91" i="8"/>
  <c r="BX88" i="8"/>
  <c r="BX85" i="8"/>
  <c r="BX89" i="8"/>
  <c r="BX87" i="8"/>
  <c r="BX86" i="8"/>
  <c r="BX84" i="8"/>
  <c r="BX80" i="8"/>
  <c r="BX64" i="8"/>
  <c r="BX76" i="8"/>
  <c r="BX70" i="8"/>
  <c r="BX71" i="8"/>
  <c r="BX75" i="8"/>
  <c r="BX72" i="8"/>
  <c r="BX69" i="8"/>
  <c r="BX74" i="8"/>
  <c r="BX68" i="8"/>
  <c r="BX67" i="8"/>
  <c r="BX47" i="8"/>
  <c r="BX48" i="8"/>
  <c r="BX49" i="8"/>
  <c r="BX50" i="8"/>
  <c r="BX57" i="8"/>
  <c r="BX52" i="8"/>
  <c r="BX51" i="8"/>
  <c r="BX58" i="8"/>
  <c r="BX53" i="8"/>
  <c r="BX54" i="8"/>
  <c r="BX55" i="8"/>
  <c r="BX59" i="8"/>
  <c r="BX60" i="8"/>
  <c r="BX56" i="8"/>
  <c r="BW61" i="8"/>
  <c r="BW31" i="8"/>
  <c r="BX30" i="8"/>
  <c r="BX29" i="8"/>
  <c r="BX43" i="8"/>
  <c r="BX42" i="8"/>
  <c r="BY7" i="8"/>
  <c r="BM10" i="10"/>
  <c r="BL21" i="10"/>
  <c r="BL20" i="10"/>
  <c r="BL19" i="10"/>
  <c r="BL17" i="10"/>
  <c r="BL13" i="10"/>
  <c r="BL15" i="10"/>
  <c r="BY73" i="8" l="1"/>
  <c r="BY92" i="8"/>
  <c r="BX24" i="8"/>
  <c r="BX23" i="8"/>
  <c r="B138" i="6"/>
  <c r="C137" i="6"/>
  <c r="BX10" i="8"/>
  <c r="BW11" i="8"/>
  <c r="BT41" i="8"/>
  <c r="BT44" i="8" s="1"/>
  <c r="BU40" i="8"/>
  <c r="BY5" i="8"/>
  <c r="BY9" i="8"/>
  <c r="BY20" i="8"/>
  <c r="BY37" i="8"/>
  <c r="BY36" i="8"/>
  <c r="BY110" i="8"/>
  <c r="BY21" i="8"/>
  <c r="BY94" i="8"/>
  <c r="BX77" i="8"/>
  <c r="BY91" i="8"/>
  <c r="BY90" i="8"/>
  <c r="BY88" i="8"/>
  <c r="BY89" i="8"/>
  <c r="BY87" i="8"/>
  <c r="BY85" i="8"/>
  <c r="BY86" i="8"/>
  <c r="BY84" i="8"/>
  <c r="BY80" i="8"/>
  <c r="BY64" i="8"/>
  <c r="BY75" i="8"/>
  <c r="BY76" i="8"/>
  <c r="BY71" i="8"/>
  <c r="BY72" i="8"/>
  <c r="BY74" i="8"/>
  <c r="BY69" i="8"/>
  <c r="BY67" i="8"/>
  <c r="BY70" i="8"/>
  <c r="BY68" i="8"/>
  <c r="BX61" i="8"/>
  <c r="BY47" i="8"/>
  <c r="BY48" i="8"/>
  <c r="BY50" i="8"/>
  <c r="BY49" i="8"/>
  <c r="BY51" i="8"/>
  <c r="BY57" i="8"/>
  <c r="BY52" i="8"/>
  <c r="BY58" i="8"/>
  <c r="BY53" i="8"/>
  <c r="BY54" i="8"/>
  <c r="BY55" i="8"/>
  <c r="BY59" i="8"/>
  <c r="BY56" i="8"/>
  <c r="BY60" i="8"/>
  <c r="BX31" i="8"/>
  <c r="BY29" i="8"/>
  <c r="BY30" i="8"/>
  <c r="BY43" i="8"/>
  <c r="BY42" i="8"/>
  <c r="BZ7" i="8"/>
  <c r="BN10" i="10"/>
  <c r="BM21" i="10"/>
  <c r="BM20" i="10"/>
  <c r="BM19" i="10"/>
  <c r="BM13" i="10"/>
  <c r="BM17" i="10"/>
  <c r="BM15" i="10"/>
  <c r="BZ73" i="8" l="1"/>
  <c r="BZ92" i="8"/>
  <c r="BY23" i="8"/>
  <c r="BY24" i="8"/>
  <c r="BY10" i="8"/>
  <c r="BX11" i="8"/>
  <c r="BU41" i="8"/>
  <c r="BU44" i="8" s="1"/>
  <c r="BV40" i="8"/>
  <c r="BZ5" i="8"/>
  <c r="BZ9" i="8"/>
  <c r="BZ20" i="8"/>
  <c r="B139" i="6"/>
  <c r="C138" i="6"/>
  <c r="BZ37" i="8"/>
  <c r="BZ36" i="8"/>
  <c r="BZ110" i="8"/>
  <c r="BZ21" i="8"/>
  <c r="BY77" i="8"/>
  <c r="BZ94" i="8"/>
  <c r="BZ91" i="8"/>
  <c r="BZ90" i="8"/>
  <c r="BZ88" i="8"/>
  <c r="BZ89" i="8"/>
  <c r="BZ86" i="8"/>
  <c r="BZ84" i="8"/>
  <c r="BZ85" i="8"/>
  <c r="BZ87" i="8"/>
  <c r="BZ80" i="8"/>
  <c r="BZ64" i="8"/>
  <c r="BZ76" i="8"/>
  <c r="BZ72" i="8"/>
  <c r="BZ69" i="8"/>
  <c r="BZ75" i="8"/>
  <c r="BZ74" i="8"/>
  <c r="BZ70" i="8"/>
  <c r="BZ71" i="8"/>
  <c r="BZ67" i="8"/>
  <c r="BZ68" i="8"/>
  <c r="BY61" i="8"/>
  <c r="BZ47" i="8"/>
  <c r="BZ48" i="8"/>
  <c r="BZ50" i="8"/>
  <c r="BZ49" i="8"/>
  <c r="BZ51" i="8"/>
  <c r="BZ52" i="8"/>
  <c r="BZ57" i="8"/>
  <c r="BZ53" i="8"/>
  <c r="BZ58" i="8"/>
  <c r="BZ54" i="8"/>
  <c r="BZ55" i="8"/>
  <c r="BZ59" i="8"/>
  <c r="BZ56" i="8"/>
  <c r="BZ60" i="8"/>
  <c r="BZ29" i="8"/>
  <c r="BZ30" i="8"/>
  <c r="BZ43" i="8"/>
  <c r="BZ42" i="8"/>
  <c r="BY31" i="8"/>
  <c r="CA7" i="8"/>
  <c r="BN19" i="10"/>
  <c r="BN17" i="10"/>
  <c r="BN20" i="10"/>
  <c r="BN21" i="10"/>
  <c r="BN13" i="10"/>
  <c r="BN15" i="10"/>
  <c r="BO10" i="10"/>
  <c r="BN11" i="10"/>
  <c r="CA73" i="8" l="1"/>
  <c r="CA92" i="8"/>
  <c r="BZ24" i="8"/>
  <c r="BZ23" i="8"/>
  <c r="C139" i="6"/>
  <c r="B140" i="6"/>
  <c r="BV41" i="8"/>
  <c r="BV44" i="8" s="1"/>
  <c r="BW40" i="8"/>
  <c r="CA5" i="8"/>
  <c r="CA9" i="8"/>
  <c r="CA20" i="8"/>
  <c r="BZ10" i="8"/>
  <c r="BY11" i="8"/>
  <c r="CA37" i="8"/>
  <c r="CA36" i="8"/>
  <c r="CA110" i="8"/>
  <c r="CA21" i="8"/>
  <c r="BZ77" i="8"/>
  <c r="CA94" i="8"/>
  <c r="CA89" i="8"/>
  <c r="CA91" i="8"/>
  <c r="CA88" i="8"/>
  <c r="CA86" i="8"/>
  <c r="CA84" i="8"/>
  <c r="CA90" i="8"/>
  <c r="CA85" i="8"/>
  <c r="CA87" i="8"/>
  <c r="CA80" i="8"/>
  <c r="CA64" i="8"/>
  <c r="CA75" i="8"/>
  <c r="CA76" i="8"/>
  <c r="CA74" i="8"/>
  <c r="CA70" i="8"/>
  <c r="CA71" i="8"/>
  <c r="CA68" i="8"/>
  <c r="CA72" i="8"/>
  <c r="CA69" i="8"/>
  <c r="CA67" i="8"/>
  <c r="CA47" i="8"/>
  <c r="CA48" i="8"/>
  <c r="CA49" i="8"/>
  <c r="CA50" i="8"/>
  <c r="CA57" i="8"/>
  <c r="CA51" i="8"/>
  <c r="CA52" i="8"/>
  <c r="CA58" i="8"/>
  <c r="CA53" i="8"/>
  <c r="CA54" i="8"/>
  <c r="CA59" i="8"/>
  <c r="CA55" i="8"/>
  <c r="CA60" i="8"/>
  <c r="CA56" i="8"/>
  <c r="BZ61" i="8"/>
  <c r="CA29" i="8"/>
  <c r="CA30" i="8"/>
  <c r="CA43" i="8"/>
  <c r="CA42" i="8"/>
  <c r="BZ31" i="8"/>
  <c r="CB7" i="8"/>
  <c r="BP10" i="10"/>
  <c r="BO21" i="10"/>
  <c r="BO20" i="10"/>
  <c r="BO19" i="10"/>
  <c r="BO17" i="10"/>
  <c r="BO13" i="10"/>
  <c r="BO15" i="10"/>
  <c r="CB73" i="8" l="1"/>
  <c r="CB92" i="8"/>
  <c r="CA23" i="8"/>
  <c r="CA24" i="8"/>
  <c r="CA10" i="8"/>
  <c r="BZ11" i="8"/>
  <c r="BW41" i="8"/>
  <c r="BW44" i="8" s="1"/>
  <c r="BX40" i="8"/>
  <c r="CB5" i="8"/>
  <c r="CB9" i="8"/>
  <c r="CB20" i="8"/>
  <c r="C140" i="6"/>
  <c r="B141" i="6"/>
  <c r="CB37" i="8"/>
  <c r="CB36" i="8"/>
  <c r="CB110" i="8"/>
  <c r="CB21" i="8"/>
  <c r="CB94" i="8"/>
  <c r="CA77" i="8"/>
  <c r="CB90" i="8"/>
  <c r="CB91" i="8"/>
  <c r="CB88" i="8"/>
  <c r="CB89" i="8"/>
  <c r="CB85" i="8"/>
  <c r="CB86" i="8"/>
  <c r="CB87" i="8"/>
  <c r="CB84" i="8"/>
  <c r="CB80" i="8"/>
  <c r="CB64" i="8"/>
  <c r="CB76" i="8"/>
  <c r="CB75" i="8"/>
  <c r="CB70" i="8"/>
  <c r="CB71" i="8"/>
  <c r="CB72" i="8"/>
  <c r="CB69" i="8"/>
  <c r="CB74" i="8"/>
  <c r="CB67" i="8"/>
  <c r="CB68" i="8"/>
  <c r="CA61" i="8"/>
  <c r="CB47" i="8"/>
  <c r="CB48" i="8"/>
  <c r="CB49" i="8"/>
  <c r="CB50" i="8"/>
  <c r="CB51" i="8"/>
  <c r="CB57" i="8"/>
  <c r="CB52" i="8"/>
  <c r="CB53" i="8"/>
  <c r="CB58" i="8"/>
  <c r="CB54" i="8"/>
  <c r="CB55" i="8"/>
  <c r="CB59" i="8"/>
  <c r="CB56" i="8"/>
  <c r="CB60" i="8"/>
  <c r="CA31" i="8"/>
  <c r="CB29" i="8"/>
  <c r="CB30" i="8"/>
  <c r="CB43" i="8"/>
  <c r="CB42" i="8"/>
  <c r="CC7" i="8"/>
  <c r="BP21" i="10"/>
  <c r="BP20" i="10"/>
  <c r="BP19" i="10"/>
  <c r="BP17" i="10"/>
  <c r="BP13" i="10"/>
  <c r="BP15" i="10"/>
  <c r="CC73" i="8" l="1"/>
  <c r="CC92" i="8"/>
  <c r="CB24" i="8"/>
  <c r="CB23" i="8"/>
  <c r="BX41" i="8"/>
  <c r="BX44" i="8" s="1"/>
  <c r="BY40" i="8"/>
  <c r="CC5" i="8"/>
  <c r="CC9" i="8"/>
  <c r="CC20" i="8"/>
  <c r="B142" i="6"/>
  <c r="C141" i="6"/>
  <c r="CB10" i="8"/>
  <c r="CA11" i="8"/>
  <c r="CC37" i="8"/>
  <c r="CC36" i="8"/>
  <c r="CC110" i="8"/>
  <c r="CC21" i="8"/>
  <c r="CB77" i="8"/>
  <c r="CC94" i="8"/>
  <c r="CC91" i="8"/>
  <c r="CC88" i="8"/>
  <c r="CC90" i="8"/>
  <c r="CC89" i="8"/>
  <c r="CC87" i="8"/>
  <c r="CC85" i="8"/>
  <c r="CC86" i="8"/>
  <c r="CC84" i="8"/>
  <c r="CC80" i="8"/>
  <c r="CC64" i="8"/>
  <c r="CC75" i="8"/>
  <c r="CC76" i="8"/>
  <c r="CC71" i="8"/>
  <c r="CC72" i="8"/>
  <c r="CC74" i="8"/>
  <c r="CC70" i="8"/>
  <c r="CC67" i="8"/>
  <c r="CC69" i="8"/>
  <c r="CC68" i="8"/>
  <c r="CB61" i="8"/>
  <c r="CC47" i="8"/>
  <c r="CC48" i="8"/>
  <c r="CC49" i="8"/>
  <c r="CC51" i="8"/>
  <c r="CC50" i="8"/>
  <c r="CC57" i="8"/>
  <c r="CC52" i="8"/>
  <c r="CC58" i="8"/>
  <c r="CC53" i="8"/>
  <c r="CC54" i="8"/>
  <c r="CC59" i="8"/>
  <c r="CC55" i="8"/>
  <c r="CC60" i="8"/>
  <c r="CC56" i="8"/>
  <c r="CB31" i="8"/>
  <c r="CC30" i="8"/>
  <c r="CC29" i="8"/>
  <c r="CC43" i="8"/>
  <c r="CC42" i="8"/>
  <c r="CD7" i="8"/>
  <c r="CD73" i="8" l="1"/>
  <c r="CD92" i="8"/>
  <c r="CC24" i="8"/>
  <c r="CC23" i="8"/>
  <c r="CD5" i="8"/>
  <c r="CD9" i="8"/>
  <c r="CD20" i="8"/>
  <c r="CC10" i="8"/>
  <c r="CB11" i="8"/>
  <c r="B143" i="6"/>
  <c r="C142" i="6"/>
  <c r="BY41" i="8"/>
  <c r="BY44" i="8" s="1"/>
  <c r="BZ40" i="8"/>
  <c r="CD37" i="8"/>
  <c r="CD36" i="8"/>
  <c r="CD110" i="8"/>
  <c r="CD21" i="8"/>
  <c r="CC77" i="8"/>
  <c r="CD94" i="8"/>
  <c r="CD91" i="8"/>
  <c r="CD88" i="8"/>
  <c r="CD90" i="8"/>
  <c r="CD89" i="8"/>
  <c r="CD86" i="8"/>
  <c r="CD84" i="8"/>
  <c r="CD87" i="8"/>
  <c r="CD85" i="8"/>
  <c r="CD80" i="8"/>
  <c r="CD64" i="8"/>
  <c r="CD76" i="8"/>
  <c r="CD72" i="8"/>
  <c r="CD69" i="8"/>
  <c r="CD74" i="8"/>
  <c r="CD70" i="8"/>
  <c r="CD67" i="8"/>
  <c r="CD75" i="8"/>
  <c r="CD68" i="8"/>
  <c r="CD71" i="8"/>
  <c r="CC61" i="8"/>
  <c r="CD47" i="8"/>
  <c r="CD48" i="8"/>
  <c r="CD49" i="8"/>
  <c r="CD51" i="8"/>
  <c r="CD50" i="8"/>
  <c r="CD52" i="8"/>
  <c r="CD57" i="8"/>
  <c r="CD58" i="8"/>
  <c r="CD53" i="8"/>
  <c r="CD54" i="8"/>
  <c r="CD59" i="8"/>
  <c r="CD55" i="8"/>
  <c r="CD60" i="8"/>
  <c r="CD56" i="8"/>
  <c r="CC31" i="8"/>
  <c r="CD29" i="8"/>
  <c r="CD30" i="8"/>
  <c r="CD43" i="8"/>
  <c r="CD42" i="8"/>
  <c r="CE7" i="8"/>
  <c r="CE73" i="8" l="1"/>
  <c r="CE92" i="8"/>
  <c r="CD24" i="8"/>
  <c r="CD23" i="8"/>
  <c r="CD10" i="8"/>
  <c r="CC11" i="8"/>
  <c r="B144" i="6"/>
  <c r="C143" i="6"/>
  <c r="CE5" i="8"/>
  <c r="CE9" i="8"/>
  <c r="CE20" i="8"/>
  <c r="BZ41" i="8"/>
  <c r="BZ44" i="8" s="1"/>
  <c r="CA40" i="8"/>
  <c r="CE37" i="8"/>
  <c r="CE36" i="8"/>
  <c r="CE110" i="8"/>
  <c r="CE21" i="8"/>
  <c r="CE94" i="8"/>
  <c r="CD77" i="8"/>
  <c r="CE91" i="8"/>
  <c r="CE90" i="8"/>
  <c r="CE89" i="8"/>
  <c r="CE86" i="8"/>
  <c r="CE84" i="8"/>
  <c r="CE85" i="8"/>
  <c r="CE87" i="8"/>
  <c r="CE88" i="8"/>
  <c r="CE80" i="8"/>
  <c r="CE64" i="8"/>
  <c r="CD31" i="8"/>
  <c r="CE75" i="8"/>
  <c r="CE74" i="8"/>
  <c r="CE70" i="8"/>
  <c r="CE71" i="8"/>
  <c r="CE76" i="8"/>
  <c r="CE72" i="8"/>
  <c r="CE68" i="8"/>
  <c r="CE69" i="8"/>
  <c r="CE67" i="8"/>
  <c r="CD61" i="8"/>
  <c r="CE47" i="8"/>
  <c r="CE48" i="8"/>
  <c r="CE49" i="8"/>
  <c r="CE50" i="8"/>
  <c r="CE51" i="8"/>
  <c r="CE57" i="8"/>
  <c r="CE52" i="8"/>
  <c r="CE53" i="8"/>
  <c r="CE58" i="8"/>
  <c r="CE54" i="8"/>
  <c r="CE56" i="8"/>
  <c r="CE55" i="8"/>
  <c r="CE59" i="8"/>
  <c r="CE60" i="8"/>
  <c r="CE29" i="8"/>
  <c r="CE30" i="8"/>
  <c r="CE43" i="8"/>
  <c r="CE42" i="8"/>
  <c r="CF7" i="8"/>
  <c r="CF73" i="8" l="1"/>
  <c r="CF92" i="8"/>
  <c r="CE23" i="8"/>
  <c r="CE24" i="8"/>
  <c r="C144" i="6"/>
  <c r="B145" i="6"/>
  <c r="CF5" i="8"/>
  <c r="CF9" i="8"/>
  <c r="CF20" i="8"/>
  <c r="CA41" i="8"/>
  <c r="CA44" i="8" s="1"/>
  <c r="CB40" i="8"/>
  <c r="CE10" i="8"/>
  <c r="CD11" i="8"/>
  <c r="CF37" i="8"/>
  <c r="CF36" i="8"/>
  <c r="CF110" i="8"/>
  <c r="CF21" i="8"/>
  <c r="CF94" i="8"/>
  <c r="CE77" i="8"/>
  <c r="CF90" i="8"/>
  <c r="CF91" i="8"/>
  <c r="CF88" i="8"/>
  <c r="CF85" i="8"/>
  <c r="CF87" i="8"/>
  <c r="CF89" i="8"/>
  <c r="CF86" i="8"/>
  <c r="CF84" i="8"/>
  <c r="CF80" i="8"/>
  <c r="CF64" i="8"/>
  <c r="CF76" i="8"/>
  <c r="CF70" i="8"/>
  <c r="CF71" i="8"/>
  <c r="CF75" i="8"/>
  <c r="CF72" i="8"/>
  <c r="CF69" i="8"/>
  <c r="CF74" i="8"/>
  <c r="CF68" i="8"/>
  <c r="CF67" i="8"/>
  <c r="CE61" i="8"/>
  <c r="CF47" i="8"/>
  <c r="CF49" i="8"/>
  <c r="CF48" i="8"/>
  <c r="CF50" i="8"/>
  <c r="CF51" i="8"/>
  <c r="CF57" i="8"/>
  <c r="CF58" i="8"/>
  <c r="CF52" i="8"/>
  <c r="CF53" i="8"/>
  <c r="CF54" i="8"/>
  <c r="CF55" i="8"/>
  <c r="CF59" i="8"/>
  <c r="CF60" i="8"/>
  <c r="CF56" i="8"/>
  <c r="CE31" i="8"/>
  <c r="CF29" i="8"/>
  <c r="CF30" i="8"/>
  <c r="CF43" i="8"/>
  <c r="CF42" i="8"/>
  <c r="CG7" i="8"/>
  <c r="CG73" i="8" l="1"/>
  <c r="CG92" i="8"/>
  <c r="CF24" i="8"/>
  <c r="CF23" i="8"/>
  <c r="CF10" i="8"/>
  <c r="CE11" i="8"/>
  <c r="CB41" i="8"/>
  <c r="CB44" i="8" s="1"/>
  <c r="CC40" i="8"/>
  <c r="B146" i="6"/>
  <c r="C145" i="6"/>
  <c r="CG5" i="8"/>
  <c r="CG9" i="8"/>
  <c r="CG20" i="8"/>
  <c r="CG37" i="8"/>
  <c r="CG36" i="8"/>
  <c r="CG110" i="8"/>
  <c r="CG21" i="8"/>
  <c r="CG94" i="8"/>
  <c r="CF77" i="8"/>
  <c r="CG91" i="8"/>
  <c r="CG88" i="8"/>
  <c r="CG89" i="8"/>
  <c r="CG90" i="8"/>
  <c r="CG87" i="8"/>
  <c r="CG86" i="8"/>
  <c r="CG84" i="8"/>
  <c r="CG85" i="8"/>
  <c r="CG80" i="8"/>
  <c r="CG64" i="8"/>
  <c r="CG75" i="8"/>
  <c r="CG76" i="8"/>
  <c r="CG71" i="8"/>
  <c r="CG72" i="8"/>
  <c r="CG74" i="8"/>
  <c r="CG70" i="8"/>
  <c r="CG69" i="8"/>
  <c r="CG67" i="8"/>
  <c r="CG68" i="8"/>
  <c r="CG47" i="8"/>
  <c r="CG49" i="8"/>
  <c r="CG48" i="8"/>
  <c r="CG50" i="8"/>
  <c r="CG57" i="8"/>
  <c r="CG52" i="8"/>
  <c r="CG58" i="8"/>
  <c r="CG51" i="8"/>
  <c r="CG53" i="8"/>
  <c r="CG54" i="8"/>
  <c r="CG55" i="8"/>
  <c r="CG59" i="8"/>
  <c r="CG56" i="8"/>
  <c r="CG60" i="8"/>
  <c r="CF31" i="8"/>
  <c r="CF61" i="8"/>
  <c r="CG29" i="8"/>
  <c r="CG30" i="8"/>
  <c r="CG43" i="8"/>
  <c r="CG42" i="8"/>
  <c r="CH7" i="8"/>
  <c r="CH73" i="8" l="1"/>
  <c r="CH92" i="8"/>
  <c r="CG24" i="8"/>
  <c r="CG23" i="8"/>
  <c r="CC41" i="8"/>
  <c r="CC44" i="8" s="1"/>
  <c r="CD40" i="8"/>
  <c r="CH5" i="8"/>
  <c r="CH9" i="8"/>
  <c r="CH20" i="8"/>
  <c r="B147" i="6"/>
  <c r="C146" i="6"/>
  <c r="CG10" i="8"/>
  <c r="CF11" i="8"/>
  <c r="CH37" i="8"/>
  <c r="CH36" i="8"/>
  <c r="CH110" i="8"/>
  <c r="CH21" i="8"/>
  <c r="CG77" i="8"/>
  <c r="CH94" i="8"/>
  <c r="CH91" i="8"/>
  <c r="CH88" i="8"/>
  <c r="CH89" i="8"/>
  <c r="CH90" i="8"/>
  <c r="CH87" i="8"/>
  <c r="CH86" i="8"/>
  <c r="CH84" i="8"/>
  <c r="CH85" i="8"/>
  <c r="CH80" i="8"/>
  <c r="CH64" i="8"/>
  <c r="CH76" i="8"/>
  <c r="CH72" i="8"/>
  <c r="CH69" i="8"/>
  <c r="CH75" i="8"/>
  <c r="CH74" i="8"/>
  <c r="CH70" i="8"/>
  <c r="CH67" i="8"/>
  <c r="CH68" i="8"/>
  <c r="CH71" i="8"/>
  <c r="CG31" i="8"/>
  <c r="CH47" i="8"/>
  <c r="CH48" i="8"/>
  <c r="CH49" i="8"/>
  <c r="CH51" i="8"/>
  <c r="CH50" i="8"/>
  <c r="CH52" i="8"/>
  <c r="CH57" i="8"/>
  <c r="CH58" i="8"/>
  <c r="CH53" i="8"/>
  <c r="CH54" i="8"/>
  <c r="CH55" i="8"/>
  <c r="CH56" i="8"/>
  <c r="CH59" i="8"/>
  <c r="CH60" i="8"/>
  <c r="CG61" i="8"/>
  <c r="CH29" i="8"/>
  <c r="CH30" i="8"/>
  <c r="CH43" i="8"/>
  <c r="CH42" i="8"/>
  <c r="CI7" i="8"/>
  <c r="CI73" i="8" l="1"/>
  <c r="CI92" i="8"/>
  <c r="CH24" i="8"/>
  <c r="CH23" i="8"/>
  <c r="CI5" i="8"/>
  <c r="CI9" i="8"/>
  <c r="CI20" i="8"/>
  <c r="CH10" i="8"/>
  <c r="CG11" i="8"/>
  <c r="C147" i="6"/>
  <c r="B148" i="6"/>
  <c r="CD41" i="8"/>
  <c r="CD44" i="8" s="1"/>
  <c r="CE40" i="8"/>
  <c r="CI37" i="8"/>
  <c r="CI36" i="8"/>
  <c r="CI110" i="8"/>
  <c r="CI21" i="8"/>
  <c r="CI94" i="8"/>
  <c r="CH77" i="8"/>
  <c r="CI89" i="8"/>
  <c r="CI90" i="8"/>
  <c r="CI86" i="8"/>
  <c r="CI84" i="8"/>
  <c r="CI85" i="8"/>
  <c r="CI91" i="8"/>
  <c r="CI88" i="8"/>
  <c r="CI87" i="8"/>
  <c r="CI80" i="8"/>
  <c r="CI64" i="8"/>
  <c r="CI75" i="8"/>
  <c r="CI74" i="8"/>
  <c r="CI70" i="8"/>
  <c r="CI76" i="8"/>
  <c r="CI71" i="8"/>
  <c r="CI68" i="8"/>
  <c r="CI72" i="8"/>
  <c r="CI69" i="8"/>
  <c r="CI67" i="8"/>
  <c r="CI47" i="8"/>
  <c r="CI48" i="8"/>
  <c r="CI49" i="8"/>
  <c r="CI51" i="8"/>
  <c r="CI50" i="8"/>
  <c r="CI57" i="8"/>
  <c r="CI52" i="8"/>
  <c r="CI58" i="8"/>
  <c r="CI53" i="8"/>
  <c r="CI54" i="8"/>
  <c r="CI59" i="8"/>
  <c r="CI55" i="8"/>
  <c r="CI60" i="8"/>
  <c r="CI56" i="8"/>
  <c r="CH31" i="8"/>
  <c r="CH61" i="8"/>
  <c r="CI29" i="8"/>
  <c r="CI30" i="8"/>
  <c r="CI43" i="8"/>
  <c r="CI42" i="8"/>
  <c r="CJ7" i="8"/>
  <c r="CJ73" i="8" l="1"/>
  <c r="CJ92" i="8"/>
  <c r="CI23" i="8"/>
  <c r="CI24" i="8"/>
  <c r="CI10" i="8"/>
  <c r="CH11" i="8"/>
  <c r="C148" i="6"/>
  <c r="B149" i="6"/>
  <c r="CJ5" i="8"/>
  <c r="CJ9" i="8"/>
  <c r="CJ20" i="8"/>
  <c r="CE41" i="8"/>
  <c r="CE44" i="8" s="1"/>
  <c r="CF40" i="8"/>
  <c r="CJ37" i="8"/>
  <c r="CJ36" i="8"/>
  <c r="CJ110" i="8"/>
  <c r="CJ21" i="8"/>
  <c r="CJ94" i="8"/>
  <c r="CI77" i="8"/>
  <c r="CJ90" i="8"/>
  <c r="CJ91" i="8"/>
  <c r="CJ88" i="8"/>
  <c r="CJ85" i="8"/>
  <c r="CJ87" i="8"/>
  <c r="CJ89" i="8"/>
  <c r="CJ86" i="8"/>
  <c r="CJ84" i="8"/>
  <c r="CJ80" i="8"/>
  <c r="CJ64" i="8"/>
  <c r="CJ76" i="8"/>
  <c r="CJ75" i="8"/>
  <c r="CJ70" i="8"/>
  <c r="CJ71" i="8"/>
  <c r="CJ72" i="8"/>
  <c r="CJ69" i="8"/>
  <c r="CJ74" i="8"/>
  <c r="CJ67" i="8"/>
  <c r="CJ68" i="8"/>
  <c r="CJ47" i="8"/>
  <c r="CJ49" i="8"/>
  <c r="CJ48" i="8"/>
  <c r="CJ50" i="8"/>
  <c r="CJ51" i="8"/>
  <c r="CJ58" i="8"/>
  <c r="CJ57" i="8"/>
  <c r="CJ52" i="8"/>
  <c r="CJ53" i="8"/>
  <c r="CJ54" i="8"/>
  <c r="CJ55" i="8"/>
  <c r="CJ59" i="8"/>
  <c r="CJ56" i="8"/>
  <c r="CJ60" i="8"/>
  <c r="CI61" i="8"/>
  <c r="CI31" i="8"/>
  <c r="CJ29" i="8"/>
  <c r="CJ30" i="8"/>
  <c r="CJ43" i="8"/>
  <c r="CJ42" i="8"/>
  <c r="CK7" i="8"/>
  <c r="CK73" i="8" l="1"/>
  <c r="CK92" i="8"/>
  <c r="CJ24" i="8"/>
  <c r="CJ23" i="8"/>
  <c r="C149" i="6"/>
  <c r="B150" i="6"/>
  <c r="CK5" i="8"/>
  <c r="CK9" i="8"/>
  <c r="CK20" i="8"/>
  <c r="CF41" i="8"/>
  <c r="CF44" i="8" s="1"/>
  <c r="CG40" i="8"/>
  <c r="CJ10" i="8"/>
  <c r="CI11" i="8"/>
  <c r="CK37" i="8"/>
  <c r="CK36" i="8"/>
  <c r="CK110" i="8"/>
  <c r="CK21" i="8"/>
  <c r="CJ77" i="8"/>
  <c r="CK94" i="8"/>
  <c r="CK91" i="8"/>
  <c r="CK90" i="8"/>
  <c r="CK88" i="8"/>
  <c r="CK89" i="8"/>
  <c r="CK87" i="8"/>
  <c r="CK85" i="8"/>
  <c r="CK86" i="8"/>
  <c r="CK84" i="8"/>
  <c r="CK80" i="8"/>
  <c r="CK64" i="8"/>
  <c r="CK75" i="8"/>
  <c r="CK76" i="8"/>
  <c r="CK71" i="8"/>
  <c r="CK72" i="8"/>
  <c r="CK74" i="8"/>
  <c r="CK70" i="8"/>
  <c r="CK67" i="8"/>
  <c r="CK69" i="8"/>
  <c r="CK68" i="8"/>
  <c r="CK47" i="8"/>
  <c r="CK49" i="8"/>
  <c r="CK48" i="8"/>
  <c r="CK51" i="8"/>
  <c r="CK50" i="8"/>
  <c r="CK52" i="8"/>
  <c r="CK57" i="8"/>
  <c r="CK58" i="8"/>
  <c r="CK53" i="8"/>
  <c r="CK54" i="8"/>
  <c r="CK59" i="8"/>
  <c r="CK55" i="8"/>
  <c r="CK56" i="8"/>
  <c r="CK60" i="8"/>
  <c r="CJ61" i="8"/>
  <c r="CK30" i="8"/>
  <c r="CK29" i="8"/>
  <c r="CK43" i="8"/>
  <c r="CK42" i="8"/>
  <c r="CJ31" i="8"/>
  <c r="CL7" i="8"/>
  <c r="CL73" i="8" l="1"/>
  <c r="CL92" i="8"/>
  <c r="CK93" i="8"/>
  <c r="CK23" i="8"/>
  <c r="CK24" i="8"/>
  <c r="CK10" i="8"/>
  <c r="CJ11" i="8"/>
  <c r="CG41" i="8"/>
  <c r="CG44" i="8" s="1"/>
  <c r="CH40" i="8"/>
  <c r="C150" i="6"/>
  <c r="B151" i="6"/>
  <c r="CL5" i="8"/>
  <c r="CL9" i="8"/>
  <c r="CL20" i="8"/>
  <c r="CK25" i="8"/>
  <c r="CK112" i="8"/>
  <c r="CL37" i="8"/>
  <c r="CL36" i="8"/>
  <c r="CL110" i="8"/>
  <c r="CL21" i="8"/>
  <c r="CK77" i="8"/>
  <c r="CL94" i="8"/>
  <c r="CL91" i="8"/>
  <c r="CL88" i="8"/>
  <c r="CL89" i="8"/>
  <c r="CL86" i="8"/>
  <c r="CL84" i="8"/>
  <c r="CL90" i="8"/>
  <c r="CL85" i="8"/>
  <c r="CL87" i="8"/>
  <c r="CL80" i="8"/>
  <c r="CK31" i="8"/>
  <c r="CL64" i="8"/>
  <c r="CL76" i="8"/>
  <c r="CL72" i="8"/>
  <c r="CL69" i="8"/>
  <c r="CL74" i="8"/>
  <c r="CL70" i="8"/>
  <c r="CL75" i="8"/>
  <c r="CL67" i="8"/>
  <c r="CL71" i="8"/>
  <c r="CL68" i="8"/>
  <c r="CL47" i="8"/>
  <c r="CL49" i="8"/>
  <c r="CL48" i="8"/>
  <c r="CL51" i="8"/>
  <c r="CL50" i="8"/>
  <c r="CL57" i="8"/>
  <c r="CL52" i="8"/>
  <c r="CL58" i="8"/>
  <c r="CL53" i="8"/>
  <c r="CL54" i="8"/>
  <c r="CL56" i="8"/>
  <c r="CL55" i="8"/>
  <c r="CL59" i="8"/>
  <c r="CL60" i="8"/>
  <c r="CK61" i="8"/>
  <c r="CL29" i="8"/>
  <c r="CL30" i="8"/>
  <c r="CL43" i="8"/>
  <c r="CL42" i="8"/>
  <c r="CM7" i="8"/>
  <c r="CM73" i="8" l="1"/>
  <c r="CM92" i="8"/>
  <c r="CL93" i="8"/>
  <c r="CL24" i="8"/>
  <c r="CL23" i="8"/>
  <c r="CK26" i="8"/>
  <c r="CH41" i="8"/>
  <c r="CH44" i="8" s="1"/>
  <c r="CI40" i="8"/>
  <c r="B152" i="6"/>
  <c r="C151" i="6"/>
  <c r="CM5" i="8"/>
  <c r="CM9" i="8"/>
  <c r="CM20" i="8"/>
  <c r="CL10" i="8"/>
  <c r="CK11" i="8"/>
  <c r="CL100" i="8"/>
  <c r="CL25" i="8"/>
  <c r="CL112" i="8"/>
  <c r="CM37" i="8"/>
  <c r="CM36" i="8"/>
  <c r="CM110" i="8"/>
  <c r="CM21" i="8"/>
  <c r="CL77" i="8"/>
  <c r="CM94" i="8"/>
  <c r="CM89" i="8"/>
  <c r="CM91" i="8"/>
  <c r="CM90" i="8"/>
  <c r="CM86" i="8"/>
  <c r="CM84" i="8"/>
  <c r="CM88" i="8"/>
  <c r="CM85" i="8"/>
  <c r="CM87" i="8"/>
  <c r="CM80" i="8"/>
  <c r="CM64" i="8"/>
  <c r="CM75" i="8"/>
  <c r="CM74" i="8"/>
  <c r="CM76" i="8"/>
  <c r="CM70" i="8"/>
  <c r="CM71" i="8"/>
  <c r="CM68" i="8"/>
  <c r="CM69" i="8"/>
  <c r="CM72" i="8"/>
  <c r="CM67" i="8"/>
  <c r="CM47" i="8"/>
  <c r="CM48" i="8"/>
  <c r="CM49" i="8"/>
  <c r="CM50" i="8"/>
  <c r="CM51" i="8"/>
  <c r="CM58" i="8"/>
  <c r="CM52" i="8"/>
  <c r="CM57" i="8"/>
  <c r="CM53" i="8"/>
  <c r="CM54" i="8"/>
  <c r="CM55" i="8"/>
  <c r="CM59" i="8"/>
  <c r="CM60" i="8"/>
  <c r="CM56" i="8"/>
  <c r="CL61" i="8"/>
  <c r="CM29" i="8"/>
  <c r="CM30" i="8"/>
  <c r="CM43" i="8"/>
  <c r="CM42" i="8"/>
  <c r="CL31" i="8"/>
  <c r="CN7" i="8"/>
  <c r="CN73" i="8" l="1"/>
  <c r="CN92" i="8"/>
  <c r="CM93" i="8"/>
  <c r="CM23" i="8"/>
  <c r="CM24" i="8"/>
  <c r="CL26" i="8"/>
  <c r="CM10" i="8"/>
  <c r="CL11" i="8"/>
  <c r="C152" i="6"/>
  <c r="B153" i="6"/>
  <c r="CI41" i="8"/>
  <c r="CI44" i="8" s="1"/>
  <c r="CJ40" i="8"/>
  <c r="CN5" i="8"/>
  <c r="CN9" i="8"/>
  <c r="CN20" i="8"/>
  <c r="CM100" i="8"/>
  <c r="CM25" i="8"/>
  <c r="CM112" i="8"/>
  <c r="CN37" i="8"/>
  <c r="CN36" i="8"/>
  <c r="CN110" i="8"/>
  <c r="CN21" i="8"/>
  <c r="CM77" i="8"/>
  <c r="CN94" i="8"/>
  <c r="CN90" i="8"/>
  <c r="CN91" i="8"/>
  <c r="CN88" i="8"/>
  <c r="CN85" i="8"/>
  <c r="CN86" i="8"/>
  <c r="CN89" i="8"/>
  <c r="CN87" i="8"/>
  <c r="CN84" i="8"/>
  <c r="CN80" i="8"/>
  <c r="CN64" i="8"/>
  <c r="CN76" i="8"/>
  <c r="CN70" i="8"/>
  <c r="CN71" i="8"/>
  <c r="CN75" i="8"/>
  <c r="CN72" i="8"/>
  <c r="CN69" i="8"/>
  <c r="CN68" i="8"/>
  <c r="CN67" i="8"/>
  <c r="CN74" i="8"/>
  <c r="CN47" i="8"/>
  <c r="CN48" i="8"/>
  <c r="CN49" i="8"/>
  <c r="CN50" i="8"/>
  <c r="CN51" i="8"/>
  <c r="CN57" i="8"/>
  <c r="CN52" i="8"/>
  <c r="CN58" i="8"/>
  <c r="CN53" i="8"/>
  <c r="CN54" i="8"/>
  <c r="CN59" i="8"/>
  <c r="CN55" i="8"/>
  <c r="CN56" i="8"/>
  <c r="CN60" i="8"/>
  <c r="CM61" i="8"/>
  <c r="CN29" i="8"/>
  <c r="CN30" i="8"/>
  <c r="CN43" i="8"/>
  <c r="CN42" i="8"/>
  <c r="CM31" i="8"/>
  <c r="CO7" i="8"/>
  <c r="CO73" i="8" l="1"/>
  <c r="CO92" i="8"/>
  <c r="CN93" i="8"/>
  <c r="CN24" i="8"/>
  <c r="CN23" i="8"/>
  <c r="CM26" i="8"/>
  <c r="C153" i="6"/>
  <c r="B154" i="6"/>
  <c r="CJ41" i="8"/>
  <c r="CJ44" i="8" s="1"/>
  <c r="CK40" i="8"/>
  <c r="CO5" i="8"/>
  <c r="CO9" i="8"/>
  <c r="CO20" i="8"/>
  <c r="CN10" i="8"/>
  <c r="CM11" i="8"/>
  <c r="CN100" i="8"/>
  <c r="CN25" i="8"/>
  <c r="CN112" i="8"/>
  <c r="CO37" i="8"/>
  <c r="CO36" i="8"/>
  <c r="CO110" i="8"/>
  <c r="CO21" i="8"/>
  <c r="CO94" i="8"/>
  <c r="CN77" i="8"/>
  <c r="CO91" i="8"/>
  <c r="CO90" i="8"/>
  <c r="CO88" i="8"/>
  <c r="CO89" i="8"/>
  <c r="CO87" i="8"/>
  <c r="CO85" i="8"/>
  <c r="CO86" i="8"/>
  <c r="CO84" i="8"/>
  <c r="CO80" i="8"/>
  <c r="CO64" i="8"/>
  <c r="CO75" i="8"/>
  <c r="CO76" i="8"/>
  <c r="CO71" i="8"/>
  <c r="CO72" i="8"/>
  <c r="CO74" i="8"/>
  <c r="CO69" i="8"/>
  <c r="CO68" i="8"/>
  <c r="CO67" i="8"/>
  <c r="CO70" i="8"/>
  <c r="CN61" i="8"/>
  <c r="CO47" i="8"/>
  <c r="CO48" i="8"/>
  <c r="CO50" i="8"/>
  <c r="CO49" i="8"/>
  <c r="CO57" i="8"/>
  <c r="CO51" i="8"/>
  <c r="CO52" i="8"/>
  <c r="CO58" i="8"/>
  <c r="CO53" i="8"/>
  <c r="CO54" i="8"/>
  <c r="CO59" i="8"/>
  <c r="CO56" i="8"/>
  <c r="CO55" i="8"/>
  <c r="CO60" i="8"/>
  <c r="CN31" i="8"/>
  <c r="CO29" i="8"/>
  <c r="CO30" i="8"/>
  <c r="CO43" i="8"/>
  <c r="CO42" i="8"/>
  <c r="CP7" i="8"/>
  <c r="CP73" i="8" l="1"/>
  <c r="CP92" i="8"/>
  <c r="CO23" i="8"/>
  <c r="CO24" i="8"/>
  <c r="CN26" i="8"/>
  <c r="CO10" i="8"/>
  <c r="CN11" i="8"/>
  <c r="CK41" i="8"/>
  <c r="CK44" i="8" s="1"/>
  <c r="CL40" i="8"/>
  <c r="B155" i="6"/>
  <c r="C154" i="6"/>
  <c r="CP5" i="8"/>
  <c r="CP9" i="8"/>
  <c r="CP20" i="8"/>
  <c r="CO93" i="8"/>
  <c r="CO100" i="8"/>
  <c r="CO25" i="8"/>
  <c r="CO112" i="8"/>
  <c r="CP37" i="8"/>
  <c r="CP36" i="8"/>
  <c r="CP110" i="8"/>
  <c r="CP21" i="8"/>
  <c r="CP94" i="8"/>
  <c r="CO77" i="8"/>
  <c r="CP91" i="8"/>
  <c r="CP90" i="8"/>
  <c r="CP88" i="8"/>
  <c r="CP89" i="8"/>
  <c r="CP86" i="8"/>
  <c r="CP84" i="8"/>
  <c r="CP87" i="8"/>
  <c r="CP85" i="8"/>
  <c r="CP80" i="8"/>
  <c r="CP64" i="8"/>
  <c r="CP76" i="8"/>
  <c r="CP72" i="8"/>
  <c r="CP69" i="8"/>
  <c r="CP75" i="8"/>
  <c r="CP74" i="8"/>
  <c r="CP70" i="8"/>
  <c r="CP71" i="8"/>
  <c r="CP67" i="8"/>
  <c r="CP68" i="8"/>
  <c r="CO61" i="8"/>
  <c r="CP47" i="8"/>
  <c r="CP49" i="8"/>
  <c r="CP48" i="8"/>
  <c r="CP50" i="8"/>
  <c r="CP51" i="8"/>
  <c r="CP52" i="8"/>
  <c r="CP57" i="8"/>
  <c r="CP58" i="8"/>
  <c r="CP53" i="8"/>
  <c r="CP54" i="8"/>
  <c r="CP59" i="8"/>
  <c r="CP55" i="8"/>
  <c r="CP60" i="8"/>
  <c r="CP56" i="8"/>
  <c r="CO31" i="8"/>
  <c r="CP29" i="8"/>
  <c r="CP30" i="8"/>
  <c r="CP43" i="8"/>
  <c r="CP42" i="8"/>
  <c r="CQ7" i="8"/>
  <c r="CQ73" i="8" l="1"/>
  <c r="CQ92" i="8"/>
  <c r="CP93" i="8"/>
  <c r="CP24" i="8"/>
  <c r="CP23" i="8"/>
  <c r="CO26" i="8"/>
  <c r="CL41" i="8"/>
  <c r="CL44" i="8" s="1"/>
  <c r="CM40" i="8"/>
  <c r="CQ5" i="8"/>
  <c r="CQ9" i="8"/>
  <c r="CQ20" i="8"/>
  <c r="B156" i="6"/>
  <c r="C155" i="6"/>
  <c r="CP10" i="8"/>
  <c r="CO11" i="8"/>
  <c r="CP100" i="8"/>
  <c r="CP25" i="8"/>
  <c r="CP112" i="8"/>
  <c r="CQ37" i="8"/>
  <c r="CQ36" i="8"/>
  <c r="CQ110" i="8"/>
  <c r="CQ21" i="8"/>
  <c r="CP77" i="8"/>
  <c r="CQ94" i="8"/>
  <c r="CQ90" i="8"/>
  <c r="CQ89" i="8"/>
  <c r="CQ91" i="8"/>
  <c r="CQ88" i="8"/>
  <c r="CQ86" i="8"/>
  <c r="CQ84" i="8"/>
  <c r="CQ85" i="8"/>
  <c r="CQ87" i="8"/>
  <c r="CQ80" i="8"/>
  <c r="CQ64" i="8"/>
  <c r="CP31" i="8"/>
  <c r="CQ75" i="8"/>
  <c r="CQ76" i="8"/>
  <c r="CQ74" i="8"/>
  <c r="CQ70" i="8"/>
  <c r="CQ71" i="8"/>
  <c r="CQ68" i="8"/>
  <c r="CQ72" i="8"/>
  <c r="CQ69" i="8"/>
  <c r="CQ67" i="8"/>
  <c r="CQ47" i="8"/>
  <c r="CQ48" i="8"/>
  <c r="CQ49" i="8"/>
  <c r="CQ50" i="8"/>
  <c r="CQ51" i="8"/>
  <c r="CQ52" i="8"/>
  <c r="CQ57" i="8"/>
  <c r="CQ58" i="8"/>
  <c r="CQ53" i="8"/>
  <c r="CQ54" i="8"/>
  <c r="CQ55" i="8"/>
  <c r="CQ59" i="8"/>
  <c r="CQ56" i="8"/>
  <c r="CQ60" i="8"/>
  <c r="CP61" i="8"/>
  <c r="CQ29" i="8"/>
  <c r="CQ30" i="8"/>
  <c r="CQ43" i="8"/>
  <c r="CQ42" i="8"/>
  <c r="CR7" i="8"/>
  <c r="CR73" i="8" l="1"/>
  <c r="CR92" i="8"/>
  <c r="CQ93" i="8"/>
  <c r="CQ23" i="8"/>
  <c r="CQ24" i="8"/>
  <c r="CP26" i="8"/>
  <c r="CQ10" i="8"/>
  <c r="CP11" i="8"/>
  <c r="B157" i="6"/>
  <c r="C156" i="6"/>
  <c r="CM41" i="8"/>
  <c r="CM44" i="8" s="1"/>
  <c r="CN40" i="8"/>
  <c r="CR5" i="8"/>
  <c r="CR9" i="8"/>
  <c r="CR20" i="8"/>
  <c r="CQ100" i="8"/>
  <c r="CQ25" i="8"/>
  <c r="CQ112" i="8"/>
  <c r="CR37" i="8"/>
  <c r="CR36" i="8"/>
  <c r="CR110" i="8"/>
  <c r="CR21" i="8"/>
  <c r="CR94" i="8"/>
  <c r="CQ77" i="8"/>
  <c r="CR90" i="8"/>
  <c r="CR91" i="8"/>
  <c r="CR88" i="8"/>
  <c r="CR89" i="8"/>
  <c r="CR85" i="8"/>
  <c r="CR87" i="8"/>
  <c r="CR86" i="8"/>
  <c r="CR84" i="8"/>
  <c r="CR80" i="8"/>
  <c r="CR64" i="8"/>
  <c r="CR76" i="8"/>
  <c r="CR75" i="8"/>
  <c r="CR70" i="8"/>
  <c r="CR71" i="8"/>
  <c r="CR72" i="8"/>
  <c r="CR69" i="8"/>
  <c r="CR68" i="8"/>
  <c r="CR74" i="8"/>
  <c r="CR67" i="8"/>
  <c r="CR47" i="8"/>
  <c r="CR48" i="8"/>
  <c r="CR49" i="8"/>
  <c r="CR51" i="8"/>
  <c r="CR50" i="8"/>
  <c r="CR57" i="8"/>
  <c r="CR52" i="8"/>
  <c r="CR53" i="8"/>
  <c r="CR58" i="8"/>
  <c r="CR54" i="8"/>
  <c r="CR55" i="8"/>
  <c r="CR59" i="8"/>
  <c r="CR56" i="8"/>
  <c r="CR60" i="8"/>
  <c r="CQ61" i="8"/>
  <c r="CR29" i="8"/>
  <c r="CR30" i="8"/>
  <c r="CR43" i="8"/>
  <c r="CR42" i="8"/>
  <c r="CQ31" i="8"/>
  <c r="CS7" i="8"/>
  <c r="CS73" i="8" l="1"/>
  <c r="CS92" i="8"/>
  <c r="CR24" i="8"/>
  <c r="CR23" i="8"/>
  <c r="CQ26" i="8"/>
  <c r="B158" i="6"/>
  <c r="C157" i="6"/>
  <c r="CN41" i="8"/>
  <c r="CN44" i="8" s="1"/>
  <c r="CO40" i="8"/>
  <c r="CS5" i="8"/>
  <c r="CS9" i="8"/>
  <c r="CS20" i="8"/>
  <c r="CR10" i="8"/>
  <c r="CQ11" i="8"/>
  <c r="CR93" i="8"/>
  <c r="CR100" i="8"/>
  <c r="CR25" i="8"/>
  <c r="CR112" i="8"/>
  <c r="CS37" i="8"/>
  <c r="CS36" i="8"/>
  <c r="CS110" i="8"/>
  <c r="CS21" i="8"/>
  <c r="CR77" i="8"/>
  <c r="CS94" i="8"/>
  <c r="CS91" i="8"/>
  <c r="CS88" i="8"/>
  <c r="CS89" i="8"/>
  <c r="CS87" i="8"/>
  <c r="CS85" i="8"/>
  <c r="CS90" i="8"/>
  <c r="CS86" i="8"/>
  <c r="CS84" i="8"/>
  <c r="CS80" i="8"/>
  <c r="CS64" i="8"/>
  <c r="CS75" i="8"/>
  <c r="CS76" i="8"/>
  <c r="CS71" i="8"/>
  <c r="CS72" i="8"/>
  <c r="CS74" i="8"/>
  <c r="CS68" i="8"/>
  <c r="CS70" i="8"/>
  <c r="CS67" i="8"/>
  <c r="CS69" i="8"/>
  <c r="CS47" i="8"/>
  <c r="CS48" i="8"/>
  <c r="CS50" i="8"/>
  <c r="CS49" i="8"/>
  <c r="CS57" i="8"/>
  <c r="CS51" i="8"/>
  <c r="CS52" i="8"/>
  <c r="CS58" i="8"/>
  <c r="CS53" i="8"/>
  <c r="CS54" i="8"/>
  <c r="CS55" i="8"/>
  <c r="CS59" i="8"/>
  <c r="CS56" i="8"/>
  <c r="CS60" i="8"/>
  <c r="CR61" i="8"/>
  <c r="CR31" i="8"/>
  <c r="CS29" i="8"/>
  <c r="CS30" i="8"/>
  <c r="CS43" i="8"/>
  <c r="CS42" i="8"/>
  <c r="CT7" i="8"/>
  <c r="CT73" i="8" l="1"/>
  <c r="CT92" i="8"/>
  <c r="CS93" i="8"/>
  <c r="CS24" i="8"/>
  <c r="CS23" i="8"/>
  <c r="CR26" i="8"/>
  <c r="CT5" i="8"/>
  <c r="CT9" i="8"/>
  <c r="CT20" i="8"/>
  <c r="CS10" i="8"/>
  <c r="CR11" i="8"/>
  <c r="CO41" i="8"/>
  <c r="CO44" i="8" s="1"/>
  <c r="CP40" i="8"/>
  <c r="C158" i="6"/>
  <c r="B159" i="6"/>
  <c r="CS100" i="8"/>
  <c r="CS25" i="8"/>
  <c r="CS112" i="8"/>
  <c r="CT37" i="8"/>
  <c r="CT36" i="8"/>
  <c r="CT110" i="8"/>
  <c r="CT21" i="8"/>
  <c r="CS77" i="8"/>
  <c r="CT94" i="8"/>
  <c r="CT91" i="8"/>
  <c r="CT88" i="8"/>
  <c r="CT89" i="8"/>
  <c r="CT90" i="8"/>
  <c r="CT86" i="8"/>
  <c r="CT84" i="8"/>
  <c r="CT85" i="8"/>
  <c r="CT87" i="8"/>
  <c r="CT80" i="8"/>
  <c r="CT64" i="8"/>
  <c r="CT76" i="8"/>
  <c r="CT72" i="8"/>
  <c r="CT69" i="8"/>
  <c r="CT74" i="8"/>
  <c r="CT70" i="8"/>
  <c r="CT67" i="8"/>
  <c r="CT75" i="8"/>
  <c r="CT71" i="8"/>
  <c r="CT68" i="8"/>
  <c r="CS61" i="8"/>
  <c r="CT47" i="8"/>
  <c r="CT49" i="8"/>
  <c r="CT48" i="8"/>
  <c r="CT50" i="8"/>
  <c r="CT57" i="8"/>
  <c r="CT51" i="8"/>
  <c r="CT52" i="8"/>
  <c r="CT58" i="8"/>
  <c r="CT53" i="8"/>
  <c r="CT54" i="8"/>
  <c r="CT59" i="8"/>
  <c r="CT56" i="8"/>
  <c r="CT55" i="8"/>
  <c r="CT60" i="8"/>
  <c r="CS31" i="8"/>
  <c r="CT29" i="8"/>
  <c r="CT30" i="8"/>
  <c r="CT43" i="8"/>
  <c r="CT42" i="8"/>
  <c r="CU7" i="8"/>
  <c r="CU73" i="8" l="1"/>
  <c r="CU92" i="8"/>
  <c r="CT93" i="8"/>
  <c r="CT24" i="8"/>
  <c r="CT23" i="8"/>
  <c r="CS26" i="8"/>
  <c r="CT10" i="8"/>
  <c r="CS11" i="8"/>
  <c r="CP41" i="8"/>
  <c r="CP44" i="8" s="1"/>
  <c r="CQ40" i="8"/>
  <c r="CU5" i="8"/>
  <c r="CU9" i="8"/>
  <c r="CU20" i="8"/>
  <c r="B160" i="6"/>
  <c r="C159" i="6"/>
  <c r="CT100" i="8"/>
  <c r="CT25" i="8"/>
  <c r="CT112" i="8"/>
  <c r="CU37" i="8"/>
  <c r="CU36" i="8"/>
  <c r="CU110" i="8"/>
  <c r="CU21" i="8"/>
  <c r="CU94" i="8"/>
  <c r="CT77" i="8"/>
  <c r="CU90" i="8"/>
  <c r="CU91" i="8"/>
  <c r="CU89" i="8"/>
  <c r="CU86" i="8"/>
  <c r="CU84" i="8"/>
  <c r="CU88" i="8"/>
  <c r="CU85" i="8"/>
  <c r="CU87" i="8"/>
  <c r="CU80" i="8"/>
  <c r="CU64" i="8"/>
  <c r="CU75" i="8"/>
  <c r="CU74" i="8"/>
  <c r="CU70" i="8"/>
  <c r="CU71" i="8"/>
  <c r="CU68" i="8"/>
  <c r="CU72" i="8"/>
  <c r="CU67" i="8"/>
  <c r="CU69" i="8"/>
  <c r="CU76" i="8"/>
  <c r="CT61" i="8"/>
  <c r="CU47" i="8"/>
  <c r="CU48" i="8"/>
  <c r="CU49" i="8"/>
  <c r="CU50" i="8"/>
  <c r="CU51" i="8"/>
  <c r="CU52" i="8"/>
  <c r="CU57" i="8"/>
  <c r="CU58" i="8"/>
  <c r="CU53" i="8"/>
  <c r="CU54" i="8"/>
  <c r="CU59" i="8"/>
  <c r="CU55" i="8"/>
  <c r="CU60" i="8"/>
  <c r="CU56" i="8"/>
  <c r="CU29" i="8"/>
  <c r="CU30" i="8"/>
  <c r="CU43" i="8"/>
  <c r="CU42" i="8"/>
  <c r="CT31" i="8"/>
  <c r="CV7" i="8"/>
  <c r="CV73" i="8" l="1"/>
  <c r="CV92" i="8"/>
  <c r="CU93" i="8"/>
  <c r="CU23" i="8"/>
  <c r="CU24" i="8"/>
  <c r="CT26" i="8"/>
  <c r="B161" i="6"/>
  <c r="C160" i="6"/>
  <c r="CQ41" i="8"/>
  <c r="CQ44" i="8" s="1"/>
  <c r="CR40" i="8"/>
  <c r="CV5" i="8"/>
  <c r="CV9" i="8"/>
  <c r="CV20" i="8"/>
  <c r="CU10" i="8"/>
  <c r="CT11" i="8"/>
  <c r="CU100" i="8"/>
  <c r="CU25" i="8"/>
  <c r="CU112" i="8"/>
  <c r="CV37" i="8"/>
  <c r="CV36" i="8"/>
  <c r="CV110" i="8"/>
  <c r="CV21" i="8"/>
  <c r="CU77" i="8"/>
  <c r="CV94" i="8"/>
  <c r="CV90" i="8"/>
  <c r="CV91" i="8"/>
  <c r="CV88" i="8"/>
  <c r="CV85" i="8"/>
  <c r="CV87" i="8"/>
  <c r="CV89" i="8"/>
  <c r="CV86" i="8"/>
  <c r="CV84" i="8"/>
  <c r="CV80" i="8"/>
  <c r="CV64" i="8"/>
  <c r="CV76" i="8"/>
  <c r="CV70" i="8"/>
  <c r="CV71" i="8"/>
  <c r="CV75" i="8"/>
  <c r="CV72" i="8"/>
  <c r="CV69" i="8"/>
  <c r="CV74" i="8"/>
  <c r="CV68" i="8"/>
  <c r="CV67" i="8"/>
  <c r="CV47" i="8"/>
  <c r="CV48" i="8"/>
  <c r="CV49" i="8"/>
  <c r="CV50" i="8"/>
  <c r="CV52" i="8"/>
  <c r="CV51" i="8"/>
  <c r="CV57" i="8"/>
  <c r="CV58" i="8"/>
  <c r="CV53" i="8"/>
  <c r="CV54" i="8"/>
  <c r="CV55" i="8"/>
  <c r="CV59" i="8"/>
  <c r="CV56" i="8"/>
  <c r="CV60" i="8"/>
  <c r="CU61" i="8"/>
  <c r="CU31" i="8"/>
  <c r="CV30" i="8"/>
  <c r="CV29" i="8"/>
  <c r="CV43" i="8"/>
  <c r="CV42" i="8"/>
  <c r="CW7" i="8"/>
  <c r="CW73" i="8" l="1"/>
  <c r="CW92" i="8"/>
  <c r="CV93" i="8"/>
  <c r="CV24" i="8"/>
  <c r="CV23" i="8"/>
  <c r="CU26" i="8"/>
  <c r="CV10" i="8"/>
  <c r="CU11" i="8"/>
  <c r="CR41" i="8"/>
  <c r="CR44" i="8" s="1"/>
  <c r="CS40" i="8"/>
  <c r="CW5" i="8"/>
  <c r="CW9" i="8"/>
  <c r="CW20" i="8"/>
  <c r="C161" i="6"/>
  <c r="B162" i="6"/>
  <c r="CV100" i="8"/>
  <c r="CV25" i="8"/>
  <c r="CV112" i="8"/>
  <c r="CW37" i="8"/>
  <c r="CW36" i="8"/>
  <c r="CW110" i="8"/>
  <c r="CW21" i="8"/>
  <c r="CW94" i="8"/>
  <c r="CV77" i="8"/>
  <c r="CW91" i="8"/>
  <c r="CW90" i="8"/>
  <c r="CW88" i="8"/>
  <c r="CW89" i="8"/>
  <c r="CW87" i="8"/>
  <c r="CW85" i="8"/>
  <c r="CW86" i="8"/>
  <c r="CW84" i="8"/>
  <c r="CW80" i="8"/>
  <c r="CW64" i="8"/>
  <c r="CV31" i="8"/>
  <c r="CW75" i="8"/>
  <c r="CW76" i="8"/>
  <c r="CW71" i="8"/>
  <c r="CW72" i="8"/>
  <c r="CW74" i="8"/>
  <c r="CW70" i="8"/>
  <c r="CW69" i="8"/>
  <c r="CW68" i="8"/>
  <c r="CW67" i="8"/>
  <c r="CV61" i="8"/>
  <c r="CW47" i="8"/>
  <c r="CW48" i="8"/>
  <c r="CW49" i="8"/>
  <c r="CW50" i="8"/>
  <c r="CW57" i="8"/>
  <c r="CW51" i="8"/>
  <c r="CW52" i="8"/>
  <c r="CW53" i="8"/>
  <c r="CW58" i="8"/>
  <c r="CW54" i="8"/>
  <c r="CW55" i="8"/>
  <c r="CW59" i="8"/>
  <c r="CW56" i="8"/>
  <c r="CW60" i="8"/>
  <c r="CW29" i="8"/>
  <c r="CW30" i="8"/>
  <c r="CW43" i="8"/>
  <c r="CW42" i="8"/>
  <c r="CX7" i="8"/>
  <c r="CX73" i="8" l="1"/>
  <c r="CX92" i="8"/>
  <c r="CW93" i="8"/>
  <c r="CW24" i="8"/>
  <c r="CW23" i="8"/>
  <c r="CV26" i="8"/>
  <c r="CS41" i="8"/>
  <c r="CS44" i="8" s="1"/>
  <c r="CT40" i="8"/>
  <c r="CX5" i="8"/>
  <c r="CX9" i="8"/>
  <c r="CX20" i="8"/>
  <c r="C162" i="6"/>
  <c r="B163" i="6"/>
  <c r="CW10" i="8"/>
  <c r="CV11" i="8"/>
  <c r="CW100" i="8"/>
  <c r="CW25" i="8"/>
  <c r="CW112" i="8"/>
  <c r="CX37" i="8"/>
  <c r="CX36" i="8"/>
  <c r="CX110" i="8"/>
  <c r="CX21" i="8"/>
  <c r="CW77" i="8"/>
  <c r="CX94" i="8"/>
  <c r="CX91" i="8"/>
  <c r="CX90" i="8"/>
  <c r="CX88" i="8"/>
  <c r="CX89" i="8"/>
  <c r="CX86" i="8"/>
  <c r="CX84" i="8"/>
  <c r="CX85" i="8"/>
  <c r="CX87" i="8"/>
  <c r="CX80" i="8"/>
  <c r="CX64" i="8"/>
  <c r="CX76" i="8"/>
  <c r="CX72" i="8"/>
  <c r="CX69" i="8"/>
  <c r="CX75" i="8"/>
  <c r="CX74" i="8"/>
  <c r="CX70" i="8"/>
  <c r="CX68" i="8"/>
  <c r="CX67" i="8"/>
  <c r="CX71" i="8"/>
  <c r="CW61" i="8"/>
  <c r="CX47" i="8"/>
  <c r="CX48" i="8"/>
  <c r="CX49" i="8"/>
  <c r="CX51" i="8"/>
  <c r="CX50" i="8"/>
  <c r="CX52" i="8"/>
  <c r="CX57" i="8"/>
  <c r="CX53" i="8"/>
  <c r="CX58" i="8"/>
  <c r="CX54" i="8"/>
  <c r="CX60" i="8"/>
  <c r="CX55" i="8"/>
  <c r="CX59" i="8"/>
  <c r="CX56" i="8"/>
  <c r="CX29" i="8"/>
  <c r="CX30" i="8"/>
  <c r="CX43" i="8"/>
  <c r="CX42" i="8"/>
  <c r="CW31" i="8"/>
  <c r="CY7" i="8"/>
  <c r="CY73" i="8" l="1"/>
  <c r="CY92" i="8"/>
  <c r="CX93" i="8"/>
  <c r="CX24" i="8"/>
  <c r="CX23" i="8"/>
  <c r="CW26" i="8"/>
  <c r="B164" i="6"/>
  <c r="C163" i="6"/>
  <c r="CX10" i="8"/>
  <c r="CW11" i="8"/>
  <c r="CT41" i="8"/>
  <c r="CT44" i="8" s="1"/>
  <c r="CU40" i="8"/>
  <c r="CY5" i="8"/>
  <c r="CY9" i="8"/>
  <c r="CY20" i="8"/>
  <c r="CX100" i="8"/>
  <c r="CX25" i="8"/>
  <c r="CX112" i="8"/>
  <c r="CY37" i="8"/>
  <c r="CY36" i="8"/>
  <c r="CY110" i="8"/>
  <c r="CY21" i="8"/>
  <c r="CX77" i="8"/>
  <c r="CY94" i="8"/>
  <c r="CY90" i="8"/>
  <c r="CY89" i="8"/>
  <c r="CY86" i="8"/>
  <c r="CY84" i="8"/>
  <c r="CY91" i="8"/>
  <c r="CY85" i="8"/>
  <c r="CY88" i="8"/>
  <c r="CY87" i="8"/>
  <c r="CY80" i="8"/>
  <c r="CY64" i="8"/>
  <c r="CY75" i="8"/>
  <c r="CY74" i="8"/>
  <c r="CY70" i="8"/>
  <c r="CY76" i="8"/>
  <c r="CY71" i="8"/>
  <c r="CY68" i="8"/>
  <c r="CY69" i="8"/>
  <c r="CY67" i="8"/>
  <c r="CY72" i="8"/>
  <c r="CX61" i="8"/>
  <c r="CY47" i="8"/>
  <c r="CY48" i="8"/>
  <c r="CY49" i="8"/>
  <c r="CY50" i="8"/>
  <c r="CY51" i="8"/>
  <c r="CY52" i="8"/>
  <c r="CY57" i="8"/>
  <c r="CY53" i="8"/>
  <c r="CY58" i="8"/>
  <c r="CY54" i="8"/>
  <c r="CY59" i="8"/>
  <c r="CY55" i="8"/>
  <c r="CY56" i="8"/>
  <c r="CY60" i="8"/>
  <c r="CX31" i="8"/>
  <c r="CY29" i="8"/>
  <c r="CY30" i="8"/>
  <c r="CY43" i="8"/>
  <c r="CY42" i="8"/>
  <c r="CZ7" i="8"/>
  <c r="CZ73" i="8" l="1"/>
  <c r="E73" i="8" s="1"/>
  <c r="CZ92" i="8"/>
  <c r="CY93" i="8"/>
  <c r="CY23" i="8"/>
  <c r="CY24" i="8"/>
  <c r="CX26" i="8"/>
  <c r="CY10" i="8"/>
  <c r="CX11" i="8"/>
  <c r="CU41" i="8"/>
  <c r="CU44" i="8" s="1"/>
  <c r="CV40" i="8"/>
  <c r="CZ5" i="8"/>
  <c r="CZ9" i="8"/>
  <c r="CZ20" i="8"/>
  <c r="B165" i="6"/>
  <c r="C164" i="6"/>
  <c r="CY100" i="8"/>
  <c r="CY25" i="8"/>
  <c r="CY112" i="8"/>
  <c r="CZ37" i="8"/>
  <c r="E37" i="8" s="1"/>
  <c r="D37" i="8" s="1"/>
  <c r="CZ36" i="8"/>
  <c r="E36" i="8" s="1"/>
  <c r="D36" i="8" s="1"/>
  <c r="CZ110" i="8"/>
  <c r="CZ21" i="8"/>
  <c r="CY77" i="8"/>
  <c r="CZ94" i="8"/>
  <c r="CZ90" i="8"/>
  <c r="CZ91" i="8"/>
  <c r="E91" i="8" s="1"/>
  <c r="D91" i="8" s="1"/>
  <c r="CZ88" i="8"/>
  <c r="E88" i="8" s="1"/>
  <c r="D88" i="8" s="1"/>
  <c r="CZ85" i="8"/>
  <c r="E85" i="8" s="1"/>
  <c r="D85" i="8" s="1"/>
  <c r="CZ86" i="8"/>
  <c r="E86" i="8" s="1"/>
  <c r="D86" i="8" s="1"/>
  <c r="CZ87" i="8"/>
  <c r="E87" i="8" s="1"/>
  <c r="D87" i="8" s="1"/>
  <c r="CZ89" i="8"/>
  <c r="E89" i="8" s="1"/>
  <c r="D89" i="8" s="1"/>
  <c r="CZ84" i="8"/>
  <c r="CZ80" i="8"/>
  <c r="CZ64" i="8"/>
  <c r="CZ75" i="8"/>
  <c r="E75" i="8" s="1"/>
  <c r="D75" i="8" s="1"/>
  <c r="CZ76" i="8"/>
  <c r="E76" i="8" s="1"/>
  <c r="D76" i="8" s="1"/>
  <c r="CZ70" i="8"/>
  <c r="E70" i="8" s="1"/>
  <c r="D70" i="8" s="1"/>
  <c r="CZ71" i="8"/>
  <c r="CZ72" i="8"/>
  <c r="CZ69" i="8"/>
  <c r="E69" i="8" s="1"/>
  <c r="D69" i="8" s="1"/>
  <c r="CZ74" i="8"/>
  <c r="CZ67" i="8"/>
  <c r="CZ68" i="8"/>
  <c r="E68" i="8" s="1"/>
  <c r="D68" i="8" s="1"/>
  <c r="CZ47" i="8"/>
  <c r="CZ48" i="8"/>
  <c r="E48" i="8" s="1"/>
  <c r="D48" i="8" s="1"/>
  <c r="CZ49" i="8"/>
  <c r="E49" i="8" s="1"/>
  <c r="D49" i="8" s="1"/>
  <c r="CZ50" i="8"/>
  <c r="E50" i="8" s="1"/>
  <c r="D50" i="8" s="1"/>
  <c r="CZ51" i="8"/>
  <c r="CZ52" i="8"/>
  <c r="E52" i="8" s="1"/>
  <c r="D52" i="8" s="1"/>
  <c r="CZ57" i="8"/>
  <c r="E57" i="8" s="1"/>
  <c r="D57" i="8" s="1"/>
  <c r="CZ58" i="8"/>
  <c r="E58" i="8" s="1"/>
  <c r="D58" i="8" s="1"/>
  <c r="CZ53" i="8"/>
  <c r="E53" i="8" s="1"/>
  <c r="D53" i="8" s="1"/>
  <c r="CZ54" i="8"/>
  <c r="E54" i="8" s="1"/>
  <c r="D54" i="8" s="1"/>
  <c r="CZ55" i="8"/>
  <c r="E55" i="8" s="1"/>
  <c r="D55" i="8" s="1"/>
  <c r="CZ59" i="8"/>
  <c r="E59" i="8" s="1"/>
  <c r="D59" i="8" s="1"/>
  <c r="CZ56" i="8"/>
  <c r="E56" i="8" s="1"/>
  <c r="D56" i="8" s="1"/>
  <c r="CZ60" i="8"/>
  <c r="CY61" i="8"/>
  <c r="CY31" i="8"/>
  <c r="CZ29" i="8"/>
  <c r="CZ30" i="8"/>
  <c r="CZ43" i="8"/>
  <c r="E43" i="8" s="1"/>
  <c r="D43" i="8" s="1"/>
  <c r="CZ42" i="8"/>
  <c r="E42" i="8" s="1"/>
  <c r="D42" i="8" s="1"/>
  <c r="CZ93" i="8" l="1"/>
  <c r="CZ24" i="8"/>
  <c r="CZ23" i="8"/>
  <c r="CY26" i="8"/>
  <c r="CV41" i="8"/>
  <c r="CV44" i="8" s="1"/>
  <c r="CW40" i="8"/>
  <c r="E9" i="8"/>
  <c r="D9" i="8" s="1"/>
  <c r="B166" i="6"/>
  <c r="C165" i="6"/>
  <c r="CZ10" i="8"/>
  <c r="CY11" i="8"/>
  <c r="CZ100" i="8"/>
  <c r="CZ25" i="8"/>
  <c r="CZ112" i="8"/>
  <c r="CZ77" i="8"/>
  <c r="E80" i="8"/>
  <c r="D80" i="8" s="1"/>
  <c r="E84" i="8"/>
  <c r="D84" i="8" s="1"/>
  <c r="E67" i="8"/>
  <c r="D67" i="8" s="1"/>
  <c r="CZ61" i="8"/>
  <c r="CZ31" i="8"/>
  <c r="E51" i="8"/>
  <c r="D51" i="8" s="1"/>
  <c r="J71" i="8"/>
  <c r="K71" i="8"/>
  <c r="L71" i="8"/>
  <c r="M71" i="8"/>
  <c r="N71" i="8"/>
  <c r="O71" i="8"/>
  <c r="P71" i="8"/>
  <c r="Q71" i="8"/>
  <c r="R71" i="8"/>
  <c r="S71" i="8"/>
  <c r="T71" i="8"/>
  <c r="U71" i="8"/>
  <c r="V71" i="8"/>
  <c r="W71" i="8"/>
  <c r="X71" i="8"/>
  <c r="Y71" i="8"/>
  <c r="Z71" i="8"/>
  <c r="AA71" i="8"/>
  <c r="AB71" i="8"/>
  <c r="AC71" i="8"/>
  <c r="AD71" i="8"/>
  <c r="AE71" i="8"/>
  <c r="AF71" i="8"/>
  <c r="AG71" i="8"/>
  <c r="AH71" i="8"/>
  <c r="J72" i="8"/>
  <c r="K72" i="8"/>
  <c r="L72" i="8"/>
  <c r="M72" i="8"/>
  <c r="N72" i="8"/>
  <c r="O72" i="8"/>
  <c r="P72" i="8"/>
  <c r="Q72" i="8"/>
  <c r="R72" i="8"/>
  <c r="S72" i="8"/>
  <c r="T72" i="8"/>
  <c r="U72" i="8"/>
  <c r="V72" i="8"/>
  <c r="W72" i="8"/>
  <c r="X72" i="8"/>
  <c r="Y72" i="8"/>
  <c r="Z72" i="8"/>
  <c r="AA72" i="8"/>
  <c r="AB72" i="8"/>
  <c r="AC72" i="8"/>
  <c r="AD72" i="8"/>
  <c r="AE72" i="8"/>
  <c r="AF72" i="8"/>
  <c r="AG72" i="8"/>
  <c r="AH72" i="8"/>
  <c r="J74" i="8"/>
  <c r="K74" i="8"/>
  <c r="L74" i="8"/>
  <c r="M74" i="8"/>
  <c r="N74" i="8"/>
  <c r="O74" i="8"/>
  <c r="P74" i="8"/>
  <c r="Q74" i="8"/>
  <c r="R74" i="8"/>
  <c r="S74" i="8"/>
  <c r="T74" i="8"/>
  <c r="U74" i="8"/>
  <c r="V74" i="8"/>
  <c r="W74" i="8"/>
  <c r="X74" i="8"/>
  <c r="Y74" i="8"/>
  <c r="Z74" i="8"/>
  <c r="AA74" i="8"/>
  <c r="AB74" i="8"/>
  <c r="AC74" i="8"/>
  <c r="AD74" i="8"/>
  <c r="AE74" i="8"/>
  <c r="AF74" i="8"/>
  <c r="AG74" i="8"/>
  <c r="AH74" i="8"/>
  <c r="CZ26" i="8" l="1"/>
  <c r="CZ11" i="8"/>
  <c r="E11" i="8" s="1"/>
  <c r="E10" i="8"/>
  <c r="D10" i="8" s="1"/>
  <c r="CW41" i="8"/>
  <c r="CW44" i="8" s="1"/>
  <c r="CX40" i="8"/>
  <c r="B167" i="6"/>
  <c r="C166" i="6"/>
  <c r="AF77" i="8"/>
  <c r="AB77" i="8"/>
  <c r="X77" i="8"/>
  <c r="T77" i="8"/>
  <c r="P77" i="8"/>
  <c r="L77" i="8"/>
  <c r="AE77" i="8"/>
  <c r="AA77" i="8"/>
  <c r="W77" i="8"/>
  <c r="S77" i="8"/>
  <c r="O77" i="8"/>
  <c r="K77" i="8"/>
  <c r="AH77" i="8"/>
  <c r="AD77" i="8"/>
  <c r="Z77" i="8"/>
  <c r="V77" i="8"/>
  <c r="R77" i="8"/>
  <c r="N77" i="8"/>
  <c r="J77" i="8"/>
  <c r="AG77" i="8"/>
  <c r="AC77" i="8"/>
  <c r="Y77" i="8"/>
  <c r="U77" i="8"/>
  <c r="Q77" i="8"/>
  <c r="M77" i="8"/>
  <c r="E72" i="8"/>
  <c r="D72" i="8" s="1"/>
  <c r="E74" i="8"/>
  <c r="D74" i="8" s="1"/>
  <c r="E71" i="8"/>
  <c r="D71" i="8" s="1"/>
  <c r="H12" i="8"/>
  <c r="J12" i="8" s="1"/>
  <c r="J22" i="8" s="1"/>
  <c r="CX41" i="8" l="1"/>
  <c r="CX44" i="8" s="1"/>
  <c r="CY40" i="8"/>
  <c r="B168" i="6"/>
  <c r="C167" i="6"/>
  <c r="M12" i="8"/>
  <c r="M22" i="8" s="1"/>
  <c r="CY12" i="8"/>
  <c r="CJ12" i="8"/>
  <c r="CJ22" i="8" s="1"/>
  <c r="CR12" i="8"/>
  <c r="CV12" i="8"/>
  <c r="CD12" i="8"/>
  <c r="CD22" i="8" s="1"/>
  <c r="BP12" i="8"/>
  <c r="BP22" i="8" s="1"/>
  <c r="CZ12" i="8"/>
  <c r="CZ22" i="8" s="1"/>
  <c r="CN12" i="8"/>
  <c r="AZ12" i="8"/>
  <c r="AZ22" i="8" s="1"/>
  <c r="CX12" i="8"/>
  <c r="CT12" i="8"/>
  <c r="CP12" i="8"/>
  <c r="CL12" i="8"/>
  <c r="CG12" i="8"/>
  <c r="CG22" i="8" s="1"/>
  <c r="BX12" i="8"/>
  <c r="BX22" i="8" s="1"/>
  <c r="BH12" i="8"/>
  <c r="BH22" i="8" s="1"/>
  <c r="AR12" i="8"/>
  <c r="AR22" i="8" s="1"/>
  <c r="CU12" i="8"/>
  <c r="CQ12" i="8"/>
  <c r="CM12" i="8"/>
  <c r="CH12" i="8"/>
  <c r="CH22" i="8" s="1"/>
  <c r="CC12" i="8"/>
  <c r="CC22" i="8" s="1"/>
  <c r="BO12" i="8"/>
  <c r="BO22" i="8" s="1"/>
  <c r="AY12" i="8"/>
  <c r="AY22" i="8" s="1"/>
  <c r="CW12" i="8"/>
  <c r="CS12" i="8"/>
  <c r="CO12" i="8"/>
  <c r="CK12" i="8"/>
  <c r="CF12" i="8"/>
  <c r="CF22" i="8" s="1"/>
  <c r="BW12" i="8"/>
  <c r="BW22" i="8" s="1"/>
  <c r="BG12" i="8"/>
  <c r="BG22" i="8" s="1"/>
  <c r="AQ12" i="8"/>
  <c r="AQ22" i="8" s="1"/>
  <c r="CB12" i="8"/>
  <c r="CB22" i="8" s="1"/>
  <c r="BT12" i="8"/>
  <c r="BT22" i="8" s="1"/>
  <c r="BL12" i="8"/>
  <c r="BL22" i="8" s="1"/>
  <c r="BD12" i="8"/>
  <c r="BD22" i="8" s="1"/>
  <c r="AV12" i="8"/>
  <c r="AV22" i="8" s="1"/>
  <c r="AI12" i="8"/>
  <c r="AI22" i="8" s="1"/>
  <c r="CI12" i="8"/>
  <c r="CI22" i="8" s="1"/>
  <c r="CE12" i="8"/>
  <c r="CE22" i="8" s="1"/>
  <c r="CA12" i="8"/>
  <c r="CA22" i="8" s="1"/>
  <c r="BS12" i="8"/>
  <c r="BS22" i="8" s="1"/>
  <c r="BK12" i="8"/>
  <c r="BK22" i="8" s="1"/>
  <c r="BC12" i="8"/>
  <c r="BC22" i="8" s="1"/>
  <c r="AU12" i="8"/>
  <c r="AU22" i="8" s="1"/>
  <c r="AC12" i="8"/>
  <c r="AC22" i="8" s="1"/>
  <c r="BZ12" i="8"/>
  <c r="BZ22" i="8" s="1"/>
  <c r="BV12" i="8"/>
  <c r="BV22" i="8" s="1"/>
  <c r="BR12" i="8"/>
  <c r="BR22" i="8" s="1"/>
  <c r="BN12" i="8"/>
  <c r="BN22" i="8" s="1"/>
  <c r="BJ12" i="8"/>
  <c r="BJ22" i="8" s="1"/>
  <c r="BF12" i="8"/>
  <c r="BF22" i="8" s="1"/>
  <c r="BB12" i="8"/>
  <c r="BB22" i="8" s="1"/>
  <c r="AX12" i="8"/>
  <c r="AX22" i="8" s="1"/>
  <c r="AT12" i="8"/>
  <c r="AT22" i="8" s="1"/>
  <c r="AO12" i="8"/>
  <c r="AO22" i="8" s="1"/>
  <c r="X12" i="8"/>
  <c r="X22" i="8" s="1"/>
  <c r="BY12" i="8"/>
  <c r="BY22" i="8" s="1"/>
  <c r="BU12" i="8"/>
  <c r="BU22" i="8" s="1"/>
  <c r="BQ12" i="8"/>
  <c r="BQ22" i="8" s="1"/>
  <c r="BM12" i="8"/>
  <c r="BM22" i="8" s="1"/>
  <c r="BI12" i="8"/>
  <c r="BI22" i="8" s="1"/>
  <c r="BE12" i="8"/>
  <c r="BE22" i="8" s="1"/>
  <c r="BA12" i="8"/>
  <c r="BA22" i="8" s="1"/>
  <c r="AW12" i="8"/>
  <c r="AW22" i="8" s="1"/>
  <c r="AS12" i="8"/>
  <c r="AS22" i="8" s="1"/>
  <c r="AN12" i="8"/>
  <c r="AN22" i="8" s="1"/>
  <c r="S12" i="8"/>
  <c r="S22" i="8" s="1"/>
  <c r="AJ12" i="8"/>
  <c r="AJ22" i="8" s="1"/>
  <c r="AE12" i="8"/>
  <c r="AE22" i="8" s="1"/>
  <c r="Y12" i="8"/>
  <c r="Y22" i="8" s="1"/>
  <c r="T12" i="8"/>
  <c r="T22" i="8" s="1"/>
  <c r="O12" i="8"/>
  <c r="O22" i="8" s="1"/>
  <c r="I12" i="8"/>
  <c r="I22" i="8" s="1"/>
  <c r="E77" i="8"/>
  <c r="D77" i="8" s="1"/>
  <c r="AM12" i="8"/>
  <c r="AM22" i="8" s="1"/>
  <c r="AG12" i="8"/>
  <c r="AG22" i="8" s="1"/>
  <c r="AB12" i="8"/>
  <c r="AB22" i="8" s="1"/>
  <c r="W12" i="8"/>
  <c r="W22" i="8" s="1"/>
  <c r="Q12" i="8"/>
  <c r="Q22" i="8" s="1"/>
  <c r="L12" i="8"/>
  <c r="L22" i="8" s="1"/>
  <c r="AK12" i="8"/>
  <c r="AK22" i="8" s="1"/>
  <c r="AF12" i="8"/>
  <c r="AF22" i="8" s="1"/>
  <c r="AA12" i="8"/>
  <c r="AA22" i="8" s="1"/>
  <c r="U12" i="8"/>
  <c r="U22" i="8" s="1"/>
  <c r="P12" i="8"/>
  <c r="P22" i="8" s="1"/>
  <c r="K12" i="8"/>
  <c r="K22" i="8" s="1"/>
  <c r="AP12" i="8"/>
  <c r="AP22" i="8" s="1"/>
  <c r="AL12" i="8"/>
  <c r="AL22" i="8" s="1"/>
  <c r="AH12" i="8"/>
  <c r="AH22" i="8" s="1"/>
  <c r="AD12" i="8"/>
  <c r="AD22" i="8" s="1"/>
  <c r="Z12" i="8"/>
  <c r="Z22" i="8" s="1"/>
  <c r="V12" i="8"/>
  <c r="V22" i="8" s="1"/>
  <c r="R12" i="8"/>
  <c r="R22" i="8" s="1"/>
  <c r="N12" i="8"/>
  <c r="N22" i="8" s="1"/>
  <c r="CP102" i="8" l="1"/>
  <c r="CP103" i="8" s="1"/>
  <c r="CO22" i="8"/>
  <c r="CR102" i="8"/>
  <c r="CR103" i="8" s="1"/>
  <c r="CQ22" i="8"/>
  <c r="CU102" i="8"/>
  <c r="CU103" i="8" s="1"/>
  <c r="CT22" i="8"/>
  <c r="CS102" i="8"/>
  <c r="CS103" i="8" s="1"/>
  <c r="CR22" i="8"/>
  <c r="CT102" i="8"/>
  <c r="CT103" i="8" s="1"/>
  <c r="CS22" i="8"/>
  <c r="CV102" i="8"/>
  <c r="CV103" i="8" s="1"/>
  <c r="CU22" i="8"/>
  <c r="CY102" i="8"/>
  <c r="CY103" i="8" s="1"/>
  <c r="CX22" i="8"/>
  <c r="CX102" i="8"/>
  <c r="CX103" i="8" s="1"/>
  <c r="CW22" i="8"/>
  <c r="CM102" i="8"/>
  <c r="CM103" i="8" s="1"/>
  <c r="CL22" i="8"/>
  <c r="CZ102" i="8"/>
  <c r="CZ103" i="8" s="1"/>
  <c r="CY22" i="8"/>
  <c r="CL102" i="8"/>
  <c r="CL103" i="8" s="1"/>
  <c r="CK22" i="8"/>
  <c r="CN102" i="8"/>
  <c r="CN103" i="8" s="1"/>
  <c r="CM22" i="8"/>
  <c r="CQ102" i="8"/>
  <c r="CQ103" i="8" s="1"/>
  <c r="CP22" i="8"/>
  <c r="CO102" i="8"/>
  <c r="CO103" i="8" s="1"/>
  <c r="CN22" i="8"/>
  <c r="CW102" i="8"/>
  <c r="CW103" i="8" s="1"/>
  <c r="CV22" i="8"/>
  <c r="B169" i="6"/>
  <c r="C168" i="6"/>
  <c r="CY41" i="8"/>
  <c r="CY44" i="8" s="1"/>
  <c r="CZ40" i="8"/>
  <c r="CZ41" i="8" s="1"/>
  <c r="J81" i="8"/>
  <c r="I13" i="8"/>
  <c r="I14" i="8" s="1"/>
  <c r="E12" i="8"/>
  <c r="D12" i="8" s="1"/>
  <c r="E22" i="8" l="1"/>
  <c r="H83" i="5" s="1"/>
  <c r="J83" i="5" s="1"/>
  <c r="J13" i="8"/>
  <c r="J15" i="8" s="1"/>
  <c r="J16" i="8" s="1"/>
  <c r="J17" i="8" s="1"/>
  <c r="E41" i="8"/>
  <c r="D41" i="8" s="1"/>
  <c r="CZ44" i="8"/>
  <c r="E44" i="8" s="1"/>
  <c r="D44" i="8" s="1"/>
  <c r="B170" i="6"/>
  <c r="C169" i="6"/>
  <c r="AG81" i="8"/>
  <c r="CR81" i="8"/>
  <c r="CQ81" i="8"/>
  <c r="BL81" i="8"/>
  <c r="BK81" i="8"/>
  <c r="AD81" i="8"/>
  <c r="BB81" i="8"/>
  <c r="K81" i="8"/>
  <c r="CL81" i="8"/>
  <c r="AV81" i="8"/>
  <c r="U81" i="8"/>
  <c r="CV81" i="8"/>
  <c r="CM81" i="8"/>
  <c r="CK81" i="8"/>
  <c r="BF81" i="8"/>
  <c r="BQ81" i="8"/>
  <c r="AA81" i="8"/>
  <c r="Z81" i="8"/>
  <c r="CF81" i="8"/>
  <c r="AU81" i="8"/>
  <c r="AJ81" i="8"/>
  <c r="V81" i="8"/>
  <c r="CC81" i="8"/>
  <c r="AI81" i="8"/>
  <c r="AX81" i="8"/>
  <c r="AE81" i="8"/>
  <c r="P81" i="8"/>
  <c r="CB81" i="8"/>
  <c r="AW81" i="8"/>
  <c r="AL81" i="8"/>
  <c r="CZ81" i="8"/>
  <c r="BX81" i="8"/>
  <c r="BG81" i="8"/>
  <c r="AT81" i="8"/>
  <c r="Y81" i="8"/>
  <c r="AF81" i="8"/>
  <c r="N81" i="8"/>
  <c r="BR81" i="8"/>
  <c r="O81" i="8"/>
  <c r="M81" i="8"/>
  <c r="AQ81" i="8"/>
  <c r="BV81" i="8"/>
  <c r="AO81" i="8"/>
  <c r="BA81" i="8"/>
  <c r="T81" i="8"/>
  <c r="Q81" i="8"/>
  <c r="AP81" i="8"/>
  <c r="AR81" i="8"/>
  <c r="X81" i="8"/>
  <c r="L81" i="8"/>
  <c r="CJ81" i="8"/>
  <c r="CU81" i="8"/>
  <c r="BN81" i="8"/>
  <c r="AS81" i="8"/>
  <c r="CX81" i="8"/>
  <c r="BT81" i="8"/>
  <c r="BY81" i="8"/>
  <c r="CS81" i="8"/>
  <c r="BS81" i="8"/>
  <c r="I81" i="8"/>
  <c r="AB81" i="8"/>
  <c r="R81" i="8"/>
  <c r="AZ81" i="8"/>
  <c r="BO81" i="8"/>
  <c r="CI81" i="8"/>
  <c r="BZ81" i="8"/>
  <c r="BE81" i="8"/>
  <c r="CW81" i="8"/>
  <c r="CN81" i="8"/>
  <c r="BH81" i="8"/>
  <c r="AY81" i="8"/>
  <c r="CE81" i="8"/>
  <c r="CY81" i="8"/>
  <c r="CA81" i="8"/>
  <c r="BP81" i="8"/>
  <c r="CG81" i="8"/>
  <c r="BW81" i="8"/>
  <c r="AC81" i="8"/>
  <c r="BI81" i="8"/>
  <c r="AK81" i="8"/>
  <c r="AH81" i="8"/>
  <c r="CH81" i="8"/>
  <c r="CT81" i="8"/>
  <c r="CO81" i="8"/>
  <c r="BJ81" i="8"/>
  <c r="BU81" i="8"/>
  <c r="AN81" i="8"/>
  <c r="W81" i="8"/>
  <c r="BM81" i="8"/>
  <c r="CP81" i="8"/>
  <c r="BD81" i="8"/>
  <c r="BC81" i="8"/>
  <c r="S81" i="8"/>
  <c r="AM81" i="8"/>
  <c r="CD81" i="8"/>
  <c r="K13" i="8" l="1"/>
  <c r="K15" i="8" s="1"/>
  <c r="K16" i="8" s="1"/>
  <c r="K17" i="8" s="1"/>
  <c r="J24" i="8"/>
  <c r="J23" i="8"/>
  <c r="I83" i="5"/>
  <c r="C22" i="8"/>
  <c r="J14" i="8"/>
  <c r="B171" i="6"/>
  <c r="C170" i="6"/>
  <c r="E81" i="8"/>
  <c r="D81" i="8" s="1"/>
  <c r="L13" i="8" l="1"/>
  <c r="L14" i="8" s="1"/>
  <c r="K14" i="8"/>
  <c r="K24" i="8"/>
  <c r="K23" i="8"/>
  <c r="B172" i="6"/>
  <c r="C171" i="6"/>
  <c r="M13" i="8" l="1"/>
  <c r="M14" i="8" s="1"/>
  <c r="L15" i="8"/>
  <c r="L16" i="8" s="1"/>
  <c r="L17" i="8" s="1"/>
  <c r="L23" i="8" s="1"/>
  <c r="B173" i="6"/>
  <c r="C172" i="6"/>
  <c r="N13" i="8"/>
  <c r="M15" i="8" l="1"/>
  <c r="M16" i="8" s="1"/>
  <c r="M17" i="8" s="1"/>
  <c r="M24" i="8" s="1"/>
  <c r="L24" i="8"/>
  <c r="C173" i="6"/>
  <c r="B174" i="6"/>
  <c r="O13" i="8"/>
  <c r="N14" i="8"/>
  <c r="N15" i="8" l="1"/>
  <c r="N16" i="8" s="1"/>
  <c r="N17" i="8" s="1"/>
  <c r="N24" i="8" s="1"/>
  <c r="M23" i="8"/>
  <c r="B175" i="6"/>
  <c r="C174" i="6"/>
  <c r="P13" i="8"/>
  <c r="O14" i="8"/>
  <c r="N23" i="8" l="1"/>
  <c r="O15" i="8"/>
  <c r="O16" i="8" s="1"/>
  <c r="O17" i="8" s="1"/>
  <c r="O23" i="8" s="1"/>
  <c r="C175" i="6"/>
  <c r="B176" i="6"/>
  <c r="Q13" i="8"/>
  <c r="P14" i="8"/>
  <c r="P15" i="8" l="1"/>
  <c r="P16" i="8" s="1"/>
  <c r="P17" i="8" s="1"/>
  <c r="P23" i="8" s="1"/>
  <c r="O24" i="8"/>
  <c r="B177" i="6"/>
  <c r="C176" i="6"/>
  <c r="R13" i="8"/>
  <c r="Q14" i="8"/>
  <c r="P24" i="8" l="1"/>
  <c r="Q15" i="8"/>
  <c r="Q16" i="8" s="1"/>
  <c r="Q17" i="8" s="1"/>
  <c r="Q23" i="8" s="1"/>
  <c r="C177" i="6"/>
  <c r="B178" i="6"/>
  <c r="S13" i="8"/>
  <c r="R14" i="8"/>
  <c r="Q24" i="8" l="1"/>
  <c r="R15" i="8"/>
  <c r="R16" i="8" s="1"/>
  <c r="R17" i="8" s="1"/>
  <c r="C178" i="6"/>
  <c r="B179" i="6"/>
  <c r="T13" i="8"/>
  <c r="S14" i="8"/>
  <c r="R23" i="8" l="1"/>
  <c r="R24" i="8"/>
  <c r="S15" i="8"/>
  <c r="S16" i="8" s="1"/>
  <c r="S17" i="8" s="1"/>
  <c r="S23" i="8" s="1"/>
  <c r="C179" i="6"/>
  <c r="B180" i="6"/>
  <c r="T14" i="8"/>
  <c r="U13" i="8"/>
  <c r="S24" i="8" l="1"/>
  <c r="T15" i="8"/>
  <c r="T16" i="8" s="1"/>
  <c r="T17" i="8" s="1"/>
  <c r="C180" i="6"/>
  <c r="B181" i="6"/>
  <c r="V13" i="8"/>
  <c r="U14" i="8"/>
  <c r="T23" i="8" l="1"/>
  <c r="T24" i="8"/>
  <c r="U15" i="8"/>
  <c r="U16" i="8" s="1"/>
  <c r="U17" i="8" s="1"/>
  <c r="U24" i="8" s="1"/>
  <c r="C181" i="6"/>
  <c r="B182" i="6"/>
  <c r="W13" i="8"/>
  <c r="V14" i="8"/>
  <c r="U23" i="8" l="1"/>
  <c r="V15" i="8"/>
  <c r="V16" i="8" s="1"/>
  <c r="V17" i="8" s="1"/>
  <c r="V24" i="8" s="1"/>
  <c r="C182" i="6"/>
  <c r="B183" i="6"/>
  <c r="W14" i="8"/>
  <c r="X13" i="8"/>
  <c r="V23" i="8" l="1"/>
  <c r="W15" i="8"/>
  <c r="W16" i="8" s="1"/>
  <c r="W17" i="8" s="1"/>
  <c r="W23" i="8" s="1"/>
  <c r="C183" i="6"/>
  <c r="B184" i="6"/>
  <c r="Y13" i="8"/>
  <c r="X14" i="8"/>
  <c r="X15" i="8" l="1"/>
  <c r="X16" i="8" s="1"/>
  <c r="X17" i="8" s="1"/>
  <c r="X24" i="8" s="1"/>
  <c r="W24" i="8"/>
  <c r="B185" i="6"/>
  <c r="C184" i="6"/>
  <c r="Z13" i="8"/>
  <c r="Y14" i="8"/>
  <c r="Y15" i="8" l="1"/>
  <c r="Y16" i="8" s="1"/>
  <c r="Y17" i="8" s="1"/>
  <c r="X23" i="8"/>
  <c r="C185" i="6"/>
  <c r="B186" i="6"/>
  <c r="AA13" i="8"/>
  <c r="Z14" i="8"/>
  <c r="Y23" i="8" l="1"/>
  <c r="Y24" i="8"/>
  <c r="Z15" i="8"/>
  <c r="Z16" i="8" s="1"/>
  <c r="Z17" i="8" s="1"/>
  <c r="Z23" i="8" s="1"/>
  <c r="C186" i="6"/>
  <c r="B187" i="6"/>
  <c r="AB13" i="8"/>
  <c r="AA14" i="8"/>
  <c r="Z24" i="8" l="1"/>
  <c r="AA15" i="8"/>
  <c r="AA16" i="8" s="1"/>
  <c r="AA17" i="8" s="1"/>
  <c r="AA24" i="8" s="1"/>
  <c r="C187" i="6"/>
  <c r="B188" i="6"/>
  <c r="AC13" i="8"/>
  <c r="AB14" i="8"/>
  <c r="AB15" i="8" l="1"/>
  <c r="AB16" i="8" s="1"/>
  <c r="AB17" i="8" s="1"/>
  <c r="AB24" i="8" s="1"/>
  <c r="AA23" i="8"/>
  <c r="B189" i="6"/>
  <c r="C188" i="6"/>
  <c r="AD13" i="8"/>
  <c r="AC14" i="8"/>
  <c r="AB23" i="8" l="1"/>
  <c r="AC15" i="8"/>
  <c r="AC16" i="8" s="1"/>
  <c r="AC17" i="8" s="1"/>
  <c r="AC23" i="8" s="1"/>
  <c r="C189" i="6"/>
  <c r="B190" i="6"/>
  <c r="AE13" i="8"/>
  <c r="AD14" i="8"/>
  <c r="AD15" i="8" l="1"/>
  <c r="AD16" i="8" s="1"/>
  <c r="AD17" i="8" s="1"/>
  <c r="AD24" i="8" s="1"/>
  <c r="AC24" i="8"/>
  <c r="C190" i="6"/>
  <c r="B191" i="6"/>
  <c r="AF13" i="8"/>
  <c r="AE14" i="8"/>
  <c r="AE15" i="8" l="1"/>
  <c r="AE16" i="8" s="1"/>
  <c r="AE17" i="8" s="1"/>
  <c r="AE24" i="8" s="1"/>
  <c r="AD23" i="8"/>
  <c r="C191" i="6"/>
  <c r="B192" i="6"/>
  <c r="AG13" i="8"/>
  <c r="AF14" i="8"/>
  <c r="AF15" i="8" l="1"/>
  <c r="AF16" i="8" s="1"/>
  <c r="AF17" i="8" s="1"/>
  <c r="AE23" i="8"/>
  <c r="B193" i="6"/>
  <c r="C192" i="6"/>
  <c r="AH13" i="8"/>
  <c r="AG14" i="8"/>
  <c r="AF24" i="8" l="1"/>
  <c r="AG15" i="8"/>
  <c r="AG16" i="8" s="1"/>
  <c r="AF23" i="8"/>
  <c r="C193" i="6"/>
  <c r="B194" i="6"/>
  <c r="AH14" i="8"/>
  <c r="AI13" i="8"/>
  <c r="C194" i="6" l="1"/>
  <c r="B195" i="6"/>
  <c r="C195" i="6" s="1"/>
  <c r="AH15" i="8"/>
  <c r="AH16" i="8" s="1"/>
  <c r="AG17" i="8"/>
  <c r="AJ13" i="8"/>
  <c r="AI14" i="8"/>
  <c r="AG24" i="8" l="1"/>
  <c r="AG23" i="8"/>
  <c r="AI15" i="8"/>
  <c r="AI16" i="8" s="1"/>
  <c r="AH17" i="8"/>
  <c r="AK13" i="8"/>
  <c r="AJ14" i="8"/>
  <c r="AH23" i="8" l="1"/>
  <c r="AH24" i="8"/>
  <c r="AJ15" i="8"/>
  <c r="AJ16" i="8" s="1"/>
  <c r="AI17" i="8"/>
  <c r="AL13" i="8"/>
  <c r="AK14" i="8"/>
  <c r="AI23" i="8" l="1"/>
  <c r="AI24" i="8"/>
  <c r="AK15" i="8"/>
  <c r="AK16" i="8" s="1"/>
  <c r="AJ17" i="8"/>
  <c r="AM13" i="8"/>
  <c r="AL14" i="8"/>
  <c r="AJ24" i="8" l="1"/>
  <c r="AJ23" i="8"/>
  <c r="AL15" i="8"/>
  <c r="AL16" i="8" s="1"/>
  <c r="AK17" i="8"/>
  <c r="AN13" i="8"/>
  <c r="AM14" i="8"/>
  <c r="AK24" i="8" l="1"/>
  <c r="AK23" i="8"/>
  <c r="AM15" i="8"/>
  <c r="AM16" i="8" s="1"/>
  <c r="AL17" i="8"/>
  <c r="AO13" i="8"/>
  <c r="AN14" i="8"/>
  <c r="AL23" i="8" l="1"/>
  <c r="AL24" i="8"/>
  <c r="AN15" i="8"/>
  <c r="AN16" i="8" s="1"/>
  <c r="AM17" i="8"/>
  <c r="AP13" i="8"/>
  <c r="AO14" i="8"/>
  <c r="AM23" i="8" l="1"/>
  <c r="AM24" i="8"/>
  <c r="AO15" i="8"/>
  <c r="AO16" i="8" s="1"/>
  <c r="AN17" i="8"/>
  <c r="AQ13" i="8"/>
  <c r="AP14" i="8"/>
  <c r="AN24" i="8" l="1"/>
  <c r="AN23" i="8"/>
  <c r="AP15" i="8"/>
  <c r="AP16" i="8" s="1"/>
  <c r="AO17" i="8"/>
  <c r="AR13" i="8"/>
  <c r="AQ14" i="8"/>
  <c r="AO23" i="8" l="1"/>
  <c r="AO24" i="8"/>
  <c r="AQ15" i="8"/>
  <c r="AQ16" i="8" s="1"/>
  <c r="AP17" i="8"/>
  <c r="AR14" i="8"/>
  <c r="AS13" i="8"/>
  <c r="AP23" i="8" l="1"/>
  <c r="AP24" i="8"/>
  <c r="AR15" i="8"/>
  <c r="AR16" i="8" s="1"/>
  <c r="AQ17" i="8"/>
  <c r="AT13" i="8"/>
  <c r="AS14" i="8"/>
  <c r="AQ23" i="8" l="1"/>
  <c r="AQ24" i="8"/>
  <c r="AS15" i="8"/>
  <c r="AS16" i="8" s="1"/>
  <c r="AR17" i="8"/>
  <c r="AU13" i="8"/>
  <c r="AT14" i="8"/>
  <c r="AR24" i="8" l="1"/>
  <c r="AR23" i="8"/>
  <c r="AT15" i="8"/>
  <c r="AT16" i="8" s="1"/>
  <c r="AS17" i="8"/>
  <c r="AV13" i="8"/>
  <c r="AU14" i="8"/>
  <c r="AS23" i="8" l="1"/>
  <c r="AS24" i="8"/>
  <c r="AU15" i="8"/>
  <c r="AU16" i="8" s="1"/>
  <c r="AT17" i="8"/>
  <c r="AW13" i="8"/>
  <c r="AV14" i="8"/>
  <c r="AT23" i="8" l="1"/>
  <c r="AT24" i="8"/>
  <c r="AV15" i="8"/>
  <c r="AV16" i="8" s="1"/>
  <c r="AU17" i="8"/>
  <c r="AX13" i="8"/>
  <c r="AW14" i="8"/>
  <c r="AU23" i="8" l="1"/>
  <c r="AU24" i="8"/>
  <c r="AY13" i="8"/>
  <c r="AX14" i="8"/>
  <c r="AW15" i="8"/>
  <c r="AW16" i="8" s="1"/>
  <c r="AV17" i="8"/>
  <c r="AV24" i="8" l="1"/>
  <c r="AV23" i="8"/>
  <c r="AX15" i="8"/>
  <c r="AX16" i="8" s="1"/>
  <c r="AW17" i="8"/>
  <c r="AZ13" i="8"/>
  <c r="AY14" i="8"/>
  <c r="AW24" i="8" l="1"/>
  <c r="AW23" i="8"/>
  <c r="AY15" i="8"/>
  <c r="AY16" i="8" s="1"/>
  <c r="AX17" i="8"/>
  <c r="BA13" i="8"/>
  <c r="AZ14" i="8"/>
  <c r="AX23" i="8" l="1"/>
  <c r="AX24" i="8"/>
  <c r="AZ15" i="8"/>
  <c r="AZ16" i="8" s="1"/>
  <c r="AY17" i="8"/>
  <c r="BB13" i="8"/>
  <c r="BA14" i="8"/>
  <c r="AY23" i="8" l="1"/>
  <c r="AY24" i="8"/>
  <c r="BA15" i="8"/>
  <c r="BA16" i="8" s="1"/>
  <c r="AZ17" i="8"/>
  <c r="BC13" i="8"/>
  <c r="BB14" i="8"/>
  <c r="AZ24" i="8" l="1"/>
  <c r="AZ23" i="8"/>
  <c r="AZ25" i="8"/>
  <c r="BB15" i="8"/>
  <c r="BB16" i="8" s="1"/>
  <c r="BA17" i="8"/>
  <c r="BD13" i="8"/>
  <c r="BC14" i="8"/>
  <c r="BA24" i="8" l="1"/>
  <c r="BA23" i="8"/>
  <c r="AZ26" i="8"/>
  <c r="BA25" i="8"/>
  <c r="BC15" i="8"/>
  <c r="BC16" i="8" s="1"/>
  <c r="BB17" i="8"/>
  <c r="BE13" i="8"/>
  <c r="BD14" i="8"/>
  <c r="BB23" i="8" l="1"/>
  <c r="BB24" i="8"/>
  <c r="BA26" i="8"/>
  <c r="BB25" i="8"/>
  <c r="BD15" i="8"/>
  <c r="BD16" i="8" s="1"/>
  <c r="BC17" i="8"/>
  <c r="BF13" i="8"/>
  <c r="BE14" i="8"/>
  <c r="BC23" i="8" l="1"/>
  <c r="BC24" i="8"/>
  <c r="BB26" i="8"/>
  <c r="BC25" i="8"/>
  <c r="BE15" i="8"/>
  <c r="BE16" i="8" s="1"/>
  <c r="BD17" i="8"/>
  <c r="BG13" i="8"/>
  <c r="BF14" i="8"/>
  <c r="BD24" i="8" l="1"/>
  <c r="BD23" i="8"/>
  <c r="BC26" i="8"/>
  <c r="BD25" i="8"/>
  <c r="E46" i="6"/>
  <c r="E47" i="6" s="1"/>
  <c r="E41" i="6"/>
  <c r="E51" i="6"/>
  <c r="E52" i="6" s="1"/>
  <c r="BF15" i="8"/>
  <c r="BF16" i="8" s="1"/>
  <c r="BE17" i="8"/>
  <c r="BH13" i="8"/>
  <c r="BG14" i="8"/>
  <c r="BD26" i="8" l="1"/>
  <c r="BE25" i="8"/>
  <c r="E42" i="6"/>
  <c r="BG15" i="8"/>
  <c r="BG16" i="8" s="1"/>
  <c r="BF17" i="8"/>
  <c r="BI13" i="8"/>
  <c r="BH14" i="8"/>
  <c r="BE26" i="8" l="1"/>
  <c r="BF25" i="8"/>
  <c r="BH15" i="8"/>
  <c r="BH16" i="8" s="1"/>
  <c r="BG17" i="8"/>
  <c r="BJ13" i="8"/>
  <c r="BI14" i="8"/>
  <c r="BF26" i="8" l="1"/>
  <c r="BG25" i="8"/>
  <c r="BI15" i="8"/>
  <c r="BI16" i="8" s="1"/>
  <c r="BH17" i="8"/>
  <c r="BK13" i="8"/>
  <c r="BJ14" i="8"/>
  <c r="BG26" i="8" l="1"/>
  <c r="BH25" i="8"/>
  <c r="BJ15" i="8"/>
  <c r="BJ16" i="8" s="1"/>
  <c r="BI17" i="8"/>
  <c r="BL13" i="8"/>
  <c r="BK14" i="8"/>
  <c r="BH26" i="8" l="1"/>
  <c r="BI25" i="8"/>
  <c r="BK15" i="8"/>
  <c r="BK16" i="8" s="1"/>
  <c r="BJ17" i="8"/>
  <c r="BM13" i="8"/>
  <c r="BL14" i="8"/>
  <c r="BI26" i="8" l="1"/>
  <c r="BJ25" i="8"/>
  <c r="BL15" i="8"/>
  <c r="BL16" i="8" s="1"/>
  <c r="BK17" i="8"/>
  <c r="BN13" i="8"/>
  <c r="BM14" i="8"/>
  <c r="BJ26" i="8" l="1"/>
  <c r="BK25" i="8"/>
  <c r="BM15" i="8"/>
  <c r="BM16" i="8" s="1"/>
  <c r="BL17" i="8"/>
  <c r="BO13" i="8"/>
  <c r="BN14" i="8"/>
  <c r="BK26" i="8" l="1"/>
  <c r="BL25" i="8"/>
  <c r="BN15" i="8"/>
  <c r="BN16" i="8" s="1"/>
  <c r="BM17" i="8"/>
  <c r="BP13" i="8"/>
  <c r="BO14" i="8"/>
  <c r="BL26" i="8" l="1"/>
  <c r="BM25" i="8"/>
  <c r="BO15" i="8"/>
  <c r="BO16" i="8" s="1"/>
  <c r="BN17" i="8"/>
  <c r="BQ13" i="8"/>
  <c r="BP14" i="8"/>
  <c r="BM26" i="8" l="1"/>
  <c r="BN25" i="8"/>
  <c r="BP15" i="8"/>
  <c r="BP16" i="8" s="1"/>
  <c r="BO17" i="8"/>
  <c r="BR13" i="8"/>
  <c r="BQ14" i="8"/>
  <c r="BN26" i="8" l="1"/>
  <c r="BO25" i="8"/>
  <c r="BQ15" i="8"/>
  <c r="BQ16" i="8" s="1"/>
  <c r="BP17" i="8"/>
  <c r="BS13" i="8"/>
  <c r="BR14" i="8"/>
  <c r="BO26" i="8" l="1"/>
  <c r="BP25" i="8"/>
  <c r="BR15" i="8"/>
  <c r="BR16" i="8" s="1"/>
  <c r="BQ17" i="8"/>
  <c r="BT13" i="8"/>
  <c r="BS14" i="8"/>
  <c r="BP26" i="8" l="1"/>
  <c r="BQ25" i="8"/>
  <c r="BS15" i="8"/>
  <c r="BS16" i="8" s="1"/>
  <c r="BR17" i="8"/>
  <c r="BU13" i="8"/>
  <c r="BT14" i="8"/>
  <c r="BQ26" i="8" l="1"/>
  <c r="BR25" i="8"/>
  <c r="BT15" i="8"/>
  <c r="BT16" i="8" s="1"/>
  <c r="BS17" i="8"/>
  <c r="BV13" i="8"/>
  <c r="BU14" i="8"/>
  <c r="BR26" i="8" l="1"/>
  <c r="BS25" i="8"/>
  <c r="BU15" i="8"/>
  <c r="BU16" i="8" s="1"/>
  <c r="BT17" i="8"/>
  <c r="BW13" i="8"/>
  <c r="BV14" i="8"/>
  <c r="BS26" i="8" l="1"/>
  <c r="BT25" i="8"/>
  <c r="BV15" i="8"/>
  <c r="BV16" i="8" s="1"/>
  <c r="BU17" i="8"/>
  <c r="BX13" i="8"/>
  <c r="BW14" i="8"/>
  <c r="BT26" i="8" l="1"/>
  <c r="BU25" i="8"/>
  <c r="BW15" i="8"/>
  <c r="BW16" i="8" s="1"/>
  <c r="BV17" i="8"/>
  <c r="BY13" i="8"/>
  <c r="BX14" i="8"/>
  <c r="BU26" i="8" l="1"/>
  <c r="BV25" i="8"/>
  <c r="BX15" i="8"/>
  <c r="BX16" i="8" s="1"/>
  <c r="BW17" i="8"/>
  <c r="BZ13" i="8"/>
  <c r="BY14" i="8"/>
  <c r="BV26" i="8" l="1"/>
  <c r="BW25" i="8"/>
  <c r="BY15" i="8"/>
  <c r="BY16" i="8" s="1"/>
  <c r="BX17" i="8"/>
  <c r="CA13" i="8"/>
  <c r="BZ14" i="8"/>
  <c r="BW26" i="8" l="1"/>
  <c r="BX25" i="8"/>
  <c r="BZ15" i="8"/>
  <c r="BZ16" i="8" s="1"/>
  <c r="BY17" i="8"/>
  <c r="CB13" i="8"/>
  <c r="CA14" i="8"/>
  <c r="BX26" i="8" l="1"/>
  <c r="BY25" i="8"/>
  <c r="CA15" i="8"/>
  <c r="CA16" i="8" s="1"/>
  <c r="BZ17" i="8"/>
  <c r="CC13" i="8"/>
  <c r="CB14" i="8"/>
  <c r="BY26" i="8" l="1"/>
  <c r="BZ25" i="8"/>
  <c r="CB15" i="8"/>
  <c r="CB16" i="8" s="1"/>
  <c r="CA17" i="8"/>
  <c r="CD13" i="8"/>
  <c r="CC14" i="8"/>
  <c r="BZ26" i="8" l="1"/>
  <c r="CA25" i="8"/>
  <c r="CC15" i="8"/>
  <c r="CC16" i="8" s="1"/>
  <c r="CB17" i="8"/>
  <c r="CE13" i="8"/>
  <c r="CD14" i="8"/>
  <c r="CA26" i="8" l="1"/>
  <c r="CB25" i="8"/>
  <c r="CD15" i="8"/>
  <c r="CD16" i="8" s="1"/>
  <c r="CC17" i="8"/>
  <c r="CF13" i="8"/>
  <c r="CE14" i="8"/>
  <c r="CB26" i="8" l="1"/>
  <c r="CC25" i="8"/>
  <c r="CE15" i="8"/>
  <c r="CE16" i="8" s="1"/>
  <c r="CD17" i="8"/>
  <c r="CG13" i="8"/>
  <c r="CF14" i="8"/>
  <c r="CC26" i="8" l="1"/>
  <c r="CD25" i="8"/>
  <c r="CF15" i="8"/>
  <c r="CF16" i="8" s="1"/>
  <c r="CE17" i="8"/>
  <c r="CH13" i="8"/>
  <c r="CG14" i="8"/>
  <c r="CD26" i="8" l="1"/>
  <c r="CE25" i="8"/>
  <c r="CG15" i="8"/>
  <c r="CG16" i="8" s="1"/>
  <c r="CF17" i="8"/>
  <c r="CI13" i="8"/>
  <c r="CH14" i="8"/>
  <c r="CE26" i="8" l="1"/>
  <c r="CF25" i="8"/>
  <c r="CH15" i="8"/>
  <c r="CH16" i="8" s="1"/>
  <c r="CG17" i="8"/>
  <c r="CJ13" i="8"/>
  <c r="CI14" i="8"/>
  <c r="CF26" i="8" l="1"/>
  <c r="CG25" i="8"/>
  <c r="CI15" i="8"/>
  <c r="CI16" i="8" s="1"/>
  <c r="CH17" i="8"/>
  <c r="CK13" i="8"/>
  <c r="CJ14" i="8"/>
  <c r="CG26" i="8" l="1"/>
  <c r="CH25" i="8"/>
  <c r="CJ15" i="8"/>
  <c r="CJ16" i="8" s="1"/>
  <c r="CI17" i="8"/>
  <c r="CL13" i="8"/>
  <c r="CK14" i="8"/>
  <c r="CH26" i="8" l="1"/>
  <c r="CI25" i="8"/>
  <c r="CK15" i="8"/>
  <c r="CK16" i="8" s="1"/>
  <c r="CJ17" i="8"/>
  <c r="CM13" i="8"/>
  <c r="CL14" i="8"/>
  <c r="CI26" i="8" l="1"/>
  <c r="CJ25" i="8"/>
  <c r="E24" i="8"/>
  <c r="H85" i="5" s="1"/>
  <c r="CL15" i="8"/>
  <c r="CL16" i="8" s="1"/>
  <c r="CK17" i="8"/>
  <c r="CN13" i="8"/>
  <c r="CM14" i="8"/>
  <c r="CJ26" i="8" l="1"/>
  <c r="D57" i="4"/>
  <c r="C24" i="8"/>
  <c r="D24" i="8" s="1"/>
  <c r="I85" i="5"/>
  <c r="J85" i="5"/>
  <c r="E23" i="8"/>
  <c r="H84" i="5" s="1"/>
  <c r="CM15" i="8"/>
  <c r="CM16" i="8" s="1"/>
  <c r="CL17" i="8"/>
  <c r="CO13" i="8"/>
  <c r="CN14" i="8"/>
  <c r="C23" i="8" l="1"/>
  <c r="I84" i="5"/>
  <c r="J84" i="5"/>
  <c r="CN15" i="8"/>
  <c r="CN16" i="8" s="1"/>
  <c r="CM17" i="8"/>
  <c r="CP13" i="8"/>
  <c r="CO14" i="8"/>
  <c r="D23" i="8" l="1"/>
  <c r="CO15" i="8"/>
  <c r="CO16" i="8" s="1"/>
  <c r="CN17" i="8"/>
  <c r="CQ13" i="8"/>
  <c r="CP14" i="8"/>
  <c r="CP15" i="8" l="1"/>
  <c r="CP16" i="8" s="1"/>
  <c r="CO17" i="8"/>
  <c r="CR13" i="8"/>
  <c r="CQ14" i="8"/>
  <c r="CQ15" i="8" l="1"/>
  <c r="CQ16" i="8" s="1"/>
  <c r="CP17" i="8"/>
  <c r="CS13" i="8"/>
  <c r="CR14" i="8"/>
  <c r="CR15" i="8" l="1"/>
  <c r="CR16" i="8" s="1"/>
  <c r="CQ17" i="8"/>
  <c r="CT13" i="8"/>
  <c r="CS14" i="8"/>
  <c r="CS15" i="8" l="1"/>
  <c r="CS16" i="8" s="1"/>
  <c r="CR17" i="8"/>
  <c r="CU13" i="8"/>
  <c r="CT14" i="8"/>
  <c r="CT15" i="8" l="1"/>
  <c r="CT16" i="8" s="1"/>
  <c r="CS17" i="8"/>
  <c r="CV13" i="8"/>
  <c r="CU14" i="8"/>
  <c r="CU15" i="8" l="1"/>
  <c r="CU16" i="8" s="1"/>
  <c r="CT17" i="8"/>
  <c r="CW13" i="8"/>
  <c r="CV14" i="8"/>
  <c r="CV15" i="8" l="1"/>
  <c r="CV16" i="8" s="1"/>
  <c r="CU17" i="8"/>
  <c r="CX13" i="8"/>
  <c r="CW14" i="8"/>
  <c r="CW15" i="8" l="1"/>
  <c r="CW16" i="8" s="1"/>
  <c r="CV17" i="8"/>
  <c r="CY13" i="8"/>
  <c r="CX14" i="8"/>
  <c r="CX15" i="8" l="1"/>
  <c r="CX16" i="8" s="1"/>
  <c r="CW17" i="8"/>
  <c r="CZ13" i="8"/>
  <c r="CY14" i="8"/>
  <c r="CY15" i="8" l="1"/>
  <c r="CY16" i="8" s="1"/>
  <c r="CX17" i="8"/>
  <c r="CZ14" i="8"/>
  <c r="E14" i="8" s="1"/>
  <c r="E13" i="8"/>
  <c r="D13" i="8" s="1"/>
  <c r="CZ15" i="8" l="1"/>
  <c r="E15" i="8" s="1"/>
  <c r="D15" i="8" s="1"/>
  <c r="CY17" i="8"/>
  <c r="CZ16" i="8" l="1"/>
  <c r="CZ17" i="8" l="1"/>
  <c r="E17" i="8" s="1"/>
  <c r="E16" i="8"/>
  <c r="D16" i="8" s="1"/>
  <c r="AV64" i="8" l="1"/>
  <c r="AZ64" i="8"/>
  <c r="BA64" i="8"/>
  <c r="BD64" i="8"/>
  <c r="BE64" i="8"/>
  <c r="BH64" i="8"/>
  <c r="BI64" i="8"/>
  <c r="BJ64" i="8"/>
  <c r="BK64" i="8"/>
  <c r="BL64" i="8"/>
  <c r="BM64" i="8"/>
  <c r="BN64" i="8"/>
  <c r="BO64" i="8"/>
  <c r="AP64" i="8"/>
  <c r="AQ64" i="8"/>
  <c r="AR64" i="8"/>
  <c r="AS64" i="8"/>
  <c r="BG64" i="8" l="1"/>
  <c r="BC64" i="8"/>
  <c r="AY64" i="8"/>
  <c r="AU64" i="8"/>
  <c r="BF64" i="8"/>
  <c r="BB64" i="8"/>
  <c r="AX64" i="8"/>
  <c r="AT64" i="8"/>
  <c r="AW64" i="8"/>
  <c r="D11" i="1" l="1"/>
  <c r="E30" i="2" l="1"/>
  <c r="E30" i="14"/>
  <c r="E34" i="6" l="1"/>
  <c r="BP94" i="8" l="1"/>
  <c r="BQ94" i="8"/>
  <c r="BR94" i="8"/>
  <c r="BS94" i="8"/>
  <c r="BJ94" i="8"/>
  <c r="BN94" i="8"/>
  <c r="BL94" i="8"/>
  <c r="BM94" i="8"/>
  <c r="BK94" i="8"/>
  <c r="BO94" i="8"/>
  <c r="BH94" i="8"/>
  <c r="BI94" i="8"/>
  <c r="E48" i="6"/>
  <c r="E49" i="6" s="1"/>
  <c r="E43" i="6"/>
  <c r="E44" i="6" s="1"/>
  <c r="E53" i="6"/>
  <c r="E54" i="6" s="1"/>
  <c r="C38" i="6" l="1"/>
  <c r="D38" i="6"/>
  <c r="C37" i="6"/>
  <c r="D37" i="6"/>
  <c r="E37" i="6"/>
  <c r="E38" i="6"/>
  <c r="CB93" i="8" l="1"/>
  <c r="CC100" i="8" l="1"/>
  <c r="CC102" i="8"/>
  <c r="CC103" i="8" s="1"/>
  <c r="CB112" i="8" l="1"/>
  <c r="CC93" i="8" l="1"/>
  <c r="CD102" i="8" l="1"/>
  <c r="CD103" i="8" s="1"/>
  <c r="CC112" i="8" l="1"/>
  <c r="CD93" i="8" l="1"/>
  <c r="CE100" i="8" l="1"/>
  <c r="CE102" i="8"/>
  <c r="CE103" i="8" s="1"/>
  <c r="CD112" i="8" l="1"/>
  <c r="CE93" i="8" l="1"/>
  <c r="CF100" i="8" l="1"/>
  <c r="CF102" i="8"/>
  <c r="CF103" i="8" s="1"/>
  <c r="CE112" i="8" l="1"/>
  <c r="CF93" i="8" l="1"/>
  <c r="CG100" i="8" l="1"/>
  <c r="CG102" i="8"/>
  <c r="CG103" i="8" s="1"/>
  <c r="CF112" i="8" l="1"/>
  <c r="CG93" i="8" l="1"/>
  <c r="CH100" i="8" l="1"/>
  <c r="CH102" i="8"/>
  <c r="CH103" i="8" s="1"/>
  <c r="CG112" i="8" l="1"/>
  <c r="CH93" i="8" l="1"/>
  <c r="CI100" i="8" l="1"/>
  <c r="CI102" i="8"/>
  <c r="CI103" i="8" s="1"/>
  <c r="CH112" i="8" l="1"/>
  <c r="CI93" i="8" l="1"/>
  <c r="CJ102" i="8" l="1"/>
  <c r="CJ103" i="8" s="1"/>
  <c r="CI112" i="8" l="1"/>
  <c r="CJ100" i="8" l="1"/>
  <c r="J31" i="6" l="1"/>
  <c r="CJ112" i="8"/>
  <c r="CJ93" i="8" l="1"/>
  <c r="CK100" i="8" s="1"/>
  <c r="CD100" i="8"/>
  <c r="CK102" i="8" l="1"/>
  <c r="CK103" i="8" s="1"/>
  <c r="I31" i="6" l="1"/>
  <c r="AW94" i="8" l="1"/>
  <c r="BG94" i="8"/>
  <c r="AX94" i="8"/>
  <c r="BA94" i="8"/>
  <c r="BE94" i="8"/>
  <c r="AY94" i="8"/>
  <c r="AT94" i="8"/>
  <c r="BC94" i="8"/>
  <c r="AV94" i="8"/>
  <c r="BD94" i="8"/>
  <c r="AZ94" i="8"/>
  <c r="AS94" i="8"/>
  <c r="BB94" i="8"/>
  <c r="AU94" i="8"/>
  <c r="BF94" i="8"/>
  <c r="BE112" i="8" l="1"/>
  <c r="BF93" i="8" l="1"/>
  <c r="BG102" i="8" l="1"/>
  <c r="BG103" i="8" s="1"/>
  <c r="BG100" i="8"/>
  <c r="BF112" i="8"/>
  <c r="BG112" i="8" l="1"/>
  <c r="BH112" i="8" l="1"/>
  <c r="BI112" i="8" l="1"/>
  <c r="BJ93" i="8" l="1"/>
  <c r="BK102" i="8" s="1"/>
  <c r="BK103" i="8" s="1"/>
  <c r="BK100" i="8" l="1"/>
  <c r="BJ112" i="8"/>
  <c r="BK112" i="8" l="1"/>
  <c r="BL112" i="8" l="1"/>
  <c r="BM112" i="8" l="1"/>
  <c r="BN112" i="8" l="1"/>
  <c r="BO112" i="8" l="1"/>
  <c r="BP93" i="8" l="1"/>
  <c r="BQ102" i="8" l="1"/>
  <c r="BQ103" i="8" s="1"/>
  <c r="BQ100" i="8"/>
  <c r="BP112" i="8"/>
  <c r="BQ112" i="8" l="1"/>
  <c r="BR112" i="8" l="1"/>
  <c r="BS112" i="8" l="1"/>
  <c r="BT112" i="8" l="1"/>
  <c r="BU112" i="8" l="1"/>
  <c r="BV112" i="8" l="1"/>
  <c r="BW93" i="8" l="1"/>
  <c r="BX100" i="8" l="1"/>
  <c r="BX102" i="8"/>
  <c r="BX103" i="8" s="1"/>
  <c r="BW112" i="8" l="1"/>
  <c r="BX93" i="8" l="1"/>
  <c r="BY102" i="8" l="1"/>
  <c r="BY103" i="8" s="1"/>
  <c r="BX112" i="8" l="1"/>
  <c r="BY93" i="8" l="1"/>
  <c r="BZ100" i="8" l="1"/>
  <c r="BZ102" i="8"/>
  <c r="BZ103" i="8" s="1"/>
  <c r="BY112" i="8" l="1"/>
  <c r="BZ93" i="8" l="1"/>
  <c r="CA102" i="8" l="1"/>
  <c r="CA103" i="8" s="1"/>
  <c r="CA100" i="8"/>
  <c r="BZ112" i="8" l="1"/>
  <c r="CA93" i="8" l="1"/>
  <c r="CB102" i="8" l="1"/>
  <c r="CB103" i="8" s="1"/>
  <c r="H31" i="6" l="1"/>
  <c r="CA112" i="8"/>
  <c r="CB100" i="8" l="1"/>
  <c r="BY100" i="8" l="1"/>
  <c r="BV93" i="8"/>
  <c r="BW100" i="8" s="1"/>
  <c r="BU93" i="8"/>
  <c r="BT93" i="8"/>
  <c r="BU100" i="8" s="1"/>
  <c r="BS93" i="8"/>
  <c r="BR93" i="8"/>
  <c r="BS102" i="8" s="1"/>
  <c r="BS103" i="8" s="1"/>
  <c r="BQ93" i="8"/>
  <c r="BO93" i="8"/>
  <c r="BP100" i="8" s="1"/>
  <c r="BN93" i="8"/>
  <c r="BM93" i="8"/>
  <c r="BN100" i="8" s="1"/>
  <c r="BL93" i="8"/>
  <c r="BK93" i="8"/>
  <c r="BL102" i="8" s="1"/>
  <c r="BL103" i="8" s="1"/>
  <c r="BI93" i="8"/>
  <c r="BH93" i="8"/>
  <c r="BI100" i="8" s="1"/>
  <c r="BG93" i="8"/>
  <c r="BE93" i="8"/>
  <c r="BF100" i="8" s="1"/>
  <c r="BW102" i="8" l="1"/>
  <c r="BW103" i="8" s="1"/>
  <c r="BI102" i="8"/>
  <c r="BI103" i="8" s="1"/>
  <c r="BJ102" i="8"/>
  <c r="BJ103" i="8" s="1"/>
  <c r="BO102" i="8"/>
  <c r="BO103" i="8" s="1"/>
  <c r="BF102" i="8"/>
  <c r="BF103" i="8" s="1"/>
  <c r="BM102" i="8"/>
  <c r="BM103" i="8" s="1"/>
  <c r="BU102" i="8"/>
  <c r="BU103" i="8" s="1"/>
  <c r="BN102" i="8"/>
  <c r="BN103" i="8" s="1"/>
  <c r="BP102" i="8"/>
  <c r="BP103" i="8" s="1"/>
  <c r="BT102" i="8"/>
  <c r="BT103" i="8" s="1"/>
  <c r="BV102" i="8"/>
  <c r="BV103" i="8" s="1"/>
  <c r="BH102" i="8"/>
  <c r="BH103" i="8" s="1"/>
  <c r="BJ100" i="8"/>
  <c r="BL100" i="8"/>
  <c r="BM100" i="8"/>
  <c r="BO100" i="8"/>
  <c r="BR102" i="8"/>
  <c r="BR103" i="8" s="1"/>
  <c r="BS100" i="8"/>
  <c r="BT100" i="8"/>
  <c r="BV100" i="8"/>
  <c r="BH100" i="8"/>
  <c r="BR100" i="8"/>
  <c r="E71" i="17"/>
  <c r="D16" i="16" s="1"/>
  <c r="E67" i="17"/>
  <c r="D17" i="16"/>
  <c r="F17" i="16" s="1"/>
  <c r="D18" i="16" l="1"/>
  <c r="F18" i="16" s="1"/>
  <c r="F19" i="16" s="1"/>
  <c r="D19" i="16" l="1"/>
  <c r="D20" i="16"/>
  <c r="AP90" i="8" l="1"/>
  <c r="AQ90" i="8"/>
  <c r="AR90" i="8"/>
  <c r="AQ94" i="8"/>
  <c r="AP94" i="8"/>
  <c r="AR94" i="8"/>
  <c r="H16" i="9"/>
  <c r="G71" i="17"/>
  <c r="H18" i="9" l="1"/>
  <c r="H15" i="9"/>
  <c r="G78" i="5" s="1"/>
  <c r="H17" i="9"/>
  <c r="F51" i="17" l="1"/>
  <c r="H25" i="5" l="1"/>
  <c r="G51" i="17"/>
  <c r="F52" i="17"/>
  <c r="F54" i="17" l="1"/>
  <c r="J25" i="5"/>
  <c r="I25" i="5"/>
  <c r="C47" i="8"/>
  <c r="G52" i="17"/>
  <c r="H40" i="5"/>
  <c r="H41" i="5" s="1"/>
  <c r="G41" i="1" l="1"/>
  <c r="K41" i="5"/>
  <c r="L41" i="5"/>
  <c r="J40" i="5"/>
  <c r="J41" i="5" s="1"/>
  <c r="I41" i="1" s="1"/>
  <c r="M41" i="5"/>
  <c r="C60" i="8"/>
  <c r="I40" i="5"/>
  <c r="AN47" i="8"/>
  <c r="AJ47" i="8"/>
  <c r="AM47" i="8"/>
  <c r="AI47" i="8"/>
  <c r="AF47" i="8"/>
  <c r="AE47" i="8"/>
  <c r="AA47" i="8"/>
  <c r="AL47" i="8"/>
  <c r="AH47" i="8"/>
  <c r="AD47" i="8"/>
  <c r="AO47" i="8"/>
  <c r="AK47" i="8"/>
  <c r="AG47" i="8"/>
  <c r="AC47" i="8"/>
  <c r="Y47" i="8"/>
  <c r="V47" i="8"/>
  <c r="R47" i="8"/>
  <c r="N47" i="8"/>
  <c r="AB47" i="8"/>
  <c r="U47" i="8"/>
  <c r="Q47" i="8"/>
  <c r="M47" i="8"/>
  <c r="Z47" i="8"/>
  <c r="X47" i="8"/>
  <c r="P47" i="8"/>
  <c r="L47" i="8"/>
  <c r="C61" i="8"/>
  <c r="W47" i="8"/>
  <c r="T47" i="8"/>
  <c r="S47" i="8"/>
  <c r="O47" i="8"/>
  <c r="K47" i="8"/>
  <c r="J47" i="8"/>
  <c r="H45" i="5"/>
  <c r="G54" i="17"/>
  <c r="I41" i="5"/>
  <c r="H41" i="1" s="1"/>
  <c r="E47" i="8" l="1"/>
  <c r="D47" i="8" s="1"/>
  <c r="N41" i="5"/>
  <c r="I45" i="5"/>
  <c r="I46" i="5" s="1"/>
  <c r="H42" i="1" s="1"/>
  <c r="H46" i="5"/>
  <c r="J45" i="5"/>
  <c r="J46" i="5" s="1"/>
  <c r="I42" i="1" s="1"/>
  <c r="J60" i="8"/>
  <c r="J61" i="8" s="1"/>
  <c r="AL60" i="8"/>
  <c r="AL61" i="8" s="1"/>
  <c r="AH60" i="8"/>
  <c r="AH61" i="8" s="1"/>
  <c r="AD60" i="8"/>
  <c r="AD61" i="8" s="1"/>
  <c r="Z60" i="8"/>
  <c r="Z61" i="8" s="1"/>
  <c r="S60" i="8"/>
  <c r="S61" i="8" s="1"/>
  <c r="P60" i="8"/>
  <c r="P61" i="8" s="1"/>
  <c r="L60" i="8"/>
  <c r="L61" i="8" s="1"/>
  <c r="Y60" i="8"/>
  <c r="Y61" i="8" s="1"/>
  <c r="AO60" i="8"/>
  <c r="AO61" i="8" s="1"/>
  <c r="AK60" i="8"/>
  <c r="AK61" i="8" s="1"/>
  <c r="AG60" i="8"/>
  <c r="AG61" i="8" s="1"/>
  <c r="AC60" i="8"/>
  <c r="AC61" i="8" s="1"/>
  <c r="X60" i="8"/>
  <c r="X61" i="8" s="1"/>
  <c r="W60" i="8"/>
  <c r="W61" i="8" s="1"/>
  <c r="V60" i="8"/>
  <c r="V61" i="8" s="1"/>
  <c r="U60" i="8"/>
  <c r="U61" i="8" s="1"/>
  <c r="AJ60" i="8"/>
  <c r="AJ61" i="8" s="1"/>
  <c r="AB60" i="8"/>
  <c r="AB61" i="8" s="1"/>
  <c r="O60" i="8"/>
  <c r="O61" i="8" s="1"/>
  <c r="R60" i="8"/>
  <c r="R61" i="8" s="1"/>
  <c r="AF60" i="8"/>
  <c r="AF61" i="8" s="1"/>
  <c r="K60" i="8"/>
  <c r="K61" i="8" s="1"/>
  <c r="AE60" i="8"/>
  <c r="AE61" i="8" s="1"/>
  <c r="Q60" i="8"/>
  <c r="Q61" i="8" s="1"/>
  <c r="AI60" i="8"/>
  <c r="AI61" i="8" s="1"/>
  <c r="AA60" i="8"/>
  <c r="AA61" i="8" s="1"/>
  <c r="M60" i="8"/>
  <c r="M61" i="8" s="1"/>
  <c r="AN60" i="8"/>
  <c r="AN61" i="8" s="1"/>
  <c r="T60" i="8"/>
  <c r="T61" i="8" s="1"/>
  <c r="AM60" i="8"/>
  <c r="AM61" i="8" s="1"/>
  <c r="N60" i="8"/>
  <c r="N61" i="8" s="1"/>
  <c r="G42" i="1" l="1"/>
  <c r="C64" i="8"/>
  <c r="E61" i="8"/>
  <c r="E60" i="8"/>
  <c r="D60" i="8" s="1"/>
  <c r="N64" i="8" l="1"/>
  <c r="U64" i="8"/>
  <c r="AD64" i="8"/>
  <c r="AC64" i="8"/>
  <c r="W64" i="8"/>
  <c r="AB64" i="8"/>
  <c r="AN64" i="8"/>
  <c r="AA64" i="8"/>
  <c r="AO64" i="8"/>
  <c r="AL64" i="8"/>
  <c r="S64" i="8"/>
  <c r="AJ64" i="8"/>
  <c r="AG64" i="8"/>
  <c r="Z64" i="8"/>
  <c r="T64" i="8"/>
  <c r="AM64" i="8"/>
  <c r="Q64" i="8"/>
  <c r="X64" i="8"/>
  <c r="M64" i="8"/>
  <c r="AH64" i="8"/>
  <c r="O64" i="8"/>
  <c r="R64" i="8"/>
  <c r="Y64" i="8"/>
  <c r="AI64" i="8"/>
  <c r="I64" i="8"/>
  <c r="AF64" i="8"/>
  <c r="K64" i="8"/>
  <c r="L64" i="8"/>
  <c r="AK64" i="8"/>
  <c r="J64" i="8"/>
  <c r="V64" i="8"/>
  <c r="AE64" i="8"/>
  <c r="P64" i="8"/>
  <c r="D61" i="8"/>
  <c r="E64" i="8" l="1"/>
  <c r="D64" i="8" l="1"/>
  <c r="AZ112" i="8" l="1"/>
  <c r="BA93" i="8" l="1"/>
  <c r="BB100" i="8" l="1"/>
  <c r="BB102" i="8"/>
  <c r="BB103" i="8" s="1"/>
  <c r="BA112" i="8" l="1"/>
  <c r="BB93" i="8" l="1"/>
  <c r="BC102" i="8" l="1"/>
  <c r="BC103" i="8" s="1"/>
  <c r="BC100" i="8"/>
  <c r="BB112" i="8" l="1"/>
  <c r="BC93" i="8" l="1"/>
  <c r="BC95" i="8" l="1"/>
  <c r="BD102" i="8"/>
  <c r="BD103" i="8" s="1"/>
  <c r="BD100" i="8"/>
  <c r="BC98" i="8" l="1"/>
  <c r="BC112" i="8" l="1"/>
  <c r="BD93" i="8" l="1"/>
  <c r="BE102" i="8" l="1"/>
  <c r="BE103" i="8" s="1"/>
  <c r="G31" i="6" l="1"/>
  <c r="BD112" i="8"/>
  <c r="BE100" i="8" l="1"/>
  <c r="AZ93" i="8"/>
  <c r="BA100" i="8" s="1"/>
  <c r="I45" i="4"/>
  <c r="G45" i="4"/>
  <c r="F45" i="4" s="1"/>
  <c r="F48" i="4" s="1"/>
  <c r="E45" i="4"/>
  <c r="E48" i="4" s="1"/>
  <c r="H48" i="4"/>
  <c r="H50" i="4" s="1"/>
  <c r="BA102" i="8" l="1"/>
  <c r="BA103" i="8" s="1"/>
  <c r="H55" i="4"/>
  <c r="H56" i="4" s="1"/>
  <c r="F56" i="4" s="1"/>
  <c r="I25" i="8"/>
  <c r="I26" i="8" s="1"/>
  <c r="K28" i="6"/>
  <c r="K29" i="6" s="1"/>
  <c r="K36" i="6" s="1"/>
  <c r="I28" i="6"/>
  <c r="I29" i="6" s="1"/>
  <c r="I36" i="6" s="1"/>
  <c r="E28" i="6"/>
  <c r="E29" i="6" s="1"/>
  <c r="E36" i="6" s="1"/>
  <c r="E39" i="6" s="1"/>
  <c r="E58" i="6" s="1"/>
  <c r="H51" i="4"/>
  <c r="C28" i="6"/>
  <c r="C29" i="6" s="1"/>
  <c r="C36" i="6" s="1"/>
  <c r="C39" i="6" s="1"/>
  <c r="C58" i="6" s="1"/>
  <c r="M25" i="8"/>
  <c r="M26" i="8" s="1"/>
  <c r="Q25" i="8"/>
  <c r="Q26" i="8" s="1"/>
  <c r="T25" i="8"/>
  <c r="T26" i="8" s="1"/>
  <c r="X25" i="8"/>
  <c r="X26" i="8" s="1"/>
  <c r="AB25" i="8"/>
  <c r="AB26" i="8" s="1"/>
  <c r="AI25" i="8"/>
  <c r="AI26" i="8" s="1"/>
  <c r="AM25" i="8"/>
  <c r="AM26" i="8" s="1"/>
  <c r="O25" i="8"/>
  <c r="O26" i="8" s="1"/>
  <c r="K25" i="8"/>
  <c r="K26" i="8" s="1"/>
  <c r="R25" i="8"/>
  <c r="R26" i="8" s="1"/>
  <c r="V25" i="8"/>
  <c r="V26" i="8" s="1"/>
  <c r="AC25" i="8"/>
  <c r="AC26" i="8" s="1"/>
  <c r="AE25" i="8"/>
  <c r="AE26" i="8" s="1"/>
  <c r="N25" i="8"/>
  <c r="N26" i="8" s="1"/>
  <c r="P25" i="8"/>
  <c r="P26" i="8" s="1"/>
  <c r="Y25" i="8"/>
  <c r="Y26" i="8" s="1"/>
  <c r="AA25" i="8"/>
  <c r="AA26" i="8" s="1"/>
  <c r="S25" i="8"/>
  <c r="S26" i="8" s="1"/>
  <c r="W25" i="8"/>
  <c r="W26" i="8" s="1"/>
  <c r="AJ25" i="8"/>
  <c r="AJ26" i="8" s="1"/>
  <c r="AL25" i="8"/>
  <c r="AL26" i="8" s="1"/>
  <c r="AO25" i="8"/>
  <c r="AO26" i="8" s="1"/>
  <c r="AR25" i="8"/>
  <c r="AR26" i="8" s="1"/>
  <c r="AV25" i="8"/>
  <c r="AV26" i="8" s="1"/>
  <c r="D28" i="6"/>
  <c r="D29" i="6" s="1"/>
  <c r="D36" i="6" s="1"/>
  <c r="D39" i="6" s="1"/>
  <c r="D58" i="6" s="1"/>
  <c r="AH25" i="8"/>
  <c r="AH26" i="8" s="1"/>
  <c r="AP25" i="8"/>
  <c r="AP26" i="8" s="1"/>
  <c r="AS25" i="8"/>
  <c r="AS26" i="8" s="1"/>
  <c r="AT25" i="8"/>
  <c r="AT26" i="8" s="1"/>
  <c r="AW25" i="8"/>
  <c r="AW26" i="8" s="1"/>
  <c r="J25" i="8"/>
  <c r="J26" i="8" s="1"/>
  <c r="U25" i="8"/>
  <c r="U26" i="8" s="1"/>
  <c r="AF25" i="8"/>
  <c r="AF26" i="8" s="1"/>
  <c r="AK25" i="8"/>
  <c r="AK26" i="8" s="1"/>
  <c r="AQ25" i="8"/>
  <c r="AQ26" i="8" s="1"/>
  <c r="L25" i="8"/>
  <c r="L26" i="8" s="1"/>
  <c r="Z25" i="8"/>
  <c r="Z26" i="8" s="1"/>
  <c r="AN25" i="8"/>
  <c r="AN26" i="8" s="1"/>
  <c r="AD25" i="8"/>
  <c r="AD26" i="8" s="1"/>
  <c r="AY25" i="8"/>
  <c r="AY26" i="8" s="1"/>
  <c r="AU25" i="8"/>
  <c r="AU26" i="8" s="1"/>
  <c r="F28" i="6"/>
  <c r="F29" i="6" s="1"/>
  <c r="F36" i="6" s="1"/>
  <c r="AX25" i="8"/>
  <c r="AX26" i="8" s="1"/>
  <c r="G28" i="6"/>
  <c r="G29" i="6" s="1"/>
  <c r="G36" i="6" s="1"/>
  <c r="AG25" i="8"/>
  <c r="AG26" i="8" s="1"/>
  <c r="I48" i="4"/>
  <c r="L50" i="4"/>
  <c r="G48" i="4"/>
  <c r="L28" i="6"/>
  <c r="L29" i="6" s="1"/>
  <c r="L36" i="6" s="1"/>
  <c r="J28" i="6"/>
  <c r="J29" i="6" s="1"/>
  <c r="J36" i="6" s="1"/>
  <c r="H28" i="6"/>
  <c r="H29" i="6" s="1"/>
  <c r="H36" i="6" s="1"/>
  <c r="F36" i="17" l="1"/>
  <c r="I41" i="6"/>
  <c r="I51" i="6"/>
  <c r="I46" i="6"/>
  <c r="K41" i="6"/>
  <c r="K51" i="6"/>
  <c r="K46" i="6"/>
  <c r="J102" i="8"/>
  <c r="J103" i="8" s="1"/>
  <c r="E26" i="8"/>
  <c r="H57" i="4"/>
  <c r="J46" i="6"/>
  <c r="J51" i="6"/>
  <c r="J41" i="6"/>
  <c r="G36" i="17"/>
  <c r="F37" i="17"/>
  <c r="G37" i="17" s="1"/>
  <c r="F38" i="17"/>
  <c r="G41" i="6"/>
  <c r="G46" i="6"/>
  <c r="G51" i="6"/>
  <c r="L46" i="6"/>
  <c r="L51" i="6"/>
  <c r="L41" i="6"/>
  <c r="F41" i="6"/>
  <c r="F51" i="6"/>
  <c r="F46" i="6"/>
  <c r="H51" i="6"/>
  <c r="H41" i="6"/>
  <c r="H46" i="6"/>
  <c r="E25" i="8"/>
  <c r="H86" i="5" s="1"/>
  <c r="I86" i="5" l="1"/>
  <c r="I87" i="5" s="1"/>
  <c r="H47" i="1" s="1"/>
  <c r="J86" i="5"/>
  <c r="J87" i="5" s="1"/>
  <c r="I47" i="1" s="1"/>
  <c r="C25" i="8"/>
  <c r="H87" i="5"/>
  <c r="F47" i="6"/>
  <c r="G47" i="6"/>
  <c r="K42" i="6"/>
  <c r="H52" i="6"/>
  <c r="G42" i="6"/>
  <c r="J42" i="6"/>
  <c r="I47" i="6"/>
  <c r="H42" i="6"/>
  <c r="E63" i="17"/>
  <c r="F70" i="17"/>
  <c r="G38" i="17"/>
  <c r="E51" i="17"/>
  <c r="E54" i="17"/>
  <c r="F84" i="17"/>
  <c r="E48" i="17"/>
  <c r="E56" i="17"/>
  <c r="F67" i="17"/>
  <c r="E114" i="8" s="1"/>
  <c r="F44" i="17"/>
  <c r="F69" i="17"/>
  <c r="L52" i="6"/>
  <c r="F42" i="6"/>
  <c r="L47" i="6"/>
  <c r="J52" i="6"/>
  <c r="H58" i="4"/>
  <c r="F58" i="4" s="1"/>
  <c r="H9" i="1"/>
  <c r="K9" i="6"/>
  <c r="K47" i="6"/>
  <c r="I52" i="6"/>
  <c r="L42" i="6"/>
  <c r="F52" i="6"/>
  <c r="H47" i="6"/>
  <c r="G52" i="6"/>
  <c r="J47" i="6"/>
  <c r="K52" i="6"/>
  <c r="I42" i="6"/>
  <c r="F71" i="17" l="1"/>
  <c r="F75" i="17" s="1"/>
  <c r="H79" i="5" s="1"/>
  <c r="D42" i="16"/>
  <c r="K11" i="6"/>
  <c r="F74" i="17"/>
  <c r="H75" i="5" s="1"/>
  <c r="D25" i="8"/>
  <c r="C26" i="8"/>
  <c r="F82" i="17"/>
  <c r="G82" i="17" s="1"/>
  <c r="G47" i="1"/>
  <c r="G9" i="1"/>
  <c r="G11" i="1" s="1"/>
  <c r="G28" i="2"/>
  <c r="H11" i="1"/>
  <c r="I9" i="1"/>
  <c r="I11" i="1" s="1"/>
  <c r="G28" i="14"/>
  <c r="G44" i="17"/>
  <c r="F45" i="17"/>
  <c r="H14" i="5"/>
  <c r="C108" i="8"/>
  <c r="BA114" i="8"/>
  <c r="BA99" i="8" s="1"/>
  <c r="CY114" i="8"/>
  <c r="CY99" i="8" s="1"/>
  <c r="CU114" i="8"/>
  <c r="CU99" i="8" s="1"/>
  <c r="CQ114" i="8"/>
  <c r="CQ99" i="8" s="1"/>
  <c r="CM114" i="8"/>
  <c r="CM99" i="8" s="1"/>
  <c r="CI114" i="8"/>
  <c r="CI99" i="8" s="1"/>
  <c r="CE114" i="8"/>
  <c r="CE99" i="8" s="1"/>
  <c r="CA114" i="8"/>
  <c r="CA99" i="8" s="1"/>
  <c r="BW114" i="8"/>
  <c r="BW99" i="8" s="1"/>
  <c r="BS114" i="8"/>
  <c r="BS99" i="8" s="1"/>
  <c r="BO114" i="8"/>
  <c r="BO99" i="8" s="1"/>
  <c r="BK114" i="8"/>
  <c r="BK99" i="8" s="1"/>
  <c r="BG114" i="8"/>
  <c r="BG99" i="8" s="1"/>
  <c r="AZ114" i="8"/>
  <c r="AZ99" i="8" s="1"/>
  <c r="BD114" i="8"/>
  <c r="BD99" i="8" s="1"/>
  <c r="CZ114" i="8"/>
  <c r="CZ99" i="8" s="1"/>
  <c r="CV114" i="8"/>
  <c r="CV99" i="8" s="1"/>
  <c r="CR114" i="8"/>
  <c r="CR99" i="8" s="1"/>
  <c r="CN114" i="8"/>
  <c r="CN99" i="8" s="1"/>
  <c r="CJ114" i="8"/>
  <c r="CJ99" i="8" s="1"/>
  <c r="CF114" i="8"/>
  <c r="CF99" i="8" s="1"/>
  <c r="CB114" i="8"/>
  <c r="CB99" i="8" s="1"/>
  <c r="BX114" i="8"/>
  <c r="BX99" i="8" s="1"/>
  <c r="BT114" i="8"/>
  <c r="BT99" i="8" s="1"/>
  <c r="BP114" i="8"/>
  <c r="BP99" i="8" s="1"/>
  <c r="BL114" i="8"/>
  <c r="BL99" i="8" s="1"/>
  <c r="BH114" i="8"/>
  <c r="BH99" i="8" s="1"/>
  <c r="BF114" i="8"/>
  <c r="BF99" i="8" s="1"/>
  <c r="BB114" i="8"/>
  <c r="BB99" i="8" s="1"/>
  <c r="BC114" i="8"/>
  <c r="BC99" i="8" s="1"/>
  <c r="CT114" i="8"/>
  <c r="CT99" i="8" s="1"/>
  <c r="CL114" i="8"/>
  <c r="CL99" i="8" s="1"/>
  <c r="CD114" i="8"/>
  <c r="CD99" i="8" s="1"/>
  <c r="BV114" i="8"/>
  <c r="BV99" i="8" s="1"/>
  <c r="BN114" i="8"/>
  <c r="BN99" i="8" s="1"/>
  <c r="BE114" i="8"/>
  <c r="BE99" i="8" s="1"/>
  <c r="CS114" i="8"/>
  <c r="CS99" i="8" s="1"/>
  <c r="CK114" i="8"/>
  <c r="CK99" i="8" s="1"/>
  <c r="CC114" i="8"/>
  <c r="CC99" i="8" s="1"/>
  <c r="BU114" i="8"/>
  <c r="BU99" i="8" s="1"/>
  <c r="BM114" i="8"/>
  <c r="BM99" i="8" s="1"/>
  <c r="CX114" i="8"/>
  <c r="CX99" i="8" s="1"/>
  <c r="CP114" i="8"/>
  <c r="CP99" i="8" s="1"/>
  <c r="CH114" i="8"/>
  <c r="CH99" i="8" s="1"/>
  <c r="BZ114" i="8"/>
  <c r="BZ99" i="8" s="1"/>
  <c r="BR114" i="8"/>
  <c r="BR99" i="8" s="1"/>
  <c r="BJ114" i="8"/>
  <c r="BJ99" i="8" s="1"/>
  <c r="CG114" i="8"/>
  <c r="CG99" i="8" s="1"/>
  <c r="CO114" i="8"/>
  <c r="CO99" i="8" s="1"/>
  <c r="BI114" i="8"/>
  <c r="BI99" i="8" s="1"/>
  <c r="BY114" i="8"/>
  <c r="BY99" i="8" s="1"/>
  <c r="CW114" i="8"/>
  <c r="CW99" i="8" s="1"/>
  <c r="BQ114" i="8"/>
  <c r="BQ99" i="8" s="1"/>
  <c r="G45" i="17" l="1"/>
  <c r="H15" i="5"/>
  <c r="J79" i="5"/>
  <c r="I79" i="5"/>
  <c r="C94" i="8"/>
  <c r="M80" i="5"/>
  <c r="G30" i="14"/>
  <c r="G30" i="2"/>
  <c r="H12" i="1"/>
  <c r="H13" i="1" s="1"/>
  <c r="J14" i="5"/>
  <c r="I14" i="5"/>
  <c r="C29" i="8"/>
  <c r="H16" i="5"/>
  <c r="K28" i="14"/>
  <c r="G12" i="1"/>
  <c r="G13" i="1" s="1"/>
  <c r="D37" i="16"/>
  <c r="K12" i="6"/>
  <c r="K14" i="6" s="1"/>
  <c r="J75" i="5"/>
  <c r="C90" i="8"/>
  <c r="I75" i="5"/>
  <c r="BC104" i="8"/>
  <c r="I12" i="1"/>
  <c r="I13" i="1" s="1"/>
  <c r="G32" i="2" l="1"/>
  <c r="G32" i="14"/>
  <c r="K32" i="14" s="1"/>
  <c r="K30" i="14"/>
  <c r="G45" i="14"/>
  <c r="K45" i="14" s="1"/>
  <c r="G44" i="14"/>
  <c r="K44" i="14" s="1"/>
  <c r="C31" i="8"/>
  <c r="G39" i="1"/>
  <c r="I15" i="5"/>
  <c r="I16" i="5" s="1"/>
  <c r="J15" i="5"/>
  <c r="J16" i="5" s="1"/>
  <c r="I39" i="1" s="1"/>
  <c r="G15" i="5"/>
  <c r="C30" i="8"/>
  <c r="H36" i="17"/>
  <c r="J36" i="17" s="1"/>
  <c r="G44" i="2"/>
  <c r="G45" i="2"/>
  <c r="AO94" i="8"/>
  <c r="AL94" i="8"/>
  <c r="AD94" i="8"/>
  <c r="U94" i="8"/>
  <c r="AN94" i="8"/>
  <c r="AK94" i="8"/>
  <c r="Z94" i="8"/>
  <c r="S94" i="8"/>
  <c r="AE94" i="8"/>
  <c r="O94" i="8"/>
  <c r="W94" i="8"/>
  <c r="T94" i="8"/>
  <c r="AF94" i="8"/>
  <c r="AM94" i="8"/>
  <c r="J94" i="8"/>
  <c r="K94" i="8"/>
  <c r="P94" i="8"/>
  <c r="M94" i="8"/>
  <c r="AI94" i="8"/>
  <c r="N94" i="8"/>
  <c r="Y94" i="8"/>
  <c r="AB94" i="8"/>
  <c r="AH94" i="8"/>
  <c r="Q94" i="8"/>
  <c r="X94" i="8"/>
  <c r="AC94" i="8"/>
  <c r="AA94" i="8"/>
  <c r="V94" i="8"/>
  <c r="R94" i="8"/>
  <c r="AG94" i="8"/>
  <c r="AJ94" i="8"/>
  <c r="L94" i="8"/>
  <c r="G59" i="1"/>
  <c r="K16" i="6"/>
  <c r="L15" i="6"/>
  <c r="G57" i="1" s="1"/>
  <c r="F76" i="6"/>
  <c r="F34" i="6"/>
  <c r="D38" i="16"/>
  <c r="K90" i="8"/>
  <c r="N90" i="8"/>
  <c r="S90" i="8"/>
  <c r="T90" i="8"/>
  <c r="Z90" i="8"/>
  <c r="AE90" i="8"/>
  <c r="AG90" i="8"/>
  <c r="AK90" i="8"/>
  <c r="AN90" i="8"/>
  <c r="R90" i="8"/>
  <c r="L90" i="8"/>
  <c r="O90" i="8"/>
  <c r="Q90" i="8"/>
  <c r="Y90" i="8"/>
  <c r="V90" i="8"/>
  <c r="X90" i="8"/>
  <c r="AB90" i="8"/>
  <c r="J90" i="8"/>
  <c r="P90" i="8"/>
  <c r="AI90" i="8"/>
  <c r="M90" i="8"/>
  <c r="U90" i="8"/>
  <c r="AC90" i="8"/>
  <c r="AF90" i="8"/>
  <c r="AL90" i="8"/>
  <c r="W90" i="8"/>
  <c r="AD90" i="8"/>
  <c r="AM90" i="8"/>
  <c r="AA90" i="8"/>
  <c r="AH90" i="8"/>
  <c r="AO90" i="8"/>
  <c r="AJ90" i="8"/>
  <c r="I29" i="8"/>
  <c r="G31" i="2"/>
  <c r="G31" i="14"/>
  <c r="K31" i="14" s="1"/>
  <c r="M89" i="5"/>
  <c r="H39" i="1" l="1"/>
  <c r="I22" i="5"/>
  <c r="H40" i="1" s="1"/>
  <c r="I30" i="8"/>
  <c r="E30" i="8" s="1"/>
  <c r="D30" i="8" s="1"/>
  <c r="E29" i="8"/>
  <c r="D29" i="8" s="1"/>
  <c r="D40" i="16"/>
  <c r="D39" i="16"/>
  <c r="G60" i="1"/>
  <c r="D43" i="16"/>
  <c r="D44" i="16" s="1"/>
  <c r="L16" i="6"/>
  <c r="G58" i="1" s="1"/>
  <c r="E94" i="8"/>
  <c r="D94" i="8" s="1"/>
  <c r="E169" i="6"/>
  <c r="E158" i="6"/>
  <c r="E98" i="6"/>
  <c r="D126" i="6"/>
  <c r="D190" i="6"/>
  <c r="D185" i="6"/>
  <c r="E124" i="6"/>
  <c r="D161" i="6"/>
  <c r="D125" i="6"/>
  <c r="E84" i="6"/>
  <c r="E155" i="6"/>
  <c r="E130" i="6"/>
  <c r="E100" i="6"/>
  <c r="D192" i="6"/>
  <c r="D149" i="6"/>
  <c r="E177" i="6"/>
  <c r="D119" i="6"/>
  <c r="D162" i="6"/>
  <c r="E88" i="6"/>
  <c r="D172" i="6"/>
  <c r="D123" i="6"/>
  <c r="E96" i="6"/>
  <c r="D158" i="6"/>
  <c r="D77" i="6"/>
  <c r="E145" i="6"/>
  <c r="D97" i="6"/>
  <c r="D154" i="6"/>
  <c r="E95" i="6"/>
  <c r="E82" i="6"/>
  <c r="E164" i="6"/>
  <c r="E109" i="6"/>
  <c r="E91" i="6"/>
  <c r="E111" i="6"/>
  <c r="D137" i="6"/>
  <c r="E89" i="6"/>
  <c r="E189" i="6"/>
  <c r="D164" i="6"/>
  <c r="D95" i="6"/>
  <c r="D171" i="6"/>
  <c r="D188" i="6"/>
  <c r="D178" i="6"/>
  <c r="E138" i="6"/>
  <c r="D135" i="6"/>
  <c r="D183" i="6"/>
  <c r="D117" i="6"/>
  <c r="D143" i="6"/>
  <c r="D144" i="6"/>
  <c r="E156" i="6"/>
  <c r="D160" i="6"/>
  <c r="E136" i="6"/>
  <c r="E165" i="6"/>
  <c r="E150" i="6"/>
  <c r="D174" i="6"/>
  <c r="E94" i="6"/>
  <c r="E142" i="6"/>
  <c r="E152" i="6"/>
  <c r="E168" i="6"/>
  <c r="E185" i="6"/>
  <c r="E118" i="6"/>
  <c r="D156" i="6"/>
  <c r="D94" i="6"/>
  <c r="D122" i="6"/>
  <c r="D182" i="6"/>
  <c r="D159" i="6"/>
  <c r="E115" i="6"/>
  <c r="D98" i="6"/>
  <c r="E132" i="6"/>
  <c r="E120" i="6"/>
  <c r="E125" i="6"/>
  <c r="E139" i="6"/>
  <c r="D169" i="6"/>
  <c r="E154" i="6"/>
  <c r="E119" i="6"/>
  <c r="D131" i="6"/>
  <c r="D129" i="6"/>
  <c r="D173" i="6"/>
  <c r="E112" i="6"/>
  <c r="D148" i="6"/>
  <c r="D124" i="6"/>
  <c r="E87" i="6"/>
  <c r="D109" i="6"/>
  <c r="E183" i="6"/>
  <c r="E108" i="6"/>
  <c r="E90" i="6"/>
  <c r="D100" i="6"/>
  <c r="D177" i="6"/>
  <c r="D186" i="6"/>
  <c r="E173" i="6"/>
  <c r="D84" i="6"/>
  <c r="E178" i="6"/>
  <c r="E184" i="6"/>
  <c r="D118" i="6"/>
  <c r="D87" i="6"/>
  <c r="D191" i="6"/>
  <c r="D167" i="6"/>
  <c r="E93" i="6"/>
  <c r="D168" i="6"/>
  <c r="E167" i="6"/>
  <c r="E129" i="6"/>
  <c r="D121" i="6"/>
  <c r="E114" i="6"/>
  <c r="E102" i="6"/>
  <c r="E149" i="6"/>
  <c r="D86" i="6"/>
  <c r="E194" i="6"/>
  <c r="D115" i="6"/>
  <c r="D189" i="6"/>
  <c r="D138" i="6"/>
  <c r="D170" i="6"/>
  <c r="D187" i="6"/>
  <c r="E117" i="6"/>
  <c r="E86" i="6"/>
  <c r="E187" i="6"/>
  <c r="E172" i="6"/>
  <c r="E181" i="6"/>
  <c r="E175" i="6"/>
  <c r="D150" i="6"/>
  <c r="E148" i="6"/>
  <c r="E186" i="6"/>
  <c r="D89" i="6"/>
  <c r="D179" i="6"/>
  <c r="D90" i="6"/>
  <c r="D176" i="6"/>
  <c r="D91" i="6"/>
  <c r="E113" i="6"/>
  <c r="E147" i="6"/>
  <c r="E160" i="6"/>
  <c r="E126" i="6"/>
  <c r="E162" i="6"/>
  <c r="E191" i="6"/>
  <c r="E97" i="6"/>
  <c r="E79" i="6"/>
  <c r="E105" i="6"/>
  <c r="D114" i="6"/>
  <c r="D132" i="6"/>
  <c r="D127" i="6"/>
  <c r="D83" i="6"/>
  <c r="D99" i="6"/>
  <c r="E144" i="6"/>
  <c r="D108" i="6"/>
  <c r="E182" i="6"/>
  <c r="E135" i="6"/>
  <c r="D134" i="6"/>
  <c r="D76" i="6"/>
  <c r="G76" i="6" s="1"/>
  <c r="F77" i="6" s="1"/>
  <c r="G77" i="6" s="1"/>
  <c r="F78" i="6" s="1"/>
  <c r="D104" i="6"/>
  <c r="E128" i="6"/>
  <c r="E76" i="6"/>
  <c r="E116" i="6"/>
  <c r="D140" i="6"/>
  <c r="E140" i="6"/>
  <c r="D80" i="6"/>
  <c r="D142" i="6"/>
  <c r="E121" i="6"/>
  <c r="E153" i="6"/>
  <c r="E143" i="6"/>
  <c r="E161" i="6"/>
  <c r="E195" i="6"/>
  <c r="E101" i="6"/>
  <c r="E190" i="6"/>
  <c r="D147" i="6"/>
  <c r="E99" i="6"/>
  <c r="D166" i="6"/>
  <c r="D184" i="6"/>
  <c r="E77" i="6"/>
  <c r="D141" i="6"/>
  <c r="E151" i="6"/>
  <c r="D157" i="6"/>
  <c r="D79" i="6"/>
  <c r="D103" i="6"/>
  <c r="D78" i="6"/>
  <c r="D93" i="6"/>
  <c r="D175" i="6"/>
  <c r="D194" i="6"/>
  <c r="D111" i="6"/>
  <c r="E103" i="6"/>
  <c r="E176" i="6"/>
  <c r="D106" i="6"/>
  <c r="E180" i="6"/>
  <c r="D195" i="6"/>
  <c r="E137" i="6"/>
  <c r="E179" i="6"/>
  <c r="D112" i="6"/>
  <c r="D133" i="6"/>
  <c r="D152" i="6"/>
  <c r="D101" i="6"/>
  <c r="D110" i="6"/>
  <c r="D82" i="6"/>
  <c r="E122" i="6"/>
  <c r="D85" i="6"/>
  <c r="E83" i="6"/>
  <c r="D96" i="6"/>
  <c r="D193" i="6"/>
  <c r="D136" i="6"/>
  <c r="D81" i="6"/>
  <c r="E166" i="6"/>
  <c r="E163" i="6"/>
  <c r="E170" i="6"/>
  <c r="D130" i="6"/>
  <c r="D88" i="6"/>
  <c r="E81" i="6"/>
  <c r="D120" i="6"/>
  <c r="D113" i="6"/>
  <c r="E157" i="6"/>
  <c r="E78" i="6"/>
  <c r="D151" i="6"/>
  <c r="E127" i="6"/>
  <c r="D181" i="6"/>
  <c r="E131" i="6"/>
  <c r="D180" i="6"/>
  <c r="E171" i="6"/>
  <c r="D155" i="6"/>
  <c r="E159" i="6"/>
  <c r="D165" i="6"/>
  <c r="E110" i="6"/>
  <c r="E193" i="6"/>
  <c r="E146" i="6"/>
  <c r="E188" i="6"/>
  <c r="E174" i="6"/>
  <c r="E141" i="6"/>
  <c r="D163" i="6"/>
  <c r="D105" i="6"/>
  <c r="D146" i="6"/>
  <c r="E123" i="6"/>
  <c r="D139" i="6"/>
  <c r="D102" i="6"/>
  <c r="D153" i="6"/>
  <c r="E133" i="6"/>
  <c r="E85" i="6"/>
  <c r="D145" i="6"/>
  <c r="E134" i="6"/>
  <c r="E192" i="6"/>
  <c r="D92" i="6"/>
  <c r="E92" i="6"/>
  <c r="E80" i="6"/>
  <c r="E104" i="6"/>
  <c r="D107" i="6"/>
  <c r="E106" i="6"/>
  <c r="E107" i="6"/>
  <c r="D116" i="6"/>
  <c r="D128" i="6"/>
  <c r="E90" i="8"/>
  <c r="D90" i="8" s="1"/>
  <c r="F53" i="6"/>
  <c r="F54" i="6" s="1"/>
  <c r="F43" i="6"/>
  <c r="F44" i="6" s="1"/>
  <c r="F48" i="6"/>
  <c r="F49" i="6" s="1"/>
  <c r="I31" i="8" l="1"/>
  <c r="E31" i="8" s="1"/>
  <c r="G37" i="6"/>
  <c r="G78" i="6"/>
  <c r="F79" i="6" s="1"/>
  <c r="G79" i="6" s="1"/>
  <c r="F80" i="6" s="1"/>
  <c r="G80" i="6" s="1"/>
  <c r="F81" i="6" s="1"/>
  <c r="G81" i="6" s="1"/>
  <c r="F82" i="6" s="1"/>
  <c r="G82" i="6" s="1"/>
  <c r="F83" i="6" s="1"/>
  <c r="G83" i="6" s="1"/>
  <c r="F84" i="6" s="1"/>
  <c r="G84" i="6" s="1"/>
  <c r="F85" i="6" s="1"/>
  <c r="G85" i="6" s="1"/>
  <c r="F86" i="6" s="1"/>
  <c r="G86" i="6" s="1"/>
  <c r="F87" i="6" s="1"/>
  <c r="G87" i="6" s="1"/>
  <c r="F88" i="6" s="1"/>
  <c r="G88" i="6" s="1"/>
  <c r="F89" i="6" s="1"/>
  <c r="G89" i="6" s="1"/>
  <c r="F90" i="6" s="1"/>
  <c r="G90" i="6" s="1"/>
  <c r="F91" i="6" s="1"/>
  <c r="G91" i="6" s="1"/>
  <c r="F92" i="6" s="1"/>
  <c r="G92" i="6" s="1"/>
  <c r="F93" i="6" s="1"/>
  <c r="G93" i="6" s="1"/>
  <c r="F94" i="6" s="1"/>
  <c r="G94" i="6" s="1"/>
  <c r="F95" i="6" s="1"/>
  <c r="G95" i="6" s="1"/>
  <c r="F96" i="6" s="1"/>
  <c r="G96" i="6" s="1"/>
  <c r="F97" i="6" s="1"/>
  <c r="G97" i="6" s="1"/>
  <c r="F98" i="6" s="1"/>
  <c r="G98" i="6" s="1"/>
  <c r="F99" i="6" s="1"/>
  <c r="G99" i="6" s="1"/>
  <c r="F100" i="6" s="1"/>
  <c r="G100" i="6" s="1"/>
  <c r="F101" i="6" s="1"/>
  <c r="G101" i="6" s="1"/>
  <c r="F102" i="6" s="1"/>
  <c r="G102" i="6" s="1"/>
  <c r="F103" i="6" s="1"/>
  <c r="G103" i="6" s="1"/>
  <c r="F104" i="6" s="1"/>
  <c r="G104" i="6" s="1"/>
  <c r="F105" i="6" s="1"/>
  <c r="G105" i="6" s="1"/>
  <c r="F106" i="6" s="1"/>
  <c r="G106" i="6" s="1"/>
  <c r="F107" i="6" s="1"/>
  <c r="G107" i="6" s="1"/>
  <c r="F108" i="6" s="1"/>
  <c r="G108" i="6" s="1"/>
  <c r="F109" i="6" s="1"/>
  <c r="G109" i="6" s="1"/>
  <c r="F110" i="6" s="1"/>
  <c r="G110" i="6" s="1"/>
  <c r="F111" i="6" s="1"/>
  <c r="G111" i="6" s="1"/>
  <c r="F112" i="6" s="1"/>
  <c r="G112" i="6" s="1"/>
  <c r="F113" i="6" s="1"/>
  <c r="G113" i="6" s="1"/>
  <c r="F114" i="6" s="1"/>
  <c r="G114" i="6" s="1"/>
  <c r="F115" i="6" s="1"/>
  <c r="G115" i="6" s="1"/>
  <c r="F116" i="6" s="1"/>
  <c r="G116" i="6" s="1"/>
  <c r="F117" i="6" s="1"/>
  <c r="G117" i="6" s="1"/>
  <c r="F118" i="6" s="1"/>
  <c r="G118" i="6" s="1"/>
  <c r="F119" i="6" s="1"/>
  <c r="G119" i="6" s="1"/>
  <c r="F120" i="6" s="1"/>
  <c r="G120" i="6" s="1"/>
  <c r="F121" i="6" s="1"/>
  <c r="G121" i="6" s="1"/>
  <c r="F122" i="6" s="1"/>
  <c r="G122" i="6" s="1"/>
  <c r="F123" i="6" s="1"/>
  <c r="G123" i="6" s="1"/>
  <c r="F124" i="6" s="1"/>
  <c r="G124" i="6" s="1"/>
  <c r="F125" i="6" s="1"/>
  <c r="G125" i="6" s="1"/>
  <c r="F126" i="6" s="1"/>
  <c r="G126" i="6" s="1"/>
  <c r="F127" i="6" s="1"/>
  <c r="G127" i="6" s="1"/>
  <c r="F128" i="6" s="1"/>
  <c r="G128" i="6" s="1"/>
  <c r="F129" i="6" s="1"/>
  <c r="G129" i="6" s="1"/>
  <c r="F130" i="6" s="1"/>
  <c r="G130" i="6" s="1"/>
  <c r="F131" i="6" s="1"/>
  <c r="G131" i="6" s="1"/>
  <c r="F132" i="6" s="1"/>
  <c r="G132" i="6" s="1"/>
  <c r="F133" i="6" s="1"/>
  <c r="G133" i="6" s="1"/>
  <c r="F134" i="6" s="1"/>
  <c r="G134" i="6" s="1"/>
  <c r="F135" i="6" s="1"/>
  <c r="G135" i="6" s="1"/>
  <c r="F136" i="6" s="1"/>
  <c r="G136" i="6" s="1"/>
  <c r="F137" i="6" s="1"/>
  <c r="G137" i="6" s="1"/>
  <c r="F138" i="6" s="1"/>
  <c r="G138" i="6" s="1"/>
  <c r="F139" i="6" s="1"/>
  <c r="G139" i="6" s="1"/>
  <c r="F140" i="6" s="1"/>
  <c r="G140" i="6" s="1"/>
  <c r="F141" i="6" s="1"/>
  <c r="G141" i="6" s="1"/>
  <c r="F142" i="6" s="1"/>
  <c r="G142" i="6" s="1"/>
  <c r="F143" i="6" s="1"/>
  <c r="G143" i="6" s="1"/>
  <c r="F144" i="6" s="1"/>
  <c r="G144" i="6" s="1"/>
  <c r="F145" i="6" s="1"/>
  <c r="G145" i="6" s="1"/>
  <c r="F146" i="6" s="1"/>
  <c r="G146" i="6" s="1"/>
  <c r="F147" i="6" s="1"/>
  <c r="G147" i="6" s="1"/>
  <c r="F148" i="6" s="1"/>
  <c r="G148" i="6" s="1"/>
  <c r="F149" i="6" s="1"/>
  <c r="G149" i="6" s="1"/>
  <c r="F150" i="6" s="1"/>
  <c r="G150" i="6" s="1"/>
  <c r="F151" i="6" s="1"/>
  <c r="G151" i="6" s="1"/>
  <c r="F152" i="6" s="1"/>
  <c r="G152" i="6" s="1"/>
  <c r="F153" i="6" s="1"/>
  <c r="G153" i="6" s="1"/>
  <c r="F154" i="6" s="1"/>
  <c r="G154" i="6" s="1"/>
  <c r="F155" i="6" s="1"/>
  <c r="G155" i="6" s="1"/>
  <c r="F156" i="6" s="1"/>
  <c r="G156" i="6" s="1"/>
  <c r="F157" i="6" s="1"/>
  <c r="G157" i="6" s="1"/>
  <c r="F158" i="6" s="1"/>
  <c r="G158" i="6" s="1"/>
  <c r="F159" i="6" s="1"/>
  <c r="G159" i="6" s="1"/>
  <c r="F160" i="6" s="1"/>
  <c r="G160" i="6" s="1"/>
  <c r="F161" i="6" s="1"/>
  <c r="G161" i="6" s="1"/>
  <c r="F162" i="6" s="1"/>
  <c r="G162" i="6" s="1"/>
  <c r="F163" i="6" s="1"/>
  <c r="G163" i="6" s="1"/>
  <c r="F164" i="6" s="1"/>
  <c r="G164" i="6" s="1"/>
  <c r="F165" i="6" s="1"/>
  <c r="G165" i="6" s="1"/>
  <c r="F166" i="6" s="1"/>
  <c r="G166" i="6" s="1"/>
  <c r="F167" i="6" s="1"/>
  <c r="G167" i="6" s="1"/>
  <c r="F168" i="6" s="1"/>
  <c r="G168" i="6" s="1"/>
  <c r="F169" i="6" s="1"/>
  <c r="G169" i="6" s="1"/>
  <c r="F170" i="6" s="1"/>
  <c r="G170" i="6" s="1"/>
  <c r="F171" i="6" s="1"/>
  <c r="G171" i="6" s="1"/>
  <c r="F172" i="6" s="1"/>
  <c r="G172" i="6" s="1"/>
  <c r="F173" i="6" s="1"/>
  <c r="G173" i="6" s="1"/>
  <c r="F174" i="6" s="1"/>
  <c r="G174" i="6" s="1"/>
  <c r="F175" i="6" s="1"/>
  <c r="G175" i="6" s="1"/>
  <c r="F176" i="6" s="1"/>
  <c r="G176" i="6" s="1"/>
  <c r="F177" i="6" s="1"/>
  <c r="G177" i="6" s="1"/>
  <c r="F178" i="6" s="1"/>
  <c r="G178" i="6" s="1"/>
  <c r="F179" i="6" s="1"/>
  <c r="G179" i="6" s="1"/>
  <c r="F180" i="6" s="1"/>
  <c r="G180" i="6" s="1"/>
  <c r="F181" i="6" s="1"/>
  <c r="G181" i="6" s="1"/>
  <c r="F182" i="6" s="1"/>
  <c r="G182" i="6" s="1"/>
  <c r="F183" i="6" s="1"/>
  <c r="G183" i="6" s="1"/>
  <c r="F184" i="6" s="1"/>
  <c r="G184" i="6" s="1"/>
  <c r="F185" i="6" s="1"/>
  <c r="G185" i="6" s="1"/>
  <c r="F186" i="6" s="1"/>
  <c r="G186" i="6" s="1"/>
  <c r="F187" i="6" s="1"/>
  <c r="G187" i="6" s="1"/>
  <c r="F188" i="6" s="1"/>
  <c r="G188" i="6" s="1"/>
  <c r="F189" i="6" s="1"/>
  <c r="G189" i="6" s="1"/>
  <c r="F190" i="6" s="1"/>
  <c r="G190" i="6" s="1"/>
  <c r="F191" i="6" s="1"/>
  <c r="G191" i="6" s="1"/>
  <c r="F192" i="6" s="1"/>
  <c r="G192" i="6" s="1"/>
  <c r="F193" i="6" s="1"/>
  <c r="G193" i="6" s="1"/>
  <c r="F194" i="6" s="1"/>
  <c r="G194" i="6" s="1"/>
  <c r="F195" i="6" s="1"/>
  <c r="G195" i="6" s="1"/>
  <c r="F37" i="6"/>
  <c r="J38" i="6"/>
  <c r="H37" i="6"/>
  <c r="L37" i="6"/>
  <c r="K37" i="6"/>
  <c r="G38" i="6"/>
  <c r="K38" i="6"/>
  <c r="H38" i="6"/>
  <c r="L38" i="6"/>
  <c r="I38" i="6"/>
  <c r="F77" i="17"/>
  <c r="J77" i="5"/>
  <c r="I77" i="5"/>
  <c r="C92" i="8"/>
  <c r="G46" i="1"/>
  <c r="I37" i="6"/>
  <c r="J37" i="6"/>
  <c r="F38" i="6"/>
  <c r="G34" i="6" s="1"/>
  <c r="G39" i="6" l="1"/>
  <c r="G58" i="6" s="1"/>
  <c r="G48" i="6"/>
  <c r="G49" i="6" s="1"/>
  <c r="G53" i="6"/>
  <c r="G54" i="6" s="1"/>
  <c r="H34" i="6"/>
  <c r="G43" i="6"/>
  <c r="G44" i="6" s="1"/>
  <c r="G77" i="17"/>
  <c r="E77" i="17"/>
  <c r="K39" i="6"/>
  <c r="K58" i="6" s="1"/>
  <c r="S39" i="6"/>
  <c r="O39" i="6"/>
  <c r="T39" i="6"/>
  <c r="L39" i="6"/>
  <c r="L58" i="6" s="1"/>
  <c r="I39" i="6"/>
  <c r="I58" i="6" s="1"/>
  <c r="Q39" i="6"/>
  <c r="H46" i="1"/>
  <c r="P39" i="6"/>
  <c r="H39" i="6"/>
  <c r="H58" i="6" s="1"/>
  <c r="D31" i="8"/>
  <c r="J39" i="6"/>
  <c r="J58" i="6" s="1"/>
  <c r="R39" i="6"/>
  <c r="CJ95" i="8"/>
  <c r="CJ98" i="8" s="1"/>
  <c r="CJ104" i="8" s="1"/>
  <c r="BN95" i="8"/>
  <c r="BN98" i="8" s="1"/>
  <c r="BN104" i="8" s="1"/>
  <c r="CG95" i="8"/>
  <c r="CG98" i="8" s="1"/>
  <c r="CG104" i="8" s="1"/>
  <c r="BT95" i="8"/>
  <c r="BT98" i="8" s="1"/>
  <c r="BT104" i="8" s="1"/>
  <c r="CK95" i="8"/>
  <c r="CK98" i="8" s="1"/>
  <c r="CK104" i="8" s="1"/>
  <c r="CS95" i="8"/>
  <c r="CS98" i="8" s="1"/>
  <c r="CS104" i="8" s="1"/>
  <c r="CA95" i="8"/>
  <c r="CA98" i="8" s="1"/>
  <c r="CA104" i="8" s="1"/>
  <c r="CL95" i="8"/>
  <c r="CL98" i="8" s="1"/>
  <c r="CL104" i="8" s="1"/>
  <c r="CI95" i="8"/>
  <c r="CI98" i="8" s="1"/>
  <c r="CI104" i="8" s="1"/>
  <c r="CX95" i="8"/>
  <c r="CX98" i="8" s="1"/>
  <c r="CX104" i="8" s="1"/>
  <c r="BK95" i="8"/>
  <c r="BK98" i="8" s="1"/>
  <c r="BK104" i="8" s="1"/>
  <c r="CW95" i="8"/>
  <c r="CW98" i="8" s="1"/>
  <c r="CW104" i="8" s="1"/>
  <c r="CE95" i="8"/>
  <c r="CE98" i="8" s="1"/>
  <c r="CE104" i="8" s="1"/>
  <c r="BU95" i="8"/>
  <c r="BU98" i="8" s="1"/>
  <c r="BU104" i="8" s="1"/>
  <c r="CT95" i="8"/>
  <c r="CT98" i="8" s="1"/>
  <c r="CT104" i="8" s="1"/>
  <c r="BS95" i="8"/>
  <c r="BS98" i="8" s="1"/>
  <c r="BS104" i="8" s="1"/>
  <c r="CU95" i="8"/>
  <c r="CU98" i="8" s="1"/>
  <c r="CU104" i="8" s="1"/>
  <c r="BL95" i="8"/>
  <c r="BL98" i="8" s="1"/>
  <c r="BL104" i="8" s="1"/>
  <c r="CY95" i="8"/>
  <c r="CY98" i="8" s="1"/>
  <c r="CY104" i="8" s="1"/>
  <c r="CH95" i="8"/>
  <c r="CH98" i="8" s="1"/>
  <c r="CH104" i="8" s="1"/>
  <c r="BI95" i="8"/>
  <c r="BI98" i="8" s="1"/>
  <c r="BI104" i="8" s="1"/>
  <c r="CP95" i="8"/>
  <c r="CP98" i="8" s="1"/>
  <c r="CP104" i="8" s="1"/>
  <c r="BO95" i="8"/>
  <c r="BO98" i="8" s="1"/>
  <c r="BO104" i="8" s="1"/>
  <c r="CC95" i="8"/>
  <c r="CC98" i="8" s="1"/>
  <c r="CC104" i="8" s="1"/>
  <c r="BQ95" i="8"/>
  <c r="BQ98" i="8" s="1"/>
  <c r="BQ104" i="8" s="1"/>
  <c r="BY95" i="8"/>
  <c r="BY98" i="8" s="1"/>
  <c r="BY104" i="8" s="1"/>
  <c r="CZ95" i="8"/>
  <c r="CZ98" i="8" s="1"/>
  <c r="CZ104" i="8" s="1"/>
  <c r="CN95" i="8"/>
  <c r="CN98" i="8" s="1"/>
  <c r="CN104" i="8" s="1"/>
  <c r="CD95" i="8"/>
  <c r="CD98" i="8" s="1"/>
  <c r="CD104" i="8" s="1"/>
  <c r="BW95" i="8"/>
  <c r="BW98" i="8" s="1"/>
  <c r="BW104" i="8" s="1"/>
  <c r="CM95" i="8"/>
  <c r="CM98" i="8" s="1"/>
  <c r="CM104" i="8" s="1"/>
  <c r="BM95" i="8"/>
  <c r="BM98" i="8" s="1"/>
  <c r="BM104" i="8" s="1"/>
  <c r="CF95" i="8"/>
  <c r="CF98" i="8" s="1"/>
  <c r="CF104" i="8" s="1"/>
  <c r="CB95" i="8"/>
  <c r="CB98" i="8" s="1"/>
  <c r="CB104" i="8" s="1"/>
  <c r="BR95" i="8"/>
  <c r="BR98" i="8" s="1"/>
  <c r="BR104" i="8" s="1"/>
  <c r="BZ95" i="8"/>
  <c r="BZ98" i="8" s="1"/>
  <c r="BZ104" i="8" s="1"/>
  <c r="CQ95" i="8"/>
  <c r="CQ98" i="8" s="1"/>
  <c r="CQ104" i="8" s="1"/>
  <c r="BF95" i="8"/>
  <c r="BF98" i="8" s="1"/>
  <c r="BF104" i="8" s="1"/>
  <c r="CR95" i="8"/>
  <c r="CR98" i="8" s="1"/>
  <c r="CR104" i="8" s="1"/>
  <c r="BH95" i="8"/>
  <c r="BH98" i="8" s="1"/>
  <c r="BH104" i="8" s="1"/>
  <c r="BV95" i="8"/>
  <c r="BV98" i="8" s="1"/>
  <c r="BV104" i="8" s="1"/>
  <c r="CO95" i="8"/>
  <c r="CO98" i="8" s="1"/>
  <c r="CO104" i="8" s="1"/>
  <c r="CV95" i="8"/>
  <c r="CV98" i="8" s="1"/>
  <c r="CV104" i="8" s="1"/>
  <c r="BJ95" i="8"/>
  <c r="BJ98" i="8" s="1"/>
  <c r="BJ104" i="8" s="1"/>
  <c r="BG95" i="8"/>
  <c r="BG98" i="8" s="1"/>
  <c r="BG104" i="8" s="1"/>
  <c r="BX95" i="8"/>
  <c r="BX98" i="8" s="1"/>
  <c r="BX104" i="8" s="1"/>
  <c r="BD95" i="8"/>
  <c r="BD98" i="8" s="1"/>
  <c r="BD104" i="8" s="1"/>
  <c r="BP95" i="8"/>
  <c r="BP98" i="8" s="1"/>
  <c r="BP104" i="8" s="1"/>
  <c r="AZ95" i="8"/>
  <c r="AZ98" i="8" s="1"/>
  <c r="BB95" i="8"/>
  <c r="BB98" i="8" s="1"/>
  <c r="BB104" i="8" s="1"/>
  <c r="BA95" i="8"/>
  <c r="BA98" i="8" s="1"/>
  <c r="BA104" i="8" s="1"/>
  <c r="BE95" i="8"/>
  <c r="BE98" i="8" s="1"/>
  <c r="BE104" i="8" s="1"/>
  <c r="I46" i="1"/>
  <c r="F39" i="6"/>
  <c r="F58" i="6" s="1"/>
  <c r="E92" i="8" l="1"/>
  <c r="D92" i="8" s="1"/>
  <c r="I95" i="8"/>
  <c r="H53" i="6"/>
  <c r="H54" i="6" s="1"/>
  <c r="I34" i="6"/>
  <c r="H48" i="6"/>
  <c r="H49" i="6" s="1"/>
  <c r="H43" i="6"/>
  <c r="H44" i="6" s="1"/>
  <c r="I53" i="6" l="1"/>
  <c r="I54" i="6" s="1"/>
  <c r="J34" i="6"/>
  <c r="I48" i="6"/>
  <c r="I49" i="6" s="1"/>
  <c r="I43" i="6"/>
  <c r="I44" i="6" s="1"/>
  <c r="I98" i="8"/>
  <c r="J48" i="6" l="1"/>
  <c r="J49" i="6" s="1"/>
  <c r="J43" i="6"/>
  <c r="J44" i="6" s="1"/>
  <c r="J53" i="6"/>
  <c r="J54" i="6" s="1"/>
  <c r="K34" i="6"/>
  <c r="I112" i="8"/>
  <c r="I114" i="8" l="1"/>
  <c r="I99" i="8" s="1"/>
  <c r="K53" i="6"/>
  <c r="K54" i="6" s="1"/>
  <c r="K43" i="6"/>
  <c r="K44" i="6" s="1"/>
  <c r="K48" i="6"/>
  <c r="K49" i="6" s="1"/>
  <c r="L34" i="6"/>
  <c r="L48" i="6" l="1"/>
  <c r="L49" i="6" s="1"/>
  <c r="L57" i="6"/>
  <c r="L66" i="6" s="1"/>
  <c r="L43" i="6"/>
  <c r="L44" i="6" s="1"/>
  <c r="L53" i="6"/>
  <c r="L54" i="6" s="1"/>
  <c r="I57" i="6"/>
  <c r="G57" i="6"/>
  <c r="G32" i="6" s="1"/>
  <c r="J57" i="6"/>
  <c r="J66" i="6" s="1"/>
  <c r="H57" i="6"/>
  <c r="K57" i="6"/>
  <c r="K66" i="6" s="1"/>
  <c r="I107" i="8"/>
  <c r="I104" i="8"/>
  <c r="J93" i="8" l="1"/>
  <c r="K32" i="6"/>
  <c r="J32" i="6"/>
  <c r="I66" i="6"/>
  <c r="I63" i="6"/>
  <c r="G60" i="6"/>
  <c r="G66" i="6"/>
  <c r="G63" i="6"/>
  <c r="I108" i="8"/>
  <c r="H63" i="6"/>
  <c r="H66" i="6"/>
  <c r="H32" i="6"/>
  <c r="I32" i="6"/>
  <c r="L32" i="6"/>
  <c r="K100" i="8" l="1"/>
  <c r="K102" i="8"/>
  <c r="K103" i="8" s="1"/>
  <c r="J95" i="8"/>
  <c r="J98" i="8" l="1"/>
  <c r="J112" i="8" l="1"/>
  <c r="J114" i="8" l="1"/>
  <c r="J99" i="8" s="1"/>
  <c r="J107" i="8" l="1"/>
  <c r="J104" i="8"/>
  <c r="J108" i="8" l="1"/>
  <c r="K93" i="8"/>
  <c r="L100" i="8" l="1"/>
  <c r="L102" i="8"/>
  <c r="L103" i="8" s="1"/>
  <c r="K95" i="8"/>
  <c r="K98" i="8" l="1"/>
  <c r="K112" i="8" l="1"/>
  <c r="K114" i="8" l="1"/>
  <c r="K99" i="8" s="1"/>
  <c r="K107" i="8" l="1"/>
  <c r="K104" i="8"/>
  <c r="K108" i="8" l="1"/>
  <c r="L93" i="8"/>
  <c r="M100" i="8" l="1"/>
  <c r="M102" i="8"/>
  <c r="M103" i="8" s="1"/>
  <c r="L95" i="8"/>
  <c r="L98" i="8" l="1"/>
  <c r="L112" i="8" l="1"/>
  <c r="L114" i="8" l="1"/>
  <c r="L99" i="8" s="1"/>
  <c r="L107" i="8" l="1"/>
  <c r="L104" i="8"/>
  <c r="L108" i="8" l="1"/>
  <c r="M93" i="8"/>
  <c r="N100" i="8" l="1"/>
  <c r="N102" i="8"/>
  <c r="N103" i="8" s="1"/>
  <c r="M95" i="8"/>
  <c r="M98" i="8" l="1"/>
  <c r="M112" i="8" l="1"/>
  <c r="M114" i="8" l="1"/>
  <c r="M99" i="8" s="1"/>
  <c r="M107" i="8" l="1"/>
  <c r="M104" i="8"/>
  <c r="M108" i="8" l="1"/>
  <c r="N93" i="8"/>
  <c r="O100" i="8" l="1"/>
  <c r="O102" i="8"/>
  <c r="O103" i="8" s="1"/>
  <c r="N95" i="8"/>
  <c r="N98" i="8" s="1"/>
  <c r="N112" i="8" l="1"/>
  <c r="N114" i="8" l="1"/>
  <c r="N99" i="8" s="1"/>
  <c r="N107" i="8" l="1"/>
  <c r="O93" i="8" s="1"/>
  <c r="N104" i="8"/>
  <c r="N108" i="8" s="1"/>
  <c r="P100" i="8" l="1"/>
  <c r="P102" i="8"/>
  <c r="P103" i="8" s="1"/>
  <c r="O95" i="8"/>
  <c r="O98" i="8" s="1"/>
  <c r="O112" i="8" l="1"/>
  <c r="O114" i="8" l="1"/>
  <c r="O99" i="8" s="1"/>
  <c r="O107" i="8" l="1"/>
  <c r="P93" i="8" s="1"/>
  <c r="O104" i="8"/>
  <c r="O108" i="8" s="1"/>
  <c r="Q100" i="8" l="1"/>
  <c r="Q102" i="8"/>
  <c r="Q103" i="8" s="1"/>
  <c r="P95" i="8"/>
  <c r="P98" i="8" s="1"/>
  <c r="P112" i="8" l="1"/>
  <c r="P114" i="8" l="1"/>
  <c r="P99" i="8" s="1"/>
  <c r="P107" i="8" l="1"/>
  <c r="Q93" i="8" s="1"/>
  <c r="P104" i="8"/>
  <c r="P108" i="8" s="1"/>
  <c r="R100" i="8" l="1"/>
  <c r="R102" i="8"/>
  <c r="R103" i="8" s="1"/>
  <c r="Q95" i="8"/>
  <c r="Q98" i="8" s="1"/>
  <c r="Q112" i="8" l="1"/>
  <c r="Q114" i="8" l="1"/>
  <c r="Q99" i="8" s="1"/>
  <c r="Q107" i="8" l="1"/>
  <c r="R93" i="8" s="1"/>
  <c r="Q104" i="8"/>
  <c r="Q108" i="8" s="1"/>
  <c r="S100" i="8" l="1"/>
  <c r="S102" i="8"/>
  <c r="S103" i="8" s="1"/>
  <c r="R95" i="8"/>
  <c r="R98" i="8" s="1"/>
  <c r="R112" i="8" l="1"/>
  <c r="R114" i="8" l="1"/>
  <c r="R99" i="8" s="1"/>
  <c r="R107" i="8" l="1"/>
  <c r="S93" i="8" s="1"/>
  <c r="R104" i="8"/>
  <c r="R108" i="8" s="1"/>
  <c r="T100" i="8" l="1"/>
  <c r="T102" i="8"/>
  <c r="T103" i="8" s="1"/>
  <c r="S95" i="8"/>
  <c r="S98" i="8" s="1"/>
  <c r="S112" i="8" l="1"/>
  <c r="S114" i="8" l="1"/>
  <c r="S99" i="8" s="1"/>
  <c r="S107" i="8" l="1"/>
  <c r="T93" i="8" s="1"/>
  <c r="S104" i="8"/>
  <c r="S108" i="8" s="1"/>
  <c r="U100" i="8" l="1"/>
  <c r="U102" i="8"/>
  <c r="U103" i="8" s="1"/>
  <c r="T95" i="8"/>
  <c r="T98" i="8" s="1"/>
  <c r="T112" i="8" l="1"/>
  <c r="T114" i="8" l="1"/>
  <c r="T99" i="8" s="1"/>
  <c r="T107" i="8" l="1"/>
  <c r="U93" i="8" s="1"/>
  <c r="T104" i="8"/>
  <c r="T108" i="8" s="1"/>
  <c r="V100" i="8" l="1"/>
  <c r="V102" i="8"/>
  <c r="V103" i="8" s="1"/>
  <c r="U95" i="8"/>
  <c r="U98" i="8" s="1"/>
  <c r="U112" i="8" l="1"/>
  <c r="U114" i="8" l="1"/>
  <c r="U99" i="8" s="1"/>
  <c r="U107" i="8" l="1"/>
  <c r="V93" i="8" s="1"/>
  <c r="U104" i="8"/>
  <c r="U108" i="8" s="1"/>
  <c r="W100" i="8" l="1"/>
  <c r="W102" i="8"/>
  <c r="W103" i="8" s="1"/>
  <c r="V95" i="8"/>
  <c r="V98" i="8" s="1"/>
  <c r="V112" i="8" l="1"/>
  <c r="V114" i="8" l="1"/>
  <c r="V99" i="8" s="1"/>
  <c r="V107" i="8" l="1"/>
  <c r="W93" i="8" s="1"/>
  <c r="V104" i="8"/>
  <c r="V108" i="8" s="1"/>
  <c r="X100" i="8" l="1"/>
  <c r="X102" i="8"/>
  <c r="X103" i="8" s="1"/>
  <c r="W95" i="8"/>
  <c r="W98" i="8" s="1"/>
  <c r="W112" i="8" l="1"/>
  <c r="W114" i="8" l="1"/>
  <c r="W99" i="8" s="1"/>
  <c r="W107" i="8" l="1"/>
  <c r="X93" i="8" s="1"/>
  <c r="W104" i="8"/>
  <c r="W108" i="8" s="1"/>
  <c r="Y100" i="8" l="1"/>
  <c r="Y102" i="8"/>
  <c r="Y103" i="8" s="1"/>
  <c r="X95" i="8"/>
  <c r="X98" i="8" s="1"/>
  <c r="X112" i="8" l="1"/>
  <c r="X114" i="8" l="1"/>
  <c r="X99" i="8" s="1"/>
  <c r="X107" i="8" l="1"/>
  <c r="Y93" i="8" s="1"/>
  <c r="X104" i="8"/>
  <c r="X108" i="8" s="1"/>
  <c r="Z100" i="8" l="1"/>
  <c r="Z102" i="8"/>
  <c r="Z103" i="8" s="1"/>
  <c r="Y95" i="8"/>
  <c r="Y98" i="8" s="1"/>
  <c r="Y112" i="8" l="1"/>
  <c r="Y114" i="8" l="1"/>
  <c r="Y99" i="8" s="1"/>
  <c r="Y107" i="8" l="1"/>
  <c r="Z93" i="8" s="1"/>
  <c r="Y104" i="8"/>
  <c r="Y108" i="8" s="1"/>
  <c r="AA100" i="8" l="1"/>
  <c r="AA102" i="8"/>
  <c r="AA103" i="8" s="1"/>
  <c r="Z95" i="8"/>
  <c r="Z98" i="8" s="1"/>
  <c r="Z112" i="8" l="1"/>
  <c r="Z114" i="8" l="1"/>
  <c r="Z99" i="8" s="1"/>
  <c r="Z107" i="8" l="1"/>
  <c r="AA93" i="8" s="1"/>
  <c r="Z104" i="8"/>
  <c r="Z108" i="8" s="1"/>
  <c r="AB100" i="8" l="1"/>
  <c r="AB102" i="8"/>
  <c r="AB103" i="8" s="1"/>
  <c r="AA95" i="8"/>
  <c r="AA98" i="8" s="1"/>
  <c r="AA112" i="8" l="1"/>
  <c r="AA114" i="8" l="1"/>
  <c r="AA99" i="8" s="1"/>
  <c r="AA107" i="8" l="1"/>
  <c r="AB93" i="8" s="1"/>
  <c r="AA104" i="8"/>
  <c r="AA108" i="8" s="1"/>
  <c r="AC100" i="8" l="1"/>
  <c r="AC102" i="8"/>
  <c r="AC103" i="8" s="1"/>
  <c r="AB95" i="8"/>
  <c r="AB98" i="8" s="1"/>
  <c r="AB112" i="8" l="1"/>
  <c r="AB114" i="8" l="1"/>
  <c r="AB99" i="8" s="1"/>
  <c r="AB107" i="8" l="1"/>
  <c r="AC93" i="8" s="1"/>
  <c r="AB104" i="8"/>
  <c r="AB108" i="8" s="1"/>
  <c r="AD100" i="8" l="1"/>
  <c r="AD102" i="8"/>
  <c r="AD103" i="8" s="1"/>
  <c r="AC95" i="8"/>
  <c r="AC98" i="8" s="1"/>
  <c r="AC112" i="8" l="1"/>
  <c r="AC114" i="8" l="1"/>
  <c r="AC99" i="8" s="1"/>
  <c r="AC107" i="8" l="1"/>
  <c r="AD93" i="8" s="1"/>
  <c r="AC104" i="8"/>
  <c r="AC108" i="8" s="1"/>
  <c r="AE100" i="8" l="1"/>
  <c r="AE102" i="8"/>
  <c r="AE103" i="8" s="1"/>
  <c r="AD95" i="8"/>
  <c r="AD98" i="8" s="1"/>
  <c r="AD112" i="8" l="1"/>
  <c r="AD114" i="8" l="1"/>
  <c r="AD99" i="8" s="1"/>
  <c r="AD107" i="8" l="1"/>
  <c r="AE93" i="8" s="1"/>
  <c r="AD104" i="8"/>
  <c r="AD108" i="8" s="1"/>
  <c r="AF100" i="8" l="1"/>
  <c r="AF102" i="8"/>
  <c r="AF103" i="8" s="1"/>
  <c r="AE95" i="8"/>
  <c r="AE98" i="8" s="1"/>
  <c r="AE112" i="8" l="1"/>
  <c r="AE114" i="8" l="1"/>
  <c r="AE99" i="8" s="1"/>
  <c r="AE107" i="8" l="1"/>
  <c r="AF93" i="8" s="1"/>
  <c r="AE104" i="8"/>
  <c r="AE108" i="8" s="1"/>
  <c r="AG100" i="8" l="1"/>
  <c r="AG102" i="8"/>
  <c r="AG103" i="8" s="1"/>
  <c r="AF95" i="8"/>
  <c r="AF98" i="8" s="1"/>
  <c r="AF112" i="8" l="1"/>
  <c r="AF114" i="8" l="1"/>
  <c r="AF99" i="8" s="1"/>
  <c r="AF107" i="8" l="1"/>
  <c r="AG93" i="8" s="1"/>
  <c r="AF104" i="8"/>
  <c r="AF108" i="8" s="1"/>
  <c r="AH100" i="8" l="1"/>
  <c r="AH102" i="8"/>
  <c r="AH103" i="8" s="1"/>
  <c r="AG95" i="8"/>
  <c r="AG98" i="8" s="1"/>
  <c r="AG112" i="8" l="1"/>
  <c r="AG114" i="8" l="1"/>
  <c r="AG99" i="8" s="1"/>
  <c r="AG107" i="8" l="1"/>
  <c r="AH93" i="8" s="1"/>
  <c r="AG104" i="8"/>
  <c r="AG108" i="8" s="1"/>
  <c r="AI100" i="8" l="1"/>
  <c r="AI102" i="8"/>
  <c r="AI103" i="8" s="1"/>
  <c r="AH95" i="8"/>
  <c r="AH98" i="8" s="1"/>
  <c r="AH112" i="8" l="1"/>
  <c r="AH114" i="8" l="1"/>
  <c r="AH99" i="8" s="1"/>
  <c r="AH107" i="8" l="1"/>
  <c r="AI93" i="8" s="1"/>
  <c r="AH104" i="8"/>
  <c r="AH108" i="8" s="1"/>
  <c r="AJ100" i="8" l="1"/>
  <c r="AJ102" i="8"/>
  <c r="AJ103" i="8" s="1"/>
  <c r="AI95" i="8"/>
  <c r="AI98" i="8" s="1"/>
  <c r="AI112" i="8" l="1"/>
  <c r="AI114" i="8" l="1"/>
  <c r="AI99" i="8" s="1"/>
  <c r="AI107" i="8" l="1"/>
  <c r="AJ93" i="8" s="1"/>
  <c r="AI104" i="8"/>
  <c r="AI108" i="8" s="1"/>
  <c r="AK100" i="8" l="1"/>
  <c r="AK102" i="8"/>
  <c r="AK103" i="8" s="1"/>
  <c r="AJ95" i="8"/>
  <c r="AJ98" i="8" s="1"/>
  <c r="AJ112" i="8" l="1"/>
  <c r="AJ114" i="8" l="1"/>
  <c r="AJ99" i="8" s="1"/>
  <c r="AJ107" i="8" l="1"/>
  <c r="AK93" i="8" s="1"/>
  <c r="AJ104" i="8"/>
  <c r="AJ108" i="8" s="1"/>
  <c r="AL100" i="8" l="1"/>
  <c r="AL102" i="8"/>
  <c r="AL103" i="8" s="1"/>
  <c r="AK95" i="8"/>
  <c r="AK98" i="8" s="1"/>
  <c r="AK112" i="8" l="1"/>
  <c r="AK114" i="8" l="1"/>
  <c r="AK99" i="8" s="1"/>
  <c r="AK107" i="8" l="1"/>
  <c r="AL93" i="8" s="1"/>
  <c r="AK104" i="8"/>
  <c r="AK108" i="8" s="1"/>
  <c r="AM100" i="8" l="1"/>
  <c r="AM102" i="8"/>
  <c r="AM103" i="8" s="1"/>
  <c r="AL95" i="8"/>
  <c r="AL98" i="8" s="1"/>
  <c r="AL112" i="8" l="1"/>
  <c r="AL114" i="8" l="1"/>
  <c r="AL99" i="8" s="1"/>
  <c r="AL107" i="8" l="1"/>
  <c r="AM93" i="8" s="1"/>
  <c r="AL104" i="8"/>
  <c r="AL108" i="8" s="1"/>
  <c r="AN100" i="8" l="1"/>
  <c r="AN102" i="8"/>
  <c r="AN103" i="8" s="1"/>
  <c r="AM95" i="8"/>
  <c r="AM98" i="8" s="1"/>
  <c r="AM112" i="8" l="1"/>
  <c r="AM114" i="8" l="1"/>
  <c r="AM99" i="8" s="1"/>
  <c r="AM107" i="8" l="1"/>
  <c r="AN93" i="8" s="1"/>
  <c r="AM104" i="8"/>
  <c r="AM108" i="8" s="1"/>
  <c r="AO100" i="8" l="1"/>
  <c r="AO102" i="8"/>
  <c r="AO103" i="8" s="1"/>
  <c r="AN95" i="8"/>
  <c r="AN98" i="8" s="1"/>
  <c r="AN112" i="8" l="1"/>
  <c r="AN114" i="8" l="1"/>
  <c r="AN99" i="8" s="1"/>
  <c r="AN107" i="8" l="1"/>
  <c r="AO93" i="8" s="1"/>
  <c r="AN104" i="8"/>
  <c r="AN108" i="8" s="1"/>
  <c r="AP100" i="8" l="1"/>
  <c r="AP102" i="8"/>
  <c r="AP103" i="8" s="1"/>
  <c r="AO95" i="8"/>
  <c r="AO98" i="8" s="1"/>
  <c r="AO112" i="8" l="1"/>
  <c r="AO114" i="8" l="1"/>
  <c r="AO99" i="8" s="1"/>
  <c r="AO107" i="8" l="1"/>
  <c r="AP93" i="8" s="1"/>
  <c r="AO104" i="8"/>
  <c r="AO108" i="8" s="1"/>
  <c r="AQ100" i="8" l="1"/>
  <c r="AQ102" i="8"/>
  <c r="AQ103" i="8" s="1"/>
  <c r="AP95" i="8"/>
  <c r="AP98" i="8" s="1"/>
  <c r="AP112" i="8" l="1"/>
  <c r="AP114" i="8" l="1"/>
  <c r="AP99" i="8" s="1"/>
  <c r="AP107" i="8" l="1"/>
  <c r="AQ93" i="8" s="1"/>
  <c r="AP104" i="8"/>
  <c r="AP108" i="8" s="1"/>
  <c r="AR100" i="8" l="1"/>
  <c r="AR102" i="8"/>
  <c r="AR103" i="8" s="1"/>
  <c r="AQ95" i="8"/>
  <c r="AQ98" i="8" s="1"/>
  <c r="AQ112" i="8" l="1"/>
  <c r="AQ114" i="8" l="1"/>
  <c r="AQ99" i="8" s="1"/>
  <c r="AQ107" i="8" l="1"/>
  <c r="AR93" i="8" s="1"/>
  <c r="AQ104" i="8"/>
  <c r="AQ108" i="8" s="1"/>
  <c r="AS100" i="8" l="1"/>
  <c r="AS102" i="8"/>
  <c r="AS103" i="8" s="1"/>
  <c r="AR95" i="8"/>
  <c r="AR98" i="8" s="1"/>
  <c r="AR112" i="8" l="1"/>
  <c r="AR114" i="8" l="1"/>
  <c r="AR99" i="8" s="1"/>
  <c r="AR107" i="8" l="1"/>
  <c r="AS93" i="8" s="1"/>
  <c r="AR104" i="8"/>
  <c r="AR108" i="8" s="1"/>
  <c r="AT100" i="8" l="1"/>
  <c r="AT102" i="8"/>
  <c r="AT103" i="8" s="1"/>
  <c r="AS95" i="8"/>
  <c r="AS98" i="8" s="1"/>
  <c r="AS112" i="8" l="1"/>
  <c r="AS114" i="8" l="1"/>
  <c r="AS99" i="8" s="1"/>
  <c r="AS107" i="8" l="1"/>
  <c r="AT93" i="8" s="1"/>
  <c r="AS104" i="8"/>
  <c r="AS108" i="8" s="1"/>
  <c r="AU100" i="8" l="1"/>
  <c r="AU102" i="8"/>
  <c r="AU103" i="8" s="1"/>
  <c r="AT95" i="8"/>
  <c r="AT98" i="8" s="1"/>
  <c r="AT112" i="8" l="1"/>
  <c r="AT114" i="8" l="1"/>
  <c r="AT99" i="8" s="1"/>
  <c r="AT107" i="8" l="1"/>
  <c r="AU93" i="8" s="1"/>
  <c r="AT104" i="8"/>
  <c r="AT108" i="8" s="1"/>
  <c r="AV100" i="8" l="1"/>
  <c r="AV102" i="8"/>
  <c r="AV103" i="8" s="1"/>
  <c r="AU95" i="8"/>
  <c r="AU98" i="8" s="1"/>
  <c r="AU112" i="8" l="1"/>
  <c r="AU114" i="8" l="1"/>
  <c r="AU99" i="8" s="1"/>
  <c r="AU107" i="8" l="1"/>
  <c r="AV93" i="8" s="1"/>
  <c r="AU104" i="8"/>
  <c r="AU108" i="8" s="1"/>
  <c r="AW100" i="8" l="1"/>
  <c r="AW102" i="8"/>
  <c r="AW103" i="8" s="1"/>
  <c r="AV95" i="8"/>
  <c r="AV98" i="8" s="1"/>
  <c r="AV112" i="8" l="1"/>
  <c r="AV114" i="8" l="1"/>
  <c r="AV99" i="8" s="1"/>
  <c r="AV107" i="8" l="1"/>
  <c r="AW93" i="8" s="1"/>
  <c r="AV104" i="8"/>
  <c r="AV108" i="8" s="1"/>
  <c r="AX100" i="8" l="1"/>
  <c r="AX102" i="8"/>
  <c r="AX103" i="8" s="1"/>
  <c r="AW95" i="8"/>
  <c r="AW98" i="8" s="1"/>
  <c r="AW112" i="8" l="1"/>
  <c r="AW114" i="8" l="1"/>
  <c r="AW99" i="8" s="1"/>
  <c r="AW107" i="8" l="1"/>
  <c r="AX93" i="8" s="1"/>
  <c r="AW104" i="8"/>
  <c r="AW108" i="8" s="1"/>
  <c r="AY100" i="8" l="1"/>
  <c r="AY102" i="8"/>
  <c r="AY103" i="8" s="1"/>
  <c r="AX95" i="8"/>
  <c r="AX98" i="8" s="1"/>
  <c r="AX112" i="8" l="1"/>
  <c r="AX114" i="8" l="1"/>
  <c r="AX99" i="8" s="1"/>
  <c r="AX107" i="8" l="1"/>
  <c r="AY93" i="8" s="1"/>
  <c r="AX104" i="8"/>
  <c r="AX108" i="8" s="1"/>
  <c r="AZ102" i="8" l="1"/>
  <c r="AZ103" i="8" s="1"/>
  <c r="AY95" i="8"/>
  <c r="E93" i="8"/>
  <c r="AY98" i="8" l="1"/>
  <c r="E95" i="8"/>
  <c r="E98" i="8" s="1"/>
  <c r="C93" i="8"/>
  <c r="H78" i="5"/>
  <c r="J78" i="5" l="1"/>
  <c r="J80" i="5" s="1"/>
  <c r="I45" i="1" s="1"/>
  <c r="I78" i="5"/>
  <c r="I80" i="5" s="1"/>
  <c r="H45" i="1" s="1"/>
  <c r="F73" i="17"/>
  <c r="F76" i="17" s="1"/>
  <c r="H80" i="5"/>
  <c r="D93" i="8"/>
  <c r="C95" i="8"/>
  <c r="C31" i="6"/>
  <c r="D31" i="6"/>
  <c r="E31" i="6"/>
  <c r="F31" i="6"/>
  <c r="AY112" i="8"/>
  <c r="AY114" i="8" s="1"/>
  <c r="AY99" i="8" s="1"/>
  <c r="L80" i="5" l="1"/>
  <c r="N80" i="5" s="1"/>
  <c r="G45" i="1"/>
  <c r="G79" i="5"/>
  <c r="H89" i="5"/>
  <c r="G80" i="5" s="1"/>
  <c r="AY107" i="8"/>
  <c r="E99" i="8"/>
  <c r="AY104" i="8"/>
  <c r="AY108" i="8" s="1"/>
  <c r="F78" i="17"/>
  <c r="G76" i="17"/>
  <c r="E76" i="17"/>
  <c r="D95" i="8"/>
  <c r="C98" i="8"/>
  <c r="AZ100" i="8" l="1"/>
  <c r="AZ107" i="8" s="1"/>
  <c r="BA107" i="8" s="1"/>
  <c r="BB107" i="8" s="1"/>
  <c r="BC107" i="8" s="1"/>
  <c r="BD107" i="8" s="1"/>
  <c r="BE107" i="8" s="1"/>
  <c r="BF107" i="8" s="1"/>
  <c r="BG107" i="8" s="1"/>
  <c r="BH107" i="8" s="1"/>
  <c r="BI107" i="8" s="1"/>
  <c r="BJ107" i="8" s="1"/>
  <c r="BK107" i="8" s="1"/>
  <c r="BL107" i="8" s="1"/>
  <c r="BM107" i="8" s="1"/>
  <c r="BN107" i="8" s="1"/>
  <c r="BO107" i="8" s="1"/>
  <c r="BP107" i="8" s="1"/>
  <c r="BQ107" i="8" s="1"/>
  <c r="BR107" i="8" s="1"/>
  <c r="BS107" i="8" s="1"/>
  <c r="BT107" i="8" s="1"/>
  <c r="BU107" i="8" s="1"/>
  <c r="BV107" i="8" s="1"/>
  <c r="BW107" i="8" s="1"/>
  <c r="BX107" i="8" s="1"/>
  <c r="BY107" i="8" s="1"/>
  <c r="BZ107" i="8" s="1"/>
  <c r="CA107" i="8" s="1"/>
  <c r="CB107" i="8" s="1"/>
  <c r="CC107" i="8" s="1"/>
  <c r="CD107" i="8" s="1"/>
  <c r="CE107" i="8" s="1"/>
  <c r="CF107" i="8" s="1"/>
  <c r="CG107" i="8" s="1"/>
  <c r="CH107" i="8" s="1"/>
  <c r="CI107" i="8" s="1"/>
  <c r="CJ107" i="8" s="1"/>
  <c r="CK107" i="8" s="1"/>
  <c r="CL107" i="8" s="1"/>
  <c r="CM107" i="8" s="1"/>
  <c r="CN107" i="8" s="1"/>
  <c r="CO107" i="8" s="1"/>
  <c r="CP107" i="8" s="1"/>
  <c r="CQ107" i="8" s="1"/>
  <c r="CR107" i="8" s="1"/>
  <c r="CS107" i="8" s="1"/>
  <c r="CT107" i="8" s="1"/>
  <c r="CU107" i="8" s="1"/>
  <c r="CV107" i="8" s="1"/>
  <c r="CW107" i="8" s="1"/>
  <c r="CX107" i="8" s="1"/>
  <c r="CY107" i="8" s="1"/>
  <c r="CZ107" i="8" s="1"/>
  <c r="C107" i="8" s="1"/>
  <c r="D98" i="8"/>
  <c r="D104" i="8" s="1"/>
  <c r="C104" i="8"/>
  <c r="G78" i="17"/>
  <c r="E78" i="17"/>
  <c r="F81" i="17"/>
  <c r="G41" i="5"/>
  <c r="L89" i="5"/>
  <c r="N89" i="5" s="1"/>
  <c r="I89" i="5"/>
  <c r="G59" i="5"/>
  <c r="J89" i="5"/>
  <c r="G22" i="5"/>
  <c r="G46" i="5"/>
  <c r="K15" i="6"/>
  <c r="G48" i="1"/>
  <c r="J45" i="1" s="1"/>
  <c r="G66" i="5"/>
  <c r="G87" i="5"/>
  <c r="G16" i="5"/>
  <c r="D107" i="8" l="1"/>
  <c r="D114" i="8" s="1"/>
  <c r="G52" i="1"/>
  <c r="G53" i="1" s="1"/>
  <c r="G43" i="2"/>
  <c r="I48" i="1"/>
  <c r="G43" i="14"/>
  <c r="K43" i="14" s="1"/>
  <c r="J43" i="1"/>
  <c r="J44" i="1"/>
  <c r="J41" i="1"/>
  <c r="J42" i="1"/>
  <c r="J40" i="1"/>
  <c r="H14" i="1"/>
  <c r="J47" i="1"/>
  <c r="J39" i="1"/>
  <c r="J46" i="1"/>
  <c r="F83" i="17"/>
  <c r="G81" i="17"/>
  <c r="H48" i="1"/>
  <c r="G42" i="2"/>
  <c r="G42" i="14"/>
  <c r="K42" i="14" s="1"/>
  <c r="AZ104" i="8"/>
  <c r="E100" i="8"/>
  <c r="G83" i="17" l="1"/>
  <c r="F85" i="17"/>
  <c r="F86" i="17" s="1"/>
  <c r="I14" i="1"/>
  <c r="I15" i="1" s="1"/>
  <c r="I17" i="1" s="1"/>
  <c r="G33" i="2"/>
  <c r="G14" i="1"/>
  <c r="G15" i="1" s="1"/>
  <c r="G17" i="1" s="1"/>
  <c r="G33" i="14"/>
  <c r="H15" i="1"/>
  <c r="J48" i="1"/>
  <c r="G54" i="1"/>
  <c r="H52" i="1" s="1"/>
  <c r="D57" i="6"/>
  <c r="E57" i="6"/>
  <c r="C57" i="6"/>
  <c r="E104" i="8"/>
  <c r="G105" i="8"/>
  <c r="H18" i="1" s="1"/>
  <c r="AZ108" i="8"/>
  <c r="BA108" i="8" s="1"/>
  <c r="BB108" i="8" s="1"/>
  <c r="BC108" i="8" s="1"/>
  <c r="BD108" i="8" s="1"/>
  <c r="BE108" i="8" s="1"/>
  <c r="BF108" i="8" s="1"/>
  <c r="BG108" i="8" s="1"/>
  <c r="BH108" i="8" s="1"/>
  <c r="BI108" i="8" s="1"/>
  <c r="BJ108" i="8" s="1"/>
  <c r="BK108" i="8" s="1"/>
  <c r="BL108" i="8" s="1"/>
  <c r="BM108" i="8" s="1"/>
  <c r="BN108" i="8" s="1"/>
  <c r="BO108" i="8" s="1"/>
  <c r="BP108" i="8" s="1"/>
  <c r="BQ108" i="8" s="1"/>
  <c r="BR108" i="8" s="1"/>
  <c r="BS108" i="8" s="1"/>
  <c r="BT108" i="8" s="1"/>
  <c r="BU108" i="8" s="1"/>
  <c r="BV108" i="8" s="1"/>
  <c r="BW108" i="8" s="1"/>
  <c r="BX108" i="8" s="1"/>
  <c r="BY108" i="8" s="1"/>
  <c r="BZ108" i="8" s="1"/>
  <c r="CA108" i="8" s="1"/>
  <c r="CB108" i="8" s="1"/>
  <c r="CC108" i="8" s="1"/>
  <c r="CD108" i="8" s="1"/>
  <c r="CE108" i="8" s="1"/>
  <c r="CF108" i="8" s="1"/>
  <c r="CG108" i="8" s="1"/>
  <c r="CH108" i="8" s="1"/>
  <c r="CI108" i="8" s="1"/>
  <c r="CJ108" i="8" s="1"/>
  <c r="CK108" i="8" s="1"/>
  <c r="CL108" i="8" s="1"/>
  <c r="CM108" i="8" s="1"/>
  <c r="CN108" i="8" s="1"/>
  <c r="CO108" i="8" s="1"/>
  <c r="CP108" i="8" s="1"/>
  <c r="CQ108" i="8" s="1"/>
  <c r="CR108" i="8" s="1"/>
  <c r="CS108" i="8" s="1"/>
  <c r="CT108" i="8" s="1"/>
  <c r="CU108" i="8" s="1"/>
  <c r="CV108" i="8" s="1"/>
  <c r="CW108" i="8" s="1"/>
  <c r="CX108" i="8" s="1"/>
  <c r="CY108" i="8" s="1"/>
  <c r="CZ108" i="8" s="1"/>
  <c r="E16" i="6"/>
  <c r="D108" i="8"/>
  <c r="D13" i="16" s="1"/>
  <c r="D14" i="16" s="1"/>
  <c r="H53" i="1" l="1"/>
  <c r="H54" i="1" s="1"/>
  <c r="C63" i="6"/>
  <c r="C66" i="6"/>
  <c r="C60" i="6"/>
  <c r="C32" i="6"/>
  <c r="C33" i="6" s="1"/>
  <c r="F57" i="6"/>
  <c r="H38" i="17"/>
  <c r="G37" i="2"/>
  <c r="F100" i="17" s="1"/>
  <c r="F102" i="17" s="1"/>
  <c r="E60" i="6"/>
  <c r="E63" i="6"/>
  <c r="E66" i="6"/>
  <c r="E32" i="6"/>
  <c r="G34" i="14"/>
  <c r="K34" i="14" s="1"/>
  <c r="H17" i="1"/>
  <c r="G34" i="2"/>
  <c r="H37" i="17" s="1"/>
  <c r="D60" i="6"/>
  <c r="D63" i="6"/>
  <c r="D66" i="6"/>
  <c r="D32" i="6"/>
  <c r="K33" i="14"/>
  <c r="G37" i="14"/>
  <c r="K37" i="14" s="1"/>
  <c r="G39" i="14"/>
  <c r="K39" i="14" s="1"/>
  <c r="G39" i="2"/>
  <c r="F96" i="17" l="1"/>
  <c r="J37" i="17"/>
  <c r="I37" i="17"/>
  <c r="D33" i="6"/>
  <c r="E33" i="6" s="1"/>
  <c r="G36" i="14"/>
  <c r="K36" i="14" s="1"/>
  <c r="G36" i="2"/>
  <c r="F97" i="17" s="1"/>
  <c r="I38" i="17"/>
  <c r="J38" i="17"/>
  <c r="F63" i="6"/>
  <c r="B64" i="6" s="1"/>
  <c r="F66" i="6"/>
  <c r="B67" i="6" s="1"/>
  <c r="H19" i="1" s="1"/>
  <c r="F60" i="6"/>
  <c r="B61" i="6" s="1"/>
  <c r="F32" i="6"/>
  <c r="G40" i="14" l="1"/>
  <c r="K40" i="14" s="1"/>
  <c r="G40" i="2"/>
  <c r="F33" i="6"/>
  <c r="G33" i="6" s="1"/>
  <c r="H33" i="6" s="1"/>
  <c r="I33" i="6" s="1"/>
  <c r="J33" i="6" s="1"/>
  <c r="K33" i="6" s="1"/>
  <c r="L33" i="6" s="1"/>
  <c r="F104"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 Hohol</author>
  </authors>
  <commentList>
    <comment ref="N71" authorId="0" shapeId="0" xr:uid="{87667636-06DA-499F-84C4-5B74F204857E}">
      <text>
        <r>
          <rPr>
            <sz val="10"/>
            <color indexed="8"/>
            <rFont val="Arial"/>
            <family val="2"/>
          </rPr>
          <t xml:space="preserve">Fran Hohol:
</t>
        </r>
        <r>
          <rPr>
            <sz val="10"/>
            <color indexed="8"/>
            <rFont val="Arial"/>
            <family val="2"/>
          </rPr>
          <t>Common area chgs for water less than in-suite costs; electricity and gas charges for common area and in-suite are the same.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tc={5953EDE6-E5C1-473E-B4F9-EFF2EA8C9271}</author>
  </authors>
  <commentList>
    <comment ref="F57" authorId="0" shapeId="0" xr:uid="{5953EDE6-E5C1-473E-B4F9-EFF2EA8C9271}">
      <text>
        <t>[Threaded comment]
Your version of Excel allows you to read this threaded comment; however, any edits to it will get removed if the file is opened in a newer version of Excel. Learn more: https://go.microsoft.com/fwlink/?linkid=870924
Comment:
    Net of CMHC Premium</t>
      </text>
    </comment>
  </commentList>
</comments>
</file>

<file path=xl/sharedStrings.xml><?xml version="1.0" encoding="utf-8"?>
<sst xmlns="http://schemas.openxmlformats.org/spreadsheetml/2006/main" count="1225" uniqueCount="838">
  <si>
    <t>Apartment Pro-forma</t>
  </si>
  <si>
    <t>Prepared by:</t>
  </si>
  <si>
    <t>Less: Selling costs</t>
  </si>
  <si>
    <t>Total Cost</t>
  </si>
  <si>
    <t>Executive Summary</t>
  </si>
  <si>
    <t>Operating Revenue and Expenses</t>
  </si>
  <si>
    <t>Number of Units:</t>
  </si>
  <si>
    <t>Net Rentable Area:</t>
  </si>
  <si>
    <t>Land</t>
  </si>
  <si>
    <t>Offsite/Sitework Costs</t>
  </si>
  <si>
    <t>Park Dedication Fee</t>
  </si>
  <si>
    <t>Marketing</t>
  </si>
  <si>
    <t>HST</t>
  </si>
  <si>
    <t>Property Taxes During Construction</t>
  </si>
  <si>
    <t>Total</t>
  </si>
  <si>
    <t>Per unit</t>
  </si>
  <si>
    <t>Per Sqft</t>
  </si>
  <si>
    <t>Loan Term (years)</t>
  </si>
  <si>
    <t>Max. LTV @ Stabilization</t>
  </si>
  <si>
    <t>Capitalization Rate</t>
  </si>
  <si>
    <t>Annual Debt Service</t>
  </si>
  <si>
    <t>Development Costs</t>
  </si>
  <si>
    <t>Construction</t>
  </si>
  <si>
    <t>Value</t>
  </si>
  <si>
    <t>Scenarios</t>
  </si>
  <si>
    <t>Parking</t>
  </si>
  <si>
    <t>Residential Stalls</t>
  </si>
  <si>
    <t>Visitor Stalls</t>
  </si>
  <si>
    <t>Other Income</t>
  </si>
  <si>
    <t>Effective Gross Income</t>
  </si>
  <si>
    <t>Operating Expenses</t>
  </si>
  <si>
    <t>Insurance</t>
  </si>
  <si>
    <t>Operating Expenses/Revenue</t>
  </si>
  <si>
    <t>Total Expenses</t>
  </si>
  <si>
    <t>Unit Type</t>
  </si>
  <si>
    <t>No. Units</t>
  </si>
  <si>
    <t>% Total</t>
  </si>
  <si>
    <t>$/Sqft</t>
  </si>
  <si>
    <t>Extra Stalls</t>
  </si>
  <si>
    <t>Ratio</t>
  </si>
  <si>
    <t>@</t>
  </si>
  <si>
    <t>Revenue</t>
  </si>
  <si>
    <t>Total Other Income</t>
  </si>
  <si>
    <t>Annual $</t>
  </si>
  <si>
    <t>Monthly $</t>
  </si>
  <si>
    <t>Per Unit</t>
  </si>
  <si>
    <t>%</t>
  </si>
  <si>
    <t>Cap rate</t>
  </si>
  <si>
    <t>Number of Units Completed</t>
  </si>
  <si>
    <t>Cumulative Units Complete</t>
  </si>
  <si>
    <t>Percentage Completed</t>
  </si>
  <si>
    <t>New Units Leased</t>
  </si>
  <si>
    <t>Cumulative Units Leased</t>
  </si>
  <si>
    <t>Percentage Leased</t>
  </si>
  <si>
    <t>Units Occupied</t>
  </si>
  <si>
    <t>Cumulative Units Occupied</t>
  </si>
  <si>
    <t>Percentage Occupied</t>
  </si>
  <si>
    <t>DEVELOPMENT COSTS</t>
  </si>
  <si>
    <t>Budget</t>
  </si>
  <si>
    <t>Total Cashflow</t>
  </si>
  <si>
    <t>Variance</t>
  </si>
  <si>
    <t>Items</t>
  </si>
  <si>
    <t>CONSTRUCTION LOAN</t>
  </si>
  <si>
    <t>Construction Loan Draws</t>
  </si>
  <si>
    <t>Cash Flow before loan draws</t>
  </si>
  <si>
    <t>Cash Flow</t>
  </si>
  <si>
    <t>Net Cash Flow - Equity</t>
  </si>
  <si>
    <t>Cumulative</t>
  </si>
  <si>
    <t>Equity</t>
  </si>
  <si>
    <t>Construction Loan Balance</t>
  </si>
  <si>
    <t>UNIT MIX</t>
  </si>
  <si>
    <t>Sq. Ft.</t>
  </si>
  <si>
    <t>% of Total</t>
  </si>
  <si>
    <t>Rent</t>
  </si>
  <si>
    <t>$/SF</t>
  </si>
  <si>
    <t>OVERVIEW</t>
  </si>
  <si>
    <t>Total Costs</t>
  </si>
  <si>
    <t>CONSTRUCTION FINANCING</t>
  </si>
  <si>
    <t>Construction Loan</t>
  </si>
  <si>
    <t>Base Case</t>
  </si>
  <si>
    <t>Best Case</t>
  </si>
  <si>
    <t>Worst Case</t>
  </si>
  <si>
    <t>Construction Period (Months)</t>
  </si>
  <si>
    <t>LTV ratio</t>
  </si>
  <si>
    <t>Princpal Loan Value</t>
  </si>
  <si>
    <t>SCHEDULE</t>
  </si>
  <si>
    <t>Pre-Development</t>
  </si>
  <si>
    <t>Construction period</t>
  </si>
  <si>
    <t>Stabilized</t>
  </si>
  <si>
    <t>Lease-up</t>
  </si>
  <si>
    <t>From</t>
  </si>
  <si>
    <t>To</t>
  </si>
  <si>
    <t>Months</t>
  </si>
  <si>
    <t>Operating Expenses Varience</t>
  </si>
  <si>
    <t>Operating Expense Varience</t>
  </si>
  <si>
    <t>Construction Loan Interest Rate</t>
  </si>
  <si>
    <t>Select Scenario:</t>
  </si>
  <si>
    <t>Land Purchase</t>
  </si>
  <si>
    <t>Duration</t>
  </si>
  <si>
    <t>Start Date</t>
  </si>
  <si>
    <t>End Date</t>
  </si>
  <si>
    <t>Anchored to</t>
  </si>
  <si>
    <t>Offset</t>
  </si>
  <si>
    <t>Schedule</t>
  </si>
  <si>
    <t>Project Start Date</t>
  </si>
  <si>
    <t>Lease-up Period (Months)</t>
  </si>
  <si>
    <t>Total Development Costs</t>
  </si>
  <si>
    <t>Selling Costs</t>
  </si>
  <si>
    <t>Start</t>
  </si>
  <si>
    <t>End</t>
  </si>
  <si>
    <t>LAND</t>
  </si>
  <si>
    <t>Total Land Costs</t>
  </si>
  <si>
    <t>CONSTRUCTION</t>
  </si>
  <si>
    <t>Construction hard cost</t>
  </si>
  <si>
    <t>PROFESSIONAL FEES</t>
  </si>
  <si>
    <t>Architect</t>
  </si>
  <si>
    <t>Landscape architect</t>
  </si>
  <si>
    <t>Structural engineer</t>
  </si>
  <si>
    <t>Civil engineer</t>
  </si>
  <si>
    <t>Geotechnical engineer</t>
  </si>
  <si>
    <t>Survey</t>
  </si>
  <si>
    <t>Environmental consultant</t>
  </si>
  <si>
    <t>Interior design</t>
  </si>
  <si>
    <t>Traffic consultant</t>
  </si>
  <si>
    <t>Disbursements</t>
  </si>
  <si>
    <t>Professional fee contingency</t>
  </si>
  <si>
    <t>Total Professional Fees</t>
  </si>
  <si>
    <t>PERMITS AND APPROVALS</t>
  </si>
  <si>
    <t>Building permit</t>
  </si>
  <si>
    <t>Rezoning</t>
  </si>
  <si>
    <t>Construction contingency</t>
  </si>
  <si>
    <t>Permit and approval contingency</t>
  </si>
  <si>
    <t>DEVELOPMENT MANAGEMENT</t>
  </si>
  <si>
    <t>Appraisal</t>
  </si>
  <si>
    <t>Land titles</t>
  </si>
  <si>
    <t>Legal fees</t>
  </si>
  <si>
    <t>Quantity Surveyor</t>
  </si>
  <si>
    <t>LC and Bonding</t>
  </si>
  <si>
    <t>Loan fees</t>
  </si>
  <si>
    <t>FINANCING AND INTEREST</t>
  </si>
  <si>
    <t>Total Financing and Interest Costs</t>
  </si>
  <si>
    <t>Total Construction Costs</t>
  </si>
  <si>
    <t>Utilities Connection</t>
  </si>
  <si>
    <t>TOTAL DEVELOPMENT COSTS</t>
  </si>
  <si>
    <t>MARKETINGAND LEASING</t>
  </si>
  <si>
    <t>Total Permit and Approvals</t>
  </si>
  <si>
    <t>Total Marketing and Leasing</t>
  </si>
  <si>
    <t>Tax rate</t>
  </si>
  <si>
    <t>Professional Fees</t>
  </si>
  <si>
    <t>Development Management</t>
  </si>
  <si>
    <t>Permits and Approvals</t>
  </si>
  <si>
    <t>Marketing and Leasing</t>
  </si>
  <si>
    <t>Financing and Interest</t>
  </si>
  <si>
    <t>MARKETING AND LEASING</t>
  </si>
  <si>
    <t>PERMIT AND APPROVALS</t>
  </si>
  <si>
    <t>Valuation</t>
  </si>
  <si>
    <t>IRR upon stabilization if sold</t>
  </si>
  <si>
    <t>Profit before taxes if sold</t>
  </si>
  <si>
    <t>LEASE-UP SCHEDULE</t>
  </si>
  <si>
    <t>OPERATING INCOME</t>
  </si>
  <si>
    <t>Vacancy Provision</t>
  </si>
  <si>
    <t>NOI</t>
  </si>
  <si>
    <t>Development Status</t>
  </si>
  <si>
    <t>OPERATING INCOME DURING LEASE-UP</t>
  </si>
  <si>
    <t>Cost to Date</t>
  </si>
  <si>
    <t>Cost to Complete Financing</t>
  </si>
  <si>
    <t>Construction % Completion</t>
  </si>
  <si>
    <t>S Curve Distribution</t>
  </si>
  <si>
    <t>Even Distribution</t>
  </si>
  <si>
    <t>S-curve StDev:</t>
  </si>
  <si>
    <t>Steep</t>
  </si>
  <si>
    <t>Moderately Steep</t>
  </si>
  <si>
    <t>Moderate</t>
  </si>
  <si>
    <t>Moderately Flat</t>
  </si>
  <si>
    <t>S Curve Option:</t>
  </si>
  <si>
    <t>Construction Cost Option:</t>
  </si>
  <si>
    <t>Construction Loan Interest</t>
  </si>
  <si>
    <t>Repayment of Construction Loan</t>
  </si>
  <si>
    <t>Net Operating Income and Valuation</t>
  </si>
  <si>
    <t>NOI Today</t>
  </si>
  <si>
    <t>Valuation today</t>
  </si>
  <si>
    <t>NOI at Stabilization</t>
  </si>
  <si>
    <t>Valuation @ Stabilization</t>
  </si>
  <si>
    <t>Profit before taxes if sold at stabilization</t>
  </si>
  <si>
    <t>NOI at stabilization</t>
  </si>
  <si>
    <t>Sales Proceeds</t>
  </si>
  <si>
    <t>Return on cost</t>
  </si>
  <si>
    <t>IRR</t>
  </si>
  <si>
    <t>Permanent Loan Interest Rate</t>
  </si>
  <si>
    <t>Construction Loan Draw</t>
  </si>
  <si>
    <t>Annual Revenue Inflation</t>
  </si>
  <si>
    <t>Annual Cost Inflation</t>
  </si>
  <si>
    <t>Revenue Inflation Factor</t>
  </si>
  <si>
    <t>Cost Inflation Factor</t>
  </si>
  <si>
    <t>Permanent Loan Balance</t>
  </si>
  <si>
    <t>Principal</t>
  </si>
  <si>
    <t>Interest</t>
  </si>
  <si>
    <t>Prinpical Payment</t>
  </si>
  <si>
    <t>Loan to Cost:</t>
  </si>
  <si>
    <t>Stabilized Holding Months</t>
  </si>
  <si>
    <t>Loan Amortization Schedule</t>
  </si>
  <si>
    <t>Period</t>
  </si>
  <si>
    <t>Month</t>
  </si>
  <si>
    <t>Beginning Balance</t>
  </si>
  <si>
    <t>Ending Balance</t>
  </si>
  <si>
    <t>Year</t>
  </si>
  <si>
    <t>Stabilized NOI</t>
  </si>
  <si>
    <t>Interest Payment</t>
  </si>
  <si>
    <t>Equity Investment</t>
  </si>
  <si>
    <t>Development Cash Flow</t>
  </si>
  <si>
    <t>Income before Tax</t>
  </si>
  <si>
    <t>Valuation at stabilization</t>
  </si>
  <si>
    <t>Annualized NOI at Stabilization</t>
  </si>
  <si>
    <t>Permanent Loan Principal</t>
  </si>
  <si>
    <t>Stabilized Rental Cash Flow Analysis</t>
  </si>
  <si>
    <t>Net Proceeds from Sale</t>
  </si>
  <si>
    <t>Less: Loan Balance</t>
  </si>
  <si>
    <t>IRR CALCULATION</t>
  </si>
  <si>
    <t>-year cash flow</t>
  </si>
  <si>
    <t>YEAR</t>
  </si>
  <si>
    <t>Valuation @</t>
  </si>
  <si>
    <t>Selling costs @</t>
  </si>
  <si>
    <t>LTV</t>
  </si>
  <si>
    <t>Annual Debt Service (including Principal)</t>
  </si>
  <si>
    <t>NOI Coverage</t>
  </si>
  <si>
    <t>Min. NOI Coverage</t>
  </si>
  <si>
    <t>Goal seek to 0 by changing</t>
  </si>
  <si>
    <t>Equity Requirement</t>
  </si>
  <si>
    <t>Lesser of Construction Loan and Max Loan</t>
  </si>
  <si>
    <t>Choose Loan Option:</t>
  </si>
  <si>
    <t>Maximum Allowable Loan</t>
  </si>
  <si>
    <t>Maximum Allowable Permanent Loan Amount</t>
  </si>
  <si>
    <t>SVN Rock Advisors Inc.</t>
  </si>
  <si>
    <t>Hydro</t>
  </si>
  <si>
    <t>Storage Lockers</t>
  </si>
  <si>
    <t>City Development charges</t>
  </si>
  <si>
    <t>Other Development Charges</t>
  </si>
  <si>
    <t>Mechanical &amp; Electrical engineer</t>
  </si>
  <si>
    <t>Site Servicing Engineer</t>
  </si>
  <si>
    <t>Development Yield</t>
  </si>
  <si>
    <t>Construction Costs per unit</t>
  </si>
  <si>
    <t>Value per unit at stabilization</t>
  </si>
  <si>
    <t>Construction Costs per sqft</t>
  </si>
  <si>
    <t>Value per sqft at stabilization</t>
  </si>
  <si>
    <t>Res only</t>
  </si>
  <si>
    <t>Bank's Legal / Other charges</t>
  </si>
  <si>
    <t>Disclaimer: RE: Use of the New Apartment Construction Financial Model</t>
  </si>
  <si>
    <t>SVN Rock Advisors Inc. Brokerage, Derek A. Lobo &amp; Associates (DALA) and/or SVN Canada Inc. (herein described as "the Consultant") has developed the New Apartment Construction Financial Model (herein described as "the model") as a general guide to help a user understand the high level profitability of rental apartment construction development on a given site. The Model is developed in Microsoft Excel, and it is expected by the consultant, that the user of the model is proficient in Excel. Any accidental deletion of a cell may corrupt the entire file and/or show inaccurate results that the Consultant is not responsible for. The model is intended to provide a high level understanding of the profitability, and does not assure and/or guarantee success of a project in any way.</t>
  </si>
  <si>
    <t>Confidentiality Policy</t>
  </si>
  <si>
    <t>Intellecutal rights on this file remain with the Consultant</t>
  </si>
  <si>
    <t>Disclaimers:</t>
  </si>
  <si>
    <t>We make no guarantees and do not undertake to confirm independently that the information, result and or data provided is accurate or comprehensive. We recommend the client independently review data sources and periodically update and confirm the data used in the excel file.</t>
  </si>
  <si>
    <t>The consultant's principals, management, staff, contractors and associates are real estate consultants only.</t>
  </si>
  <si>
    <t>To the fullest extent permitted by applicable law, in no event shall the consultant be liable to the client or any other user for any direct, indirect, incidental, special, punitive, or consequential damages whatsoever resulting from any (i) use of the excel file, (ii) errors, mistakes, or inaccuracies of content, (iii) any bugs, viruses, or like, which may be transmitted to or through the excel file to or by any party, (iv) any loss of your data or content, (v) any errors or omissions in any content or for any loss or damage of any kind incurred as a result of your use of the file, whether based on warranty, contract, tort, or any other legal theory, and whether or not  the client/users are advised of the possibility of such damanges, and/or (vi) the disclosure of information pursuant to these terms of use or a privacy policy.</t>
  </si>
  <si>
    <t>Limitation of Liability:</t>
  </si>
  <si>
    <t>Despite the above, our total liability to you for any cause of action you take against us will at all times be limited to no more than $100/ - (one hundred dollars)</t>
  </si>
  <si>
    <t>The Consultant makes no guarantees, written or otherwise, that if the client adopts or acts on the excel model's observations, findings, analysis or recommendations in the report that the client's project will be successful, nor do we, as real estate consultants, accept any legal or financial responsibility or liability for failure, under-performance, or termination of the client's project.</t>
  </si>
  <si>
    <t>Average Res</t>
  </si>
  <si>
    <t xml:space="preserve">Apartment Development Model 
</t>
  </si>
  <si>
    <t>Tenant Inducement</t>
  </si>
  <si>
    <t>Sales Staff</t>
  </si>
  <si>
    <t>Other</t>
  </si>
  <si>
    <t>Development Management Fee</t>
  </si>
  <si>
    <t>Per Res unit</t>
  </si>
  <si>
    <t>Res 2B part</t>
  </si>
  <si>
    <t>Total Res Units</t>
  </si>
  <si>
    <t>PERMANENT FINANCING</t>
  </si>
  <si>
    <t>Financing</t>
  </si>
  <si>
    <t>Cost</t>
  </si>
  <si>
    <t>Base</t>
  </si>
  <si>
    <t>Res Rent</t>
  </si>
  <si>
    <t>Operating Cost</t>
  </si>
  <si>
    <t>Construction Cost</t>
  </si>
  <si>
    <t>Sensitize</t>
  </si>
  <si>
    <t>Suburban Highrise Project in Ontario</t>
  </si>
  <si>
    <t>1 Bed</t>
  </si>
  <si>
    <t>2 Bed</t>
  </si>
  <si>
    <t>Avg Sq Ft</t>
  </si>
  <si>
    <t>Total Area</t>
  </si>
  <si>
    <t>Res</t>
  </si>
  <si>
    <t>Closing / Other Cost</t>
  </si>
  <si>
    <t>Commissions &amp; Incentive</t>
  </si>
  <si>
    <t>Others</t>
  </si>
  <si>
    <t>Development Permit</t>
  </si>
  <si>
    <t>Sub-Meter Installation Fee Credit</t>
  </si>
  <si>
    <t>Residential</t>
  </si>
  <si>
    <t>Total Development Management Fee</t>
  </si>
  <si>
    <t>OTHER ASSUMPTIONS</t>
  </si>
  <si>
    <t>SENSITIZED ASSUMPTIONS</t>
  </si>
  <si>
    <t>HEADLINE NUMBERS</t>
  </si>
  <si>
    <t>per sqft average revenue</t>
  </si>
  <si>
    <t>per sqft avg revenue</t>
  </si>
  <si>
    <t>Construction Loan Ratio</t>
  </si>
  <si>
    <t>Taxes, HST, VAT</t>
  </si>
  <si>
    <t>Contingency Prov</t>
  </si>
  <si>
    <t>Security Deposit</t>
  </si>
  <si>
    <t>Total Income During Lease-up incl Sec Deposit</t>
  </si>
  <si>
    <t>Operating income during lease-up incl Sec Deposit</t>
  </si>
  <si>
    <t>(Total slightly diff from DCF)</t>
  </si>
  <si>
    <t>Modified Base</t>
  </si>
  <si>
    <t>Int Rate</t>
  </si>
  <si>
    <t>Component Int</t>
  </si>
  <si>
    <t>Total Debt</t>
  </si>
  <si>
    <t>Mezannine Debt</t>
  </si>
  <si>
    <t>Total Equity</t>
  </si>
  <si>
    <t>Regular Bank Debt</t>
  </si>
  <si>
    <t xml:space="preserve">          2: Client to confirm if Mezannine Debt, otherwise take 0%</t>
  </si>
  <si>
    <t>Blended Construction Interest Rate</t>
  </si>
  <si>
    <t>Blended Construction Interest Rate Calucator</t>
  </si>
  <si>
    <t>RECOMMENDED RENTAL RATES</t>
  </si>
  <si>
    <t>Unit Mix</t>
  </si>
  <si>
    <t>Unit Size (SF)</t>
  </si>
  <si>
    <t>Unit Count</t>
  </si>
  <si>
    <t>Total SF</t>
  </si>
  <si>
    <t>Monthly  Per Unit</t>
  </si>
  <si>
    <t>Monthly</t>
  </si>
  <si>
    <t>Total Annual</t>
  </si>
  <si>
    <t>TOTAL/AVG.:</t>
  </si>
  <si>
    <t>Total Residential Units:</t>
  </si>
  <si>
    <t>Net Rentable SF (Residential Units):</t>
  </si>
  <si>
    <t>Total Monthly Rent Revenue:</t>
  </si>
  <si>
    <t>ESTIMATED OPERATING REVENUES</t>
  </si>
  <si>
    <t>#Spaces</t>
  </si>
  <si>
    <t>Monthly Fee</t>
  </si>
  <si>
    <t>Annual Per Unit</t>
  </si>
  <si>
    <t>Monthly Per Unit</t>
  </si>
  <si>
    <t>SUB-TOTAL:</t>
  </si>
  <si>
    <t>Vacancies (Rent &amp; Parking)</t>
  </si>
  <si>
    <t>TOTAL:</t>
  </si>
  <si>
    <t>ESTIMATED OPERATING EXPENSES (INDUSTRY STANDARD)</t>
  </si>
  <si>
    <t>units @</t>
  </si>
  <si>
    <t xml:space="preserve">Repairs &amp; Maintenance </t>
  </si>
  <si>
    <t xml:space="preserve">Staffing </t>
  </si>
  <si>
    <t xml:space="preserve">Insurance </t>
  </si>
  <si>
    <t xml:space="preserve">Management Fee  </t>
  </si>
  <si>
    <t>% of Gross Revenue</t>
  </si>
  <si>
    <t>Property Taxes (Per Municipal Rate)*</t>
  </si>
  <si>
    <t>ESTIMATED NET OPERATING INCOME</t>
  </si>
  <si>
    <t>ESTIMATED VALUATION</t>
  </si>
  <si>
    <t>Residential CAP Rate</t>
  </si>
  <si>
    <t>Est. Market Value Per Unit</t>
  </si>
  <si>
    <t>Est. Market Value Per SF</t>
  </si>
  <si>
    <t xml:space="preserve">Est. Market Value </t>
  </si>
  <si>
    <t>Market Value @</t>
  </si>
  <si>
    <t>Appropriate property tax rate should be confirmed by a specialist. SVN's property tax calculations are estimates only.</t>
  </si>
  <si>
    <t>Rate/Hr</t>
  </si>
  <si>
    <t>Cleaning</t>
  </si>
  <si>
    <t>KEY ASSUMPTIONS</t>
  </si>
  <si>
    <t>1. Development Schedule</t>
  </si>
  <si>
    <t>Project Start Date:</t>
  </si>
  <si>
    <t>2. Development Cost</t>
  </si>
  <si>
    <t xml:space="preserve">     Land Purchase </t>
  </si>
  <si>
    <t>Today</t>
  </si>
  <si>
    <t xml:space="preserve">% of Value </t>
  </si>
  <si>
    <t>Total Development Cost</t>
  </si>
  <si>
    <t>Devpt Cost</t>
  </si>
  <si>
    <t>Numbers</t>
  </si>
  <si>
    <t>Amount</t>
  </si>
  <si>
    <t xml:space="preserve">     Hard Cost</t>
  </si>
  <si>
    <t xml:space="preserve">     Comission &amp; Incentive</t>
  </si>
  <si>
    <t xml:space="preserve">     Marketing</t>
  </si>
  <si>
    <t>months of</t>
  </si>
  <si>
    <t>revenue</t>
  </si>
  <si>
    <t xml:space="preserve">     Total</t>
  </si>
  <si>
    <t xml:space="preserve">     Equity</t>
  </si>
  <si>
    <t xml:space="preserve">     Mezanine Debt</t>
  </si>
  <si>
    <t xml:space="preserve">     Regular Debt</t>
  </si>
  <si>
    <t xml:space="preserve">     Total Debt</t>
  </si>
  <si>
    <t>Base Int Rate</t>
  </si>
  <si>
    <t xml:space="preserve">     Financing Fees</t>
  </si>
  <si>
    <t xml:space="preserve">     Financing Contingency</t>
  </si>
  <si>
    <t>of Debt</t>
  </si>
  <si>
    <t>Total Financing Cost</t>
  </si>
  <si>
    <t>Total Financing &amp; HST</t>
  </si>
  <si>
    <t xml:space="preserve">Financing contingency </t>
  </si>
  <si>
    <t>Operating Income During Lease up</t>
  </si>
  <si>
    <t>Permits and Approvals Contingency</t>
  </si>
  <si>
    <t>Sub Meter Installation Fee Credit</t>
  </si>
  <si>
    <t>per unit</t>
  </si>
  <si>
    <t>Worst</t>
  </si>
  <si>
    <t>Best</t>
  </si>
  <si>
    <t>No HST payable under self supply rule, except in Quebec</t>
  </si>
  <si>
    <t>Altus Group - 2025 Canadian Cost Guide</t>
  </si>
  <si>
    <t>Private Sector Construction Costs (Cost per Square Foot)</t>
  </si>
  <si>
    <t>Building Type</t>
  </si>
  <si>
    <t>Vancouver Low</t>
  </si>
  <si>
    <t>Vancouver High</t>
  </si>
  <si>
    <t>Calgary Low</t>
  </si>
  <si>
    <t>Calgary High</t>
  </si>
  <si>
    <t>GTA Low</t>
  </si>
  <si>
    <t>GTA High</t>
  </si>
  <si>
    <t>Ottawa Low</t>
  </si>
  <si>
    <t>Ottawa High</t>
  </si>
  <si>
    <t>Montreal Low</t>
  </si>
  <si>
    <t>Montreal High</t>
  </si>
  <si>
    <t>RESIDENTIAL - Condominiums/Apartments</t>
  </si>
  <si>
    <t>Up to 12 Storeys</t>
  </si>
  <si>
    <t>$330</t>
  </si>
  <si>
    <t>$405</t>
  </si>
  <si>
    <t>$295</t>
  </si>
  <si>
    <t>$350</t>
  </si>
  <si>
    <t>$290</t>
  </si>
  <si>
    <t>$390</t>
  </si>
  <si>
    <t>$270</t>
  </si>
  <si>
    <t>$345</t>
  </si>
  <si>
    <t>$260</t>
  </si>
  <si>
    <t>$320</t>
  </si>
  <si>
    <t>13-39 Storeys</t>
  </si>
  <si>
    <t>$360</t>
  </si>
  <si>
    <t>$455</t>
  </si>
  <si>
    <t>$305</t>
  </si>
  <si>
    <t>$385</t>
  </si>
  <si>
    <t>$310</t>
  </si>
  <si>
    <t>$340</t>
  </si>
  <si>
    <t>$300</t>
  </si>
  <si>
    <t>$315</t>
  </si>
  <si>
    <t>40-60 Storeys</t>
  </si>
  <si>
    <t>$480</t>
  </si>
  <si>
    <t>$365</t>
  </si>
  <si>
    <t>$410</t>
  </si>
  <si>
    <t>$355</t>
  </si>
  <si>
    <t>60+ Storeys</t>
  </si>
  <si>
    <t>$370</t>
  </si>
  <si>
    <t>$485</t>
  </si>
  <si>
    <t>N/A</t>
  </si>
  <si>
    <t>Premium for High Quality</t>
  </si>
  <si>
    <t>up to $275</t>
  </si>
  <si>
    <t>up to $265</t>
  </si>
  <si>
    <t>up to $245</t>
  </si>
  <si>
    <t>up to $195</t>
  </si>
  <si>
    <t>up to $200</t>
  </si>
  <si>
    <t>RESIDENTIAL - Wood Framed</t>
  </si>
  <si>
    <t>Row Townhouse</t>
  </si>
  <si>
    <t>$205</t>
  </si>
  <si>
    <t>$185</t>
  </si>
  <si>
    <t>$245</t>
  </si>
  <si>
    <t>$265</t>
  </si>
  <si>
    <t>$130</t>
  </si>
  <si>
    <t>$180</t>
  </si>
  <si>
    <t>$135</t>
  </si>
  <si>
    <t>Single Family</t>
  </si>
  <si>
    <t>$200</t>
  </si>
  <si>
    <t>$175</t>
  </si>
  <si>
    <t>$275</t>
  </si>
  <si>
    <t>$140</t>
  </si>
  <si>
    <t>$225</t>
  </si>
  <si>
    <t>$145</t>
  </si>
  <si>
    <t>3 Storey Stacked Townhouse</t>
  </si>
  <si>
    <t>$195</t>
  </si>
  <si>
    <t>$255</t>
  </si>
  <si>
    <t>$230</t>
  </si>
  <si>
    <t>$170</t>
  </si>
  <si>
    <t>$155</t>
  </si>
  <si>
    <t>Up to 6 Storey Wood Framed</t>
  </si>
  <si>
    <t>$235</t>
  </si>
  <si>
    <t>$215</t>
  </si>
  <si>
    <t>$280</t>
  </si>
  <si>
    <t>$210</t>
  </si>
  <si>
    <t>COMMERCIAL - Office Buildings</t>
  </si>
  <si>
    <t>Under 5 Storeys (Class B)</t>
  </si>
  <si>
    <t>$380</t>
  </si>
  <si>
    <t>$240</t>
  </si>
  <si>
    <t>$325</t>
  </si>
  <si>
    <t>5-30 Storeys (Class B)</t>
  </si>
  <si>
    <t>$375</t>
  </si>
  <si>
    <t>$250</t>
  </si>
  <si>
    <t>5-30 Storeys (Class A)</t>
  </si>
  <si>
    <t>$425</t>
  </si>
  <si>
    <t>$450</t>
  </si>
  <si>
    <t>31-60 Storeys (Class A)</t>
  </si>
  <si>
    <t>$460</t>
  </si>
  <si>
    <t>$430</t>
  </si>
  <si>
    <t>$510</t>
  </si>
  <si>
    <t>$440</t>
  </si>
  <si>
    <t>COMMERCIAL - Retail</t>
  </si>
  <si>
    <t>Strip Plaza</t>
  </si>
  <si>
    <t>$220</t>
  </si>
  <si>
    <t>Supermarket</t>
  </si>
  <si>
    <t>Big Box Store</t>
  </si>
  <si>
    <t>$165</t>
  </si>
  <si>
    <t>Enclosed Mall</t>
  </si>
  <si>
    <t>$420</t>
  </si>
  <si>
    <t>COMMERCIAL - Hotels</t>
  </si>
  <si>
    <t>$285</t>
  </si>
  <si>
    <t>Suite Hotel</t>
  </si>
  <si>
    <t>4-star Full Service</t>
  </si>
  <si>
    <t>$395</t>
  </si>
  <si>
    <t>$560</t>
  </si>
  <si>
    <t>$435</t>
  </si>
  <si>
    <t>$565</t>
  </si>
  <si>
    <t>$520</t>
  </si>
  <si>
    <t>PARKING</t>
  </si>
  <si>
    <t>Surface Parking</t>
  </si>
  <si>
    <t>$13</t>
  </si>
  <si>
    <t>$25</t>
  </si>
  <si>
    <t>$11</t>
  </si>
  <si>
    <t>$27</t>
  </si>
  <si>
    <t>$15</t>
  </si>
  <si>
    <t>$30</t>
  </si>
  <si>
    <t>$12</t>
  </si>
  <si>
    <t>$24</t>
  </si>
  <si>
    <t>$22</t>
  </si>
  <si>
    <t>Freestanding (Above Grade)</t>
  </si>
  <si>
    <t>$115</t>
  </si>
  <si>
    <t>$125</t>
  </si>
  <si>
    <t>$105</t>
  </si>
  <si>
    <t>Underground Parking</t>
  </si>
  <si>
    <t>$160</t>
  </si>
  <si>
    <t>INDUSTRIAL</t>
  </si>
  <si>
    <t>Warehouse</t>
  </si>
  <si>
    <t>$80</t>
  </si>
  <si>
    <t>$120</t>
  </si>
  <si>
    <t>Distribution Facility</t>
  </si>
  <si>
    <t>$150</t>
  </si>
  <si>
    <t>$445</t>
  </si>
  <si>
    <t>Data as of:</t>
  </si>
  <si>
    <t>January 31, 2025</t>
  </si>
  <si>
    <t>Key Notes</t>
  </si>
  <si>
    <t>• All costs are in CAD per square foot</t>
  </si>
  <si>
    <t>• Costs include above-grade scope only</t>
  </si>
  <si>
    <t>• Add below-grade parking costs separately</t>
  </si>
  <si>
    <t>• Excludes GST/HST/QST (includes PST where applicable)</t>
  </si>
  <si>
    <t>• Does not include soft costs or tariff impacts</t>
  </si>
  <si>
    <t>• Costs based on mid-quality finishes unless noted</t>
  </si>
  <si>
    <t>Prime Rate</t>
  </si>
  <si>
    <t>Plus Margin</t>
  </si>
  <si>
    <t>3 Bed</t>
  </si>
  <si>
    <t>Visitor Parking</t>
  </si>
  <si>
    <t>Retail Parking</t>
  </si>
  <si>
    <t>Submetering Reimbursement</t>
  </si>
  <si>
    <t>Rate</t>
  </si>
  <si>
    <t>Net Commercial Retail $/SF</t>
  </si>
  <si>
    <t>Vacancies (Commercial)</t>
  </si>
  <si>
    <t>% of Revenue</t>
  </si>
  <si>
    <t>Utilities (Common Area Only)</t>
  </si>
  <si>
    <t>General &amp; Admin</t>
  </si>
  <si>
    <t>Reserve for Asset Replacement</t>
  </si>
  <si>
    <t>The New Multi-Residential Tax Rate for Totoronto in 2025 is 0.754087%</t>
  </si>
  <si>
    <t>FOR INTERNAL USE</t>
  </si>
  <si>
    <t>PROFORMA ASSUMPTIONS</t>
  </si>
  <si>
    <t>Utilities</t>
  </si>
  <si>
    <t>Building GFA</t>
  </si>
  <si>
    <t>Avg Unit Size</t>
  </si>
  <si>
    <t>Retail Space</t>
  </si>
  <si>
    <t>Less Residential GFA</t>
  </si>
  <si>
    <t>Amenity Space</t>
  </si>
  <si>
    <t>Common Area GFA</t>
  </si>
  <si>
    <t>Total Annual Utilities</t>
  </si>
  <si>
    <t>Total Common Area $ PSF</t>
  </si>
  <si>
    <t>Total GFA $ PSF</t>
  </si>
  <si>
    <t>Rentable $ PSF</t>
  </si>
  <si>
    <t>MIN</t>
  </si>
  <si>
    <t>MAX</t>
  </si>
  <si>
    <t>Gas</t>
  </si>
  <si>
    <t>AVG PSF</t>
  </si>
  <si>
    <t>Peter Wyse (March 18, 2025)</t>
  </si>
  <si>
    <t>Gemini AI Estimate for 200 unit apartment in Ontario</t>
  </si>
  <si>
    <t>Lowest</t>
  </si>
  <si>
    <t>Highest</t>
  </si>
  <si>
    <t>AVG PER UNIT</t>
  </si>
  <si>
    <t>Input Estimate $ PSF Common Area</t>
  </si>
  <si>
    <t>Subject PSF Common Area</t>
  </si>
  <si>
    <t>Subject Per Unit (Rounded) Input for Proforma</t>
  </si>
  <si>
    <t>Subject Total Utilities</t>
  </si>
  <si>
    <t>Subject $ Gross SF</t>
  </si>
  <si>
    <t>Subject $ Rentable SF</t>
  </si>
  <si>
    <t>REPAIRS &amp; MAINTENANCE COSTS</t>
  </si>
  <si>
    <t>Per Unit Per Month</t>
  </si>
  <si>
    <t>Annual Cost</t>
  </si>
  <si>
    <t xml:space="preserve">Trash &amp; Recycling </t>
  </si>
  <si>
    <t>Pest Control</t>
  </si>
  <si>
    <t xml:space="preserve">Cleaning and Maintenance </t>
  </si>
  <si>
    <t>R&amp;M</t>
  </si>
  <si>
    <t>Per Unit Cost</t>
  </si>
  <si>
    <t>Low</t>
  </si>
  <si>
    <t>High</t>
  </si>
  <si>
    <t>AVG Per Unit</t>
  </si>
  <si>
    <t>ROUNDED</t>
  </si>
  <si>
    <t>CMHC R&amp;M Benchmarks</t>
  </si>
  <si>
    <t>ADJUST BASED ON TYPE/LOCATION</t>
  </si>
  <si>
    <t>CMHC Benchmark (inflated to 2025)</t>
  </si>
  <si>
    <t>CMHC Update (Concrete)</t>
  </si>
  <si>
    <t>STAFFING</t>
  </si>
  <si>
    <t># Positions</t>
  </si>
  <si>
    <t>Annual Hrs</t>
  </si>
  <si>
    <t>Security</t>
  </si>
  <si>
    <t>Includes 25% benefits</t>
  </si>
  <si>
    <t>Maintenance</t>
  </si>
  <si>
    <t>Concierge/Programming</t>
  </si>
  <si>
    <t>Building Mgr</t>
  </si>
  <si>
    <t>Leasing</t>
  </si>
  <si>
    <t>Staffing</t>
  </si>
  <si>
    <t>TOTAL PAYROLL</t>
  </si>
  <si>
    <t>SVN</t>
  </si>
  <si>
    <t>Staffing Cost Per Unit</t>
  </si>
  <si>
    <t>CMHC Staffing Benchmarks</t>
  </si>
  <si>
    <t>Use SVN - may include Mgmt staff</t>
  </si>
  <si>
    <t>INSURANCE</t>
  </si>
  <si>
    <t>AVG Cost</t>
  </si>
  <si>
    <t>Compare Marketing and Other Misc Costs to:</t>
  </si>
  <si>
    <t>MARKETING</t>
  </si>
  <si>
    <t>OTHER COSTS (CMHC Benchmark)</t>
  </si>
  <si>
    <t>CMHC</t>
  </si>
  <si>
    <t>GENERAL &amp; ADMIN</t>
  </si>
  <si>
    <t>PROPERTY TAX ASSUMPTIONS</t>
  </si>
  <si>
    <t>Est Value per Unit</t>
  </si>
  <si>
    <t>% Value for Property Tax Assumption</t>
  </si>
  <si>
    <t>Input # into Model</t>
  </si>
  <si>
    <t>AVG</t>
  </si>
  <si>
    <t>RESERVE FOR ASSET REPLACEMENT</t>
  </si>
  <si>
    <t xml:space="preserve"># </t>
  </si>
  <si>
    <t>Annual</t>
  </si>
  <si>
    <t>(Old and New properties)</t>
  </si>
  <si>
    <t>Appliance</t>
  </si>
  <si>
    <t>Based on Gemini (200 units, ON)</t>
  </si>
  <si>
    <t>Heat Pump</t>
  </si>
  <si>
    <t>Elevator</t>
  </si>
  <si>
    <t>Elite Developments</t>
  </si>
  <si>
    <t>Comparisons by Ryan Tax</t>
  </si>
  <si>
    <t>148 Niagara St., St. Catherines</t>
  </si>
  <si>
    <t>Rounded</t>
  </si>
  <si>
    <t>Fourth Avenue, St. Catharines</t>
  </si>
  <si>
    <t>Rymal, Hamilton</t>
  </si>
  <si>
    <t>570 Upper, Hamilton</t>
  </si>
  <si>
    <t>60 Market, Brantford</t>
  </si>
  <si>
    <t>120 Meridan, Pelham</t>
  </si>
  <si>
    <t>Islington, Vaughan</t>
  </si>
  <si>
    <t>AREA SCHEDULE</t>
  </si>
  <si>
    <t>2240 Birchmount Road, Scarborough, Ontario</t>
  </si>
  <si>
    <t>#</t>
  </si>
  <si>
    <t>Description</t>
  </si>
  <si>
    <t>Quantity</t>
  </si>
  <si>
    <t>Unit Area (SF)</t>
  </si>
  <si>
    <t>Total Area (SF)</t>
  </si>
  <si>
    <t>Notes</t>
  </si>
  <si>
    <t>1</t>
  </si>
  <si>
    <t>RESIDENTIAL AREAS</t>
  </si>
  <si>
    <t>1.1</t>
  </si>
  <si>
    <t>Residential Units</t>
  </si>
  <si>
    <t xml:space="preserve">  1 Bedroom Units</t>
  </si>
  <si>
    <t>49% of total units</t>
  </si>
  <si>
    <t xml:space="preserve">  2 Bedroom Units</t>
  </si>
  <si>
    <t>40% of total units</t>
  </si>
  <si>
    <t xml:space="preserve">  3 Bedroom Units</t>
  </si>
  <si>
    <t>11% of total units</t>
  </si>
  <si>
    <t xml:space="preserve">  Total Residential Units</t>
  </si>
  <si>
    <t>Net Rentable Area</t>
  </si>
  <si>
    <t>2</t>
  </si>
  <si>
    <t>AMENITY &amp; COMMON AREAS</t>
  </si>
  <si>
    <t>2.1</t>
  </si>
  <si>
    <t>Resident Amenities</t>
  </si>
  <si>
    <t xml:space="preserve">  Fitness Centre</t>
  </si>
  <si>
    <t>Cardio &amp; weights</t>
  </si>
  <si>
    <t xml:space="preserve">  Multi-Purpose/Party Room</t>
  </si>
  <si>
    <t>Events &amp; gatherings</t>
  </si>
  <si>
    <t xml:space="preserve">  Co-Working Space</t>
  </si>
  <si>
    <t>Work from home area</t>
  </si>
  <si>
    <t xml:space="preserve">  Games/Lounge Area</t>
  </si>
  <si>
    <t>Recreation space</t>
  </si>
  <si>
    <t xml:space="preserve">  Outdoor Terrace/BBQ Area</t>
  </si>
  <si>
    <t>Rooftop or ground level</t>
  </si>
  <si>
    <t xml:space="preserve">  Total Amenity Space</t>
  </si>
  <si>
    <t>As per proforma</t>
  </si>
  <si>
    <t>2.2</t>
  </si>
  <si>
    <t>Building Common Areas</t>
  </si>
  <si>
    <t xml:space="preserve">  Main Lobby</t>
  </si>
  <si>
    <t>With concierge desk</t>
  </si>
  <si>
    <t xml:space="preserve">  Corridors &amp; Hallways</t>
  </si>
  <si>
    <t>Per unit average</t>
  </si>
  <si>
    <t xml:space="preserve">  Elevator Lobbies</t>
  </si>
  <si>
    <t>Per floor (15 floors)</t>
  </si>
  <si>
    <t xml:space="preserve">  Stairwells (2)</t>
  </si>
  <si>
    <t>Exit stairs</t>
  </si>
  <si>
    <t xml:space="preserve">  Elevators (3)</t>
  </si>
  <si>
    <t>Passenger elevators</t>
  </si>
  <si>
    <t xml:space="preserve">  Mail/Parcel Room</t>
  </si>
  <si>
    <t>Package lockers</t>
  </si>
  <si>
    <t xml:space="preserve">  Garbage/Recycling Rooms</t>
  </si>
  <si>
    <t>Per floor grouping</t>
  </si>
  <si>
    <t xml:space="preserve">  Electrical/Mechanical Rooms</t>
  </si>
  <si>
    <t>Service rooms</t>
  </si>
  <si>
    <t xml:space="preserve">  Storage Lockers</t>
  </si>
  <si>
    <t>Resident storage</t>
  </si>
  <si>
    <t xml:space="preserve">  Janitor/Housekeeping Closets</t>
  </si>
  <si>
    <t xml:space="preserve">  Total Common Areas</t>
  </si>
  <si>
    <t>3</t>
  </si>
  <si>
    <t>COMMERCIAL AREAS</t>
  </si>
  <si>
    <t xml:space="preserve">  Ground Floor Retail</t>
  </si>
  <si>
    <t>Net leasable area</t>
  </si>
  <si>
    <t>4</t>
  </si>
  <si>
    <t>PARKING &amp; BACK OF HOUSE</t>
  </si>
  <si>
    <t>4.1</t>
  </si>
  <si>
    <t xml:space="preserve">  Underground Parking</t>
  </si>
  <si>
    <t>Resident parking</t>
  </si>
  <si>
    <t xml:space="preserve">  Visitor Parking</t>
  </si>
  <si>
    <t>Surface/underground</t>
  </si>
  <si>
    <t xml:space="preserve">  Retail Parking</t>
  </si>
  <si>
    <t>Dedicated retail</t>
  </si>
  <si>
    <t xml:space="preserve">  Total Parking Area</t>
  </si>
  <si>
    <t>4.2</t>
  </si>
  <si>
    <t>Back of House</t>
  </si>
  <si>
    <t xml:space="preserve">  Loading Dock</t>
  </si>
  <si>
    <t>Service area</t>
  </si>
  <si>
    <t xml:space="preserve">  Building Management Office</t>
  </si>
  <si>
    <t>Admin space</t>
  </si>
  <si>
    <t xml:space="preserve">  Security Office</t>
  </si>
  <si>
    <t>Monitoring station</t>
  </si>
  <si>
    <t xml:space="preserve">  Maintenance Workshop</t>
  </si>
  <si>
    <t>Tools &amp; supplies</t>
  </si>
  <si>
    <t xml:space="preserve">  Mechanical Penthouse</t>
  </si>
  <si>
    <t>HVAC equipment</t>
  </si>
  <si>
    <t xml:space="preserve">  Total Back of House</t>
  </si>
  <si>
    <t>BUILDING SUMMARY</t>
  </si>
  <si>
    <t xml:space="preserve">  Net Residential Area</t>
  </si>
  <si>
    <t>From proforma</t>
  </si>
  <si>
    <t>Calculated to match GFA</t>
  </si>
  <si>
    <t xml:space="preserve">  Commercial/Retail Area</t>
  </si>
  <si>
    <t xml:space="preserve">  Parking Area (below grade)</t>
  </si>
  <si>
    <t>Not included in GFA</t>
  </si>
  <si>
    <t xml:space="preserve">  Back of House Area</t>
  </si>
  <si>
    <t xml:space="preserve">  TOTAL GROSS FLOOR AREA (GFA)</t>
  </si>
  <si>
    <t>Calculated total</t>
  </si>
  <si>
    <t>VERIFICATION</t>
  </si>
  <si>
    <t xml:space="preserve">  Target GFA (from proforma)</t>
  </si>
  <si>
    <t>Reference</t>
  </si>
  <si>
    <t xml:space="preserve">  Calculated GFA</t>
  </si>
  <si>
    <t>From schedule above</t>
  </si>
  <si>
    <t xml:space="preserve">  Variance</t>
  </si>
  <si>
    <t>Should be minimal</t>
  </si>
  <si>
    <t>2240 Birchmount Road, Scarborough, ON</t>
  </si>
  <si>
    <t># Spaces</t>
  </si>
  <si>
    <t>Annual/Unit</t>
  </si>
  <si>
    <t>Monthly/Res Unit</t>
  </si>
  <si>
    <t>Annual/Res Unit</t>
  </si>
  <si>
    <t>Commercial / Retail</t>
  </si>
  <si>
    <t>Vacancies (Rent &amp; Others)</t>
  </si>
  <si>
    <t>stall per Res unit</t>
  </si>
  <si>
    <t>Property Taxes (Municipal Rate)*</t>
  </si>
  <si>
    <t>per sqft average res revenue</t>
  </si>
  <si>
    <t>2. Building Area Schedule Summary</t>
  </si>
  <si>
    <t xml:space="preserve">PSF of </t>
  </si>
  <si>
    <t>GFA</t>
  </si>
  <si>
    <t>Altus Cost/SF</t>
  </si>
  <si>
    <t>Building Number of Floors</t>
  </si>
  <si>
    <t>Res No. of Units</t>
  </si>
  <si>
    <t>TBC</t>
  </si>
  <si>
    <t>Parking (below grade)</t>
  </si>
  <si>
    <t>SF</t>
  </si>
  <si>
    <t>Average</t>
  </si>
  <si>
    <t>Hard Cost - Proforma</t>
  </si>
  <si>
    <t>Difference</t>
  </si>
  <si>
    <t># of units</t>
  </si>
  <si>
    <t>DC/Unit</t>
  </si>
  <si>
    <t>Permits Cost - Proforma</t>
  </si>
  <si>
    <t>Total Potential Gross Revenue (including parking &amp; storage)</t>
  </si>
  <si>
    <t xml:space="preserve">     Contingency (% of HC)</t>
  </si>
  <si>
    <t>Professional Fees (% of HC)</t>
  </si>
  <si>
    <t>Prof Fees Contingency (% of Prof Fees)</t>
  </si>
  <si>
    <t xml:space="preserve">     Closing &amp; Contingency (% of Land)</t>
  </si>
  <si>
    <t>Development Management (% of HC/PF)</t>
  </si>
  <si>
    <t>Dev Cost High Level</t>
  </si>
  <si>
    <t>Ok if below 1%</t>
  </si>
  <si>
    <t>Project's Equity IRR if Sold on Completion</t>
  </si>
  <si>
    <t>Project's Return on Cost if sold on completion</t>
  </si>
  <si>
    <t>Acceptable</t>
  </si>
  <si>
    <t>Project's Development Yield</t>
  </si>
  <si>
    <t>Cap Rate</t>
  </si>
  <si>
    <t>Spread</t>
  </si>
  <si>
    <t>Over 1% is better</t>
  </si>
  <si>
    <t xml:space="preserve">Numbers on </t>
  </si>
  <si>
    <t>Completion</t>
  </si>
  <si>
    <t>% of Value</t>
  </si>
  <si>
    <t>on Compl</t>
  </si>
  <si>
    <t>Running</t>
  </si>
  <si>
    <t>Rentable/SF</t>
  </si>
  <si>
    <t>*</t>
  </si>
  <si>
    <t>* Net Res Rentable PSF</t>
  </si>
  <si>
    <t>Res Rentable</t>
  </si>
  <si>
    <t>Hard Cost Calc</t>
  </si>
  <si>
    <t>Net Development Cost Model</t>
  </si>
  <si>
    <t>Land Cost in the model is based on, as  :</t>
  </si>
  <si>
    <t>of Development Cost assuming the land is not purchased.</t>
  </si>
  <si>
    <t>Actual Purchase Cost of Land on hand</t>
  </si>
  <si>
    <t>on completion. If the builder wants to hold then the DCs are payable in 6 installments,</t>
  </si>
  <si>
    <t>with exception of some component of the charges.</t>
  </si>
  <si>
    <t>Development Charges Calc**</t>
  </si>
  <si>
    <t>** Note: since model is mainly merchant builder the DCs are assumed paid in full</t>
  </si>
  <si>
    <t xml:space="preserve">If the land is not already purchased, then in this model Land cost is determined as a resdidual value based  </t>
  </si>
  <si>
    <t>on the desired profit based on today's project value at the cap rate input into the model.</t>
  </si>
  <si>
    <t>…..................</t>
  </si>
  <si>
    <t>Acceptable (good if 20%~)</t>
  </si>
  <si>
    <t>Cap Rate running</t>
  </si>
  <si>
    <t>Equity IRR, if sold upon stabilization</t>
  </si>
  <si>
    <t>Profit (bef commission)</t>
  </si>
  <si>
    <t>Note 1: Double check the Total Debt Ratio from DCF page.</t>
  </si>
  <si>
    <t>CMHC Permanent Take-Out Loan Assumptions</t>
  </si>
  <si>
    <t>CMHC Premium Cost</t>
  </si>
  <si>
    <t>CMHC - MLI Select Program :</t>
  </si>
  <si>
    <t>Loan to Value Ratio</t>
  </si>
  <si>
    <t>DSCR</t>
  </si>
  <si>
    <t>Amortization</t>
  </si>
  <si>
    <t>Years, can go higher</t>
  </si>
  <si>
    <t>Interest Rate</t>
  </si>
  <si>
    <t>CMHC Premium Amount</t>
  </si>
  <si>
    <t>DSCR Check from Year</t>
  </si>
  <si>
    <t>Value @ Cap Rate Running</t>
  </si>
  <si>
    <t>LTV Ratio</t>
  </si>
  <si>
    <t>Loan Amount</t>
  </si>
  <si>
    <t xml:space="preserve">Merchant Builder </t>
  </si>
  <si>
    <t>Merchant Builder</t>
  </si>
  <si>
    <t>Investment Hold</t>
  </si>
  <si>
    <t>Project's 10 Year Equity IRR</t>
  </si>
  <si>
    <t>3. Land Assumption / KPIs Check</t>
  </si>
  <si>
    <t>A</t>
  </si>
  <si>
    <t>B</t>
  </si>
  <si>
    <t>C</t>
  </si>
  <si>
    <t>D</t>
  </si>
  <si>
    <t>E</t>
  </si>
  <si>
    <t>F</t>
  </si>
  <si>
    <t>G</t>
  </si>
  <si>
    <t>H</t>
  </si>
  <si>
    <t>I</t>
  </si>
  <si>
    <t>Development Financing Assumptions</t>
  </si>
  <si>
    <t>Interest Cost &amp; Fees</t>
  </si>
  <si>
    <t>Merchant Builder IRR if sold upon stabilization</t>
  </si>
  <si>
    <t>Apartment Development Model 
Reverse 1B</t>
  </si>
  <si>
    <t>Merchant Builder Return on Cost</t>
  </si>
  <si>
    <t>DEBT STACK &amp; FINANCING ASSUMPTIONS</t>
  </si>
  <si>
    <t>Estimated Stabilized Value - Today</t>
  </si>
  <si>
    <t>Net Operating Income @ Stabilization at Completion</t>
  </si>
  <si>
    <t>NOI at stabilization after completion</t>
  </si>
  <si>
    <t>Sensitize Rent - S2</t>
  </si>
  <si>
    <t>Sensitize Op Cost - S2</t>
  </si>
  <si>
    <t>HEADLINE NUMBERS - SENSITIVITY 2 TEST</t>
  </si>
  <si>
    <t>SENSITIVITY 2 TEST</t>
  </si>
  <si>
    <t xml:space="preserve">This is mainlyl for Sheet 15 where the headline numbers are compared against current running case </t>
  </si>
  <si>
    <t>versus when one of the above variables are tested for sensitivity.</t>
  </si>
  <si>
    <t>No HST under Self Supply except for Quebec where QST applies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</si>
</sst>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44" formatCode="_-&quot;$&quot;* #,##0.00_-;\-&quot;$&quot;* #,##0.00_-;_-&quot;$&quot;* &quot;-&quot;??_-;_-@_-"/>
    <numFmt numFmtId="43" formatCode="_-* #,##0.00_-;\-* #,##0.00_-;_-* &quot;-&quot;??_-;_-@_-"/>
    <numFmt numFmtId="164" formatCode="_(* #,##0.00_);_(* \(#,##0.00\);_(* &quot;-&quot;??_);_(@_)"/>
    <numFmt numFmtId="165" formatCode="[$-F800]dddd\,\ mmmm\ dd\,\ yyyy"/>
    <numFmt numFmtId="166" formatCode="_-* #,##0_-;\-* #,##0_-;_-* &quot;-&quot;??_-;_-@_-"/>
    <numFmt numFmtId="167" formatCode="0\ &quot;Yrs&quot;"/>
    <numFmt numFmtId="168" formatCode="0.0%"/>
    <numFmt numFmtId="169" formatCode="_-* #,##0.0_-;\-* #,##0.0_-;_-* &quot;-&quot;??_-;_-@_-"/>
    <numFmt numFmtId="170" formatCode="&quot;$&quot;0\ &quot;/sqft&quot;"/>
    <numFmt numFmtId="171" formatCode="0\ &quot;stalls&quot;"/>
    <numFmt numFmtId="172" formatCode="_-&quot;$&quot;* #,##0_-;\-&quot;$&quot;* #,##0_-;_-&quot;$&quot;* &quot;-&quot;??_-;_-@_-"/>
    <numFmt numFmtId="173" formatCode="#,##0\ &quot;per unit&quot;"/>
    <numFmt numFmtId="174" formatCode="mmm\ yy"/>
    <numFmt numFmtId="175" formatCode="\ * _(#,##0_);* \(#,##0\);* _(&quot;-&quot;??_);_-@_-"/>
    <numFmt numFmtId="176" formatCode="\ * _(#,##0.0_);* \(#,##0.0\);* _(&quot;-&quot;??_);_-@_-"/>
    <numFmt numFmtId="177" formatCode="\ * _(#,##0.00_);* \(#,##0.00\);* _(&quot;-&quot;??_);_-@_-"/>
    <numFmt numFmtId="178" formatCode="\(0\)"/>
    <numFmt numFmtId="179" formatCode="0.000%"/>
    <numFmt numFmtId="180" formatCode="_(* #,##0_);_(* \(#,##0\);_(* &quot;-&quot;??_);_(@_)"/>
    <numFmt numFmtId="181" formatCode="#,##0;\(#,##0\)"/>
    <numFmt numFmtId="182" formatCode="_-* #,##0.00000_-;\-* #,##0.00000_-;_-* &quot;-&quot;??_-;_-@_-"/>
    <numFmt numFmtId="183" formatCode="_(* #,##0.0_);_(* \(#,##0.0\);_(* &quot;-&quot;??_);_(@_)"/>
    <numFmt numFmtId="184" formatCode="_-* #,##0.000_-;\-* #,##0.000_-;_-* &quot;-&quot;??_-;_-@_-"/>
    <numFmt numFmtId="185" formatCode="0.000"/>
    <numFmt numFmtId="186" formatCode="_(&quot;$&quot;* #,##0_);_(&quot;$&quot;* \(#,##0\);_(&quot;$&quot;* &quot;-&quot;??_);_(@_)"/>
    <numFmt numFmtId="187" formatCode="_(&quot;$&quot;* #,##0.00_);_(&quot;$&quot;* \(#,##0.00\);_(&quot;$&quot;* &quot;-&quot;??_);_(@_)"/>
    <numFmt numFmtId="188" formatCode="&quot;$&quot;#,##0"/>
    <numFmt numFmtId="189" formatCode="_-&quot;$&quot;* #,##0.0000_-;\-&quot;$&quot;* #,##0.0000_-;_-&quot;$&quot;* &quot;-&quot;??_-;_-@_-"/>
    <numFmt numFmtId="190" formatCode="&quot;$&quot;#,##0_);[Red]\(&quot;$&quot;#,##0\)"/>
    <numFmt numFmtId="191" formatCode="&quot;$&quot;#,##0.00"/>
    <numFmt numFmtId="192" formatCode="0.000000%"/>
    <numFmt numFmtId="193" formatCode="_-[$$-409]* #,##0.00_ ;_-[$$-409]* \-#,##0.00\ ;_-[$$-409]* &quot;-&quot;_ ;_-@_ "/>
    <numFmt numFmtId="194" formatCode="_-[$$-1009]* #,##0.00_-;\-[$$-1009]* #,##0.00_-;_-[$$-1009]* &quot;-&quot;??_-;_-@_-"/>
    <numFmt numFmtId="195" formatCode="&quot;$&quot;#,##0.00_);[Red]\(&quot;$&quot;#,##0.00\)"/>
  </numFmts>
  <fonts count="111" x14ac:knownFonts="1">
    <font>
      <sz val="11"/>
      <color theme="1"/>
      <name val="Calibri"/>
      <family val="2"/>
      <scheme val="minor"/>
    </font>
    <font>
      <b/>
      <sz val="11"/>
      <color theme="1"/>
      <name val="Calibri"/>
      <family val="2"/>
      <scheme val="minor"/>
    </font>
    <font>
      <b/>
      <sz val="14"/>
      <color theme="1"/>
      <name val="Calibri"/>
      <family val="2"/>
      <scheme val="minor"/>
    </font>
    <font>
      <b/>
      <u/>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1"/>
      <color theme="4" tint="-0.249977111117893"/>
      <name val="Calibri"/>
      <family val="2"/>
      <scheme val="minor"/>
    </font>
    <font>
      <sz val="11"/>
      <color rgb="FF0070C0"/>
      <name val="Calibri"/>
      <family val="2"/>
      <scheme val="minor"/>
    </font>
    <font>
      <sz val="11"/>
      <name val="Calibri"/>
      <family val="2"/>
      <scheme val="minor"/>
    </font>
    <font>
      <b/>
      <sz val="18"/>
      <color theme="4" tint="-0.249977111117893"/>
      <name val="Calibri"/>
      <family val="2"/>
      <scheme val="minor"/>
    </font>
    <font>
      <u/>
      <sz val="11"/>
      <name val="Calibri"/>
      <family val="2"/>
      <scheme val="minor"/>
    </font>
    <font>
      <b/>
      <sz val="11"/>
      <name val="Calibri"/>
      <family val="2"/>
      <scheme val="minor"/>
    </font>
    <font>
      <b/>
      <sz val="11"/>
      <color rgb="FF0070C0"/>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9"/>
      <name val="Arial"/>
      <family val="2"/>
    </font>
    <font>
      <b/>
      <sz val="9"/>
      <color theme="0"/>
      <name val="Calibri"/>
      <family val="2"/>
      <scheme val="minor"/>
    </font>
    <font>
      <sz val="9"/>
      <color theme="0"/>
      <name val="Calibri"/>
      <family val="2"/>
      <scheme val="minor"/>
    </font>
    <font>
      <i/>
      <sz val="9"/>
      <color theme="1"/>
      <name val="Calibri"/>
      <family val="2"/>
      <scheme val="minor"/>
    </font>
    <font>
      <b/>
      <sz val="10"/>
      <color theme="0"/>
      <name val="Calibri"/>
      <family val="2"/>
      <scheme val="minor"/>
    </font>
    <font>
      <u/>
      <sz val="9"/>
      <color theme="1"/>
      <name val="Calibri"/>
      <family val="2"/>
      <scheme val="minor"/>
    </font>
    <font>
      <sz val="8"/>
      <color theme="1"/>
      <name val="Calibri"/>
      <family val="2"/>
      <scheme val="minor"/>
    </font>
    <font>
      <b/>
      <sz val="8"/>
      <color theme="1"/>
      <name val="Calibri"/>
      <family val="2"/>
      <scheme val="minor"/>
    </font>
    <font>
      <sz val="10"/>
      <color rgb="FF0070C0"/>
      <name val="Calibri"/>
      <family val="2"/>
      <scheme val="minor"/>
    </font>
    <font>
      <sz val="10"/>
      <name val="Calibri"/>
      <family val="2"/>
      <scheme val="minor"/>
    </font>
    <font>
      <u/>
      <sz val="10"/>
      <name val="Calibri"/>
      <family val="2"/>
      <scheme val="minor"/>
    </font>
    <font>
      <sz val="9"/>
      <color rgb="FF0070C0"/>
      <name val="Calibri"/>
      <family val="2"/>
      <scheme val="minor"/>
    </font>
    <font>
      <i/>
      <sz val="9"/>
      <color theme="0"/>
      <name val="Calibri"/>
      <family val="2"/>
      <scheme val="minor"/>
    </font>
    <font>
      <i/>
      <sz val="8"/>
      <color theme="1"/>
      <name val="Calibri"/>
      <family val="2"/>
      <scheme val="minor"/>
    </font>
    <font>
      <sz val="8"/>
      <color rgb="FF0070C0"/>
      <name val="Calibri"/>
      <family val="2"/>
      <scheme val="minor"/>
    </font>
    <font>
      <sz val="10"/>
      <color theme="0"/>
      <name val="Calibri"/>
      <family val="2"/>
      <scheme val="minor"/>
    </font>
    <font>
      <u/>
      <sz val="10"/>
      <color theme="1"/>
      <name val="Calibri"/>
      <family val="2"/>
      <scheme val="minor"/>
    </font>
    <font>
      <b/>
      <sz val="10"/>
      <name val="Calibri"/>
      <family val="2"/>
      <scheme val="minor"/>
    </font>
    <font>
      <i/>
      <sz val="10"/>
      <color theme="1"/>
      <name val="Calibri"/>
      <family val="2"/>
      <scheme val="minor"/>
    </font>
    <font>
      <i/>
      <sz val="11"/>
      <color theme="1"/>
      <name val="Calibri"/>
      <family val="2"/>
      <scheme val="minor"/>
    </font>
    <font>
      <sz val="8"/>
      <color theme="0"/>
      <name val="Calibri"/>
      <family val="2"/>
      <scheme val="minor"/>
    </font>
    <font>
      <sz val="8"/>
      <name val="Calibri"/>
      <family val="2"/>
      <scheme val="minor"/>
    </font>
    <font>
      <b/>
      <u/>
      <sz val="8"/>
      <color theme="1"/>
      <name val="Calibri"/>
      <family val="2"/>
      <scheme val="minor"/>
    </font>
    <font>
      <b/>
      <sz val="8"/>
      <color theme="0"/>
      <name val="Calibri"/>
      <family val="2"/>
      <scheme val="minor"/>
    </font>
    <font>
      <i/>
      <sz val="8"/>
      <color theme="0"/>
      <name val="Calibri"/>
      <family val="2"/>
      <scheme val="minor"/>
    </font>
    <font>
      <sz val="9"/>
      <color rgb="FF00B050"/>
      <name val="Calibri"/>
      <family val="2"/>
      <scheme val="minor"/>
    </font>
    <font>
      <sz val="11"/>
      <color rgb="FFFF0000"/>
      <name val="Calibri"/>
      <family val="2"/>
      <scheme val="minor"/>
    </font>
    <font>
      <sz val="10"/>
      <color rgb="FFFF0000"/>
      <name val="Calibri"/>
      <family val="2"/>
      <scheme val="minor"/>
    </font>
    <font>
      <b/>
      <sz val="12"/>
      <color theme="1"/>
      <name val="Calibri"/>
      <family val="2"/>
      <scheme val="minor"/>
    </font>
    <font>
      <sz val="11"/>
      <color indexed="8"/>
      <name val="Calibri"/>
      <family val="2"/>
    </font>
    <font>
      <sz val="9"/>
      <color rgb="FFFF0000"/>
      <name val="Calibri"/>
      <family val="2"/>
      <scheme val="minor"/>
    </font>
    <font>
      <b/>
      <sz val="12"/>
      <color theme="0"/>
      <name val="Calibri"/>
      <family val="2"/>
      <scheme val="minor"/>
    </font>
    <font>
      <b/>
      <i/>
      <sz val="9"/>
      <color theme="1"/>
      <name val="Calibri"/>
      <family val="2"/>
      <scheme val="minor"/>
    </font>
    <font>
      <b/>
      <sz val="11"/>
      <color theme="4" tint="-0.249977111117893"/>
      <name val="Calibri"/>
      <family val="2"/>
      <scheme val="minor"/>
    </font>
    <font>
      <sz val="10"/>
      <name val="Arial"/>
      <family val="2"/>
    </font>
    <font>
      <sz val="10"/>
      <name val="Arial"/>
    </font>
    <font>
      <b/>
      <sz val="14"/>
      <name val="Calibri"/>
      <family val="2"/>
    </font>
    <font>
      <b/>
      <sz val="11"/>
      <name val="Calibri"/>
      <family val="2"/>
    </font>
    <font>
      <b/>
      <sz val="12"/>
      <name val="Calibri"/>
      <family val="2"/>
    </font>
    <font>
      <b/>
      <i/>
      <sz val="11"/>
      <name val="Calibri"/>
      <family val="2"/>
    </font>
    <font>
      <sz val="10"/>
      <name val="Open Sans"/>
      <family val="2"/>
      <charset val="1"/>
    </font>
    <font>
      <sz val="11"/>
      <name val="Open Sans"/>
      <family val="2"/>
      <charset val="1"/>
    </font>
    <font>
      <b/>
      <sz val="24"/>
      <color theme="1"/>
      <name val="Open Sans"/>
      <family val="2"/>
      <charset val="1"/>
    </font>
    <font>
      <b/>
      <sz val="11"/>
      <name val="Open Sans"/>
      <family val="2"/>
      <charset val="1"/>
    </font>
    <font>
      <b/>
      <sz val="13"/>
      <name val="Open Sans"/>
      <family val="2"/>
      <charset val="1"/>
    </font>
    <font>
      <sz val="10"/>
      <color theme="0"/>
      <name val="Open Sans"/>
      <family val="2"/>
      <charset val="1"/>
    </font>
    <font>
      <sz val="12"/>
      <color theme="1"/>
      <name val="Open Sans"/>
      <family val="2"/>
      <charset val="1"/>
    </font>
    <font>
      <sz val="12"/>
      <name val="Open Sans"/>
      <family val="2"/>
      <charset val="1"/>
    </font>
    <font>
      <b/>
      <sz val="12"/>
      <name val="Open Sans"/>
      <family val="2"/>
      <charset val="1"/>
    </font>
    <font>
      <sz val="13"/>
      <name val="Open Sans"/>
      <family val="2"/>
      <charset val="1"/>
    </font>
    <font>
      <i/>
      <sz val="13"/>
      <name val="Open Sans"/>
      <family val="2"/>
      <charset val="1"/>
    </font>
    <font>
      <sz val="13"/>
      <color theme="1"/>
      <name val="Open Sans"/>
      <family val="2"/>
      <charset val="1"/>
    </font>
    <font>
      <b/>
      <sz val="13"/>
      <color theme="1"/>
      <name val="Open Sans"/>
      <family val="2"/>
      <charset val="1"/>
    </font>
    <font>
      <sz val="13"/>
      <color rgb="FFFF0000"/>
      <name val="Open Sans"/>
      <family val="2"/>
      <charset val="1"/>
    </font>
    <font>
      <b/>
      <sz val="24"/>
      <name val="Open Sans"/>
      <family val="2"/>
      <charset val="1"/>
    </font>
    <font>
      <b/>
      <sz val="10"/>
      <name val="Open Sans"/>
      <family val="2"/>
      <charset val="1"/>
    </font>
    <font>
      <b/>
      <sz val="10"/>
      <color theme="0"/>
      <name val="Open Sans"/>
      <family val="2"/>
      <charset val="1"/>
    </font>
    <font>
      <sz val="10"/>
      <color theme="1"/>
      <name val="Open Sans"/>
      <family val="2"/>
      <charset val="1"/>
    </font>
    <font>
      <sz val="10"/>
      <color theme="4" tint="-0.249977111117893"/>
      <name val="Open Sans"/>
      <family val="2"/>
      <charset val="1"/>
    </font>
    <font>
      <b/>
      <sz val="13"/>
      <color rgb="FFFF0000"/>
      <name val="Open Sans"/>
      <family val="2"/>
      <charset val="1"/>
    </font>
    <font>
      <sz val="16"/>
      <name val="Open Sans"/>
      <family val="2"/>
      <charset val="1"/>
    </font>
    <font>
      <sz val="12"/>
      <color theme="4" tint="-0.249977111117893"/>
      <name val="Open Sans"/>
      <family val="2"/>
      <charset val="1"/>
    </font>
    <font>
      <sz val="9"/>
      <name val="Open Sans"/>
      <family val="2"/>
      <charset val="1"/>
    </font>
    <font>
      <b/>
      <sz val="14"/>
      <name val="Open Sans"/>
      <family val="2"/>
      <charset val="1"/>
    </font>
    <font>
      <b/>
      <sz val="10"/>
      <color rgb="FF0070C0"/>
      <name val="Open Sans"/>
      <family val="2"/>
      <charset val="1"/>
    </font>
    <font>
      <b/>
      <u/>
      <sz val="10"/>
      <color theme="4" tint="-0.249977111117893"/>
      <name val="Open Sans"/>
      <family val="2"/>
      <charset val="1"/>
    </font>
    <font>
      <i/>
      <sz val="10"/>
      <name val="Open Sans"/>
      <family val="2"/>
      <charset val="1"/>
    </font>
    <font>
      <b/>
      <sz val="10"/>
      <color rgb="FFFF0000"/>
      <name val="Open Sans"/>
      <family val="2"/>
      <charset val="1"/>
    </font>
    <font>
      <b/>
      <i/>
      <sz val="10"/>
      <color rgb="FFFF0000"/>
      <name val="Open Sans"/>
      <family val="2"/>
      <charset val="1"/>
    </font>
    <font>
      <b/>
      <sz val="10"/>
      <color theme="1"/>
      <name val="Open Sans"/>
      <family val="2"/>
      <charset val="1"/>
    </font>
    <font>
      <b/>
      <sz val="9"/>
      <color theme="1"/>
      <name val="Open Sans"/>
      <family val="2"/>
      <charset val="1"/>
    </font>
    <font>
      <b/>
      <sz val="9"/>
      <name val="Open Sans"/>
      <family val="2"/>
      <charset val="1"/>
    </font>
    <font>
      <b/>
      <sz val="10"/>
      <color theme="4" tint="-0.249977111117893"/>
      <name val="Open Sans"/>
      <family val="2"/>
      <charset val="1"/>
    </font>
    <font>
      <b/>
      <sz val="11"/>
      <color rgb="FFFF0000"/>
      <name val="Open Sans"/>
      <family val="2"/>
      <charset val="1"/>
    </font>
    <font>
      <b/>
      <sz val="10"/>
      <color theme="8"/>
      <name val="Open Sans"/>
      <family val="2"/>
      <charset val="1"/>
    </font>
    <font>
      <sz val="10"/>
      <color rgb="FFFF0000"/>
      <name val="Open Sans"/>
      <family val="2"/>
      <charset val="1"/>
    </font>
    <font>
      <b/>
      <sz val="9"/>
      <color theme="0"/>
      <name val="Open Sans"/>
      <family val="2"/>
      <charset val="1"/>
    </font>
    <font>
      <b/>
      <sz val="10"/>
      <color theme="4"/>
      <name val="Open Sans"/>
      <family val="2"/>
      <charset val="1"/>
    </font>
    <font>
      <u/>
      <sz val="10"/>
      <name val="Open Sans"/>
      <family val="2"/>
      <charset val="1"/>
    </font>
    <font>
      <sz val="10"/>
      <color indexed="8"/>
      <name val="Arial"/>
      <family val="2"/>
    </font>
    <font>
      <sz val="11"/>
      <color theme="1"/>
      <name val="Calibri"/>
      <family val="2"/>
      <charset val="1"/>
    </font>
    <font>
      <b/>
      <sz val="14"/>
      <name val="Arial"/>
      <charset val="1"/>
    </font>
    <font>
      <b/>
      <sz val="11"/>
      <name val="Arial"/>
      <charset val="1"/>
    </font>
    <font>
      <b/>
      <sz val="11"/>
      <color rgb="FFFFFFFF"/>
      <name val="Arial"/>
      <charset val="1"/>
    </font>
    <font>
      <b/>
      <sz val="10"/>
      <name val="Arial"/>
      <charset val="1"/>
    </font>
    <font>
      <sz val="10"/>
      <name val="Arial"/>
      <charset val="1"/>
    </font>
    <font>
      <u/>
      <sz val="9"/>
      <name val="Calibri"/>
      <family val="2"/>
      <scheme val="minor"/>
    </font>
    <font>
      <sz val="10"/>
      <color theme="4"/>
      <name val="Calibri"/>
      <family val="2"/>
      <scheme val="minor"/>
    </font>
    <font>
      <b/>
      <i/>
      <sz val="10"/>
      <color theme="1"/>
      <name val="Calibri"/>
      <family val="2"/>
      <scheme val="minor"/>
    </font>
    <font>
      <sz val="13"/>
      <color theme="4"/>
      <name val="Open Sans"/>
      <family val="2"/>
      <charset val="1"/>
    </font>
    <font>
      <b/>
      <sz val="11"/>
      <color theme="8"/>
      <name val="Calibri"/>
      <family val="2"/>
      <scheme val="minor"/>
    </font>
    <font>
      <sz val="11"/>
      <color theme="8"/>
      <name val="Calibri"/>
      <family val="2"/>
      <scheme val="minor"/>
    </font>
    <font>
      <u/>
      <sz val="11"/>
      <color theme="1"/>
      <name val="Calibri"/>
      <family val="2"/>
      <scheme val="minor"/>
    </font>
  </fonts>
  <fills count="25">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59999389629810485"/>
        <bgColor indexed="64"/>
      </patternFill>
    </fill>
    <fill>
      <patternFill patternType="solid">
        <fgColor rgb="FFD3D3D3"/>
        <bgColor rgb="FFD3D3D3"/>
      </patternFill>
    </fill>
    <fill>
      <patternFill patternType="solid">
        <fgColor rgb="FFFFFF00"/>
        <bgColor rgb="FFD3D3D3"/>
      </patternFill>
    </fill>
    <fill>
      <patternFill patternType="solid">
        <fgColor rgb="FFFFFF00"/>
        <bgColor rgb="FFE6E6E6"/>
      </patternFill>
    </fill>
    <fill>
      <patternFill patternType="solid">
        <fgColor rgb="FFE6E6E6"/>
        <bgColor rgb="FFE6E6E6"/>
      </patternFill>
    </fill>
    <fill>
      <patternFill patternType="solid">
        <fgColor theme="5" tint="0.59999389629810485"/>
        <bgColor rgb="FFD3D3D3"/>
      </patternFill>
    </fill>
    <fill>
      <patternFill patternType="solid">
        <fgColor theme="5" tint="0.59999389629810485"/>
        <bgColor indexed="64"/>
      </patternFill>
    </fill>
    <fill>
      <patternFill patternType="solid">
        <fgColor theme="0" tint="-0.249977111117893"/>
        <bgColor indexed="64"/>
      </patternFill>
    </fill>
    <fill>
      <patternFill patternType="solid">
        <fgColor theme="1"/>
        <bgColor indexed="64"/>
      </patternFill>
    </fill>
    <fill>
      <patternFill patternType="solid">
        <fgColor rgb="FF366092"/>
        <bgColor rgb="FF333399"/>
      </patternFill>
    </fill>
    <fill>
      <patternFill patternType="solid">
        <fgColor rgb="FFD9E1F2"/>
        <bgColor rgb="FFCCFFFF"/>
      </patternFill>
    </fill>
    <fill>
      <patternFill patternType="solid">
        <fgColor rgb="FFFFF2CC"/>
        <bgColor rgb="FFFFFFFF"/>
      </patternFill>
    </fill>
    <fill>
      <patternFill patternType="solid">
        <fgColor theme="4" tint="0.79998168889431442"/>
        <bgColor indexed="64"/>
      </patternFill>
    </fill>
    <fill>
      <patternFill patternType="solid">
        <fgColor theme="3" tint="0.79998168889431442"/>
        <bgColor indexed="64"/>
      </patternFill>
    </fill>
    <fill>
      <patternFill patternType="solid">
        <fgColor theme="9" tint="0.39997558519241921"/>
        <bgColor indexed="64"/>
      </patternFill>
    </fill>
  </fills>
  <borders count="36">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13">
    <xf numFmtId="0" fontId="0" fillId="0" borderId="0"/>
    <xf numFmtId="43"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164" fontId="47" fillId="0" borderId="0" applyFont="0" applyFill="0" applyBorder="0" applyAlignment="0" applyProtection="0"/>
    <xf numFmtId="0" fontId="4" fillId="0" borderId="0"/>
    <xf numFmtId="0" fontId="52" fillId="0" borderId="0"/>
    <xf numFmtId="44" fontId="52" fillId="0" borderId="0" applyFont="0" applyFill="0" applyBorder="0" applyAlignment="0" applyProtection="0"/>
    <xf numFmtId="0" fontId="53" fillId="0" borderId="0"/>
    <xf numFmtId="9" fontId="53" fillId="0" borderId="0" applyFont="0" applyFill="0" applyBorder="0" applyAlignment="0" applyProtection="0"/>
    <xf numFmtId="164" fontId="53" fillId="0" borderId="0" applyFont="0" applyFill="0" applyBorder="0" applyAlignment="0" applyProtection="0"/>
    <xf numFmtId="187" fontId="53" fillId="0" borderId="0" applyFont="0" applyFill="0" applyBorder="0" applyAlignment="0" applyProtection="0"/>
    <xf numFmtId="0" fontId="98" fillId="0" borderId="0"/>
  </cellStyleXfs>
  <cellXfs count="973">
    <xf numFmtId="0" fontId="0" fillId="0" borderId="0" xfId="0"/>
    <xf numFmtId="0" fontId="0" fillId="0" borderId="1" xfId="0" applyBorder="1"/>
    <xf numFmtId="0" fontId="3" fillId="0" borderId="0" xfId="0" applyFont="1"/>
    <xf numFmtId="0" fontId="0" fillId="0" borderId="0" xfId="0" applyAlignment="1">
      <alignment horizontal="left" indent="2"/>
    </xf>
    <xf numFmtId="0" fontId="0" fillId="0" borderId="0" xfId="0" applyAlignment="1">
      <alignment horizontal="left" indent="3"/>
    </xf>
    <xf numFmtId="9" fontId="7" fillId="0" borderId="0" xfId="0" applyNumberFormat="1" applyFont="1"/>
    <xf numFmtId="0" fontId="5" fillId="2" borderId="0" xfId="0" applyFont="1" applyFill="1"/>
    <xf numFmtId="0" fontId="0" fillId="2" borderId="0" xfId="0" applyFill="1"/>
    <xf numFmtId="0" fontId="6" fillId="2" borderId="0" xfId="0" applyFont="1" applyFill="1"/>
    <xf numFmtId="0" fontId="3" fillId="0" borderId="0" xfId="0" applyFont="1" applyAlignment="1">
      <alignment horizontal="center"/>
    </xf>
    <xf numFmtId="0" fontId="1" fillId="0" borderId="0" xfId="0" applyFont="1" applyAlignment="1">
      <alignment horizontal="left" indent="2"/>
    </xf>
    <xf numFmtId="0" fontId="1" fillId="0" borderId="0" xfId="0" applyFont="1" applyAlignment="1">
      <alignment horizontal="left" indent="3"/>
    </xf>
    <xf numFmtId="166" fontId="8" fillId="0" borderId="0" xfId="1" applyNumberFormat="1" applyFont="1"/>
    <xf numFmtId="166" fontId="0" fillId="0" borderId="0" xfId="0" applyNumberFormat="1"/>
    <xf numFmtId="166" fontId="0" fillId="0" borderId="2" xfId="0" applyNumberFormat="1" applyBorder="1"/>
    <xf numFmtId="166" fontId="5" fillId="2" borderId="0" xfId="0" applyNumberFormat="1" applyFont="1" applyFill="1"/>
    <xf numFmtId="9" fontId="8" fillId="0" borderId="0" xfId="0" applyNumberFormat="1" applyFont="1"/>
    <xf numFmtId="0" fontId="0" fillId="0" borderId="2" xfId="0" applyBorder="1"/>
    <xf numFmtId="169" fontId="0" fillId="0" borderId="0" xfId="1" applyNumberFormat="1" applyFont="1"/>
    <xf numFmtId="166" fontId="0" fillId="0" borderId="0" xfId="1" applyNumberFormat="1" applyFont="1"/>
    <xf numFmtId="166" fontId="0" fillId="0" borderId="2" xfId="1" applyNumberFormat="1" applyFont="1" applyBorder="1"/>
    <xf numFmtId="169" fontId="0" fillId="0" borderId="0" xfId="0" applyNumberFormat="1"/>
    <xf numFmtId="169" fontId="0" fillId="0" borderId="2" xfId="1" applyNumberFormat="1" applyFont="1" applyBorder="1"/>
    <xf numFmtId="166" fontId="0" fillId="0" borderId="0" xfId="1" applyNumberFormat="1" applyFont="1" applyBorder="1"/>
    <xf numFmtId="169" fontId="0" fillId="0" borderId="0" xfId="1" applyNumberFormat="1" applyFont="1" applyBorder="1"/>
    <xf numFmtId="0" fontId="9" fillId="0" borderId="0" xfId="0" applyFont="1"/>
    <xf numFmtId="0" fontId="12" fillId="0" borderId="0" xfId="0" applyFont="1"/>
    <xf numFmtId="0" fontId="1" fillId="0" borderId="0" xfId="0" applyFont="1"/>
    <xf numFmtId="0" fontId="14" fillId="0" borderId="0" xfId="0" applyFont="1"/>
    <xf numFmtId="0" fontId="16" fillId="0" borderId="0" xfId="0" applyFont="1"/>
    <xf numFmtId="174" fontId="18" fillId="0" borderId="2" xfId="0" applyNumberFormat="1" applyFont="1" applyBorder="1" applyAlignment="1">
      <alignment horizontal="center"/>
    </xf>
    <xf numFmtId="0" fontId="17" fillId="0" borderId="0" xfId="0" applyFont="1"/>
    <xf numFmtId="166" fontId="16" fillId="0" borderId="0" xfId="1" applyNumberFormat="1" applyFont="1"/>
    <xf numFmtId="0" fontId="19" fillId="2" borderId="0" xfId="0" applyFont="1" applyFill="1"/>
    <xf numFmtId="0" fontId="20" fillId="2" borderId="0" xfId="0" applyFont="1" applyFill="1"/>
    <xf numFmtId="166" fontId="20" fillId="2" borderId="0" xfId="1" applyNumberFormat="1" applyFont="1" applyFill="1"/>
    <xf numFmtId="166" fontId="16" fillId="0" borderId="2" xfId="1" applyNumberFormat="1" applyFont="1" applyBorder="1"/>
    <xf numFmtId="0" fontId="16" fillId="0" borderId="2" xfId="0" applyFont="1" applyBorder="1"/>
    <xf numFmtId="166" fontId="16" fillId="0" borderId="0" xfId="0" applyNumberFormat="1" applyFont="1"/>
    <xf numFmtId="0" fontId="17" fillId="0" borderId="2" xfId="0" applyFont="1" applyBorder="1" applyAlignment="1">
      <alignment horizontal="center"/>
    </xf>
    <xf numFmtId="0" fontId="21" fillId="0" borderId="0" xfId="0" applyFont="1"/>
    <xf numFmtId="0" fontId="14" fillId="0" borderId="1" xfId="0" applyFont="1" applyBorder="1"/>
    <xf numFmtId="0" fontId="22" fillId="2" borderId="0" xfId="0" applyFont="1" applyFill="1"/>
    <xf numFmtId="0" fontId="23" fillId="0" borderId="0" xfId="0" applyFont="1"/>
    <xf numFmtId="0" fontId="23" fillId="0" borderId="0" xfId="0" applyFont="1" applyAlignment="1">
      <alignment horizontal="center"/>
    </xf>
    <xf numFmtId="0" fontId="16" fillId="0" borderId="0" xfId="0" applyFont="1" applyAlignment="1">
      <alignment horizontal="center"/>
    </xf>
    <xf numFmtId="9" fontId="16" fillId="0" borderId="0" xfId="0" applyNumberFormat="1" applyFont="1" applyAlignment="1">
      <alignment horizontal="center"/>
    </xf>
    <xf numFmtId="43" fontId="16" fillId="0" borderId="0" xfId="0" applyNumberFormat="1" applyFont="1"/>
    <xf numFmtId="0" fontId="16" fillId="0" borderId="2" xfId="0" applyFont="1" applyBorder="1" applyAlignment="1">
      <alignment horizontal="center"/>
    </xf>
    <xf numFmtId="9" fontId="16" fillId="0" borderId="2" xfId="0" applyNumberFormat="1" applyFont="1" applyBorder="1" applyAlignment="1">
      <alignment horizontal="center"/>
    </xf>
    <xf numFmtId="43" fontId="16" fillId="0" borderId="2" xfId="0" applyNumberFormat="1" applyFont="1" applyBorder="1"/>
    <xf numFmtId="0" fontId="16" fillId="0" borderId="3" xfId="0" applyFont="1" applyBorder="1"/>
    <xf numFmtId="166" fontId="16" fillId="0" borderId="3" xfId="1" applyNumberFormat="1" applyFont="1" applyBorder="1"/>
    <xf numFmtId="10" fontId="8" fillId="0" borderId="0" xfId="0" applyNumberFormat="1" applyFont="1"/>
    <xf numFmtId="166" fontId="12" fillId="0" borderId="0" xfId="1" applyNumberFormat="1" applyFont="1" applyFill="1"/>
    <xf numFmtId="168" fontId="12" fillId="0" borderId="0" xfId="2" applyNumberFormat="1" applyFont="1" applyFill="1"/>
    <xf numFmtId="10" fontId="12" fillId="0" borderId="0" xfId="2" applyNumberFormat="1" applyFont="1" applyFill="1"/>
    <xf numFmtId="168" fontId="8" fillId="0" borderId="0" xfId="0" applyNumberFormat="1" applyFont="1"/>
    <xf numFmtId="0" fontId="0" fillId="0" borderId="0" xfId="0" applyAlignment="1">
      <alignment horizontal="right"/>
    </xf>
    <xf numFmtId="0" fontId="25" fillId="0" borderId="0" xfId="0" applyFont="1" applyAlignment="1">
      <alignment horizontal="right"/>
    </xf>
    <xf numFmtId="0" fontId="26" fillId="0" borderId="0" xfId="0" applyFont="1" applyAlignment="1">
      <alignment horizontal="left" indent="2"/>
    </xf>
    <xf numFmtId="166" fontId="26" fillId="0" borderId="0" xfId="1" applyNumberFormat="1" applyFont="1" applyAlignment="1">
      <alignment horizontal="center"/>
    </xf>
    <xf numFmtId="9" fontId="14" fillId="0" borderId="0" xfId="2" applyFont="1" applyAlignment="1">
      <alignment horizontal="center"/>
    </xf>
    <xf numFmtId="166" fontId="14" fillId="0" borderId="0" xfId="0" applyNumberFormat="1" applyFont="1"/>
    <xf numFmtId="43" fontId="14" fillId="0" borderId="0" xfId="1" applyFont="1" applyAlignment="1">
      <alignment horizontal="center"/>
    </xf>
    <xf numFmtId="0" fontId="26" fillId="0" borderId="2" xfId="0" applyFont="1" applyBorder="1" applyAlignment="1">
      <alignment horizontal="left" indent="2"/>
    </xf>
    <xf numFmtId="0" fontId="14" fillId="0" borderId="2" xfId="0" applyFont="1" applyBorder="1"/>
    <xf numFmtId="0" fontId="26" fillId="0" borderId="2" xfId="0" applyFont="1" applyBorder="1" applyAlignment="1">
      <alignment horizontal="center"/>
    </xf>
    <xf numFmtId="166" fontId="26" fillId="0" borderId="2" xfId="1" applyNumberFormat="1" applyFont="1" applyBorder="1" applyAlignment="1">
      <alignment horizontal="center"/>
    </xf>
    <xf numFmtId="0" fontId="14" fillId="0" borderId="0" xfId="0" applyFont="1" applyAlignment="1">
      <alignment horizontal="left" indent="2"/>
    </xf>
    <xf numFmtId="9" fontId="14" fillId="0" borderId="0" xfId="2" applyFont="1"/>
    <xf numFmtId="0" fontId="14" fillId="0" borderId="2" xfId="0" applyFont="1" applyBorder="1" applyAlignment="1">
      <alignment horizontal="left" indent="2"/>
    </xf>
    <xf numFmtId="0" fontId="9" fillId="0" borderId="0" xfId="0" applyFont="1" applyAlignment="1">
      <alignment horizontal="center"/>
    </xf>
    <xf numFmtId="0" fontId="11" fillId="0" borderId="0" xfId="0" applyFont="1"/>
    <xf numFmtId="166" fontId="9" fillId="0" borderId="0" xfId="1" applyNumberFormat="1" applyFont="1" applyFill="1" applyBorder="1" applyAlignment="1">
      <alignment horizontal="center"/>
    </xf>
    <xf numFmtId="0" fontId="11" fillId="0" borderId="0" xfId="0" applyFont="1" applyAlignment="1">
      <alignment horizontal="center"/>
    </xf>
    <xf numFmtId="166" fontId="12" fillId="0" borderId="0" xfId="0" applyNumberFormat="1" applyFont="1"/>
    <xf numFmtId="0" fontId="9" fillId="0" borderId="0" xfId="0" applyFont="1" applyAlignment="1">
      <alignment horizontal="right"/>
    </xf>
    <xf numFmtId="43" fontId="9" fillId="0" borderId="0" xfId="1" applyFont="1" applyFill="1" applyBorder="1"/>
    <xf numFmtId="0" fontId="27" fillId="0" borderId="0" xfId="0" applyFont="1"/>
    <xf numFmtId="0" fontId="27" fillId="0" borderId="0" xfId="0" applyFont="1" applyAlignment="1">
      <alignment horizontal="left" indent="2"/>
    </xf>
    <xf numFmtId="166" fontId="27" fillId="0" borderId="0" xfId="0" applyNumberFormat="1" applyFont="1"/>
    <xf numFmtId="166" fontId="9" fillId="0" borderId="0" xfId="1" applyNumberFormat="1" applyFont="1" applyFill="1" applyBorder="1"/>
    <xf numFmtId="166" fontId="9" fillId="0" borderId="0" xfId="0" applyNumberFormat="1" applyFont="1"/>
    <xf numFmtId="0" fontId="9" fillId="0" borderId="0" xfId="0" applyFont="1" applyAlignment="1">
      <alignment horizontal="left"/>
    </xf>
    <xf numFmtId="170" fontId="9" fillId="0" borderId="0" xfId="0" applyNumberFormat="1" applyFont="1"/>
    <xf numFmtId="171" fontId="9" fillId="0" borderId="0" xfId="0" applyNumberFormat="1" applyFont="1"/>
    <xf numFmtId="166" fontId="27" fillId="0" borderId="0" xfId="1" applyNumberFormat="1" applyFont="1" applyFill="1" applyBorder="1"/>
    <xf numFmtId="9" fontId="27" fillId="0" borderId="0" xfId="2" applyFont="1" applyFill="1" applyBorder="1"/>
    <xf numFmtId="9" fontId="27" fillId="0" borderId="0" xfId="0" applyNumberFormat="1" applyFont="1"/>
    <xf numFmtId="9" fontId="9" fillId="0" borderId="0" xfId="2" applyFont="1" applyFill="1" applyBorder="1"/>
    <xf numFmtId="10" fontId="12" fillId="0" borderId="0" xfId="0" applyNumberFormat="1" applyFont="1"/>
    <xf numFmtId="0" fontId="12" fillId="0" borderId="0" xfId="0" applyFont="1" applyAlignment="1">
      <alignment horizontal="right"/>
    </xf>
    <xf numFmtId="0" fontId="9" fillId="0" borderId="0" xfId="0" applyFont="1" applyAlignment="1">
      <alignment horizontal="left" indent="2"/>
    </xf>
    <xf numFmtId="0" fontId="8" fillId="0" borderId="0" xfId="0" applyFont="1" applyAlignment="1">
      <alignment horizontal="center"/>
    </xf>
    <xf numFmtId="17" fontId="13" fillId="0" borderId="0" xfId="0" applyNumberFormat="1" applyFont="1"/>
    <xf numFmtId="0" fontId="12" fillId="0" borderId="2" xfId="0" applyFont="1" applyBorder="1"/>
    <xf numFmtId="17" fontId="9" fillId="0" borderId="0" xfId="0" applyNumberFormat="1" applyFont="1" applyAlignment="1">
      <alignment horizontal="center"/>
    </xf>
    <xf numFmtId="17" fontId="16" fillId="0" borderId="0" xfId="0" applyNumberFormat="1" applyFont="1" applyAlignment="1">
      <alignment horizontal="center"/>
    </xf>
    <xf numFmtId="0" fontId="16" fillId="0" borderId="0" xfId="1" applyNumberFormat="1" applyFont="1" applyAlignment="1">
      <alignment horizontal="center"/>
    </xf>
    <xf numFmtId="0" fontId="28" fillId="0" borderId="0" xfId="0" applyFont="1"/>
    <xf numFmtId="0" fontId="16" fillId="0" borderId="0" xfId="0" applyFont="1" applyAlignment="1">
      <alignment horizontal="left"/>
    </xf>
    <xf numFmtId="0" fontId="16" fillId="0" borderId="3" xfId="0" applyFont="1" applyBorder="1" applyAlignment="1">
      <alignment horizontal="left"/>
    </xf>
    <xf numFmtId="10" fontId="16" fillId="0" borderId="2" xfId="0" applyNumberFormat="1" applyFont="1" applyBorder="1"/>
    <xf numFmtId="0" fontId="13" fillId="0" borderId="0" xfId="0" applyFont="1" applyAlignment="1">
      <alignment horizontal="center"/>
    </xf>
    <xf numFmtId="0" fontId="12" fillId="0" borderId="0" xfId="0" applyFont="1" applyAlignment="1">
      <alignment horizontal="center"/>
    </xf>
    <xf numFmtId="0" fontId="12" fillId="0" borderId="2" xfId="0" applyFont="1" applyBorder="1" applyAlignment="1">
      <alignment horizontal="left"/>
    </xf>
    <xf numFmtId="0" fontId="20" fillId="2" borderId="0" xfId="0" applyFont="1" applyFill="1" applyAlignment="1">
      <alignment horizontal="center"/>
    </xf>
    <xf numFmtId="0" fontId="19" fillId="2" borderId="0" xfId="0" applyFont="1" applyFill="1" applyAlignment="1">
      <alignment horizontal="center"/>
    </xf>
    <xf numFmtId="17" fontId="29" fillId="0" borderId="0" xfId="0" applyNumberFormat="1" applyFont="1" applyAlignment="1">
      <alignment horizontal="center"/>
    </xf>
    <xf numFmtId="0" fontId="0" fillId="0" borderId="0" xfId="0" applyAlignment="1">
      <alignment horizontal="left" indent="1"/>
    </xf>
    <xf numFmtId="166" fontId="4" fillId="0" borderId="3" xfId="1" applyNumberFormat="1" applyFont="1" applyBorder="1"/>
    <xf numFmtId="0" fontId="16" fillId="0" borderId="2" xfId="0" applyFont="1" applyBorder="1" applyAlignment="1">
      <alignment horizontal="left"/>
    </xf>
    <xf numFmtId="166" fontId="16" fillId="0" borderId="0" xfId="1" applyNumberFormat="1" applyFont="1" applyAlignment="1">
      <alignment horizontal="center"/>
    </xf>
    <xf numFmtId="166" fontId="16" fillId="0" borderId="2" xfId="1" applyNumberFormat="1" applyFont="1" applyBorder="1" applyAlignment="1">
      <alignment horizontal="center"/>
    </xf>
    <xf numFmtId="9" fontId="16" fillId="0" borderId="0" xfId="2" applyFont="1"/>
    <xf numFmtId="9" fontId="16" fillId="0" borderId="3" xfId="2" applyFont="1" applyBorder="1" applyAlignment="1">
      <alignment horizontal="center"/>
    </xf>
    <xf numFmtId="168" fontId="16" fillId="0" borderId="0" xfId="2" applyNumberFormat="1" applyFont="1" applyAlignment="1">
      <alignment horizontal="center"/>
    </xf>
    <xf numFmtId="175" fontId="16" fillId="0" borderId="0" xfId="1" applyNumberFormat="1" applyFont="1"/>
    <xf numFmtId="0" fontId="16" fillId="0" borderId="7" xfId="0" applyFont="1" applyBorder="1" applyAlignment="1">
      <alignment horizontal="left" indent="2"/>
    </xf>
    <xf numFmtId="166" fontId="16" fillId="0" borderId="0" xfId="1" applyNumberFormat="1" applyFont="1" applyBorder="1"/>
    <xf numFmtId="0" fontId="17" fillId="0" borderId="6" xfId="0" applyFont="1" applyBorder="1" applyAlignment="1">
      <alignment horizontal="center"/>
    </xf>
    <xf numFmtId="0" fontId="20" fillId="2" borderId="7" xfId="0" applyFont="1" applyFill="1" applyBorder="1"/>
    <xf numFmtId="0" fontId="16" fillId="0" borderId="7" xfId="0" applyFont="1" applyBorder="1"/>
    <xf numFmtId="0" fontId="16" fillId="0" borderId="6" xfId="0" applyFont="1" applyBorder="1"/>
    <xf numFmtId="1" fontId="16" fillId="0" borderId="7" xfId="1" applyNumberFormat="1" applyFont="1" applyBorder="1" applyAlignment="1">
      <alignment horizontal="center"/>
    </xf>
    <xf numFmtId="0" fontId="19" fillId="2" borderId="7" xfId="0" applyFont="1" applyFill="1" applyBorder="1"/>
    <xf numFmtId="0" fontId="16" fillId="0" borderId="9" xfId="0" applyFont="1" applyBorder="1" applyAlignment="1">
      <alignment horizontal="left" indent="2"/>
    </xf>
    <xf numFmtId="175" fontId="16" fillId="0" borderId="8" xfId="1" applyNumberFormat="1" applyFont="1" applyBorder="1"/>
    <xf numFmtId="166" fontId="16" fillId="0" borderId="8" xfId="1" applyNumberFormat="1" applyFont="1" applyBorder="1"/>
    <xf numFmtId="0" fontId="16" fillId="0" borderId="8" xfId="0" applyFont="1" applyBorder="1" applyAlignment="1">
      <alignment horizontal="center"/>
    </xf>
    <xf numFmtId="0" fontId="16" fillId="0" borderId="9" xfId="0" applyFont="1" applyBorder="1"/>
    <xf numFmtId="17" fontId="16" fillId="0" borderId="8" xfId="0" applyNumberFormat="1" applyFont="1" applyBorder="1" applyAlignment="1">
      <alignment horizontal="center"/>
    </xf>
    <xf numFmtId="1" fontId="16" fillId="0" borderId="9" xfId="1" applyNumberFormat="1" applyFont="1" applyBorder="1" applyAlignment="1">
      <alignment horizontal="center"/>
    </xf>
    <xf numFmtId="175" fontId="16" fillId="0" borderId="0" xfId="1" applyNumberFormat="1" applyFont="1" applyBorder="1"/>
    <xf numFmtId="0" fontId="17" fillId="0" borderId="6" xfId="0" applyFont="1" applyBorder="1"/>
    <xf numFmtId="0" fontId="16" fillId="0" borderId="6" xfId="0" applyFont="1" applyBorder="1" applyAlignment="1">
      <alignment horizontal="left" indent="2"/>
    </xf>
    <xf numFmtId="9" fontId="16" fillId="0" borderId="2" xfId="2" applyFont="1" applyBorder="1"/>
    <xf numFmtId="9" fontId="16" fillId="0" borderId="0" xfId="2" applyFont="1" applyBorder="1"/>
    <xf numFmtId="168" fontId="16" fillId="0" borderId="0" xfId="2" applyNumberFormat="1" applyFont="1"/>
    <xf numFmtId="175" fontId="16" fillId="0" borderId="2" xfId="1" applyNumberFormat="1" applyFont="1" applyBorder="1"/>
    <xf numFmtId="178" fontId="16" fillId="0" borderId="0" xfId="0" applyNumberFormat="1" applyFont="1" applyAlignment="1">
      <alignment horizontal="center"/>
    </xf>
    <xf numFmtId="175" fontId="16" fillId="0" borderId="0" xfId="0" applyNumberFormat="1" applyFont="1"/>
    <xf numFmtId="175" fontId="4" fillId="0" borderId="0" xfId="1" applyNumberFormat="1" applyFont="1"/>
    <xf numFmtId="175" fontId="4" fillId="0" borderId="2" xfId="1" applyNumberFormat="1" applyFont="1" applyBorder="1"/>
    <xf numFmtId="175" fontId="16" fillId="0" borderId="5" xfId="1" applyNumberFormat="1" applyFont="1" applyBorder="1"/>
    <xf numFmtId="0" fontId="16" fillId="0" borderId="4" xfId="0" applyFont="1" applyBorder="1" applyAlignment="1">
      <alignment horizontal="center"/>
    </xf>
    <xf numFmtId="175" fontId="16" fillId="0" borderId="4" xfId="0" applyNumberFormat="1" applyFont="1" applyBorder="1"/>
    <xf numFmtId="0" fontId="16" fillId="0" borderId="7" xfId="0" applyFont="1" applyBorder="1" applyAlignment="1">
      <alignment horizontal="center"/>
    </xf>
    <xf numFmtId="0" fontId="21" fillId="0" borderId="6" xfId="0" applyFont="1" applyBorder="1" applyAlignment="1">
      <alignment horizontal="left" indent="2"/>
    </xf>
    <xf numFmtId="0" fontId="21" fillId="0" borderId="2" xfId="0" applyFont="1" applyBorder="1"/>
    <xf numFmtId="0" fontId="21" fillId="0" borderId="2" xfId="0" applyFont="1" applyBorder="1" applyAlignment="1">
      <alignment horizontal="center"/>
    </xf>
    <xf numFmtId="0" fontId="21" fillId="0" borderId="6" xfId="0" applyFont="1" applyBorder="1"/>
    <xf numFmtId="177" fontId="21" fillId="0" borderId="2" xfId="1" applyNumberFormat="1" applyFont="1" applyBorder="1"/>
    <xf numFmtId="17" fontId="21" fillId="0" borderId="2" xfId="0" applyNumberFormat="1" applyFont="1" applyBorder="1" applyAlignment="1">
      <alignment horizontal="center"/>
    </xf>
    <xf numFmtId="1" fontId="21" fillId="0" borderId="6" xfId="1" applyNumberFormat="1" applyFont="1" applyBorder="1" applyAlignment="1">
      <alignment horizontal="center"/>
    </xf>
    <xf numFmtId="9" fontId="21" fillId="0" borderId="2" xfId="2" applyFont="1" applyBorder="1"/>
    <xf numFmtId="168" fontId="16" fillId="0" borderId="11" xfId="2" applyNumberFormat="1" applyFont="1" applyBorder="1"/>
    <xf numFmtId="168" fontId="21" fillId="0" borderId="2" xfId="2" applyNumberFormat="1" applyFont="1" applyBorder="1"/>
    <xf numFmtId="176" fontId="21" fillId="0" borderId="0" xfId="1" applyNumberFormat="1" applyFont="1"/>
    <xf numFmtId="175" fontId="21" fillId="0" borderId="0" xfId="1" applyNumberFormat="1" applyFont="1" applyAlignment="1"/>
    <xf numFmtId="0" fontId="20" fillId="0" borderId="0" xfId="0" applyFont="1"/>
    <xf numFmtId="0" fontId="30" fillId="0" borderId="0" xfId="0" applyFont="1"/>
    <xf numFmtId="0" fontId="31" fillId="0" borderId="7" xfId="0" applyFont="1" applyBorder="1"/>
    <xf numFmtId="0" fontId="24" fillId="0" borderId="0" xfId="0" applyFont="1"/>
    <xf numFmtId="0" fontId="24" fillId="0" borderId="0" xfId="0" applyFont="1" applyAlignment="1">
      <alignment horizontal="center"/>
    </xf>
    <xf numFmtId="0" fontId="24" fillId="0" borderId="7" xfId="0" applyFont="1" applyBorder="1"/>
    <xf numFmtId="0" fontId="24" fillId="0" borderId="7" xfId="0" applyFont="1" applyBorder="1" applyAlignment="1">
      <alignment horizontal="left" indent="3"/>
    </xf>
    <xf numFmtId="175" fontId="24" fillId="0" borderId="0" xfId="1" applyNumberFormat="1" applyFont="1"/>
    <xf numFmtId="175" fontId="24" fillId="0" borderId="4" xfId="0" applyNumberFormat="1" applyFont="1" applyBorder="1"/>
    <xf numFmtId="175" fontId="24" fillId="0" borderId="0" xfId="0" applyNumberFormat="1" applyFont="1"/>
    <xf numFmtId="9" fontId="24" fillId="0" borderId="0" xfId="0" applyNumberFormat="1" applyFont="1"/>
    <xf numFmtId="166" fontId="9" fillId="0" borderId="0" xfId="1" applyNumberFormat="1" applyFont="1"/>
    <xf numFmtId="0" fontId="33" fillId="2" borderId="0" xfId="0" applyFont="1" applyFill="1"/>
    <xf numFmtId="0" fontId="14" fillId="0" borderId="0" xfId="0" applyFont="1" applyAlignment="1">
      <alignment horizontal="right"/>
    </xf>
    <xf numFmtId="43" fontId="14" fillId="0" borderId="0" xfId="1" applyFont="1"/>
    <xf numFmtId="0" fontId="34" fillId="0" borderId="0" xfId="0" applyFont="1"/>
    <xf numFmtId="0" fontId="34" fillId="0" borderId="0" xfId="0" applyFont="1" applyAlignment="1">
      <alignment horizontal="center"/>
    </xf>
    <xf numFmtId="0" fontId="14" fillId="0" borderId="3" xfId="0" applyFont="1" applyBorder="1"/>
    <xf numFmtId="166" fontId="14" fillId="0" borderId="3" xfId="1" applyNumberFormat="1" applyFont="1" applyBorder="1" applyAlignment="1">
      <alignment horizontal="center"/>
    </xf>
    <xf numFmtId="0" fontId="27" fillId="0" borderId="3" xfId="0" applyFont="1" applyBorder="1" applyAlignment="1">
      <alignment horizontal="center"/>
    </xf>
    <xf numFmtId="9" fontId="14" fillId="0" borderId="3" xfId="2" applyFont="1" applyBorder="1" applyAlignment="1">
      <alignment horizontal="center"/>
    </xf>
    <xf numFmtId="166" fontId="14" fillId="0" borderId="0" xfId="1" applyNumberFormat="1" applyFont="1"/>
    <xf numFmtId="169" fontId="14" fillId="0" borderId="0" xfId="1" applyNumberFormat="1" applyFont="1"/>
    <xf numFmtId="166" fontId="22" fillId="2" borderId="0" xfId="0" applyNumberFormat="1" applyFont="1" applyFill="1"/>
    <xf numFmtId="0" fontId="35" fillId="0" borderId="0" xfId="0" applyFont="1"/>
    <xf numFmtId="166" fontId="35" fillId="0" borderId="0" xfId="0" applyNumberFormat="1" applyFont="1"/>
    <xf numFmtId="0" fontId="15" fillId="0" borderId="0" xfId="0" applyFont="1"/>
    <xf numFmtId="10" fontId="27" fillId="0" borderId="0" xfId="0" applyNumberFormat="1" applyFont="1"/>
    <xf numFmtId="0" fontId="15" fillId="0" borderId="0" xfId="0" applyFont="1" applyAlignment="1">
      <alignment horizontal="right"/>
    </xf>
    <xf numFmtId="173" fontId="14" fillId="0" borderId="0" xfId="0" applyNumberFormat="1" applyFont="1" applyAlignment="1">
      <alignment horizontal="right"/>
    </xf>
    <xf numFmtId="172" fontId="15" fillId="0" borderId="0" xfId="3" applyNumberFormat="1" applyFont="1"/>
    <xf numFmtId="172" fontId="14" fillId="0" borderId="0" xfId="3" applyNumberFormat="1" applyFont="1"/>
    <xf numFmtId="0" fontId="15" fillId="0" borderId="2" xfId="0" applyFont="1" applyBorder="1"/>
    <xf numFmtId="0" fontId="14" fillId="0" borderId="2" xfId="0" applyFont="1" applyBorder="1" applyAlignment="1">
      <alignment horizontal="right"/>
    </xf>
    <xf numFmtId="10" fontId="27" fillId="0" borderId="2" xfId="0" applyNumberFormat="1" applyFont="1" applyBorder="1"/>
    <xf numFmtId="173" fontId="14" fillId="0" borderId="2" xfId="0" applyNumberFormat="1" applyFont="1" applyBorder="1" applyAlignment="1">
      <alignment horizontal="right"/>
    </xf>
    <xf numFmtId="0" fontId="15" fillId="0" borderId="2" xfId="0" applyFont="1" applyBorder="1" applyAlignment="1">
      <alignment horizontal="right"/>
    </xf>
    <xf numFmtId="172" fontId="15" fillId="0" borderId="2" xfId="3" applyNumberFormat="1" applyFont="1" applyBorder="1"/>
    <xf numFmtId="175" fontId="24" fillId="0" borderId="8" xfId="0" applyNumberFormat="1" applyFont="1" applyBorder="1"/>
    <xf numFmtId="175" fontId="24" fillId="0" borderId="10" xfId="0" applyNumberFormat="1" applyFont="1" applyBorder="1"/>
    <xf numFmtId="0" fontId="24" fillId="0" borderId="6" xfId="0" applyFont="1" applyBorder="1"/>
    <xf numFmtId="166" fontId="16" fillId="0" borderId="0" xfId="1" applyNumberFormat="1" applyFont="1" applyFill="1"/>
    <xf numFmtId="166" fontId="16" fillId="0" borderId="2" xfId="0" applyNumberFormat="1" applyFont="1" applyBorder="1"/>
    <xf numFmtId="175" fontId="24" fillId="0" borderId="0" xfId="1" applyNumberFormat="1" applyFont="1" applyBorder="1"/>
    <xf numFmtId="0" fontId="24" fillId="0" borderId="0" xfId="0" applyFont="1" applyAlignment="1">
      <alignment horizontal="left" indent="3"/>
    </xf>
    <xf numFmtId="175" fontId="24" fillId="0" borderId="4" xfId="1" applyNumberFormat="1" applyFont="1" applyFill="1" applyBorder="1"/>
    <xf numFmtId="166" fontId="4" fillId="0" borderId="0" xfId="1" applyNumberFormat="1" applyFont="1" applyFill="1"/>
    <xf numFmtId="10" fontId="4" fillId="0" borderId="2" xfId="0" applyNumberFormat="1" applyFont="1" applyBorder="1"/>
    <xf numFmtId="166" fontId="4" fillId="0" borderId="0" xfId="0" applyNumberFormat="1" applyFont="1"/>
    <xf numFmtId="0" fontId="4" fillId="0" borderId="0" xfId="0" applyFont="1"/>
    <xf numFmtId="168" fontId="4" fillId="0" borderId="0" xfId="2" applyNumberFormat="1" applyFont="1"/>
    <xf numFmtId="166" fontId="14" fillId="0" borderId="0" xfId="0" applyNumberFormat="1" applyFont="1" applyAlignment="1">
      <alignment horizontal="center"/>
    </xf>
    <xf numFmtId="0" fontId="36" fillId="0" borderId="0" xfId="0" applyFont="1"/>
    <xf numFmtId="44" fontId="16" fillId="0" borderId="0" xfId="0" applyNumberFormat="1" applyFont="1"/>
    <xf numFmtId="0" fontId="37" fillId="0" borderId="0" xfId="0" applyFont="1"/>
    <xf numFmtId="44" fontId="37" fillId="0" borderId="0" xfId="0" applyNumberFormat="1" applyFont="1"/>
    <xf numFmtId="0" fontId="37" fillId="0" borderId="0" xfId="0" applyFont="1" applyAlignment="1">
      <alignment horizontal="right"/>
    </xf>
    <xf numFmtId="0" fontId="24" fillId="2" borderId="0" xfId="0" applyFont="1" applyFill="1"/>
    <xf numFmtId="0" fontId="38" fillId="2" borderId="0" xfId="0" applyFont="1" applyFill="1"/>
    <xf numFmtId="9" fontId="32" fillId="0" borderId="0" xfId="0" applyNumberFormat="1" applyFont="1"/>
    <xf numFmtId="166" fontId="24" fillId="0" borderId="0" xfId="1" applyNumberFormat="1" applyFont="1" applyFill="1"/>
    <xf numFmtId="166" fontId="24" fillId="0" borderId="0" xfId="0" applyNumberFormat="1" applyFont="1"/>
    <xf numFmtId="167" fontId="32" fillId="0" borderId="0" xfId="0" applyNumberFormat="1" applyFont="1"/>
    <xf numFmtId="166" fontId="24" fillId="0" borderId="0" xfId="1" applyNumberFormat="1" applyFont="1"/>
    <xf numFmtId="0" fontId="40" fillId="0" borderId="0" xfId="0" applyFont="1"/>
    <xf numFmtId="0" fontId="41" fillId="2" borderId="0" xfId="0" applyFont="1" applyFill="1"/>
    <xf numFmtId="0" fontId="31" fillId="0" borderId="0" xfId="0" applyFont="1"/>
    <xf numFmtId="0" fontId="25" fillId="0" borderId="0" xfId="0" applyFont="1" applyAlignment="1">
      <alignment horizontal="center"/>
    </xf>
    <xf numFmtId="0" fontId="24" fillId="0" borderId="2" xfId="0" applyFont="1" applyBorder="1"/>
    <xf numFmtId="0" fontId="20" fillId="0" borderId="0" xfId="0" applyFont="1" applyAlignment="1">
      <alignment horizontal="center"/>
    </xf>
    <xf numFmtId="2" fontId="31" fillId="0" borderId="0" xfId="0" applyNumberFormat="1" applyFont="1"/>
    <xf numFmtId="175" fontId="24" fillId="0" borderId="2" xfId="1" applyNumberFormat="1" applyFont="1" applyBorder="1"/>
    <xf numFmtId="0" fontId="24" fillId="0" borderId="0" xfId="0" applyFont="1" applyAlignment="1">
      <alignment horizontal="right"/>
    </xf>
    <xf numFmtId="17" fontId="39" fillId="0" borderId="0" xfId="0" applyNumberFormat="1" applyFont="1" applyAlignment="1">
      <alignment horizontal="center"/>
    </xf>
    <xf numFmtId="175" fontId="24" fillId="0" borderId="2" xfId="0" applyNumberFormat="1" applyFont="1" applyBorder="1"/>
    <xf numFmtId="175" fontId="24" fillId="0" borderId="9" xfId="0" applyNumberFormat="1" applyFont="1" applyBorder="1"/>
    <xf numFmtId="0" fontId="16" fillId="0" borderId="0" xfId="0" applyFont="1" applyAlignment="1">
      <alignment horizontal="right"/>
    </xf>
    <xf numFmtId="0" fontId="16" fillId="0" borderId="2" xfId="0" applyFont="1" applyBorder="1" applyAlignment="1">
      <alignment horizontal="right"/>
    </xf>
    <xf numFmtId="0" fontId="25" fillId="2" borderId="0" xfId="0" applyFont="1" applyFill="1" applyAlignment="1">
      <alignment horizontal="center"/>
    </xf>
    <xf numFmtId="0" fontId="41" fillId="2" borderId="0" xfId="0" applyFont="1" applyFill="1" applyAlignment="1">
      <alignment horizontal="center"/>
    </xf>
    <xf numFmtId="0" fontId="24" fillId="0" borderId="12" xfId="0" applyFont="1" applyBorder="1"/>
    <xf numFmtId="0" fontId="24" fillId="0" borderId="13" xfId="0" applyFont="1" applyBorder="1"/>
    <xf numFmtId="175" fontId="24" fillId="0" borderId="13" xfId="1" applyNumberFormat="1" applyFont="1" applyBorder="1"/>
    <xf numFmtId="0" fontId="24" fillId="0" borderId="14" xfId="0" applyFont="1" applyBorder="1"/>
    <xf numFmtId="0" fontId="31" fillId="0" borderId="15" xfId="0" applyFont="1" applyBorder="1"/>
    <xf numFmtId="0" fontId="24" fillId="0" borderId="16" xfId="0" applyFont="1" applyBorder="1"/>
    <xf numFmtId="0" fontId="31" fillId="0" borderId="17" xfId="0" applyFont="1" applyBorder="1"/>
    <xf numFmtId="0" fontId="24" fillId="0" borderId="18" xfId="0" applyFont="1" applyBorder="1"/>
    <xf numFmtId="0" fontId="24" fillId="0" borderId="19" xfId="0" applyFont="1" applyBorder="1"/>
    <xf numFmtId="0" fontId="24" fillId="0" borderId="1" xfId="0" applyFont="1" applyBorder="1"/>
    <xf numFmtId="175" fontId="24" fillId="0" borderId="1" xfId="0" applyNumberFormat="1" applyFont="1" applyBorder="1"/>
    <xf numFmtId="0" fontId="24" fillId="0" borderId="20" xfId="0" applyFont="1" applyBorder="1"/>
    <xf numFmtId="0" fontId="41" fillId="2" borderId="0" xfId="0" applyFont="1" applyFill="1" applyAlignment="1">
      <alignment horizontal="left"/>
    </xf>
    <xf numFmtId="0" fontId="38" fillId="2" borderId="0" xfId="0" applyFont="1" applyFill="1" applyAlignment="1">
      <alignment horizontal="center"/>
    </xf>
    <xf numFmtId="0" fontId="42" fillId="2" borderId="0" xfId="0" applyFont="1" applyFill="1" applyAlignment="1">
      <alignment horizontal="left"/>
    </xf>
    <xf numFmtId="0" fontId="25" fillId="0" borderId="2" xfId="0" applyFont="1" applyBorder="1"/>
    <xf numFmtId="0" fontId="25" fillId="0" borderId="2" xfId="0" applyFont="1" applyBorder="1" applyAlignment="1">
      <alignment horizontal="center"/>
    </xf>
    <xf numFmtId="0" fontId="31" fillId="0" borderId="0" xfId="0" applyFont="1" applyAlignment="1">
      <alignment horizontal="center"/>
    </xf>
    <xf numFmtId="0" fontId="41" fillId="2" borderId="0" xfId="0" applyFont="1" applyFill="1" applyAlignment="1">
      <alignment horizontal="right"/>
    </xf>
    <xf numFmtId="0" fontId="25" fillId="0" borderId="2" xfId="0" applyFont="1" applyBorder="1" applyAlignment="1">
      <alignment horizontal="right"/>
    </xf>
    <xf numFmtId="0" fontId="31" fillId="0" borderId="0" xfId="0" applyFont="1" applyAlignment="1">
      <alignment horizontal="right"/>
    </xf>
    <xf numFmtId="0" fontId="32" fillId="0" borderId="0" xfId="0" applyFont="1"/>
    <xf numFmtId="0" fontId="32" fillId="0" borderId="0" xfId="0" quotePrefix="1" applyFont="1"/>
    <xf numFmtId="9" fontId="31" fillId="0" borderId="0" xfId="2" applyFont="1"/>
    <xf numFmtId="9" fontId="16" fillId="0" borderId="0" xfId="0" applyNumberFormat="1" applyFont="1"/>
    <xf numFmtId="0" fontId="16" fillId="0" borderId="0" xfId="0" applyFont="1" applyAlignment="1">
      <alignment horizontal="left" indent="2"/>
    </xf>
    <xf numFmtId="169" fontId="31" fillId="0" borderId="0" xfId="1" applyNumberFormat="1" applyFont="1"/>
    <xf numFmtId="166" fontId="43" fillId="0" borderId="0" xfId="0" applyNumberFormat="1" applyFont="1"/>
    <xf numFmtId="175" fontId="43" fillId="0" borderId="0" xfId="1" applyNumberFormat="1" applyFont="1"/>
    <xf numFmtId="166" fontId="43" fillId="0" borderId="0" xfId="1" applyNumberFormat="1" applyFont="1" applyBorder="1"/>
    <xf numFmtId="166" fontId="43" fillId="0" borderId="0" xfId="1" applyNumberFormat="1" applyFont="1"/>
    <xf numFmtId="17" fontId="43" fillId="0" borderId="0" xfId="0" applyNumberFormat="1" applyFont="1" applyAlignment="1">
      <alignment horizontal="center"/>
    </xf>
    <xf numFmtId="168" fontId="32" fillId="0" borderId="0" xfId="0" applyNumberFormat="1" applyFont="1"/>
    <xf numFmtId="166" fontId="8" fillId="0" borderId="0" xfId="1" applyNumberFormat="1" applyFont="1" applyFill="1"/>
    <xf numFmtId="179" fontId="32" fillId="0" borderId="0" xfId="0" applyNumberFormat="1" applyFont="1"/>
    <xf numFmtId="0" fontId="44" fillId="0" borderId="0" xfId="0" applyFont="1"/>
    <xf numFmtId="0" fontId="45" fillId="0" borderId="0" xfId="0" applyFont="1"/>
    <xf numFmtId="168" fontId="4" fillId="0" borderId="0" xfId="2" applyNumberFormat="1" applyFont="1" applyFill="1"/>
    <xf numFmtId="164" fontId="0" fillId="0" borderId="0" xfId="0" applyNumberFormat="1"/>
    <xf numFmtId="180" fontId="0" fillId="0" borderId="0" xfId="0" applyNumberFormat="1"/>
    <xf numFmtId="168" fontId="0" fillId="0" borderId="0" xfId="2" applyNumberFormat="1" applyFont="1"/>
    <xf numFmtId="168" fontId="24" fillId="0" borderId="0" xfId="0" applyNumberFormat="1" applyFont="1"/>
    <xf numFmtId="43" fontId="45" fillId="0" borderId="0" xfId="1" applyFont="1"/>
    <xf numFmtId="164" fontId="16" fillId="0" borderId="0" xfId="0" applyNumberFormat="1" applyFont="1"/>
    <xf numFmtId="10" fontId="39" fillId="0" borderId="0" xfId="0" applyNumberFormat="1" applyFont="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9" xfId="0" applyBorder="1"/>
    <xf numFmtId="0" fontId="0" fillId="0" borderId="20" xfId="0" applyBorder="1"/>
    <xf numFmtId="0" fontId="25" fillId="0" borderId="0" xfId="0" applyFont="1"/>
    <xf numFmtId="181" fontId="8" fillId="0" borderId="0" xfId="1" applyNumberFormat="1" applyFont="1"/>
    <xf numFmtId="181" fontId="4" fillId="0" borderId="2" xfId="1" applyNumberFormat="1" applyFont="1" applyBorder="1"/>
    <xf numFmtId="181" fontId="8" fillId="0" borderId="0" xfId="1" applyNumberFormat="1" applyFont="1" applyFill="1"/>
    <xf numFmtId="181" fontId="4" fillId="0" borderId="0" xfId="1" applyNumberFormat="1" applyFont="1" applyBorder="1"/>
    <xf numFmtId="166" fontId="0" fillId="0" borderId="8" xfId="0" applyNumberFormat="1" applyBorder="1"/>
    <xf numFmtId="169" fontId="0" fillId="0" borderId="8" xfId="0" applyNumberFormat="1" applyBorder="1"/>
    <xf numFmtId="9" fontId="0" fillId="0" borderId="0" xfId="2" applyFont="1"/>
    <xf numFmtId="180" fontId="0" fillId="0" borderId="0" xfId="1" applyNumberFormat="1" applyFont="1" applyBorder="1"/>
    <xf numFmtId="180" fontId="14" fillId="0" borderId="0" xfId="1" applyNumberFormat="1" applyFont="1"/>
    <xf numFmtId="166" fontId="26" fillId="0" borderId="0" xfId="1" applyNumberFormat="1" applyFont="1" applyBorder="1" applyAlignment="1">
      <alignment horizontal="center"/>
    </xf>
    <xf numFmtId="9" fontId="14" fillId="0" borderId="0" xfId="2" applyFont="1" applyBorder="1" applyAlignment="1">
      <alignment horizontal="center"/>
    </xf>
    <xf numFmtId="43" fontId="14" fillId="0" borderId="3" xfId="1" applyFont="1" applyBorder="1" applyAlignment="1">
      <alignment horizontal="center"/>
    </xf>
    <xf numFmtId="43" fontId="14" fillId="0" borderId="0" xfId="1" applyFont="1" applyFill="1" applyBorder="1" applyAlignment="1">
      <alignment horizontal="center"/>
    </xf>
    <xf numFmtId="166" fontId="16" fillId="0" borderId="0" xfId="1" applyNumberFormat="1" applyFont="1" applyBorder="1" applyAlignment="1">
      <alignment horizontal="center"/>
    </xf>
    <xf numFmtId="175" fontId="16" fillId="0" borderId="8" xfId="1" applyNumberFormat="1" applyFont="1" applyFill="1" applyBorder="1"/>
    <xf numFmtId="0" fontId="0" fillId="3" borderId="0" xfId="0" applyFill="1"/>
    <xf numFmtId="166" fontId="24" fillId="0" borderId="0" xfId="1" applyNumberFormat="1" applyFont="1" applyBorder="1"/>
    <xf numFmtId="43" fontId="0" fillId="0" borderId="0" xfId="0" applyNumberFormat="1"/>
    <xf numFmtId="43" fontId="0" fillId="0" borderId="0" xfId="1" applyFont="1"/>
    <xf numFmtId="0" fontId="0" fillId="0" borderId="8" xfId="0" applyBorder="1"/>
    <xf numFmtId="0" fontId="0" fillId="0" borderId="5" xfId="0" applyBorder="1"/>
    <xf numFmtId="0" fontId="14" fillId="3" borderId="0" xfId="0" applyFont="1" applyFill="1"/>
    <xf numFmtId="9" fontId="14" fillId="3" borderId="0" xfId="0" applyNumberFormat="1" applyFont="1" applyFill="1"/>
    <xf numFmtId="9" fontId="14" fillId="3" borderId="0" xfId="1" applyNumberFormat="1" applyFont="1" applyFill="1"/>
    <xf numFmtId="168" fontId="0" fillId="0" borderId="0" xfId="0" applyNumberFormat="1"/>
    <xf numFmtId="9" fontId="0" fillId="3" borderId="0" xfId="0" applyNumberFormat="1" applyFill="1"/>
    <xf numFmtId="0" fontId="1" fillId="0" borderId="0" xfId="0" applyFont="1" applyAlignment="1">
      <alignment horizontal="right"/>
    </xf>
    <xf numFmtId="9" fontId="14" fillId="0" borderId="0" xfId="0" applyNumberFormat="1" applyFont="1"/>
    <xf numFmtId="43" fontId="14" fillId="0" borderId="0" xfId="0" applyNumberFormat="1" applyFont="1"/>
    <xf numFmtId="1" fontId="26" fillId="0" borderId="3" xfId="0" applyNumberFormat="1" applyFont="1" applyBorder="1"/>
    <xf numFmtId="9" fontId="8" fillId="0" borderId="0" xfId="2" applyFont="1"/>
    <xf numFmtId="0" fontId="44" fillId="0" borderId="0" xfId="0" applyFont="1" applyAlignment="1">
      <alignment horizontal="left" indent="3"/>
    </xf>
    <xf numFmtId="180" fontId="44" fillId="0" borderId="0" xfId="1" applyNumberFormat="1" applyFont="1" applyFill="1"/>
    <xf numFmtId="183" fontId="44" fillId="0" borderId="0" xfId="1" applyNumberFormat="1" applyFont="1" applyFill="1"/>
    <xf numFmtId="0" fontId="48" fillId="0" borderId="7" xfId="0" applyFont="1" applyBorder="1" applyAlignment="1">
      <alignment horizontal="left" indent="2"/>
    </xf>
    <xf numFmtId="175" fontId="48" fillId="0" borderId="0" xfId="1" applyNumberFormat="1" applyFont="1"/>
    <xf numFmtId="0" fontId="0" fillId="0" borderId="17" xfId="0" applyBorder="1"/>
    <xf numFmtId="0" fontId="12" fillId="0" borderId="16" xfId="0" applyFont="1" applyBorder="1"/>
    <xf numFmtId="0" fontId="9" fillId="0" borderId="16" xfId="0" applyFont="1" applyBorder="1"/>
    <xf numFmtId="0" fontId="9" fillId="0" borderId="1" xfId="0" applyFont="1" applyBorder="1"/>
    <xf numFmtId="0" fontId="8" fillId="0" borderId="1" xfId="0" applyFont="1" applyBorder="1" applyAlignment="1">
      <alignment horizontal="center"/>
    </xf>
    <xf numFmtId="17" fontId="9" fillId="0" borderId="1" xfId="0" applyNumberFormat="1" applyFont="1" applyBorder="1" applyAlignment="1">
      <alignment horizontal="center"/>
    </xf>
    <xf numFmtId="0" fontId="9" fillId="0" borderId="20" xfId="0" applyFont="1" applyBorder="1"/>
    <xf numFmtId="17" fontId="6" fillId="0" borderId="15" xfId="0" applyNumberFormat="1" applyFont="1" applyBorder="1"/>
    <xf numFmtId="0" fontId="6" fillId="0" borderId="0" xfId="0" applyFont="1"/>
    <xf numFmtId="0" fontId="6" fillId="0" borderId="16" xfId="0" applyFont="1" applyBorder="1"/>
    <xf numFmtId="0" fontId="12" fillId="0" borderId="15" xfId="0" applyFont="1" applyBorder="1"/>
    <xf numFmtId="0" fontId="9" fillId="0" borderId="15" xfId="0" applyFont="1" applyBorder="1"/>
    <xf numFmtId="0" fontId="9" fillId="0" borderId="19" xfId="0" applyFont="1" applyBorder="1"/>
    <xf numFmtId="166" fontId="0" fillId="0" borderId="0" xfId="1" applyNumberFormat="1" applyFont="1" applyFill="1"/>
    <xf numFmtId="0" fontId="49" fillId="2" borderId="0" xfId="0" applyFont="1" applyFill="1"/>
    <xf numFmtId="0" fontId="22" fillId="0" borderId="0" xfId="0" applyFont="1"/>
    <xf numFmtId="9" fontId="32" fillId="0" borderId="0" xfId="2" applyFont="1"/>
    <xf numFmtId="175" fontId="4" fillId="0" borderId="0" xfId="1" applyNumberFormat="1" applyFont="1" applyBorder="1"/>
    <xf numFmtId="9" fontId="4" fillId="0" borderId="0" xfId="2" applyFont="1"/>
    <xf numFmtId="175" fontId="4" fillId="4" borderId="0" xfId="1" applyNumberFormat="1" applyFont="1" applyFill="1" applyBorder="1"/>
    <xf numFmtId="0" fontId="28" fillId="0" borderId="0" xfId="0" applyFont="1" applyAlignment="1">
      <alignment horizontal="right"/>
    </xf>
    <xf numFmtId="166" fontId="0" fillId="0" borderId="0" xfId="2" applyNumberFormat="1" applyFont="1"/>
    <xf numFmtId="0" fontId="50" fillId="0" borderId="3" xfId="0" applyFont="1" applyBorder="1"/>
    <xf numFmtId="0" fontId="50" fillId="0" borderId="3" xfId="0" applyFont="1" applyBorder="1" applyAlignment="1">
      <alignment horizontal="center"/>
    </xf>
    <xf numFmtId="0" fontId="50" fillId="0" borderId="24" xfId="0" applyFont="1" applyBorder="1"/>
    <xf numFmtId="175" fontId="50" fillId="0" borderId="3" xfId="1" applyNumberFormat="1" applyFont="1" applyBorder="1"/>
    <xf numFmtId="175" fontId="1" fillId="0" borderId="0" xfId="1" applyNumberFormat="1" applyFont="1"/>
    <xf numFmtId="0" fontId="16" fillId="3" borderId="7" xfId="0" applyFont="1" applyFill="1" applyBorder="1" applyAlignment="1">
      <alignment horizontal="left" indent="2"/>
    </xf>
    <xf numFmtId="175" fontId="16" fillId="3" borderId="8" xfId="1" applyNumberFormat="1" applyFont="1" applyFill="1" applyBorder="1"/>
    <xf numFmtId="0" fontId="16" fillId="3" borderId="0" xfId="0" applyFont="1" applyFill="1"/>
    <xf numFmtId="0" fontId="50" fillId="3" borderId="25" xfId="0" applyFont="1" applyFill="1" applyBorder="1" applyAlignment="1">
      <alignment horizontal="left" indent="2"/>
    </xf>
    <xf numFmtId="175" fontId="17" fillId="3" borderId="3" xfId="1" applyNumberFormat="1" applyFont="1" applyFill="1" applyBorder="1"/>
    <xf numFmtId="0" fontId="50" fillId="3" borderId="3" xfId="0" applyFont="1" applyFill="1" applyBorder="1"/>
    <xf numFmtId="175" fontId="17" fillId="3" borderId="8" xfId="1" applyNumberFormat="1" applyFont="1" applyFill="1" applyBorder="1"/>
    <xf numFmtId="0" fontId="17" fillId="3" borderId="7" xfId="0" applyFont="1" applyFill="1" applyBorder="1" applyAlignment="1">
      <alignment horizontal="left" indent="2"/>
    </xf>
    <xf numFmtId="166" fontId="16" fillId="3" borderId="0" xfId="0" applyNumberFormat="1" applyFont="1" applyFill="1"/>
    <xf numFmtId="174" fontId="18" fillId="3" borderId="2" xfId="0" applyNumberFormat="1" applyFont="1" applyFill="1" applyBorder="1" applyAlignment="1">
      <alignment horizontal="center"/>
    </xf>
    <xf numFmtId="175" fontId="25" fillId="3" borderId="8" xfId="0" applyNumberFormat="1" applyFont="1" applyFill="1" applyBorder="1"/>
    <xf numFmtId="0" fontId="25" fillId="3" borderId="9" xfId="0" applyFont="1" applyFill="1" applyBorder="1"/>
    <xf numFmtId="168" fontId="17" fillId="3" borderId="0" xfId="2" applyNumberFormat="1" applyFont="1" applyFill="1" applyAlignment="1">
      <alignment horizontal="center"/>
    </xf>
    <xf numFmtId="175" fontId="25" fillId="0" borderId="8" xfId="0" applyNumberFormat="1" applyFont="1" applyBorder="1"/>
    <xf numFmtId="0" fontId="25" fillId="3" borderId="0" xfId="0" applyFont="1" applyFill="1"/>
    <xf numFmtId="175" fontId="25" fillId="3" borderId="0" xfId="1" applyNumberFormat="1" applyFont="1" applyFill="1"/>
    <xf numFmtId="0" fontId="25" fillId="3" borderId="19" xfId="0" applyFont="1" applyFill="1" applyBorder="1"/>
    <xf numFmtId="0" fontId="25" fillId="3" borderId="1" xfId="0" applyFont="1" applyFill="1" applyBorder="1"/>
    <xf numFmtId="175" fontId="25" fillId="3" borderId="1" xfId="0" applyNumberFormat="1" applyFont="1" applyFill="1" applyBorder="1"/>
    <xf numFmtId="0" fontId="25" fillId="3" borderId="20" xfId="0" applyFont="1" applyFill="1" applyBorder="1"/>
    <xf numFmtId="0" fontId="25" fillId="3" borderId="2" xfId="0" applyFont="1" applyFill="1" applyBorder="1" applyAlignment="1">
      <alignment horizontal="right"/>
    </xf>
    <xf numFmtId="168" fontId="25" fillId="3" borderId="2" xfId="0" applyNumberFormat="1" applyFont="1" applyFill="1" applyBorder="1"/>
    <xf numFmtId="0" fontId="25" fillId="3" borderId="12" xfId="0" applyFont="1" applyFill="1" applyBorder="1"/>
    <xf numFmtId="0" fontId="25" fillId="3" borderId="13" xfId="0" applyFont="1" applyFill="1" applyBorder="1"/>
    <xf numFmtId="175" fontId="25" fillId="3" borderId="13" xfId="1" applyNumberFormat="1" applyFont="1" applyFill="1" applyBorder="1"/>
    <xf numFmtId="0" fontId="25" fillId="3" borderId="14" xfId="0" applyFont="1" applyFill="1" applyBorder="1"/>
    <xf numFmtId="0" fontId="16" fillId="3" borderId="2" xfId="0" applyFont="1" applyFill="1" applyBorder="1"/>
    <xf numFmtId="10" fontId="16" fillId="3" borderId="2" xfId="0" applyNumberFormat="1" applyFont="1" applyFill="1" applyBorder="1"/>
    <xf numFmtId="0" fontId="17" fillId="3" borderId="0" xfId="0" applyFont="1" applyFill="1"/>
    <xf numFmtId="166" fontId="17" fillId="3" borderId="0" xfId="0" applyNumberFormat="1" applyFont="1" applyFill="1"/>
    <xf numFmtId="0" fontId="0" fillId="3" borderId="2" xfId="0" applyFill="1" applyBorder="1"/>
    <xf numFmtId="10" fontId="0" fillId="3" borderId="2" xfId="0" applyNumberFormat="1" applyFill="1" applyBorder="1"/>
    <xf numFmtId="168" fontId="4" fillId="3" borderId="0" xfId="2" applyNumberFormat="1" applyFont="1" applyFill="1"/>
    <xf numFmtId="166" fontId="0" fillId="3" borderId="0" xfId="1" applyNumberFormat="1" applyFont="1" applyFill="1"/>
    <xf numFmtId="180" fontId="0" fillId="3" borderId="0" xfId="0" applyNumberFormat="1" applyFill="1"/>
    <xf numFmtId="0" fontId="0" fillId="0" borderId="4" xfId="0" applyBorder="1"/>
    <xf numFmtId="0" fontId="0" fillId="0" borderId="26" xfId="0" applyBorder="1"/>
    <xf numFmtId="0" fontId="0" fillId="0" borderId="7" xfId="0" applyBorder="1"/>
    <xf numFmtId="0" fontId="1" fillId="0" borderId="11" xfId="0" applyFont="1" applyBorder="1"/>
    <xf numFmtId="168" fontId="1" fillId="0" borderId="3" xfId="2" applyNumberFormat="1" applyFont="1" applyFill="1" applyBorder="1"/>
    <xf numFmtId="168" fontId="0" fillId="0" borderId="3" xfId="0" applyNumberFormat="1" applyBorder="1"/>
    <xf numFmtId="185" fontId="0" fillId="0" borderId="24" xfId="0" applyNumberFormat="1" applyBorder="1"/>
    <xf numFmtId="0" fontId="1" fillId="3" borderId="11" xfId="0" applyFont="1" applyFill="1" applyBorder="1"/>
    <xf numFmtId="10" fontId="1" fillId="3" borderId="3" xfId="2" applyNumberFormat="1" applyFont="1" applyFill="1" applyBorder="1"/>
    <xf numFmtId="0" fontId="0" fillId="0" borderId="24" xfId="0" applyBorder="1"/>
    <xf numFmtId="9" fontId="0" fillId="0" borderId="26" xfId="2" applyFont="1" applyBorder="1"/>
    <xf numFmtId="9" fontId="0" fillId="0" borderId="26" xfId="0" applyNumberFormat="1" applyBorder="1"/>
    <xf numFmtId="0" fontId="0" fillId="5" borderId="4" xfId="0" applyFill="1" applyBorder="1"/>
    <xf numFmtId="168" fontId="13" fillId="5" borderId="26" xfId="0" applyNumberFormat="1" applyFont="1" applyFill="1" applyBorder="1"/>
    <xf numFmtId="10" fontId="13" fillId="5" borderId="26" xfId="0" applyNumberFormat="1" applyFont="1" applyFill="1" applyBorder="1"/>
    <xf numFmtId="184" fontId="0" fillId="5" borderId="7" xfId="1" applyNumberFormat="1" applyFont="1" applyFill="1" applyBorder="1"/>
    <xf numFmtId="0" fontId="0" fillId="6" borderId="4" xfId="0" applyFill="1" applyBorder="1"/>
    <xf numFmtId="168" fontId="0" fillId="6" borderId="26" xfId="0" applyNumberFormat="1" applyFill="1" applyBorder="1"/>
    <xf numFmtId="10" fontId="13" fillId="6" borderId="26" xfId="0" applyNumberFormat="1" applyFont="1" applyFill="1" applyBorder="1"/>
    <xf numFmtId="184" fontId="0" fillId="6" borderId="7" xfId="1" applyNumberFormat="1" applyFont="1" applyFill="1" applyBorder="1"/>
    <xf numFmtId="0" fontId="0" fillId="3" borderId="4" xfId="0" applyFill="1" applyBorder="1"/>
    <xf numFmtId="168" fontId="51" fillId="3" borderId="26" xfId="2" applyNumberFormat="1" applyFont="1" applyFill="1" applyBorder="1"/>
    <xf numFmtId="0" fontId="0" fillId="3" borderId="26" xfId="0" applyFill="1" applyBorder="1"/>
    <xf numFmtId="0" fontId="0" fillId="3" borderId="7" xfId="0" applyFill="1" applyBorder="1"/>
    <xf numFmtId="0" fontId="24" fillId="3" borderId="2" xfId="0" applyFont="1" applyFill="1" applyBorder="1" applyAlignment="1">
      <alignment horizontal="right"/>
    </xf>
    <xf numFmtId="168" fontId="24" fillId="3" borderId="2" xfId="0" applyNumberFormat="1" applyFont="1" applyFill="1" applyBorder="1" applyAlignment="1">
      <alignment horizontal="right"/>
    </xf>
    <xf numFmtId="0" fontId="6" fillId="0" borderId="15" xfId="0" applyFont="1" applyBorder="1"/>
    <xf numFmtId="43" fontId="3" fillId="0" borderId="0" xfId="0" applyNumberFormat="1" applyFont="1"/>
    <xf numFmtId="1" fontId="26" fillId="0" borderId="0" xfId="0" applyNumberFormat="1" applyFont="1"/>
    <xf numFmtId="1" fontId="26" fillId="0" borderId="0" xfId="0" applyNumberFormat="1" applyFont="1" applyAlignment="1">
      <alignment horizontal="center"/>
    </xf>
    <xf numFmtId="9" fontId="44" fillId="0" borderId="0" xfId="2" applyFont="1"/>
    <xf numFmtId="9" fontId="0" fillId="0" borderId="0" xfId="0" applyNumberFormat="1"/>
    <xf numFmtId="168" fontId="0" fillId="0" borderId="13" xfId="0" applyNumberFormat="1" applyBorder="1"/>
    <xf numFmtId="168" fontId="0" fillId="0" borderId="1" xfId="0" applyNumberFormat="1" applyBorder="1"/>
    <xf numFmtId="166" fontId="0" fillId="0" borderId="1" xfId="0" applyNumberFormat="1" applyBorder="1"/>
    <xf numFmtId="43" fontId="0" fillId="0" borderId="1" xfId="0" applyNumberFormat="1" applyBorder="1"/>
    <xf numFmtId="10" fontId="0" fillId="0" borderId="0" xfId="2" applyNumberFormat="1" applyFont="1"/>
    <xf numFmtId="10" fontId="0" fillId="0" borderId="1" xfId="0" applyNumberFormat="1" applyBorder="1"/>
    <xf numFmtId="0" fontId="22" fillId="2" borderId="0" xfId="0" applyFont="1" applyFill="1" applyAlignment="1">
      <alignment horizontal="center"/>
    </xf>
    <xf numFmtId="0" fontId="55" fillId="11" borderId="0" xfId="0" applyFont="1" applyFill="1" applyAlignment="1">
      <alignment horizontal="center" vertical="center" wrapText="1"/>
    </xf>
    <xf numFmtId="0" fontId="56" fillId="0" borderId="0" xfId="0" applyFont="1"/>
    <xf numFmtId="0" fontId="55" fillId="12" borderId="0" xfId="0" applyFont="1" applyFill="1" applyAlignment="1">
      <alignment horizontal="center" vertical="center" wrapText="1"/>
    </xf>
    <xf numFmtId="0" fontId="55" fillId="15" borderId="0" xfId="0" applyFont="1" applyFill="1" applyAlignment="1">
      <alignment horizontal="center" vertical="center" wrapText="1"/>
    </xf>
    <xf numFmtId="0" fontId="0" fillId="16" borderId="0" xfId="0" applyFill="1"/>
    <xf numFmtId="10" fontId="0" fillId="0" borderId="0" xfId="0" applyNumberFormat="1"/>
    <xf numFmtId="0" fontId="0" fillId="0" borderId="0" xfId="0" applyAlignment="1">
      <alignment horizontal="center"/>
    </xf>
    <xf numFmtId="0" fontId="58" fillId="7" borderId="0" xfId="6" applyFont="1" applyFill="1" applyAlignment="1">
      <alignment vertical="center"/>
    </xf>
    <xf numFmtId="0" fontId="59" fillId="7" borderId="0" xfId="6" applyFont="1" applyFill="1" applyAlignment="1">
      <alignment vertical="center"/>
    </xf>
    <xf numFmtId="0" fontId="59" fillId="7" borderId="0" xfId="6" applyFont="1" applyFill="1" applyAlignment="1">
      <alignment horizontal="center" vertical="center"/>
    </xf>
    <xf numFmtId="172" fontId="59" fillId="7" borderId="0" xfId="7" applyNumberFormat="1" applyFont="1" applyFill="1" applyAlignment="1">
      <alignment horizontal="center" vertical="center"/>
    </xf>
    <xf numFmtId="172" fontId="59" fillId="7" borderId="0" xfId="7" applyNumberFormat="1" applyFont="1" applyFill="1" applyAlignment="1">
      <alignment vertical="center"/>
    </xf>
    <xf numFmtId="0" fontId="58" fillId="0" borderId="0" xfId="6" applyFont="1" applyAlignment="1">
      <alignment vertical="center"/>
    </xf>
    <xf numFmtId="0" fontId="61" fillId="7" borderId="0" xfId="6" applyFont="1" applyFill="1" applyAlignment="1">
      <alignment vertical="center"/>
    </xf>
    <xf numFmtId="0" fontId="62" fillId="8" borderId="12" xfId="6" applyFont="1" applyFill="1" applyBorder="1" applyAlignment="1">
      <alignment vertical="center"/>
    </xf>
    <xf numFmtId="0" fontId="62" fillId="8" borderId="12" xfId="6" applyFont="1" applyFill="1" applyBorder="1" applyAlignment="1">
      <alignment horizontal="center" vertical="center"/>
    </xf>
    <xf numFmtId="0" fontId="62" fillId="8" borderId="13" xfId="6" applyFont="1" applyFill="1" applyBorder="1" applyAlignment="1">
      <alignment horizontal="center" vertical="center"/>
    </xf>
    <xf numFmtId="172" fontId="62" fillId="8" borderId="13" xfId="7" applyNumberFormat="1" applyFont="1" applyFill="1" applyBorder="1" applyAlignment="1">
      <alignment horizontal="center" vertical="center"/>
    </xf>
    <xf numFmtId="172" fontId="62" fillId="8" borderId="13" xfId="7" applyNumberFormat="1" applyFont="1" applyFill="1" applyBorder="1" applyAlignment="1">
      <alignment vertical="center"/>
    </xf>
    <xf numFmtId="172" fontId="62" fillId="8" borderId="14" xfId="7" applyNumberFormat="1" applyFont="1" applyFill="1" applyBorder="1" applyAlignment="1">
      <alignment vertical="center"/>
    </xf>
    <xf numFmtId="0" fontId="62" fillId="8" borderId="19" xfId="6" applyFont="1" applyFill="1" applyBorder="1" applyAlignment="1">
      <alignment horizontal="left" vertical="center"/>
    </xf>
    <xf numFmtId="0" fontId="62" fillId="8" borderId="19" xfId="6" applyFont="1" applyFill="1" applyBorder="1" applyAlignment="1">
      <alignment horizontal="center" vertical="center"/>
    </xf>
    <xf numFmtId="0" fontId="62" fillId="8" borderId="1" xfId="6" applyFont="1" applyFill="1" applyBorder="1" applyAlignment="1">
      <alignment horizontal="center" vertical="center"/>
    </xf>
    <xf numFmtId="172" fontId="62" fillId="8" borderId="1" xfId="7" applyNumberFormat="1" applyFont="1" applyFill="1" applyBorder="1" applyAlignment="1">
      <alignment horizontal="center" vertical="center"/>
    </xf>
    <xf numFmtId="172" fontId="62" fillId="8" borderId="1" xfId="7" applyNumberFormat="1" applyFont="1" applyFill="1" applyBorder="1" applyAlignment="1">
      <alignment horizontal="left" vertical="top" wrapText="1"/>
    </xf>
    <xf numFmtId="172" fontId="62" fillId="8" borderId="1" xfId="7" applyNumberFormat="1" applyFont="1" applyFill="1" applyBorder="1" applyAlignment="1">
      <alignment horizontal="right" vertical="center"/>
    </xf>
    <xf numFmtId="172" fontId="62" fillId="8" borderId="20" xfId="7" applyNumberFormat="1" applyFont="1" applyFill="1" applyBorder="1" applyAlignment="1">
      <alignment horizontal="right" vertical="center"/>
    </xf>
    <xf numFmtId="9" fontId="58" fillId="0" borderId="0" xfId="6" applyNumberFormat="1" applyFont="1" applyAlignment="1">
      <alignment vertical="center"/>
    </xf>
    <xf numFmtId="180" fontId="63" fillId="7" borderId="0" xfId="6" applyNumberFormat="1" applyFont="1" applyFill="1" applyAlignment="1">
      <alignment vertical="center"/>
    </xf>
    <xf numFmtId="0" fontId="64" fillId="7" borderId="15" xfId="8" applyFont="1" applyFill="1" applyBorder="1"/>
    <xf numFmtId="3" fontId="64" fillId="7" borderId="15" xfId="8" applyNumberFormat="1" applyFont="1" applyFill="1" applyBorder="1" applyAlignment="1">
      <alignment horizontal="center"/>
    </xf>
    <xf numFmtId="1" fontId="64" fillId="7" borderId="0" xfId="8" applyNumberFormat="1" applyFont="1" applyFill="1" applyAlignment="1">
      <alignment horizontal="center"/>
    </xf>
    <xf numFmtId="9" fontId="64" fillId="7" borderId="0" xfId="9" applyFont="1" applyFill="1" applyBorder="1" applyAlignment="1">
      <alignment horizontal="center"/>
    </xf>
    <xf numFmtId="3" fontId="64" fillId="7" borderId="0" xfId="10" applyNumberFormat="1" applyFont="1" applyFill="1" applyBorder="1" applyAlignment="1">
      <alignment horizontal="center" vertical="center"/>
    </xf>
    <xf numFmtId="188" fontId="64" fillId="7" borderId="0" xfId="11" applyNumberFormat="1" applyFont="1" applyFill="1" applyBorder="1" applyAlignment="1">
      <alignment horizontal="right" vertical="center"/>
    </xf>
    <xf numFmtId="191" fontId="65" fillId="7" borderId="0" xfId="6" applyNumberFormat="1" applyFont="1" applyFill="1" applyAlignment="1">
      <alignment horizontal="right" vertical="center"/>
    </xf>
    <xf numFmtId="188" fontId="65" fillId="7" borderId="0" xfId="7" applyNumberFormat="1" applyFont="1" applyFill="1" applyBorder="1" applyAlignment="1">
      <alignment horizontal="right" vertical="center"/>
    </xf>
    <xf numFmtId="188" fontId="65" fillId="7" borderId="16" xfId="7" applyNumberFormat="1" applyFont="1" applyFill="1" applyBorder="1" applyAlignment="1">
      <alignment horizontal="right" vertical="center"/>
    </xf>
    <xf numFmtId="0" fontId="66" fillId="7" borderId="21" xfId="6" applyFont="1" applyFill="1" applyBorder="1" applyAlignment="1">
      <alignment vertical="center"/>
    </xf>
    <xf numFmtId="3" fontId="66" fillId="7" borderId="22" xfId="6" applyNumberFormat="1" applyFont="1" applyFill="1" applyBorder="1" applyAlignment="1">
      <alignment horizontal="center" vertical="center"/>
    </xf>
    <xf numFmtId="1" fontId="66" fillId="7" borderId="22" xfId="6" applyNumberFormat="1" applyFont="1" applyFill="1" applyBorder="1" applyAlignment="1">
      <alignment horizontal="center" vertical="center"/>
    </xf>
    <xf numFmtId="9" fontId="66" fillId="7" borderId="22" xfId="9" applyFont="1" applyFill="1" applyBorder="1" applyAlignment="1">
      <alignment horizontal="center" vertical="center"/>
    </xf>
    <xf numFmtId="188" fontId="66" fillId="7" borderId="22" xfId="11" applyNumberFormat="1" applyFont="1" applyFill="1" applyBorder="1" applyAlignment="1">
      <alignment horizontal="right" vertical="center"/>
    </xf>
    <xf numFmtId="191" fontId="66" fillId="7" borderId="22" xfId="11" applyNumberFormat="1" applyFont="1" applyFill="1" applyBorder="1" applyAlignment="1">
      <alignment horizontal="right" vertical="center"/>
    </xf>
    <xf numFmtId="188" fontId="66" fillId="7" borderId="23" xfId="11" applyNumberFormat="1" applyFont="1" applyFill="1" applyBorder="1" applyAlignment="1">
      <alignment horizontal="right" vertical="center"/>
    </xf>
    <xf numFmtId="3" fontId="58" fillId="0" borderId="0" xfId="6" applyNumberFormat="1" applyFont="1" applyAlignment="1">
      <alignment vertical="center"/>
    </xf>
    <xf numFmtId="0" fontId="67" fillId="7" borderId="0" xfId="6" applyFont="1" applyFill="1" applyAlignment="1">
      <alignment vertical="center"/>
    </xf>
    <xf numFmtId="0" fontId="58" fillId="7" borderId="0" xfId="6" applyFont="1" applyFill="1" applyAlignment="1">
      <alignment horizontal="center" vertical="center"/>
    </xf>
    <xf numFmtId="172" fontId="58" fillId="7" borderId="0" xfId="7" applyNumberFormat="1" applyFont="1" applyFill="1" applyAlignment="1">
      <alignment horizontal="center" vertical="center"/>
    </xf>
    <xf numFmtId="172" fontId="58" fillId="7" borderId="0" xfId="7" applyNumberFormat="1" applyFont="1" applyFill="1" applyAlignment="1">
      <alignment vertical="center"/>
    </xf>
    <xf numFmtId="0" fontId="67" fillId="7" borderId="0" xfId="6" applyFont="1" applyFill="1" applyAlignment="1">
      <alignment horizontal="center" vertical="center"/>
    </xf>
    <xf numFmtId="172" fontId="67" fillId="7" borderId="0" xfId="7" applyNumberFormat="1" applyFont="1" applyFill="1" applyAlignment="1">
      <alignment horizontal="center" vertical="center"/>
    </xf>
    <xf numFmtId="172" fontId="67" fillId="7" borderId="0" xfId="7" applyNumberFormat="1" applyFont="1" applyFill="1" applyAlignment="1">
      <alignment vertical="center"/>
    </xf>
    <xf numFmtId="189" fontId="67" fillId="7" borderId="0" xfId="7" applyNumberFormat="1" applyFont="1" applyFill="1" applyAlignment="1">
      <alignment vertical="center"/>
    </xf>
    <xf numFmtId="187" fontId="58" fillId="7" borderId="0" xfId="6" applyNumberFormat="1" applyFont="1" applyFill="1" applyAlignment="1">
      <alignment vertical="center"/>
    </xf>
    <xf numFmtId="0" fontId="62" fillId="7" borderId="0" xfId="6" applyFont="1" applyFill="1" applyAlignment="1">
      <alignment horizontal="right" vertical="center"/>
    </xf>
    <xf numFmtId="3" fontId="62" fillId="7" borderId="27" xfId="6" applyNumberFormat="1" applyFont="1" applyFill="1" applyBorder="1" applyAlignment="1">
      <alignment horizontal="center" vertical="center"/>
    </xf>
    <xf numFmtId="0" fontId="68" fillId="7" borderId="0" xfId="6" applyFont="1" applyFill="1" applyAlignment="1">
      <alignment horizontal="left" vertical="center"/>
    </xf>
    <xf numFmtId="3" fontId="62" fillId="7" borderId="27" xfId="6" applyNumberFormat="1" applyFont="1" applyFill="1" applyBorder="1" applyAlignment="1">
      <alignment horizontal="right" vertical="center"/>
    </xf>
    <xf numFmtId="3" fontId="62" fillId="7" borderId="0" xfId="6" applyNumberFormat="1" applyFont="1" applyFill="1" applyAlignment="1">
      <alignment horizontal="center" vertical="center"/>
    </xf>
    <xf numFmtId="188" fontId="62" fillId="7" borderId="27" xfId="11" applyNumberFormat="1" applyFont="1" applyFill="1" applyBorder="1" applyAlignment="1">
      <alignment horizontal="right" vertical="center"/>
    </xf>
    <xf numFmtId="0" fontId="62" fillId="8" borderId="0" xfId="6" applyFont="1" applyFill="1" applyAlignment="1">
      <alignment vertical="center"/>
    </xf>
    <xf numFmtId="0" fontId="62" fillId="8" borderId="0" xfId="6" applyFont="1" applyFill="1" applyAlignment="1">
      <alignment horizontal="center" vertical="center"/>
    </xf>
    <xf numFmtId="0" fontId="62" fillId="8" borderId="0" xfId="6" applyFont="1" applyFill="1" applyAlignment="1">
      <alignment horizontal="right" vertical="center"/>
    </xf>
    <xf numFmtId="172" fontId="62" fillId="8" borderId="0" xfId="7" applyNumberFormat="1" applyFont="1" applyFill="1" applyAlignment="1">
      <alignment horizontal="right" vertical="center"/>
    </xf>
    <xf numFmtId="1" fontId="62" fillId="7" borderId="0" xfId="6" applyNumberFormat="1" applyFont="1" applyFill="1" applyAlignment="1">
      <alignment vertical="center"/>
    </xf>
    <xf numFmtId="0" fontId="67" fillId="7" borderId="0" xfId="6" applyFont="1" applyFill="1" applyAlignment="1">
      <alignment horizontal="right" vertical="center"/>
    </xf>
    <xf numFmtId="188" fontId="67" fillId="7" borderId="0" xfId="11" applyNumberFormat="1" applyFont="1" applyFill="1" applyAlignment="1">
      <alignment horizontal="right" vertical="center"/>
    </xf>
    <xf numFmtId="188" fontId="67" fillId="7" borderId="0" xfId="7" applyNumberFormat="1" applyFont="1" applyFill="1" applyAlignment="1">
      <alignment horizontal="right" vertical="center"/>
    </xf>
    <xf numFmtId="1" fontId="69" fillId="7" borderId="0" xfId="6" applyNumberFormat="1" applyFont="1" applyFill="1" applyAlignment="1">
      <alignment horizontal="center" vertical="center"/>
    </xf>
    <xf numFmtId="190" fontId="69" fillId="7" borderId="0" xfId="6" applyNumberFormat="1" applyFont="1" applyFill="1" applyAlignment="1">
      <alignment horizontal="center" vertical="center"/>
    </xf>
    <xf numFmtId="190" fontId="58" fillId="7" borderId="0" xfId="6" applyNumberFormat="1" applyFont="1" applyFill="1" applyAlignment="1">
      <alignment vertical="center"/>
    </xf>
    <xf numFmtId="194" fontId="58" fillId="0" borderId="0" xfId="6" applyNumberFormat="1" applyFont="1" applyAlignment="1">
      <alignment vertical="center"/>
    </xf>
    <xf numFmtId="0" fontId="62" fillId="7" borderId="0" xfId="6" applyFont="1" applyFill="1" applyAlignment="1">
      <alignment horizontal="left" vertical="center"/>
    </xf>
    <xf numFmtId="0" fontId="70" fillId="7" borderId="0" xfId="6" applyFont="1" applyFill="1" applyAlignment="1">
      <alignment horizontal="center" vertical="center"/>
    </xf>
    <xf numFmtId="188" fontId="62" fillId="7" borderId="0" xfId="7" applyNumberFormat="1" applyFont="1" applyFill="1" applyAlignment="1">
      <alignment horizontal="right" vertical="center"/>
    </xf>
    <xf numFmtId="168" fontId="69" fillId="7" borderId="0" xfId="9" applyNumberFormat="1" applyFont="1" applyFill="1" applyAlignment="1">
      <alignment horizontal="center" vertical="center"/>
    </xf>
    <xf numFmtId="0" fontId="69" fillId="7" borderId="0" xfId="6" applyFont="1" applyFill="1" applyAlignment="1">
      <alignment horizontal="left" vertical="center"/>
    </xf>
    <xf numFmtId="188" fontId="71" fillId="7" borderId="0" xfId="7" applyNumberFormat="1" applyFont="1" applyFill="1" applyAlignment="1">
      <alignment horizontal="right" vertical="center"/>
    </xf>
    <xf numFmtId="3" fontId="69" fillId="7" borderId="0" xfId="6" applyNumberFormat="1" applyFont="1" applyFill="1" applyAlignment="1">
      <alignment horizontal="center" vertical="center"/>
    </xf>
    <xf numFmtId="188" fontId="69" fillId="7" borderId="0" xfId="7" applyNumberFormat="1" applyFont="1" applyFill="1" applyAlignment="1">
      <alignment horizontal="right" vertical="center"/>
    </xf>
    <xf numFmtId="0" fontId="62" fillId="7" borderId="0" xfId="6" applyFont="1" applyFill="1" applyAlignment="1">
      <alignment vertical="center"/>
    </xf>
    <xf numFmtId="10" fontId="62" fillId="7" borderId="0" xfId="9" applyNumberFormat="1" applyFont="1" applyFill="1" applyAlignment="1">
      <alignment horizontal="center" vertical="center"/>
    </xf>
    <xf numFmtId="0" fontId="62" fillId="7" borderId="0" xfId="6" applyFont="1" applyFill="1" applyAlignment="1">
      <alignment horizontal="center" vertical="center"/>
    </xf>
    <xf numFmtId="187" fontId="72" fillId="7" borderId="0" xfId="6" applyNumberFormat="1" applyFont="1" applyFill="1" applyAlignment="1">
      <alignment vertical="center"/>
    </xf>
    <xf numFmtId="187" fontId="62" fillId="7" borderId="0" xfId="6" applyNumberFormat="1" applyFont="1" applyFill="1" applyAlignment="1">
      <alignment horizontal="right" vertical="center"/>
    </xf>
    <xf numFmtId="187" fontId="62" fillId="8" borderId="0" xfId="7" applyNumberFormat="1" applyFont="1" applyFill="1" applyAlignment="1">
      <alignment horizontal="right" vertical="center"/>
    </xf>
    <xf numFmtId="187" fontId="62" fillId="8" borderId="0" xfId="7" applyNumberFormat="1" applyFont="1" applyFill="1" applyAlignment="1">
      <alignment vertical="center"/>
    </xf>
    <xf numFmtId="0" fontId="73" fillId="7" borderId="0" xfId="6" applyFont="1" applyFill="1" applyAlignment="1">
      <alignment vertical="center"/>
    </xf>
    <xf numFmtId="1" fontId="67" fillId="7" borderId="0" xfId="6" applyNumberFormat="1" applyFont="1" applyFill="1" applyAlignment="1">
      <alignment horizontal="center" vertical="center"/>
    </xf>
    <xf numFmtId="168" fontId="67" fillId="7" borderId="0" xfId="9" applyNumberFormat="1" applyFont="1" applyFill="1" applyAlignment="1">
      <alignment horizontal="right" vertical="center"/>
    </xf>
    <xf numFmtId="190" fontId="58" fillId="7" borderId="0" xfId="6" applyNumberFormat="1" applyFont="1" applyFill="1" applyAlignment="1">
      <alignment horizontal="center" vertical="center"/>
    </xf>
    <xf numFmtId="0" fontId="67" fillId="7" borderId="0" xfId="6" applyFont="1" applyFill="1" applyAlignment="1">
      <alignment vertical="center" wrapText="1"/>
    </xf>
    <xf numFmtId="188" fontId="67" fillId="0" borderId="0" xfId="11" applyNumberFormat="1" applyFont="1" applyFill="1" applyAlignment="1">
      <alignment horizontal="right" vertical="center"/>
    </xf>
    <xf numFmtId="0" fontId="65" fillId="0" borderId="0" xfId="6" applyFont="1" applyAlignment="1">
      <alignment vertical="center"/>
    </xf>
    <xf numFmtId="0" fontId="65" fillId="7" borderId="0" xfId="6" applyFont="1" applyFill="1" applyAlignment="1">
      <alignment vertical="center"/>
    </xf>
    <xf numFmtId="10" fontId="69" fillId="7" borderId="0" xfId="9" applyNumberFormat="1" applyFont="1" applyFill="1" applyAlignment="1">
      <alignment horizontal="center" vertical="center"/>
    </xf>
    <xf numFmtId="0" fontId="73" fillId="0" borderId="0" xfId="6" applyFont="1" applyAlignment="1">
      <alignment vertical="center"/>
    </xf>
    <xf numFmtId="0" fontId="74" fillId="7" borderId="0" xfId="6" applyFont="1" applyFill="1" applyAlignment="1">
      <alignment vertical="center"/>
    </xf>
    <xf numFmtId="192" fontId="75" fillId="9" borderId="0" xfId="9" applyNumberFormat="1" applyFont="1" applyFill="1" applyAlignment="1">
      <alignment horizontal="center" vertical="center" wrapText="1"/>
    </xf>
    <xf numFmtId="0" fontId="67" fillId="0" borderId="0" xfId="6" applyFont="1" applyAlignment="1">
      <alignment vertical="center"/>
    </xf>
    <xf numFmtId="10" fontId="67" fillId="7" borderId="0" xfId="9" applyNumberFormat="1" applyFont="1" applyFill="1" applyAlignment="1">
      <alignment horizontal="center" vertical="center"/>
    </xf>
    <xf numFmtId="168" fontId="62" fillId="7" borderId="0" xfId="9" applyNumberFormat="1" applyFont="1" applyFill="1" applyAlignment="1">
      <alignment horizontal="center" vertical="center"/>
    </xf>
    <xf numFmtId="188" fontId="62" fillId="7" borderId="0" xfId="6" applyNumberFormat="1" applyFont="1" applyFill="1" applyAlignment="1">
      <alignment horizontal="right" vertical="center"/>
    </xf>
    <xf numFmtId="168" fontId="62" fillId="7" borderId="0" xfId="9" applyNumberFormat="1" applyFont="1" applyFill="1" applyAlignment="1">
      <alignment horizontal="right" vertical="center"/>
    </xf>
    <xf numFmtId="191" fontId="62" fillId="7" borderId="0" xfId="6" applyNumberFormat="1" applyFont="1" applyFill="1" applyAlignment="1">
      <alignment horizontal="right" vertical="center"/>
    </xf>
    <xf numFmtId="168" fontId="58" fillId="7" borderId="0" xfId="9" applyNumberFormat="1" applyFont="1" applyFill="1" applyAlignment="1">
      <alignment vertical="center"/>
    </xf>
    <xf numFmtId="0" fontId="62" fillId="8" borderId="0" xfId="6" applyFont="1" applyFill="1" applyAlignment="1">
      <alignment horizontal="left" vertical="center"/>
    </xf>
    <xf numFmtId="188" fontId="62" fillId="8" borderId="0" xfId="7" applyNumberFormat="1" applyFont="1" applyFill="1" applyAlignment="1">
      <alignment horizontal="right" vertical="center"/>
    </xf>
    <xf numFmtId="0" fontId="68" fillId="7" borderId="0" xfId="6" applyFont="1" applyFill="1" applyAlignment="1">
      <alignment vertical="center"/>
    </xf>
    <xf numFmtId="0" fontId="77" fillId="7" borderId="0" xfId="6" applyFont="1" applyFill="1" applyAlignment="1">
      <alignment vertical="center"/>
    </xf>
    <xf numFmtId="172" fontId="58" fillId="7" borderId="0" xfId="6" applyNumberFormat="1" applyFont="1" applyFill="1" applyAlignment="1">
      <alignment vertical="center"/>
    </xf>
    <xf numFmtId="0" fontId="78" fillId="0" borderId="0" xfId="8" applyFont="1"/>
    <xf numFmtId="0" fontId="62" fillId="8" borderId="25" xfId="6" applyFont="1" applyFill="1" applyBorder="1" applyAlignment="1">
      <alignment horizontal="center" vertical="center"/>
    </xf>
    <xf numFmtId="172" fontId="70" fillId="8" borderId="25" xfId="7" applyNumberFormat="1" applyFont="1" applyFill="1" applyBorder="1" applyAlignment="1">
      <alignment horizontal="center" vertical="center" wrapText="1"/>
    </xf>
    <xf numFmtId="172" fontId="62" fillId="8" borderId="25" xfId="7" applyNumberFormat="1" applyFont="1" applyFill="1" applyBorder="1" applyAlignment="1">
      <alignment horizontal="center" vertical="center" wrapText="1"/>
    </xf>
    <xf numFmtId="0" fontId="67" fillId="7" borderId="25" xfId="6" applyFont="1" applyFill="1" applyBorder="1" applyAlignment="1">
      <alignment horizontal="right" vertical="center"/>
    </xf>
    <xf numFmtId="10" fontId="67" fillId="7" borderId="25" xfId="9" applyNumberFormat="1" applyFont="1" applyFill="1" applyBorder="1" applyAlignment="1">
      <alignment horizontal="center" vertical="center"/>
    </xf>
    <xf numFmtId="188" fontId="67" fillId="7" borderId="25" xfId="7" applyNumberFormat="1" applyFont="1" applyFill="1" applyBorder="1" applyAlignment="1">
      <alignment horizontal="center" vertical="center"/>
    </xf>
    <xf numFmtId="188" fontId="62" fillId="7" borderId="25" xfId="7" applyNumberFormat="1" applyFont="1" applyFill="1" applyBorder="1" applyAlignment="1">
      <alignment horizontal="center" vertical="center"/>
    </xf>
    <xf numFmtId="0" fontId="58" fillId="0" borderId="0" xfId="6" applyFont="1" applyAlignment="1">
      <alignment horizontal="center" vertical="center"/>
    </xf>
    <xf numFmtId="164" fontId="69" fillId="7" borderId="0" xfId="10" applyFont="1" applyFill="1" applyAlignment="1">
      <alignment horizontal="center" vertical="center"/>
    </xf>
    <xf numFmtId="193" fontId="67" fillId="7" borderId="0" xfId="7" applyNumberFormat="1" applyFont="1" applyFill="1" applyAlignment="1">
      <alignment vertical="center"/>
    </xf>
    <xf numFmtId="193" fontId="62" fillId="7" borderId="0" xfId="7" applyNumberFormat="1" applyFont="1" applyFill="1" applyAlignment="1">
      <alignment vertical="center"/>
    </xf>
    <xf numFmtId="0" fontId="79" fillId="7" borderId="0" xfId="6" applyFont="1" applyFill="1" applyAlignment="1">
      <alignment horizontal="left" vertical="center"/>
    </xf>
    <xf numFmtId="0" fontId="80" fillId="7" borderId="0" xfId="6" applyFont="1" applyFill="1" applyAlignment="1">
      <alignment vertical="center"/>
    </xf>
    <xf numFmtId="0" fontId="58" fillId="7" borderId="0" xfId="6" applyFont="1" applyFill="1" applyAlignment="1">
      <alignment horizontal="center" vertical="center" wrapText="1"/>
    </xf>
    <xf numFmtId="0" fontId="64" fillId="7" borderId="0" xfId="6" applyFont="1" applyFill="1" applyAlignment="1">
      <alignment horizontal="left" vertical="center"/>
    </xf>
    <xf numFmtId="172" fontId="61" fillId="7" borderId="0" xfId="7" applyNumberFormat="1" applyFont="1" applyFill="1" applyAlignment="1">
      <alignment horizontal="center" vertical="center" wrapText="1"/>
    </xf>
    <xf numFmtId="172" fontId="61" fillId="7" borderId="0" xfId="7" applyNumberFormat="1" applyFont="1" applyFill="1" applyAlignment="1">
      <alignment vertical="center"/>
    </xf>
    <xf numFmtId="0" fontId="65" fillId="7" borderId="0" xfId="6" applyFont="1" applyFill="1" applyAlignment="1">
      <alignment horizontal="center" vertical="center"/>
    </xf>
    <xf numFmtId="187" fontId="59" fillId="7" borderId="0" xfId="11" applyFont="1" applyFill="1" applyAlignment="1">
      <alignment vertical="center"/>
    </xf>
    <xf numFmtId="172" fontId="61" fillId="7" borderId="0" xfId="7" applyNumberFormat="1" applyFont="1" applyFill="1" applyAlignment="1">
      <alignment horizontal="center" vertical="center"/>
    </xf>
    <xf numFmtId="187" fontId="73" fillId="7" borderId="0" xfId="6" applyNumberFormat="1" applyFont="1" applyFill="1" applyAlignment="1">
      <alignment vertical="center"/>
    </xf>
    <xf numFmtId="0" fontId="65" fillId="7" borderId="0" xfId="6" applyFont="1" applyFill="1" applyAlignment="1">
      <alignment horizontal="left" vertical="center"/>
    </xf>
    <xf numFmtId="0" fontId="66" fillId="7" borderId="0" xfId="6" applyFont="1" applyFill="1" applyAlignment="1">
      <alignment horizontal="left" vertical="center"/>
    </xf>
    <xf numFmtId="0" fontId="58" fillId="17" borderId="0" xfId="6" applyFont="1" applyFill="1" applyAlignment="1">
      <alignment horizontal="center" vertical="center"/>
    </xf>
    <xf numFmtId="0" fontId="81" fillId="17" borderId="0" xfId="6" applyFont="1" applyFill="1" applyAlignment="1">
      <alignment horizontal="left" vertical="center"/>
    </xf>
    <xf numFmtId="0" fontId="58" fillId="0" borderId="0" xfId="6" applyFont="1" applyAlignment="1">
      <alignment horizontal="right" vertical="center"/>
    </xf>
    <xf numFmtId="0" fontId="74" fillId="18" borderId="0" xfId="6" applyFont="1" applyFill="1" applyAlignment="1">
      <alignment horizontal="left" vertical="center"/>
    </xf>
    <xf numFmtId="0" fontId="63" fillId="18" borderId="0" xfId="6" applyFont="1" applyFill="1" applyAlignment="1">
      <alignment horizontal="center" vertical="center"/>
    </xf>
    <xf numFmtId="0" fontId="58" fillId="0" borderId="10" xfId="6" applyFont="1" applyBorder="1" applyAlignment="1">
      <alignment horizontal="right" vertical="center"/>
    </xf>
    <xf numFmtId="180" fontId="82" fillId="0" borderId="8" xfId="10" applyNumberFormat="1" applyFont="1" applyBorder="1" applyAlignment="1">
      <alignment horizontal="center" vertical="center"/>
    </xf>
    <xf numFmtId="0" fontId="58" fillId="0" borderId="9" xfId="6" applyFont="1" applyBorder="1" applyAlignment="1">
      <alignment horizontal="center" vertical="center"/>
    </xf>
    <xf numFmtId="0" fontId="73" fillId="0" borderId="10" xfId="6" applyFont="1" applyBorder="1" applyAlignment="1">
      <alignment horizontal="center" vertical="center"/>
    </xf>
    <xf numFmtId="0" fontId="58" fillId="0" borderId="4" xfId="6" applyFont="1" applyBorder="1" applyAlignment="1">
      <alignment horizontal="right" vertical="center"/>
    </xf>
    <xf numFmtId="3" fontId="58" fillId="0" borderId="0" xfId="6" applyNumberFormat="1" applyFont="1" applyAlignment="1">
      <alignment horizontal="right" vertical="center"/>
    </xf>
    <xf numFmtId="9" fontId="58" fillId="0" borderId="7" xfId="9" applyFont="1" applyBorder="1" applyAlignment="1">
      <alignment horizontal="right" vertical="center"/>
    </xf>
    <xf numFmtId="1" fontId="58" fillId="0" borderId="4" xfId="6" applyNumberFormat="1" applyFont="1" applyBorder="1" applyAlignment="1">
      <alignment horizontal="center" vertical="center"/>
    </xf>
    <xf numFmtId="0" fontId="58" fillId="0" borderId="7" xfId="6" applyFont="1" applyBorder="1" applyAlignment="1">
      <alignment horizontal="center" vertical="center"/>
    </xf>
    <xf numFmtId="3" fontId="83" fillId="0" borderId="0" xfId="6" applyNumberFormat="1" applyFont="1" applyAlignment="1">
      <alignment horizontal="right" vertical="center"/>
    </xf>
    <xf numFmtId="0" fontId="73" fillId="0" borderId="5" xfId="6" applyFont="1" applyBorder="1" applyAlignment="1">
      <alignment horizontal="right" vertical="center"/>
    </xf>
    <xf numFmtId="3" fontId="73" fillId="0" borderId="2" xfId="6" applyNumberFormat="1" applyFont="1" applyBorder="1" applyAlignment="1">
      <alignment horizontal="right" vertical="center"/>
    </xf>
    <xf numFmtId="9" fontId="58" fillId="0" borderId="6" xfId="9" applyFont="1" applyBorder="1" applyAlignment="1">
      <alignment horizontal="right" vertical="center"/>
    </xf>
    <xf numFmtId="0" fontId="58" fillId="0" borderId="5" xfId="6" applyFont="1" applyBorder="1" applyAlignment="1">
      <alignment horizontal="center" vertical="center"/>
    </xf>
    <xf numFmtId="0" fontId="58" fillId="0" borderId="6" xfId="6" applyFont="1" applyBorder="1" applyAlignment="1">
      <alignment horizontal="center" vertical="center"/>
    </xf>
    <xf numFmtId="180" fontId="58" fillId="0" borderId="0" xfId="6" applyNumberFormat="1" applyFont="1" applyAlignment="1">
      <alignment horizontal="center" vertical="center"/>
    </xf>
    <xf numFmtId="0" fontId="84" fillId="0" borderId="0" xfId="6" applyFont="1" applyAlignment="1">
      <alignment horizontal="left" vertical="center"/>
    </xf>
    <xf numFmtId="0" fontId="73" fillId="0" borderId="0" xfId="6" applyFont="1" applyAlignment="1">
      <alignment horizontal="left" vertical="center"/>
    </xf>
    <xf numFmtId="0" fontId="73" fillId="0" borderId="3" xfId="6" applyFont="1" applyBorder="1" applyAlignment="1">
      <alignment horizontal="center" vertical="center"/>
    </xf>
    <xf numFmtId="0" fontId="73" fillId="0" borderId="24" xfId="6" applyFont="1" applyBorder="1" applyAlignment="1">
      <alignment horizontal="center" vertical="center"/>
    </xf>
    <xf numFmtId="0" fontId="73" fillId="0" borderId="11" xfId="6" applyFont="1" applyBorder="1" applyAlignment="1">
      <alignment horizontal="center" vertical="center"/>
    </xf>
    <xf numFmtId="191" fontId="58" fillId="0" borderId="4" xfId="6" applyNumberFormat="1" applyFont="1" applyBorder="1" applyAlignment="1">
      <alignment vertical="center"/>
    </xf>
    <xf numFmtId="191" fontId="58" fillId="0" borderId="26" xfId="6" applyNumberFormat="1" applyFont="1" applyBorder="1" applyAlignment="1">
      <alignment vertical="center"/>
    </xf>
    <xf numFmtId="191" fontId="58" fillId="0" borderId="0" xfId="6" applyNumberFormat="1" applyFont="1" applyAlignment="1">
      <alignment vertical="center"/>
    </xf>
    <xf numFmtId="191" fontId="73" fillId="7" borderId="11" xfId="6" applyNumberFormat="1" applyFont="1" applyFill="1" applyBorder="1" applyAlignment="1">
      <alignment vertical="center"/>
    </xf>
    <xf numFmtId="191" fontId="73" fillId="7" borderId="25" xfId="6" applyNumberFormat="1" applyFont="1" applyFill="1" applyBorder="1" applyAlignment="1">
      <alignment vertical="center"/>
    </xf>
    <xf numFmtId="191" fontId="73" fillId="0" borderId="3" xfId="6" applyNumberFormat="1" applyFont="1" applyBorder="1" applyAlignment="1">
      <alignment vertical="center"/>
    </xf>
    <xf numFmtId="191" fontId="73" fillId="0" borderId="25" xfId="6" applyNumberFormat="1" applyFont="1" applyBorder="1" applyAlignment="1">
      <alignment vertical="center"/>
    </xf>
    <xf numFmtId="191" fontId="73" fillId="0" borderId="11" xfId="6" applyNumberFormat="1" applyFont="1" applyBorder="1" applyAlignment="1">
      <alignment vertical="center"/>
    </xf>
    <xf numFmtId="188" fontId="73" fillId="0" borderId="0" xfId="6" applyNumberFormat="1" applyFont="1" applyAlignment="1">
      <alignment horizontal="center" vertical="center"/>
    </xf>
    <xf numFmtId="0" fontId="66" fillId="7" borderId="0" xfId="6" applyFont="1" applyFill="1" applyAlignment="1">
      <alignment horizontal="right" vertical="center"/>
    </xf>
    <xf numFmtId="0" fontId="84" fillId="7" borderId="0" xfId="6" applyFont="1" applyFill="1" applyAlignment="1">
      <alignment horizontal="right" vertical="center"/>
    </xf>
    <xf numFmtId="188" fontId="84" fillId="3" borderId="11" xfId="11" applyNumberFormat="1" applyFont="1" applyFill="1" applyBorder="1" applyAlignment="1">
      <alignment vertical="center"/>
    </xf>
    <xf numFmtId="188" fontId="84" fillId="3" borderId="3" xfId="11" applyNumberFormat="1" applyFont="1" applyFill="1" applyBorder="1" applyAlignment="1">
      <alignment vertical="center"/>
    </xf>
    <xf numFmtId="188" fontId="58" fillId="0" borderId="0" xfId="6" applyNumberFormat="1" applyFont="1" applyAlignment="1">
      <alignment horizontal="center" vertical="center"/>
    </xf>
    <xf numFmtId="188" fontId="84" fillId="7" borderId="0" xfId="11" applyNumberFormat="1" applyFont="1" applyFill="1" applyBorder="1" applyAlignment="1">
      <alignment vertical="center"/>
    </xf>
    <xf numFmtId="191" fontId="58" fillId="7" borderId="0" xfId="11" applyNumberFormat="1" applyFont="1" applyFill="1" applyBorder="1" applyAlignment="1">
      <alignment horizontal="right" vertical="center"/>
    </xf>
    <xf numFmtId="0" fontId="73" fillId="7" borderId="0" xfId="6" applyFont="1" applyFill="1" applyAlignment="1">
      <alignment horizontal="right" vertical="center"/>
    </xf>
    <xf numFmtId="188" fontId="85" fillId="7" borderId="11" xfId="11" applyNumberFormat="1" applyFont="1" applyFill="1" applyBorder="1" applyAlignment="1">
      <alignment vertical="center"/>
    </xf>
    <xf numFmtId="188" fontId="58" fillId="7" borderId="3" xfId="11" applyNumberFormat="1" applyFont="1" applyFill="1" applyBorder="1" applyAlignment="1">
      <alignment vertical="center"/>
    </xf>
    <xf numFmtId="188" fontId="73" fillId="7" borderId="3" xfId="11" applyNumberFormat="1" applyFont="1" applyFill="1" applyBorder="1" applyAlignment="1">
      <alignment vertical="center"/>
    </xf>
    <xf numFmtId="188" fontId="73" fillId="7" borderId="24" xfId="11" applyNumberFormat="1" applyFont="1" applyFill="1" applyBorder="1" applyAlignment="1">
      <alignment vertical="center"/>
    </xf>
    <xf numFmtId="188" fontId="58" fillId="7" borderId="0" xfId="11" applyNumberFormat="1" applyFont="1" applyFill="1" applyBorder="1" applyAlignment="1">
      <alignment vertical="center"/>
    </xf>
    <xf numFmtId="191" fontId="84" fillId="7" borderId="0" xfId="11" applyNumberFormat="1" applyFont="1" applyFill="1" applyBorder="1" applyAlignment="1">
      <alignment vertical="center"/>
    </xf>
    <xf numFmtId="191" fontId="73" fillId="7" borderId="0" xfId="11" applyNumberFormat="1" applyFont="1" applyFill="1" applyAlignment="1">
      <alignment vertical="center"/>
    </xf>
    <xf numFmtId="9" fontId="58" fillId="7" borderId="0" xfId="9" applyFont="1" applyFill="1" applyAlignment="1">
      <alignment vertical="center"/>
    </xf>
    <xf numFmtId="191" fontId="73" fillId="0" borderId="0" xfId="6" applyNumberFormat="1" applyFont="1" applyAlignment="1">
      <alignment vertical="center"/>
    </xf>
    <xf numFmtId="0" fontId="82" fillId="7" borderId="0" xfId="6" applyFont="1" applyFill="1" applyAlignment="1">
      <alignment horizontal="right" vertical="center"/>
    </xf>
    <xf numFmtId="191" fontId="82" fillId="3" borderId="10" xfId="11" applyNumberFormat="1" applyFont="1" applyFill="1" applyBorder="1" applyAlignment="1">
      <alignment vertical="center"/>
    </xf>
    <xf numFmtId="191" fontId="73" fillId="7" borderId="8" xfId="11" applyNumberFormat="1" applyFont="1" applyFill="1" applyBorder="1" applyAlignment="1">
      <alignment vertical="center"/>
    </xf>
    <xf numFmtId="188" fontId="85" fillId="7" borderId="9" xfId="11" applyNumberFormat="1" applyFont="1" applyFill="1" applyBorder="1" applyAlignment="1">
      <alignment vertical="center"/>
    </xf>
    <xf numFmtId="191" fontId="82" fillId="7" borderId="0" xfId="11" applyNumberFormat="1" applyFont="1" applyFill="1" applyAlignment="1">
      <alignment vertical="center"/>
    </xf>
    <xf numFmtId="188" fontId="73" fillId="7" borderId="4" xfId="11" applyNumberFormat="1" applyFont="1" applyFill="1" applyBorder="1" applyAlignment="1">
      <alignment vertical="center"/>
    </xf>
    <xf numFmtId="191" fontId="73" fillId="7" borderId="0" xfId="11" applyNumberFormat="1" applyFont="1" applyFill="1" applyBorder="1" applyAlignment="1">
      <alignment vertical="center"/>
    </xf>
    <xf numFmtId="188" fontId="73" fillId="7" borderId="7" xfId="11" applyNumberFormat="1" applyFont="1" applyFill="1" applyBorder="1" applyAlignment="1">
      <alignment vertical="center"/>
    </xf>
    <xf numFmtId="191" fontId="85" fillId="7" borderId="4" xfId="11" applyNumberFormat="1" applyFont="1" applyFill="1" applyBorder="1" applyAlignment="1">
      <alignment vertical="center"/>
    </xf>
    <xf numFmtId="191" fontId="73" fillId="7" borderId="7" xfId="11" applyNumberFormat="1" applyFont="1" applyFill="1" applyBorder="1" applyAlignment="1">
      <alignment vertical="center"/>
    </xf>
    <xf numFmtId="191" fontId="85" fillId="7" borderId="5" xfId="11" applyNumberFormat="1" applyFont="1" applyFill="1" applyBorder="1" applyAlignment="1">
      <alignment vertical="center"/>
    </xf>
    <xf numFmtId="191" fontId="73" fillId="7" borderId="2" xfId="11" applyNumberFormat="1" applyFont="1" applyFill="1" applyBorder="1" applyAlignment="1">
      <alignment vertical="center"/>
    </xf>
    <xf numFmtId="191" fontId="73" fillId="7" borderId="6" xfId="11" applyNumberFormat="1" applyFont="1" applyFill="1" applyBorder="1" applyAlignment="1">
      <alignment vertical="center"/>
    </xf>
    <xf numFmtId="0" fontId="74" fillId="18" borderId="10" xfId="6" applyFont="1" applyFill="1" applyBorder="1" applyAlignment="1">
      <alignment horizontal="left" vertical="center"/>
    </xf>
    <xf numFmtId="191" fontId="63" fillId="18" borderId="8" xfId="11" applyNumberFormat="1" applyFont="1" applyFill="1" applyBorder="1" applyAlignment="1">
      <alignment horizontal="right" vertical="center"/>
    </xf>
    <xf numFmtId="191" fontId="63" fillId="18" borderId="8" xfId="11" applyNumberFormat="1" applyFont="1" applyFill="1" applyBorder="1" applyAlignment="1">
      <alignment vertical="center"/>
    </xf>
    <xf numFmtId="191" fontId="74" fillId="18" borderId="10" xfId="11" applyNumberFormat="1" applyFont="1" applyFill="1" applyBorder="1" applyAlignment="1">
      <alignment vertical="center"/>
    </xf>
    <xf numFmtId="191" fontId="74" fillId="18" borderId="9" xfId="11" applyNumberFormat="1" applyFont="1" applyFill="1" applyBorder="1" applyAlignment="1">
      <alignment vertical="center"/>
    </xf>
    <xf numFmtId="0" fontId="74" fillId="7" borderId="4" xfId="6" applyFont="1" applyFill="1" applyBorder="1" applyAlignment="1">
      <alignment horizontal="left" vertical="center"/>
    </xf>
    <xf numFmtId="191" fontId="76" fillId="0" borderId="0" xfId="11" applyNumberFormat="1" applyFont="1" applyBorder="1" applyAlignment="1">
      <alignment horizontal="right" vertical="center"/>
    </xf>
    <xf numFmtId="191" fontId="76" fillId="7" borderId="0" xfId="11" applyNumberFormat="1" applyFont="1" applyFill="1" applyBorder="1" applyAlignment="1">
      <alignment vertical="center"/>
    </xf>
    <xf numFmtId="188" fontId="58" fillId="0" borderId="4" xfId="11" applyNumberFormat="1" applyFont="1" applyBorder="1" applyAlignment="1">
      <alignment vertical="center"/>
    </xf>
    <xf numFmtId="188" fontId="58" fillId="0" borderId="7" xfId="11" applyNumberFormat="1" applyFont="1" applyBorder="1" applyAlignment="1">
      <alignment vertical="center"/>
    </xf>
    <xf numFmtId="0" fontId="73" fillId="0" borderId="11" xfId="6" applyFont="1" applyBorder="1" applyAlignment="1">
      <alignment vertical="center"/>
    </xf>
    <xf numFmtId="191" fontId="73" fillId="0" borderId="3" xfId="11" applyNumberFormat="1" applyFont="1" applyBorder="1" applyAlignment="1">
      <alignment vertical="center"/>
    </xf>
    <xf numFmtId="188" fontId="73" fillId="7" borderId="11" xfId="6" applyNumberFormat="1" applyFont="1" applyFill="1" applyBorder="1" applyAlignment="1">
      <alignment vertical="center"/>
    </xf>
    <xf numFmtId="188" fontId="73" fillId="7" borderId="24" xfId="6" applyNumberFormat="1" applyFont="1" applyFill="1" applyBorder="1" applyAlignment="1">
      <alignment vertical="center"/>
    </xf>
    <xf numFmtId="0" fontId="58" fillId="0" borderId="11" xfId="6" applyFont="1" applyBorder="1" applyAlignment="1">
      <alignment vertical="center"/>
    </xf>
    <xf numFmtId="191" fontId="58" fillId="0" borderId="3" xfId="11" applyNumberFormat="1" applyFont="1" applyBorder="1" applyAlignment="1">
      <alignment vertical="center"/>
    </xf>
    <xf numFmtId="191" fontId="63" fillId="7" borderId="3" xfId="11" applyNumberFormat="1" applyFont="1" applyFill="1" applyBorder="1" applyAlignment="1">
      <alignment vertical="center"/>
    </xf>
    <xf numFmtId="188" fontId="58" fillId="7" borderId="11" xfId="11" applyNumberFormat="1" applyFont="1" applyFill="1" applyBorder="1" applyAlignment="1">
      <alignment vertical="center"/>
    </xf>
    <xf numFmtId="188" fontId="58" fillId="7" borderId="24" xfId="11" applyNumberFormat="1" applyFont="1" applyFill="1" applyBorder="1" applyAlignment="1">
      <alignment vertical="center"/>
    </xf>
    <xf numFmtId="0" fontId="73" fillId="0" borderId="10" xfId="6" applyFont="1" applyBorder="1" applyAlignment="1">
      <alignment horizontal="right" vertical="center"/>
    </xf>
    <xf numFmtId="0" fontId="73" fillId="0" borderId="9" xfId="6" applyFont="1" applyBorder="1" applyAlignment="1">
      <alignment horizontal="right" vertical="center"/>
    </xf>
    <xf numFmtId="0" fontId="58" fillId="0" borderId="4" xfId="6" applyFont="1" applyBorder="1" applyAlignment="1">
      <alignment vertical="center"/>
    </xf>
    <xf numFmtId="191" fontId="58" fillId="0" borderId="0" xfId="11" applyNumberFormat="1" applyFont="1" applyBorder="1" applyAlignment="1">
      <alignment vertical="center"/>
    </xf>
    <xf numFmtId="191" fontId="63" fillId="7" borderId="0" xfId="11" applyNumberFormat="1" applyFont="1" applyFill="1" applyBorder="1" applyAlignment="1">
      <alignment vertical="center"/>
    </xf>
    <xf numFmtId="188" fontId="85" fillId="7" borderId="7" xfId="11" applyNumberFormat="1" applyFont="1" applyFill="1" applyBorder="1" applyAlignment="1">
      <alignment vertical="center"/>
    </xf>
    <xf numFmtId="188" fontId="85" fillId="0" borderId="5" xfId="6" applyNumberFormat="1" applyFont="1" applyBorder="1" applyAlignment="1">
      <alignment vertical="center"/>
    </xf>
    <xf numFmtId="188" fontId="85" fillId="0" borderId="6" xfId="6" applyNumberFormat="1" applyFont="1" applyBorder="1" applyAlignment="1">
      <alignment vertical="center"/>
    </xf>
    <xf numFmtId="0" fontId="73" fillId="0" borderId="5" xfId="6" applyFont="1" applyBorder="1" applyAlignment="1">
      <alignment vertical="center"/>
    </xf>
    <xf numFmtId="191" fontId="58" fillId="0" borderId="2" xfId="11" applyNumberFormat="1" applyFont="1" applyBorder="1" applyAlignment="1">
      <alignment vertical="center"/>
    </xf>
    <xf numFmtId="188" fontId="73" fillId="0" borderId="2" xfId="8" applyNumberFormat="1" applyFont="1" applyBorder="1"/>
    <xf numFmtId="188" fontId="82" fillId="3" borderId="6" xfId="11" applyNumberFormat="1" applyFont="1" applyFill="1" applyBorder="1" applyAlignment="1">
      <alignment vertical="center"/>
    </xf>
    <xf numFmtId="0" fontId="66" fillId="7" borderId="10" xfId="6" applyFont="1" applyFill="1" applyBorder="1" applyAlignment="1">
      <alignment horizontal="left" vertical="center"/>
    </xf>
    <xf numFmtId="0" fontId="59" fillId="7" borderId="8" xfId="6" applyFont="1" applyFill="1" applyBorder="1" applyAlignment="1">
      <alignment vertical="center"/>
    </xf>
    <xf numFmtId="172" fontId="74" fillId="18" borderId="8" xfId="7" applyNumberFormat="1" applyFont="1" applyFill="1" applyBorder="1" applyAlignment="1">
      <alignment vertical="center"/>
    </xf>
    <xf numFmtId="172" fontId="63" fillId="18" borderId="8" xfId="7" applyNumberFormat="1" applyFont="1" applyFill="1" applyBorder="1" applyAlignment="1">
      <alignment vertical="center"/>
    </xf>
    <xf numFmtId="172" fontId="63" fillId="18" borderId="9" xfId="7" applyNumberFormat="1" applyFont="1" applyFill="1" applyBorder="1" applyAlignment="1">
      <alignment vertical="center"/>
    </xf>
    <xf numFmtId="0" fontId="73" fillId="7" borderId="4" xfId="6" applyFont="1" applyFill="1" applyBorder="1" applyAlignment="1">
      <alignment horizontal="left" vertical="center"/>
    </xf>
    <xf numFmtId="172" fontId="58" fillId="7" borderId="0" xfId="7" applyNumberFormat="1" applyFont="1" applyFill="1" applyBorder="1" applyAlignment="1">
      <alignment vertical="center"/>
    </xf>
    <xf numFmtId="188" fontId="73" fillId="7" borderId="7" xfId="7" applyNumberFormat="1" applyFont="1" applyFill="1" applyBorder="1" applyAlignment="1">
      <alignment vertical="center"/>
    </xf>
    <xf numFmtId="0" fontId="66" fillId="7" borderId="5" xfId="6" applyFont="1" applyFill="1" applyBorder="1" applyAlignment="1">
      <alignment horizontal="left" vertical="center"/>
    </xf>
    <xf numFmtId="0" fontId="59" fillId="7" borderId="2" xfId="6" applyFont="1" applyFill="1" applyBorder="1" applyAlignment="1">
      <alignment vertical="center"/>
    </xf>
    <xf numFmtId="172" fontId="58" fillId="7" borderId="2" xfId="7" applyNumberFormat="1" applyFont="1" applyFill="1" applyBorder="1" applyAlignment="1">
      <alignment vertical="center"/>
    </xf>
    <xf numFmtId="188" fontId="73" fillId="7" borderId="6" xfId="7" applyNumberFormat="1" applyFont="1" applyFill="1" applyBorder="1" applyAlignment="1">
      <alignment vertical="center"/>
    </xf>
    <xf numFmtId="188" fontId="87" fillId="7" borderId="7" xfId="7" applyNumberFormat="1" applyFont="1" applyFill="1" applyBorder="1" applyAlignment="1">
      <alignment vertical="center"/>
    </xf>
    <xf numFmtId="172" fontId="58" fillId="10" borderId="0" xfId="7" applyNumberFormat="1" applyFont="1" applyFill="1" applyAlignment="1">
      <alignment vertical="center"/>
    </xf>
    <xf numFmtId="0" fontId="74" fillId="18" borderId="11" xfId="6" applyFont="1" applyFill="1" applyBorder="1" applyAlignment="1">
      <alignment horizontal="left" vertical="center"/>
    </xf>
    <xf numFmtId="0" fontId="63" fillId="18" borderId="8" xfId="6" applyFont="1" applyFill="1" applyBorder="1" applyAlignment="1">
      <alignment vertical="center"/>
    </xf>
    <xf numFmtId="0" fontId="63" fillId="18" borderId="9" xfId="6" applyFont="1" applyFill="1" applyBorder="1" applyAlignment="1">
      <alignment vertical="center"/>
    </xf>
    <xf numFmtId="0" fontId="88" fillId="7" borderId="11" xfId="6" applyFont="1" applyFill="1" applyBorder="1" applyAlignment="1">
      <alignment horizontal="left" vertical="center"/>
    </xf>
    <xf numFmtId="0" fontId="89" fillId="7" borderId="3" xfId="6" applyFont="1" applyFill="1" applyBorder="1" applyAlignment="1">
      <alignment horizontal="right" vertical="center"/>
    </xf>
    <xf numFmtId="0" fontId="89" fillId="7" borderId="25" xfId="6" applyFont="1" applyFill="1" applyBorder="1" applyAlignment="1">
      <alignment horizontal="right" vertical="center"/>
    </xf>
    <xf numFmtId="0" fontId="89" fillId="7" borderId="24" xfId="6" applyFont="1" applyFill="1" applyBorder="1" applyAlignment="1">
      <alignment horizontal="right" vertical="center"/>
    </xf>
    <xf numFmtId="2" fontId="90" fillId="0" borderId="0" xfId="6" applyNumberFormat="1" applyFont="1" applyAlignment="1">
      <alignment vertical="center"/>
    </xf>
    <xf numFmtId="195" fontId="90" fillId="7" borderId="26" xfId="6" applyNumberFormat="1" applyFont="1" applyFill="1" applyBorder="1" applyAlignment="1">
      <alignment horizontal="right" vertical="center"/>
    </xf>
    <xf numFmtId="180" fontId="58" fillId="0" borderId="0" xfId="10" applyNumberFormat="1" applyFont="1" applyBorder="1" applyAlignment="1">
      <alignment vertical="center"/>
    </xf>
    <xf numFmtId="188" fontId="58" fillId="0" borderId="7" xfId="10" applyNumberFormat="1" applyFont="1" applyBorder="1" applyAlignment="1">
      <alignment vertical="center"/>
    </xf>
    <xf numFmtId="188" fontId="73" fillId="7" borderId="0" xfId="6" applyNumberFormat="1" applyFont="1" applyFill="1" applyAlignment="1">
      <alignment vertical="center"/>
    </xf>
    <xf numFmtId="190" fontId="90" fillId="7" borderId="26" xfId="6" applyNumberFormat="1" applyFont="1" applyFill="1" applyBorder="1" applyAlignment="1">
      <alignment horizontal="right" vertical="center"/>
    </xf>
    <xf numFmtId="0" fontId="73" fillId="7" borderId="11" xfId="6" applyFont="1" applyFill="1" applyBorder="1" applyAlignment="1">
      <alignment vertical="center"/>
    </xf>
    <xf numFmtId="2" fontId="73" fillId="7" borderId="3" xfId="6" applyNumberFormat="1" applyFont="1" applyFill="1" applyBorder="1" applyAlignment="1">
      <alignment vertical="center"/>
    </xf>
    <xf numFmtId="0" fontId="73" fillId="0" borderId="25" xfId="6" applyFont="1" applyBorder="1" applyAlignment="1">
      <alignment vertical="center"/>
    </xf>
    <xf numFmtId="0" fontId="73" fillId="0" borderId="3" xfId="6" applyFont="1" applyBorder="1" applyAlignment="1">
      <alignment vertical="center"/>
    </xf>
    <xf numFmtId="188" fontId="61" fillId="3" borderId="24" xfId="6" applyNumberFormat="1" applyFont="1" applyFill="1" applyBorder="1" applyAlignment="1">
      <alignment vertical="center"/>
    </xf>
    <xf numFmtId="172" fontId="73" fillId="7" borderId="0" xfId="7" applyNumberFormat="1" applyFont="1" applyFill="1" applyAlignment="1">
      <alignment vertical="center"/>
    </xf>
    <xf numFmtId="0" fontId="73" fillId="7" borderId="5" xfId="6" applyFont="1" applyFill="1" applyBorder="1" applyAlignment="1">
      <alignment vertical="center"/>
    </xf>
    <xf numFmtId="2" fontId="73" fillId="7" borderId="2" xfId="6" applyNumberFormat="1" applyFont="1" applyFill="1" applyBorder="1" applyAlignment="1">
      <alignment vertical="center"/>
    </xf>
    <xf numFmtId="0" fontId="73" fillId="0" borderId="2" xfId="6" applyFont="1" applyBorder="1" applyAlignment="1">
      <alignment vertical="center"/>
    </xf>
    <xf numFmtId="188" fontId="61" fillId="3" borderId="6" xfId="6" applyNumberFormat="1" applyFont="1" applyFill="1" applyBorder="1" applyAlignment="1">
      <alignment vertical="center"/>
    </xf>
    <xf numFmtId="188" fontId="91" fillId="3" borderId="6" xfId="6" applyNumberFormat="1" applyFont="1" applyFill="1" applyBorder="1" applyAlignment="1">
      <alignment vertical="center"/>
    </xf>
    <xf numFmtId="188" fontId="82" fillId="3" borderId="6" xfId="7" applyNumberFormat="1" applyFont="1" applyFill="1" applyBorder="1" applyAlignment="1">
      <alignment vertical="center"/>
    </xf>
    <xf numFmtId="0" fontId="58" fillId="0" borderId="4" xfId="6" applyFont="1" applyBorder="1" applyAlignment="1">
      <alignment horizontal="center" vertical="center"/>
    </xf>
    <xf numFmtId="195" fontId="85" fillId="7" borderId="0" xfId="6" applyNumberFormat="1" applyFont="1" applyFill="1" applyAlignment="1">
      <alignment horizontal="center" vertical="center"/>
    </xf>
    <xf numFmtId="188" fontId="58" fillId="0" borderId="0" xfId="11" applyNumberFormat="1" applyFont="1" applyBorder="1" applyAlignment="1">
      <alignment horizontal="center" vertical="center"/>
    </xf>
    <xf numFmtId="190" fontId="82" fillId="3" borderId="2" xfId="6" applyNumberFormat="1" applyFont="1" applyFill="1" applyBorder="1" applyAlignment="1">
      <alignment horizontal="center" vertical="center"/>
    </xf>
    <xf numFmtId="0" fontId="58" fillId="0" borderId="2" xfId="6" applyFont="1" applyBorder="1" applyAlignment="1">
      <alignment horizontal="center" vertical="center"/>
    </xf>
    <xf numFmtId="172" fontId="73" fillId="7" borderId="10" xfId="7" applyNumberFormat="1" applyFont="1" applyFill="1" applyBorder="1" applyAlignment="1">
      <alignment vertical="center"/>
    </xf>
    <xf numFmtId="0" fontId="58" fillId="7" borderId="8" xfId="6" applyFont="1" applyFill="1" applyBorder="1" applyAlignment="1">
      <alignment vertical="center"/>
    </xf>
    <xf numFmtId="0" fontId="73" fillId="7" borderId="10" xfId="6" applyFont="1" applyFill="1" applyBorder="1" applyAlignment="1">
      <alignment vertical="center"/>
    </xf>
    <xf numFmtId="0" fontId="73" fillId="7" borderId="9" xfId="6" applyFont="1" applyFill="1" applyBorder="1" applyAlignment="1">
      <alignment vertical="center"/>
    </xf>
    <xf numFmtId="172" fontId="73" fillId="7" borderId="4" xfId="7" applyNumberFormat="1" applyFont="1" applyFill="1" applyBorder="1" applyAlignment="1">
      <alignment vertical="center"/>
    </xf>
    <xf numFmtId="9" fontId="82" fillId="7" borderId="4" xfId="9" applyFont="1" applyFill="1" applyBorder="1" applyAlignment="1">
      <alignment vertical="center"/>
    </xf>
    <xf numFmtId="0" fontId="73" fillId="7" borderId="7" xfId="6" applyFont="1" applyFill="1" applyBorder="1" applyAlignment="1">
      <alignment vertical="center"/>
    </xf>
    <xf numFmtId="195" fontId="90" fillId="7" borderId="0" xfId="6" applyNumberFormat="1" applyFont="1" applyFill="1" applyAlignment="1">
      <alignment horizontal="center" vertical="center"/>
    </xf>
    <xf numFmtId="172" fontId="58" fillId="7" borderId="4" xfId="7" applyNumberFormat="1" applyFont="1" applyFill="1" applyBorder="1" applyAlignment="1">
      <alignment vertical="center"/>
    </xf>
    <xf numFmtId="188" fontId="73" fillId="3" borderId="11" xfId="11" applyNumberFormat="1" applyFont="1" applyFill="1" applyBorder="1" applyAlignment="1">
      <alignment vertical="center"/>
    </xf>
    <xf numFmtId="0" fontId="73" fillId="7" borderId="24" xfId="6" applyFont="1" applyFill="1" applyBorder="1" applyAlignment="1">
      <alignment vertical="center"/>
    </xf>
    <xf numFmtId="188" fontId="73" fillId="7" borderId="10" xfId="6" applyNumberFormat="1" applyFont="1" applyFill="1" applyBorder="1" applyAlignment="1">
      <alignment vertical="center"/>
    </xf>
    <xf numFmtId="188" fontId="73" fillId="7" borderId="4" xfId="6" applyNumberFormat="1" applyFont="1" applyFill="1" applyBorder="1" applyAlignment="1">
      <alignment vertical="center"/>
    </xf>
    <xf numFmtId="172" fontId="58" fillId="7" borderId="5" xfId="7" applyNumberFormat="1" applyFont="1" applyFill="1" applyBorder="1" applyAlignment="1">
      <alignment vertical="center"/>
    </xf>
    <xf numFmtId="0" fontId="58" fillId="7" borderId="2" xfId="6" applyFont="1" applyFill="1" applyBorder="1" applyAlignment="1">
      <alignment vertical="center"/>
    </xf>
    <xf numFmtId="188" fontId="73" fillId="3" borderId="11" xfId="6" applyNumberFormat="1" applyFont="1" applyFill="1" applyBorder="1" applyAlignment="1">
      <alignment vertical="center"/>
    </xf>
    <xf numFmtId="0" fontId="63" fillId="18" borderId="8" xfId="6" applyFont="1" applyFill="1" applyBorder="1" applyAlignment="1">
      <alignment horizontal="right" vertical="center"/>
    </xf>
    <xf numFmtId="0" fontId="58" fillId="7" borderId="5" xfId="6" applyFont="1" applyFill="1" applyBorder="1" applyAlignment="1">
      <alignment horizontal="right" vertical="center"/>
    </xf>
    <xf numFmtId="10" fontId="58" fillId="7" borderId="2" xfId="9" applyNumberFormat="1" applyFont="1" applyFill="1" applyBorder="1" applyAlignment="1">
      <alignment horizontal="center" vertical="center"/>
    </xf>
    <xf numFmtId="188" fontId="58" fillId="7" borderId="2" xfId="7" applyNumberFormat="1" applyFont="1" applyFill="1" applyBorder="1" applyAlignment="1">
      <alignment vertical="center"/>
    </xf>
    <xf numFmtId="168" fontId="92" fillId="0" borderId="2" xfId="9" applyNumberFormat="1" applyFont="1" applyBorder="1" applyAlignment="1">
      <alignment vertical="center"/>
    </xf>
    <xf numFmtId="191" fontId="73" fillId="0" borderId="6" xfId="7" applyNumberFormat="1" applyFont="1" applyBorder="1" applyAlignment="1">
      <alignment vertical="center"/>
    </xf>
    <xf numFmtId="188" fontId="73" fillId="3" borderId="0" xfId="11" applyNumberFormat="1" applyFont="1" applyFill="1" applyAlignment="1">
      <alignment vertical="center"/>
    </xf>
    <xf numFmtId="0" fontId="93" fillId="7" borderId="0" xfId="6" applyFont="1" applyFill="1" applyAlignment="1">
      <alignment vertical="center"/>
    </xf>
    <xf numFmtId="188" fontId="85" fillId="7" borderId="11" xfId="6" applyNumberFormat="1" applyFont="1" applyFill="1" applyBorder="1" applyAlignment="1">
      <alignment vertical="center"/>
    </xf>
    <xf numFmtId="0" fontId="73" fillId="0" borderId="4" xfId="6" applyFont="1" applyBorder="1" applyAlignment="1">
      <alignment horizontal="right" vertical="center"/>
    </xf>
    <xf numFmtId="0" fontId="73" fillId="0" borderId="7" xfId="6" applyFont="1" applyBorder="1" applyAlignment="1">
      <alignment horizontal="right" vertical="center"/>
    </xf>
    <xf numFmtId="0" fontId="94" fillId="18" borderId="11" xfId="6" applyFont="1" applyFill="1" applyBorder="1" applyAlignment="1">
      <alignment horizontal="right" vertical="center"/>
    </xf>
    <xf numFmtId="0" fontId="94" fillId="18" borderId="11" xfId="6" applyFont="1" applyFill="1" applyBorder="1" applyAlignment="1">
      <alignment horizontal="left" vertical="center"/>
    </xf>
    <xf numFmtId="188" fontId="73" fillId="3" borderId="5" xfId="11" applyNumberFormat="1" applyFont="1" applyFill="1" applyBorder="1" applyAlignment="1">
      <alignment vertical="center"/>
    </xf>
    <xf numFmtId="188" fontId="73" fillId="3" borderId="6" xfId="11" applyNumberFormat="1" applyFont="1" applyFill="1" applyBorder="1" applyAlignment="1">
      <alignment vertical="center"/>
    </xf>
    <xf numFmtId="186" fontId="84" fillId="7" borderId="0" xfId="11" applyNumberFormat="1" applyFont="1" applyFill="1" applyAlignment="1">
      <alignment vertical="center"/>
    </xf>
    <xf numFmtId="0" fontId="58" fillId="7" borderId="4" xfId="6" applyFont="1" applyFill="1" applyBorder="1" applyAlignment="1">
      <alignment horizontal="right" vertical="center"/>
    </xf>
    <xf numFmtId="191" fontId="95" fillId="7" borderId="0" xfId="7" applyNumberFormat="1" applyFont="1" applyFill="1" applyBorder="1" applyAlignment="1">
      <alignment horizontal="right" vertical="center"/>
    </xf>
    <xf numFmtId="2" fontId="95" fillId="7" borderId="0" xfId="6" applyNumberFormat="1" applyFont="1" applyFill="1" applyAlignment="1">
      <alignment vertical="center"/>
    </xf>
    <xf numFmtId="188" fontId="58" fillId="7" borderId="4" xfId="11" applyNumberFormat="1" applyFont="1" applyFill="1" applyBorder="1" applyAlignment="1">
      <alignment horizontal="right" vertical="center"/>
    </xf>
    <xf numFmtId="172" fontId="61" fillId="7" borderId="7" xfId="7" applyNumberFormat="1" applyFont="1" applyFill="1" applyBorder="1" applyAlignment="1">
      <alignment vertical="center"/>
    </xf>
    <xf numFmtId="191" fontId="95" fillId="7" borderId="0" xfId="11" applyNumberFormat="1" applyFont="1" applyFill="1" applyBorder="1" applyAlignment="1">
      <alignment horizontal="right" vertical="center"/>
    </xf>
    <xf numFmtId="2" fontId="95" fillId="7" borderId="0" xfId="7" applyNumberFormat="1" applyFont="1" applyFill="1" applyBorder="1" applyAlignment="1">
      <alignment vertical="center"/>
    </xf>
    <xf numFmtId="172" fontId="58" fillId="7" borderId="7" xfId="7" applyNumberFormat="1" applyFont="1" applyFill="1" applyBorder="1" applyAlignment="1">
      <alignment vertical="center"/>
    </xf>
    <xf numFmtId="188" fontId="96" fillId="7" borderId="4" xfId="11" applyNumberFormat="1" applyFont="1" applyFill="1" applyBorder="1" applyAlignment="1">
      <alignment horizontal="right" vertical="center"/>
    </xf>
    <xf numFmtId="0" fontId="73" fillId="0" borderId="0" xfId="8" applyFont="1"/>
    <xf numFmtId="188" fontId="73" fillId="0" borderId="0" xfId="8" applyNumberFormat="1" applyFont="1" applyAlignment="1">
      <alignment horizontal="right"/>
    </xf>
    <xf numFmtId="0" fontId="58" fillId="7" borderId="5" xfId="6" applyFont="1" applyFill="1" applyBorder="1" applyAlignment="1">
      <alignment horizontal="center" vertical="center"/>
    </xf>
    <xf numFmtId="186" fontId="58" fillId="7" borderId="2" xfId="11" applyNumberFormat="1" applyFont="1" applyFill="1" applyBorder="1" applyAlignment="1">
      <alignment horizontal="center" vertical="center"/>
    </xf>
    <xf numFmtId="188" fontId="73" fillId="7" borderId="5" xfId="11" applyNumberFormat="1" applyFont="1" applyFill="1" applyBorder="1" applyAlignment="1">
      <alignment vertical="center"/>
    </xf>
    <xf numFmtId="10" fontId="73" fillId="7" borderId="6" xfId="9" applyNumberFormat="1" applyFont="1" applyFill="1" applyBorder="1" applyAlignment="1">
      <alignment vertical="center"/>
    </xf>
    <xf numFmtId="0" fontId="58" fillId="0" borderId="0" xfId="8" applyFont="1"/>
    <xf numFmtId="188" fontId="53" fillId="0" borderId="0" xfId="8" applyNumberFormat="1"/>
    <xf numFmtId="0" fontId="66" fillId="7" borderId="11" xfId="6" applyFont="1" applyFill="1" applyBorder="1" applyAlignment="1">
      <alignment horizontal="left" vertical="center"/>
    </xf>
    <xf numFmtId="0" fontId="59" fillId="7" borderId="3" xfId="6" applyFont="1" applyFill="1" applyBorder="1" applyAlignment="1">
      <alignment vertical="center"/>
    </xf>
    <xf numFmtId="172" fontId="58" fillId="7" borderId="3" xfId="7" applyNumberFormat="1" applyFont="1" applyFill="1" applyBorder="1" applyAlignment="1">
      <alignment vertical="center"/>
    </xf>
    <xf numFmtId="10" fontId="73" fillId="3" borderId="24" xfId="9" applyNumberFormat="1" applyFont="1" applyFill="1" applyBorder="1" applyAlignment="1">
      <alignment vertical="center"/>
    </xf>
    <xf numFmtId="172" fontId="58" fillId="0" borderId="0" xfId="7" applyNumberFormat="1" applyFont="1" applyAlignment="1">
      <alignment horizontal="center" vertical="center"/>
    </xf>
    <xf numFmtId="172" fontId="58" fillId="0" borderId="0" xfId="7" applyNumberFormat="1" applyFont="1" applyAlignment="1">
      <alignment vertical="center"/>
    </xf>
    <xf numFmtId="0" fontId="98" fillId="0" borderId="0" xfId="12"/>
    <xf numFmtId="0" fontId="101" fillId="19" borderId="25" xfId="12" applyFont="1" applyFill="1" applyBorder="1" applyAlignment="1">
      <alignment horizontal="center" vertical="center"/>
    </xf>
    <xf numFmtId="0" fontId="102" fillId="20" borderId="25" xfId="12" applyFont="1" applyFill="1" applyBorder="1" applyAlignment="1">
      <alignment horizontal="center" vertical="center"/>
    </xf>
    <xf numFmtId="0" fontId="102" fillId="20" borderId="25" xfId="12" applyFont="1" applyFill="1" applyBorder="1" applyAlignment="1">
      <alignment horizontal="left" vertical="center"/>
    </xf>
    <xf numFmtId="0" fontId="103" fillId="0" borderId="25" xfId="12" applyFont="1" applyBorder="1" applyAlignment="1">
      <alignment horizontal="center" vertical="center"/>
    </xf>
    <xf numFmtId="0" fontId="103" fillId="0" borderId="25" xfId="12" applyFont="1" applyBorder="1" applyAlignment="1">
      <alignment horizontal="left" vertical="center"/>
    </xf>
    <xf numFmtId="3" fontId="103" fillId="0" borderId="25" xfId="12" applyNumberFormat="1" applyFont="1" applyBorder="1" applyAlignment="1">
      <alignment horizontal="center" vertical="center"/>
    </xf>
    <xf numFmtId="3" fontId="103" fillId="0" borderId="25" xfId="12" applyNumberFormat="1" applyFont="1" applyBorder="1" applyAlignment="1">
      <alignment horizontal="right" vertical="center"/>
    </xf>
    <xf numFmtId="0" fontId="102" fillId="21" borderId="25" xfId="12" applyFont="1" applyFill="1" applyBorder="1" applyAlignment="1">
      <alignment horizontal="center" vertical="center"/>
    </xf>
    <xf numFmtId="0" fontId="102" fillId="21" borderId="25" xfId="12" applyFont="1" applyFill="1" applyBorder="1" applyAlignment="1">
      <alignment horizontal="left" vertical="center"/>
    </xf>
    <xf numFmtId="3" fontId="102" fillId="21" borderId="25" xfId="12" applyNumberFormat="1" applyFont="1" applyFill="1" applyBorder="1" applyAlignment="1">
      <alignment horizontal="center" vertical="center"/>
    </xf>
    <xf numFmtId="3" fontId="102" fillId="21" borderId="25" xfId="12" applyNumberFormat="1" applyFont="1" applyFill="1" applyBorder="1" applyAlignment="1">
      <alignment horizontal="right" vertical="center"/>
    </xf>
    <xf numFmtId="0" fontId="102" fillId="21" borderId="25" xfId="12" applyFont="1" applyFill="1" applyBorder="1" applyAlignment="1">
      <alignment horizontal="right" vertical="center"/>
    </xf>
    <xf numFmtId="0" fontId="103" fillId="0" borderId="25" xfId="12" applyFont="1" applyBorder="1" applyAlignment="1">
      <alignment horizontal="right" vertical="center"/>
    </xf>
    <xf numFmtId="0" fontId="60" fillId="7" borderId="0" xfId="6" applyFont="1" applyFill="1" applyAlignment="1">
      <alignment vertical="center" wrapText="1"/>
    </xf>
    <xf numFmtId="0" fontId="60" fillId="7" borderId="0" xfId="6" applyFont="1" applyFill="1" applyAlignment="1">
      <alignment vertical="center"/>
    </xf>
    <xf numFmtId="0" fontId="14" fillId="0" borderId="0" xfId="0" applyFont="1" applyAlignment="1">
      <alignment horizontal="left"/>
    </xf>
    <xf numFmtId="166" fontId="27" fillId="0" borderId="0" xfId="1" applyNumberFormat="1" applyFont="1" applyBorder="1" applyAlignment="1">
      <alignment horizontal="center"/>
    </xf>
    <xf numFmtId="0" fontId="28" fillId="0" borderId="0" xfId="0" applyFont="1" applyAlignment="1">
      <alignment vertical="center"/>
    </xf>
    <xf numFmtId="0" fontId="104" fillId="0" borderId="0" xfId="0" applyFont="1" applyAlignment="1">
      <alignment vertical="center"/>
    </xf>
    <xf numFmtId="0" fontId="104" fillId="0" borderId="0" xfId="0" applyFont="1" applyAlignment="1">
      <alignment horizontal="center" vertical="center" wrapText="1"/>
    </xf>
    <xf numFmtId="0" fontId="104" fillId="0" borderId="0" xfId="0" applyFont="1" applyAlignment="1">
      <alignment horizontal="center" vertical="center"/>
    </xf>
    <xf numFmtId="0" fontId="15" fillId="0" borderId="0" xfId="0" applyFont="1" applyAlignment="1">
      <alignment horizontal="left"/>
    </xf>
    <xf numFmtId="166" fontId="15" fillId="0" borderId="3" xfId="1" applyNumberFormat="1" applyFont="1" applyBorder="1" applyAlignment="1">
      <alignment horizontal="center"/>
    </xf>
    <xf numFmtId="0" fontId="15" fillId="0" borderId="3" xfId="0" applyFont="1" applyBorder="1"/>
    <xf numFmtId="0" fontId="15" fillId="0" borderId="3" xfId="0" applyFont="1" applyBorder="1" applyAlignment="1">
      <alignment horizontal="left"/>
    </xf>
    <xf numFmtId="166" fontId="15" fillId="0" borderId="3" xfId="0" applyNumberFormat="1" applyFont="1" applyBorder="1"/>
    <xf numFmtId="166" fontId="15" fillId="0" borderId="0" xfId="0" applyNumberFormat="1" applyFont="1"/>
    <xf numFmtId="188" fontId="45" fillId="7" borderId="0" xfId="7" applyNumberFormat="1" applyFont="1" applyFill="1" applyAlignment="1">
      <alignment horizontal="right" vertical="center"/>
    </xf>
    <xf numFmtId="3" fontId="14" fillId="0" borderId="0" xfId="0" applyNumberFormat="1" applyFont="1"/>
    <xf numFmtId="190" fontId="14" fillId="7" borderId="0" xfId="6" applyNumberFormat="1" applyFont="1" applyFill="1" applyAlignment="1">
      <alignment horizontal="right" vertical="center"/>
    </xf>
    <xf numFmtId="166" fontId="15" fillId="0" borderId="3" xfId="1" applyNumberFormat="1" applyFont="1" applyBorder="1"/>
    <xf numFmtId="166" fontId="15" fillId="0" borderId="0" xfId="1" applyNumberFormat="1" applyFont="1" applyBorder="1"/>
    <xf numFmtId="168" fontId="45" fillId="0" borderId="0" xfId="2" applyNumberFormat="1" applyFont="1"/>
    <xf numFmtId="166" fontId="26" fillId="0" borderId="0" xfId="0" applyNumberFormat="1" applyFont="1"/>
    <xf numFmtId="166" fontId="26" fillId="0" borderId="2" xfId="0" applyNumberFormat="1" applyFont="1" applyBorder="1"/>
    <xf numFmtId="1" fontId="27" fillId="0" borderId="0" xfId="0" applyNumberFormat="1" applyFont="1"/>
    <xf numFmtId="182" fontId="27" fillId="0" borderId="0" xfId="1" applyNumberFormat="1" applyFont="1"/>
    <xf numFmtId="166" fontId="14" fillId="0" borderId="0" xfId="1" applyNumberFormat="1" applyFont="1" applyAlignment="1">
      <alignment horizontal="right"/>
    </xf>
    <xf numFmtId="166" fontId="27" fillId="0" borderId="0" xfId="0" applyNumberFormat="1" applyFont="1" applyAlignment="1">
      <alignment horizontal="right"/>
    </xf>
    <xf numFmtId="166" fontId="27" fillId="0" borderId="0" xfId="1" applyNumberFormat="1" applyFont="1"/>
    <xf numFmtId="0" fontId="27" fillId="0" borderId="0" xfId="0" applyFont="1" applyAlignment="1">
      <alignment horizontal="center"/>
    </xf>
    <xf numFmtId="188" fontId="105" fillId="7" borderId="0" xfId="11" applyNumberFormat="1" applyFont="1" applyFill="1" applyAlignment="1">
      <alignment horizontal="center" vertical="center"/>
    </xf>
    <xf numFmtId="10" fontId="105" fillId="0" borderId="0" xfId="2" applyNumberFormat="1" applyFont="1" applyAlignment="1">
      <alignment horizontal="center"/>
    </xf>
    <xf numFmtId="1" fontId="27" fillId="0" borderId="2" xfId="0" applyNumberFormat="1" applyFont="1" applyBorder="1"/>
    <xf numFmtId="10" fontId="27" fillId="0" borderId="2" xfId="2" applyNumberFormat="1" applyFont="1" applyBorder="1" applyAlignment="1">
      <alignment horizontal="center"/>
    </xf>
    <xf numFmtId="166" fontId="14" fillId="0" borderId="2" xfId="0" applyNumberFormat="1" applyFont="1" applyBorder="1" applyAlignment="1">
      <alignment horizontal="right"/>
    </xf>
    <xf numFmtId="166" fontId="27" fillId="0" borderId="2" xfId="0" applyNumberFormat="1" applyFont="1" applyBorder="1"/>
    <xf numFmtId="166" fontId="27" fillId="0" borderId="2" xfId="0" applyNumberFormat="1" applyFont="1" applyBorder="1" applyAlignment="1">
      <alignment horizontal="right"/>
    </xf>
    <xf numFmtId="168" fontId="27" fillId="0" borderId="0" xfId="2" applyNumberFormat="1" applyFont="1"/>
    <xf numFmtId="168" fontId="27" fillId="0" borderId="2" xfId="2" applyNumberFormat="1" applyFont="1" applyBorder="1"/>
    <xf numFmtId="9" fontId="15" fillId="0" borderId="0" xfId="2" applyFont="1"/>
    <xf numFmtId="169" fontId="15" fillId="0" borderId="0" xfId="1" applyNumberFormat="1" applyFont="1"/>
    <xf numFmtId="44" fontId="106" fillId="0" borderId="0" xfId="3" applyFont="1"/>
    <xf numFmtId="0" fontId="106" fillId="0" borderId="0" xfId="0" applyFont="1"/>
    <xf numFmtId="0" fontId="67" fillId="22" borderId="25" xfId="6" applyFont="1" applyFill="1" applyBorder="1" applyAlignment="1">
      <alignment horizontal="right" vertical="center"/>
    </xf>
    <xf numFmtId="10" fontId="67" fillId="22" borderId="25" xfId="9" applyNumberFormat="1" applyFont="1" applyFill="1" applyBorder="1" applyAlignment="1">
      <alignment horizontal="center" vertical="center"/>
    </xf>
    <xf numFmtId="188" fontId="67" fillId="22" borderId="25" xfId="7" applyNumberFormat="1" applyFont="1" applyFill="1" applyBorder="1" applyAlignment="1">
      <alignment horizontal="center" vertical="center"/>
    </xf>
    <xf numFmtId="188" fontId="62" fillId="22" borderId="25" xfId="7" applyNumberFormat="1" applyFont="1" applyFill="1" applyBorder="1" applyAlignment="1">
      <alignment horizontal="center" vertical="center"/>
    </xf>
    <xf numFmtId="0" fontId="104" fillId="0" borderId="0" xfId="0" applyFont="1" applyAlignment="1">
      <alignment horizontal="right" vertical="center" wrapText="1"/>
    </xf>
    <xf numFmtId="188" fontId="107" fillId="7" borderId="0" xfId="11" applyNumberFormat="1" applyFont="1" applyFill="1" applyAlignment="1">
      <alignment horizontal="center" vertical="center"/>
    </xf>
    <xf numFmtId="0" fontId="0" fillId="0" borderId="10" xfId="0" applyBorder="1"/>
    <xf numFmtId="0" fontId="0" fillId="0" borderId="9" xfId="0" applyBorder="1"/>
    <xf numFmtId="9" fontId="0" fillId="0" borderId="4" xfId="0" applyNumberFormat="1" applyBorder="1"/>
    <xf numFmtId="166" fontId="0" fillId="0" borderId="7" xfId="0" applyNumberFormat="1" applyBorder="1"/>
    <xf numFmtId="9" fontId="0" fillId="0" borderId="5" xfId="0" applyNumberFormat="1" applyBorder="1"/>
    <xf numFmtId="166" fontId="0" fillId="0" borderId="6" xfId="0" applyNumberFormat="1" applyBorder="1"/>
    <xf numFmtId="166" fontId="0" fillId="0" borderId="4" xfId="1" applyNumberFormat="1" applyFont="1" applyBorder="1"/>
    <xf numFmtId="166" fontId="0" fillId="0" borderId="5" xfId="1" applyNumberFormat="1" applyFont="1" applyBorder="1"/>
    <xf numFmtId="0" fontId="103" fillId="0" borderId="4" xfId="12" applyFont="1" applyBorder="1" applyAlignment="1">
      <alignment horizontal="left" vertical="center"/>
    </xf>
    <xf numFmtId="3" fontId="0" fillId="0" borderId="0" xfId="0" applyNumberFormat="1"/>
    <xf numFmtId="0" fontId="0" fillId="0" borderId="6" xfId="0" applyBorder="1"/>
    <xf numFmtId="0" fontId="102" fillId="21" borderId="11" xfId="12" applyFont="1" applyFill="1" applyBorder="1" applyAlignment="1">
      <alignment horizontal="left" vertical="center"/>
    </xf>
    <xf numFmtId="0" fontId="102" fillId="21" borderId="3" xfId="12" applyFont="1" applyFill="1" applyBorder="1" applyAlignment="1">
      <alignment horizontal="left" vertical="center"/>
    </xf>
    <xf numFmtId="3" fontId="102" fillId="21" borderId="3" xfId="12" applyNumberFormat="1" applyFont="1" applyFill="1" applyBorder="1" applyAlignment="1">
      <alignment horizontal="right" vertical="center"/>
    </xf>
    <xf numFmtId="0" fontId="102" fillId="21" borderId="24" xfId="12" applyFont="1" applyFill="1" applyBorder="1" applyAlignment="1">
      <alignment horizontal="left" vertical="center"/>
    </xf>
    <xf numFmtId="0" fontId="103" fillId="23" borderId="10" xfId="12" applyFont="1" applyFill="1" applyBorder="1" applyAlignment="1">
      <alignment horizontal="left" vertical="center"/>
    </xf>
    <xf numFmtId="0" fontId="0" fillId="23" borderId="8" xfId="0" applyFill="1" applyBorder="1"/>
    <xf numFmtId="3" fontId="0" fillId="23" borderId="8" xfId="0" applyNumberFormat="1" applyFill="1" applyBorder="1"/>
    <xf numFmtId="0" fontId="0" fillId="23" borderId="9" xfId="0" applyFill="1" applyBorder="1"/>
    <xf numFmtId="0" fontId="52" fillId="0" borderId="10" xfId="12" applyFont="1" applyBorder="1" applyAlignment="1">
      <alignment horizontal="left" vertical="center"/>
    </xf>
    <xf numFmtId="0" fontId="52" fillId="0" borderId="5" xfId="12" applyFont="1" applyBorder="1" applyAlignment="1">
      <alignment horizontal="left" vertical="center"/>
    </xf>
    <xf numFmtId="0" fontId="0" fillId="0" borderId="3" xfId="0" applyBorder="1"/>
    <xf numFmtId="166" fontId="0" fillId="0" borderId="3" xfId="0" applyNumberFormat="1" applyBorder="1"/>
    <xf numFmtId="0" fontId="0" fillId="0" borderId="4"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4" xfId="0" applyBorder="1" applyAlignment="1">
      <alignment horizontal="center"/>
    </xf>
    <xf numFmtId="0" fontId="0" fillId="0" borderId="11" xfId="0" applyBorder="1"/>
    <xf numFmtId="166" fontId="0" fillId="0" borderId="24" xfId="0" applyNumberFormat="1" applyBorder="1"/>
    <xf numFmtId="0" fontId="0" fillId="0" borderId="2" xfId="0" applyBorder="1" applyAlignment="1">
      <alignment horizontal="right"/>
    </xf>
    <xf numFmtId="166" fontId="0" fillId="0" borderId="3" xfId="1" applyNumberFormat="1" applyFont="1" applyBorder="1"/>
    <xf numFmtId="1" fontId="0" fillId="0" borderId="3" xfId="0" applyNumberFormat="1" applyBorder="1"/>
    <xf numFmtId="166" fontId="0" fillId="0" borderId="24" xfId="1" applyNumberFormat="1" applyFont="1" applyBorder="1"/>
    <xf numFmtId="1" fontId="0" fillId="0" borderId="0" xfId="0" applyNumberFormat="1"/>
    <xf numFmtId="166" fontId="0" fillId="0" borderId="7" xfId="1" applyNumberFormat="1" applyFont="1" applyBorder="1"/>
    <xf numFmtId="1" fontId="0" fillId="0" borderId="2" xfId="0" applyNumberFormat="1" applyBorder="1"/>
    <xf numFmtId="166" fontId="0" fillId="0" borderId="6" xfId="1" applyNumberFormat="1" applyFont="1" applyBorder="1"/>
    <xf numFmtId="0" fontId="0" fillId="0" borderId="28" xfId="0" applyBorder="1" applyAlignment="1">
      <alignment horizontal="center"/>
    </xf>
    <xf numFmtId="0" fontId="0" fillId="0" borderId="29" xfId="0" applyBorder="1" applyAlignment="1">
      <alignment horizontal="center"/>
    </xf>
    <xf numFmtId="166" fontId="0" fillId="0" borderId="26" xfId="1" applyNumberFormat="1" applyFont="1" applyBorder="1"/>
    <xf numFmtId="166" fontId="0" fillId="0" borderId="29" xfId="1" applyNumberFormat="1" applyFont="1" applyBorder="1"/>
    <xf numFmtId="0" fontId="0" fillId="0" borderId="8" xfId="0" applyBorder="1" applyAlignment="1">
      <alignment horizontal="right"/>
    </xf>
    <xf numFmtId="166" fontId="0" fillId="3" borderId="2" xfId="1" applyNumberFormat="1" applyFont="1" applyFill="1" applyBorder="1"/>
    <xf numFmtId="0" fontId="0" fillId="0" borderId="14" xfId="0" applyBorder="1" applyAlignment="1">
      <alignment horizontal="right"/>
    </xf>
    <xf numFmtId="166" fontId="0" fillId="3" borderId="18" xfId="0" applyNumberFormat="1" applyFill="1" applyBorder="1"/>
    <xf numFmtId="166" fontId="0" fillId="0" borderId="32" xfId="1" applyNumberFormat="1" applyFont="1" applyBorder="1"/>
    <xf numFmtId="166" fontId="0" fillId="0" borderId="16" xfId="0" applyNumberFormat="1" applyBorder="1"/>
    <xf numFmtId="166" fontId="0" fillId="0" borderId="33" xfId="1" applyNumberFormat="1" applyFont="1" applyBorder="1"/>
    <xf numFmtId="166" fontId="0" fillId="0" borderId="20" xfId="0" applyNumberFormat="1" applyBorder="1"/>
    <xf numFmtId="0" fontId="0" fillId="0" borderId="5" xfId="0" applyBorder="1" applyAlignment="1">
      <alignment horizontal="center"/>
    </xf>
    <xf numFmtId="0" fontId="0" fillId="0" borderId="6" xfId="0" applyBorder="1" applyAlignment="1">
      <alignment horizontal="center"/>
    </xf>
    <xf numFmtId="0" fontId="0" fillId="0" borderId="29" xfId="0" applyBorder="1"/>
    <xf numFmtId="0" fontId="0" fillId="0" borderId="26" xfId="0" applyBorder="1" applyAlignment="1">
      <alignment horizontal="center"/>
    </xf>
    <xf numFmtId="10" fontId="0" fillId="0" borderId="26" xfId="0" applyNumberFormat="1" applyBorder="1" applyAlignment="1">
      <alignment horizontal="center"/>
    </xf>
    <xf numFmtId="0" fontId="108" fillId="0" borderId="29" xfId="0" applyFont="1" applyBorder="1" applyAlignment="1">
      <alignment horizontal="center"/>
    </xf>
    <xf numFmtId="0" fontId="0" fillId="0" borderId="30" xfId="0" applyBorder="1" applyAlignment="1">
      <alignment horizontal="center"/>
    </xf>
    <xf numFmtId="0" fontId="108" fillId="0" borderId="31" xfId="0" applyFont="1" applyBorder="1" applyAlignment="1">
      <alignment horizontal="center"/>
    </xf>
    <xf numFmtId="0" fontId="0" fillId="0" borderId="34" xfId="0" applyBorder="1"/>
    <xf numFmtId="9" fontId="0" fillId="0" borderId="35" xfId="2" applyFont="1" applyBorder="1"/>
    <xf numFmtId="0" fontId="0" fillId="10" borderId="0" xfId="0" applyFill="1" applyAlignment="1">
      <alignment horizontal="right"/>
    </xf>
    <xf numFmtId="10" fontId="0" fillId="10" borderId="0" xfId="2" applyNumberFormat="1" applyFont="1" applyFill="1" applyAlignment="1">
      <alignment horizontal="right"/>
    </xf>
    <xf numFmtId="0" fontId="0" fillId="24" borderId="0" xfId="0" applyFill="1"/>
    <xf numFmtId="168" fontId="0" fillId="24" borderId="0" xfId="2" applyNumberFormat="1" applyFont="1" applyFill="1"/>
    <xf numFmtId="10" fontId="0" fillId="0" borderId="0" xfId="2" applyNumberFormat="1" applyFont="1" applyBorder="1"/>
    <xf numFmtId="2" fontId="32" fillId="0" borderId="0" xfId="0" applyNumberFormat="1" applyFont="1"/>
    <xf numFmtId="43" fontId="0" fillId="0" borderId="0" xfId="1" applyFont="1" applyBorder="1"/>
    <xf numFmtId="0" fontId="24" fillId="0" borderId="4" xfId="0" applyFont="1" applyBorder="1"/>
    <xf numFmtId="43" fontId="24" fillId="0" borderId="2" xfId="0" applyNumberFormat="1" applyFont="1" applyBorder="1"/>
    <xf numFmtId="43" fontId="24" fillId="0" borderId="6" xfId="0" applyNumberFormat="1" applyFont="1" applyBorder="1"/>
    <xf numFmtId="43" fontId="24" fillId="0" borderId="5" xfId="0" applyNumberFormat="1" applyFont="1" applyBorder="1" applyAlignment="1">
      <alignment horizontal="center"/>
    </xf>
    <xf numFmtId="0" fontId="1" fillId="0" borderId="3" xfId="0" applyFont="1" applyBorder="1"/>
    <xf numFmtId="0" fontId="1" fillId="3" borderId="3" xfId="0" applyFont="1" applyFill="1" applyBorder="1"/>
    <xf numFmtId="9" fontId="0" fillId="0" borderId="0" xfId="2" applyFont="1" applyBorder="1"/>
    <xf numFmtId="168" fontId="109" fillId="0" borderId="0" xfId="0" applyNumberFormat="1" applyFont="1"/>
    <xf numFmtId="2" fontId="109" fillId="0" borderId="0" xfId="0" applyNumberFormat="1" applyFont="1"/>
    <xf numFmtId="0" fontId="109" fillId="0" borderId="0" xfId="0" applyFont="1"/>
    <xf numFmtId="10" fontId="109" fillId="0" borderId="0" xfId="0" applyNumberFormat="1" applyFont="1"/>
    <xf numFmtId="10" fontId="109" fillId="0" borderId="0" xfId="2" applyNumberFormat="1" applyFont="1" applyBorder="1"/>
    <xf numFmtId="169" fontId="109" fillId="0" borderId="0" xfId="1" applyNumberFormat="1" applyFont="1"/>
    <xf numFmtId="15" fontId="109" fillId="0" borderId="0" xfId="0" applyNumberFormat="1" applyFont="1"/>
    <xf numFmtId="9" fontId="108" fillId="0" borderId="4" xfId="0" applyNumberFormat="1" applyFont="1" applyBorder="1"/>
    <xf numFmtId="168" fontId="108" fillId="0" borderId="0" xfId="0" applyNumberFormat="1" applyFont="1"/>
    <xf numFmtId="180" fontId="108" fillId="0" borderId="0" xfId="1" applyNumberFormat="1" applyFont="1" applyFill="1"/>
    <xf numFmtId="183" fontId="108" fillId="0" borderId="0" xfId="1" applyNumberFormat="1" applyFont="1" applyFill="1"/>
    <xf numFmtId="10" fontId="108" fillId="0" borderId="0" xfId="0" applyNumberFormat="1" applyFont="1"/>
    <xf numFmtId="168" fontId="108" fillId="0" borderId="0" xfId="2" applyNumberFormat="1" applyFont="1"/>
    <xf numFmtId="0" fontId="110" fillId="0" borderId="0" xfId="0" applyFont="1"/>
    <xf numFmtId="0" fontId="1" fillId="0" borderId="12" xfId="0" applyFont="1" applyBorder="1"/>
    <xf numFmtId="168" fontId="1" fillId="0" borderId="3" xfId="0" applyNumberFormat="1" applyFont="1" applyBorder="1"/>
    <xf numFmtId="166" fontId="1" fillId="0" borderId="3" xfId="0" applyNumberFormat="1" applyFont="1" applyBorder="1"/>
    <xf numFmtId="166" fontId="1" fillId="0" borderId="24" xfId="0" applyNumberFormat="1" applyFont="1" applyBorder="1"/>
    <xf numFmtId="168" fontId="17" fillId="0" borderId="0" xfId="2" applyNumberFormat="1" applyFont="1" applyFill="1"/>
    <xf numFmtId="1" fontId="16" fillId="0" borderId="0" xfId="1" applyNumberFormat="1" applyFont="1" applyAlignment="1">
      <alignment horizontal="center"/>
    </xf>
    <xf numFmtId="0" fontId="109" fillId="0" borderId="2" xfId="0" applyFont="1" applyBorder="1"/>
    <xf numFmtId="168" fontId="0" fillId="6" borderId="0" xfId="2" applyNumberFormat="1" applyFont="1" applyFill="1"/>
    <xf numFmtId="9" fontId="0" fillId="6" borderId="0" xfId="2" applyFont="1" applyFill="1"/>
    <xf numFmtId="168" fontId="14" fillId="0" borderId="0" xfId="2" applyNumberFormat="1" applyFont="1"/>
    <xf numFmtId="0" fontId="49" fillId="2" borderId="0" xfId="0" applyFont="1" applyFill="1" applyAlignment="1">
      <alignment horizontal="center"/>
    </xf>
    <xf numFmtId="165" fontId="0" fillId="0" borderId="0" xfId="0" applyNumberFormat="1" applyAlignment="1">
      <alignment horizontal="center"/>
    </xf>
    <xf numFmtId="0" fontId="10" fillId="0" borderId="0" xfId="0" applyFont="1" applyAlignment="1">
      <alignment horizontal="center" wrapText="1"/>
    </xf>
    <xf numFmtId="0" fontId="0" fillId="0" borderId="0" xfId="0" applyAlignment="1">
      <alignment horizontal="center"/>
    </xf>
    <xf numFmtId="0" fontId="7" fillId="0" borderId="0" xfId="0" applyFont="1" applyAlignment="1">
      <alignment horizontal="center"/>
    </xf>
    <xf numFmtId="0" fontId="24" fillId="0" borderId="0" xfId="0" applyFont="1" applyAlignment="1">
      <alignment horizontal="left" wrapText="1"/>
    </xf>
    <xf numFmtId="0" fontId="73" fillId="0" borderId="11" xfId="6" applyFont="1" applyBorder="1" applyAlignment="1">
      <alignment horizontal="center" vertical="center"/>
    </xf>
    <xf numFmtId="0" fontId="73" fillId="0" borderId="24" xfId="6" applyFont="1" applyBorder="1" applyAlignment="1">
      <alignment horizontal="center" vertical="center"/>
    </xf>
    <xf numFmtId="191" fontId="73" fillId="3" borderId="11" xfId="6" applyNumberFormat="1" applyFont="1" applyFill="1" applyBorder="1" applyAlignment="1">
      <alignment horizontal="center" vertical="center"/>
    </xf>
    <xf numFmtId="191" fontId="73" fillId="3" borderId="24" xfId="6" applyNumberFormat="1" applyFont="1" applyFill="1" applyBorder="1" applyAlignment="1">
      <alignment horizontal="center" vertical="center"/>
    </xf>
    <xf numFmtId="191" fontId="85" fillId="3" borderId="3" xfId="6" applyNumberFormat="1" applyFont="1" applyFill="1" applyBorder="1" applyAlignment="1">
      <alignment horizontal="center" vertical="center"/>
    </xf>
    <xf numFmtId="191" fontId="85" fillId="3" borderId="24" xfId="6" applyNumberFormat="1" applyFont="1" applyFill="1" applyBorder="1" applyAlignment="1">
      <alignment horizontal="center" vertical="center"/>
    </xf>
    <xf numFmtId="191" fontId="85" fillId="3" borderId="11" xfId="6" applyNumberFormat="1" applyFont="1" applyFill="1" applyBorder="1" applyAlignment="1">
      <alignment horizontal="center" vertical="center"/>
    </xf>
    <xf numFmtId="191" fontId="86" fillId="3" borderId="3" xfId="11" applyNumberFormat="1" applyFont="1" applyFill="1" applyBorder="1" applyAlignment="1">
      <alignment horizontal="center" vertical="center"/>
    </xf>
    <xf numFmtId="191" fontId="86" fillId="3" borderId="24" xfId="11" applyNumberFormat="1" applyFont="1" applyFill="1" applyBorder="1" applyAlignment="1">
      <alignment horizontal="center" vertical="center"/>
    </xf>
    <xf numFmtId="191" fontId="73" fillId="7" borderId="11" xfId="11" applyNumberFormat="1" applyFont="1" applyFill="1" applyBorder="1" applyAlignment="1">
      <alignment horizontal="center" vertical="center"/>
    </xf>
    <xf numFmtId="191" fontId="73" fillId="7" borderId="24" xfId="11" applyNumberFormat="1" applyFont="1" applyFill="1" applyBorder="1" applyAlignment="1">
      <alignment horizontal="center" vertical="center"/>
    </xf>
    <xf numFmtId="0" fontId="62" fillId="8" borderId="13" xfId="6" applyFont="1" applyFill="1" applyBorder="1" applyAlignment="1">
      <alignment horizontal="center"/>
    </xf>
    <xf numFmtId="0" fontId="62" fillId="8" borderId="1" xfId="6" applyFont="1" applyFill="1" applyBorder="1" applyAlignment="1">
      <alignment horizontal="center"/>
    </xf>
    <xf numFmtId="0" fontId="73" fillId="3" borderId="11" xfId="6" applyFont="1" applyFill="1" applyBorder="1" applyAlignment="1">
      <alignment horizontal="center" vertical="center"/>
    </xf>
    <xf numFmtId="0" fontId="73" fillId="3" borderId="24" xfId="6" applyFont="1" applyFill="1" applyBorder="1" applyAlignment="1">
      <alignment horizontal="center" vertical="center"/>
    </xf>
    <xf numFmtId="0" fontId="73" fillId="0" borderId="3" xfId="6" applyFont="1" applyBorder="1" applyAlignment="1">
      <alignment horizontal="center" vertical="center"/>
    </xf>
    <xf numFmtId="0" fontId="15" fillId="0" borderId="0" xfId="0" applyFont="1" applyAlignment="1">
      <alignment horizontal="center"/>
    </xf>
    <xf numFmtId="0" fontId="14" fillId="0" borderId="0" xfId="0" applyFont="1" applyAlignment="1">
      <alignment horizontal="center"/>
    </xf>
    <xf numFmtId="0" fontId="99" fillId="0" borderId="11" xfId="12" applyFont="1" applyBorder="1" applyAlignment="1">
      <alignment horizontal="center" vertical="center"/>
    </xf>
    <xf numFmtId="0" fontId="100" fillId="0" borderId="11" xfId="12" applyFont="1" applyBorder="1" applyAlignment="1">
      <alignment horizontal="center" vertical="center"/>
    </xf>
    <xf numFmtId="0" fontId="49" fillId="2" borderId="0" xfId="0" applyFont="1" applyFill="1" applyAlignment="1">
      <alignment horizontal="left"/>
    </xf>
    <xf numFmtId="0" fontId="0" fillId="0" borderId="11" xfId="0" applyBorder="1" applyAlignment="1">
      <alignment horizontal="center"/>
    </xf>
    <xf numFmtId="0" fontId="0" fillId="0" borderId="3" xfId="0" applyBorder="1" applyAlignment="1">
      <alignment horizontal="center"/>
    </xf>
    <xf numFmtId="0" fontId="0" fillId="0" borderId="24" xfId="0" applyBorder="1" applyAlignment="1">
      <alignment horizontal="center"/>
    </xf>
    <xf numFmtId="0" fontId="0" fillId="0" borderId="2" xfId="0" applyBorder="1" applyAlignment="1">
      <alignment horizontal="center"/>
    </xf>
    <xf numFmtId="0" fontId="1" fillId="0" borderId="0" xfId="0" applyFont="1" applyAlignment="1">
      <alignment horizontal="center"/>
    </xf>
    <xf numFmtId="0" fontId="22" fillId="2" borderId="0" xfId="0" applyFont="1" applyFill="1" applyAlignment="1">
      <alignment horizontal="center"/>
    </xf>
    <xf numFmtId="0" fontId="46" fillId="0" borderId="0" xfId="0" applyFont="1" applyAlignment="1">
      <alignment horizontal="center"/>
    </xf>
    <xf numFmtId="0" fontId="2" fillId="0" borderId="0" xfId="0" applyFont="1" applyAlignment="1">
      <alignment horizontal="center"/>
    </xf>
    <xf numFmtId="17" fontId="24" fillId="0" borderId="5" xfId="0" applyNumberFormat="1" applyFont="1" applyBorder="1" applyAlignment="1">
      <alignment horizontal="center"/>
    </xf>
    <xf numFmtId="17" fontId="24" fillId="0" borderId="2" xfId="0" applyNumberFormat="1" applyFont="1" applyBorder="1" applyAlignment="1">
      <alignment horizontal="center"/>
    </xf>
    <xf numFmtId="17" fontId="24" fillId="3" borderId="17" xfId="0" applyNumberFormat="1" applyFont="1" applyFill="1" applyBorder="1" applyAlignment="1">
      <alignment horizontal="center"/>
    </xf>
    <xf numFmtId="17" fontId="24" fillId="3" borderId="2" xfId="0" applyNumberFormat="1" applyFont="1" applyFill="1" applyBorder="1" applyAlignment="1">
      <alignment horizontal="center"/>
    </xf>
    <xf numFmtId="17" fontId="24" fillId="0" borderId="18" xfId="0" applyNumberFormat="1" applyFont="1" applyBorder="1" applyAlignment="1">
      <alignment horizontal="center"/>
    </xf>
    <xf numFmtId="17" fontId="24" fillId="3" borderId="5" xfId="0" applyNumberFormat="1" applyFont="1" applyFill="1" applyBorder="1" applyAlignment="1">
      <alignment horizontal="center"/>
    </xf>
    <xf numFmtId="17" fontId="24" fillId="0" borderId="17" xfId="0" applyNumberFormat="1" applyFont="1" applyBorder="1" applyAlignment="1">
      <alignment horizontal="center"/>
    </xf>
    <xf numFmtId="0" fontId="25" fillId="0" borderId="0" xfId="0" applyFont="1" applyAlignment="1">
      <alignment horizontal="center"/>
    </xf>
    <xf numFmtId="0" fontId="24" fillId="0" borderId="0" xfId="0" applyFont="1" applyAlignment="1">
      <alignment horizontal="center"/>
    </xf>
    <xf numFmtId="0" fontId="24" fillId="0" borderId="11" xfId="0" applyFont="1" applyBorder="1" applyAlignment="1">
      <alignment horizontal="center"/>
    </xf>
    <xf numFmtId="0" fontId="24" fillId="0" borderId="3" xfId="0" applyFont="1" applyBorder="1" applyAlignment="1">
      <alignment horizontal="center"/>
    </xf>
    <xf numFmtId="0" fontId="24" fillId="0" borderId="24" xfId="0" applyFont="1" applyBorder="1" applyAlignment="1">
      <alignment horizontal="center"/>
    </xf>
    <xf numFmtId="0" fontId="57" fillId="13" borderId="0" xfId="0" applyFont="1" applyFill="1"/>
    <xf numFmtId="0" fontId="0" fillId="3" borderId="0" xfId="0" applyFill="1"/>
    <xf numFmtId="0" fontId="57" fillId="14" borderId="0" xfId="0" applyFont="1" applyFill="1"/>
    <xf numFmtId="0" fontId="0" fillId="0" borderId="0" xfId="0"/>
    <xf numFmtId="0" fontId="54" fillId="0" borderId="0" xfId="0" applyFont="1"/>
    <xf numFmtId="0" fontId="56" fillId="0" borderId="0" xfId="0" applyFont="1"/>
  </cellXfs>
  <cellStyles count="13">
    <cellStyle name="Comma" xfId="1" builtinId="3"/>
    <cellStyle name="Comma 2" xfId="10" xr:uid="{514DB072-1814-4348-9ED1-610C735A4618}"/>
    <cellStyle name="Comma 2 2" xfId="4" xr:uid="{C78E1086-CA35-42BC-A74E-DB0B633161B0}"/>
    <cellStyle name="Currency" xfId="3" builtinId="4"/>
    <cellStyle name="Currency 2" xfId="11" xr:uid="{FCDE992D-F855-4EB5-90F6-DAA4473EED34}"/>
    <cellStyle name="Currency_Starward Heritage 2012_4 proforma" xfId="7" xr:uid="{37D1CFC2-0E8D-4D7F-ABC2-AB1656BC97B4}"/>
    <cellStyle name="Normal" xfId="0" builtinId="0"/>
    <cellStyle name="Normal 2" xfId="8" xr:uid="{929AD908-84D9-43BC-A999-12ACE3CBF4AB}"/>
    <cellStyle name="Normal 2 2" xfId="5" xr:uid="{B0033BAF-B4C9-46BF-896F-10C4B801D733}"/>
    <cellStyle name="Normal 3" xfId="12" xr:uid="{0B3D9734-AC71-4229-A5B0-4A8237305ED5}"/>
    <cellStyle name="Normal_Starward Kitchener 2012_5 recommendations pricing grid" xfId="6" xr:uid="{1DEEE5FF-DA50-431C-BA6E-D8B7DC61DCC2}"/>
    <cellStyle name="Percent" xfId="2" builtinId="5"/>
    <cellStyle name="Percent 2" xfId="9" xr:uid="{7E4F50D0-B6D6-477A-B5E4-114609232A8C}"/>
  </cellStyles>
  <dxfs count="1">
    <dxf>
      <font>
        <color rgb="FF0070C0"/>
      </font>
      <fill>
        <patternFill>
          <bgColor rgb="FF007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trlProps/ctrlProp1.xml><?xml version="1.0" encoding="utf-8"?>
<formControlPr xmlns="http://schemas.microsoft.com/office/spreadsheetml/2009/9/main" objectType="Drop" dropStyle="combo" dx="37" fmlaLink="$B$35" fmlaRange="$A$34:$A$38" noThreeD="1" sel="2" val="0"/>
</file>

<file path=xl/ctrlProps/ctrlProp2.xml><?xml version="1.0" encoding="utf-8"?>
<formControlPr xmlns="http://schemas.microsoft.com/office/spreadsheetml/2009/9/main" objectType="Drop" dropStyle="combo" dx="37" fmlaLink="$B$39" fmlaRange="$B$36:$B$37" noThreeD="1" sel="1" val="0"/>
</file>

<file path=xl/ctrlProps/ctrlProp3.xml><?xml version="1.0" encoding="utf-8"?>
<formControlPr xmlns="http://schemas.microsoft.com/office/spreadsheetml/2009/9/main" objectType="Drop" dropStyle="combo" dx="37" fmlaLink="$K$13" fmlaRange="$S$13:$S$14" noThreeD="1" sel="1" val="0"/>
</file>

<file path=xl/ctrlProps/ctrlProp4.xml><?xml version="1.0" encoding="utf-8"?>
<formControlPr xmlns="http://schemas.microsoft.com/office/spreadsheetml/2009/9/main" objectType="Drop" dropStyle="combo" dx="37" fmlaLink="$E$8" fmlaRange="$B$11:$B$13" noThreeD="1" sel="1" val="0"/>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image002.png@01D16A4D.5644CAB0"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4</xdr:col>
      <xdr:colOff>0</xdr:colOff>
      <xdr:row>2</xdr:row>
      <xdr:rowOff>874744</xdr:rowOff>
    </xdr:to>
    <xdr:pic>
      <xdr:nvPicPr>
        <xdr:cNvPr id="2" name="Picture 9" descr="EmailSignatureBlock-Blue-DBA_Logo_RockAdvisors">
          <a:extLst>
            <a:ext uri="{FF2B5EF4-FFF2-40B4-BE49-F238E27FC236}">
              <a16:creationId xmlns:a16="http://schemas.microsoft.com/office/drawing/2014/main" id="{1D7423CB-A7E1-478E-BFC5-0E1E6C6FAF2F}"/>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3162300" y="209550"/>
          <a:ext cx="22383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7515225</xdr:colOff>
      <xdr:row>2</xdr:row>
      <xdr:rowOff>0</xdr:rowOff>
    </xdr:from>
    <xdr:to>
      <xdr:col>4</xdr:col>
      <xdr:colOff>0</xdr:colOff>
      <xdr:row>2</xdr:row>
      <xdr:rowOff>874744</xdr:rowOff>
    </xdr:to>
    <xdr:pic>
      <xdr:nvPicPr>
        <xdr:cNvPr id="3" name="Picture 1">
          <a:extLst>
            <a:ext uri="{FF2B5EF4-FFF2-40B4-BE49-F238E27FC236}">
              <a16:creationId xmlns:a16="http://schemas.microsoft.com/office/drawing/2014/main" id="{AE6E5A97-6088-4F78-B93D-13A5227E21B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62300" y="209550"/>
          <a:ext cx="22383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164123</xdr:colOff>
      <xdr:row>1</xdr:row>
      <xdr:rowOff>29307</xdr:rowOff>
    </xdr:from>
    <xdr:to>
      <xdr:col>3</xdr:col>
      <xdr:colOff>437271</xdr:colOff>
      <xdr:row>1</xdr:row>
      <xdr:rowOff>727807</xdr:rowOff>
    </xdr:to>
    <xdr:pic>
      <xdr:nvPicPr>
        <xdr:cNvPr id="2" name="Picture 1" descr="EmailSignatureBlock-Blue-DBA_Logo_RockAdvisors">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64123" y="134815"/>
          <a:ext cx="1767840" cy="69850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169984</xdr:colOff>
      <xdr:row>1</xdr:row>
      <xdr:rowOff>29307</xdr:rowOff>
    </xdr:from>
    <xdr:to>
      <xdr:col>2</xdr:col>
      <xdr:colOff>267286</xdr:colOff>
      <xdr:row>5</xdr:row>
      <xdr:rowOff>977</xdr:rowOff>
    </xdr:to>
    <xdr:pic>
      <xdr:nvPicPr>
        <xdr:cNvPr id="3" name="Picture 2" descr="EmailSignatureBlock-Blue-DBA_Logo_RockAdvisors">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69984" y="211015"/>
          <a:ext cx="1767840" cy="69850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327660</xdr:colOff>
      <xdr:row>0</xdr:row>
      <xdr:rowOff>106680</xdr:rowOff>
    </xdr:from>
    <xdr:to>
      <xdr:col>1</xdr:col>
      <xdr:colOff>937260</xdr:colOff>
      <xdr:row>3</xdr:row>
      <xdr:rowOff>39764</xdr:rowOff>
    </xdr:to>
    <xdr:pic>
      <xdr:nvPicPr>
        <xdr:cNvPr id="2" name="Picture 1" descr="EmailSignatureBlock-Blue-DBA_Logo_RockAdvisors">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327660" y="106680"/>
          <a:ext cx="1219200" cy="481724"/>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160020</xdr:colOff>
      <xdr:row>1</xdr:row>
      <xdr:rowOff>22860</xdr:rowOff>
    </xdr:from>
    <xdr:to>
      <xdr:col>1</xdr:col>
      <xdr:colOff>1213658</xdr:colOff>
      <xdr:row>1</xdr:row>
      <xdr:rowOff>622004</xdr:rowOff>
    </xdr:to>
    <xdr:pic>
      <xdr:nvPicPr>
        <xdr:cNvPr id="2" name="Picture 1" descr="EmailSignatureBlock-Blue-DBA_Logo_RockAdvisors">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60020" y="175260"/>
          <a:ext cx="1516380" cy="599144"/>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251012</xdr:colOff>
      <xdr:row>1</xdr:row>
      <xdr:rowOff>35858</xdr:rowOff>
    </xdr:from>
    <xdr:to>
      <xdr:col>3</xdr:col>
      <xdr:colOff>84630</xdr:colOff>
      <xdr:row>1</xdr:row>
      <xdr:rowOff>734358</xdr:rowOff>
    </xdr:to>
    <xdr:pic>
      <xdr:nvPicPr>
        <xdr:cNvPr id="2" name="Picture 1" descr="EmailSignatureBlock-Blue-DBA_Logo_RockAdvisors">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51012" y="188258"/>
          <a:ext cx="1767840" cy="69850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145473</xdr:rowOff>
    </xdr:from>
    <xdr:to>
      <xdr:col>2</xdr:col>
      <xdr:colOff>131618</xdr:colOff>
      <xdr:row>1</xdr:row>
      <xdr:rowOff>473374</xdr:rowOff>
    </xdr:to>
    <xdr:pic>
      <xdr:nvPicPr>
        <xdr:cNvPr id="2" name="Picture 1" descr="EmailSignatureBlock-Blue-DBA_Logo_RockAdvisors">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52400" y="145473"/>
          <a:ext cx="1191491" cy="470776"/>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180975</xdr:colOff>
          <xdr:row>34</xdr:row>
          <xdr:rowOff>0</xdr:rowOff>
        </xdr:from>
        <xdr:to>
          <xdr:col>1</xdr:col>
          <xdr:colOff>1552575</xdr:colOff>
          <xdr:row>35</xdr:row>
          <xdr:rowOff>28575</xdr:rowOff>
        </xdr:to>
        <xdr:sp macro="" textlink="">
          <xdr:nvSpPr>
            <xdr:cNvPr id="15362" name="Drop Down 2" hidden="1">
              <a:extLst>
                <a:ext uri="{63B3BB69-23CF-44E3-9099-C40C66FF867C}">
                  <a14:compatExt spid="_x0000_s15362"/>
                </a:ext>
                <a:ext uri="{FF2B5EF4-FFF2-40B4-BE49-F238E27FC236}">
                  <a16:creationId xmlns:a16="http://schemas.microsoft.com/office/drawing/2014/main" id="{00000000-0008-0000-0900-000002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38</xdr:row>
          <xdr:rowOff>28575</xdr:rowOff>
        </xdr:from>
        <xdr:to>
          <xdr:col>1</xdr:col>
          <xdr:colOff>1552575</xdr:colOff>
          <xdr:row>39</xdr:row>
          <xdr:rowOff>28575</xdr:rowOff>
        </xdr:to>
        <xdr:sp macro="" textlink="">
          <xdr:nvSpPr>
            <xdr:cNvPr id="15361" name="Drop Down 1" hidden="1">
              <a:extLst>
                <a:ext uri="{63B3BB69-23CF-44E3-9099-C40C66FF867C}">
                  <a14:compatExt spid="_x0000_s15361"/>
                </a:ext>
                <a:ext uri="{FF2B5EF4-FFF2-40B4-BE49-F238E27FC236}">
                  <a16:creationId xmlns:a16="http://schemas.microsoft.com/office/drawing/2014/main" id="{00000000-0008-0000-0900-000001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3</xdr:col>
      <xdr:colOff>55032</xdr:colOff>
      <xdr:row>114</xdr:row>
      <xdr:rowOff>16935</xdr:rowOff>
    </xdr:from>
    <xdr:to>
      <xdr:col>3</xdr:col>
      <xdr:colOff>177799</xdr:colOff>
      <xdr:row>115</xdr:row>
      <xdr:rowOff>84669</xdr:rowOff>
    </xdr:to>
    <xdr:grpSp>
      <xdr:nvGrpSpPr>
        <xdr:cNvPr id="13" name="Group 12">
          <a:extLst>
            <a:ext uri="{FF2B5EF4-FFF2-40B4-BE49-F238E27FC236}">
              <a16:creationId xmlns:a16="http://schemas.microsoft.com/office/drawing/2014/main" id="{00000000-0008-0000-0D00-00000D000000}"/>
            </a:ext>
          </a:extLst>
        </xdr:cNvPr>
        <xdr:cNvGrpSpPr/>
      </xdr:nvGrpSpPr>
      <xdr:grpSpPr>
        <a:xfrm>
          <a:off x="3322107" y="17742960"/>
          <a:ext cx="122767" cy="220134"/>
          <a:chOff x="3445933" y="16484600"/>
          <a:chExt cx="258234" cy="198966"/>
        </a:xfrm>
      </xdr:grpSpPr>
      <xdr:cxnSp macro="">
        <xdr:nvCxnSpPr>
          <xdr:cNvPr id="9" name="Straight Arrow Connector 8">
            <a:extLst>
              <a:ext uri="{FF2B5EF4-FFF2-40B4-BE49-F238E27FC236}">
                <a16:creationId xmlns:a16="http://schemas.microsoft.com/office/drawing/2014/main" id="{00000000-0008-0000-0D00-000009000000}"/>
              </a:ext>
            </a:extLst>
          </xdr:cNvPr>
          <xdr:cNvCxnSpPr/>
        </xdr:nvCxnSpPr>
        <xdr:spPr>
          <a:xfrm>
            <a:off x="3445933" y="16683566"/>
            <a:ext cx="25823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1" name="Straight Connector 10">
            <a:extLst>
              <a:ext uri="{FF2B5EF4-FFF2-40B4-BE49-F238E27FC236}">
                <a16:creationId xmlns:a16="http://schemas.microsoft.com/office/drawing/2014/main" id="{00000000-0008-0000-0D00-00000B000000}"/>
              </a:ext>
            </a:extLst>
          </xdr:cNvPr>
          <xdr:cNvCxnSpPr/>
        </xdr:nvCxnSpPr>
        <xdr:spPr>
          <a:xfrm flipV="1">
            <a:off x="3450168" y="16484600"/>
            <a:ext cx="0" cy="1947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681569</xdr:colOff>
      <xdr:row>113</xdr:row>
      <xdr:rowOff>148166</xdr:rowOff>
    </xdr:from>
    <xdr:to>
      <xdr:col>4</xdr:col>
      <xdr:colOff>880535</xdr:colOff>
      <xdr:row>115</xdr:row>
      <xdr:rowOff>110067</xdr:rowOff>
    </xdr:to>
    <xdr:grpSp>
      <xdr:nvGrpSpPr>
        <xdr:cNvPr id="16" name="Group 15">
          <a:extLst>
            <a:ext uri="{FF2B5EF4-FFF2-40B4-BE49-F238E27FC236}">
              <a16:creationId xmlns:a16="http://schemas.microsoft.com/office/drawing/2014/main" id="{00000000-0008-0000-0D00-000010000000}"/>
            </a:ext>
          </a:extLst>
        </xdr:cNvPr>
        <xdr:cNvGrpSpPr/>
      </xdr:nvGrpSpPr>
      <xdr:grpSpPr>
        <a:xfrm rot="16200000">
          <a:off x="5324476" y="17755659"/>
          <a:ext cx="266701" cy="198966"/>
          <a:chOff x="3445933" y="16484600"/>
          <a:chExt cx="258234" cy="198966"/>
        </a:xfrm>
      </xdr:grpSpPr>
      <xdr:cxnSp macro="">
        <xdr:nvCxnSpPr>
          <xdr:cNvPr id="17" name="Straight Arrow Connector 16">
            <a:extLst>
              <a:ext uri="{FF2B5EF4-FFF2-40B4-BE49-F238E27FC236}">
                <a16:creationId xmlns:a16="http://schemas.microsoft.com/office/drawing/2014/main" id="{00000000-0008-0000-0D00-000011000000}"/>
              </a:ext>
            </a:extLst>
          </xdr:cNvPr>
          <xdr:cNvCxnSpPr/>
        </xdr:nvCxnSpPr>
        <xdr:spPr>
          <a:xfrm>
            <a:off x="3445933" y="16683566"/>
            <a:ext cx="25823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8" name="Straight Connector 17">
            <a:extLst>
              <a:ext uri="{FF2B5EF4-FFF2-40B4-BE49-F238E27FC236}">
                <a16:creationId xmlns:a16="http://schemas.microsoft.com/office/drawing/2014/main" id="{00000000-0008-0000-0D00-000012000000}"/>
              </a:ext>
            </a:extLst>
          </xdr:cNvPr>
          <xdr:cNvCxnSpPr/>
        </xdr:nvCxnSpPr>
        <xdr:spPr>
          <a:xfrm flipV="1">
            <a:off x="3450168" y="16484600"/>
            <a:ext cx="0" cy="1947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0</xdr:col>
      <xdr:colOff>99060</xdr:colOff>
      <xdr:row>3</xdr:row>
      <xdr:rowOff>91440</xdr:rowOff>
    </xdr:from>
    <xdr:to>
      <xdr:col>1</xdr:col>
      <xdr:colOff>990600</xdr:colOff>
      <xdr:row>3</xdr:row>
      <xdr:rowOff>573164</xdr:rowOff>
    </xdr:to>
    <xdr:pic>
      <xdr:nvPicPr>
        <xdr:cNvPr id="10" name="Picture 9" descr="EmailSignatureBlock-Blue-DBA_Logo_RockAdvisors">
          <a:extLst>
            <a:ext uri="{FF2B5EF4-FFF2-40B4-BE49-F238E27FC236}">
              <a16:creationId xmlns:a16="http://schemas.microsoft.com/office/drawing/2014/main" id="{00000000-0008-0000-0D00-00000A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99060" y="579120"/>
          <a:ext cx="1219200" cy="481724"/>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266700</xdr:colOff>
          <xdr:row>11</xdr:row>
          <xdr:rowOff>142875</xdr:rowOff>
        </xdr:from>
        <xdr:to>
          <xdr:col>11</xdr:col>
          <xdr:colOff>219075</xdr:colOff>
          <xdr:row>13</xdr:row>
          <xdr:rowOff>0</xdr:rowOff>
        </xdr:to>
        <xdr:sp macro="" textlink="">
          <xdr:nvSpPr>
            <xdr:cNvPr id="21507" name="Drop Down 3" hidden="1">
              <a:extLst>
                <a:ext uri="{63B3BB69-23CF-44E3-9099-C40C66FF867C}">
                  <a14:compatExt spid="_x0000_s21507"/>
                </a:ext>
                <a:ext uri="{FF2B5EF4-FFF2-40B4-BE49-F238E27FC236}">
                  <a16:creationId xmlns:a16="http://schemas.microsoft.com/office/drawing/2014/main" id="{00000000-0008-0000-0A00-0000035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158750</xdr:colOff>
      <xdr:row>6</xdr:row>
      <xdr:rowOff>6350</xdr:rowOff>
    </xdr:from>
    <xdr:to>
      <xdr:col>1</xdr:col>
      <xdr:colOff>531299</xdr:colOff>
      <xdr:row>6</xdr:row>
      <xdr:rowOff>349250</xdr:rowOff>
    </xdr:to>
    <xdr:pic>
      <xdr:nvPicPr>
        <xdr:cNvPr id="3" name="Picture 2" descr="EmailSignatureBlock-Blue-DBA_Logo_RockAdvisors">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58750" y="603250"/>
          <a:ext cx="867849" cy="34290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28575</xdr:colOff>
          <xdr:row>6</xdr:row>
          <xdr:rowOff>152400</xdr:rowOff>
        </xdr:from>
        <xdr:to>
          <xdr:col>6</xdr:col>
          <xdr:colOff>28575</xdr:colOff>
          <xdr:row>8</xdr:row>
          <xdr:rowOff>28575</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B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152400</xdr:colOff>
      <xdr:row>1</xdr:row>
      <xdr:rowOff>26894</xdr:rowOff>
    </xdr:from>
    <xdr:to>
      <xdr:col>2</xdr:col>
      <xdr:colOff>152400</xdr:colOff>
      <xdr:row>1</xdr:row>
      <xdr:rowOff>508618</xdr:rowOff>
    </xdr:to>
    <xdr:pic>
      <xdr:nvPicPr>
        <xdr:cNvPr id="3" name="Picture 2" descr="EmailSignatureBlock-Blue-DBA_Logo_RockAdvisors">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52400" y="179294"/>
          <a:ext cx="1219200" cy="481724"/>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169984</xdr:colOff>
      <xdr:row>1</xdr:row>
      <xdr:rowOff>29307</xdr:rowOff>
    </xdr:from>
    <xdr:to>
      <xdr:col>3</xdr:col>
      <xdr:colOff>249968</xdr:colOff>
      <xdr:row>5</xdr:row>
      <xdr:rowOff>977</xdr:rowOff>
    </xdr:to>
    <xdr:pic>
      <xdr:nvPicPr>
        <xdr:cNvPr id="2" name="Picture 1" descr="EmailSignatureBlock-Blue-DBA_Logo_RockAdvisors">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69984" y="219807"/>
          <a:ext cx="1726077" cy="72414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oork\Documents\CONSULTING\1B\1B%20REVERSE%20PROJECT\Existing%20Work\Scribe%20Base%20Excel%20v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A:\NOOR%202025\1B%20and%20Reverse%201B\Reverse%201B%20Model\Master%20Exercise\SVN%20Proforma%20-%202240%20Birchmount%20Rd,%20Toronto,%20ON%20v3%20Kanen%20File.xls" TargetMode="External"/><Relationship Id="rId1" Type="http://schemas.openxmlformats.org/officeDocument/2006/relationships/externalLinkPath" Target="file:///A:\NOOR%202025\1B%20and%20Reverse%201B\Reverse%201B%20Model\Master%20Exercise\SVN%20Proforma%20-%202240%20Birchmount%20Rd,%20Toronto,%20ON%20v3%20Kanen%20Fi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i - Client &amp; Site Information"/>
      <sheetName val="1 - Exec Summary"/>
      <sheetName val="2 - Key Recommendations"/>
      <sheetName val="3 - SWOT Analysis"/>
      <sheetName val="4 - Subject Site"/>
      <sheetName val="5 - Market Delineation"/>
      <sheetName val="6a - Market Segmentation"/>
      <sheetName val="6b - Market Seg Figures"/>
      <sheetName val="7 - Prizm"/>
      <sheetName val="8a - HH Affordability"/>
      <sheetName val="8b - HH Aff Figures"/>
      <sheetName val="9a - Demand Analysis"/>
      <sheetName val="9b - Demand Analysis Figures"/>
      <sheetName val="10a - CMA"/>
      <sheetName val="DDM"/>
      <sheetName val="10b - CMA Figures"/>
      <sheetName val="15a - Amenity Reco"/>
      <sheetName val="15b - Amenity Figures"/>
      <sheetName val="Amenities DDM"/>
      <sheetName val="16a Unit Mix &amp; Sizing"/>
      <sheetName val="16b - Unit Mix &amp; Sizing Figures"/>
      <sheetName val="17 Parking"/>
      <sheetName val="18a - Rents"/>
      <sheetName val="18b - Rents Figures"/>
      <sheetName val="19a Valuation"/>
      <sheetName val="19b Proforma"/>
      <sheetName val="20a - Leasing"/>
      <sheetName val="CMHC - Universe"/>
      <sheetName val="CMHC - Rental Density"/>
      <sheetName val="CMHC - Secondary Universe"/>
      <sheetName val="CMHC - Rental Rates"/>
      <sheetName val="CMHC - Vacancy"/>
      <sheetName val="CMHC Gap"/>
      <sheetName val="PRIZM Profiles"/>
      <sheetName val="CMHC vs Actual Rents"/>
      <sheetName val="Altus Cost Guide"/>
      <sheetName val="Environics RAW"/>
      <sheetName val="Demostats Trends - PPN"/>
      <sheetName val="Sensitivity Cover"/>
      <sheetName val="Cover"/>
      <sheetName val="Executive Summary"/>
      <sheetName val="Schedule"/>
      <sheetName val="Operating Revenue and Expenses"/>
      <sheetName val="Development Costs"/>
      <sheetName val="Sensitivity"/>
      <sheetName val="Development Cash Flow"/>
      <sheetName val="H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B2" t="str">
            <v>AMENITY</v>
          </cell>
          <cell r="C2" t="str">
            <v>DESCRIPTION</v>
          </cell>
        </row>
        <row r="3">
          <cell r="B3" t="str">
            <v>-</v>
          </cell>
          <cell r="C3" t="str">
            <v>-</v>
          </cell>
        </row>
        <row r="4">
          <cell r="B4" t="str">
            <v>Arts &amp; Crafts Room</v>
          </cell>
          <cell r="C4" t="str">
            <v>This can be a small space which provides residents with a space to get creative with their hobbies, or to work on their school projects in a clean and safe environment. Arts and crafts rooms typically feature a workbench with seating, a sink for clean-up and easels. Optional extras can be secured sewing machines and basic woodworking tools.</v>
          </cell>
        </row>
        <row r="5">
          <cell r="B5" t="str">
            <v>Fitness Centre</v>
          </cell>
          <cell r="C5" t="str">
            <v>Fitness centres should be full-service gyms, not just a room with a few exercise machines, so residents who do not want to travel to an outside gym don’t need to. The client could arrange a fitness instructor once or twice per week as an extra feature if demand is high enough.</v>
          </cell>
        </row>
        <row r="6">
          <cell r="B6" t="str">
            <v>Games Room</v>
          </cell>
          <cell r="C6" t="str">
            <v>In larger buildings with a larger space budget for amenities, a games room can be a ‘nice to have’. Typical furnishings include a billiard table and a cards table. However, in buildings targeting a younger demographic we have seen arcade games and video game consoles included.</v>
          </cell>
        </row>
        <row r="7">
          <cell r="B7" t="str">
            <v>Grand Lobby</v>
          </cell>
          <cell r="C7" t="str">
            <v>The lobby is the most important amenity the building has, as it sells the building repeatedly to potential renters for the lifetime of the building. An upscale rental property must always make a good first impression. When potential renters enter the building, they have to be wowed and enveloped in a precisely manicured and well-appointed lobby. This initial impression often colours their overall view of the property, so it must be a positive one.</v>
          </cell>
        </row>
        <row r="8">
          <cell r="B8" t="str">
            <v>Lounge</v>
          </cell>
          <cell r="C8" t="str">
            <v>The lounge is a multi-functional space that residents can use during the day for socializing and/or work; and typically transitions into more formal uses in the evening for residents with visitors. Depending on its size, the lounge should offer a variety of seating options including sofas and high-tops. A fireplace works well in this setting.</v>
          </cell>
        </row>
        <row r="9">
          <cell r="B9" t="str">
            <v>Package Drop &amp; Storage</v>
          </cell>
          <cell r="C9" t="str">
            <v>With 70% of Canadians choosing to purchase goods online, package drop and storage is a vital component of rental building design. There are both public (Canada Post) and private options with various configurations. The package storage should be located with a separate entrance for couriers to drop packages.</v>
          </cell>
        </row>
        <row r="10">
          <cell r="B10" t="str">
            <v>Party Room (with kitchenette)</v>
          </cell>
          <cell r="C10" t="str">
            <v>The Client’s proposed property should include a part room with a kitchenette, and tables and chairs for residents to hold events. The ambiance should be modern, high-end, but inviting. This space could be connected to a lounge with couches to make it multi-use. The party room should have Wi-Fi service, and a large television.</v>
          </cell>
        </row>
        <row r="11">
          <cell r="B11" t="str">
            <v>Pet Grooming Room</v>
          </cell>
          <cell r="C11" t="str">
            <v>Most new rental buildings have large pet populations, particularly dogs, which can have a negative impact on the property if not managed. Rather than attempting to discourage renters with pets, we recommend preparing for pets and embracing them in creative ways. Consider dedicating one or two floors as “dog floors” to keep disruptive pets contained as much as possible. A pet grooming room should be located on the ground floor with a separate entrance to allow owners to wash muddy paws before entering the corridors/elevators.</v>
          </cell>
        </row>
      </sheetData>
      <sheetData sheetId="20"/>
      <sheetData sheetId="21"/>
      <sheetData sheetId="22"/>
      <sheetData sheetId="23"/>
      <sheetData sheetId="24"/>
      <sheetData sheetId="25"/>
      <sheetData sheetId="26"/>
      <sheetData sheetId="27"/>
      <sheetData sheetId="28">
        <row r="5">
          <cell r="A5" t="str">
            <v xml:space="preserve">PRIMARY RENTAL APARTMENT UNIVERSE &amp; UNIT MIX </v>
          </cell>
          <cell r="B5" t="str">
            <v xml:space="preserve">Bachelor </v>
          </cell>
          <cell r="C5" t="str">
            <v xml:space="preserve">% </v>
          </cell>
          <cell r="D5" t="str">
            <v xml:space="preserve">1-Bed </v>
          </cell>
          <cell r="E5" t="str">
            <v xml:space="preserve">% </v>
          </cell>
          <cell r="F5" t="str">
            <v xml:space="preserve">2-Bed </v>
          </cell>
          <cell r="G5" t="str">
            <v xml:space="preserve">% </v>
          </cell>
          <cell r="H5" t="str">
            <v xml:space="preserve">3-Bed </v>
          </cell>
          <cell r="I5" t="str">
            <v xml:space="preserve">% </v>
          </cell>
          <cell r="J5" t="str">
            <v xml:space="preserve">TOTAL </v>
          </cell>
        </row>
        <row r="6">
          <cell r="A6" t="str">
            <v>Abbotsford (City)</v>
          </cell>
          <cell r="B6">
            <v>153</v>
          </cell>
          <cell r="C6">
            <v>3.4788540245566164E-2</v>
          </cell>
          <cell r="D6">
            <v>2017</v>
          </cell>
          <cell r="E6">
            <v>0.45861755343337879</v>
          </cell>
          <cell r="F6">
            <v>2139</v>
          </cell>
          <cell r="G6">
            <v>0.48635743519781721</v>
          </cell>
          <cell r="H6">
            <v>89</v>
          </cell>
          <cell r="I6">
            <v>2.0236471123237836E-2</v>
          </cell>
          <cell r="J6">
            <v>4398</v>
          </cell>
        </row>
        <row r="7">
          <cell r="A7" t="str">
            <v>Ajax (Town)</v>
          </cell>
          <cell r="B7">
            <v>2</v>
          </cell>
          <cell r="C7">
            <v>9.2123445416858593E-4</v>
          </cell>
          <cell r="D7">
            <v>133</v>
          </cell>
          <cell r="E7">
            <v>6.1262091202210961E-2</v>
          </cell>
          <cell r="F7">
            <v>1553</v>
          </cell>
          <cell r="G7">
            <v>0.71533855366190691</v>
          </cell>
          <cell r="H7">
            <v>483</v>
          </cell>
          <cell r="I7">
            <v>0.22247812068171349</v>
          </cell>
          <cell r="J7">
            <v>2171</v>
          </cell>
        </row>
        <row r="8">
          <cell r="A8" t="str">
            <v>Arnprior (Town)</v>
          </cell>
          <cell r="B8">
            <v>12</v>
          </cell>
          <cell r="C8">
            <v>2.197802197802198E-2</v>
          </cell>
          <cell r="D8">
            <v>231</v>
          </cell>
          <cell r="E8">
            <v>0.42307692307692307</v>
          </cell>
          <cell r="F8">
            <v>290</v>
          </cell>
          <cell r="G8">
            <v>0.53113553113553114</v>
          </cell>
          <cell r="H8">
            <v>13</v>
          </cell>
          <cell r="I8">
            <v>2.3809523809523808E-2</v>
          </cell>
          <cell r="J8">
            <v>546</v>
          </cell>
        </row>
        <row r="9">
          <cell r="A9" t="str">
            <v>Aurora (Town)</v>
          </cell>
          <cell r="B9">
            <v>10</v>
          </cell>
          <cell r="C9">
            <v>1.2437810945273632E-2</v>
          </cell>
          <cell r="D9">
            <v>216</v>
          </cell>
          <cell r="E9">
            <v>0.26865671641791045</v>
          </cell>
          <cell r="F9">
            <v>302</v>
          </cell>
          <cell r="G9">
            <v>0.37562189054726369</v>
          </cell>
          <cell r="H9">
            <v>276</v>
          </cell>
          <cell r="I9">
            <v>0.34328358208955223</v>
          </cell>
          <cell r="J9">
            <v>804</v>
          </cell>
        </row>
        <row r="10">
          <cell r="A10" t="str">
            <v>Barrhaven-Rural Nepean</v>
          </cell>
          <cell r="B10">
            <v>2</v>
          </cell>
          <cell r="C10">
            <v>4.8192771084337354E-3</v>
          </cell>
          <cell r="D10">
            <v>14</v>
          </cell>
          <cell r="E10">
            <v>3.3734939759036145E-2</v>
          </cell>
          <cell r="F10">
            <v>248</v>
          </cell>
          <cell r="G10">
            <v>0.59759036144578315</v>
          </cell>
          <cell r="H10">
            <v>151</v>
          </cell>
          <cell r="I10">
            <v>0.363855421686747</v>
          </cell>
          <cell r="J10">
            <v>415</v>
          </cell>
        </row>
        <row r="11">
          <cell r="A11" t="str">
            <v>Barrie (City)</v>
          </cell>
          <cell r="B11">
            <v>127</v>
          </cell>
          <cell r="C11">
            <v>3.0310262529832935E-2</v>
          </cell>
          <cell r="D11">
            <v>1239</v>
          </cell>
          <cell r="E11">
            <v>0.29570405727923627</v>
          </cell>
          <cell r="F11">
            <v>2280</v>
          </cell>
          <cell r="G11">
            <v>0.54415274463007157</v>
          </cell>
          <cell r="H11">
            <v>544</v>
          </cell>
          <cell r="I11">
            <v>0.12983293556085918</v>
          </cell>
          <cell r="J11">
            <v>4190</v>
          </cell>
        </row>
        <row r="12">
          <cell r="A12" t="str">
            <v>Belleville (City)</v>
          </cell>
          <cell r="B12">
            <v>106</v>
          </cell>
          <cell r="C12">
            <v>2.437902483900644E-2</v>
          </cell>
          <cell r="D12">
            <v>1319</v>
          </cell>
          <cell r="E12">
            <v>0.3033578656853726</v>
          </cell>
          <cell r="F12">
            <v>2661</v>
          </cell>
          <cell r="G12">
            <v>0.61200551977920881</v>
          </cell>
          <cell r="H12">
            <v>262</v>
          </cell>
          <cell r="I12">
            <v>6.0257589696412144E-2</v>
          </cell>
          <cell r="J12">
            <v>4348</v>
          </cell>
        </row>
        <row r="13">
          <cell r="A13" t="str">
            <v>Bracebridge (Town)</v>
          </cell>
          <cell r="B13">
            <v>15</v>
          </cell>
          <cell r="C13">
            <v>4.6875E-2</v>
          </cell>
          <cell r="D13">
            <v>93</v>
          </cell>
          <cell r="E13">
            <v>0.29062500000000002</v>
          </cell>
          <cell r="F13">
            <v>195</v>
          </cell>
          <cell r="G13">
            <v>0.609375</v>
          </cell>
          <cell r="H13">
            <v>17</v>
          </cell>
          <cell r="I13">
            <v>5.3124999999999999E-2</v>
          </cell>
          <cell r="J13">
            <v>320</v>
          </cell>
        </row>
        <row r="14">
          <cell r="A14" t="str">
            <v>Brampton (City)</v>
          </cell>
          <cell r="B14">
            <v>209</v>
          </cell>
          <cell r="C14">
            <v>1.9183111519045434E-2</v>
          </cell>
          <cell r="D14">
            <v>3650</v>
          </cell>
          <cell r="E14">
            <v>0.33501606241395138</v>
          </cell>
          <cell r="F14">
            <v>5569</v>
          </cell>
          <cell r="G14">
            <v>0.51115190454336856</v>
          </cell>
          <cell r="H14">
            <v>1467</v>
          </cell>
          <cell r="I14">
            <v>0.1346489215236347</v>
          </cell>
          <cell r="J14">
            <v>10895</v>
          </cell>
        </row>
        <row r="15">
          <cell r="A15" t="str">
            <v>Brantford (City)</v>
          </cell>
          <cell r="B15">
            <v>70</v>
          </cell>
          <cell r="C15">
            <v>1.3210039630118891E-2</v>
          </cell>
          <cell r="D15">
            <v>1487</v>
          </cell>
          <cell r="E15">
            <v>0.28061898471409702</v>
          </cell>
          <cell r="F15">
            <v>2822</v>
          </cell>
          <cell r="G15">
            <v>0.53255331194565014</v>
          </cell>
          <cell r="H15">
            <v>920</v>
          </cell>
          <cell r="I15">
            <v>0.17361766371013398</v>
          </cell>
          <cell r="J15">
            <v>5299</v>
          </cell>
        </row>
        <row r="16">
          <cell r="A16" t="str">
            <v>Brockville (City)</v>
          </cell>
          <cell r="B16">
            <v>81</v>
          </cell>
          <cell r="C16">
            <v>3.7779850746268655E-2</v>
          </cell>
          <cell r="D16">
            <v>595</v>
          </cell>
          <cell r="E16">
            <v>0.2775186567164179</v>
          </cell>
          <cell r="F16">
            <v>1365</v>
          </cell>
          <cell r="G16">
            <v>0.63666044776119401</v>
          </cell>
          <cell r="H16">
            <v>103</v>
          </cell>
          <cell r="I16">
            <v>4.8041044776119403E-2</v>
          </cell>
          <cell r="J16">
            <v>2144</v>
          </cell>
        </row>
        <row r="17">
          <cell r="A17" t="str">
            <v>Burlington (City)</v>
          </cell>
          <cell r="B17">
            <v>120</v>
          </cell>
          <cell r="C17">
            <v>1.1801730920535013E-2</v>
          </cell>
          <cell r="D17">
            <v>2959</v>
          </cell>
          <cell r="E17">
            <v>0.29101101494885917</v>
          </cell>
          <cell r="F17">
            <v>5660</v>
          </cell>
          <cell r="G17">
            <v>0.55664830841856805</v>
          </cell>
          <cell r="H17">
            <v>1429</v>
          </cell>
          <cell r="I17">
            <v>0.14053894571203776</v>
          </cell>
          <cell r="J17">
            <v>10168</v>
          </cell>
        </row>
        <row r="18">
          <cell r="A18" t="str">
            <v>Calgary (City)</v>
          </cell>
          <cell r="B18">
            <v>1449</v>
          </cell>
          <cell r="C18">
            <v>3.2856397814108526E-2</v>
          </cell>
          <cell r="D18">
            <v>19561</v>
          </cell>
          <cell r="E18">
            <v>0.44355003287907302</v>
          </cell>
          <cell r="F18">
            <v>19760</v>
          </cell>
          <cell r="G18">
            <v>0.44806240221310173</v>
          </cell>
          <cell r="H18">
            <v>3331</v>
          </cell>
          <cell r="I18">
            <v>7.5531167093716697E-2</v>
          </cell>
          <cell r="J18">
            <v>44101</v>
          </cell>
        </row>
        <row r="19">
          <cell r="A19" t="str">
            <v>Cambridge (City)</v>
          </cell>
          <cell r="B19">
            <v>81</v>
          </cell>
          <cell r="C19">
            <v>1.3032984714400644E-2</v>
          </cell>
          <cell r="D19">
            <v>1552</v>
          </cell>
          <cell r="E19">
            <v>0.2497184231697506</v>
          </cell>
          <cell r="F19">
            <v>4183</v>
          </cell>
          <cell r="G19">
            <v>0.67304907481898635</v>
          </cell>
          <cell r="H19">
            <v>399</v>
          </cell>
          <cell r="I19">
            <v>6.4199517296862435E-2</v>
          </cell>
          <cell r="J19">
            <v>6215</v>
          </cell>
        </row>
        <row r="20">
          <cell r="A20" t="str">
            <v>Carleton Place (Town)</v>
          </cell>
          <cell r="B20">
            <v>6</v>
          </cell>
          <cell r="C20">
            <v>1.812688821752266E-2</v>
          </cell>
          <cell r="D20">
            <v>100</v>
          </cell>
          <cell r="E20">
            <v>0.30211480362537763</v>
          </cell>
          <cell r="F20">
            <v>211</v>
          </cell>
          <cell r="G20">
            <v>0.63746223564954685</v>
          </cell>
          <cell r="H20">
            <v>14</v>
          </cell>
          <cell r="I20">
            <v>4.2296072507552872E-2</v>
          </cell>
          <cell r="J20">
            <v>331</v>
          </cell>
        </row>
        <row r="21">
          <cell r="A21" t="str">
            <v>Chatham-Kent (MU)</v>
          </cell>
          <cell r="B21">
            <v>122</v>
          </cell>
          <cell r="C21">
            <v>2.4671385237613752E-2</v>
          </cell>
          <cell r="D21">
            <v>1646</v>
          </cell>
          <cell r="E21">
            <v>0.33286147623862489</v>
          </cell>
          <cell r="F21">
            <v>2585</v>
          </cell>
          <cell r="G21">
            <v>0.5227502527805864</v>
          </cell>
          <cell r="H21">
            <v>592</v>
          </cell>
          <cell r="I21">
            <v>0.11971688574317492</v>
          </cell>
          <cell r="J21">
            <v>4945</v>
          </cell>
        </row>
        <row r="22">
          <cell r="A22" t="str">
            <v>Chilliwack (City)</v>
          </cell>
          <cell r="B22">
            <v>133</v>
          </cell>
          <cell r="C22">
            <v>3.9808440586650701E-2</v>
          </cell>
          <cell r="D22">
            <v>1605</v>
          </cell>
          <cell r="E22">
            <v>0.48039509129003294</v>
          </cell>
          <cell r="F22">
            <v>1445</v>
          </cell>
          <cell r="G22">
            <v>0.43250523795270879</v>
          </cell>
          <cell r="H22">
            <v>158</v>
          </cell>
          <cell r="I22">
            <v>4.7291230170607601E-2</v>
          </cell>
          <cell r="J22">
            <v>3341</v>
          </cell>
        </row>
        <row r="23">
          <cell r="A23" t="str">
            <v>Collingwood (Town)</v>
          </cell>
          <cell r="B23">
            <v>46</v>
          </cell>
          <cell r="C23">
            <v>8.1850533807829182E-2</v>
          </cell>
          <cell r="D23">
            <v>231</v>
          </cell>
          <cell r="E23">
            <v>0.4110320284697509</v>
          </cell>
          <cell r="F23">
            <v>262</v>
          </cell>
          <cell r="G23">
            <v>0.46619217081850534</v>
          </cell>
          <cell r="H23">
            <v>23</v>
          </cell>
          <cell r="I23">
            <v>4.0925266903914591E-2</v>
          </cell>
          <cell r="J23">
            <v>562</v>
          </cell>
        </row>
        <row r="24">
          <cell r="A24" t="str">
            <v>Cornwall (City)</v>
          </cell>
          <cell r="B24">
            <v>190</v>
          </cell>
          <cell r="C24">
            <v>4.9032258064516131E-2</v>
          </cell>
          <cell r="D24">
            <v>1151</v>
          </cell>
          <cell r="E24">
            <v>0.29703225806451611</v>
          </cell>
          <cell r="F24">
            <v>2129</v>
          </cell>
          <cell r="G24">
            <v>0.54941935483870963</v>
          </cell>
          <cell r="H24">
            <v>405</v>
          </cell>
          <cell r="I24">
            <v>0.10451612903225807</v>
          </cell>
          <cell r="J24">
            <v>3875</v>
          </cell>
        </row>
        <row r="25">
          <cell r="A25" t="str">
            <v>Delta (DM)</v>
          </cell>
          <cell r="B25">
            <v>73</v>
          </cell>
          <cell r="C25">
            <v>4.2865531415149732E-2</v>
          </cell>
          <cell r="D25">
            <v>848</v>
          </cell>
          <cell r="E25">
            <v>0.49794480328831475</v>
          </cell>
          <cell r="F25">
            <v>751</v>
          </cell>
          <cell r="G25">
            <v>0.1707594361073215</v>
          </cell>
          <cell r="H25">
            <v>31</v>
          </cell>
          <cell r="I25">
            <v>1.6519174041297935E-2</v>
          </cell>
          <cell r="J25">
            <v>1703</v>
          </cell>
        </row>
        <row r="26">
          <cell r="A26" t="str">
            <v>Edmonton (City)</v>
          </cell>
          <cell r="B26">
            <v>4044</v>
          </cell>
          <cell r="C26">
            <v>5.6096545984186431E-2</v>
          </cell>
          <cell r="D26">
            <v>28860</v>
          </cell>
          <cell r="E26">
            <v>0.40033291718684977</v>
          </cell>
          <cell r="F26">
            <v>31446</v>
          </cell>
          <cell r="G26">
            <v>0.43620474406991261</v>
          </cell>
          <cell r="H26">
            <v>7740</v>
          </cell>
          <cell r="I26">
            <v>0.10736579275905118</v>
          </cell>
          <cell r="J26">
            <v>72090</v>
          </cell>
        </row>
        <row r="27">
          <cell r="A27" t="str">
            <v>Gravenhurst (Town)</v>
          </cell>
          <cell r="B27">
            <v>16</v>
          </cell>
          <cell r="C27">
            <v>5.9925093632958802E-2</v>
          </cell>
          <cell r="D27">
            <v>78</v>
          </cell>
          <cell r="E27">
            <v>0.29213483146067415</v>
          </cell>
          <cell r="F27">
            <v>167</v>
          </cell>
          <cell r="G27">
            <v>0.62546816479400746</v>
          </cell>
          <cell r="H27">
            <v>6</v>
          </cell>
          <cell r="I27">
            <v>2.247191011235955E-2</v>
          </cell>
          <cell r="J27">
            <v>267</v>
          </cell>
        </row>
        <row r="28">
          <cell r="A28" t="str">
            <v>Grimsby (Town)</v>
          </cell>
          <cell r="B28">
            <v>53</v>
          </cell>
          <cell r="C28">
            <v>0.13624678663239073</v>
          </cell>
          <cell r="D28">
            <v>120</v>
          </cell>
          <cell r="E28">
            <v>0.30848329048843187</v>
          </cell>
          <cell r="F28">
            <v>184</v>
          </cell>
          <cell r="G28">
            <v>0.47300771208226222</v>
          </cell>
          <cell r="H28">
            <v>32</v>
          </cell>
          <cell r="I28">
            <v>8.2262210796915161E-2</v>
          </cell>
          <cell r="J28">
            <v>389</v>
          </cell>
        </row>
        <row r="29">
          <cell r="A29" t="str">
            <v>Guelph (City)</v>
          </cell>
          <cell r="B29">
            <v>196</v>
          </cell>
          <cell r="C29">
            <v>2.3571858087793145E-2</v>
          </cell>
          <cell r="D29">
            <v>2599</v>
          </cell>
          <cell r="E29">
            <v>0.31256764882742033</v>
          </cell>
          <cell r="F29">
            <v>4672</v>
          </cell>
          <cell r="G29">
            <v>0.56187612748045701</v>
          </cell>
          <cell r="H29">
            <v>848</v>
          </cell>
          <cell r="I29">
            <v>0.10198436560432952</v>
          </cell>
          <cell r="J29">
            <v>8315</v>
          </cell>
        </row>
        <row r="30">
          <cell r="A30" t="str">
            <v>Halifax (RGM)</v>
          </cell>
          <cell r="B30">
            <v>2783</v>
          </cell>
          <cell r="C30">
            <v>5.2595770415587849E-2</v>
          </cell>
          <cell r="D30">
            <v>17953</v>
          </cell>
          <cell r="E30">
            <v>0.33929280139096252</v>
          </cell>
          <cell r="F30">
            <v>27735</v>
          </cell>
          <cell r="G30">
            <v>0.52416230415965825</v>
          </cell>
          <cell r="H30">
            <v>4442</v>
          </cell>
          <cell r="I30">
            <v>8.3949124033791317E-2</v>
          </cell>
          <cell r="J30">
            <v>52913</v>
          </cell>
        </row>
        <row r="31">
          <cell r="A31" t="str">
            <v>Hamilton (City)</v>
          </cell>
          <cell r="B31">
            <v>1558</v>
          </cell>
          <cell r="C31">
            <v>4.300303615788021E-2</v>
          </cell>
          <cell r="D31">
            <v>16177</v>
          </cell>
          <cell r="E31">
            <v>0.44650841843775874</v>
          </cell>
          <cell r="F31">
            <v>15842</v>
          </cell>
          <cell r="G31">
            <v>0.43726193762075627</v>
          </cell>
          <cell r="H31">
            <v>2653</v>
          </cell>
          <cell r="I31">
            <v>7.322660778360475E-2</v>
          </cell>
          <cell r="J31">
            <v>36230</v>
          </cell>
        </row>
        <row r="32">
          <cell r="A32" t="str">
            <v>Kanata-Stittsville</v>
          </cell>
          <cell r="B32">
            <v>12</v>
          </cell>
          <cell r="C32">
            <v>5.3571428571428572E-3</v>
          </cell>
          <cell r="D32">
            <v>915</v>
          </cell>
          <cell r="E32">
            <v>0.40848214285714285</v>
          </cell>
          <cell r="F32">
            <v>1050</v>
          </cell>
          <cell r="G32">
            <v>0.46875</v>
          </cell>
          <cell r="H32">
            <v>263</v>
          </cell>
          <cell r="I32">
            <v>0.11741071428571428</v>
          </cell>
          <cell r="J32">
            <v>2240</v>
          </cell>
        </row>
        <row r="33">
          <cell r="A33" t="str">
            <v>Kawartha Lakes</v>
          </cell>
          <cell r="B33">
            <v>68</v>
          </cell>
          <cell r="C33">
            <v>4.5424181696726788E-2</v>
          </cell>
          <cell r="D33">
            <v>607</v>
          </cell>
          <cell r="E33">
            <v>0.40547762191048764</v>
          </cell>
          <cell r="F33">
            <v>729</v>
          </cell>
          <cell r="G33">
            <v>0.48697394789579157</v>
          </cell>
          <cell r="H33">
            <v>93</v>
          </cell>
          <cell r="I33">
            <v>6.2124248496993988E-2</v>
          </cell>
          <cell r="J33">
            <v>1497</v>
          </cell>
        </row>
        <row r="34">
          <cell r="A34" t="str">
            <v>Kingston (City)</v>
          </cell>
          <cell r="B34">
            <v>687</v>
          </cell>
          <cell r="C34">
            <v>4.7827903091060983E-2</v>
          </cell>
          <cell r="D34">
            <v>4684</v>
          </cell>
          <cell r="E34">
            <v>0.3260930103035366</v>
          </cell>
          <cell r="F34">
            <v>8053</v>
          </cell>
          <cell r="G34">
            <v>0.56063770537454749</v>
          </cell>
          <cell r="H34">
            <v>940</v>
          </cell>
          <cell r="I34">
            <v>6.5441381230854911E-2</v>
          </cell>
          <cell r="J34">
            <v>14364</v>
          </cell>
        </row>
        <row r="35">
          <cell r="A35" t="str">
            <v>Kitchener (City)</v>
          </cell>
          <cell r="B35">
            <v>584</v>
          </cell>
          <cell r="C35">
            <v>2.6405027806664556E-2</v>
          </cell>
          <cell r="D35">
            <v>6944</v>
          </cell>
          <cell r="E35">
            <v>0.313966632002532</v>
          </cell>
          <cell r="F35">
            <v>12801</v>
          </cell>
          <cell r="G35">
            <v>0.57878554957724826</v>
          </cell>
          <cell r="H35">
            <v>1788</v>
          </cell>
          <cell r="I35">
            <v>8.084279061355519E-2</v>
          </cell>
          <cell r="J35">
            <v>22117</v>
          </cell>
        </row>
        <row r="36">
          <cell r="A36" t="str">
            <v>Langley (City)</v>
          </cell>
          <cell r="B36">
            <v>80</v>
          </cell>
          <cell r="C36">
            <v>3.2076984763432237E-2</v>
          </cell>
          <cell r="D36">
            <v>1051</v>
          </cell>
          <cell r="E36">
            <v>0.42141138732959099</v>
          </cell>
          <cell r="F36">
            <v>1155</v>
          </cell>
          <cell r="G36">
            <v>0.4631114675220529</v>
          </cell>
          <cell r="H36">
            <v>208</v>
          </cell>
          <cell r="I36">
            <v>8.3400160384923816E-2</v>
          </cell>
          <cell r="J36">
            <v>2494</v>
          </cell>
        </row>
        <row r="37">
          <cell r="A37" t="str">
            <v>Leamington (MU)</v>
          </cell>
          <cell r="B37">
            <v>43</v>
          </cell>
          <cell r="C37">
            <v>3.7818821459982409E-2</v>
          </cell>
          <cell r="D37">
            <v>436</v>
          </cell>
          <cell r="E37">
            <v>0.38346525945470539</v>
          </cell>
          <cell r="F37">
            <v>592</v>
          </cell>
          <cell r="G37">
            <v>0.52066842568161831</v>
          </cell>
          <cell r="H37">
            <v>66</v>
          </cell>
          <cell r="I37">
            <v>5.8047493403693931E-2</v>
          </cell>
          <cell r="J37">
            <v>1137</v>
          </cell>
        </row>
        <row r="38">
          <cell r="A38" t="str">
            <v>London (City)</v>
          </cell>
          <cell r="B38">
            <v>1079</v>
          </cell>
          <cell r="C38">
            <v>2.3103935591623485E-2</v>
          </cell>
          <cell r="D38">
            <v>17235</v>
          </cell>
          <cell r="E38">
            <v>0.36904201104877737</v>
          </cell>
          <cell r="F38">
            <v>24081</v>
          </cell>
          <cell r="G38">
            <v>0.51563102222602886</v>
          </cell>
          <cell r="H38">
            <v>4307</v>
          </cell>
          <cell r="I38">
            <v>9.2223031133570291E-2</v>
          </cell>
          <cell r="J38">
            <v>46702</v>
          </cell>
        </row>
        <row r="39">
          <cell r="A39" t="str">
            <v>Maple Ridge (City)</v>
          </cell>
          <cell r="B39">
            <v>25</v>
          </cell>
          <cell r="C39">
            <v>1.675603217158177E-2</v>
          </cell>
          <cell r="D39">
            <v>877</v>
          </cell>
          <cell r="E39">
            <v>0.58780160857908847</v>
          </cell>
          <cell r="F39">
            <v>521</v>
          </cell>
          <cell r="G39">
            <v>0.34919571045576409</v>
          </cell>
          <cell r="H39">
            <v>69</v>
          </cell>
          <cell r="I39">
            <v>4.6246648793565687E-2</v>
          </cell>
          <cell r="J39">
            <v>1492</v>
          </cell>
        </row>
        <row r="40">
          <cell r="A40" t="str">
            <v>Markham (City)</v>
          </cell>
          <cell r="B40">
            <v>11</v>
          </cell>
          <cell r="C40">
            <v>6.7567567567567571E-3</v>
          </cell>
          <cell r="D40">
            <v>700</v>
          </cell>
          <cell r="E40">
            <v>0.42997542997542998</v>
          </cell>
          <cell r="F40">
            <v>791</v>
          </cell>
          <cell r="G40">
            <v>0.48587223587223588</v>
          </cell>
          <cell r="H40">
            <v>126</v>
          </cell>
          <cell r="I40">
            <v>7.7395577395577397E-2</v>
          </cell>
          <cell r="J40">
            <v>1628</v>
          </cell>
        </row>
        <row r="41">
          <cell r="A41" t="str">
            <v>Meaford (Municipality)</v>
          </cell>
          <cell r="B41">
            <v>7</v>
          </cell>
          <cell r="C41">
            <v>2.6923076923076925E-2</v>
          </cell>
          <cell r="D41">
            <v>62</v>
          </cell>
          <cell r="E41">
            <v>0.23846153846153847</v>
          </cell>
          <cell r="F41">
            <v>174</v>
          </cell>
          <cell r="G41">
            <v>0.66923076923076918</v>
          </cell>
          <cell r="H41">
            <v>17</v>
          </cell>
          <cell r="I41">
            <v>6.5384615384615388E-2</v>
          </cell>
          <cell r="J41">
            <v>260</v>
          </cell>
        </row>
        <row r="42">
          <cell r="A42" t="str">
            <v>Midland (Town)</v>
          </cell>
          <cell r="B42">
            <v>16</v>
          </cell>
          <cell r="C42">
            <v>1.9024970273483946E-2</v>
          </cell>
          <cell r="D42">
            <v>279</v>
          </cell>
          <cell r="E42">
            <v>0.33174791914387636</v>
          </cell>
          <cell r="F42">
            <v>510</v>
          </cell>
          <cell r="G42">
            <v>0.60642092746730081</v>
          </cell>
          <cell r="H42">
            <v>36</v>
          </cell>
          <cell r="I42">
            <v>4.2806183115338882E-2</v>
          </cell>
          <cell r="J42">
            <v>841</v>
          </cell>
        </row>
        <row r="43">
          <cell r="A43" t="str">
            <v>Milton (Town)</v>
          </cell>
          <cell r="B43">
            <v>9</v>
          </cell>
          <cell r="C43">
            <v>1.2693935119887164E-2</v>
          </cell>
          <cell r="D43">
            <v>320</v>
          </cell>
          <cell r="E43">
            <v>0.45133991537376589</v>
          </cell>
          <cell r="F43">
            <v>370</v>
          </cell>
          <cell r="G43">
            <v>0.52186177715091675</v>
          </cell>
          <cell r="H43">
            <v>10</v>
          </cell>
          <cell r="I43">
            <v>1.4104372355430184E-2</v>
          </cell>
          <cell r="J43">
            <v>709</v>
          </cell>
        </row>
        <row r="44">
          <cell r="A44" t="str">
            <v>Mission (DM)</v>
          </cell>
          <cell r="B44">
            <v>12</v>
          </cell>
          <cell r="C44" t="str">
            <v>%</v>
          </cell>
          <cell r="D44">
            <v>194</v>
          </cell>
          <cell r="E44">
            <v>0.42082429501084601</v>
          </cell>
          <cell r="F44">
            <v>174</v>
          </cell>
          <cell r="G44">
            <v>0.37744034707158353</v>
          </cell>
          <cell r="H44">
            <v>81</v>
          </cell>
          <cell r="I44">
            <v>0.175704989154013</v>
          </cell>
          <cell r="J44">
            <v>461</v>
          </cell>
        </row>
        <row r="45">
          <cell r="A45" t="str">
            <v>Mississauga (City)</v>
          </cell>
          <cell r="B45">
            <v>650</v>
          </cell>
          <cell r="C45">
            <v>2.2039875220398752E-2</v>
          </cell>
          <cell r="D45">
            <v>10319</v>
          </cell>
          <cell r="E45">
            <v>0.34989149599891495</v>
          </cell>
          <cell r="F45">
            <v>14210</v>
          </cell>
          <cell r="G45">
            <v>0.4818255798182558</v>
          </cell>
          <cell r="H45">
            <v>4313</v>
          </cell>
          <cell r="I45">
            <v>0.14624304896243048</v>
          </cell>
          <cell r="J45">
            <v>29492</v>
          </cell>
        </row>
        <row r="46">
          <cell r="A46" t="str">
            <v>Newmarket (City)</v>
          </cell>
          <cell r="B46">
            <v>38</v>
          </cell>
          <cell r="C46">
            <v>3.6608863198458574E-2</v>
          </cell>
          <cell r="D46">
            <v>529</v>
          </cell>
          <cell r="E46">
            <v>0.50963391136801539</v>
          </cell>
          <cell r="F46">
            <v>408</v>
          </cell>
          <cell r="G46">
            <v>0.39306358381502893</v>
          </cell>
          <cell r="H46">
            <v>63</v>
          </cell>
          <cell r="I46">
            <v>6.0693641618497107E-2</v>
          </cell>
          <cell r="J46">
            <v>1038</v>
          </cell>
        </row>
        <row r="47">
          <cell r="A47" t="str">
            <v>Niagara Falls (City)</v>
          </cell>
          <cell r="B47">
            <v>80</v>
          </cell>
          <cell r="C47">
            <v>2.3426061493411421E-2</v>
          </cell>
          <cell r="D47">
            <v>973</v>
          </cell>
          <cell r="E47">
            <v>0.28491947291361641</v>
          </cell>
          <cell r="F47">
            <v>2067</v>
          </cell>
          <cell r="G47">
            <v>0.60527086383601758</v>
          </cell>
          <cell r="H47">
            <v>295</v>
          </cell>
          <cell r="I47">
            <v>8.6383601756954614E-2</v>
          </cell>
          <cell r="J47">
            <v>3415</v>
          </cell>
        </row>
        <row r="48">
          <cell r="A48" t="str">
            <v>Oakville (Town)</v>
          </cell>
          <cell r="B48">
            <v>159</v>
          </cell>
          <cell r="C48">
            <v>3.0689056166763172E-2</v>
          </cell>
          <cell r="D48">
            <v>1457</v>
          </cell>
          <cell r="E48">
            <v>3.1197807374416513E-2</v>
          </cell>
          <cell r="F48">
            <v>2906</v>
          </cell>
          <cell r="G48">
            <v>0.56089558000386031</v>
          </cell>
          <cell r="H48">
            <v>659</v>
          </cell>
          <cell r="I48">
            <v>0.1271955220999807</v>
          </cell>
          <cell r="J48">
            <v>5181</v>
          </cell>
        </row>
        <row r="49">
          <cell r="A49" t="str">
            <v>Orillia (City)</v>
          </cell>
          <cell r="B49">
            <v>100</v>
          </cell>
          <cell r="C49">
            <v>5.7636887608069162E-2</v>
          </cell>
          <cell r="D49">
            <v>578</v>
          </cell>
          <cell r="E49">
            <v>0.33314121037463978</v>
          </cell>
          <cell r="F49">
            <v>920</v>
          </cell>
          <cell r="G49">
            <v>0.53025936599423629</v>
          </cell>
          <cell r="H49">
            <v>137</v>
          </cell>
          <cell r="I49">
            <v>7.8962536023054752E-2</v>
          </cell>
          <cell r="J49">
            <v>1735</v>
          </cell>
        </row>
        <row r="50">
          <cell r="A50" t="str">
            <v>Oshawa (City)</v>
          </cell>
          <cell r="B50">
            <v>213</v>
          </cell>
          <cell r="C50">
            <v>2.1692636724717385E-2</v>
          </cell>
          <cell r="D50">
            <v>2644</v>
          </cell>
          <cell r="E50">
            <v>0.26927385680822896</v>
          </cell>
          <cell r="F50">
            <v>5449</v>
          </cell>
          <cell r="G50">
            <v>0.55494449536612689</v>
          </cell>
          <cell r="H50">
            <v>1513</v>
          </cell>
          <cell r="I50">
            <v>0.15408901110092676</v>
          </cell>
          <cell r="J50">
            <v>9819</v>
          </cell>
        </row>
        <row r="51">
          <cell r="A51" t="str">
            <v>Ottawa (City)</v>
          </cell>
          <cell r="B51">
            <v>5434</v>
          </cell>
          <cell r="C51">
            <v>7.444447488834699E-2</v>
          </cell>
          <cell r="D51">
            <v>31285</v>
          </cell>
          <cell r="E51">
            <v>0.42859687097569665</v>
          </cell>
          <cell r="F51">
            <v>27785</v>
          </cell>
          <cell r="G51">
            <v>0.38064772447050443</v>
          </cell>
          <cell r="H51">
            <v>8490</v>
          </cell>
          <cell r="I51">
            <v>0.11631092966545195</v>
          </cell>
          <cell r="J51">
            <v>72994</v>
          </cell>
        </row>
        <row r="52">
          <cell r="A52" t="str">
            <v>Owen Sound (City)</v>
          </cell>
          <cell r="B52">
            <v>70</v>
          </cell>
          <cell r="C52">
            <v>3.7674919268030141E-2</v>
          </cell>
          <cell r="D52">
            <v>691</v>
          </cell>
          <cell r="E52">
            <v>0.37190527448869753</v>
          </cell>
          <cell r="F52">
            <v>877</v>
          </cell>
          <cell r="G52">
            <v>0.47201291711517762</v>
          </cell>
          <cell r="H52">
            <v>220</v>
          </cell>
          <cell r="I52">
            <v>0.11840688912809473</v>
          </cell>
          <cell r="J52">
            <v>1858</v>
          </cell>
        </row>
        <row r="53">
          <cell r="A53" t="str">
            <v>Pembroke (City)</v>
          </cell>
          <cell r="B53">
            <v>38</v>
          </cell>
          <cell r="C53">
            <v>3.8422649140546009E-2</v>
          </cell>
          <cell r="D53">
            <v>318</v>
          </cell>
          <cell r="E53">
            <v>0.32153690596562184</v>
          </cell>
          <cell r="F53">
            <v>584</v>
          </cell>
          <cell r="G53">
            <v>0.59049544994944392</v>
          </cell>
          <cell r="H53">
            <v>49</v>
          </cell>
          <cell r="I53">
            <v>4.9544994944388271E-2</v>
          </cell>
          <cell r="J53">
            <v>989</v>
          </cell>
        </row>
        <row r="54">
          <cell r="A54" t="str">
            <v>Penetanguishene (Town)</v>
          </cell>
          <cell r="B54">
            <v>11</v>
          </cell>
          <cell r="C54">
            <v>3.9285714285714285E-2</v>
          </cell>
          <cell r="D54">
            <v>131</v>
          </cell>
          <cell r="E54">
            <v>0.46785714285714286</v>
          </cell>
          <cell r="F54">
            <v>121</v>
          </cell>
          <cell r="G54">
            <v>0.43214285714285716</v>
          </cell>
          <cell r="H54">
            <v>17</v>
          </cell>
          <cell r="I54">
            <v>6.0714285714285714E-2</v>
          </cell>
          <cell r="J54">
            <v>280</v>
          </cell>
        </row>
        <row r="55">
          <cell r="A55" t="str">
            <v>Peterborough (City)</v>
          </cell>
          <cell r="B55">
            <v>177</v>
          </cell>
          <cell r="C55">
            <v>2.7230769230769232E-2</v>
          </cell>
          <cell r="D55">
            <v>2153</v>
          </cell>
          <cell r="E55">
            <v>0.33123076923076922</v>
          </cell>
          <cell r="F55">
            <v>3449</v>
          </cell>
          <cell r="G55">
            <v>0.5306153846153846</v>
          </cell>
          <cell r="H55">
            <v>721</v>
          </cell>
          <cell r="I55">
            <v>0.11092307692307693</v>
          </cell>
          <cell r="J55">
            <v>6500</v>
          </cell>
        </row>
        <row r="56">
          <cell r="A56" t="str">
            <v>Pickering (City)</v>
          </cell>
          <cell r="B56">
            <v>1</v>
          </cell>
          <cell r="C56">
            <v>2.8328611898016999E-3</v>
          </cell>
          <cell r="D56">
            <v>7</v>
          </cell>
          <cell r="E56">
            <v>1.9830028328611898E-2</v>
          </cell>
          <cell r="F56">
            <v>2</v>
          </cell>
          <cell r="G56">
            <v>5.6657223796033997E-3</v>
          </cell>
          <cell r="H56">
            <v>343</v>
          </cell>
          <cell r="I56">
            <v>0.97167138810198306</v>
          </cell>
          <cell r="J56">
            <v>353</v>
          </cell>
        </row>
        <row r="57">
          <cell r="A57" t="str">
            <v>Port Coquitlam (City)</v>
          </cell>
          <cell r="B57">
            <v>24</v>
          </cell>
          <cell r="C57">
            <v>2.4415055951169887E-2</v>
          </cell>
          <cell r="D57">
            <v>418</v>
          </cell>
          <cell r="E57">
            <v>0.42522889114954221</v>
          </cell>
          <cell r="F57">
            <v>497</v>
          </cell>
          <cell r="G57">
            <v>0.50559511698880977</v>
          </cell>
          <cell r="H57">
            <v>44</v>
          </cell>
          <cell r="I57">
            <v>4.4760935910478125E-2</v>
          </cell>
          <cell r="J57">
            <v>983</v>
          </cell>
        </row>
        <row r="58">
          <cell r="A58" t="str">
            <v>Regina (City)</v>
          </cell>
          <cell r="B58">
            <v>661</v>
          </cell>
          <cell r="C58">
            <v>4.4780163945532143E-2</v>
          </cell>
          <cell r="D58">
            <v>5373</v>
          </cell>
          <cell r="E58">
            <v>0.36399972901564936</v>
          </cell>
          <cell r="F58">
            <v>7712</v>
          </cell>
          <cell r="G58">
            <v>0.52245782806042951</v>
          </cell>
          <cell r="H58">
            <v>1015</v>
          </cell>
          <cell r="I58">
            <v>6.8762278978389005E-2</v>
          </cell>
          <cell r="J58">
            <v>14761</v>
          </cell>
        </row>
        <row r="59">
          <cell r="A59" t="str">
            <v>Richmond Hill (Town)</v>
          </cell>
          <cell r="B59">
            <v>75</v>
          </cell>
          <cell r="C59">
            <v>4.3579314352120861E-2</v>
          </cell>
          <cell r="D59">
            <v>651</v>
          </cell>
          <cell r="E59">
            <v>0.37826844857640907</v>
          </cell>
          <cell r="F59">
            <v>888</v>
          </cell>
          <cell r="G59">
            <v>0.51597908192911102</v>
          </cell>
          <cell r="H59">
            <v>107</v>
          </cell>
          <cell r="I59">
            <v>6.2173155142359091E-2</v>
          </cell>
          <cell r="J59">
            <v>1721</v>
          </cell>
        </row>
        <row r="60">
          <cell r="A60" t="str">
            <v>Sarnia (City)</v>
          </cell>
          <cell r="B60">
            <v>162</v>
          </cell>
          <cell r="C60">
            <v>2.6483570377636097E-2</v>
          </cell>
          <cell r="D60">
            <v>2386</v>
          </cell>
          <cell r="E60">
            <v>0.39006048716691188</v>
          </cell>
          <cell r="F60">
            <v>3231</v>
          </cell>
          <cell r="G60">
            <v>0.52820009808729773</v>
          </cell>
          <cell r="H60">
            <v>338</v>
          </cell>
          <cell r="I60">
            <v>5.5255844368154325E-2</v>
          </cell>
          <cell r="J60">
            <v>6117</v>
          </cell>
        </row>
        <row r="61">
          <cell r="A61" t="str">
            <v>Saskatoon (City)</v>
          </cell>
          <cell r="B61">
            <v>621</v>
          </cell>
          <cell r="C61">
            <v>4.0879468106115466E-2</v>
          </cell>
          <cell r="D61">
            <v>5316</v>
          </cell>
          <cell r="E61">
            <v>0.34994404581660193</v>
          </cell>
          <cell r="F61">
            <v>8252</v>
          </cell>
          <cell r="G61">
            <v>0.54321637811862289</v>
          </cell>
          <cell r="H61">
            <v>1002</v>
          </cell>
          <cell r="I61">
            <v>6.5960107958659739E-2</v>
          </cell>
          <cell r="J61">
            <v>15191</v>
          </cell>
        </row>
        <row r="62">
          <cell r="A62" t="str">
            <v>Saugeen Shores (Town)</v>
          </cell>
          <cell r="B62">
            <v>13</v>
          </cell>
          <cell r="C62">
            <v>2.3722627737226276E-2</v>
          </cell>
          <cell r="D62">
            <v>122</v>
          </cell>
          <cell r="E62">
            <v>0.22262773722627738</v>
          </cell>
          <cell r="F62">
            <v>336</v>
          </cell>
          <cell r="G62">
            <v>0.61313868613138689</v>
          </cell>
          <cell r="H62">
            <v>77</v>
          </cell>
          <cell r="I62">
            <v>0.14051094890510948</v>
          </cell>
          <cell r="J62">
            <v>548</v>
          </cell>
        </row>
        <row r="63">
          <cell r="A63" t="str">
            <v>Scarborough (All CMAs)</v>
          </cell>
          <cell r="B63">
            <v>820</v>
          </cell>
          <cell r="C63">
            <v>2.3348519362186789E-2</v>
          </cell>
          <cell r="D63">
            <v>12414</v>
          </cell>
          <cell r="E63">
            <v>0.35347380410022777</v>
          </cell>
          <cell r="F63">
            <v>17730</v>
          </cell>
          <cell r="G63">
            <v>0.50484054669703871</v>
          </cell>
          <cell r="H63">
            <v>4156</v>
          </cell>
          <cell r="I63">
            <v>0.1183371298405467</v>
          </cell>
          <cell r="J63">
            <v>35120</v>
          </cell>
        </row>
        <row r="64">
          <cell r="A64" t="str">
            <v>St. Catharines (City)</v>
          </cell>
          <cell r="B64">
            <v>312</v>
          </cell>
          <cell r="C64">
            <v>3.6953689446879073E-2</v>
          </cell>
          <cell r="D64">
            <v>3080</v>
          </cell>
          <cell r="E64">
            <v>0.3647992419756011</v>
          </cell>
          <cell r="F64">
            <v>4148</v>
          </cell>
          <cell r="G64">
            <v>0.49129456354376405</v>
          </cell>
          <cell r="H64">
            <v>903</v>
          </cell>
          <cell r="I64">
            <v>0.10695250503375578</v>
          </cell>
          <cell r="J64">
            <v>8443</v>
          </cell>
        </row>
        <row r="65">
          <cell r="A65" t="str">
            <v>Stratford (City)</v>
          </cell>
          <cell r="B65">
            <v>38</v>
          </cell>
          <cell r="C65">
            <v>1.6762240846934274E-2</v>
          </cell>
          <cell r="D65">
            <v>903</v>
          </cell>
          <cell r="E65">
            <v>0.3983237759153066</v>
          </cell>
          <cell r="F65">
            <v>1169</v>
          </cell>
          <cell r="G65">
            <v>0.51565946184384648</v>
          </cell>
          <cell r="H65">
            <v>157</v>
          </cell>
          <cell r="I65">
            <v>6.9254521393912666E-2</v>
          </cell>
          <cell r="J65">
            <v>2267</v>
          </cell>
        </row>
        <row r="66">
          <cell r="A66" t="str">
            <v>Surrey (City)</v>
          </cell>
          <cell r="B66">
            <v>82</v>
          </cell>
          <cell r="C66">
            <v>1.3157894736842105E-2</v>
          </cell>
          <cell r="D66">
            <v>2863</v>
          </cell>
          <cell r="E66">
            <v>0.45940308087291398</v>
          </cell>
          <cell r="F66">
            <v>2618</v>
          </cell>
          <cell r="G66">
            <v>0.42008985879332478</v>
          </cell>
          <cell r="H66">
            <v>669</v>
          </cell>
          <cell r="I66">
            <v>0.10734916559691912</v>
          </cell>
          <cell r="J66">
            <v>6232</v>
          </cell>
        </row>
        <row r="67">
          <cell r="A67" t="str">
            <v>Timmins (City)</v>
          </cell>
          <cell r="B67">
            <v>82</v>
          </cell>
          <cell r="C67">
            <v>4.5228902371759513E-2</v>
          </cell>
          <cell r="D67">
            <v>628</v>
          </cell>
          <cell r="E67">
            <v>0.34638720353006069</v>
          </cell>
          <cell r="F67">
            <v>935</v>
          </cell>
          <cell r="G67">
            <v>0.51571980143408713</v>
          </cell>
          <cell r="H67">
            <v>168</v>
          </cell>
          <cell r="I67">
            <v>9.2664092664092659E-2</v>
          </cell>
          <cell r="J67">
            <v>1813</v>
          </cell>
        </row>
        <row r="68">
          <cell r="A68" t="str">
            <v>Toronto (City)</v>
          </cell>
          <cell r="B68">
            <v>23278</v>
          </cell>
          <cell r="C68">
            <v>8.6677415391031395E-2</v>
          </cell>
          <cell r="D68">
            <v>113884</v>
          </cell>
          <cell r="E68">
            <v>0.42405579407132138</v>
          </cell>
          <cell r="F68">
            <v>106143</v>
          </cell>
          <cell r="G68">
            <v>0.39523158784475665</v>
          </cell>
          <cell r="H68">
            <v>25524</v>
          </cell>
          <cell r="I68">
            <v>9.5040568366727612E-2</v>
          </cell>
          <cell r="J68">
            <v>268559</v>
          </cell>
        </row>
        <row r="69">
          <cell r="A69" t="str">
            <v>Vancouver (City)</v>
          </cell>
          <cell r="B69">
            <v>9049</v>
          </cell>
          <cell r="C69">
            <v>0.15141222140418981</v>
          </cell>
          <cell r="D69">
            <v>39579</v>
          </cell>
          <cell r="E69">
            <v>0.66225486915199783</v>
          </cell>
          <cell r="F69">
            <v>10391</v>
          </cell>
          <cell r="G69">
            <v>0.17386721103005154</v>
          </cell>
          <cell r="H69">
            <v>745</v>
          </cell>
          <cell r="I69">
            <v>1.2465698413760792E-2</v>
          </cell>
          <cell r="J69">
            <v>59764</v>
          </cell>
        </row>
        <row r="70">
          <cell r="A70" t="str">
            <v>Vaughan (City)</v>
          </cell>
          <cell r="B70">
            <v>6</v>
          </cell>
          <cell r="C70">
            <v>2.2641509433962263E-2</v>
          </cell>
          <cell r="D70">
            <v>60</v>
          </cell>
          <cell r="E70">
            <v>0.22641509433962265</v>
          </cell>
          <cell r="F70">
            <v>190</v>
          </cell>
          <cell r="G70">
            <v>0.71698113207547165</v>
          </cell>
          <cell r="H70">
            <v>9</v>
          </cell>
          <cell r="I70">
            <v>3.3962264150943396E-2</v>
          </cell>
          <cell r="J70">
            <v>265</v>
          </cell>
        </row>
        <row r="71">
          <cell r="A71" t="str">
            <v>Victoria (City)</v>
          </cell>
          <cell r="B71">
            <v>2615</v>
          </cell>
          <cell r="C71">
            <v>0.14727416084703762</v>
          </cell>
          <cell r="D71">
            <v>10406</v>
          </cell>
          <cell r="E71">
            <v>0.58605541788691151</v>
          </cell>
          <cell r="F71">
            <v>4539</v>
          </cell>
          <cell r="G71">
            <v>0.25563189907636857</v>
          </cell>
          <cell r="H71">
            <v>196</v>
          </cell>
          <cell r="I71">
            <v>1.103852218968236E-2</v>
          </cell>
          <cell r="J71">
            <v>17756</v>
          </cell>
        </row>
        <row r="72">
          <cell r="A72" t="str">
            <v>Waterloo (City)</v>
          </cell>
          <cell r="B72">
            <v>141</v>
          </cell>
          <cell r="C72">
            <v>1.3876586950103336E-2</v>
          </cell>
          <cell r="D72">
            <v>2809</v>
          </cell>
          <cell r="E72">
            <v>0.27644916838893807</v>
          </cell>
          <cell r="F72">
            <v>5862</v>
          </cell>
          <cell r="G72">
            <v>0.57691172128727486</v>
          </cell>
          <cell r="H72">
            <v>1349</v>
          </cell>
          <cell r="I72">
            <v>0.13276252337368369</v>
          </cell>
          <cell r="J72">
            <v>10161</v>
          </cell>
        </row>
        <row r="73">
          <cell r="A73" t="str">
            <v>Whitby (Town)</v>
          </cell>
          <cell r="B73">
            <v>142</v>
          </cell>
          <cell r="C73">
            <v>5.7327412192167942E-2</v>
          </cell>
          <cell r="D73">
            <v>855</v>
          </cell>
          <cell r="E73">
            <v>0.34517561566410981</v>
          </cell>
          <cell r="F73">
            <v>1226</v>
          </cell>
          <cell r="G73">
            <v>0.49495357287040775</v>
          </cell>
          <cell r="H73">
            <v>254</v>
          </cell>
          <cell r="I73">
            <v>0.10254339927331449</v>
          </cell>
          <cell r="J73">
            <v>2477</v>
          </cell>
        </row>
        <row r="74">
          <cell r="A74" t="str">
            <v>Windsor (City)</v>
          </cell>
          <cell r="B74">
            <v>1191</v>
          </cell>
          <cell r="C74">
            <v>7.8686575052854119E-2</v>
          </cell>
          <cell r="D74">
            <v>7530</v>
          </cell>
          <cell r="E74">
            <v>0.49748942917547567</v>
          </cell>
          <cell r="F74">
            <v>5746</v>
          </cell>
          <cell r="G74">
            <v>0.37962473572938688</v>
          </cell>
          <cell r="H74">
            <v>669</v>
          </cell>
          <cell r="I74">
            <v>4.4199260042283299E-2</v>
          </cell>
          <cell r="J74">
            <v>15136</v>
          </cell>
        </row>
        <row r="75">
          <cell r="A75" t="str">
            <v>Winnipeg (City)</v>
          </cell>
          <cell r="B75">
            <v>4055</v>
          </cell>
          <cell r="C75">
            <v>6.3222064578493581E-2</v>
          </cell>
          <cell r="D75">
            <v>29933</v>
          </cell>
          <cell r="E75">
            <v>0.46668953366906252</v>
          </cell>
          <cell r="F75">
            <v>27463</v>
          </cell>
          <cell r="G75">
            <v>0.42817942281607135</v>
          </cell>
          <cell r="H75">
            <v>2688</v>
          </cell>
          <cell r="I75">
            <v>4.1908978936372569E-2</v>
          </cell>
          <cell r="J75">
            <v>64139</v>
          </cell>
        </row>
        <row r="76">
          <cell r="A76" t="str">
            <v>Woodstock (City)</v>
          </cell>
          <cell r="B76">
            <v>23</v>
          </cell>
          <cell r="C76">
            <v>8.6110071134406583E-3</v>
          </cell>
          <cell r="D76">
            <v>955</v>
          </cell>
          <cell r="E76">
            <v>0.35754399101460127</v>
          </cell>
          <cell r="F76">
            <v>1590</v>
          </cell>
          <cell r="G76">
            <v>0.59528266566828902</v>
          </cell>
          <cell r="H76">
            <v>103</v>
          </cell>
          <cell r="I76">
            <v>3.8562336203669036E-2</v>
          </cell>
          <cell r="J76">
            <v>2671</v>
          </cell>
        </row>
      </sheetData>
      <sheetData sheetId="29">
        <row r="5">
          <cell r="A5" t="str">
            <v xml:space="preserve">RENTAL DENSITY </v>
          </cell>
          <cell r="B5" t="str">
            <v xml:space="preserve">Total Population </v>
          </cell>
          <cell r="C5" t="str">
            <v xml:space="preserve">Primary Apartment Universe </v>
          </cell>
          <cell r="D5" t="str">
            <v xml:space="preserve">Rental Density: No. of Apartments Per 100 People </v>
          </cell>
          <cell r="E5" t="str">
            <v>New Apartments</v>
          </cell>
          <cell r="F5" t="str">
            <v xml:space="preserve">New Rental Density: No. of New Apartments Per 100 People </v>
          </cell>
        </row>
        <row r="6">
          <cell r="A6" t="str">
            <v>Abbotsford (City)</v>
          </cell>
          <cell r="B6">
            <v>156574</v>
          </cell>
          <cell r="C6">
            <v>4398</v>
          </cell>
          <cell r="D6">
            <v>2.8088954743443995</v>
          </cell>
          <cell r="E6">
            <v>1094</v>
          </cell>
          <cell r="F6">
            <v>0.69871115255406391</v>
          </cell>
        </row>
        <row r="7">
          <cell r="A7" t="str">
            <v>Ajax (Town)</v>
          </cell>
          <cell r="B7">
            <v>134566</v>
          </cell>
          <cell r="C7">
            <v>2171</v>
          </cell>
          <cell r="D7">
            <v>1.6133347205088953</v>
          </cell>
          <cell r="E7">
            <v>580</v>
          </cell>
          <cell r="F7">
            <v>0.43101526388537964</v>
          </cell>
        </row>
        <row r="8">
          <cell r="A8" t="str">
            <v>Arnprior (Town)</v>
          </cell>
          <cell r="B8">
            <v>16487</v>
          </cell>
          <cell r="C8">
            <v>546</v>
          </cell>
          <cell r="D8">
            <v>3.3117001273730815</v>
          </cell>
          <cell r="E8">
            <v>27</v>
          </cell>
          <cell r="F8">
            <v>0.16376539091405351</v>
          </cell>
        </row>
        <row r="9">
          <cell r="A9" t="str">
            <v>Aurora (Town)</v>
          </cell>
          <cell r="B9">
            <v>63338</v>
          </cell>
          <cell r="C9">
            <v>804</v>
          </cell>
          <cell r="D9">
            <v>1.2693801509362468</v>
          </cell>
          <cell r="E9">
            <v>136</v>
          </cell>
          <cell r="F9">
            <v>0.21472102055638004</v>
          </cell>
        </row>
        <row r="10">
          <cell r="A10" t="str">
            <v>Barrie (City)</v>
          </cell>
          <cell r="B10">
            <v>155631</v>
          </cell>
          <cell r="C10">
            <v>4190</v>
          </cell>
          <cell r="D10">
            <v>2.6922656797167659</v>
          </cell>
          <cell r="E10">
            <v>531</v>
          </cell>
          <cell r="F10">
            <v>0.34119166489966651</v>
          </cell>
        </row>
        <row r="11">
          <cell r="A11" t="str">
            <v>Belleville (City)</v>
          </cell>
          <cell r="B11">
            <v>55209</v>
          </cell>
          <cell r="C11">
            <v>4348</v>
          </cell>
          <cell r="D11">
            <v>7.8755275407995065</v>
          </cell>
          <cell r="E11">
            <v>138</v>
          </cell>
          <cell r="F11">
            <v>0.24995924577514536</v>
          </cell>
        </row>
        <row r="12">
          <cell r="A12" t="str">
            <v>Bracebridge (Town)</v>
          </cell>
          <cell r="B12">
            <v>16701</v>
          </cell>
          <cell r="C12">
            <v>320</v>
          </cell>
          <cell r="D12">
            <v>1.9160529309622178</v>
          </cell>
          <cell r="E12">
            <v>41</v>
          </cell>
          <cell r="F12">
            <v>0.24549428177953417</v>
          </cell>
        </row>
        <row r="13">
          <cell r="A13" t="str">
            <v>Brampton (City)</v>
          </cell>
          <cell r="B13">
            <v>700515</v>
          </cell>
          <cell r="C13">
            <v>10895</v>
          </cell>
          <cell r="D13">
            <v>1.5552843265311949</v>
          </cell>
          <cell r="E13">
            <v>1119</v>
          </cell>
          <cell r="F13">
            <v>0.15973962013661377</v>
          </cell>
        </row>
        <row r="14">
          <cell r="A14" t="str">
            <v>Brantford (City)</v>
          </cell>
          <cell r="B14">
            <v>104136</v>
          </cell>
          <cell r="C14">
            <v>5299</v>
          </cell>
          <cell r="D14">
            <v>5.0885380656065147</v>
          </cell>
          <cell r="E14">
            <v>359</v>
          </cell>
          <cell r="F14">
            <v>0.34474149189521397</v>
          </cell>
        </row>
        <row r="15">
          <cell r="A15" t="str">
            <v>Brockville (City)</v>
          </cell>
          <cell r="B15">
            <v>22548</v>
          </cell>
          <cell r="C15">
            <v>2144</v>
          </cell>
          <cell r="D15">
            <v>9.5086038673053039</v>
          </cell>
          <cell r="E15">
            <v>7</v>
          </cell>
          <cell r="F15">
            <v>3.104488202944829E-2</v>
          </cell>
        </row>
        <row r="16">
          <cell r="A16" t="str">
            <v>Burlington (City)</v>
          </cell>
          <cell r="B16">
            <v>197582</v>
          </cell>
          <cell r="C16">
            <v>10168</v>
          </cell>
          <cell r="D16">
            <v>5.1462177728740475</v>
          </cell>
          <cell r="E16">
            <v>1366</v>
          </cell>
          <cell r="F16">
            <v>0.69135852456195401</v>
          </cell>
        </row>
        <row r="17">
          <cell r="A17" t="str">
            <v>Calgary (City)</v>
          </cell>
          <cell r="B17">
            <v>1385261</v>
          </cell>
          <cell r="C17">
            <v>44101</v>
          </cell>
          <cell r="D17">
            <v>3.1835877859840127</v>
          </cell>
          <cell r="E17">
            <v>8008</v>
          </cell>
          <cell r="F17">
            <v>0.57808600689689527</v>
          </cell>
        </row>
        <row r="18">
          <cell r="A18" t="str">
            <v>Cambridge (City)</v>
          </cell>
          <cell r="B18">
            <v>138675</v>
          </cell>
          <cell r="C18">
            <v>6215</v>
          </cell>
          <cell r="D18">
            <v>4.4817018208040382</v>
          </cell>
          <cell r="E18">
            <v>1247</v>
          </cell>
          <cell r="F18">
            <v>0.89922480620155032</v>
          </cell>
        </row>
        <row r="19">
          <cell r="A19" t="str">
            <v>Carleton Place (Town)</v>
          </cell>
          <cell r="B19">
            <v>11662</v>
          </cell>
          <cell r="C19">
            <v>331</v>
          </cell>
          <cell r="D19">
            <v>2.8382781684102212</v>
          </cell>
          <cell r="E19">
            <v>24</v>
          </cell>
          <cell r="F19">
            <v>0.20579660435602812</v>
          </cell>
        </row>
        <row r="20">
          <cell r="A20" t="str">
            <v>Chatham-Kent (MU)</v>
          </cell>
          <cell r="B20">
            <v>104277</v>
          </cell>
          <cell r="C20">
            <v>4945</v>
          </cell>
          <cell r="D20">
            <v>4.7421770860304768</v>
          </cell>
          <cell r="E20">
            <v>67</v>
          </cell>
          <cell r="F20">
            <v>6.4251944340554479E-2</v>
          </cell>
        </row>
        <row r="21">
          <cell r="A21" t="str">
            <v>Chilliwack (City)</v>
          </cell>
          <cell r="B21">
            <v>98590</v>
          </cell>
          <cell r="C21">
            <v>3341</v>
          </cell>
          <cell r="D21">
            <v>3.388781823714373</v>
          </cell>
          <cell r="E21">
            <v>1158</v>
          </cell>
          <cell r="F21">
            <v>1.1745613145349427</v>
          </cell>
        </row>
        <row r="22">
          <cell r="A22" t="str">
            <v>Collingwood (Town)</v>
          </cell>
          <cell r="B22">
            <v>24874</v>
          </cell>
          <cell r="C22">
            <v>562</v>
          </cell>
          <cell r="D22">
            <v>2.2593873120527461</v>
          </cell>
          <cell r="E22">
            <v>31</v>
          </cell>
          <cell r="F22">
            <v>0.12462812575379915</v>
          </cell>
        </row>
        <row r="23">
          <cell r="A23" t="str">
            <v>Cornwall (City)</v>
          </cell>
          <cell r="B23">
            <v>47693</v>
          </cell>
          <cell r="C23">
            <v>3875</v>
          </cell>
          <cell r="D23">
            <v>8.1248820581636725</v>
          </cell>
          <cell r="E23">
            <v>133</v>
          </cell>
          <cell r="F23">
            <v>0.27886691967374666</v>
          </cell>
        </row>
        <row r="24">
          <cell r="A24" t="str">
            <v>Delta (DM)</v>
          </cell>
          <cell r="B24">
            <v>119387</v>
          </cell>
          <cell r="C24">
            <v>1703</v>
          </cell>
          <cell r="D24">
            <v>1.4264534664578221</v>
          </cell>
          <cell r="E24">
            <v>8</v>
          </cell>
          <cell r="F24">
            <v>6.7008970825969336E-3</v>
          </cell>
        </row>
        <row r="25">
          <cell r="A25" t="str">
            <v>Edmonton (City)</v>
          </cell>
          <cell r="B25">
            <v>1061733</v>
          </cell>
          <cell r="C25">
            <v>72090</v>
          </cell>
          <cell r="D25">
            <v>6.7898426440545796</v>
          </cell>
          <cell r="E25">
            <v>15560</v>
          </cell>
          <cell r="F25">
            <v>1.4655285274169683</v>
          </cell>
        </row>
        <row r="26">
          <cell r="A26" t="str">
            <v>Gravenhurst (Town)</v>
          </cell>
          <cell r="B26">
            <v>13599</v>
          </cell>
          <cell r="C26">
            <v>267</v>
          </cell>
          <cell r="D26">
            <v>1.9633796602691374</v>
          </cell>
          <cell r="E26">
            <v>18</v>
          </cell>
          <cell r="F26">
            <v>0.13236267372600927</v>
          </cell>
        </row>
        <row r="27">
          <cell r="A27" t="str">
            <v>Grimsby (Town)</v>
          </cell>
          <cell r="B27">
            <v>28395</v>
          </cell>
          <cell r="C27">
            <v>389</v>
          </cell>
          <cell r="D27">
            <v>1.3699594999119564</v>
          </cell>
          <cell r="E27">
            <v>10</v>
          </cell>
          <cell r="F27">
            <v>3.5217467864060575E-2</v>
          </cell>
        </row>
        <row r="28">
          <cell r="A28" t="str">
            <v>Guelph (City)</v>
          </cell>
          <cell r="B28">
            <v>144620</v>
          </cell>
          <cell r="C28">
            <v>8315</v>
          </cell>
          <cell r="D28">
            <v>5.7495505462591616</v>
          </cell>
          <cell r="E28">
            <v>1100</v>
          </cell>
          <cell r="F28">
            <v>0.7606140229567141</v>
          </cell>
        </row>
        <row r="29">
          <cell r="A29" t="str">
            <v>Halifax (RGM)</v>
          </cell>
          <cell r="B29">
            <v>444500</v>
          </cell>
          <cell r="C29">
            <v>52913</v>
          </cell>
          <cell r="D29">
            <v>11.903937007874015</v>
          </cell>
          <cell r="E29">
            <v>17996</v>
          </cell>
          <cell r="F29">
            <v>4.0485939257592802</v>
          </cell>
        </row>
        <row r="30">
          <cell r="A30" t="str">
            <v>Hamilton (City)</v>
          </cell>
          <cell r="B30">
            <v>578227</v>
          </cell>
          <cell r="C30">
            <v>36230</v>
          </cell>
          <cell r="D30">
            <v>6.2657053371772671</v>
          </cell>
          <cell r="E30">
            <v>1419</v>
          </cell>
          <cell r="F30">
            <v>0.24540535118560705</v>
          </cell>
        </row>
        <row r="31">
          <cell r="A31" t="str">
            <v>Kanata-Stittsville</v>
          </cell>
          <cell r="B31">
            <v>138298</v>
          </cell>
          <cell r="C31">
            <v>2240</v>
          </cell>
          <cell r="D31">
            <v>1.619690812593096</v>
          </cell>
          <cell r="E31">
            <v>1714</v>
          </cell>
          <cell r="F31">
            <v>1.2393527021359672</v>
          </cell>
        </row>
        <row r="32">
          <cell r="A32" t="str">
            <v>Kawartha Lakes</v>
          </cell>
          <cell r="B32">
            <v>80280</v>
          </cell>
          <cell r="C32">
            <v>1497</v>
          </cell>
          <cell r="D32">
            <v>1.8647234678624816</v>
          </cell>
          <cell r="E32">
            <v>32</v>
          </cell>
          <cell r="F32">
            <v>3.9860488290981565E-2</v>
          </cell>
        </row>
        <row r="33">
          <cell r="A33" t="str">
            <v>Kingston (City)</v>
          </cell>
          <cell r="B33">
            <v>132562</v>
          </cell>
          <cell r="C33">
            <v>14364</v>
          </cell>
          <cell r="D33">
            <v>10.835684434453311</v>
          </cell>
          <cell r="E33">
            <v>2958</v>
          </cell>
          <cell r="F33">
            <v>2.2314086993255984</v>
          </cell>
        </row>
        <row r="34">
          <cell r="A34" t="str">
            <v>Kitchener (City)</v>
          </cell>
          <cell r="B34">
            <v>256853</v>
          </cell>
          <cell r="C34">
            <v>22117</v>
          </cell>
          <cell r="D34">
            <v>8.6107617976040771</v>
          </cell>
          <cell r="E34">
            <v>4165</v>
          </cell>
          <cell r="F34">
            <v>1.6215500694950029</v>
          </cell>
        </row>
        <row r="35">
          <cell r="A35" t="str">
            <v>Langley (City)</v>
          </cell>
          <cell r="B35">
            <v>30327</v>
          </cell>
          <cell r="C35">
            <v>2494</v>
          </cell>
          <cell r="D35">
            <v>8.2236950572097474</v>
          </cell>
          <cell r="E35">
            <v>715</v>
          </cell>
          <cell r="F35">
            <v>2.3576351106274935</v>
          </cell>
        </row>
        <row r="36">
          <cell r="A36" t="str">
            <v>Leamington (MU)</v>
          </cell>
          <cell r="B36">
            <v>28098</v>
          </cell>
          <cell r="C36">
            <v>1137</v>
          </cell>
          <cell r="D36">
            <v>4.0465513559683961</v>
          </cell>
          <cell r="E36">
            <v>175</v>
          </cell>
          <cell r="F36">
            <v>0.62282012954658694</v>
          </cell>
        </row>
        <row r="37">
          <cell r="A37" t="str">
            <v>London (City)</v>
          </cell>
          <cell r="B37">
            <v>419004</v>
          </cell>
          <cell r="C37">
            <v>46702</v>
          </cell>
          <cell r="D37">
            <v>11.145955647201458</v>
          </cell>
          <cell r="E37">
            <v>10048</v>
          </cell>
          <cell r="F37">
            <v>2.3980677988754286</v>
          </cell>
        </row>
        <row r="38">
          <cell r="A38" t="str">
            <v>Maple Ridge (City)</v>
          </cell>
          <cell r="B38">
            <v>92153</v>
          </cell>
          <cell r="C38">
            <v>1492</v>
          </cell>
          <cell r="D38">
            <v>1.6190465855696505</v>
          </cell>
          <cell r="E38">
            <v>286</v>
          </cell>
          <cell r="F38">
            <v>0.31035343396308313</v>
          </cell>
        </row>
        <row r="39">
          <cell r="A39" t="str">
            <v>Markham (City)</v>
          </cell>
          <cell r="B39">
            <v>360003</v>
          </cell>
          <cell r="C39">
            <v>1628</v>
          </cell>
          <cell r="D39">
            <v>0.45221845373510777</v>
          </cell>
          <cell r="E39" t="str">
            <v>**</v>
          </cell>
          <cell r="F39" t="str">
            <v>**</v>
          </cell>
        </row>
        <row r="40">
          <cell r="A40" t="str">
            <v>Meaford (Municipality)</v>
          </cell>
          <cell r="B40">
            <v>12560</v>
          </cell>
          <cell r="C40">
            <v>260</v>
          </cell>
          <cell r="D40">
            <v>2.0700636942675157</v>
          </cell>
          <cell r="E40">
            <v>16</v>
          </cell>
          <cell r="F40">
            <v>0.12738853503184713</v>
          </cell>
        </row>
        <row r="41">
          <cell r="A41" t="str">
            <v>Midland (Town)</v>
          </cell>
          <cell r="B41">
            <v>19070</v>
          </cell>
          <cell r="C41">
            <v>841</v>
          </cell>
          <cell r="D41">
            <v>4.4100681699003674</v>
          </cell>
          <cell r="E41">
            <v>74</v>
          </cell>
          <cell r="F41">
            <v>0.38804404824331407</v>
          </cell>
        </row>
        <row r="42">
          <cell r="A42" t="str">
            <v>Milton (Town)</v>
          </cell>
          <cell r="B42">
            <v>136859</v>
          </cell>
          <cell r="C42">
            <v>709</v>
          </cell>
          <cell r="D42">
            <v>0.51805142518942859</v>
          </cell>
          <cell r="E42">
            <v>12</v>
          </cell>
          <cell r="F42">
            <v>8.7681482401595796E-3</v>
          </cell>
        </row>
        <row r="43">
          <cell r="A43" t="str">
            <v>Mission (DM)</v>
          </cell>
          <cell r="B43">
            <v>43382</v>
          </cell>
          <cell r="C43">
            <v>461</v>
          </cell>
          <cell r="D43">
            <v>1.0626527131068184</v>
          </cell>
          <cell r="E43">
            <v>4</v>
          </cell>
          <cell r="F43">
            <v>9.2204139965884457E-3</v>
          </cell>
        </row>
        <row r="44">
          <cell r="A44" t="str">
            <v>Mississauga (City)</v>
          </cell>
          <cell r="B44">
            <v>764738</v>
          </cell>
          <cell r="C44">
            <v>29492</v>
          </cell>
          <cell r="D44">
            <v>3.8564841815105306</v>
          </cell>
          <cell r="E44">
            <v>1289</v>
          </cell>
          <cell r="F44">
            <v>0.16855445917425316</v>
          </cell>
        </row>
        <row r="45">
          <cell r="A45" t="str">
            <v>Newmarket (City)</v>
          </cell>
          <cell r="B45">
            <v>91101</v>
          </cell>
          <cell r="C45">
            <v>1038</v>
          </cell>
          <cell r="D45">
            <v>1.1393947377086968</v>
          </cell>
          <cell r="E45">
            <v>251</v>
          </cell>
          <cell r="F45">
            <v>0.27551838069834578</v>
          </cell>
        </row>
        <row r="46">
          <cell r="A46" t="str">
            <v>Niagara Falls (City)</v>
          </cell>
          <cell r="B46">
            <v>93698</v>
          </cell>
          <cell r="C46">
            <v>3415</v>
          </cell>
          <cell r="D46">
            <v>3.6446882537514145</v>
          </cell>
          <cell r="E46">
            <v>193</v>
          </cell>
          <cell r="F46">
            <v>0.20598091741552649</v>
          </cell>
        </row>
        <row r="47">
          <cell r="A47" t="str">
            <v>Oakville (Town)</v>
          </cell>
          <cell r="B47">
            <v>209276</v>
          </cell>
          <cell r="C47">
            <v>5181</v>
          </cell>
          <cell r="D47">
            <v>2.4756780519505339</v>
          </cell>
          <cell r="E47">
            <v>428</v>
          </cell>
          <cell r="F47">
            <v>0.20451461228234483</v>
          </cell>
        </row>
        <row r="48">
          <cell r="A48" t="str">
            <v>Orillia (City)</v>
          </cell>
          <cell r="B48">
            <v>31825</v>
          </cell>
          <cell r="C48">
            <v>1735</v>
          </cell>
          <cell r="D48">
            <v>5.4516889238020418</v>
          </cell>
          <cell r="E48">
            <v>358</v>
          </cell>
          <cell r="F48">
            <v>1.1249018067556953</v>
          </cell>
        </row>
        <row r="49">
          <cell r="A49" t="str">
            <v>Oshawa (City)</v>
          </cell>
          <cell r="B49">
            <v>173825</v>
          </cell>
          <cell r="C49">
            <v>9819</v>
          </cell>
          <cell r="D49">
            <v>5.6487846972529843</v>
          </cell>
          <cell r="E49">
            <v>825</v>
          </cell>
          <cell r="F49">
            <v>0.47461527398245357</v>
          </cell>
        </row>
        <row r="50">
          <cell r="A50" t="str">
            <v>Ottawa (City)</v>
          </cell>
          <cell r="B50">
            <v>1032820</v>
          </cell>
          <cell r="C50">
            <v>72994</v>
          </cell>
          <cell r="D50">
            <v>7.0674464088611764</v>
          </cell>
          <cell r="E50">
            <v>7325</v>
          </cell>
          <cell r="F50">
            <v>0.70922329157065123</v>
          </cell>
        </row>
        <row r="51">
          <cell r="A51" t="str">
            <v>Owen Sound (City)</v>
          </cell>
          <cell r="B51">
            <v>21933</v>
          </cell>
          <cell r="C51">
            <v>1858</v>
          </cell>
          <cell r="D51">
            <v>8.4712533625131083</v>
          </cell>
          <cell r="E51">
            <v>66</v>
          </cell>
          <cell r="F51">
            <v>0.30091642730132678</v>
          </cell>
        </row>
        <row r="52">
          <cell r="A52" t="str">
            <v>Pembroke (City)</v>
          </cell>
          <cell r="B52">
            <v>14835</v>
          </cell>
          <cell r="C52">
            <v>989</v>
          </cell>
          <cell r="D52">
            <v>6.666666666666667</v>
          </cell>
          <cell r="E52">
            <v>110</v>
          </cell>
          <cell r="F52">
            <v>0.74148972025615101</v>
          </cell>
        </row>
        <row r="53">
          <cell r="A53" t="str">
            <v>Penetanguishene (Town)</v>
          </cell>
          <cell r="B53">
            <v>9293</v>
          </cell>
          <cell r="C53">
            <v>280</v>
          </cell>
          <cell r="D53">
            <v>3.0130205531044871</v>
          </cell>
          <cell r="E53" t="str">
            <v>**</v>
          </cell>
          <cell r="F53" t="str">
            <v>**</v>
          </cell>
        </row>
        <row r="54">
          <cell r="A54" t="str">
            <v>Peterborough (City)</v>
          </cell>
          <cell r="B54">
            <v>146249</v>
          </cell>
          <cell r="C54">
            <v>6500</v>
          </cell>
          <cell r="D54">
            <v>4.444474834015959</v>
          </cell>
          <cell r="E54">
            <v>340</v>
          </cell>
          <cell r="F54">
            <v>0.23248022208698862</v>
          </cell>
        </row>
        <row r="55">
          <cell r="A55" t="str">
            <v>Pickering (City)</v>
          </cell>
          <cell r="B55">
            <v>96099</v>
          </cell>
          <cell r="C55">
            <v>353</v>
          </cell>
          <cell r="D55">
            <v>0.36732952476092362</v>
          </cell>
          <cell r="E55" t="str">
            <v>**</v>
          </cell>
          <cell r="F55" t="str">
            <v>**</v>
          </cell>
        </row>
        <row r="56">
          <cell r="A56" t="str">
            <v>Port Coquitlam (City)</v>
          </cell>
          <cell r="B56">
            <v>66170</v>
          </cell>
          <cell r="C56">
            <v>983</v>
          </cell>
          <cell r="D56">
            <v>1.4855674777089316</v>
          </cell>
          <cell r="E56">
            <v>520</v>
          </cell>
          <cell r="F56">
            <v>0.78585461689587421</v>
          </cell>
        </row>
        <row r="57">
          <cell r="A57" t="str">
            <v>Regina (City)</v>
          </cell>
          <cell r="B57">
            <v>247137</v>
          </cell>
          <cell r="C57">
            <v>14761</v>
          </cell>
          <cell r="D57">
            <v>5.9728005114572085</v>
          </cell>
          <cell r="E57">
            <v>3616</v>
          </cell>
          <cell r="F57">
            <v>1.4631560632361806</v>
          </cell>
        </row>
        <row r="58">
          <cell r="A58" t="str">
            <v>Richmond Hill (Town)</v>
          </cell>
          <cell r="B58">
            <v>208690</v>
          </cell>
          <cell r="C58">
            <v>1721</v>
          </cell>
          <cell r="D58">
            <v>0.82466816809621935</v>
          </cell>
          <cell r="E58">
            <v>22</v>
          </cell>
          <cell r="F58">
            <v>1.0541952177871483E-2</v>
          </cell>
        </row>
        <row r="59">
          <cell r="A59" t="str">
            <v>Sarnia (City)</v>
          </cell>
          <cell r="B59">
            <v>73343</v>
          </cell>
          <cell r="C59">
            <v>6117</v>
          </cell>
          <cell r="D59">
            <v>8.340264237895914</v>
          </cell>
          <cell r="E59">
            <v>343</v>
          </cell>
          <cell r="F59">
            <v>0.4676656258947684</v>
          </cell>
        </row>
        <row r="60">
          <cell r="A60" t="str">
            <v>Saskatoon (City)</v>
          </cell>
          <cell r="B60">
            <v>279546</v>
          </cell>
          <cell r="C60">
            <v>15191</v>
          </cell>
          <cell r="D60">
            <v>5.4341682585334787</v>
          </cell>
          <cell r="E60">
            <v>2629</v>
          </cell>
          <cell r="F60">
            <v>0.94045344952172449</v>
          </cell>
        </row>
        <row r="61">
          <cell r="A61" t="str">
            <v>Saugeen Shores (Town)</v>
          </cell>
          <cell r="B61">
            <v>15329</v>
          </cell>
          <cell r="C61">
            <v>548</v>
          </cell>
          <cell r="D61">
            <v>3.5749233479026685</v>
          </cell>
          <cell r="E61">
            <v>138</v>
          </cell>
          <cell r="F61">
            <v>0.90025441972731413</v>
          </cell>
        </row>
        <row r="62">
          <cell r="A62" t="str">
            <v>Scarborough (Town)</v>
          </cell>
          <cell r="B62">
            <v>690102</v>
          </cell>
          <cell r="C62">
            <v>35120</v>
          </cell>
          <cell r="D62">
            <v>5.0891027703151126</v>
          </cell>
          <cell r="E62">
            <v>146</v>
          </cell>
          <cell r="F62">
            <v>2.1156292837870343E-2</v>
          </cell>
        </row>
        <row r="63">
          <cell r="A63" t="str">
            <v>St. Catharines (City)</v>
          </cell>
          <cell r="B63">
            <v>140678</v>
          </cell>
          <cell r="C63">
            <v>8443</v>
          </cell>
          <cell r="D63">
            <v>6.001649156229119</v>
          </cell>
          <cell r="E63">
            <v>254</v>
          </cell>
          <cell r="F63">
            <v>0.18055417336044016</v>
          </cell>
        </row>
        <row r="64">
          <cell r="A64" t="str">
            <v>Stratford (City)</v>
          </cell>
          <cell r="B64">
            <v>34547</v>
          </cell>
          <cell r="C64">
            <v>2267</v>
          </cell>
          <cell r="D64">
            <v>6.5620748545459806</v>
          </cell>
          <cell r="E64">
            <v>329</v>
          </cell>
          <cell r="F64">
            <v>0.95232581700292351</v>
          </cell>
        </row>
        <row r="65">
          <cell r="A65" t="str">
            <v>Surrey (City)</v>
          </cell>
          <cell r="B65">
            <v>572314</v>
          </cell>
          <cell r="C65">
            <v>6232</v>
          </cell>
          <cell r="D65">
            <v>1.0889127297252907</v>
          </cell>
          <cell r="E65">
            <v>517</v>
          </cell>
          <cell r="F65">
            <v>9.0335025877402969E-2</v>
          </cell>
        </row>
        <row r="66">
          <cell r="A66" t="str">
            <v>Timmins (City)</v>
          </cell>
          <cell r="B66">
            <v>42030</v>
          </cell>
          <cell r="C66">
            <v>1813</v>
          </cell>
          <cell r="D66">
            <v>4.3135855341422795</v>
          </cell>
          <cell r="E66">
            <v>146</v>
          </cell>
          <cell r="F66">
            <v>0.34737092552938381</v>
          </cell>
        </row>
        <row r="67">
          <cell r="A67" t="str">
            <v>Toronto (City)</v>
          </cell>
          <cell r="B67">
            <v>3042042</v>
          </cell>
          <cell r="C67">
            <v>268559</v>
          </cell>
          <cell r="D67">
            <v>8.8282476047339262</v>
          </cell>
          <cell r="E67">
            <v>13828</v>
          </cell>
          <cell r="F67">
            <v>0.45456308624272773</v>
          </cell>
        </row>
        <row r="68">
          <cell r="A68" t="str">
            <v>Vancouver (City)</v>
          </cell>
          <cell r="B68">
            <v>684704</v>
          </cell>
          <cell r="C68">
            <v>59764</v>
          </cell>
          <cell r="D68">
            <v>8.7284432397065022</v>
          </cell>
          <cell r="E68">
            <v>9169</v>
          </cell>
          <cell r="F68">
            <v>1.339118801701173</v>
          </cell>
        </row>
        <row r="69">
          <cell r="A69" t="str">
            <v>Vaughan (City)</v>
          </cell>
          <cell r="B69">
            <v>337343</v>
          </cell>
          <cell r="C69">
            <v>265</v>
          </cell>
          <cell r="D69">
            <v>7.855506116919575E-2</v>
          </cell>
          <cell r="E69">
            <v>245</v>
          </cell>
          <cell r="F69">
            <v>7.2626377307369649E-2</v>
          </cell>
        </row>
        <row r="70">
          <cell r="A70" t="str">
            <v>Victoria (City)</v>
          </cell>
          <cell r="B70">
            <v>93680</v>
          </cell>
          <cell r="C70">
            <v>17756</v>
          </cell>
          <cell r="D70">
            <v>18.953885567890691</v>
          </cell>
          <cell r="E70">
            <v>1936</v>
          </cell>
          <cell r="F70">
            <v>2.0666097352690005</v>
          </cell>
        </row>
        <row r="71">
          <cell r="A71" t="str">
            <v>Waterloo (City)</v>
          </cell>
          <cell r="B71">
            <v>116262</v>
          </cell>
          <cell r="C71">
            <v>10161</v>
          </cell>
          <cell r="D71">
            <v>8.739742994271559</v>
          </cell>
          <cell r="E71">
            <v>4674</v>
          </cell>
          <cell r="F71">
            <v>4.0202301697889249</v>
          </cell>
        </row>
        <row r="72">
          <cell r="A72" t="str">
            <v>Whitby (Town)</v>
          </cell>
          <cell r="B72">
            <v>140376</v>
          </cell>
          <cell r="C72">
            <v>2477</v>
          </cell>
          <cell r="D72">
            <v>1.764546646150339</v>
          </cell>
          <cell r="E72">
            <v>4</v>
          </cell>
          <cell r="F72">
            <v>2.8494899413005073E-3</v>
          </cell>
        </row>
        <row r="73">
          <cell r="A73" t="str">
            <v>Windsor (City)</v>
          </cell>
          <cell r="B73">
            <v>230007</v>
          </cell>
          <cell r="C73">
            <v>15136</v>
          </cell>
          <cell r="D73">
            <v>6.5806692839783132</v>
          </cell>
          <cell r="E73">
            <v>644</v>
          </cell>
          <cell r="F73">
            <v>0.27999147852021894</v>
          </cell>
        </row>
        <row r="74">
          <cell r="A74" t="str">
            <v>Winnipeg (City)</v>
          </cell>
          <cell r="B74">
            <v>749879</v>
          </cell>
          <cell r="C74">
            <v>64139</v>
          </cell>
          <cell r="D74">
            <v>8.5532465904499251</v>
          </cell>
          <cell r="E74">
            <v>11886</v>
          </cell>
          <cell r="F74">
            <v>1.5850557223232014</v>
          </cell>
        </row>
        <row r="75">
          <cell r="A75" t="str">
            <v>Woodstock (City)</v>
          </cell>
          <cell r="B75">
            <v>45505</v>
          </cell>
          <cell r="C75">
            <v>2671</v>
          </cell>
          <cell r="D75">
            <v>5.8696846500384572</v>
          </cell>
          <cell r="E75">
            <v>738</v>
          </cell>
          <cell r="F75">
            <v>1.6217998022195363</v>
          </cell>
        </row>
      </sheetData>
      <sheetData sheetId="30">
        <row r="4">
          <cell r="A4" t="str">
            <v xml:space="preserve">SECONDARY RENTAL APARTMENT UNIVERSE </v>
          </cell>
          <cell r="B4" t="str">
            <v>Renter Households</v>
          </cell>
          <cell r="C4" t="str">
            <v xml:space="preserve">Primary Rental Universe </v>
          </cell>
          <cell r="D4" t="str">
            <v xml:space="preserve">Estimated Secondary Universe </v>
          </cell>
          <cell r="E4" t="str">
            <v xml:space="preserve">% of Renters in Secondary Market </v>
          </cell>
        </row>
        <row r="5">
          <cell r="A5" t="str">
            <v>Abbotsford (City)</v>
          </cell>
          <cell r="B5">
            <v>15970</v>
          </cell>
          <cell r="C5">
            <v>4398</v>
          </cell>
          <cell r="D5">
            <v>11572</v>
          </cell>
          <cell r="E5">
            <v>0.72460864120225421</v>
          </cell>
        </row>
        <row r="6">
          <cell r="A6" t="str">
            <v>Ajax (Town)</v>
          </cell>
          <cell r="B6">
            <v>5640</v>
          </cell>
          <cell r="C6">
            <v>2171</v>
          </cell>
          <cell r="D6">
            <v>3469</v>
          </cell>
          <cell r="E6">
            <v>0.61507092198581559</v>
          </cell>
        </row>
        <row r="7">
          <cell r="A7" t="str">
            <v>Arnprior (Town)</v>
          </cell>
          <cell r="B7">
            <v>1828</v>
          </cell>
          <cell r="C7">
            <v>546</v>
          </cell>
          <cell r="D7">
            <v>1282</v>
          </cell>
          <cell r="E7">
            <v>0.70131291028446385</v>
          </cell>
        </row>
        <row r="8">
          <cell r="A8" t="str">
            <v>Aurora (Town)</v>
          </cell>
          <cell r="B8">
            <v>3466</v>
          </cell>
          <cell r="C8">
            <v>804</v>
          </cell>
          <cell r="D8">
            <v>2662</v>
          </cell>
          <cell r="E8">
            <v>0.76803231390652049</v>
          </cell>
        </row>
        <row r="9">
          <cell r="A9" t="str">
            <v>Barrie (City)</v>
          </cell>
          <cell r="B9">
            <v>16803</v>
          </cell>
          <cell r="C9">
            <v>4190</v>
          </cell>
          <cell r="D9">
            <v>12613</v>
          </cell>
          <cell r="E9">
            <v>0.75063976670832588</v>
          </cell>
        </row>
        <row r="10">
          <cell r="A10" t="str">
            <v>Belleville (City)</v>
          </cell>
          <cell r="B10">
            <v>8772</v>
          </cell>
          <cell r="C10">
            <v>4348</v>
          </cell>
          <cell r="D10">
            <v>4424</v>
          </cell>
          <cell r="E10">
            <v>0.50433196534427727</v>
          </cell>
        </row>
        <row r="11">
          <cell r="A11" t="str">
            <v>Bracebridge (Town)</v>
          </cell>
          <cell r="B11">
            <v>1514</v>
          </cell>
          <cell r="C11">
            <v>320</v>
          </cell>
          <cell r="D11">
            <v>1194</v>
          </cell>
          <cell r="E11">
            <v>0.7886393659180978</v>
          </cell>
        </row>
        <row r="12">
          <cell r="A12" t="str">
            <v>Brampton (City)</v>
          </cell>
          <cell r="B12">
            <v>38418</v>
          </cell>
          <cell r="C12">
            <v>10895</v>
          </cell>
          <cell r="D12">
            <v>27523</v>
          </cell>
          <cell r="E12">
            <v>0.71640897495965428</v>
          </cell>
        </row>
        <row r="13">
          <cell r="A13" t="str">
            <v>Brantford (City)</v>
          </cell>
          <cell r="B13">
            <v>13583</v>
          </cell>
          <cell r="C13">
            <v>5299</v>
          </cell>
          <cell r="D13">
            <v>8284</v>
          </cell>
          <cell r="E13">
            <v>0.60987999705514251</v>
          </cell>
        </row>
        <row r="14">
          <cell r="A14" t="str">
            <v>Brockville (City)</v>
          </cell>
          <cell r="B14">
            <v>4683</v>
          </cell>
          <cell r="C14">
            <v>2144</v>
          </cell>
          <cell r="D14">
            <v>2539</v>
          </cell>
          <cell r="E14">
            <v>0.54217382020072602</v>
          </cell>
        </row>
        <row r="15">
          <cell r="A15" t="str">
            <v>Burlington (City)</v>
          </cell>
          <cell r="B15">
            <v>18284</v>
          </cell>
          <cell r="C15">
            <v>10168</v>
          </cell>
          <cell r="D15">
            <v>8116</v>
          </cell>
          <cell r="E15">
            <v>0.44388536425289871</v>
          </cell>
        </row>
        <row r="16">
          <cell r="A16" t="str">
            <v>Calgary (City)</v>
          </cell>
          <cell r="B16">
            <v>145666</v>
          </cell>
          <cell r="C16">
            <v>44101</v>
          </cell>
          <cell r="D16">
            <v>101565</v>
          </cell>
          <cell r="E16">
            <v>0.6972457539851441</v>
          </cell>
        </row>
        <row r="17">
          <cell r="A17" t="str">
            <v>Cambridge (City)</v>
          </cell>
          <cell r="B17">
            <v>15354</v>
          </cell>
          <cell r="C17">
            <v>6215</v>
          </cell>
          <cell r="D17">
            <v>9139</v>
          </cell>
          <cell r="E17">
            <v>0.59521948677868963</v>
          </cell>
        </row>
        <row r="18">
          <cell r="A18" t="str">
            <v>Carleton Place (Town)</v>
          </cell>
          <cell r="B18">
            <v>1305</v>
          </cell>
          <cell r="C18">
            <v>331</v>
          </cell>
          <cell r="D18">
            <v>974</v>
          </cell>
          <cell r="E18">
            <v>0.74636015325670502</v>
          </cell>
        </row>
        <row r="19">
          <cell r="A19" t="str">
            <v>Chatham-Kent (MU)</v>
          </cell>
          <cell r="B19">
            <v>12061</v>
          </cell>
          <cell r="C19">
            <v>4945</v>
          </cell>
          <cell r="D19">
            <v>7116</v>
          </cell>
          <cell r="E19">
            <v>0.59000082911864693</v>
          </cell>
        </row>
        <row r="20">
          <cell r="A20" t="str">
            <v>Chilliwack (City)</v>
          </cell>
          <cell r="B20">
            <v>9725</v>
          </cell>
          <cell r="C20">
            <v>3341</v>
          </cell>
          <cell r="D20">
            <v>6384</v>
          </cell>
          <cell r="E20">
            <v>0.65645244215938303</v>
          </cell>
        </row>
        <row r="21">
          <cell r="A21" t="str">
            <v>Collingwood (Town)</v>
          </cell>
          <cell r="B21">
            <v>2796</v>
          </cell>
          <cell r="C21">
            <v>562</v>
          </cell>
          <cell r="D21">
            <v>2234</v>
          </cell>
          <cell r="E21">
            <v>0.79899856938483549</v>
          </cell>
        </row>
        <row r="22">
          <cell r="A22" t="str">
            <v>Cornwall (City)</v>
          </cell>
          <cell r="B22">
            <v>10008</v>
          </cell>
          <cell r="C22">
            <v>3875</v>
          </cell>
          <cell r="D22">
            <v>6133</v>
          </cell>
          <cell r="E22">
            <v>0.61280975219824141</v>
          </cell>
        </row>
        <row r="23">
          <cell r="A23" t="str">
            <v>Delta (DM)</v>
          </cell>
          <cell r="B23">
            <v>8493</v>
          </cell>
          <cell r="C23">
            <v>1703</v>
          </cell>
          <cell r="D23">
            <v>6790</v>
          </cell>
          <cell r="E23">
            <v>0.79948192629224069</v>
          </cell>
        </row>
        <row r="24">
          <cell r="A24" t="str">
            <v>Edmonton (City)</v>
          </cell>
          <cell r="B24">
            <v>139470</v>
          </cell>
          <cell r="C24">
            <v>72090</v>
          </cell>
          <cell r="D24">
            <v>67380</v>
          </cell>
          <cell r="E24">
            <v>0.48311464831146483</v>
          </cell>
        </row>
        <row r="25">
          <cell r="A25" t="str">
            <v>Gravenhurst (Town)</v>
          </cell>
          <cell r="B25">
            <v>1249</v>
          </cell>
          <cell r="C25">
            <v>267</v>
          </cell>
          <cell r="D25">
            <v>982</v>
          </cell>
          <cell r="E25">
            <v>0.78622898318654921</v>
          </cell>
        </row>
        <row r="26">
          <cell r="A26" t="str">
            <v>Grimsby (Town)</v>
          </cell>
          <cell r="B26">
            <v>1611</v>
          </cell>
          <cell r="C26">
            <v>389</v>
          </cell>
          <cell r="D26">
            <v>1222</v>
          </cell>
          <cell r="E26">
            <v>0.75853507138423337</v>
          </cell>
        </row>
        <row r="27">
          <cell r="A27" t="str">
            <v>Guelph (City)</v>
          </cell>
          <cell r="B27">
            <v>18800</v>
          </cell>
          <cell r="C27">
            <v>8315</v>
          </cell>
          <cell r="D27">
            <v>10485</v>
          </cell>
          <cell r="E27">
            <v>0.55771276595744679</v>
          </cell>
        </row>
        <row r="28">
          <cell r="A28" t="str">
            <v>Halifax (RGM)</v>
          </cell>
          <cell r="B28">
            <v>75898</v>
          </cell>
          <cell r="C28">
            <v>52913</v>
          </cell>
          <cell r="D28">
            <v>22985</v>
          </cell>
          <cell r="E28">
            <v>0.30284065456270259</v>
          </cell>
        </row>
        <row r="29">
          <cell r="A29" t="str">
            <v>Hamilton (City)</v>
          </cell>
          <cell r="B29">
            <v>73112</v>
          </cell>
          <cell r="C29">
            <v>36230</v>
          </cell>
          <cell r="D29">
            <v>36882</v>
          </cell>
          <cell r="E29">
            <v>0.50445891235364915</v>
          </cell>
        </row>
        <row r="30">
          <cell r="A30" t="str">
            <v>Kanata-Stittsville</v>
          </cell>
          <cell r="B30">
            <v>6695</v>
          </cell>
          <cell r="C30">
            <v>2240</v>
          </cell>
          <cell r="D30">
            <v>4455</v>
          </cell>
          <cell r="E30">
            <v>0.66542195668409265</v>
          </cell>
        </row>
        <row r="31">
          <cell r="A31" t="str">
            <v>Kawartha Lakes</v>
          </cell>
          <cell r="B31">
            <v>5546</v>
          </cell>
          <cell r="C31">
            <v>1497</v>
          </cell>
          <cell r="D31">
            <v>4049</v>
          </cell>
          <cell r="E31">
            <v>0.73007573025604044</v>
          </cell>
        </row>
        <row r="32">
          <cell r="A32" t="str">
            <v>Kingston (City)</v>
          </cell>
          <cell r="B32">
            <v>23092</v>
          </cell>
          <cell r="C32">
            <v>14364</v>
          </cell>
          <cell r="D32">
            <v>8728</v>
          </cell>
          <cell r="E32">
            <v>0.37796639528841158</v>
          </cell>
        </row>
        <row r="33">
          <cell r="A33" t="str">
            <v>Kitchener (City)</v>
          </cell>
          <cell r="B33">
            <v>38336</v>
          </cell>
          <cell r="C33">
            <v>22117</v>
          </cell>
          <cell r="D33">
            <v>16219</v>
          </cell>
          <cell r="E33">
            <v>0.42307491652754592</v>
          </cell>
        </row>
        <row r="34">
          <cell r="A34" t="str">
            <v>Langley (City)</v>
          </cell>
          <cell r="B34">
            <v>4880</v>
          </cell>
          <cell r="C34">
            <v>2494</v>
          </cell>
          <cell r="D34">
            <v>2386</v>
          </cell>
          <cell r="E34">
            <v>0.48893442622950822</v>
          </cell>
        </row>
        <row r="35">
          <cell r="A35" t="str">
            <v>Leamington (MU)</v>
          </cell>
          <cell r="B35">
            <v>3400</v>
          </cell>
          <cell r="C35">
            <v>1137</v>
          </cell>
          <cell r="D35">
            <v>2263</v>
          </cell>
          <cell r="E35">
            <v>0.66558823529411759</v>
          </cell>
        </row>
        <row r="36">
          <cell r="A36" t="str">
            <v>London (City)</v>
          </cell>
          <cell r="B36">
            <v>70668</v>
          </cell>
          <cell r="C36">
            <v>46702</v>
          </cell>
          <cell r="D36">
            <v>23966</v>
          </cell>
          <cell r="E36">
            <v>0.33913511065828944</v>
          </cell>
        </row>
        <row r="37">
          <cell r="A37" t="str">
            <v>Maple Ridge (City)</v>
          </cell>
          <cell r="B37">
            <v>6571</v>
          </cell>
          <cell r="C37">
            <v>1492</v>
          </cell>
          <cell r="D37">
            <v>5079</v>
          </cell>
          <cell r="E37">
            <v>0.77294171359001673</v>
          </cell>
        </row>
        <row r="38">
          <cell r="A38" t="str">
            <v>Markham (City)</v>
          </cell>
          <cell r="B38">
            <v>16150</v>
          </cell>
          <cell r="C38">
            <v>1628</v>
          </cell>
          <cell r="D38">
            <v>14522</v>
          </cell>
          <cell r="E38">
            <v>0.89919504643962844</v>
          </cell>
        </row>
        <row r="39">
          <cell r="A39" t="str">
            <v>Meaford (Municipality)</v>
          </cell>
          <cell r="B39">
            <v>1097</v>
          </cell>
          <cell r="C39">
            <v>260</v>
          </cell>
          <cell r="D39">
            <v>837</v>
          </cell>
          <cell r="E39">
            <v>0.7629899726526892</v>
          </cell>
        </row>
        <row r="40">
          <cell r="A40" t="str">
            <v>Midland (Town)</v>
          </cell>
          <cell r="B40">
            <v>2800</v>
          </cell>
          <cell r="C40">
            <v>841</v>
          </cell>
          <cell r="D40">
            <v>1959</v>
          </cell>
          <cell r="E40">
            <v>0.69964285714285712</v>
          </cell>
        </row>
        <row r="41">
          <cell r="A41" t="str">
            <v>Milton (Town)</v>
          </cell>
          <cell r="B41">
            <v>5913</v>
          </cell>
          <cell r="C41">
            <v>709</v>
          </cell>
          <cell r="D41">
            <v>5204</v>
          </cell>
          <cell r="E41">
            <v>0.88009470657872479</v>
          </cell>
        </row>
        <row r="42">
          <cell r="A42" t="str">
            <v>Mission (DM)</v>
          </cell>
          <cell r="B42">
            <v>3302</v>
          </cell>
          <cell r="C42">
            <v>461</v>
          </cell>
          <cell r="D42">
            <v>2841</v>
          </cell>
          <cell r="E42">
            <v>0.86038764385221078</v>
          </cell>
        </row>
        <row r="43">
          <cell r="A43" t="str">
            <v>Mississauga (City)</v>
          </cell>
          <cell r="B43">
            <v>72220</v>
          </cell>
          <cell r="C43">
            <v>29492</v>
          </cell>
          <cell r="D43">
            <v>42728</v>
          </cell>
          <cell r="E43">
            <v>0.59163666574356133</v>
          </cell>
        </row>
        <row r="44">
          <cell r="A44" t="str">
            <v>Newmarket (City)</v>
          </cell>
          <cell r="B44">
            <v>6486</v>
          </cell>
          <cell r="C44">
            <v>1038</v>
          </cell>
          <cell r="D44">
            <v>5448</v>
          </cell>
          <cell r="E44">
            <v>0.83996299722479184</v>
          </cell>
        </row>
        <row r="45">
          <cell r="A45" t="str">
            <v>Niagara Falls (City)</v>
          </cell>
          <cell r="B45">
            <v>10796</v>
          </cell>
          <cell r="C45">
            <v>3415</v>
          </cell>
          <cell r="D45">
            <v>7381</v>
          </cell>
          <cell r="E45">
            <v>0.68367914042237865</v>
          </cell>
        </row>
        <row r="46">
          <cell r="A46" t="str">
            <v>Oakville (Town)</v>
          </cell>
          <cell r="B46">
            <v>13478</v>
          </cell>
          <cell r="C46">
            <v>5181</v>
          </cell>
          <cell r="D46">
            <v>8297</v>
          </cell>
          <cell r="E46">
            <v>0.61559578572488505</v>
          </cell>
        </row>
        <row r="47">
          <cell r="A47" t="str">
            <v>Orillia (City)</v>
          </cell>
          <cell r="B47">
            <v>5377</v>
          </cell>
          <cell r="C47">
            <v>1735</v>
          </cell>
          <cell r="D47">
            <v>3642</v>
          </cell>
          <cell r="E47">
            <v>0.67732936581737024</v>
          </cell>
        </row>
        <row r="48">
          <cell r="A48" t="str">
            <v>Oshawa (City)</v>
          </cell>
          <cell r="B48">
            <v>21192</v>
          </cell>
          <cell r="C48">
            <v>9819</v>
          </cell>
          <cell r="D48">
            <v>11373</v>
          </cell>
          <cell r="E48">
            <v>0.53666477916194788</v>
          </cell>
        </row>
        <row r="49">
          <cell r="A49" t="str">
            <v>Ottawa (City)</v>
          </cell>
          <cell r="B49">
            <v>140603</v>
          </cell>
          <cell r="C49">
            <v>72994</v>
          </cell>
          <cell r="D49">
            <v>67609</v>
          </cell>
          <cell r="E49">
            <v>0.48085033747501832</v>
          </cell>
        </row>
        <row r="50">
          <cell r="A50" t="str">
            <v>Owen Sound (City)</v>
          </cell>
          <cell r="B50">
            <v>4324</v>
          </cell>
          <cell r="C50">
            <v>1858</v>
          </cell>
          <cell r="D50">
            <v>2466</v>
          </cell>
          <cell r="E50">
            <v>0.57030527289546717</v>
          </cell>
        </row>
        <row r="51">
          <cell r="A51" t="str">
            <v>Pembroke (City)</v>
          </cell>
          <cell r="B51">
            <v>2789</v>
          </cell>
          <cell r="C51">
            <v>989</v>
          </cell>
          <cell r="D51">
            <v>1800</v>
          </cell>
          <cell r="E51">
            <v>0.64539261384008606</v>
          </cell>
        </row>
        <row r="52">
          <cell r="A52" t="str">
            <v>Penetanguishene (Town)</v>
          </cell>
          <cell r="B52">
            <v>1186</v>
          </cell>
          <cell r="C52">
            <v>280</v>
          </cell>
          <cell r="D52">
            <v>906</v>
          </cell>
          <cell r="E52">
            <v>0.76391231028667794</v>
          </cell>
        </row>
        <row r="53">
          <cell r="A53" t="str">
            <v>Peterborough (City)</v>
          </cell>
          <cell r="B53">
            <v>16572</v>
          </cell>
          <cell r="C53">
            <v>6500</v>
          </cell>
          <cell r="D53">
            <v>10072</v>
          </cell>
          <cell r="E53">
            <v>0.60777214578807626</v>
          </cell>
        </row>
        <row r="54">
          <cell r="A54" t="str">
            <v>Pickering (City)</v>
          </cell>
          <cell r="B54">
            <v>4158</v>
          </cell>
          <cell r="C54">
            <v>353</v>
          </cell>
          <cell r="D54">
            <v>3805</v>
          </cell>
          <cell r="E54">
            <v>0.91510341510341509</v>
          </cell>
        </row>
        <row r="55">
          <cell r="A55" t="str">
            <v>Port Coquitlam (City)</v>
          </cell>
          <cell r="B55">
            <v>5461</v>
          </cell>
          <cell r="C55">
            <v>983</v>
          </cell>
          <cell r="D55">
            <v>4478</v>
          </cell>
          <cell r="E55">
            <v>0.8199963376670939</v>
          </cell>
        </row>
        <row r="56">
          <cell r="A56" t="str">
            <v>Regina (City)</v>
          </cell>
          <cell r="B56">
            <v>30587</v>
          </cell>
          <cell r="C56">
            <v>14761</v>
          </cell>
          <cell r="D56">
            <v>15826</v>
          </cell>
          <cell r="E56">
            <v>0.51740935691633705</v>
          </cell>
        </row>
        <row r="57">
          <cell r="A57" t="str">
            <v>Richmond Hill (Town)</v>
          </cell>
          <cell r="B57">
            <v>12569</v>
          </cell>
          <cell r="C57">
            <v>1721</v>
          </cell>
          <cell r="D57">
            <v>10848</v>
          </cell>
          <cell r="E57">
            <v>0.86307582146551043</v>
          </cell>
        </row>
        <row r="58">
          <cell r="A58" t="str">
            <v>Sarnia (City)</v>
          </cell>
          <cell r="B58">
            <v>10673</v>
          </cell>
          <cell r="C58">
            <v>6117</v>
          </cell>
          <cell r="D58">
            <v>4556</v>
          </cell>
          <cell r="E58">
            <v>0.42687154502014429</v>
          </cell>
        </row>
        <row r="59">
          <cell r="A59" t="str">
            <v>Saskatoon (City)</v>
          </cell>
          <cell r="B59">
            <v>34334</v>
          </cell>
          <cell r="C59">
            <v>15191</v>
          </cell>
          <cell r="D59">
            <v>19143</v>
          </cell>
          <cell r="E59">
            <v>0.55755228053824202</v>
          </cell>
        </row>
        <row r="60">
          <cell r="A60" t="str">
            <v>Saugeen Shores (Town)</v>
          </cell>
          <cell r="B60">
            <v>1324</v>
          </cell>
          <cell r="C60">
            <v>548</v>
          </cell>
          <cell r="D60">
            <v>776</v>
          </cell>
          <cell r="E60">
            <v>0.58610271903323263</v>
          </cell>
        </row>
        <row r="61">
          <cell r="A61" t="str">
            <v>Scarborough (Town)</v>
          </cell>
          <cell r="B61">
            <v>80344</v>
          </cell>
          <cell r="C61">
            <v>35120</v>
          </cell>
          <cell r="D61">
            <v>45224</v>
          </cell>
          <cell r="E61">
            <v>0.56287961764413019</v>
          </cell>
        </row>
        <row r="62">
          <cell r="A62" t="str">
            <v>St. Catharines (City)</v>
          </cell>
          <cell r="B62">
            <v>20015</v>
          </cell>
          <cell r="C62">
            <v>8443</v>
          </cell>
          <cell r="D62">
            <v>11572</v>
          </cell>
          <cell r="E62">
            <v>0.57816637521858605</v>
          </cell>
        </row>
        <row r="63">
          <cell r="A63" t="str">
            <v>Stratford (City)</v>
          </cell>
          <cell r="B63">
            <v>5033</v>
          </cell>
          <cell r="C63">
            <v>2267</v>
          </cell>
          <cell r="D63">
            <v>2766</v>
          </cell>
          <cell r="E63">
            <v>0.54957281939201275</v>
          </cell>
        </row>
        <row r="64">
          <cell r="A64" t="str">
            <v>Surrey (City)</v>
          </cell>
          <cell r="B64">
            <v>53845</v>
          </cell>
          <cell r="C64">
            <v>6232</v>
          </cell>
          <cell r="D64">
            <v>47613</v>
          </cell>
          <cell r="E64">
            <v>0.88426037700807869</v>
          </cell>
        </row>
        <row r="65">
          <cell r="A65" t="str">
            <v>Timmins (City)</v>
          </cell>
          <cell r="B65">
            <v>5848</v>
          </cell>
          <cell r="C65">
            <v>1813</v>
          </cell>
          <cell r="D65">
            <v>4035</v>
          </cell>
          <cell r="E65">
            <v>0.68997948016415867</v>
          </cell>
        </row>
        <row r="66">
          <cell r="A66" t="str">
            <v>Toronto (City)</v>
          </cell>
          <cell r="B66">
            <v>576396</v>
          </cell>
          <cell r="C66">
            <v>268559</v>
          </cell>
          <cell r="D66">
            <v>307837</v>
          </cell>
          <cell r="E66">
            <v>0.53407206156878262</v>
          </cell>
        </row>
        <row r="67">
          <cell r="A67" t="str">
            <v>Vancouver (City)</v>
          </cell>
          <cell r="B67">
            <v>162288</v>
          </cell>
          <cell r="C67">
            <v>59764</v>
          </cell>
          <cell r="D67">
            <v>102524</v>
          </cell>
          <cell r="E67">
            <v>0.63174110223799662</v>
          </cell>
        </row>
        <row r="68">
          <cell r="A68" t="str">
            <v>Vaughan (City)</v>
          </cell>
          <cell r="B68">
            <v>11295</v>
          </cell>
          <cell r="C68">
            <v>265</v>
          </cell>
          <cell r="D68">
            <v>11030</v>
          </cell>
          <cell r="E68">
            <v>0.97653829127932712</v>
          </cell>
        </row>
        <row r="69">
          <cell r="A69" t="str">
            <v>Victoria (City)</v>
          </cell>
          <cell r="B69">
            <v>29753</v>
          </cell>
          <cell r="C69">
            <v>17756</v>
          </cell>
          <cell r="D69">
            <v>11997</v>
          </cell>
          <cell r="E69">
            <v>0.40321984337713845</v>
          </cell>
        </row>
        <row r="70">
          <cell r="A70" t="str">
            <v>Waterloo (City)</v>
          </cell>
          <cell r="B70">
            <v>14330</v>
          </cell>
          <cell r="C70">
            <v>10161</v>
          </cell>
          <cell r="D70">
            <v>4169</v>
          </cell>
          <cell r="E70">
            <v>0.29092812281926028</v>
          </cell>
        </row>
        <row r="71">
          <cell r="A71" t="str">
            <v>Whitby (Town)</v>
          </cell>
          <cell r="B71">
            <v>7850</v>
          </cell>
          <cell r="C71">
            <v>2477</v>
          </cell>
          <cell r="D71">
            <v>5373</v>
          </cell>
          <cell r="E71">
            <v>0.6844585987261147</v>
          </cell>
        </row>
        <row r="72">
          <cell r="A72" t="str">
            <v>Windsor (City)</v>
          </cell>
          <cell r="B72">
            <v>35717</v>
          </cell>
          <cell r="C72">
            <v>15136</v>
          </cell>
          <cell r="D72">
            <v>20581</v>
          </cell>
          <cell r="E72">
            <v>0.57622420696027099</v>
          </cell>
        </row>
        <row r="73">
          <cell r="A73" t="str">
            <v>Winnipeg (City)</v>
          </cell>
          <cell r="B73">
            <v>103640</v>
          </cell>
          <cell r="C73">
            <v>64139</v>
          </cell>
          <cell r="D73">
            <v>39501</v>
          </cell>
          <cell r="E73">
            <v>0.38113662678502508</v>
          </cell>
        </row>
        <row r="74">
          <cell r="A74" t="str">
            <v>Woodstock (City)</v>
          </cell>
          <cell r="B74">
            <v>6207</v>
          </cell>
          <cell r="C74">
            <v>2671</v>
          </cell>
          <cell r="D74">
            <v>3536</v>
          </cell>
          <cell r="E74">
            <v>0.56967939423231839</v>
          </cell>
        </row>
      </sheetData>
      <sheetData sheetId="31">
        <row r="5">
          <cell r="A5" t="str">
            <v>Abbotsford (City)</v>
          </cell>
          <cell r="B5">
            <v>766</v>
          </cell>
          <cell r="C5">
            <v>971</v>
          </cell>
          <cell r="D5">
            <v>1169</v>
          </cell>
          <cell r="E5">
            <v>1528</v>
          </cell>
          <cell r="F5">
            <v>1070</v>
          </cell>
          <cell r="G5">
            <v>25</v>
          </cell>
        </row>
        <row r="6">
          <cell r="A6" t="str">
            <v>Ajax (Town)</v>
          </cell>
          <cell r="B6" t="str">
            <v>**</v>
          </cell>
          <cell r="C6">
            <v>1258</v>
          </cell>
          <cell r="D6">
            <v>1362</v>
          </cell>
          <cell r="E6">
            <v>1481</v>
          </cell>
          <cell r="F6">
            <v>1390</v>
          </cell>
          <cell r="G6">
            <v>149</v>
          </cell>
        </row>
        <row r="7">
          <cell r="A7" t="str">
            <v>Arnprior (Town)</v>
          </cell>
          <cell r="B7" t="str">
            <v>**</v>
          </cell>
          <cell r="C7">
            <v>774</v>
          </cell>
          <cell r="D7">
            <v>863</v>
          </cell>
          <cell r="E7" t="str">
            <v>**</v>
          </cell>
          <cell r="F7">
            <v>834</v>
          </cell>
          <cell r="G7">
            <v>-9</v>
          </cell>
        </row>
        <row r="8">
          <cell r="A8" t="str">
            <v>Aurora (Town)</v>
          </cell>
          <cell r="B8" t="str">
            <v>**</v>
          </cell>
          <cell r="C8">
            <v>1297</v>
          </cell>
          <cell r="D8">
            <v>1543</v>
          </cell>
          <cell r="E8" t="str">
            <v>**</v>
          </cell>
          <cell r="F8">
            <v>1492</v>
          </cell>
          <cell r="G8">
            <v>154</v>
          </cell>
        </row>
        <row r="9">
          <cell r="A9" t="str">
            <v>Barrie (City)</v>
          </cell>
          <cell r="B9">
            <v>939</v>
          </cell>
          <cell r="C9">
            <v>1195</v>
          </cell>
          <cell r="D9">
            <v>1401</v>
          </cell>
          <cell r="E9">
            <v>1575</v>
          </cell>
          <cell r="F9">
            <v>1350</v>
          </cell>
          <cell r="G9">
            <v>35</v>
          </cell>
        </row>
        <row r="10">
          <cell r="A10" t="str">
            <v>Belleville (City)</v>
          </cell>
          <cell r="B10">
            <v>865</v>
          </cell>
          <cell r="C10">
            <v>1068</v>
          </cell>
          <cell r="D10">
            <v>1231</v>
          </cell>
          <cell r="E10">
            <v>1359</v>
          </cell>
          <cell r="F10">
            <v>1182</v>
          </cell>
          <cell r="G10">
            <v>73</v>
          </cell>
        </row>
        <row r="11">
          <cell r="A11" t="str">
            <v>Bracebridge (Town)</v>
          </cell>
          <cell r="B11">
            <v>677</v>
          </cell>
          <cell r="C11">
            <v>886</v>
          </cell>
          <cell r="D11">
            <v>1176</v>
          </cell>
          <cell r="E11">
            <v>1336</v>
          </cell>
          <cell r="F11">
            <v>1099</v>
          </cell>
          <cell r="G11">
            <v>30</v>
          </cell>
        </row>
        <row r="12">
          <cell r="A12" t="str">
            <v>Brampton (City)</v>
          </cell>
          <cell r="B12">
            <v>983</v>
          </cell>
          <cell r="C12">
            <v>1333</v>
          </cell>
          <cell r="D12">
            <v>1515</v>
          </cell>
          <cell r="E12">
            <v>1649</v>
          </cell>
          <cell r="F12">
            <v>1464</v>
          </cell>
          <cell r="G12">
            <v>63</v>
          </cell>
        </row>
        <row r="13">
          <cell r="A13" t="str">
            <v>Brantford (City)</v>
          </cell>
          <cell r="B13">
            <v>763</v>
          </cell>
          <cell r="C13">
            <v>1054</v>
          </cell>
          <cell r="D13">
            <v>1117</v>
          </cell>
          <cell r="E13">
            <v>1323</v>
          </cell>
          <cell r="F13">
            <v>1132</v>
          </cell>
          <cell r="G13">
            <v>81</v>
          </cell>
        </row>
        <row r="14">
          <cell r="A14" t="str">
            <v>Brockville (City)</v>
          </cell>
          <cell r="B14">
            <v>752</v>
          </cell>
          <cell r="C14">
            <v>871</v>
          </cell>
          <cell r="D14">
            <v>990</v>
          </cell>
          <cell r="E14">
            <v>963</v>
          </cell>
          <cell r="F14">
            <v>951</v>
          </cell>
          <cell r="G14">
            <v>84</v>
          </cell>
        </row>
        <row r="15">
          <cell r="A15" t="str">
            <v>Burlington (City)</v>
          </cell>
          <cell r="B15">
            <v>1216</v>
          </cell>
          <cell r="C15">
            <v>1460</v>
          </cell>
          <cell r="D15">
            <v>1623</v>
          </cell>
          <cell r="E15">
            <v>1640</v>
          </cell>
          <cell r="F15">
            <v>1573</v>
          </cell>
          <cell r="G15">
            <v>98</v>
          </cell>
        </row>
        <row r="16">
          <cell r="A16" t="str">
            <v>Calgary (City)</v>
          </cell>
          <cell r="B16">
            <v>883</v>
          </cell>
          <cell r="C16">
            <v>1086</v>
          </cell>
          <cell r="D16">
            <v>1321</v>
          </cell>
          <cell r="E16">
            <v>1395</v>
          </cell>
          <cell r="F16">
            <v>1209</v>
          </cell>
          <cell r="G16">
            <v>20</v>
          </cell>
        </row>
        <row r="17">
          <cell r="A17" t="str">
            <v>Cambridge (City)</v>
          </cell>
          <cell r="B17">
            <v>767</v>
          </cell>
          <cell r="C17">
            <v>1073</v>
          </cell>
          <cell r="D17">
            <v>1242</v>
          </cell>
          <cell r="E17">
            <v>1213</v>
          </cell>
          <cell r="F17">
            <v>1193</v>
          </cell>
          <cell r="G17">
            <v>65</v>
          </cell>
        </row>
        <row r="18">
          <cell r="A18" t="str">
            <v>Carleton Place (Town)</v>
          </cell>
          <cell r="B18" t="str">
            <v>**</v>
          </cell>
          <cell r="C18">
            <v>850</v>
          </cell>
          <cell r="D18">
            <v>1022</v>
          </cell>
          <cell r="E18" t="str">
            <v>**</v>
          </cell>
          <cell r="F18">
            <v>942</v>
          </cell>
          <cell r="G18">
            <v>10</v>
          </cell>
        </row>
        <row r="19">
          <cell r="A19" t="str">
            <v>Chatham-Kent (MU)</v>
          </cell>
          <cell r="B19">
            <v>614</v>
          </cell>
          <cell r="C19">
            <v>764</v>
          </cell>
          <cell r="D19">
            <v>881</v>
          </cell>
          <cell r="E19">
            <v>852</v>
          </cell>
          <cell r="F19">
            <v>831</v>
          </cell>
          <cell r="G19">
            <v>15</v>
          </cell>
        </row>
        <row r="20">
          <cell r="A20" t="str">
            <v>Chilliwack (City)</v>
          </cell>
          <cell r="B20">
            <v>768</v>
          </cell>
          <cell r="C20">
            <v>855</v>
          </cell>
          <cell r="D20">
            <v>1103</v>
          </cell>
          <cell r="E20" t="str">
            <v>**</v>
          </cell>
          <cell r="F20">
            <v>983</v>
          </cell>
          <cell r="G20">
            <v>27</v>
          </cell>
        </row>
        <row r="21">
          <cell r="A21" t="str">
            <v>Collingwood (Town)</v>
          </cell>
          <cell r="B21">
            <v>993</v>
          </cell>
          <cell r="C21">
            <v>1003</v>
          </cell>
          <cell r="D21">
            <v>1192</v>
          </cell>
          <cell r="E21" t="str">
            <v>**</v>
          </cell>
          <cell r="F21">
            <v>1109</v>
          </cell>
          <cell r="G21">
            <v>55</v>
          </cell>
        </row>
        <row r="22">
          <cell r="A22" t="str">
            <v>Cornwall (City)</v>
          </cell>
          <cell r="B22">
            <v>684</v>
          </cell>
          <cell r="C22">
            <v>742</v>
          </cell>
          <cell r="D22">
            <v>898</v>
          </cell>
          <cell r="E22">
            <v>999</v>
          </cell>
          <cell r="F22">
            <v>854</v>
          </cell>
          <cell r="G22">
            <v>32</v>
          </cell>
        </row>
        <row r="23">
          <cell r="A23" t="str">
            <v>Delta (DM)</v>
          </cell>
          <cell r="B23">
            <v>856</v>
          </cell>
          <cell r="C23">
            <v>1078</v>
          </cell>
          <cell r="D23">
            <v>1328</v>
          </cell>
          <cell r="E23">
            <v>1640</v>
          </cell>
          <cell r="F23">
            <v>1198</v>
          </cell>
          <cell r="G23">
            <v>103</v>
          </cell>
        </row>
        <row r="24">
          <cell r="A24" t="str">
            <v>Edmonton (City)</v>
          </cell>
          <cell r="B24">
            <v>883</v>
          </cell>
          <cell r="C24">
            <v>1028</v>
          </cell>
          <cell r="D24">
            <v>1274</v>
          </cell>
          <cell r="E24">
            <v>1391</v>
          </cell>
          <cell r="F24">
            <v>1167</v>
          </cell>
          <cell r="G24">
            <v>5</v>
          </cell>
        </row>
        <row r="25">
          <cell r="A25" t="str">
            <v>Gravenhurst (Town)</v>
          </cell>
          <cell r="B25" t="str">
            <v>**</v>
          </cell>
          <cell r="C25">
            <v>861</v>
          </cell>
          <cell r="D25">
            <v>1040</v>
          </cell>
          <cell r="E25">
            <v>1115</v>
          </cell>
          <cell r="F25">
            <v>994</v>
          </cell>
          <cell r="G25">
            <v>23</v>
          </cell>
        </row>
        <row r="26">
          <cell r="A26" t="str">
            <v>Grimsby (Town)</v>
          </cell>
          <cell r="B26" t="str">
            <v>**</v>
          </cell>
          <cell r="C26">
            <v>950</v>
          </cell>
          <cell r="D26">
            <v>1029</v>
          </cell>
          <cell r="E26" t="str">
            <v>**</v>
          </cell>
          <cell r="F26">
            <v>1000</v>
          </cell>
          <cell r="G26">
            <v>69</v>
          </cell>
        </row>
        <row r="27">
          <cell r="A27" t="str">
            <v>Guelph (City)</v>
          </cell>
          <cell r="B27">
            <v>870</v>
          </cell>
          <cell r="C27">
            <v>1211</v>
          </cell>
          <cell r="D27">
            <v>1367</v>
          </cell>
          <cell r="E27">
            <v>1603</v>
          </cell>
          <cell r="F27">
            <v>1332</v>
          </cell>
          <cell r="G27">
            <v>87</v>
          </cell>
        </row>
        <row r="28">
          <cell r="A28" t="str">
            <v>Halifax (RGM)</v>
          </cell>
          <cell r="B28">
            <v>865</v>
          </cell>
          <cell r="C28">
            <v>1015</v>
          </cell>
          <cell r="D28">
            <v>1254</v>
          </cell>
          <cell r="E28">
            <v>1459</v>
          </cell>
          <cell r="F28">
            <v>1172</v>
          </cell>
          <cell r="G28">
            <v>56</v>
          </cell>
        </row>
        <row r="29">
          <cell r="A29" t="str">
            <v>Hamilton (City)</v>
          </cell>
          <cell r="B29">
            <v>867</v>
          </cell>
          <cell r="C29">
            <v>1033</v>
          </cell>
          <cell r="D29">
            <v>1184</v>
          </cell>
          <cell r="E29">
            <v>1350</v>
          </cell>
          <cell r="F29">
            <v>1118</v>
          </cell>
          <cell r="G29">
            <v>66</v>
          </cell>
        </row>
        <row r="30">
          <cell r="A30" t="str">
            <v>Kanata-Stittsville</v>
          </cell>
          <cell r="B30" t="str">
            <v>**</v>
          </cell>
          <cell r="C30">
            <v>1965</v>
          </cell>
          <cell r="D30">
            <v>2495</v>
          </cell>
          <cell r="E30" t="str">
            <v>**</v>
          </cell>
          <cell r="F30">
            <v>2234</v>
          </cell>
          <cell r="G30">
            <v>338</v>
          </cell>
        </row>
        <row r="31">
          <cell r="A31" t="str">
            <v>Kawartha Lakes</v>
          </cell>
          <cell r="B31">
            <v>629</v>
          </cell>
          <cell r="C31">
            <v>979</v>
          </cell>
          <cell r="D31">
            <v>1252</v>
          </cell>
          <cell r="E31">
            <v>1386</v>
          </cell>
          <cell r="F31">
            <v>1133</v>
          </cell>
          <cell r="G31">
            <v>19</v>
          </cell>
        </row>
        <row r="32">
          <cell r="A32" t="str">
            <v>Kingston (City)</v>
          </cell>
          <cell r="B32">
            <v>869</v>
          </cell>
          <cell r="C32">
            <v>1148</v>
          </cell>
          <cell r="D32">
            <v>1335</v>
          </cell>
          <cell r="E32">
            <v>1774</v>
          </cell>
          <cell r="F32">
            <v>1289</v>
          </cell>
          <cell r="G32">
            <v>44</v>
          </cell>
        </row>
        <row r="33">
          <cell r="A33" t="str">
            <v>Kitchener (City)</v>
          </cell>
          <cell r="B33">
            <v>808</v>
          </cell>
          <cell r="C33">
            <v>1035</v>
          </cell>
          <cell r="D33">
            <v>1243</v>
          </cell>
          <cell r="E33">
            <v>1381</v>
          </cell>
          <cell r="F33">
            <v>1174</v>
          </cell>
          <cell r="G33">
            <v>43</v>
          </cell>
        </row>
        <row r="34">
          <cell r="A34" t="str">
            <v>Langley (City)</v>
          </cell>
          <cell r="B34">
            <v>944</v>
          </cell>
          <cell r="C34">
            <v>1187</v>
          </cell>
          <cell r="D34">
            <v>1486</v>
          </cell>
          <cell r="E34">
            <v>1667</v>
          </cell>
          <cell r="F34">
            <v>1356</v>
          </cell>
          <cell r="G34">
            <v>19</v>
          </cell>
        </row>
        <row r="35">
          <cell r="A35" t="str">
            <v>Leamington (MU)</v>
          </cell>
          <cell r="B35" t="str">
            <v>**</v>
          </cell>
          <cell r="C35">
            <v>951</v>
          </cell>
          <cell r="D35">
            <v>1241</v>
          </cell>
          <cell r="E35">
            <v>1216</v>
          </cell>
          <cell r="F35">
            <v>1144</v>
          </cell>
          <cell r="G35">
            <v>62</v>
          </cell>
        </row>
        <row r="36">
          <cell r="A36" t="str">
            <v>London (City)</v>
          </cell>
          <cell r="B36">
            <v>785</v>
          </cell>
          <cell r="C36">
            <v>1012</v>
          </cell>
          <cell r="D36">
            <v>1223</v>
          </cell>
          <cell r="E36">
            <v>1371</v>
          </cell>
          <cell r="F36">
            <v>1147</v>
          </cell>
          <cell r="G36">
            <v>97</v>
          </cell>
        </row>
        <row r="37">
          <cell r="A37" t="str">
            <v>Maple Ridge (City)</v>
          </cell>
          <cell r="B37">
            <v>713</v>
          </cell>
          <cell r="C37">
            <v>964</v>
          </cell>
          <cell r="D37">
            <v>1210</v>
          </cell>
          <cell r="E37">
            <v>1686</v>
          </cell>
          <cell r="F37">
            <v>1082</v>
          </cell>
          <cell r="G37">
            <v>52</v>
          </cell>
        </row>
        <row r="38">
          <cell r="A38" t="str">
            <v>Markham (City)</v>
          </cell>
          <cell r="B38" t="str">
            <v>**</v>
          </cell>
          <cell r="C38">
            <v>1440</v>
          </cell>
          <cell r="D38">
            <v>1600</v>
          </cell>
          <cell r="E38">
            <v>1668</v>
          </cell>
          <cell r="F38">
            <v>1541</v>
          </cell>
          <cell r="G38">
            <v>58</v>
          </cell>
        </row>
        <row r="39">
          <cell r="A39" t="str">
            <v>Meaford (Municipality)</v>
          </cell>
          <cell r="B39" t="str">
            <v>**</v>
          </cell>
          <cell r="C39">
            <v>725</v>
          </cell>
          <cell r="D39">
            <v>945</v>
          </cell>
          <cell r="E39" t="str">
            <v>**</v>
          </cell>
          <cell r="F39">
            <v>881</v>
          </cell>
          <cell r="G39">
            <v>34</v>
          </cell>
        </row>
        <row r="40">
          <cell r="A40" t="str">
            <v>Midland (Town)</v>
          </cell>
          <cell r="B40" t="str">
            <v>**</v>
          </cell>
          <cell r="C40">
            <v>1009</v>
          </cell>
          <cell r="D40">
            <v>1153</v>
          </cell>
          <cell r="E40" t="str">
            <v>**</v>
          </cell>
          <cell r="F40">
            <v>1096</v>
          </cell>
          <cell r="G40">
            <v>14</v>
          </cell>
        </row>
        <row r="41">
          <cell r="A41" t="str">
            <v>Milton (Town)</v>
          </cell>
          <cell r="B41" t="str">
            <v>**</v>
          </cell>
          <cell r="C41">
            <v>1273</v>
          </cell>
          <cell r="D41">
            <v>1402</v>
          </cell>
          <cell r="E41" t="str">
            <v>**</v>
          </cell>
          <cell r="F41">
            <v>1345</v>
          </cell>
          <cell r="G41">
            <v>60</v>
          </cell>
        </row>
        <row r="42">
          <cell r="A42" t="str">
            <v>Mission (DM)</v>
          </cell>
          <cell r="B42" t="str">
            <v>**</v>
          </cell>
          <cell r="C42">
            <v>750</v>
          </cell>
          <cell r="D42">
            <v>909</v>
          </cell>
          <cell r="E42" t="str">
            <v>**</v>
          </cell>
          <cell r="F42">
            <v>958</v>
          </cell>
          <cell r="G42">
            <v>5</v>
          </cell>
        </row>
        <row r="43">
          <cell r="A43" t="str">
            <v>Mississauga (City)</v>
          </cell>
          <cell r="B43">
            <v>1052</v>
          </cell>
          <cell r="C43">
            <v>1384</v>
          </cell>
          <cell r="D43">
            <v>1555</v>
          </cell>
          <cell r="E43">
            <v>1751</v>
          </cell>
          <cell r="F43">
            <v>1515</v>
          </cell>
          <cell r="G43">
            <v>90</v>
          </cell>
        </row>
        <row r="44">
          <cell r="A44" t="str">
            <v>Newmarket (City)</v>
          </cell>
          <cell r="B44">
            <v>757</v>
          </cell>
          <cell r="C44">
            <v>1416</v>
          </cell>
          <cell r="D44">
            <v>1527</v>
          </cell>
          <cell r="E44" t="str">
            <v>**</v>
          </cell>
          <cell r="F44">
            <v>1426</v>
          </cell>
          <cell r="G44">
            <v>52</v>
          </cell>
        </row>
        <row r="45">
          <cell r="A45" t="str">
            <v>Niagara Falls (City)</v>
          </cell>
          <cell r="B45">
            <v>643</v>
          </cell>
          <cell r="C45">
            <v>968</v>
          </cell>
          <cell r="D45">
            <v>1098</v>
          </cell>
          <cell r="E45">
            <v>1227</v>
          </cell>
          <cell r="F45">
            <v>1066</v>
          </cell>
          <cell r="G45">
            <v>65</v>
          </cell>
        </row>
        <row r="46">
          <cell r="A46" t="str">
            <v>Oakville (Town)</v>
          </cell>
          <cell r="B46">
            <v>1171</v>
          </cell>
          <cell r="C46">
            <v>1472</v>
          </cell>
          <cell r="D46">
            <v>1746</v>
          </cell>
          <cell r="E46">
            <v>2062</v>
          </cell>
          <cell r="F46">
            <v>1694</v>
          </cell>
          <cell r="G46">
            <v>132</v>
          </cell>
        </row>
        <row r="47">
          <cell r="A47" t="str">
            <v>Orillia (City)</v>
          </cell>
          <cell r="B47">
            <v>739</v>
          </cell>
          <cell r="C47">
            <v>972</v>
          </cell>
          <cell r="D47">
            <v>1110</v>
          </cell>
          <cell r="E47">
            <v>1257</v>
          </cell>
          <cell r="F47">
            <v>1058</v>
          </cell>
          <cell r="G47">
            <v>13</v>
          </cell>
        </row>
        <row r="48">
          <cell r="A48" t="str">
            <v>Oshawa (City)</v>
          </cell>
          <cell r="B48">
            <v>900</v>
          </cell>
          <cell r="C48">
            <v>1162</v>
          </cell>
          <cell r="D48">
            <v>1360</v>
          </cell>
          <cell r="E48">
            <v>1637</v>
          </cell>
          <cell r="F48">
            <v>1333</v>
          </cell>
          <cell r="G48">
            <v>74</v>
          </cell>
        </row>
        <row r="49">
          <cell r="A49" t="str">
            <v>Ottawa (City)</v>
          </cell>
          <cell r="B49">
            <v>1001</v>
          </cell>
          <cell r="C49">
            <v>1243</v>
          </cell>
          <cell r="D49">
            <v>1519</v>
          </cell>
          <cell r="E49">
            <v>1703</v>
          </cell>
          <cell r="F49">
            <v>1380</v>
          </cell>
          <cell r="G49">
            <v>76</v>
          </cell>
        </row>
        <row r="50">
          <cell r="A50" t="str">
            <v>Owen Sound (City)</v>
          </cell>
          <cell r="B50">
            <v>673</v>
          </cell>
          <cell r="C50">
            <v>860</v>
          </cell>
          <cell r="D50">
            <v>1008</v>
          </cell>
          <cell r="E50">
            <v>1088</v>
          </cell>
          <cell r="F50">
            <v>950</v>
          </cell>
          <cell r="G50">
            <v>51</v>
          </cell>
        </row>
        <row r="51">
          <cell r="A51" t="str">
            <v>Pembroke (City)</v>
          </cell>
          <cell r="B51" t="str">
            <v>**</v>
          </cell>
          <cell r="C51">
            <v>720</v>
          </cell>
          <cell r="D51">
            <v>981</v>
          </cell>
          <cell r="E51" t="str">
            <v>**</v>
          </cell>
          <cell r="F51">
            <v>902</v>
          </cell>
          <cell r="G51">
            <v>24</v>
          </cell>
        </row>
        <row r="52">
          <cell r="A52" t="str">
            <v>Penetanguishene (Town)</v>
          </cell>
          <cell r="B52" t="str">
            <v>**</v>
          </cell>
          <cell r="C52">
            <v>776</v>
          </cell>
          <cell r="D52">
            <v>857</v>
          </cell>
          <cell r="E52" t="str">
            <v>**</v>
          </cell>
          <cell r="F52">
            <v>817</v>
          </cell>
          <cell r="G52">
            <v>21</v>
          </cell>
        </row>
        <row r="53">
          <cell r="A53" t="str">
            <v>Peterborough (City)</v>
          </cell>
          <cell r="B53">
            <v>819</v>
          </cell>
          <cell r="C53">
            <v>987</v>
          </cell>
          <cell r="D53">
            <v>1189</v>
          </cell>
          <cell r="E53">
            <v>1358</v>
          </cell>
          <cell r="F53">
            <v>1129</v>
          </cell>
          <cell r="G53">
            <v>68</v>
          </cell>
        </row>
        <row r="54">
          <cell r="A54" t="str">
            <v>Pickering (City)</v>
          </cell>
          <cell r="B54" t="str">
            <v>**</v>
          </cell>
          <cell r="C54" t="str">
            <v>**</v>
          </cell>
          <cell r="D54" t="str">
            <v>**</v>
          </cell>
          <cell r="E54">
            <v>1537</v>
          </cell>
          <cell r="F54">
            <v>1521</v>
          </cell>
          <cell r="G54">
            <v>53</v>
          </cell>
        </row>
        <row r="55">
          <cell r="A55" t="str">
            <v>Port Coquitlam (City)</v>
          </cell>
          <cell r="B55">
            <v>988</v>
          </cell>
          <cell r="C55">
            <v>1287</v>
          </cell>
          <cell r="D55">
            <v>1846</v>
          </cell>
          <cell r="E55">
            <v>1589</v>
          </cell>
          <cell r="F55">
            <v>1587</v>
          </cell>
          <cell r="G55">
            <v>-2</v>
          </cell>
        </row>
        <row r="56">
          <cell r="A56" t="str">
            <v>Regina (City)</v>
          </cell>
          <cell r="B56">
            <v>757</v>
          </cell>
          <cell r="C56">
            <v>952</v>
          </cell>
          <cell r="D56">
            <v>1158</v>
          </cell>
          <cell r="E56">
            <v>1391</v>
          </cell>
          <cell r="F56">
            <v>1082</v>
          </cell>
          <cell r="G56">
            <v>26</v>
          </cell>
        </row>
        <row r="57">
          <cell r="A57" t="str">
            <v>Richmond Hill (Town)</v>
          </cell>
          <cell r="B57">
            <v>1109</v>
          </cell>
          <cell r="C57">
            <v>1385</v>
          </cell>
          <cell r="D57">
            <v>1597</v>
          </cell>
          <cell r="E57">
            <v>1842</v>
          </cell>
          <cell r="F57">
            <v>1503</v>
          </cell>
          <cell r="G57">
            <v>183</v>
          </cell>
        </row>
        <row r="58">
          <cell r="A58" t="str">
            <v>Sarnia (City)</v>
          </cell>
          <cell r="B58">
            <v>786</v>
          </cell>
          <cell r="C58">
            <v>940</v>
          </cell>
          <cell r="D58">
            <v>1146</v>
          </cell>
          <cell r="E58">
            <v>1501</v>
          </cell>
          <cell r="F58">
            <v>1073</v>
          </cell>
          <cell r="G58">
            <v>115</v>
          </cell>
        </row>
        <row r="59">
          <cell r="A59" t="str">
            <v>Saskatoon (City)</v>
          </cell>
          <cell r="B59">
            <v>729</v>
          </cell>
          <cell r="C59">
            <v>958</v>
          </cell>
          <cell r="D59">
            <v>1171</v>
          </cell>
          <cell r="E59">
            <v>1329</v>
          </cell>
          <cell r="F59">
            <v>1089</v>
          </cell>
          <cell r="G59">
            <v>30</v>
          </cell>
        </row>
        <row r="60">
          <cell r="A60" t="str">
            <v>Saugeen Shores (Town)</v>
          </cell>
          <cell r="B60" t="str">
            <v>**</v>
          </cell>
          <cell r="C60">
            <v>737</v>
          </cell>
          <cell r="D60">
            <v>1173</v>
          </cell>
          <cell r="E60">
            <v>1195</v>
          </cell>
          <cell r="F60">
            <v>1052</v>
          </cell>
          <cell r="G60">
            <v>-37</v>
          </cell>
        </row>
        <row r="61">
          <cell r="A61" t="str">
            <v>Scarborough (Town)</v>
          </cell>
          <cell r="B61">
            <v>1091.3</v>
          </cell>
          <cell r="C61">
            <v>1292</v>
          </cell>
          <cell r="D61">
            <v>1437</v>
          </cell>
          <cell r="E61">
            <v>1612</v>
          </cell>
          <cell r="F61">
            <v>1400</v>
          </cell>
          <cell r="G61">
            <v>69</v>
          </cell>
        </row>
        <row r="62">
          <cell r="A62" t="str">
            <v>St. Catharines (City)</v>
          </cell>
          <cell r="B62">
            <v>832</v>
          </cell>
          <cell r="C62">
            <v>1005</v>
          </cell>
          <cell r="D62">
            <v>1230</v>
          </cell>
          <cell r="E62">
            <v>1487</v>
          </cell>
          <cell r="F62">
            <v>1158</v>
          </cell>
          <cell r="G62">
            <v>66</v>
          </cell>
        </row>
        <row r="63">
          <cell r="A63" t="str">
            <v>Stratford (City)</v>
          </cell>
          <cell r="B63">
            <v>731</v>
          </cell>
          <cell r="C63">
            <v>899</v>
          </cell>
          <cell r="D63">
            <v>1077</v>
          </cell>
          <cell r="E63">
            <v>1197</v>
          </cell>
          <cell r="F63">
            <v>1003</v>
          </cell>
          <cell r="G63">
            <v>81</v>
          </cell>
        </row>
        <row r="64">
          <cell r="A64" t="str">
            <v>Surrey (City)</v>
          </cell>
          <cell r="B64">
            <v>925</v>
          </cell>
          <cell r="C64">
            <v>1140</v>
          </cell>
          <cell r="D64">
            <v>1293</v>
          </cell>
          <cell r="E64">
            <v>1558</v>
          </cell>
          <cell r="F64">
            <v>1252</v>
          </cell>
          <cell r="G64">
            <v>91</v>
          </cell>
        </row>
        <row r="65">
          <cell r="A65" t="str">
            <v>Timmins (City)</v>
          </cell>
          <cell r="B65">
            <v>619</v>
          </cell>
          <cell r="C65">
            <v>899</v>
          </cell>
          <cell r="D65">
            <v>1033</v>
          </cell>
          <cell r="E65">
            <v>1202</v>
          </cell>
          <cell r="F65">
            <v>983</v>
          </cell>
          <cell r="G65">
            <v>46</v>
          </cell>
        </row>
        <row r="66">
          <cell r="A66" t="str">
            <v>Toronto (City)</v>
          </cell>
          <cell r="B66">
            <v>1211</v>
          </cell>
          <cell r="C66">
            <v>1431</v>
          </cell>
          <cell r="D66">
            <v>1664</v>
          </cell>
          <cell r="E66">
            <v>1901</v>
          </cell>
          <cell r="F66">
            <v>1545</v>
          </cell>
          <cell r="G66">
            <v>69</v>
          </cell>
        </row>
        <row r="67">
          <cell r="A67" t="str">
            <v>Vancouver (City)</v>
          </cell>
          <cell r="B67">
            <v>1309</v>
          </cell>
          <cell r="C67">
            <v>1515</v>
          </cell>
          <cell r="D67">
            <v>2094</v>
          </cell>
          <cell r="E67">
            <v>2583</v>
          </cell>
          <cell r="F67">
            <v>1601</v>
          </cell>
          <cell r="G67">
            <v>31</v>
          </cell>
        </row>
        <row r="68">
          <cell r="A68" t="str">
            <v>Vaughan (City)</v>
          </cell>
          <cell r="B68" t="str">
            <v>**</v>
          </cell>
          <cell r="C68" t="str">
            <v>**</v>
          </cell>
          <cell r="D68" t="str">
            <v>**</v>
          </cell>
          <cell r="E68" t="str">
            <v>**</v>
          </cell>
          <cell r="F68" t="str">
            <v>**</v>
          </cell>
          <cell r="G68" t="str">
            <v>**</v>
          </cell>
        </row>
        <row r="69">
          <cell r="A69" t="str">
            <v>Victoria (City)</v>
          </cell>
          <cell r="B69">
            <v>1009</v>
          </cell>
          <cell r="C69">
            <v>1184</v>
          </cell>
          <cell r="D69">
            <v>1527</v>
          </cell>
          <cell r="E69">
            <v>1933</v>
          </cell>
          <cell r="F69">
            <v>1256</v>
          </cell>
          <cell r="G69">
            <v>51</v>
          </cell>
        </row>
        <row r="70">
          <cell r="A70" t="str">
            <v>Waterloo (City)</v>
          </cell>
          <cell r="B70">
            <v>1124</v>
          </cell>
          <cell r="C70">
            <v>1183</v>
          </cell>
          <cell r="D70">
            <v>1448</v>
          </cell>
          <cell r="E70">
            <v>1549</v>
          </cell>
          <cell r="F70">
            <v>1370</v>
          </cell>
          <cell r="G70">
            <v>74</v>
          </cell>
        </row>
        <row r="71">
          <cell r="A71" t="str">
            <v>Whitby (Town)</v>
          </cell>
          <cell r="B71">
            <v>1022</v>
          </cell>
          <cell r="C71">
            <v>1252</v>
          </cell>
          <cell r="D71">
            <v>1330</v>
          </cell>
          <cell r="E71">
            <v>1425</v>
          </cell>
          <cell r="F71">
            <v>1304</v>
          </cell>
          <cell r="G71">
            <v>77</v>
          </cell>
        </row>
        <row r="72">
          <cell r="A72" t="str">
            <v>Windsor (City)</v>
          </cell>
          <cell r="B72">
            <v>699</v>
          </cell>
          <cell r="C72">
            <v>895</v>
          </cell>
          <cell r="D72">
            <v>1040</v>
          </cell>
          <cell r="E72">
            <v>1351</v>
          </cell>
          <cell r="F72">
            <v>950</v>
          </cell>
          <cell r="G72">
            <v>82</v>
          </cell>
        </row>
        <row r="73">
          <cell r="A73" t="str">
            <v>Winnipeg (City)</v>
          </cell>
          <cell r="B73">
            <v>757</v>
          </cell>
          <cell r="C73">
            <v>992</v>
          </cell>
          <cell r="D73">
            <v>1261</v>
          </cell>
          <cell r="E73">
            <v>1568</v>
          </cell>
          <cell r="F73">
            <v>1115</v>
          </cell>
          <cell r="G73">
            <v>39</v>
          </cell>
        </row>
        <row r="74">
          <cell r="A74" t="str">
            <v>Woodstock (City)</v>
          </cell>
          <cell r="B74">
            <v>687</v>
          </cell>
          <cell r="C74">
            <v>1147</v>
          </cell>
          <cell r="D74">
            <v>1394</v>
          </cell>
          <cell r="E74">
            <v>1203</v>
          </cell>
          <cell r="F74">
            <v>1287</v>
          </cell>
          <cell r="G74">
            <v>67</v>
          </cell>
        </row>
      </sheetData>
      <sheetData sheetId="32">
        <row r="5">
          <cell r="A5" t="str">
            <v>Abbotsford (City)</v>
          </cell>
          <cell r="B5">
            <v>1.3</v>
          </cell>
          <cell r="C5">
            <v>0.6</v>
          </cell>
          <cell r="D5">
            <v>0.5</v>
          </cell>
          <cell r="E5">
            <v>0</v>
          </cell>
          <cell r="F5">
            <v>0.6</v>
          </cell>
          <cell r="G5">
            <v>-0.7</v>
          </cell>
        </row>
        <row r="6">
          <cell r="A6" t="str">
            <v>Ajax (Town)</v>
          </cell>
          <cell r="B6" t="str">
            <v>**</v>
          </cell>
          <cell r="C6" t="str">
            <v>**</v>
          </cell>
          <cell r="D6">
            <v>2</v>
          </cell>
          <cell r="E6">
            <v>0.8</v>
          </cell>
          <cell r="F6">
            <v>2</v>
          </cell>
          <cell r="G6">
            <v>0</v>
          </cell>
        </row>
        <row r="7">
          <cell r="A7" t="str">
            <v>Arnprior (Town)</v>
          </cell>
          <cell r="B7" t="str">
            <v>**</v>
          </cell>
          <cell r="C7" t="str">
            <v>**</v>
          </cell>
          <cell r="D7" t="str">
            <v>**</v>
          </cell>
          <cell r="E7" t="str">
            <v>**</v>
          </cell>
          <cell r="F7">
            <v>1.7</v>
          </cell>
          <cell r="G7">
            <v>-7.6</v>
          </cell>
        </row>
        <row r="8">
          <cell r="A8" t="str">
            <v>Aurora (Town)</v>
          </cell>
          <cell r="B8" t="str">
            <v>**</v>
          </cell>
          <cell r="C8">
            <v>1.7</v>
          </cell>
          <cell r="D8">
            <v>0.7</v>
          </cell>
          <cell r="E8" t="str">
            <v>**</v>
          </cell>
          <cell r="F8">
            <v>0.9</v>
          </cell>
          <cell r="G8">
            <v>0.3</v>
          </cell>
        </row>
        <row r="9">
          <cell r="A9" t="str">
            <v>Barrie (City)</v>
          </cell>
          <cell r="B9" t="str">
            <v>**</v>
          </cell>
          <cell r="C9">
            <v>2.2000000000000002</v>
          </cell>
          <cell r="D9">
            <v>2.2999999999999998</v>
          </cell>
          <cell r="E9" t="str">
            <v>**</v>
          </cell>
          <cell r="F9">
            <v>2.2000000000000002</v>
          </cell>
          <cell r="G9">
            <v>-1</v>
          </cell>
        </row>
        <row r="10">
          <cell r="A10" t="str">
            <v>Belleville (City)</v>
          </cell>
          <cell r="B10" t="str">
            <v>**</v>
          </cell>
          <cell r="C10">
            <v>2.5</v>
          </cell>
          <cell r="D10">
            <v>2.6</v>
          </cell>
          <cell r="E10">
            <v>3.4</v>
          </cell>
          <cell r="F10">
            <v>2.6</v>
          </cell>
          <cell r="G10">
            <v>-0.3</v>
          </cell>
        </row>
        <row r="11">
          <cell r="A11" t="str">
            <v>Bracebridge (Town)</v>
          </cell>
          <cell r="B11" t="str">
            <v>**</v>
          </cell>
          <cell r="C11" t="str">
            <v>**</v>
          </cell>
          <cell r="D11" t="str">
            <v>**</v>
          </cell>
          <cell r="E11" t="str">
            <v>**</v>
          </cell>
          <cell r="F11">
            <v>2.5</v>
          </cell>
          <cell r="G11">
            <v>0.6</v>
          </cell>
        </row>
        <row r="12">
          <cell r="A12" t="str">
            <v>Brampton (City)</v>
          </cell>
          <cell r="B12" t="str">
            <v>**</v>
          </cell>
          <cell r="C12">
            <v>2.8</v>
          </cell>
          <cell r="D12">
            <v>2.4</v>
          </cell>
          <cell r="E12">
            <v>1.2</v>
          </cell>
          <cell r="F12">
            <v>2.4</v>
          </cell>
          <cell r="G12">
            <v>0.2</v>
          </cell>
        </row>
        <row r="13">
          <cell r="A13" t="str">
            <v>Brantford (City)</v>
          </cell>
          <cell r="B13" t="str">
            <v>**</v>
          </cell>
          <cell r="C13">
            <v>1.8</v>
          </cell>
          <cell r="D13">
            <v>2.1</v>
          </cell>
          <cell r="E13">
            <v>2.4</v>
          </cell>
          <cell r="F13">
            <v>2.1</v>
          </cell>
          <cell r="G13">
            <v>0.8</v>
          </cell>
        </row>
        <row r="14">
          <cell r="A14" t="str">
            <v>Brockville (City)</v>
          </cell>
          <cell r="B14" t="str">
            <v>**</v>
          </cell>
          <cell r="C14">
            <v>1.5</v>
          </cell>
          <cell r="D14">
            <v>1.6</v>
          </cell>
          <cell r="E14">
            <v>0</v>
          </cell>
          <cell r="F14">
            <v>1.8</v>
          </cell>
          <cell r="G14">
            <v>-1.5</v>
          </cell>
        </row>
        <row r="15">
          <cell r="A15" t="str">
            <v>Burlington (City)</v>
          </cell>
          <cell r="B15" t="str">
            <v>**</v>
          </cell>
          <cell r="C15">
            <v>1.7</v>
          </cell>
          <cell r="D15">
            <v>2.1</v>
          </cell>
          <cell r="E15">
            <v>1.5</v>
          </cell>
          <cell r="F15">
            <v>2</v>
          </cell>
          <cell r="G15">
            <v>0.3</v>
          </cell>
        </row>
        <row r="16">
          <cell r="A16" t="str">
            <v>Calgary (City)</v>
          </cell>
          <cell r="B16">
            <v>6</v>
          </cell>
          <cell r="C16">
            <v>6.8</v>
          </cell>
          <cell r="D16">
            <v>6.2</v>
          </cell>
          <cell r="E16">
            <v>4.9000000000000004</v>
          </cell>
          <cell r="F16">
            <v>6.3</v>
          </cell>
          <cell r="G16">
            <v>2.5</v>
          </cell>
        </row>
        <row r="17">
          <cell r="A17" t="str">
            <v>Cambridge (City)</v>
          </cell>
          <cell r="B17" t="str">
            <v>**</v>
          </cell>
          <cell r="C17">
            <v>1.5</v>
          </cell>
          <cell r="D17">
            <v>1.6</v>
          </cell>
          <cell r="E17">
            <v>0.5</v>
          </cell>
          <cell r="F17">
            <v>1.5</v>
          </cell>
          <cell r="G17">
            <v>-0.6</v>
          </cell>
        </row>
        <row r="18">
          <cell r="A18" t="str">
            <v>Carleton Place (Town)</v>
          </cell>
          <cell r="B18" t="str">
            <v>**</v>
          </cell>
          <cell r="C18">
            <v>0</v>
          </cell>
          <cell r="D18" t="str">
            <v>**</v>
          </cell>
          <cell r="E18" t="str">
            <v>**</v>
          </cell>
          <cell r="F18">
            <v>1.1000000000000001</v>
          </cell>
          <cell r="G18" t="str">
            <v>**</v>
          </cell>
        </row>
        <row r="19">
          <cell r="A19" t="str">
            <v>Chatham-Kent (MU)</v>
          </cell>
          <cell r="B19" t="str">
            <v>**</v>
          </cell>
          <cell r="C19">
            <v>1.5</v>
          </cell>
          <cell r="D19">
            <v>1.1000000000000001</v>
          </cell>
          <cell r="E19">
            <v>0</v>
          </cell>
          <cell r="F19">
            <v>1.2</v>
          </cell>
          <cell r="G19">
            <v>-1.7</v>
          </cell>
        </row>
        <row r="20">
          <cell r="A20" t="str">
            <v>Chilliwack (City)</v>
          </cell>
          <cell r="B20">
            <v>3</v>
          </cell>
          <cell r="C20">
            <v>1.2</v>
          </cell>
          <cell r="D20">
            <v>1.7</v>
          </cell>
          <cell r="E20" t="str">
            <v>**</v>
          </cell>
          <cell r="F20">
            <v>1.5</v>
          </cell>
          <cell r="G20">
            <v>0.1</v>
          </cell>
        </row>
        <row r="21">
          <cell r="A21" t="str">
            <v>Collingwood (Town)</v>
          </cell>
          <cell r="B21" t="str">
            <v>**</v>
          </cell>
          <cell r="C21">
            <v>4.4000000000000004</v>
          </cell>
          <cell r="D21" t="str">
            <v>**</v>
          </cell>
          <cell r="E21" t="str">
            <v>**</v>
          </cell>
          <cell r="F21">
            <v>3.5</v>
          </cell>
          <cell r="G21">
            <v>-0.4</v>
          </cell>
        </row>
        <row r="22">
          <cell r="A22" t="str">
            <v>Cornwall (City)</v>
          </cell>
          <cell r="B22">
            <v>1.2</v>
          </cell>
          <cell r="C22">
            <v>2.7</v>
          </cell>
          <cell r="D22">
            <v>1.9</v>
          </cell>
          <cell r="E22">
            <v>1.2</v>
          </cell>
          <cell r="F22">
            <v>2.1</v>
          </cell>
          <cell r="G22">
            <v>-2</v>
          </cell>
        </row>
        <row r="23">
          <cell r="A23" t="str">
            <v>Delta (DM)</v>
          </cell>
          <cell r="B23">
            <v>7.9</v>
          </cell>
          <cell r="C23">
            <v>2.2000000000000002</v>
          </cell>
          <cell r="D23">
            <v>1.7</v>
          </cell>
          <cell r="E23">
            <v>0</v>
          </cell>
          <cell r="F23">
            <v>2.2000000000000002</v>
          </cell>
          <cell r="G23">
            <v>1.1000000000000001</v>
          </cell>
        </row>
        <row r="24">
          <cell r="A24" t="str">
            <v>Edmonton (City)</v>
          </cell>
          <cell r="B24">
            <v>8.3000000000000007</v>
          </cell>
          <cell r="C24">
            <v>7.1</v>
          </cell>
          <cell r="D24">
            <v>7.6</v>
          </cell>
          <cell r="E24">
            <v>4.4000000000000004</v>
          </cell>
          <cell r="F24">
            <v>7.1</v>
          </cell>
          <cell r="G24">
            <v>2</v>
          </cell>
        </row>
        <row r="25">
          <cell r="A25" t="str">
            <v>Gravenhurst (Town)</v>
          </cell>
          <cell r="B25" t="str">
            <v>**</v>
          </cell>
          <cell r="C25">
            <v>0</v>
          </cell>
          <cell r="D25">
            <v>0.6</v>
          </cell>
          <cell r="E25" t="str">
            <v>**</v>
          </cell>
          <cell r="F25">
            <v>0.4</v>
          </cell>
          <cell r="G25">
            <v>-0.2</v>
          </cell>
        </row>
        <row r="26">
          <cell r="A26" t="str">
            <v>Grimsby (Town)</v>
          </cell>
          <cell r="B26" t="str">
            <v>***</v>
          </cell>
          <cell r="C26" t="str">
            <v>***</v>
          </cell>
          <cell r="D26" t="str">
            <v>***</v>
          </cell>
          <cell r="E26" t="str">
            <v>***</v>
          </cell>
          <cell r="F26" t="str">
            <v>**</v>
          </cell>
          <cell r="G26" t="str">
            <v>***</v>
          </cell>
        </row>
        <row r="27">
          <cell r="A27" t="str">
            <v>Guelph (City)</v>
          </cell>
          <cell r="B27" t="str">
            <v>**</v>
          </cell>
          <cell r="C27">
            <v>2.4</v>
          </cell>
          <cell r="D27">
            <v>2.1</v>
          </cell>
          <cell r="E27">
            <v>0.7</v>
          </cell>
          <cell r="F27">
            <v>2.1</v>
          </cell>
          <cell r="G27">
            <v>0.2</v>
          </cell>
        </row>
        <row r="28">
          <cell r="A28" t="str">
            <v>Halifax (RGM)</v>
          </cell>
          <cell r="B28">
            <v>1.8</v>
          </cell>
          <cell r="C28">
            <v>1.9</v>
          </cell>
          <cell r="D28">
            <v>1.9</v>
          </cell>
          <cell r="E28">
            <v>1.7</v>
          </cell>
          <cell r="F28">
            <v>1.9</v>
          </cell>
          <cell r="G28">
            <v>0.9</v>
          </cell>
        </row>
        <row r="29">
          <cell r="A29" t="str">
            <v>Hamilton (City)</v>
          </cell>
          <cell r="B29">
            <v>5.3</v>
          </cell>
          <cell r="C29">
            <v>3.8</v>
          </cell>
          <cell r="D29">
            <v>3.5</v>
          </cell>
          <cell r="E29">
            <v>5.5</v>
          </cell>
          <cell r="F29">
            <v>3.8</v>
          </cell>
          <cell r="G29">
            <v>-0.6</v>
          </cell>
        </row>
        <row r="30">
          <cell r="A30" t="str">
            <v>Kanata-Stittsville</v>
          </cell>
          <cell r="B30" t="str">
            <v>**</v>
          </cell>
          <cell r="C30">
            <v>1.3</v>
          </cell>
          <cell r="D30">
            <v>4.3</v>
          </cell>
          <cell r="E30" t="str">
            <v>**</v>
          </cell>
          <cell r="F30">
            <v>2.6</v>
          </cell>
          <cell r="G30">
            <v>1</v>
          </cell>
        </row>
        <row r="31">
          <cell r="A31" t="str">
            <v>Kawartha Lakes</v>
          </cell>
          <cell r="B31">
            <v>0</v>
          </cell>
          <cell r="C31" t="str">
            <v>**</v>
          </cell>
          <cell r="D31">
            <v>1</v>
          </cell>
          <cell r="E31">
            <v>5.5</v>
          </cell>
          <cell r="F31">
            <v>2.4</v>
          </cell>
          <cell r="G31">
            <v>1.1000000000000001</v>
          </cell>
        </row>
        <row r="32">
          <cell r="A32" t="str">
            <v>Kingston (City)</v>
          </cell>
          <cell r="B32">
            <v>4.8</v>
          </cell>
          <cell r="C32">
            <v>3.5</v>
          </cell>
          <cell r="D32">
            <v>3.1</v>
          </cell>
          <cell r="E32">
            <v>0.9</v>
          </cell>
          <cell r="F32">
            <v>3.1</v>
          </cell>
          <cell r="G32">
            <v>1.1000000000000001</v>
          </cell>
        </row>
        <row r="33">
          <cell r="A33" t="str">
            <v>Kitchener (City)</v>
          </cell>
          <cell r="B33">
            <v>2.4</v>
          </cell>
          <cell r="C33">
            <v>1.9</v>
          </cell>
          <cell r="D33">
            <v>2.1</v>
          </cell>
          <cell r="E33">
            <v>0.9</v>
          </cell>
          <cell r="F33">
            <v>1.9</v>
          </cell>
          <cell r="G33">
            <v>-0.2</v>
          </cell>
        </row>
        <row r="34">
          <cell r="A34" t="str">
            <v>Langley (City)</v>
          </cell>
          <cell r="B34">
            <v>0</v>
          </cell>
          <cell r="C34">
            <v>2</v>
          </cell>
          <cell r="D34">
            <v>1.5</v>
          </cell>
          <cell r="E34">
            <v>1</v>
          </cell>
          <cell r="F34">
            <v>1.6</v>
          </cell>
          <cell r="G34">
            <v>-0.6</v>
          </cell>
        </row>
        <row r="35">
          <cell r="A35" t="str">
            <v>Leamington (MU)</v>
          </cell>
          <cell r="B35" t="str">
            <v>**</v>
          </cell>
          <cell r="C35">
            <v>0</v>
          </cell>
          <cell r="D35">
            <v>2.4</v>
          </cell>
          <cell r="E35">
            <v>0</v>
          </cell>
          <cell r="F35">
            <v>1.3</v>
          </cell>
          <cell r="G35">
            <v>-0.9</v>
          </cell>
        </row>
        <row r="36">
          <cell r="A36" t="str">
            <v>London (City)</v>
          </cell>
          <cell r="B36">
            <v>5.0999999999999996</v>
          </cell>
          <cell r="C36">
            <v>3.6</v>
          </cell>
          <cell r="D36">
            <v>3.3</v>
          </cell>
          <cell r="E36">
            <v>2.9</v>
          </cell>
          <cell r="F36">
            <v>3.4</v>
          </cell>
          <cell r="G36">
            <v>1.6</v>
          </cell>
        </row>
        <row r="37">
          <cell r="A37" t="str">
            <v>Maple Ridge (City)</v>
          </cell>
          <cell r="B37" t="str">
            <v>**</v>
          </cell>
          <cell r="C37">
            <v>1</v>
          </cell>
          <cell r="D37">
            <v>2.6</v>
          </cell>
          <cell r="E37">
            <v>2.8</v>
          </cell>
          <cell r="F37">
            <v>1.6</v>
          </cell>
          <cell r="G37">
            <v>-0.8</v>
          </cell>
        </row>
        <row r="38">
          <cell r="A38" t="str">
            <v>Markham (City)</v>
          </cell>
          <cell r="B38" t="str">
            <v>**</v>
          </cell>
          <cell r="C38">
            <v>2.7</v>
          </cell>
          <cell r="D38">
            <v>3.7</v>
          </cell>
          <cell r="E38">
            <v>0</v>
          </cell>
          <cell r="F38">
            <v>3.1</v>
          </cell>
          <cell r="G38">
            <v>1.9</v>
          </cell>
        </row>
        <row r="39">
          <cell r="A39" t="str">
            <v>Meaford (Municipality)</v>
          </cell>
          <cell r="B39" t="str">
            <v>**</v>
          </cell>
          <cell r="C39">
            <v>0</v>
          </cell>
          <cell r="D39">
            <v>0</v>
          </cell>
          <cell r="E39" t="str">
            <v>**</v>
          </cell>
          <cell r="F39">
            <v>0</v>
          </cell>
          <cell r="G39">
            <v>-1.8</v>
          </cell>
        </row>
        <row r="40">
          <cell r="A40" t="str">
            <v>Midland (Town)</v>
          </cell>
          <cell r="B40" t="str">
            <v>**</v>
          </cell>
          <cell r="C40" t="str">
            <v>**</v>
          </cell>
          <cell r="D40">
            <v>1.1000000000000001</v>
          </cell>
          <cell r="E40" t="str">
            <v>**</v>
          </cell>
          <cell r="F40">
            <v>1</v>
          </cell>
          <cell r="G40">
            <v>-0.8</v>
          </cell>
        </row>
        <row r="41">
          <cell r="A41" t="str">
            <v>Milton (Town)</v>
          </cell>
          <cell r="B41" t="str">
            <v>**</v>
          </cell>
          <cell r="C41">
            <v>1.7</v>
          </cell>
          <cell r="D41">
            <v>0.3</v>
          </cell>
          <cell r="E41" t="str">
            <v>**</v>
          </cell>
          <cell r="F41">
            <v>0.9</v>
          </cell>
          <cell r="G41">
            <v>-0.7</v>
          </cell>
        </row>
        <row r="42">
          <cell r="A42" t="str">
            <v>Mission (DM)</v>
          </cell>
          <cell r="B42" t="str">
            <v>**</v>
          </cell>
          <cell r="C42">
            <v>1.4</v>
          </cell>
          <cell r="D42">
            <v>0.7</v>
          </cell>
          <cell r="E42" t="str">
            <v>**</v>
          </cell>
          <cell r="F42">
            <v>0.8</v>
          </cell>
          <cell r="G42">
            <v>0.6</v>
          </cell>
        </row>
        <row r="43">
          <cell r="A43" t="str">
            <v>Mississauga (City)</v>
          </cell>
          <cell r="B43">
            <v>2.9</v>
          </cell>
          <cell r="C43">
            <v>3.1</v>
          </cell>
          <cell r="D43">
            <v>2</v>
          </cell>
          <cell r="E43">
            <v>1.7</v>
          </cell>
          <cell r="F43">
            <v>2.4</v>
          </cell>
          <cell r="G43">
            <v>1.4</v>
          </cell>
        </row>
        <row r="44">
          <cell r="A44" t="str">
            <v>Newmarket (City)</v>
          </cell>
          <cell r="B44">
            <v>0</v>
          </cell>
          <cell r="C44">
            <v>1.1000000000000001</v>
          </cell>
          <cell r="D44">
            <v>0</v>
          </cell>
          <cell r="E44" t="str">
            <v>**</v>
          </cell>
          <cell r="F44">
            <v>0.6</v>
          </cell>
          <cell r="G44">
            <v>-1.3</v>
          </cell>
        </row>
        <row r="45">
          <cell r="A45" t="str">
            <v>Niagara Falls (City)</v>
          </cell>
          <cell r="B45" t="str">
            <v>**</v>
          </cell>
          <cell r="C45">
            <v>1.4</v>
          </cell>
          <cell r="D45">
            <v>2.7</v>
          </cell>
          <cell r="E45">
            <v>0.7</v>
          </cell>
          <cell r="F45">
            <v>2.2000000000000002</v>
          </cell>
          <cell r="G45">
            <v>1.5</v>
          </cell>
        </row>
        <row r="46">
          <cell r="A46" t="str">
            <v>Oakville (Town)</v>
          </cell>
          <cell r="B46" t="str">
            <v>**</v>
          </cell>
          <cell r="C46">
            <v>2.4</v>
          </cell>
          <cell r="D46">
            <v>3.9</v>
          </cell>
          <cell r="E46">
            <v>0.7</v>
          </cell>
          <cell r="F46">
            <v>3</v>
          </cell>
          <cell r="G46">
            <v>0.8</v>
          </cell>
        </row>
        <row r="47">
          <cell r="A47" t="str">
            <v>Orillia (City)</v>
          </cell>
          <cell r="B47">
            <v>0</v>
          </cell>
          <cell r="C47">
            <v>0.4</v>
          </cell>
          <cell r="D47" t="str">
            <v>**</v>
          </cell>
          <cell r="E47">
            <v>0</v>
          </cell>
          <cell r="F47">
            <v>1.4</v>
          </cell>
          <cell r="G47">
            <v>-0.9</v>
          </cell>
        </row>
        <row r="48">
          <cell r="A48" t="str">
            <v>Oshawa (City)</v>
          </cell>
          <cell r="B48">
            <v>0</v>
          </cell>
          <cell r="C48">
            <v>3.9</v>
          </cell>
          <cell r="D48">
            <v>2</v>
          </cell>
          <cell r="E48">
            <v>0.7</v>
          </cell>
          <cell r="F48">
            <v>2.4</v>
          </cell>
          <cell r="G48">
            <v>-0.2</v>
          </cell>
        </row>
        <row r="49">
          <cell r="A49" t="str">
            <v>Ottawa (City)</v>
          </cell>
          <cell r="B49">
            <v>3.1</v>
          </cell>
          <cell r="C49">
            <v>3.9</v>
          </cell>
          <cell r="D49">
            <v>3.7</v>
          </cell>
          <cell r="E49">
            <v>4.0999999999999996</v>
          </cell>
          <cell r="F49">
            <v>3.8</v>
          </cell>
          <cell r="G49">
            <v>2</v>
          </cell>
        </row>
        <row r="50">
          <cell r="A50" t="str">
            <v>Owen Sound (City)</v>
          </cell>
          <cell r="B50">
            <v>5.8</v>
          </cell>
          <cell r="C50">
            <v>2.2999999999999998</v>
          </cell>
          <cell r="D50">
            <v>1.4</v>
          </cell>
          <cell r="E50">
            <v>0.4</v>
          </cell>
          <cell r="F50">
            <v>1.8</v>
          </cell>
          <cell r="G50">
            <v>-0.1</v>
          </cell>
        </row>
        <row r="51">
          <cell r="A51" t="str">
            <v>Pembroke (City)</v>
          </cell>
          <cell r="B51">
            <v>0</v>
          </cell>
          <cell r="C51" t="str">
            <v>**</v>
          </cell>
          <cell r="D51">
            <v>3</v>
          </cell>
          <cell r="E51" t="str">
            <v>**</v>
          </cell>
          <cell r="F51">
            <v>3.4</v>
          </cell>
          <cell r="G51">
            <v>0.6</v>
          </cell>
        </row>
        <row r="52">
          <cell r="A52" t="str">
            <v>Penetanguishene (Town)</v>
          </cell>
          <cell r="B52" t="str">
            <v>**</v>
          </cell>
          <cell r="C52" t="str">
            <v>**</v>
          </cell>
          <cell r="D52">
            <v>0</v>
          </cell>
          <cell r="E52" t="str">
            <v>**</v>
          </cell>
          <cell r="F52" t="str">
            <v>**</v>
          </cell>
          <cell r="G52" t="str">
            <v>**</v>
          </cell>
        </row>
        <row r="53">
          <cell r="A53" t="str">
            <v>Peterborough (City)</v>
          </cell>
          <cell r="B53">
            <v>0.6</v>
          </cell>
          <cell r="C53">
            <v>2.6</v>
          </cell>
          <cell r="D53">
            <v>2.8</v>
          </cell>
          <cell r="E53">
            <v>2</v>
          </cell>
          <cell r="F53">
            <v>2.6</v>
          </cell>
          <cell r="G53">
            <v>0.6</v>
          </cell>
        </row>
        <row r="54">
          <cell r="A54" t="str">
            <v>Pickering (City)</v>
          </cell>
          <cell r="B54" t="str">
            <v>**</v>
          </cell>
          <cell r="C54" t="str">
            <v>**</v>
          </cell>
          <cell r="D54" t="str">
            <v>**</v>
          </cell>
          <cell r="E54">
            <v>1.1000000000000001</v>
          </cell>
          <cell r="F54">
            <v>1</v>
          </cell>
          <cell r="G54">
            <v>-0.6</v>
          </cell>
        </row>
        <row r="55">
          <cell r="A55" t="str">
            <v>Port Coquitlam (City)</v>
          </cell>
          <cell r="B55" t="str">
            <v>**</v>
          </cell>
          <cell r="C55">
            <v>0.4</v>
          </cell>
          <cell r="D55">
            <v>1</v>
          </cell>
          <cell r="E55" t="str">
            <v>**</v>
          </cell>
          <cell r="F55">
            <v>0.7</v>
          </cell>
          <cell r="G55">
            <v>-4.8</v>
          </cell>
        </row>
        <row r="56">
          <cell r="A56" t="str">
            <v>Regina (City)</v>
          </cell>
          <cell r="B56">
            <v>9.8000000000000007</v>
          </cell>
          <cell r="C56">
            <v>8.1999999999999993</v>
          </cell>
          <cell r="D56">
            <v>6.9</v>
          </cell>
          <cell r="E56">
            <v>3.5</v>
          </cell>
          <cell r="F56">
            <v>7.2</v>
          </cell>
          <cell r="G56">
            <v>-0.4</v>
          </cell>
        </row>
        <row r="57">
          <cell r="A57" t="str">
            <v>Richmond Hill (Town)</v>
          </cell>
          <cell r="B57">
            <v>0</v>
          </cell>
          <cell r="C57">
            <v>1.5</v>
          </cell>
          <cell r="D57">
            <v>3</v>
          </cell>
          <cell r="E57">
            <v>0</v>
          </cell>
          <cell r="F57">
            <v>2</v>
          </cell>
          <cell r="G57">
            <v>0.8</v>
          </cell>
        </row>
        <row r="58">
          <cell r="A58" t="str">
            <v>Sarnia (City)</v>
          </cell>
          <cell r="B58">
            <v>5.9</v>
          </cell>
          <cell r="C58">
            <v>4.9000000000000004</v>
          </cell>
          <cell r="D58">
            <v>4.7</v>
          </cell>
          <cell r="E58" t="str">
            <v>**</v>
          </cell>
          <cell r="F58">
            <v>4.9000000000000004</v>
          </cell>
          <cell r="G58">
            <v>2.1</v>
          </cell>
        </row>
        <row r="59">
          <cell r="A59" t="str">
            <v>Saskatoon (City)</v>
          </cell>
          <cell r="B59">
            <v>5</v>
          </cell>
          <cell r="C59">
            <v>5.4</v>
          </cell>
          <cell r="D59">
            <v>6.4</v>
          </cell>
          <cell r="E59">
            <v>3.1</v>
          </cell>
          <cell r="F59">
            <v>5.8</v>
          </cell>
          <cell r="G59">
            <v>0.2</v>
          </cell>
        </row>
        <row r="60">
          <cell r="A60" t="str">
            <v>Saugeen Shores (Town)</v>
          </cell>
          <cell r="B60" t="str">
            <v>**</v>
          </cell>
          <cell r="C60">
            <v>0</v>
          </cell>
          <cell r="D60">
            <v>0.4</v>
          </cell>
          <cell r="E60" t="str">
            <v>**</v>
          </cell>
          <cell r="F60">
            <v>0.4</v>
          </cell>
          <cell r="G60">
            <v>-0.9</v>
          </cell>
        </row>
        <row r="61">
          <cell r="A61" t="str">
            <v>Scarborough (Town)</v>
          </cell>
          <cell r="B61">
            <v>3.9</v>
          </cell>
          <cell r="C61">
            <v>2.7</v>
          </cell>
          <cell r="D61">
            <v>1.6</v>
          </cell>
          <cell r="E61">
            <v>1.03</v>
          </cell>
          <cell r="F61">
            <v>2</v>
          </cell>
          <cell r="G61">
            <v>0.4</v>
          </cell>
        </row>
        <row r="62">
          <cell r="A62" t="str">
            <v>St. Catharines (City)</v>
          </cell>
          <cell r="B62">
            <v>3.4</v>
          </cell>
          <cell r="C62">
            <v>3.4</v>
          </cell>
          <cell r="D62">
            <v>2.5</v>
          </cell>
          <cell r="E62">
            <v>2.2999999999999998</v>
          </cell>
          <cell r="F62">
            <v>2.8</v>
          </cell>
          <cell r="G62">
            <v>0.2</v>
          </cell>
        </row>
        <row r="63">
          <cell r="A63" t="str">
            <v>Stratford (City)</v>
          </cell>
          <cell r="B63" t="str">
            <v>**</v>
          </cell>
          <cell r="C63">
            <v>1.8</v>
          </cell>
          <cell r="D63">
            <v>1.2</v>
          </cell>
          <cell r="E63">
            <v>0.7</v>
          </cell>
          <cell r="F63">
            <v>1.6</v>
          </cell>
          <cell r="G63">
            <v>0</v>
          </cell>
        </row>
        <row r="64">
          <cell r="A64" t="str">
            <v>Surrey (City)</v>
          </cell>
          <cell r="B64">
            <v>3</v>
          </cell>
          <cell r="C64">
            <v>1.3</v>
          </cell>
          <cell r="D64">
            <v>1.6</v>
          </cell>
          <cell r="E64">
            <v>0.6</v>
          </cell>
          <cell r="F64">
            <v>1.4</v>
          </cell>
          <cell r="G64">
            <v>0.9</v>
          </cell>
        </row>
        <row r="65">
          <cell r="A65" t="str">
            <v>Timmins (City)</v>
          </cell>
          <cell r="B65" t="str">
            <v>**</v>
          </cell>
          <cell r="C65" t="str">
            <v>**</v>
          </cell>
          <cell r="D65">
            <v>5.4</v>
          </cell>
          <cell r="E65" t="str">
            <v>**</v>
          </cell>
          <cell r="F65">
            <v>5.5</v>
          </cell>
          <cell r="G65">
            <v>1.4</v>
          </cell>
        </row>
        <row r="66">
          <cell r="A66" t="str">
            <v>Toronto (City)</v>
          </cell>
          <cell r="B66">
            <v>5.7</v>
          </cell>
          <cell r="C66">
            <v>4.3</v>
          </cell>
          <cell r="D66">
            <v>2.8</v>
          </cell>
          <cell r="E66">
            <v>2.2999999999999998</v>
          </cell>
          <cell r="F66">
            <v>3.6</v>
          </cell>
          <cell r="G66">
            <v>1.6</v>
          </cell>
        </row>
        <row r="67">
          <cell r="A67" t="str">
            <v>Vancouver (City)</v>
          </cell>
          <cell r="B67">
            <v>3.1</v>
          </cell>
          <cell r="C67">
            <v>2.7</v>
          </cell>
          <cell r="D67">
            <v>2.9</v>
          </cell>
          <cell r="E67">
            <v>2</v>
          </cell>
          <cell r="F67">
            <v>2.8</v>
          </cell>
          <cell r="G67">
            <v>1.8</v>
          </cell>
        </row>
        <row r="68">
          <cell r="A68" t="str">
            <v>Vaughan (City)</v>
          </cell>
          <cell r="B68" t="str">
            <v>**</v>
          </cell>
          <cell r="C68" t="str">
            <v>**</v>
          </cell>
          <cell r="D68" t="str">
            <v>**</v>
          </cell>
          <cell r="E68" t="str">
            <v>**</v>
          </cell>
          <cell r="F68" t="str">
            <v>**</v>
          </cell>
          <cell r="G68" t="str">
            <v>**</v>
          </cell>
        </row>
        <row r="69">
          <cell r="A69" t="str">
            <v>Victoria (City)</v>
          </cell>
          <cell r="B69">
            <v>2.1</v>
          </cell>
          <cell r="C69">
            <v>2.2999999999999998</v>
          </cell>
          <cell r="D69">
            <v>2.5</v>
          </cell>
          <cell r="E69">
            <v>1.1000000000000001</v>
          </cell>
          <cell r="F69">
            <v>2.2999999999999998</v>
          </cell>
          <cell r="G69">
            <v>1.3</v>
          </cell>
        </row>
        <row r="70">
          <cell r="A70" t="str">
            <v>Waterloo (City)</v>
          </cell>
          <cell r="B70">
            <v>5.0999999999999996</v>
          </cell>
          <cell r="C70">
            <v>2.2000000000000002</v>
          </cell>
          <cell r="D70">
            <v>2.5</v>
          </cell>
          <cell r="E70">
            <v>5.5</v>
          </cell>
          <cell r="F70">
            <v>2.8</v>
          </cell>
          <cell r="G70">
            <v>1.2</v>
          </cell>
        </row>
        <row r="71">
          <cell r="A71" t="str">
            <v>Whitby (Town)</v>
          </cell>
          <cell r="B71" t="str">
            <v>**</v>
          </cell>
          <cell r="C71">
            <v>1.3</v>
          </cell>
          <cell r="D71">
            <v>1.8</v>
          </cell>
          <cell r="E71" t="str">
            <v>**</v>
          </cell>
          <cell r="F71">
            <v>1.8</v>
          </cell>
          <cell r="G71">
            <v>0.4</v>
          </cell>
        </row>
        <row r="72">
          <cell r="A72" t="str">
            <v>Windsor (City)</v>
          </cell>
          <cell r="B72">
            <v>6.7</v>
          </cell>
          <cell r="C72">
            <v>3.9</v>
          </cell>
          <cell r="D72">
            <v>2.7</v>
          </cell>
          <cell r="E72">
            <v>2.7</v>
          </cell>
          <cell r="F72">
            <v>3.6</v>
          </cell>
          <cell r="G72">
            <v>0.7</v>
          </cell>
        </row>
        <row r="73">
          <cell r="A73" t="str">
            <v>Winnipeg (City)</v>
          </cell>
          <cell r="B73">
            <v>3.8</v>
          </cell>
          <cell r="C73">
            <v>4.3</v>
          </cell>
          <cell r="D73">
            <v>3.4</v>
          </cell>
          <cell r="E73">
            <v>3.5</v>
          </cell>
          <cell r="F73">
            <v>3.8</v>
          </cell>
          <cell r="G73">
            <v>0.8</v>
          </cell>
        </row>
        <row r="74">
          <cell r="A74" t="str">
            <v>Woodstock (City)</v>
          </cell>
          <cell r="B74">
            <v>0</v>
          </cell>
          <cell r="C74">
            <v>1.3</v>
          </cell>
          <cell r="D74">
            <v>1.1000000000000001</v>
          </cell>
          <cell r="E74">
            <v>0.6</v>
          </cell>
          <cell r="F74">
            <v>1.1000000000000001</v>
          </cell>
          <cell r="G74">
            <v>-0.2</v>
          </cell>
        </row>
      </sheetData>
      <sheetData sheetId="33">
        <row r="3">
          <cell r="B3" t="str">
            <v>Rental Affordability Versus Average Rents</v>
          </cell>
          <cell r="C3" t="str">
            <v>A. Median Household Income</v>
          </cell>
          <cell r="D3" t="str">
            <v>B. Affordable Rents</v>
          </cell>
          <cell r="E3" t="str">
            <v>C. Average Actual Rents</v>
          </cell>
          <cell r="F3" t="str">
            <v>D. Gap between Affordable &amp; Avg. Rents</v>
          </cell>
        </row>
        <row r="4">
          <cell r="B4" t="str">
            <v>Abbotsford (City)</v>
          </cell>
          <cell r="C4">
            <v>85527.94</v>
          </cell>
          <cell r="D4">
            <v>2138.1985</v>
          </cell>
          <cell r="E4">
            <v>1070</v>
          </cell>
          <cell r="F4">
            <v>1068.1985</v>
          </cell>
        </row>
        <row r="5">
          <cell r="B5" t="str">
            <v>Ajax (Town)</v>
          </cell>
          <cell r="C5">
            <v>109316.83</v>
          </cell>
          <cell r="D5">
            <v>2732.9207499999998</v>
          </cell>
          <cell r="E5">
            <v>1390</v>
          </cell>
          <cell r="F5">
            <v>1342.9207499999998</v>
          </cell>
        </row>
        <row r="6">
          <cell r="B6" t="str">
            <v>Arnprior (Town)</v>
          </cell>
          <cell r="C6">
            <v>81897</v>
          </cell>
          <cell r="D6">
            <v>2047.425</v>
          </cell>
          <cell r="E6">
            <v>834</v>
          </cell>
          <cell r="F6">
            <v>1213.425</v>
          </cell>
        </row>
        <row r="7">
          <cell r="B7" t="str">
            <v>Aurora (Town)</v>
          </cell>
          <cell r="C7">
            <v>127150.823</v>
          </cell>
          <cell r="D7">
            <v>3178.770575</v>
          </cell>
          <cell r="E7">
            <v>1492</v>
          </cell>
          <cell r="F7">
            <v>1686.770575</v>
          </cell>
        </row>
        <row r="8">
          <cell r="B8" t="str">
            <v>Barrie (City)</v>
          </cell>
          <cell r="C8">
            <v>88862</v>
          </cell>
          <cell r="D8">
            <v>2221.5499999999997</v>
          </cell>
          <cell r="E8">
            <v>1350</v>
          </cell>
          <cell r="F8">
            <v>871.54999999999973</v>
          </cell>
        </row>
        <row r="9">
          <cell r="B9" t="str">
            <v>Belleville (City)</v>
          </cell>
          <cell r="C9">
            <v>68113</v>
          </cell>
          <cell r="D9">
            <v>1702.8249999999998</v>
          </cell>
          <cell r="E9">
            <v>1182</v>
          </cell>
          <cell r="F9">
            <v>520.82499999999982</v>
          </cell>
        </row>
        <row r="10">
          <cell r="B10" t="str">
            <v>Bracebridge (Town)</v>
          </cell>
          <cell r="C10">
            <v>82226</v>
          </cell>
          <cell r="D10">
            <v>2055.65</v>
          </cell>
          <cell r="E10">
            <v>1099</v>
          </cell>
          <cell r="F10">
            <v>956.65000000000009</v>
          </cell>
        </row>
        <row r="11">
          <cell r="B11" t="str">
            <v>Brampton (City)</v>
          </cell>
          <cell r="C11">
            <v>98070.554999999993</v>
          </cell>
          <cell r="D11">
            <v>2451.7638749999996</v>
          </cell>
          <cell r="E11">
            <v>1464</v>
          </cell>
          <cell r="F11">
            <v>987.76387499999964</v>
          </cell>
        </row>
        <row r="12">
          <cell r="B12" t="str">
            <v>Brantford (City)</v>
          </cell>
          <cell r="C12">
            <v>70054.801999999996</v>
          </cell>
          <cell r="D12">
            <v>1751.3700499999998</v>
          </cell>
          <cell r="E12">
            <v>1132</v>
          </cell>
          <cell r="F12">
            <v>619.37004999999976</v>
          </cell>
        </row>
        <row r="13">
          <cell r="B13" t="str">
            <v>Brockville (City)</v>
          </cell>
          <cell r="C13">
            <v>59398</v>
          </cell>
          <cell r="D13">
            <v>1484.9499999999998</v>
          </cell>
          <cell r="E13">
            <v>951</v>
          </cell>
          <cell r="F13">
            <v>533.94999999999982</v>
          </cell>
        </row>
        <row r="14">
          <cell r="B14" t="str">
            <v>Burlington (City)</v>
          </cell>
          <cell r="C14">
            <v>110154.052</v>
          </cell>
          <cell r="D14">
            <v>2753.8512999999998</v>
          </cell>
          <cell r="E14">
            <v>1573</v>
          </cell>
          <cell r="F14">
            <v>1180.8512999999998</v>
          </cell>
        </row>
        <row r="15">
          <cell r="B15" t="str">
            <v>Calgary (City)</v>
          </cell>
          <cell r="C15">
            <v>98968.51</v>
          </cell>
          <cell r="D15">
            <v>2474.2127499999997</v>
          </cell>
          <cell r="E15">
            <v>1209</v>
          </cell>
          <cell r="F15">
            <v>1265.2127499999997</v>
          </cell>
        </row>
        <row r="16">
          <cell r="B16" t="str">
            <v>Cambridge (City)</v>
          </cell>
          <cell r="C16">
            <v>87943.308000000005</v>
          </cell>
          <cell r="D16">
            <v>2198.5826999999999</v>
          </cell>
          <cell r="E16">
            <v>1193</v>
          </cell>
          <cell r="F16">
            <v>1005.5826999999999</v>
          </cell>
        </row>
        <row r="17">
          <cell r="B17" t="str">
            <v>Carleton Place (Town)</v>
          </cell>
          <cell r="C17">
            <v>83838</v>
          </cell>
          <cell r="D17">
            <v>2095.9499999999998</v>
          </cell>
          <cell r="E17">
            <v>942</v>
          </cell>
          <cell r="F17">
            <v>1153.9499999999998</v>
          </cell>
        </row>
        <row r="18">
          <cell r="B18" t="str">
            <v>Chatham-Kent (MU)</v>
          </cell>
          <cell r="C18">
            <v>66173.207999999999</v>
          </cell>
          <cell r="D18">
            <v>1654.3302000000001</v>
          </cell>
          <cell r="E18">
            <v>831</v>
          </cell>
          <cell r="F18">
            <v>823.3302000000001</v>
          </cell>
        </row>
        <row r="19">
          <cell r="B19" t="str">
            <v>Chilliwack (City)</v>
          </cell>
          <cell r="C19">
            <v>77858.91</v>
          </cell>
          <cell r="D19">
            <v>1946.4727499999999</v>
          </cell>
          <cell r="E19">
            <v>983</v>
          </cell>
          <cell r="F19">
            <v>963.47274999999991</v>
          </cell>
        </row>
        <row r="20">
          <cell r="B20" t="str">
            <v>Collingwood (Town)</v>
          </cell>
          <cell r="C20">
            <v>74564</v>
          </cell>
          <cell r="D20">
            <v>1864.1000000000001</v>
          </cell>
          <cell r="E20">
            <v>1109</v>
          </cell>
          <cell r="F20">
            <v>755.10000000000014</v>
          </cell>
        </row>
        <row r="21">
          <cell r="B21" t="str">
            <v>Cornwall (City)</v>
          </cell>
          <cell r="C21">
            <v>52436.839</v>
          </cell>
          <cell r="D21">
            <v>1310.920975</v>
          </cell>
          <cell r="E21">
            <v>854</v>
          </cell>
          <cell r="F21">
            <v>456.920975</v>
          </cell>
        </row>
        <row r="22">
          <cell r="B22" t="str">
            <v>Delta (DM)</v>
          </cell>
          <cell r="C22">
            <v>109613.29</v>
          </cell>
          <cell r="D22">
            <v>2740.3322499999995</v>
          </cell>
          <cell r="E22">
            <v>1198</v>
          </cell>
          <cell r="F22">
            <v>1542.3322499999995</v>
          </cell>
        </row>
        <row r="23">
          <cell r="B23" t="str">
            <v>Edmonton (City)</v>
          </cell>
          <cell r="C23">
            <v>88883.57</v>
          </cell>
          <cell r="D23">
            <v>2222.08925</v>
          </cell>
          <cell r="E23">
            <v>1167</v>
          </cell>
          <cell r="F23">
            <v>1055.08925</v>
          </cell>
        </row>
        <row r="24">
          <cell r="B24" t="str">
            <v>Gravenhurst (Town)</v>
          </cell>
          <cell r="C24">
            <v>70809</v>
          </cell>
          <cell r="D24">
            <v>1770.2250000000001</v>
          </cell>
          <cell r="E24">
            <v>994</v>
          </cell>
          <cell r="F24">
            <v>776.22500000000014</v>
          </cell>
        </row>
        <row r="25">
          <cell r="B25" t="str">
            <v>Grimsby (Town)</v>
          </cell>
          <cell r="C25">
            <v>104334.834</v>
          </cell>
          <cell r="D25">
            <v>2608.3708499999998</v>
          </cell>
          <cell r="E25">
            <v>1000</v>
          </cell>
          <cell r="F25">
            <v>1608.3708499999998</v>
          </cell>
        </row>
        <row r="26">
          <cell r="B26" t="str">
            <v>Guelph (City)</v>
          </cell>
          <cell r="C26">
            <v>88923.18</v>
          </cell>
          <cell r="D26">
            <v>2223.0794999999998</v>
          </cell>
          <cell r="E26">
            <v>1332</v>
          </cell>
          <cell r="F26">
            <v>891.07949999999983</v>
          </cell>
        </row>
        <row r="27">
          <cell r="B27" t="str">
            <v>Halifax (RGM)</v>
          </cell>
          <cell r="C27">
            <v>75712.850000000006</v>
          </cell>
          <cell r="D27">
            <v>1892.82125</v>
          </cell>
          <cell r="E27">
            <v>1172</v>
          </cell>
          <cell r="F27">
            <v>720.82124999999996</v>
          </cell>
        </row>
        <row r="28">
          <cell r="B28" t="str">
            <v>Hamilton (City)</v>
          </cell>
          <cell r="C28">
            <v>79052.578999999998</v>
          </cell>
          <cell r="D28">
            <v>1976.3144749999999</v>
          </cell>
          <cell r="E28">
            <v>1118</v>
          </cell>
          <cell r="F28">
            <v>858.3144749999999</v>
          </cell>
        </row>
        <row r="29">
          <cell r="B29" t="str">
            <v>Kanata-Stittsville</v>
          </cell>
          <cell r="C29">
            <v>129548.9</v>
          </cell>
          <cell r="D29">
            <v>3238.7224999999999</v>
          </cell>
          <cell r="E29">
            <v>2234</v>
          </cell>
          <cell r="F29">
            <v>1004.7224999999999</v>
          </cell>
        </row>
        <row r="30">
          <cell r="B30" t="str">
            <v>Kawartha Lakes</v>
          </cell>
          <cell r="C30">
            <v>76242</v>
          </cell>
          <cell r="D30">
            <v>1906.05</v>
          </cell>
          <cell r="E30">
            <v>1133</v>
          </cell>
          <cell r="F30">
            <v>773.05</v>
          </cell>
        </row>
        <row r="31">
          <cell r="B31" t="str">
            <v>Kingston (City)</v>
          </cell>
          <cell r="C31">
            <v>77628.403999999995</v>
          </cell>
          <cell r="D31">
            <v>1940.7101</v>
          </cell>
          <cell r="E31">
            <v>1289</v>
          </cell>
          <cell r="F31">
            <v>651.71010000000001</v>
          </cell>
        </row>
        <row r="32">
          <cell r="B32" t="str">
            <v>Kitchener (City)</v>
          </cell>
          <cell r="C32">
            <v>80366.376000000004</v>
          </cell>
          <cell r="D32">
            <v>2009.1594000000002</v>
          </cell>
          <cell r="E32">
            <v>1174</v>
          </cell>
          <cell r="F32">
            <v>835.15940000000023</v>
          </cell>
        </row>
        <row r="33">
          <cell r="B33" t="str">
            <v>Langley (City)</v>
          </cell>
          <cell r="C33">
            <v>68917.77</v>
          </cell>
          <cell r="D33">
            <v>1722.9442500000002</v>
          </cell>
          <cell r="E33">
            <v>1356</v>
          </cell>
          <cell r="F33">
            <v>366.94425000000024</v>
          </cell>
        </row>
        <row r="34">
          <cell r="B34" t="str">
            <v>Leamington (MU)</v>
          </cell>
          <cell r="C34">
            <v>71555.642999999996</v>
          </cell>
          <cell r="D34">
            <v>1788.8910749999998</v>
          </cell>
          <cell r="E34">
            <v>1144</v>
          </cell>
          <cell r="F34">
            <v>644.89107499999977</v>
          </cell>
        </row>
        <row r="35">
          <cell r="B35" t="str">
            <v>London (City)</v>
          </cell>
          <cell r="C35">
            <v>69304.434999999998</v>
          </cell>
          <cell r="D35">
            <v>1732.6108750000001</v>
          </cell>
          <cell r="E35">
            <v>1147</v>
          </cell>
          <cell r="F35">
            <v>585.61087500000008</v>
          </cell>
        </row>
        <row r="36">
          <cell r="B36" t="str">
            <v>Maple Ridge (City)</v>
          </cell>
          <cell r="C36">
            <v>101395.93</v>
          </cell>
          <cell r="D36">
            <v>2534.8982499999997</v>
          </cell>
          <cell r="E36">
            <v>1082</v>
          </cell>
          <cell r="F36">
            <v>1452.8982499999997</v>
          </cell>
        </row>
        <row r="37">
          <cell r="B37" t="str">
            <v>Markham (City)</v>
          </cell>
          <cell r="C37">
            <v>100758.81</v>
          </cell>
          <cell r="D37">
            <v>2518.9702499999999</v>
          </cell>
          <cell r="E37">
            <v>1541</v>
          </cell>
          <cell r="F37">
            <v>977.97024999999985</v>
          </cell>
        </row>
        <row r="38">
          <cell r="B38" t="str">
            <v>Meaford (Municipality)</v>
          </cell>
          <cell r="C38">
            <v>77179</v>
          </cell>
          <cell r="D38">
            <v>1929.4750000000001</v>
          </cell>
          <cell r="E38">
            <v>881</v>
          </cell>
          <cell r="F38">
            <v>1048.4750000000001</v>
          </cell>
        </row>
        <row r="39">
          <cell r="B39" t="str">
            <v>Midland (Town)</v>
          </cell>
          <cell r="C39">
            <v>61389</v>
          </cell>
          <cell r="D39">
            <v>1534.7250000000001</v>
          </cell>
          <cell r="E39">
            <v>1096</v>
          </cell>
          <cell r="F39">
            <v>438.72500000000014</v>
          </cell>
        </row>
        <row r="40">
          <cell r="B40" t="str">
            <v>Milton (Town)</v>
          </cell>
          <cell r="C40">
            <v>121098.88099999999</v>
          </cell>
          <cell r="D40">
            <v>3027.4720249999996</v>
          </cell>
          <cell r="E40">
            <v>1345</v>
          </cell>
          <cell r="F40">
            <v>1682.4720249999996</v>
          </cell>
        </row>
        <row r="41">
          <cell r="B41" t="str">
            <v>Mission (DM)</v>
          </cell>
          <cell r="C41">
            <v>90613.77</v>
          </cell>
          <cell r="D41">
            <v>2265.3442500000001</v>
          </cell>
          <cell r="E41">
            <v>958</v>
          </cell>
          <cell r="F41">
            <v>1307.3442500000001</v>
          </cell>
        </row>
        <row r="42">
          <cell r="B42" t="str">
            <v>Mississauga (City)</v>
          </cell>
          <cell r="C42">
            <v>93624.172000000006</v>
          </cell>
          <cell r="D42">
            <v>2340.6043</v>
          </cell>
          <cell r="E42">
            <v>1515</v>
          </cell>
          <cell r="F42">
            <v>825.60429999999997</v>
          </cell>
        </row>
        <row r="43">
          <cell r="B43" t="str">
            <v>Newmarket (City)</v>
          </cell>
          <cell r="C43">
            <v>108670.47100000001</v>
          </cell>
          <cell r="D43">
            <v>2716.7617749999999</v>
          </cell>
          <cell r="E43">
            <v>1426</v>
          </cell>
          <cell r="F43">
            <v>1290.7617749999999</v>
          </cell>
        </row>
        <row r="44">
          <cell r="B44" t="str">
            <v>Niagara Falls (City)</v>
          </cell>
          <cell r="C44">
            <v>68839.311000000002</v>
          </cell>
          <cell r="D44">
            <v>1720.9827750000002</v>
          </cell>
          <cell r="E44">
            <v>1066</v>
          </cell>
          <cell r="F44">
            <v>654.98277500000017</v>
          </cell>
        </row>
        <row r="45">
          <cell r="B45" t="str">
            <v>Oakville (Town)</v>
          </cell>
          <cell r="C45">
            <v>138700.22</v>
          </cell>
          <cell r="D45">
            <v>3467.5054999999998</v>
          </cell>
          <cell r="E45">
            <v>1694</v>
          </cell>
          <cell r="F45">
            <v>1773.5054999999998</v>
          </cell>
        </row>
        <row r="46">
          <cell r="B46" t="str">
            <v>Orillia (City)</v>
          </cell>
          <cell r="C46">
            <v>63523</v>
          </cell>
          <cell r="D46">
            <v>1588.0749999999998</v>
          </cell>
          <cell r="E46">
            <v>1058</v>
          </cell>
          <cell r="F46">
            <v>530.07499999999982</v>
          </cell>
        </row>
        <row r="47">
          <cell r="B47" t="str">
            <v>Oshawa (City)</v>
          </cell>
          <cell r="C47">
            <v>78033.365000000005</v>
          </cell>
          <cell r="D47">
            <v>1950.8341250000001</v>
          </cell>
          <cell r="E47">
            <v>1333</v>
          </cell>
          <cell r="F47">
            <v>617.83412500000009</v>
          </cell>
        </row>
        <row r="48">
          <cell r="B48" t="str">
            <v>Ottawa (City)</v>
          </cell>
          <cell r="C48">
            <v>99567.145000000004</v>
          </cell>
          <cell r="D48">
            <v>2489.178625</v>
          </cell>
          <cell r="E48">
            <v>1380</v>
          </cell>
          <cell r="F48">
            <v>1109.178625</v>
          </cell>
        </row>
        <row r="49">
          <cell r="B49" t="str">
            <v>Owen Sound (City)</v>
          </cell>
          <cell r="C49">
            <v>59302</v>
          </cell>
          <cell r="D49">
            <v>1482.55</v>
          </cell>
          <cell r="E49">
            <v>950</v>
          </cell>
          <cell r="F49">
            <v>532.54999999999995</v>
          </cell>
        </row>
        <row r="50">
          <cell r="B50" t="str">
            <v>Pembroke (City)</v>
          </cell>
          <cell r="C50">
            <v>62337</v>
          </cell>
          <cell r="D50">
            <v>1558.425</v>
          </cell>
          <cell r="E50">
            <v>902</v>
          </cell>
          <cell r="F50">
            <v>656.42499999999995</v>
          </cell>
        </row>
        <row r="51">
          <cell r="B51" t="str">
            <v>Penetanguishene (Town)</v>
          </cell>
          <cell r="C51">
            <v>69402</v>
          </cell>
          <cell r="D51">
            <v>1735.05</v>
          </cell>
          <cell r="E51">
            <v>817</v>
          </cell>
          <cell r="F51">
            <v>918.05</v>
          </cell>
        </row>
        <row r="52">
          <cell r="B52" t="str">
            <v>Peterborough (City)</v>
          </cell>
          <cell r="C52">
            <v>72849</v>
          </cell>
          <cell r="D52">
            <v>1821.2250000000001</v>
          </cell>
          <cell r="E52">
            <v>1129</v>
          </cell>
          <cell r="F52">
            <v>692.22500000000014</v>
          </cell>
        </row>
        <row r="53">
          <cell r="B53" t="str">
            <v>Pickering (City)</v>
          </cell>
          <cell r="C53">
            <v>113589.603</v>
          </cell>
          <cell r="D53">
            <v>2839.7400749999997</v>
          </cell>
          <cell r="E53">
            <v>1521</v>
          </cell>
          <cell r="F53">
            <v>1318.7400749999997</v>
          </cell>
        </row>
        <row r="54">
          <cell r="B54" t="str">
            <v>Port Coquitlam (City)</v>
          </cell>
          <cell r="C54">
            <v>98114.38</v>
          </cell>
          <cell r="D54">
            <v>2452.8595</v>
          </cell>
          <cell r="E54">
            <v>1587</v>
          </cell>
          <cell r="F54">
            <v>865.85950000000003</v>
          </cell>
        </row>
        <row r="55">
          <cell r="B55" t="str">
            <v>Regina (City)</v>
          </cell>
          <cell r="C55">
            <v>92174.44</v>
          </cell>
          <cell r="D55">
            <v>2304.3609999999999</v>
          </cell>
          <cell r="E55">
            <v>1082</v>
          </cell>
          <cell r="F55">
            <v>1222.3609999999999</v>
          </cell>
        </row>
        <row r="56">
          <cell r="B56" t="str">
            <v>Richmond Hill (Town)</v>
          </cell>
          <cell r="C56">
            <v>100928.37</v>
          </cell>
          <cell r="D56">
            <v>2523.2092499999999</v>
          </cell>
          <cell r="E56">
            <v>1503</v>
          </cell>
          <cell r="F56">
            <v>1020.2092499999999</v>
          </cell>
        </row>
        <row r="57">
          <cell r="B57" t="str">
            <v>Sarnia (City)</v>
          </cell>
          <cell r="C57">
            <v>76868.002999999997</v>
          </cell>
          <cell r="D57">
            <v>1921.7000749999997</v>
          </cell>
          <cell r="E57">
            <v>1073</v>
          </cell>
          <cell r="F57">
            <v>848.70007499999974</v>
          </cell>
        </row>
        <row r="58">
          <cell r="B58" t="str">
            <v>Saskatoon (City)</v>
          </cell>
          <cell r="C58">
            <v>90458.02</v>
          </cell>
          <cell r="D58">
            <v>2261.4504999999999</v>
          </cell>
          <cell r="E58">
            <v>1089</v>
          </cell>
          <cell r="F58">
            <v>1172.4504999999999</v>
          </cell>
        </row>
        <row r="59">
          <cell r="B59" t="str">
            <v>Saugeen Shores (Town)</v>
          </cell>
          <cell r="C59">
            <v>101539</v>
          </cell>
          <cell r="D59">
            <v>2538.4749999999999</v>
          </cell>
          <cell r="E59">
            <v>1052</v>
          </cell>
          <cell r="F59">
            <v>1486.4749999999999</v>
          </cell>
        </row>
        <row r="60">
          <cell r="B60" t="str">
            <v>Scarborough (Town)</v>
          </cell>
          <cell r="C60">
            <v>73443.524000000005</v>
          </cell>
          <cell r="D60">
            <v>1836.0880999999999</v>
          </cell>
          <cell r="E60">
            <v>1400</v>
          </cell>
          <cell r="F60">
            <v>436.08809999999994</v>
          </cell>
        </row>
        <row r="61">
          <cell r="B61" t="str">
            <v>St. Catharines (City)</v>
          </cell>
          <cell r="C61">
            <v>66794.252999999997</v>
          </cell>
          <cell r="D61">
            <v>1669.8563249999997</v>
          </cell>
          <cell r="E61">
            <v>1158</v>
          </cell>
          <cell r="F61">
            <v>511.85632499999974</v>
          </cell>
        </row>
        <row r="62">
          <cell r="B62" t="str">
            <v>Stratford (City)</v>
          </cell>
          <cell r="C62">
            <v>75660.536999999997</v>
          </cell>
          <cell r="D62">
            <v>1891.5134249999999</v>
          </cell>
          <cell r="E62">
            <v>1003</v>
          </cell>
          <cell r="F62">
            <v>888.51342499999987</v>
          </cell>
        </row>
        <row r="63">
          <cell r="B63" t="str">
            <v>Surrey (City)</v>
          </cell>
          <cell r="C63">
            <v>91293.87</v>
          </cell>
          <cell r="D63">
            <v>2282.3467499999997</v>
          </cell>
          <cell r="E63">
            <v>1252</v>
          </cell>
          <cell r="F63">
            <v>1030.3467499999997</v>
          </cell>
        </row>
        <row r="64">
          <cell r="B64" t="str">
            <v>Timmins (City)</v>
          </cell>
          <cell r="C64">
            <v>82840.952999999994</v>
          </cell>
          <cell r="D64">
            <v>2071.0238249999998</v>
          </cell>
          <cell r="E64">
            <v>983</v>
          </cell>
          <cell r="F64">
            <v>1088.0238249999998</v>
          </cell>
        </row>
        <row r="65">
          <cell r="B65" t="str">
            <v>Toronto (City)</v>
          </cell>
          <cell r="C65">
            <v>79150.221999999994</v>
          </cell>
          <cell r="D65">
            <v>1978.7555499999999</v>
          </cell>
          <cell r="E65">
            <v>1545</v>
          </cell>
          <cell r="F65">
            <v>433.75554999999986</v>
          </cell>
        </row>
        <row r="66">
          <cell r="B66" t="str">
            <v>Vancouver (City)</v>
          </cell>
          <cell r="C66">
            <v>80759.320000000007</v>
          </cell>
          <cell r="D66">
            <v>2018.9830000000002</v>
          </cell>
          <cell r="E66">
            <v>1601</v>
          </cell>
          <cell r="F66">
            <v>417.98300000000017</v>
          </cell>
        </row>
        <row r="67">
          <cell r="B67" t="str">
            <v>Vaughan (City)</v>
          </cell>
          <cell r="C67">
            <v>123088.94100000001</v>
          </cell>
          <cell r="D67">
            <v>3077.2235249999999</v>
          </cell>
          <cell r="E67" t="str">
            <v>**</v>
          </cell>
          <cell r="F67" t="e">
            <v>#VALUE!</v>
          </cell>
        </row>
        <row r="68">
          <cell r="B68" t="str">
            <v>Victoria (City)</v>
          </cell>
          <cell r="C68">
            <v>64177.03</v>
          </cell>
          <cell r="D68">
            <v>1604.4257500000001</v>
          </cell>
          <cell r="E68">
            <v>1256</v>
          </cell>
          <cell r="F68">
            <v>348.42575000000011</v>
          </cell>
        </row>
        <row r="69">
          <cell r="B69" t="str">
            <v>Waterloo (City)</v>
          </cell>
          <cell r="C69">
            <v>96228.981</v>
          </cell>
          <cell r="D69">
            <v>2405.7245250000001</v>
          </cell>
          <cell r="E69">
            <v>1370</v>
          </cell>
          <cell r="F69">
            <v>1035.7245250000001</v>
          </cell>
        </row>
        <row r="70">
          <cell r="B70" t="str">
            <v>Whitby (Town)</v>
          </cell>
          <cell r="C70">
            <v>117504.327</v>
          </cell>
          <cell r="D70">
            <v>2937.6081749999998</v>
          </cell>
          <cell r="E70">
            <v>1304</v>
          </cell>
          <cell r="F70">
            <v>1633.6081749999998</v>
          </cell>
        </row>
        <row r="71">
          <cell r="B71" t="str">
            <v>Windsor (City)</v>
          </cell>
          <cell r="C71">
            <v>61890.373</v>
          </cell>
          <cell r="D71">
            <v>1547.259325</v>
          </cell>
          <cell r="E71">
            <v>950</v>
          </cell>
          <cell r="F71">
            <v>597.25932499999999</v>
          </cell>
        </row>
        <row r="72">
          <cell r="B72" t="str">
            <v>Winnipeg (City)</v>
          </cell>
          <cell r="C72">
            <v>77635.91</v>
          </cell>
          <cell r="D72">
            <v>1940.8977500000001</v>
          </cell>
          <cell r="E72">
            <v>1115</v>
          </cell>
          <cell r="F72">
            <v>825.89775000000009</v>
          </cell>
        </row>
        <row r="73">
          <cell r="B73" t="str">
            <v>Woodstock (City)</v>
          </cell>
          <cell r="C73">
            <v>77977.524999999994</v>
          </cell>
          <cell r="D73">
            <v>1949.4381249999997</v>
          </cell>
          <cell r="E73">
            <v>1287</v>
          </cell>
          <cell r="F73">
            <v>662.43812499999967</v>
          </cell>
        </row>
      </sheetData>
      <sheetData sheetId="34">
        <row r="5">
          <cell r="B5" t="str">
            <v>Prizm Profile</v>
          </cell>
          <cell r="C5" t="str">
            <v>Picture</v>
          </cell>
          <cell r="D5" t="str">
            <v>Target Renter?</v>
          </cell>
          <cell r="E5" t="str">
            <v>Description</v>
          </cell>
        </row>
        <row r="6">
          <cell r="B6" t="str">
            <v>01-The A-List</v>
          </cell>
          <cell r="D6" t="str">
            <v>No</v>
          </cell>
          <cell r="E6" t="str">
            <v>This is Canada’s most affluent lifestyle containing wealthy couples and families with an average household income just above half a million dollars, more than five times the national average. Typically residing in some of Canada’s most exclusive neighbourhoods. The adults living in this segment are university educated with more than half attaining a bachelor’s degree or higher. They are well paid from executive positions in business, management, real estate and the arts. Many residents are health conscious where they can afford the luxury of personal trainers at their health clubs. These individuals are not likely to rent as they typically choose single family home ownership and are not nearing the age of retirement where individuals are more likely to downsize</v>
          </cell>
        </row>
        <row r="7">
          <cell r="B7" t="str">
            <v>02- Wealthy &amp; Wise</v>
          </cell>
          <cell r="D7" t="str">
            <v>Yes (Small Proportion)</v>
          </cell>
          <cell r="E7" t="str">
            <v>This is the second wealthiest lifestyle in Canada consisting of mature families and couples whose incomes are nearly two-and-a-half times the national average. Typically residing in established communities, the average dwelling value for these individuals is more than $1.2 million. With that being said these households can afford most luxury items, and consumers aim to live an ecological lifestyle.  This is a potential short-term target renter as many of these households look to downsize as their children move away from home.</v>
          </cell>
        </row>
        <row r="8">
          <cell r="B8" t="str">
            <v>03 - Asian Sophisticates</v>
          </cell>
          <cell r="D8" t="str">
            <v>Yes (Small Proportion)</v>
          </cell>
          <cell r="E8" t="str">
            <v xml:space="preserve">This is the most affluent of the Asian dominated lifestyles. This segment consists of a high concentration of people from China, Taiwan or Hong Kong who speak a non-official langue at home, in this case Mandarin or Cantonise. Adults in this segment are well off and well educated working white collar jobs in business, finance, the arts and especially science. They live in well-appointed homes and duplexes with teenage children along with their boomer parents and grandparent’s worth close to 1.4 million. This segment enjoys an active lifestyle mostly participating in travel, concerts and getting their exercise from racquet sports and downhill skiing. This is a potential short-term target renter as many of these households look to downsize as their children move away from home.   </v>
          </cell>
        </row>
        <row r="9">
          <cell r="B9" t="str">
            <v>04 - Turbo Burbs</v>
          </cell>
          <cell r="D9" t="str">
            <v>No</v>
          </cell>
          <cell r="E9" t="str">
            <v>Turbo Burbs are the wealthiest suburban segment. These are filled with middle aged families on the outer-ring subdivisions of a few large cities. The segment has children mostly between the ages of 10- 25. The average household dwelling is more the 700,000 in a single family detached home. The adults have mixed educations, significant rates for high school, college and university graduates leading to well-paying jobs in finance, education and government jobs. A lot of time is spent in cars for the adults in this segment with commute to work. This segment does not have high renter potential as most own homes.</v>
          </cell>
        </row>
        <row r="10">
          <cell r="B10" t="str">
            <v>05 - First-Class Families</v>
          </cell>
          <cell r="D10" t="str">
            <v>No</v>
          </cell>
          <cell r="E10" t="str">
            <v>This is one of the most affluent suburban household types in Canada. Predominantly composed of larger family households, approximately half have more than two children. These individuals are not typically renters with the majority living within single family homes. With strong average incomes they typically enjoy a flourishing lifestyle with memberships to golf clubs, fitness centres, and enjoy shopping in high end malls and retailers. These individuals are not likely to rent as they typically choose single family home ownership and are not nearing the age of retirement where individuals are more likely to downsize.</v>
          </cell>
        </row>
        <row r="11">
          <cell r="B11" t="str">
            <v>06 - Downtown Verve</v>
          </cell>
          <cell r="D11" t="str">
            <v xml:space="preserve">Yes </v>
          </cell>
          <cell r="E11" t="str">
            <v xml:space="preserve">Downingtown Verve is a mix of younger and middle-aged singles, couples and families. This segment lives in a handful of Canada’s largest cities where they are in close proximity to theatres, banks and dry cleanser. These adults rent or own duplexes, row house, semi-detached and detached homes with a dwelling value of 900,000. This is one of the most educated groups with a large percent having university degrees. They work in well-paying white-collar jobs. This group has a high spending power because of the significant portion singles and childless couples. They frequently go to bars, cinemas and restaurants. These individuals have a short-term rental potential due to the amount of young  couples without children. </v>
          </cell>
        </row>
        <row r="12">
          <cell r="B12" t="str">
            <v>07 - Mature &amp; Secure</v>
          </cell>
          <cell r="D12" t="str">
            <v>No</v>
          </cell>
          <cell r="E12" t="str">
            <v xml:space="preserve">The mature and secure segment consists of an older population with more than half being over the age of 55. This segment typically resides in urban fringe neighbourhoods found in Canada’s largest cities. Many are first- or second-generation Canadians while the immigrants arrived between 1990 and 2010. There is a high concentration of residents that are Jewish, one in eight which is 11 times the national average. The Mature and Secure are well educated with university degrees. Those still in the workforce have well-paying white-collar jobs in the business, finance, science and education. They are long term homeowners in luxury duplexes with a value of more than $800,000. This upscale segment likes to travel.  As homeownership requires continued maintenance, these individuals resort to luxury rentals for the convenience it provides. </v>
          </cell>
        </row>
        <row r="13">
          <cell r="B13" t="str">
            <v>08 - Multiculture-ish</v>
          </cell>
          <cell r="D13" t="str">
            <v>No</v>
          </cell>
          <cell r="E13" t="str">
            <v>This is one of the wealthier suburban lifestyles in Canada, Multiculture-ish is an ethnically diverse segment of middle-aged Asian and South Asian Households. Predominantly composed of larger immigrant family households, the majority of households double the national average for four or more people. 
Due to their large families and strong incomes, these families typically reside in single family homes. With upscale incomes they typically allow themselves to exercise ostentatious consumption by purchasing items that symbolize affluence. These individuals are not likely to rent as they typically choose single family home ownership and are not nearing the age of retirement where individuals are more likely to downsize.</v>
          </cell>
        </row>
        <row r="14">
          <cell r="B14" t="str">
            <v>09 - Boomer Bliss</v>
          </cell>
          <cell r="D14" t="str">
            <v>No</v>
          </cell>
          <cell r="E14" t="str">
            <v xml:space="preserve">This segment consists of older couples and families who live in suburban areas throughout the country. They live in the surrounding areas of cities like London, Hamilton, St. Catharines and Victoria. Almost two-thirds of the Boomer Bliss is over the age of 55. House include retirees and some still working white-collar jobs in management, education, health and government services.  The Boomer Bliss segment lives comfortable with upper middle-class incomes allowing them to own single detached houses. Many of the residents have paid of their mortgage and show little interest in leaving. These individuals are not likely to rent as the have paid off their mortgage and are not looking to downsize just yet. </v>
          </cell>
        </row>
        <row r="15">
          <cell r="B15" t="str">
            <v>10 - Asian Achievement</v>
          </cell>
          <cell r="D15" t="str">
            <v xml:space="preserve">Yes </v>
          </cell>
          <cell r="E15" t="str">
            <v xml:space="preserve">Asian achievement is a predominately Asian segment, with nearly 60 percent of household are foreign born from China, Taiwan and Hong Kong. The households consist of middle aged to older residents who arrived in Canada in the last 30 years. They settled in the urban fringe areas of Toronto and Vancouver. Over 45 percent speak a non-official language at home (Mandarin or Cantonise). In a quarter of households within this segment, children over the age of 25 still live at home. The adults are moderately educated and attain service sector of white-collar jobs. Adults in this segment own pricy single-detached homes with an average dwelling value of $1 million. This relatively high value for an upper-middle class segment is due to the cost of real estate in Vancouver and Toronto. These residents like to travel to China and Hong Kong which works with their bi-cultural lifestyle. The downsizers of this segment, and the children moving away from home are likely to be target renters at the subject site.   </v>
          </cell>
        </row>
        <row r="16">
          <cell r="B16" t="str">
            <v>11 - Modern Suburbia</v>
          </cell>
          <cell r="D16" t="str">
            <v>No</v>
          </cell>
          <cell r="E16" t="str">
            <v xml:space="preserve">With one of the highest percentages of suburban households, Modern Suburbia consists of younger, middle-aged, and diverse families with young children. With their university and college educations, they earn upper-middle class incomes from a wide range of jobs that afford them new, single family and semi-detached homes. They have crafted active lifestyles for their relatively large families and participate in many team sports and enjoy kid-friendly venues such as zoos, amusement parks, etc. </v>
          </cell>
        </row>
        <row r="17">
          <cell r="B17" t="str">
            <v>12 - Eat, Play, Love</v>
          </cell>
          <cell r="D17" t="str">
            <v>Yes</v>
          </cell>
          <cell r="E17" t="str">
            <v xml:space="preserve">Consisting of mostly younger, mobile singles who patronize ethnic restaurants, and participate in numerous sports, this segment is concentrated in urban cores. Eat, Play, Love is a vertical segment where 90% of residents live in high-rise towers. Being one of the most educated segments, nearly 60% have a university degree, and one in five hold and advanced degree. With upper-middle incomes, they are high-earning group while relying on transit, biking and walking as their primary means of transport. This segment is a stronger renter group at the subject site. </v>
          </cell>
        </row>
        <row r="18">
          <cell r="B18" t="str">
            <v>13 - Vie re Reve</v>
          </cell>
          <cell r="D18" t="str">
            <v>No</v>
          </cell>
          <cell r="E18" t="str">
            <v xml:space="preserve">This is the most affluent francophone segment. This is a group of middle-aged families with children ranging from 5-24 years old. They live in established suburban areas around Montreal, Quebec City and Gatineau. These families live in upscale comfort in new single-detached homes with luxury amenities such as backyard pools. The Vie de Reve adults are well educated most are university educated or attended trade school. They hold well-paying jobs in a wide range of fields such as business, finance, education and public administration. The residents enjoy lively suburban lifestyle engaging in high energy outdoor activities and hosting parties. These individuals are not likely to rent as they typically choose single family home ownership and are not nearing the age of retirement where individuals are more likely to downsize.      </v>
          </cell>
        </row>
        <row r="19">
          <cell r="B19" t="str">
            <v>14 - Kick-Back Country</v>
          </cell>
          <cell r="D19" t="str">
            <v>No</v>
          </cell>
          <cell r="E19" t="str">
            <v xml:space="preserve">Kick-Back Country is the wealthiest rural lifestyle. This segment consists of middle aged and older couples. They tend to be between 45 and 64 with children that range from 5-24 years old. These families tend to live near large and medium size cites. The adults in the segment have mixed education mostly high school, college and university. Residents are compensated well averaging around $145,000 from well-paying jobs in management, mining, construction, trades and transportation. The lower cost living means that 9 out of 10 households own their home. These are second or third generation Canadians who are drawn to spacious family homes. The homes are built beyond the urban sprawl and the average dwelling value is nearly $600,000. This segment are not good potential renters as most own their homes and are keen on a country spacious lifestyle </v>
          </cell>
        </row>
        <row r="20">
          <cell r="B20" t="str">
            <v>15 - South Asian Enterprise</v>
          </cell>
          <cell r="D20" t="str">
            <v>No</v>
          </cell>
          <cell r="E20" t="str">
            <v>The South Asian Enterprise is segment with nearly 60 percent of the population being visible minorities from south Asia. This segment contains upper-middle class families living in a mix of new single, semi and duplex homes in urban areas. More than 80 percent reside in the GTA and of the 80 percent nearly half live in Brampton. This segment has larger household sizes, nearly 60 percent are home to four or more people. The residents have mixed educations and work in well-paying blue collar and service sector jobs. These households have relatively high incomes attributed to having a minimum of two wage earners in the family. These individuals are not likely to rent as they typically own single-detached and row housing suitable for their relatively large families; with more than a third of households containing four or more people.</v>
          </cell>
        </row>
        <row r="21">
          <cell r="B21" t="str">
            <v>16 - Savvy Seniors</v>
          </cell>
          <cell r="D21" t="str">
            <v>Yes</v>
          </cell>
          <cell r="E21" t="str">
            <v>Mostly found in cities throughout Ontario, British Columbia and Alberta, this is an aging lifestyle that is home to older singles, couples and divorced or widowed individuals. This segment is financially comfortable, with a mix of high school, college and university educations, they enjoy upper-middle incomes and homes valued at nearly half-million dollars. With 40% of the maintainers being over 65 years old, they gravitate to easy-to-maintain high-rise apartment buildings, condos and row houses. This is a strong renter group for conventional purpose-built apartments.</v>
          </cell>
        </row>
        <row r="22">
          <cell r="B22" t="str">
            <v>17 - Asian Avenues</v>
          </cell>
          <cell r="D22" t="str">
            <v>Yes</v>
          </cell>
          <cell r="E22" t="str">
            <v xml:space="preserve">Asian Avenues more than half of its residents are foreign born. This segment has middle income Asian singles and families with children from a wide range of ages who have immigrated from China, Hong Kong and the Philippines. Nearly 9 percent are Filipino immigrants the highest concentration in any segment. Almost all these residents live in Vancouver and Burnaby. They live in singles, duplexes and low-rise apartments. They do live in homes  with a dwelling value of around 1.3 million because of the pricy local real estate. Since they have middle class incomes living in expensive homes this contributes to a high portion of renters. The adults have a mixed education which translates wide a variety of white collar and service sector jobs. This segment has a high renter potential due too high cost of living in the Vancouver and Burnaby areas. </v>
          </cell>
        </row>
        <row r="23">
          <cell r="B23" t="str">
            <v>18 - Multicultural Corners</v>
          </cell>
          <cell r="D23" t="str">
            <v>No</v>
          </cell>
          <cell r="E23" t="str">
            <v>With more than a third of these households containing foreign-born residents, this middle-aged resident profile creates an exceptionally diverse portrait. These first- and second- generation immigrant households moved beyond gateway communities to the urban fringe areas of cities like Toronto, Calgary, Ottawa and Edmonton. With their moderate educations, they earn upper-middle-class incomes from jobs within the service sector and white-collar professions. 
These individuals are not likely to rent as they typically own single-detached and row housing suitable for their relatively large families; with more than a third of households containing four or more people.</v>
          </cell>
        </row>
        <row r="24">
          <cell r="B24" t="str">
            <v>19 - Family mode</v>
          </cell>
          <cell r="D24" t="str">
            <v>No</v>
          </cell>
          <cell r="E24" t="str">
            <v>A growing household segment, these individuals can be found in the suburban communities of both smaller secondary, and primary markets. Typically comprised of larger families with children over the age of 10. Working a range of blue-collar to management level jobs they earn strong incomes which enables them to own their own homes, and lead leisure filled lifestyles of boating, jet skiing, RV’ing, and motorcycling. These individuals subscribe to the ideals of home ownership and are not likely to rent at the subject site.</v>
          </cell>
        </row>
        <row r="25">
          <cell r="B25" t="str">
            <v>20 - New Asian Heights</v>
          </cell>
          <cell r="D25" t="str">
            <v>Yes</v>
          </cell>
          <cell r="E25" t="str">
            <v xml:space="preserve">New Asian heights is a segment containing predominantly younger, educated Asian singles and couples. These individuals live in high-rise buildings in the urban fringes of Toronto and Vancouver. These residents are in the early stages of their careers earning modest salaries in the science, arts and culture, information and technology. They live in apartments and condos with an average dwelling value of $500,000. Their parents may be helping with the steep rent costs. Very few of these Individuals are raising children which allows them to enjoy a lively lifestyle with the amenities downtown. This segment has renter possibility since they are young living in a relatively expensive part of the city and making a modest income.  </v>
          </cell>
        </row>
        <row r="26">
          <cell r="B26" t="str">
            <v>21 - Scenic Retirement</v>
          </cell>
          <cell r="D26" t="str">
            <v>Yes</v>
          </cell>
          <cell r="E26" t="str">
            <v xml:space="preserve">Representing one of Canada’s most prominent demographic groups of older retired baby boomers. These individuals live financially sound lives with strong pensions, mortgage free homes, and lead leisure filled lifestyles. Approximately 1 in 10 are widowed. They enjoy golf, fitness walking, gardening, and travel. Although a majority own their own home this segment is likely to represent a proportion of rental demand at the subject site as they continue to age and seek to minimize the stresses of daily life. </v>
          </cell>
        </row>
        <row r="27">
          <cell r="B27" t="str">
            <v>22 - Indieville</v>
          </cell>
          <cell r="D27" t="str">
            <v>Yes</v>
          </cell>
          <cell r="E27" t="str">
            <v xml:space="preserve">Indieville is a mix of younger, middle-aged singles and couples that live in Canadas biggest cities. With more than 40 percent of this segment living in Toronto. These individuals are first- or second-generation Canadians. Nearly 40 percent are university educated and are more than two times as likely to hold a master’s degree than the average Canadian. This group makes an average income working in mostly white collar and service sector jobs in the arts, education and science. Half of all households are occupied by residents under the age of 45 in older low-rise apartments, duplexes and semi dethatched dwellings. Not many have started families yet so they can devote their free time to active social lives. This group has high renter potential since they are young and are not looking for a long-term home yet. </v>
          </cell>
        </row>
        <row r="28">
          <cell r="B28" t="str">
            <v>23 - Mid-City Mellow</v>
          </cell>
          <cell r="D28" t="str">
            <v>Yes</v>
          </cell>
          <cell r="E28" t="str">
            <v>Mid-City Mellow emphasizes a traditional view of the Canadian Dream owning a home in an attractive setting while building a comfortable nest egg. 90% of the members in this segment own a single-detached home likely built between the 1960’s and 1990’s. With most maintainers over the age of 55, this segment is a mixed group of older couples and middle-aged families with older children that enjoy upper middle incomes. Typically home-owners, these individuals are increasingly renting as children move away from home and couples look to down size.</v>
          </cell>
        </row>
        <row r="29">
          <cell r="B29" t="str">
            <v>24 - All-Terrain Families</v>
          </cell>
          <cell r="D29" t="str">
            <v>No</v>
          </cell>
          <cell r="E29" t="str">
            <v xml:space="preserve">All terrain families mostly reside in Alberta’s large and midsize cites like Edmonton, Calgary, Airdrie and Grand Prairie. The adults in this segment work in the oil, gas and mining industries.  two-thirds of the adults in this segment are under the age of 45 with children in the household that are under the age of 15.  They have turned moderate education into well-paying blue collar and grey collar jobs with upper-middle class incomes. These residents own a mix of single detached, semi-detached and row homes valued around 400,000. This group does not have good renter potential as they have young children and already own a home. </v>
          </cell>
        </row>
        <row r="30">
          <cell r="B30" t="str">
            <v>25 - Suburban Sports</v>
          </cell>
          <cell r="D30" t="str">
            <v>No</v>
          </cell>
          <cell r="E30" t="str">
            <v xml:space="preserve">Located across Canada this is one of the largest suburban household segments containing a range of younger to middle-aged couples and families. They are typically found in either fully detached homes, or duplexes. Although a majority have limited educations and work in mix service sector, and blue-collar jobs, the prevalence of dual incomes has enabled them to achieve a higher standard of living and to own their own homes. These individuals are not likely to rent at the subject site once brought to market. </v>
          </cell>
        </row>
        <row r="31">
          <cell r="B31" t="str">
            <v>26 - Country Traditions</v>
          </cell>
          <cell r="D31" t="str">
            <v>No</v>
          </cell>
          <cell r="E31" t="str">
            <v>The second wealthiest rural household segment and found in smaller towns scattered across eastern Ontario. Comprised primarily of middle-aged and older couples and families working in trade-oriented professions. Approximately 95% reside in detached single family dwellings. These are multi-generational Canadian households who have old-fashioned hobbies and values with a focus on their local community. These individuals subscribe to the ideals of home ownership and are not likely to rent at the subject site.</v>
          </cell>
        </row>
        <row r="32">
          <cell r="B32" t="str">
            <v>27 - Diversite Nouvelle</v>
          </cell>
          <cell r="D32" t="str">
            <v>Yes</v>
          </cell>
          <cell r="E32" t="str">
            <v xml:space="preserve">This Segment mostly resides in the urban fringe areas of Montreal such as Laval, Longueil and Brossard. This segment has a high concentration of immigrants from all over – Europe, Latin America and Africa. Residents are between the ages of 35 and 54 who own relatively new homes, a mix of singles, semis, row houses and low-rise apartments. With a large range of education from trade school to advanced degrees, the adults earn average incomes in the service sector and white-collar jobs.  They have children at home from all ages. These residents live in very multicultural communities. Not a high renter group as most own small homes with children still at home.   </v>
          </cell>
        </row>
        <row r="33">
          <cell r="B33" t="str">
            <v>28 - Latte Life</v>
          </cell>
          <cell r="D33" t="str">
            <v>Yes</v>
          </cell>
          <cell r="E33" t="str">
            <v>One of the youngest segments, Latte Life is often the first stop for university graduates fresh out of school. More than 60% live alone and hold entry level jobs earning an average income. With the steep costs of housing in their neighbourhoods, most of these individuals choose to rent apartments as opposed to own. Although this group has limited incomes, a small proportion may demand smaller, more affordable unit types at the subject site.</v>
          </cell>
        </row>
        <row r="34">
          <cell r="B34" t="str">
            <v>29 - C'est Tigidou</v>
          </cell>
          <cell r="D34" t="str">
            <v>No</v>
          </cell>
          <cell r="E34" t="str">
            <v xml:space="preserve">C’est Tiguidou is an upper-middle class francophone segment. This group lives in the suburban areas of large and small cities across Quebec. The residents consist of middle aged and older couples and families living in single and semi-detached houses. More than 90 percent of these residents own their houses. The adults have a mixed educations with most going to trade school or college. The C’est Tiguidou are mid-career citizens that earn six-figure incomes from the service sector and white-collar jobs in business, education, health and manufacturing. These families with older and adult children are avid fans of outdoor sports. They are more likely than the average Canadian to enjoy cycling, cross country skiing and hockey. Not a segment with high renter potential as most residents own their homes and are not yet at the age where they would consider downsizing. </v>
          </cell>
        </row>
        <row r="35">
          <cell r="B35" t="str">
            <v>30 - South Asian Society</v>
          </cell>
          <cell r="D35" t="str">
            <v>No</v>
          </cell>
          <cell r="E35" t="str">
            <v>This profile represents the largest concentration of south Asian residents, many of which are first- and second-generation Sikh, Hindu, and Muslim families living primarily in three major markets in Canada including Abbotsford, Surrey, and Brampton. Typically found in the urban fringe and comprised of large families where one in six households are multigenerational. With modest educations these individuals typically work in manufacturing, trades, and services; however, the presence of multiple earners boosts their household incomes. Although they have a high frequency of renting a majority reside in detached and semi-detached homes.</v>
          </cell>
        </row>
        <row r="36">
          <cell r="B36" t="str">
            <v>31 - Metro Melting Pot</v>
          </cell>
          <cell r="D36" t="str">
            <v>Yes</v>
          </cell>
          <cell r="E36" t="str">
            <v>Encompassing long-established immigrant neighbourhoods, Metro Melting Pot has been a haven for upwardly climbing newcomers concentrated in Toronto and nearby Mississauga. Being that 30% of households speak a non-official language, these neighbourhoods are diverse in more ways than cultural roots with households consisting of a mix of families, lone-parent households, and maintainers ranging in age from 45 to over 75. Many of these households have twenty-something year old children pursuing their educations and/or contributing to the family income. As children move away from home to pursue their education and careers, maintainers typically look for downsizing opportunities.</v>
          </cell>
        </row>
        <row r="37">
          <cell r="B37" t="str">
            <v>32 - Diverse &amp; Determined</v>
          </cell>
          <cell r="D37" t="str">
            <v>Yes</v>
          </cell>
          <cell r="E37" t="str">
            <v>A younger household typically found in the urban fringe and surrounding large cities. Comprised of a mix of younger singles, middle-aged couples, and a disproportionate number of lone parent households. A large proportion are transient and have moved within the last 5 years and typically drawn to less expensive housing options. With strong educations these individuals earn strong incomes working in various jobs such as sales, business, and trades. These individuals are likely to represent a proportion of the renter demand at the subject site once brought to market.</v>
          </cell>
        </row>
        <row r="38">
          <cell r="B38" t="str">
            <v>33 - New Country</v>
          </cell>
          <cell r="D38" t="str">
            <v>No</v>
          </cell>
          <cell r="E38" t="str">
            <v xml:space="preserve">The New Country segment residents are mostly found in Ontario and Alberta. This is one of the wealthiest rural segments with residents having well-paying blue-collar jobs in the agriculture, mining and manufacturing. Their six-figure salaries provided them with comfortable single detached houses. The adults in this segment are 45 to 64 years old and 45 percent of households have children of all ages. Not good renter potential as most own single detached homes. </v>
          </cell>
        </row>
        <row r="39">
          <cell r="B39" t="str">
            <v>34 - Familes Typiques</v>
          </cell>
          <cell r="D39" t="str">
            <v>No</v>
          </cell>
          <cell r="E39" t="str">
            <v xml:space="preserve">This is a Francophone segment that contains younger and middle aged, middle income families. These families live in suburbs across Quebec. Most households have children under the age 15. Adults in this segment have mixed education with high rates for trade school and college. These adults hold jobs in health, education, business and the trades. These individuals earn a midrange income which goes a long way in affording newer singles, semi and low-rise apartments which are 40 percent below average. This segment does not have great renter potential because they own houses and are not at the age where they would consider downsizing. </v>
          </cell>
        </row>
        <row r="40">
          <cell r="B40" t="str">
            <v>35 - Vie Dynamique</v>
          </cell>
          <cell r="D40" t="str">
            <v>No</v>
          </cell>
          <cell r="E40" t="str">
            <v xml:space="preserve">In this segment these residents all live in suburban areas of Quebec living middle class lives. There is a wide range of households that are made up of singles, couples, married or common law. These adults hold white-collar, blue-collar or service sector jobs which they attained from a mix of educations. Most have completed high school, college or trade school. Their middle incomes are enough to own older single or semi-detached homes. Over half of this segment is over 55. This segment does not have great renter potential because they own houses and are not at the age where they would consider downsizing.  </v>
          </cell>
        </row>
        <row r="41">
          <cell r="B41" t="str">
            <v>36 - Middle Class Mosaic</v>
          </cell>
          <cell r="D41" t="str">
            <v>No</v>
          </cell>
          <cell r="E41" t="str">
            <v>Reflecting an increasing flow of immigrants, Middle-Class Mosaic consists of middle-class homeowners and their families living in established neighbourhoods. This segment consists of a mix of couples, lone-parent households and larger-than-average families with children of all aged. Moderately educated, residents work at solid blue-collar and service sector jobs obtaining average incomes. These households have not historically rented as they primarily consist of larger families and value the additional space provided in home ownership.</v>
          </cell>
        </row>
        <row r="42">
          <cell r="B42" t="str">
            <v>37 - Keep On Trucking</v>
          </cell>
          <cell r="D42" t="str">
            <v>No</v>
          </cell>
          <cell r="E42" t="str">
            <v>This segment consists of groups of people who are found in remote communities across Canada. This has the second highest concentration of Aboriginals across all segments (about 20 percent). Keep On Trucking is made up of younger or middles aged couples and families. Most adults don’t have education past high school but still hold well-paying blue-collar and service sector jobs. These jobs are mostly in oil mining and gas. With their upper-middle class incomes they can afford to own older single detached homes with 5 percent living in mobile homes. These individuals are not typical renters as they value home ownership.</v>
          </cell>
        </row>
        <row r="43">
          <cell r="B43" t="str">
            <v>38 - Stressed in Suburbia</v>
          </cell>
          <cell r="D43" t="str">
            <v>No</v>
          </cell>
          <cell r="E43" t="str">
            <v xml:space="preserve">Typically found in older suburban neighbourhoods of smaller and mid-sized secondary markets. This household profile is composed of a mix of younger to middle aged families with young children. A majority reside in single family homes including detached, semis, and row houses with 80% owning their own home. Although not highly educated they achieve strong incomes with the prevalence of dual incomes. They typically enjoy low-cost outdoor activities such as cross-country skiing, golf, and outdoor music festivals. These individuals are not typical renters as they value home ownership. </v>
          </cell>
        </row>
        <row r="44">
          <cell r="B44" t="str">
            <v>39 - Evolution Urbaine</v>
          </cell>
          <cell r="D44" t="str">
            <v>Yes</v>
          </cell>
          <cell r="E44" t="str">
            <v xml:space="preserve">This segment resides in older urban neighbourhoods in Montreal. This segment is undergoing lots of change with over 25 percent identify as visible minorities. These households contain singles and single parent families who live in older low-rise apartments and duplexes. The education amongst this segment is university alums and trade school graduates. These adults work in a variety of fields such as business, science, education and fine arts. These individuals make a below average income but love being within close proximity to downtown and utilize amenities such as public transit. This group has high renter potential due to their below average incomes. Most can only afford to rent.  </v>
          </cell>
        </row>
        <row r="45">
          <cell r="B45" t="str">
            <v>40 - Les Enerjeunes</v>
          </cell>
          <cell r="D45" t="str">
            <v>Yes</v>
          </cell>
          <cell r="E45" t="str">
            <v xml:space="preserve">Young, educated and mobile. Les Énerjeunes is a magnet for Quebec singles just starting out in life. More than a third of maintainers are under 35 years old, and nearly half of the residents are single. They are well educated, with more than 40% holding a university or graduate degree. Although most residents hold low-paying jobs, these up and comers are just starting their careers. Les Énerjeunes prefers to rent rather than own a residence, and typically reside in low-rise apartments. Although this group has limited incomes, a small proportion may demand smaller, more affordable unit types at the subject site. </v>
          </cell>
        </row>
        <row r="46">
          <cell r="B46" t="str">
            <v>41 - Down to Earth</v>
          </cell>
          <cell r="D46" t="str">
            <v>No</v>
          </cell>
          <cell r="E46" t="str">
            <v xml:space="preserve">The largest rural household profile with 400,000 households across Canada. This profile consists of older couples, and families; 90% own their own homes many of which were built prior to the 1980’s. Similarly, to many other rural lifestyles they tend to spend their leisure times outdoors whether bird watching, RV’ing, or snowmobiling. These individuals are not likely to rent at the subject site once brought to market as they prefer home ownership, and many of which also have children at home. </v>
          </cell>
        </row>
        <row r="47">
          <cell r="B47" t="str">
            <v>42 - Banlieques Tranquilles</v>
          </cell>
          <cell r="D47" t="str">
            <v>No</v>
          </cell>
          <cell r="E47" t="str">
            <v xml:space="preserve">This is a midscale Francophone segment. These are filled with couples and family who are married or common law. They live in the suburban edges of Quebec’s large and small cites. These areas were rural communities but over the last 15 years they have become suburban developments. 80 percent of families in this segment live in single-detached homes. The adults attain modest educations but most work in blue-collar and service sector jobs. These jobs typically involve a long commune so more than 90 percent of residents get to work by car. This segment does not have high renter potential as most families own their single detached homes and are not looking to downsize </v>
          </cell>
        </row>
        <row r="48">
          <cell r="B48" t="str">
            <v>43 - Happy Medium</v>
          </cell>
          <cell r="D48" t="str">
            <v>No</v>
          </cell>
          <cell r="E48" t="str">
            <v>Happy Medium consists of couples and families living in the outer suburbs of large and midsize cites. These residents are a mix of middle-income households from ages 45 to over 75. Most adults in this segment have completed high school or college. Three- quarters of residents are third-plus generation Canadians. These adults typically hold blue-collar or service sector jobs in manufacturing, construction, mining and public administration. Their incomes top $90,000 leading to more than 80 percent owning a home. Typically a single detached home. These adults relay on vehicles to commute to work. This segment does not have high renter potential as most own homes.</v>
          </cell>
        </row>
        <row r="49">
          <cell r="B49" t="str">
            <v>44 - Un Grand Cru</v>
          </cell>
          <cell r="D49" t="str">
            <v>Yes</v>
          </cell>
          <cell r="E49" t="str">
            <v xml:space="preserve">This is a middle-income francophone segment. This mostly consists of older singles and couples living in urban neighbourhoods scattered throughout Montreal, Quebec City and Gatineau. More than half of these adults are over 55 and nearly 40 percent are over 65. Residents who are still working earn average incomes from the service sector and white-collar jobs.  The dwelling value of this segment is low, and majority of households own homes or condos. Although there is still a significant number that rent low-rise apartments. This segment has renter potential with older couples that could be looking to downsize in their retirement. </v>
          </cell>
        </row>
        <row r="50">
          <cell r="B50" t="str">
            <v>45 - Slow-Lane Suburbs</v>
          </cell>
          <cell r="D50" t="str">
            <v>Yes</v>
          </cell>
          <cell r="E50" t="str">
            <v>A mix of older mature singles and couples living in mid-sized cities and suburban communities. A majority are over the age of 55 and those still in the labour force are typically employed in either the service sector or in white-collar jobs. Although they hold limited educations, they achieve strong incomes which enables them to lead comfortable albeit frugal lives. These individuals do not historically rent, but are increasingly renting as their children move out, and they look to downsize.</v>
          </cell>
        </row>
        <row r="51">
          <cell r="B51" t="str">
            <v>46 - Patrimone Rustique</v>
          </cell>
          <cell r="D51" t="str">
            <v>No</v>
          </cell>
          <cell r="E51" t="str">
            <v xml:space="preserve">This segment portrays a rural francophone lifestyle. These residents live in Quebec, New Brunswick and Ontario. The reside in small scenic towns like Shawinigan and Bathurst. These individuals consist of older couples and singles. Over 60 percent of these adults are over 55. Three- quarters of households in the segment consist of one or two people. Those who are still in the workforce hold jobs in manufacturing, construction, transportation and the trades. These adults earn average incomes. This segment does not have high rent potential as they prefer to live a rural lifestyle outside of the city.   </v>
          </cell>
        </row>
        <row r="52">
          <cell r="B52" t="str">
            <v>47 - Social Networkers</v>
          </cell>
          <cell r="D52" t="str">
            <v>Yes</v>
          </cell>
          <cell r="E52" t="str">
            <v>The youngest of all the segments, Social Networkers is a transient world of diverse singles living in older city apartments. More than 45% of maintainers are under 35 and two thirds of residents are singles. More than 90% live in high-rise apartments, and although these individuals have lower incomes, they have time and promising careers on their side allowing for long-term personal growth. This group represents a smaller proportion of renters at the subject site given the lower incomes. This group is highly represented by the student population in large urban cities.</v>
          </cell>
        </row>
        <row r="53">
          <cell r="B53" t="str">
            <v>48 - Agri-Biz</v>
          </cell>
          <cell r="D53" t="str">
            <v>No</v>
          </cell>
          <cell r="E53" t="str">
            <v xml:space="preserve">This segment has the highest proportions of farmers in Canada. These individuals are spread out across the Prairies and a few in Ontario and British Columbia. Nearly 60 percent of these adults are between 45 and 75. Most have modest educations that end at high school. With having two wage earners in these households, they create a solid middle income. In these remote areas housing costs are a third below average. 80 percent own single-detached houses. This is not a strong target renter group. Almost all individuals own homes in very remote areas. </v>
          </cell>
        </row>
        <row r="54">
          <cell r="B54" t="str">
            <v>49 - Backcountry Boomers</v>
          </cell>
          <cell r="D54" t="str">
            <v>Yes</v>
          </cell>
          <cell r="E54" t="str">
            <v xml:space="preserve">This is a very rural segment found in the Atlantic Provinces. Backcountry Boomers are mostly older empty nesting couples that live alone. 40 percent of these individuals are over 65 and nearly three- quarter of households have one or two people. Most of these adults are out of the workforce but those still working hold a mix of blue-collar and service sector jobs in farming, natural resources, construction, transportation and trades. Incomes are 25 percent below average but enough to own single detached homes. Small renter potential in this segment as older couples could be looking to down size.  </v>
          </cell>
        </row>
        <row r="55">
          <cell r="B55" t="str">
            <v>50 - Country &amp; Western</v>
          </cell>
          <cell r="D55" t="str">
            <v>Yes</v>
          </cell>
          <cell r="E55" t="str">
            <v xml:space="preserve">This is a rural segment found in the areas close to towns in the western provinces. This segment contains older adult singles and couples. Nearly a third of these adults are over the age of 65. Eight in ten households live in single detached homes while 8 percent own a mobile home. Theses residents have a mixed education with those still in the workforce holding jobs in farming and blue-collar industries. These adults earn lower-middle incomes. Small renter potential in this segment as older couples could be looking to down size.  </v>
          </cell>
        </row>
        <row r="56">
          <cell r="B56" t="str">
            <v>51 - On Their Own Again</v>
          </cell>
          <cell r="D56" t="str">
            <v>Yes</v>
          </cell>
          <cell r="E56" t="str">
            <v xml:space="preserve">Located in cities across Canada, On Their Own Again consists of older singles living in high-rise apartments. More than 60% live alone, with 30% of residents being over 65 years old. Although incomes are downscale, pensions boost household net worth and provide a strong economic cushion. With 80% of residents residing in apartments, this is a strong target renter group.  </v>
          </cell>
        </row>
        <row r="57">
          <cell r="B57" t="str">
            <v>52 - Friends &amp; Roomies</v>
          </cell>
          <cell r="D57" t="str">
            <v>Yes</v>
          </cell>
          <cell r="E57" t="str">
            <v>One of the largest segments in Canada, Friends &amp; Roomies attracts mostly young singles and single-parent families. Majority of households maintainers are under 44 years old with households consisting of primarily singles, divorced or separated individuals. These individuals live active social lives and primarily reside in low-rise apartments. This is a strong renter group.</v>
          </cell>
        </row>
        <row r="58">
          <cell r="B58" t="str">
            <v>53 - Silver Flats</v>
          </cell>
          <cell r="D58" t="str">
            <v>Yes</v>
          </cell>
          <cell r="E58" t="str">
            <v xml:space="preserve">This is the oldest segment. Half of these residents are over the age of 65 and two-thirds are retired. These adults can be found in suburban neighbourhood’s arounds large and midsize cities. This segment has downscale incomes but these adults are still financially sound due to generous pensions, government transfers and tidy nest eggs. These neighbourhood’s contain many widows and widowers as this segment has three times the national average in this category. This segment has renter potential with older singles looking for downsize opportunities. </v>
          </cell>
        </row>
        <row r="59">
          <cell r="B59" t="str">
            <v>54 - Vie au Village</v>
          </cell>
          <cell r="D59" t="str">
            <v>No</v>
          </cell>
          <cell r="E59" t="str">
            <v xml:space="preserve">This is a rural francophone segment found in mostly small towns across Quebec. Households consist of middle aged and older couples, and families. These adults hold a mix of education from high school to trade school.  These adults earn lower middle-class incomes in jobs such as manufacturing, farming and the trades. Based on the areas of which these residents live the dwelling value is less than half of the national average. Meaning most households can afford to own single detached homes. This is not a strong target renter group. Almost all own homes in less expensive rural areas. </v>
          </cell>
        </row>
        <row r="60">
          <cell r="B60" t="str">
            <v>55 - Enclaves Multiethniques</v>
          </cell>
          <cell r="D60" t="str">
            <v>Yes</v>
          </cell>
          <cell r="E60" t="str">
            <v>This is an urban segment found in the urban core of Montreal. This segment consists of younger and middle-aged residents. This segment has a high concentration of immigrants from French speaking countries. These residents live in low-rise apartments and duplexes. These adults have moderate educations and earn incomes that are only half the national average. They mostly work in the service sector. This group has strong renter potential as they make low incomes and can’t afford a mortgage.</v>
          </cell>
        </row>
        <row r="61">
          <cell r="B61" t="str">
            <v>56 - Jeunes Biculturels</v>
          </cell>
          <cell r="D61" t="str">
            <v>Yes</v>
          </cell>
          <cell r="E61" t="str">
            <v xml:space="preserve">Jeunes Biculturels was created by the migration of immigrants to francophone neighbourhoods in Montreal. Singles dominate this segment with over 45% of households consist of one person. Three quarters of residents are renters living in mostly older, low-rise apartments and duplexes. Nearly half of maintainers are under 45 years old and have wide ranging educations that translate to low-level service sector and white-collar jobs. This is a very mobile segment with nearly half having moved in the last 5 years. These households have a high renter potential due to the low incomes and high moving rates.  </v>
          </cell>
        </row>
        <row r="62">
          <cell r="B62" t="str">
            <v>57 - Juggling Acts</v>
          </cell>
          <cell r="D62" t="str">
            <v>Yes</v>
          </cell>
          <cell r="E62" t="str">
            <v xml:space="preserve">These households are mostly found in smaller secondary markets and are composed of a variety of family’s profiles including singles, couples, and to a smaller extent young family with children. These individuals reside in a mix of low- and mid-rise apartments, semis, and almost exclusively rent. Leisure activities include attending pubs, billiards, camping, winter sports, and weekend getaways. These individuals are likely to represent a proportion of potential renters at the subject site once brought to market. </v>
          </cell>
        </row>
        <row r="63">
          <cell r="B63" t="str">
            <v>58 - Old Town Roads</v>
          </cell>
          <cell r="D63" t="str">
            <v>Yes</v>
          </cell>
          <cell r="E63" t="str">
            <v xml:space="preserve">This segment mostly consists of older people who live in small towns across Ontario. More than a third of this segment is over 65. This is a relatively down scale senior group. Most of these household have older singles, empty nesting couples and widowed individuals. These residents own older inexpensive homes although there is a significant percent that rent low-rise apartments and condos. Education was not a priority for this generation as only 15 percent have a university education. Those who are still in the workforce earn lower incomes in farming, manufacturing, service and trades. This group has some renter potential. </v>
          </cell>
        </row>
        <row r="64">
          <cell r="B64" t="str">
            <v>59 - La Vie Simple</v>
          </cell>
          <cell r="D64" t="str">
            <v>Yes</v>
          </cell>
          <cell r="E64" t="str">
            <v xml:space="preserve">This Segment consists of singles and older couples living in mature suburbs across Quebec. These suburbs are located around Quebec’s large and midsized cites. Almost 30 percent of these residents are over the age 65. These households consist of single and couples that are married or common law and the rest being widowed or divorced. Those still in the workforce hold low-income manufacturing, sales and service jobs. Most residents can afford to own an inexpensive duplex or house. Some rent low-rise apartments. The dwelling values in these areas is around 200,000 which is less than half the national average. This segment has high rent potential due to their low income most can’t afford to own homes.   </v>
          </cell>
        </row>
        <row r="65">
          <cell r="B65" t="str">
            <v>60 - Value Villagers</v>
          </cell>
          <cell r="D65" t="str">
            <v>Yes</v>
          </cell>
          <cell r="E65" t="str">
            <v>Found in both major markets, and smaller secondary cities these households are typically located in older downscale industrial neighbourhoods. With a preference for older housing product, they are found in both semis, and detached homes with 80% owning their own homes. Their private lives are relatively modest as they work a mix of service oriented and blue-collar jobs. Although a majority own their own homes a small proportion rent and as such are likely to represent a small proportion of potential renters at the subject site.</v>
          </cell>
        </row>
        <row r="66">
          <cell r="B66" t="str">
            <v>61 - Came From Away</v>
          </cell>
          <cell r="D66" t="str">
            <v>No</v>
          </cell>
          <cell r="E66" t="str">
            <v xml:space="preserve">Once home to young immigrants, Came From Away represent a large proportion of foreign born residents, now between the ages of 25 and 44 years old. Many are single and lone-parent families who live in
apartments and earn low incomes in their blue-collar
jobs. This is not strong renter group given that these
individuals are typically shelter renters, earning below average incomes </v>
          </cell>
        </row>
        <row r="67">
          <cell r="B67" t="str">
            <v>62 - Suburban Recliners</v>
          </cell>
          <cell r="D67" t="str">
            <v>Yes</v>
          </cell>
          <cell r="E67" t="str">
            <v xml:space="preserve">These households are typically comprised of empty nester couple and older singles, many of which live in retirement communities, or in smaller suburban communities. Approximately 40% are already retired and are over the age of 65. Typically found in both single-family homes and low-rise apartments these individuals have an equal likelihood of either owning or renting their home. These individuals are likely to represent a significant proportion of the rental demand at the subject site once brought to market. </v>
          </cell>
        </row>
        <row r="68">
          <cell r="B68" t="str">
            <v>63 - Amants de la Nature</v>
          </cell>
          <cell r="D68" t="str">
            <v>No</v>
          </cell>
          <cell r="E68" t="str">
            <v xml:space="preserve">This segment is the most remote. One-third of these residents are over the age of 65 and more than half are over 55. Most of these households consist of singles and couples. Only 10 percent of this segment have earned university degrees. Those still in the workforce hold low-level blue-collar and service sector job in agriculture, natural resources and construction. These residents earn a lower-middle income. With such low incomes more residents own small inexpensive single detached homes. Not high renter potential in this segment as most own homes in remote areas  </v>
          </cell>
        </row>
        <row r="69">
          <cell r="B69" t="str">
            <v>64 - Midtown Movers</v>
          </cell>
          <cell r="D69" t="str">
            <v>Yes</v>
          </cell>
          <cell r="E69" t="str">
            <v>Midtown Movers reflects the arrival of newcomers in established neighbourhoods of large cities beyond Toronto and Vancouver. One-third of Midtown Movers are immigrants, with 45% of the population identifying as visible minorities. Households consist of younger singles and middle-aged families, most of which work in manufacturing, services and the trades. Nearly 55% are rents making this segment a strong renter group.</v>
          </cell>
        </row>
        <row r="70">
          <cell r="B70" t="str">
            <v>65 - Ages &amp; Traditionnels</v>
          </cell>
          <cell r="D70" t="str">
            <v>Yes</v>
          </cell>
          <cell r="E70" t="str">
            <v>This segment has the lowest household income in Canada. These households mostly consist of retired francophone singles. This segment has one of the highest concentration of retirees. More than a third of these residents are over the age of 65. Those still in the working hold low-paying blue-collar and service sector jobs. Most of these residents rent older, low-rise apartments and duplexes. This segment resides in quieter, central neighbourhoods in Quebec like Trois-Riveres, Drummondville and Shawinigan. This segment does have high renter potential as most rent due to very low incomes.</v>
          </cell>
        </row>
        <row r="71">
          <cell r="B71" t="str">
            <v>66 - Indigenous Families</v>
          </cell>
          <cell r="D71" t="str">
            <v>No</v>
          </cell>
          <cell r="E71" t="str">
            <v xml:space="preserve">95 percent of this segment is from indigenous origin. Theses households tend to consist of younger and middle-aged families. These families live in remote communities. More than 70 percent of these residents live in single detached homes of this 70 percent, 20 percent is band housing. These residents hold moderate educations with 40 percent attaining college or trade degrees. This segment has a much high unemployment rate than the national average. Those who do have jobs hold lower- middle income jobs primarily in industries such as health care, education and trades. This segment does not have high renter potential as most live in band housing in remote areas. </v>
          </cell>
        </row>
        <row r="72">
          <cell r="B72" t="str">
            <v>67 - Just Getting By</v>
          </cell>
          <cell r="D72" t="str">
            <v>Yes</v>
          </cell>
          <cell r="E72" t="str">
            <v xml:space="preserve">The most economically challenged household segment. This segment is home to a mix of young low incomes singles and lone-parent families typically located around major cities and in secondary markets. More than half are single, divorced, or separated and over a third are single parents. A majority work in low skill professions and are typically found renting in older low-rise apartment buildings as they lack the means of home ownership. These individuals are likely to represent a minority of renters at the subject site as a majority reside in more affordable older stock rentals. </v>
          </cell>
        </row>
      </sheetData>
      <sheetData sheetId="35">
        <row r="3">
          <cell r="B3" t="str">
            <v>City</v>
          </cell>
          <cell r="C3" t="str">
            <v>CMHC Avg Rent 2 Bed (2020)</v>
          </cell>
          <cell r="D3" t="str">
            <v>Comparable Building</v>
          </cell>
          <cell r="E3" t="str">
            <v>Address</v>
          </cell>
          <cell r="F3" t="str">
            <v xml:space="preserve">Example Rent 2 Bed </v>
          </cell>
          <cell r="G3" t="str">
            <v>Difference</v>
          </cell>
        </row>
        <row r="4">
          <cell r="B4" t="str">
            <v>Abbotsford (City)</v>
          </cell>
          <cell r="C4">
            <v>1169</v>
          </cell>
          <cell r="D4" t="str">
            <v>The Rex</v>
          </cell>
          <cell r="E4" t="str">
            <v>101 - 33677 King Road, Abbotsford, BC</v>
          </cell>
          <cell r="F4">
            <v>1950</v>
          </cell>
          <cell r="G4">
            <v>781</v>
          </cell>
        </row>
        <row r="5">
          <cell r="B5" t="str">
            <v>Ajax (Town)</v>
          </cell>
          <cell r="C5">
            <v>1362</v>
          </cell>
          <cell r="D5" t="str">
            <v>Vision at Pat Bayly Square</v>
          </cell>
          <cell r="E5" t="str">
            <v>73 Bayly Street, Ajax, ON</v>
          </cell>
          <cell r="F5">
            <v>2250</v>
          </cell>
          <cell r="G5">
            <v>888</v>
          </cell>
        </row>
        <row r="6">
          <cell r="B6" t="str">
            <v>Arnprior (Town)</v>
          </cell>
          <cell r="C6">
            <v>863</v>
          </cell>
          <cell r="D6" t="str">
            <v>379 John Street</v>
          </cell>
          <cell r="E6" t="str">
            <v>379 John Street, Arnprior, ON</v>
          </cell>
          <cell r="F6">
            <v>1360</v>
          </cell>
          <cell r="G6">
            <v>497</v>
          </cell>
        </row>
        <row r="7">
          <cell r="B7" t="str">
            <v>Aurora (Town)</v>
          </cell>
          <cell r="C7">
            <v>1543</v>
          </cell>
          <cell r="D7" t="str">
            <v>Ferndale Gardens Apartments</v>
          </cell>
          <cell r="E7" t="str">
            <v>430 Ferndale Drive S, Barrie, ON</v>
          </cell>
          <cell r="F7">
            <v>2440</v>
          </cell>
          <cell r="G7">
            <v>897</v>
          </cell>
        </row>
        <row r="8">
          <cell r="B8" t="str">
            <v>Barrie (City)</v>
          </cell>
          <cell r="C8">
            <v>1401</v>
          </cell>
          <cell r="D8" t="str">
            <v>Ferndale Gardens Apartments</v>
          </cell>
          <cell r="E8" t="str">
            <v>430 Ferndale Drive S, Barrie, ON</v>
          </cell>
          <cell r="F8">
            <v>2440</v>
          </cell>
          <cell r="G8">
            <v>1039</v>
          </cell>
        </row>
        <row r="9">
          <cell r="B9" t="str">
            <v>Belleville (City)</v>
          </cell>
          <cell r="C9">
            <v>1231</v>
          </cell>
          <cell r="D9" t="str">
            <v>Hillview Towers</v>
          </cell>
          <cell r="E9" t="str">
            <v>60 Bridge Street W, Belleville, ON</v>
          </cell>
          <cell r="F9">
            <v>1727</v>
          </cell>
          <cell r="G9">
            <v>496</v>
          </cell>
        </row>
        <row r="10">
          <cell r="B10" t="str">
            <v>Bracebridge (Town)</v>
          </cell>
          <cell r="C10">
            <v>1176</v>
          </cell>
          <cell r="D10" t="str">
            <v>Westwood Apartments</v>
          </cell>
          <cell r="E10" t="str">
            <v>135 Quebec Street, Bracebridge, ON</v>
          </cell>
          <cell r="F10">
            <v>1450</v>
          </cell>
          <cell r="G10">
            <v>274</v>
          </cell>
        </row>
        <row r="11">
          <cell r="B11" t="str">
            <v>Brampton (City)</v>
          </cell>
          <cell r="C11">
            <v>1515</v>
          </cell>
          <cell r="D11" t="str">
            <v>188 Cityview Apartments</v>
          </cell>
          <cell r="E11" t="str">
            <v>188 Clark Boulevard, Brampton, ON</v>
          </cell>
          <cell r="F11">
            <v>2225</v>
          </cell>
          <cell r="G11">
            <v>710</v>
          </cell>
        </row>
        <row r="12">
          <cell r="B12" t="str">
            <v>Brantford (City)</v>
          </cell>
          <cell r="C12">
            <v>1117</v>
          </cell>
          <cell r="D12" t="str">
            <v>Harris Place</v>
          </cell>
          <cell r="E12" t="str">
            <v>335 Dunsdon Street</v>
          </cell>
          <cell r="F12">
            <v>2100</v>
          </cell>
          <cell r="G12">
            <v>983</v>
          </cell>
        </row>
        <row r="13">
          <cell r="B13" t="str">
            <v>Brockville (City)</v>
          </cell>
          <cell r="C13">
            <v>990</v>
          </cell>
          <cell r="D13" t="str">
            <v>Multirez Rentals</v>
          </cell>
          <cell r="E13" t="str">
            <v>15 Gilmour St, Brockville, ON</v>
          </cell>
          <cell r="F13">
            <v>1325</v>
          </cell>
          <cell r="G13">
            <v>335</v>
          </cell>
        </row>
        <row r="14">
          <cell r="B14" t="str">
            <v>Burlington (City)</v>
          </cell>
          <cell r="C14">
            <v>1623</v>
          </cell>
          <cell r="D14" t="str">
            <v>The Village at Bronte Harbour</v>
          </cell>
          <cell r="E14" t="str">
            <v>160 Bronte Rd, Oakville, ON</v>
          </cell>
          <cell r="F14">
            <v>4000</v>
          </cell>
          <cell r="G14">
            <v>2377</v>
          </cell>
        </row>
        <row r="15">
          <cell r="B15" t="str">
            <v>Calgary (City)</v>
          </cell>
          <cell r="C15">
            <v>1321</v>
          </cell>
          <cell r="D15" t="str">
            <v>The Vic on 5th</v>
          </cell>
          <cell r="E15" t="str">
            <v>1124 5 Ave NW, Calgary, AB</v>
          </cell>
          <cell r="F15">
            <v>2250</v>
          </cell>
          <cell r="G15">
            <v>929</v>
          </cell>
        </row>
        <row r="16">
          <cell r="B16" t="str">
            <v>Cambridge (City)</v>
          </cell>
          <cell r="C16">
            <v>1242</v>
          </cell>
          <cell r="D16" t="str">
            <v>Greenbrier Place 2</v>
          </cell>
          <cell r="E16" t="str">
            <v>180 Greenbrier Rd, Cambridge, ON</v>
          </cell>
          <cell r="F16">
            <v>1875</v>
          </cell>
          <cell r="G16">
            <v>633</v>
          </cell>
        </row>
        <row r="17">
          <cell r="B17" t="str">
            <v>Carleton Place (Town)</v>
          </cell>
          <cell r="C17">
            <v>1022</v>
          </cell>
          <cell r="D17" t="str">
            <v>Johanne's Court</v>
          </cell>
          <cell r="E17" t="str">
            <v>258 Coleman St, Carleton Place, ON</v>
          </cell>
          <cell r="F17">
            <v>2850</v>
          </cell>
          <cell r="G17">
            <v>1828</v>
          </cell>
        </row>
        <row r="18">
          <cell r="B18" t="str">
            <v>Chatham-Kent (MU)</v>
          </cell>
          <cell r="C18">
            <v>881</v>
          </cell>
          <cell r="D18" t="str">
            <v>The Boardwalk</v>
          </cell>
          <cell r="E18" t="str">
            <v>121 King St W., Chatham, ON</v>
          </cell>
          <cell r="F18">
            <v>2550</v>
          </cell>
          <cell r="G18">
            <v>1669</v>
          </cell>
        </row>
        <row r="19">
          <cell r="B19" t="str">
            <v>Chilliwack (City)</v>
          </cell>
          <cell r="C19">
            <v>1103</v>
          </cell>
          <cell r="D19" t="str">
            <v>Lindy's Apartment</v>
          </cell>
          <cell r="E19" t="str">
            <v>44565 Vandell Dr, Chilliwack, BC</v>
          </cell>
          <cell r="F19">
            <v>1600</v>
          </cell>
          <cell r="G19">
            <v>497</v>
          </cell>
        </row>
        <row r="20">
          <cell r="B20" t="str">
            <v>Collingwood (Town)</v>
          </cell>
          <cell r="C20">
            <v>1192</v>
          </cell>
          <cell r="D20" t="str">
            <v>Riverside Apartments</v>
          </cell>
          <cell r="E20" t="str">
            <v>417 Peel St, Collingwood, ON</v>
          </cell>
          <cell r="F20">
            <v>2545</v>
          </cell>
          <cell r="G20">
            <v>1353</v>
          </cell>
        </row>
        <row r="21">
          <cell r="B21" t="str">
            <v>Cornwall (City)</v>
          </cell>
          <cell r="C21">
            <v>898</v>
          </cell>
          <cell r="D21" t="str">
            <v>Lorneville Apartments</v>
          </cell>
          <cell r="E21" t="str">
            <v>1450 First St E, Cornwall, ON</v>
          </cell>
          <cell r="F21">
            <v>1950</v>
          </cell>
          <cell r="G21">
            <v>1052</v>
          </cell>
        </row>
        <row r="22">
          <cell r="B22" t="str">
            <v>Delta (DM)</v>
          </cell>
          <cell r="C22">
            <v>1328</v>
          </cell>
          <cell r="D22" t="str">
            <v>Beach Towers</v>
          </cell>
          <cell r="E22" t="str">
            <v>1600 Beach Ave, Delta, BC</v>
          </cell>
          <cell r="F22">
            <v>3200</v>
          </cell>
          <cell r="G22">
            <v>1872</v>
          </cell>
        </row>
        <row r="23">
          <cell r="B23" t="str">
            <v>Edmonton (City)</v>
          </cell>
          <cell r="C23">
            <v>1274</v>
          </cell>
          <cell r="D23" t="str">
            <v>Mayfair on Jasper</v>
          </cell>
          <cell r="E23" t="str">
            <v>10803 Jasper Ave NW, Edmonton, AB</v>
          </cell>
          <cell r="F23">
            <v>1875</v>
          </cell>
          <cell r="G23">
            <v>601</v>
          </cell>
        </row>
        <row r="24">
          <cell r="B24" t="str">
            <v>Gravenhurst (Town)</v>
          </cell>
          <cell r="C24">
            <v>1040</v>
          </cell>
          <cell r="D24" t="str">
            <v>Cherokee Court Apartments</v>
          </cell>
          <cell r="E24" t="str">
            <v xml:space="preserve">165 Old Muskoka Rd, Gravenhurst, ON </v>
          </cell>
          <cell r="F24">
            <v>1315</v>
          </cell>
          <cell r="G24">
            <v>275</v>
          </cell>
        </row>
        <row r="25">
          <cell r="B25" t="str">
            <v>Grimsby (Town)</v>
          </cell>
          <cell r="C25">
            <v>1029</v>
          </cell>
          <cell r="D25" t="str">
            <v>Grimsby Apartments</v>
          </cell>
          <cell r="E25" t="str">
            <v>1 Slessor Boulevard, Grimsby, ON</v>
          </cell>
          <cell r="F25">
            <v>1610</v>
          </cell>
          <cell r="G25">
            <v>581</v>
          </cell>
        </row>
        <row r="26">
          <cell r="B26" t="str">
            <v>Guelph (City)</v>
          </cell>
          <cell r="C26">
            <v>1367</v>
          </cell>
          <cell r="D26" t="str">
            <v>URBN Lofts</v>
          </cell>
          <cell r="E26" t="str">
            <v>98 Farley Drive, Guelph, ON</v>
          </cell>
          <cell r="F26">
            <v>2145</v>
          </cell>
          <cell r="G26">
            <v>778</v>
          </cell>
        </row>
        <row r="27">
          <cell r="B27" t="str">
            <v>Halifax (RGM)</v>
          </cell>
          <cell r="C27">
            <v>1254</v>
          </cell>
          <cell r="D27" t="str">
            <v>The Curve at South Park</v>
          </cell>
          <cell r="E27" t="str">
            <v>1581 South Park St, Halifax, NS</v>
          </cell>
          <cell r="F27">
            <v>2200</v>
          </cell>
          <cell r="G27">
            <v>946</v>
          </cell>
        </row>
        <row r="28">
          <cell r="B28" t="str">
            <v>Hamilton (City)</v>
          </cell>
          <cell r="C28">
            <v>1184</v>
          </cell>
          <cell r="D28" t="str">
            <v>Marquee Residence</v>
          </cell>
          <cell r="E28" t="str">
            <v>20 George Street, Hamilton, ON</v>
          </cell>
          <cell r="F28">
            <v>2500</v>
          </cell>
          <cell r="G28">
            <v>1316</v>
          </cell>
        </row>
        <row r="29">
          <cell r="B29" t="str">
            <v>Kanata-Stittsville</v>
          </cell>
          <cell r="C29">
            <v>2495</v>
          </cell>
          <cell r="D29" t="str">
            <v>Williams Court at Kanata Lakes</v>
          </cell>
          <cell r="E29" t="str">
            <v>1203 Maritime Way, Ottawa, ON</v>
          </cell>
          <cell r="F29">
            <v>3600</v>
          </cell>
          <cell r="G29">
            <v>1105</v>
          </cell>
        </row>
        <row r="30">
          <cell r="B30" t="str">
            <v>Kawartha Lakes</v>
          </cell>
          <cell r="C30">
            <v>1252</v>
          </cell>
          <cell r="D30" t="str">
            <v>Y-Lofts</v>
          </cell>
          <cell r="E30" t="str">
            <v>475 George St N, Peterborough, ON</v>
          </cell>
          <cell r="F30">
            <v>2620</v>
          </cell>
          <cell r="G30">
            <v>1368</v>
          </cell>
        </row>
        <row r="31">
          <cell r="B31" t="str">
            <v>Kingston (City)</v>
          </cell>
          <cell r="C31">
            <v>1335</v>
          </cell>
          <cell r="D31" t="str">
            <v>The Wellington</v>
          </cell>
          <cell r="E31" t="str">
            <v>745 Highway 15, Kingston, ON</v>
          </cell>
          <cell r="F31">
            <v>2400</v>
          </cell>
          <cell r="G31">
            <v>1065</v>
          </cell>
        </row>
        <row r="32">
          <cell r="B32" t="str">
            <v>Kitchener (City)</v>
          </cell>
          <cell r="C32">
            <v>1243</v>
          </cell>
          <cell r="D32" t="str">
            <v>The Mark Flats</v>
          </cell>
          <cell r="E32" t="str">
            <v>388 King St E, Kitchener, ON</v>
          </cell>
          <cell r="F32">
            <v>2345</v>
          </cell>
          <cell r="G32">
            <v>1102</v>
          </cell>
        </row>
        <row r="33">
          <cell r="B33" t="str">
            <v>Langley (City)</v>
          </cell>
          <cell r="C33">
            <v>1486</v>
          </cell>
          <cell r="D33" t="str">
            <v>The Meridian</v>
          </cell>
          <cell r="E33" t="str">
            <v>5363 201 St., Langley, BC</v>
          </cell>
          <cell r="F33">
            <v>1850</v>
          </cell>
          <cell r="G33">
            <v>364</v>
          </cell>
        </row>
        <row r="34">
          <cell r="B34" t="str">
            <v>Leamington (MU)</v>
          </cell>
          <cell r="C34">
            <v>1241</v>
          </cell>
          <cell r="D34" t="str">
            <v>Seacliff Heights II</v>
          </cell>
          <cell r="E34" t="str">
            <v>50 Seacliff Dr E, Leamington, ON</v>
          </cell>
          <cell r="F34">
            <v>2460</v>
          </cell>
          <cell r="G34">
            <v>1219</v>
          </cell>
        </row>
        <row r="35">
          <cell r="B35" t="str">
            <v>London (City)</v>
          </cell>
          <cell r="C35">
            <v>1223</v>
          </cell>
          <cell r="D35" t="str">
            <v>940 On the Park</v>
          </cell>
          <cell r="E35" t="str">
            <v>940 Springbank Dr., London, ON</v>
          </cell>
          <cell r="F35">
            <v>2800</v>
          </cell>
          <cell r="G35">
            <v>1577</v>
          </cell>
        </row>
        <row r="36">
          <cell r="B36" t="str">
            <v>Maple Ridge (City)</v>
          </cell>
          <cell r="C36">
            <v>1210</v>
          </cell>
          <cell r="D36" t="str">
            <v>Ridgewood Place</v>
          </cell>
          <cell r="E36" t="str">
            <v>12161 223 St., Maple Ridge, BC</v>
          </cell>
          <cell r="F36">
            <v>2125</v>
          </cell>
          <cell r="G36">
            <v>915</v>
          </cell>
        </row>
        <row r="37">
          <cell r="B37" t="str">
            <v>Markham (City)</v>
          </cell>
          <cell r="C37">
            <v>1600</v>
          </cell>
          <cell r="D37" t="str">
            <v>The Foresite - Liberty Suites</v>
          </cell>
          <cell r="E37" t="str">
            <v>65 Times Ave, Thornhill, ON</v>
          </cell>
          <cell r="F37">
            <v>2100</v>
          </cell>
          <cell r="G37">
            <v>500</v>
          </cell>
        </row>
        <row r="38">
          <cell r="B38" t="str">
            <v>Meaford (Municipality)</v>
          </cell>
          <cell r="C38">
            <v>945</v>
          </cell>
          <cell r="D38" t="str">
            <v>Riverside Apartments</v>
          </cell>
          <cell r="E38" t="str">
            <v>417 Peel St, Collingwood, ON</v>
          </cell>
          <cell r="F38">
            <v>2545</v>
          </cell>
          <cell r="G38">
            <v>1600</v>
          </cell>
        </row>
        <row r="39">
          <cell r="B39" t="str">
            <v>Midland (Town)</v>
          </cell>
          <cell r="C39">
            <v>1153</v>
          </cell>
          <cell r="D39" t="str">
            <v>Baypoint Villas</v>
          </cell>
          <cell r="E39" t="str">
            <v>151 Marina Park Ave, Midland, ON</v>
          </cell>
          <cell r="F39">
            <v>1955</v>
          </cell>
          <cell r="G39">
            <v>802</v>
          </cell>
        </row>
        <row r="40">
          <cell r="B40" t="str">
            <v>Milton (Town)</v>
          </cell>
          <cell r="C40">
            <v>1402</v>
          </cell>
          <cell r="D40" t="str">
            <v>The Taunton (Oakville)</v>
          </cell>
          <cell r="E40" t="str">
            <v>2333 Taunton Rd., Oakville, ON</v>
          </cell>
          <cell r="F40">
            <v>2900</v>
          </cell>
          <cell r="G40">
            <v>1498</v>
          </cell>
        </row>
        <row r="41">
          <cell r="B41" t="str">
            <v>Mission (DM)</v>
          </cell>
          <cell r="C41">
            <v>909</v>
          </cell>
          <cell r="D41" t="str">
            <v>Lindy's Apartment</v>
          </cell>
          <cell r="E41" t="str">
            <v>44565 Vandell Dr, Chilliwack, BC</v>
          </cell>
          <cell r="F41">
            <v>1600</v>
          </cell>
          <cell r="G41">
            <v>691</v>
          </cell>
        </row>
        <row r="42">
          <cell r="B42" t="str">
            <v>Mississauga (City)</v>
          </cell>
          <cell r="C42">
            <v>1555</v>
          </cell>
          <cell r="D42" t="str">
            <v>The Huron</v>
          </cell>
          <cell r="E42" t="str">
            <v>2475 Hurontario St, Mississauga, ON</v>
          </cell>
          <cell r="F42">
            <v>2518</v>
          </cell>
          <cell r="G42">
            <v>963</v>
          </cell>
        </row>
        <row r="43">
          <cell r="B43" t="str">
            <v>Newmarket (City)</v>
          </cell>
          <cell r="C43">
            <v>1527</v>
          </cell>
          <cell r="D43" t="str">
            <v>Davis Apartments</v>
          </cell>
          <cell r="E43" t="str">
            <v>212 Davis Drive, Newmarket, ON</v>
          </cell>
          <cell r="F43">
            <v>2300</v>
          </cell>
          <cell r="G43">
            <v>773</v>
          </cell>
        </row>
        <row r="44">
          <cell r="B44" t="str">
            <v>Niagara Falls (City)</v>
          </cell>
          <cell r="C44">
            <v>1098</v>
          </cell>
          <cell r="D44" t="str">
            <v>The Bellagio</v>
          </cell>
          <cell r="E44" t="str">
            <v>6515 Mcleod Rd, Niagara Falls, ON</v>
          </cell>
          <cell r="F44">
            <v>1810</v>
          </cell>
          <cell r="G44">
            <v>712</v>
          </cell>
        </row>
        <row r="45">
          <cell r="B45" t="str">
            <v>Oakville (Town)</v>
          </cell>
          <cell r="C45">
            <v>1746</v>
          </cell>
          <cell r="D45" t="str">
            <v>The Village at Bronte Harbour</v>
          </cell>
          <cell r="E45" t="str">
            <v>160 Bronte Rd, Oakville, ON</v>
          </cell>
          <cell r="F45">
            <v>4000</v>
          </cell>
          <cell r="G45">
            <v>2254</v>
          </cell>
        </row>
        <row r="46">
          <cell r="B46" t="str">
            <v>Orillia (City)</v>
          </cell>
          <cell r="C46">
            <v>1110</v>
          </cell>
          <cell r="D46" t="str">
            <v>Ferndale Gardens Apartments</v>
          </cell>
          <cell r="E46" t="str">
            <v>430 Ferndale Drive S, Barrie, ON</v>
          </cell>
          <cell r="F46">
            <v>2440</v>
          </cell>
          <cell r="G46">
            <v>1330</v>
          </cell>
        </row>
        <row r="47">
          <cell r="B47" t="str">
            <v>Oshawa (City)</v>
          </cell>
          <cell r="C47">
            <v>1360</v>
          </cell>
          <cell r="D47" t="str">
            <v>100 Bond</v>
          </cell>
          <cell r="E47" t="str">
            <v>100 Bond Street E, Oshawa, ON</v>
          </cell>
          <cell r="F47">
            <v>2300</v>
          </cell>
          <cell r="G47">
            <v>940</v>
          </cell>
        </row>
        <row r="48">
          <cell r="B48" t="str">
            <v>Ottawa (City)</v>
          </cell>
          <cell r="C48">
            <v>1519</v>
          </cell>
          <cell r="D48" t="str">
            <v>Claridge Onyx</v>
          </cell>
          <cell r="E48" t="str">
            <v>287 Lisgar St, Ottawa, ON</v>
          </cell>
          <cell r="F48">
            <v>2350</v>
          </cell>
          <cell r="G48">
            <v>831</v>
          </cell>
        </row>
        <row r="49">
          <cell r="B49" t="str">
            <v>Owen Sound (City)</v>
          </cell>
          <cell r="C49">
            <v>1008</v>
          </cell>
          <cell r="D49" t="str">
            <v>Summerside Apartments (Port Elgin)</v>
          </cell>
          <cell r="E49" t="str">
            <v>1041-1045 Waterloo St., Port Elgin</v>
          </cell>
          <cell r="F49">
            <v>1750</v>
          </cell>
          <cell r="G49">
            <v>742</v>
          </cell>
        </row>
        <row r="50">
          <cell r="B50" t="str">
            <v>Pembroke (City)</v>
          </cell>
          <cell r="C50">
            <v>981</v>
          </cell>
          <cell r="D50" t="str">
            <v>379 John Street</v>
          </cell>
          <cell r="E50" t="str">
            <v>379 John Street, Arnprior, ON</v>
          </cell>
          <cell r="F50">
            <v>1360</v>
          </cell>
          <cell r="G50">
            <v>379</v>
          </cell>
        </row>
        <row r="51">
          <cell r="B51" t="str">
            <v>Penetanguishene (Town)</v>
          </cell>
          <cell r="C51">
            <v>857</v>
          </cell>
          <cell r="D51" t="str">
            <v>Baypoint Villas</v>
          </cell>
          <cell r="E51" t="str">
            <v>151 Marina Park Ave, Midland, ON</v>
          </cell>
          <cell r="F51">
            <v>1955</v>
          </cell>
          <cell r="G51">
            <v>1098</v>
          </cell>
        </row>
        <row r="52">
          <cell r="B52" t="str">
            <v>Peterborough (City)</v>
          </cell>
          <cell r="C52">
            <v>1189</v>
          </cell>
          <cell r="D52" t="str">
            <v>Y-Lofts</v>
          </cell>
          <cell r="E52" t="str">
            <v>475 George St N, Peterborough, ON</v>
          </cell>
          <cell r="F52">
            <v>2620</v>
          </cell>
          <cell r="G52">
            <v>1431</v>
          </cell>
        </row>
        <row r="53">
          <cell r="B53" t="str">
            <v>Pickering (City)</v>
          </cell>
          <cell r="C53" t="str">
            <v>**</v>
          </cell>
          <cell r="D53" t="str">
            <v>Vision at Pat Bayly Square</v>
          </cell>
          <cell r="E53" t="str">
            <v>73 Bayly Street, Ajax, ON</v>
          </cell>
          <cell r="F53">
            <v>2250</v>
          </cell>
          <cell r="G53" t="e">
            <v>#VALUE!</v>
          </cell>
        </row>
        <row r="54">
          <cell r="B54" t="str">
            <v>Port Coquitlam (City)</v>
          </cell>
          <cell r="C54">
            <v>1846</v>
          </cell>
          <cell r="D54" t="str">
            <v>Mosaic Fremont Living</v>
          </cell>
          <cell r="E54" t="str">
            <v>553 Seaborne Place</v>
          </cell>
          <cell r="F54">
            <v>2425</v>
          </cell>
          <cell r="G54">
            <v>579</v>
          </cell>
        </row>
        <row r="55">
          <cell r="B55" t="str">
            <v>Regina (City)</v>
          </cell>
          <cell r="C55">
            <v>1158</v>
          </cell>
          <cell r="D55" t="str">
            <v>Harbour View Estates</v>
          </cell>
          <cell r="E55" t="str">
            <v>5501 Prefontaine Avenue, Regina, SK</v>
          </cell>
          <cell r="F55">
            <v>1300</v>
          </cell>
          <cell r="G55">
            <v>142</v>
          </cell>
        </row>
        <row r="56">
          <cell r="B56" t="str">
            <v>Richmond Hill (Town)</v>
          </cell>
          <cell r="C56">
            <v>1597</v>
          </cell>
          <cell r="D56" t="str">
            <v>Richmond Hill Apartments</v>
          </cell>
          <cell r="E56" t="str">
            <v>15 Baif Boulevard, Richmond Hill, ON</v>
          </cell>
          <cell r="F56">
            <v>2800</v>
          </cell>
          <cell r="G56">
            <v>1203</v>
          </cell>
        </row>
        <row r="57">
          <cell r="B57" t="str">
            <v>Sarnia (City)</v>
          </cell>
          <cell r="C57">
            <v>1146</v>
          </cell>
          <cell r="D57" t="str">
            <v>Marina Park Place III</v>
          </cell>
          <cell r="E57" t="str">
            <v>1295 Sandy Lane, Sarnia, ON</v>
          </cell>
          <cell r="F57">
            <v>2062</v>
          </cell>
          <cell r="G57">
            <v>916</v>
          </cell>
        </row>
        <row r="58">
          <cell r="B58" t="str">
            <v>Saskatoon (City)</v>
          </cell>
          <cell r="C58">
            <v>1171</v>
          </cell>
          <cell r="D58" t="str">
            <v>Bridgerock Terrace</v>
          </cell>
          <cell r="E58" t="str">
            <v>211 Willis Cre, Saskatoon, SK</v>
          </cell>
          <cell r="F58">
            <v>1368</v>
          </cell>
          <cell r="G58">
            <v>197</v>
          </cell>
        </row>
        <row r="59">
          <cell r="B59" t="str">
            <v>Saugeen Shores (Town)</v>
          </cell>
          <cell r="C59">
            <v>1173</v>
          </cell>
          <cell r="D59" t="str">
            <v>Summerside Apartments</v>
          </cell>
          <cell r="E59" t="str">
            <v>1041-1045 Waterloo St., Port Elgin</v>
          </cell>
          <cell r="F59">
            <v>1750</v>
          </cell>
          <cell r="G59">
            <v>577</v>
          </cell>
        </row>
        <row r="60">
          <cell r="B60" t="str">
            <v>Scarborough (Town)</v>
          </cell>
          <cell r="C60">
            <v>1437</v>
          </cell>
          <cell r="D60" t="str">
            <v>Parkside Square - Tower 1</v>
          </cell>
          <cell r="E60" t="str">
            <v>55 Smooth Rose Court, North York, ON</v>
          </cell>
          <cell r="F60">
            <v>2360</v>
          </cell>
          <cell r="G60">
            <v>923</v>
          </cell>
        </row>
        <row r="61">
          <cell r="B61" t="str">
            <v>St. Catharines (City)</v>
          </cell>
          <cell r="C61">
            <v>1230</v>
          </cell>
          <cell r="D61" t="str">
            <v>The Bellagio</v>
          </cell>
          <cell r="E61" t="str">
            <v>6515 Mcleod Rd, Niagara Falls, ON</v>
          </cell>
          <cell r="F61">
            <v>1810</v>
          </cell>
          <cell r="G61">
            <v>580</v>
          </cell>
        </row>
        <row r="62">
          <cell r="B62" t="str">
            <v>Stratford (City)</v>
          </cell>
          <cell r="C62">
            <v>1077</v>
          </cell>
          <cell r="D62" t="str">
            <v>Oxford Haus Apartments</v>
          </cell>
          <cell r="E62" t="str">
            <v>105 Oxford St. Stratford, ON</v>
          </cell>
          <cell r="F62">
            <v>1790</v>
          </cell>
          <cell r="G62">
            <v>713</v>
          </cell>
        </row>
        <row r="63">
          <cell r="B63" t="str">
            <v>Surrey (City)</v>
          </cell>
          <cell r="C63">
            <v>1293</v>
          </cell>
          <cell r="D63" t="str">
            <v>Bayview at Cole Harbour</v>
          </cell>
          <cell r="E63" t="str">
            <v>1529 West Pender St., Vancouver, BC</v>
          </cell>
          <cell r="F63">
            <v>2650</v>
          </cell>
          <cell r="G63">
            <v>1357</v>
          </cell>
        </row>
        <row r="64">
          <cell r="B64" t="str">
            <v>Timmins (City)</v>
          </cell>
          <cell r="C64">
            <v>1033</v>
          </cell>
          <cell r="D64" t="str">
            <v>Riverside Apartments</v>
          </cell>
          <cell r="E64" t="str">
            <v>1214 Riverside Dr, Timmins, ON</v>
          </cell>
          <cell r="F64">
            <v>1220</v>
          </cell>
          <cell r="G64">
            <v>187</v>
          </cell>
        </row>
        <row r="65">
          <cell r="B65" t="str">
            <v>Toronto (City)</v>
          </cell>
          <cell r="C65">
            <v>1664</v>
          </cell>
          <cell r="D65" t="str">
            <v>One 0 One</v>
          </cell>
          <cell r="E65" t="str">
            <v>101 St Clair Ave W, Toronto, ON</v>
          </cell>
          <cell r="F65">
            <v>3695</v>
          </cell>
          <cell r="G65">
            <v>2031</v>
          </cell>
        </row>
        <row r="66">
          <cell r="B66" t="str">
            <v>Vancouver (City)</v>
          </cell>
          <cell r="C66">
            <v>2094</v>
          </cell>
          <cell r="D66" t="str">
            <v>Bayview at Cole Harbour</v>
          </cell>
          <cell r="E66" t="str">
            <v>1529 West Pender St., Vancouver, BC</v>
          </cell>
          <cell r="F66">
            <v>2650</v>
          </cell>
          <cell r="G66">
            <v>556</v>
          </cell>
        </row>
        <row r="67">
          <cell r="B67" t="str">
            <v>Vaughan (City)</v>
          </cell>
          <cell r="C67" t="str">
            <v>**</v>
          </cell>
          <cell r="D67" t="str">
            <v>Primo Tower</v>
          </cell>
          <cell r="E67" t="str">
            <v>2 Vena Way, North York, ON</v>
          </cell>
          <cell r="F67">
            <v>1748</v>
          </cell>
          <cell r="G67" t="e">
            <v>#VALUE!</v>
          </cell>
        </row>
        <row r="68">
          <cell r="B68" t="str">
            <v>Victoria (City)</v>
          </cell>
          <cell r="C68">
            <v>1527</v>
          </cell>
          <cell r="D68" t="str">
            <v>Yello on Yates</v>
          </cell>
          <cell r="E68" t="str">
            <v>819 Yates St., Victoria, BC</v>
          </cell>
          <cell r="F68">
            <v>2415</v>
          </cell>
          <cell r="G68">
            <v>888</v>
          </cell>
        </row>
        <row r="69">
          <cell r="B69" t="str">
            <v>Waterloo (City)</v>
          </cell>
          <cell r="C69">
            <v>1448</v>
          </cell>
          <cell r="D69" t="str">
            <v>Fourteen Princess</v>
          </cell>
          <cell r="E69" t="str">
            <v>14 Princess St W, Waterloo, ON</v>
          </cell>
          <cell r="F69">
            <v>3050</v>
          </cell>
          <cell r="G69">
            <v>1602</v>
          </cell>
        </row>
        <row r="70">
          <cell r="B70" t="str">
            <v>Whitby (Town)</v>
          </cell>
          <cell r="C70">
            <v>1330</v>
          </cell>
          <cell r="D70" t="str">
            <v>Vision at Pat Bayly Square</v>
          </cell>
          <cell r="E70" t="str">
            <v>73 Bayly Street, Ajax, ON</v>
          </cell>
          <cell r="F70">
            <v>2250</v>
          </cell>
          <cell r="G70">
            <v>920</v>
          </cell>
        </row>
        <row r="71">
          <cell r="B71" t="str">
            <v>Windsor (City)</v>
          </cell>
          <cell r="C71">
            <v>1040</v>
          </cell>
          <cell r="D71" t="str">
            <v>Sandison Residences</v>
          </cell>
          <cell r="E71" t="str">
            <v>550 Sandison St., Windsor, ON</v>
          </cell>
          <cell r="F71">
            <v>2200</v>
          </cell>
          <cell r="G71">
            <v>1160</v>
          </cell>
        </row>
        <row r="72">
          <cell r="B72" t="str">
            <v>Winnipeg (City)</v>
          </cell>
          <cell r="C72">
            <v>1261</v>
          </cell>
          <cell r="D72" t="str">
            <v>The Onyx</v>
          </cell>
          <cell r="E72" t="str">
            <v>1792 Pembina Hwy, Winnipeg, MB</v>
          </cell>
          <cell r="F72">
            <v>1800</v>
          </cell>
          <cell r="G72">
            <v>539</v>
          </cell>
        </row>
        <row r="73">
          <cell r="B73" t="str">
            <v>Woodstock (City)</v>
          </cell>
          <cell r="C73">
            <v>1394</v>
          </cell>
          <cell r="D73" t="str">
            <v>Pembers Pass</v>
          </cell>
          <cell r="E73" t="str">
            <v>145 Pembers Pass, Woodstock, ON</v>
          </cell>
          <cell r="F73">
            <v>1890</v>
          </cell>
          <cell r="G73">
            <v>496</v>
          </cell>
        </row>
      </sheetData>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ventional Proforma"/>
      <sheetName val="Typical Conv.Operating Expenses"/>
      <sheetName val="Student Housing Proforma"/>
      <sheetName val="Student Housing Op Expenses"/>
      <sheetName val="Const Costs"/>
      <sheetName val="CMHC 2024"/>
      <sheetName val="CMHC "/>
      <sheetName val="Expense Comparison"/>
    </sheetNames>
    <sheetDataSet>
      <sheetData sheetId="0"/>
      <sheetData sheetId="1">
        <row r="85">
          <cell r="BW85">
            <v>1.1269682168445956</v>
          </cell>
          <cell r="BX85">
            <v>3.1454605637041166</v>
          </cell>
          <cell r="BZ85">
            <v>0.16904523252668927</v>
          </cell>
          <cell r="CA85">
            <v>0.47181908455561766</v>
          </cell>
          <cell r="CC85">
            <v>0.19887674414904619</v>
          </cell>
          <cell r="CD85">
            <v>3.0043212058330586</v>
          </cell>
        </row>
        <row r="86">
          <cell r="BW86">
            <v>0.64609058189958246</v>
          </cell>
          <cell r="BX86">
            <v>6.906005125652225</v>
          </cell>
          <cell r="BZ86">
            <v>9.6913587284937347E-2</v>
          </cell>
          <cell r="CA86">
            <v>1.0359007688478343</v>
          </cell>
          <cell r="CC86">
            <v>0.11401598504110276</v>
          </cell>
          <cell r="CD86">
            <v>6.906005125652225</v>
          </cell>
        </row>
        <row r="87">
          <cell r="B87" t="str">
            <v>Water &amp; Sewer</v>
          </cell>
          <cell r="BW87">
            <v>0.54094474408540583</v>
          </cell>
          <cell r="BX87">
            <v>4.7552529720763079</v>
          </cell>
          <cell r="BZ87">
            <v>8.1141711612810849E-2</v>
          </cell>
          <cell r="CA87">
            <v>0.71328794581144594</v>
          </cell>
          <cell r="CC87">
            <v>9.5460837191542164E-2</v>
          </cell>
          <cell r="CD87">
            <v>4.7552529720763062</v>
          </cell>
        </row>
        <row r="88">
          <cell r="BZ88">
            <v>0.43681288084896508</v>
          </cell>
          <cell r="CA88">
            <v>4.9121524898114757</v>
          </cell>
          <cell r="CC88">
            <v>0.51389750688113534</v>
          </cell>
          <cell r="CD88">
            <v>5.7427339211859252</v>
          </cell>
        </row>
        <row r="91">
          <cell r="BU91">
            <v>1202.8066978193146</v>
          </cell>
          <cell r="BX91">
            <v>426.08695652173913</v>
          </cell>
        </row>
        <row r="92">
          <cell r="BU92">
            <v>1.4346517903191525</v>
          </cell>
          <cell r="BX92">
            <v>2195.3577235772359</v>
          </cell>
        </row>
        <row r="93">
          <cell r="BU93">
            <v>8.4224722371217666</v>
          </cell>
        </row>
        <row r="94">
          <cell r="BU94">
            <v>1.2258458796157747</v>
          </cell>
        </row>
        <row r="96">
          <cell r="BU96">
            <v>20</v>
          </cell>
        </row>
        <row r="97">
          <cell r="BW97">
            <v>1517.8861788617887</v>
          </cell>
          <cell r="BX97">
            <v>4549</v>
          </cell>
        </row>
        <row r="99">
          <cell r="BW99">
            <v>300</v>
          </cell>
          <cell r="BX99">
            <v>600</v>
          </cell>
        </row>
        <row r="100">
          <cell r="BW100">
            <v>28.59349593495935</v>
          </cell>
          <cell r="BX100">
            <v>323</v>
          </cell>
        </row>
        <row r="101">
          <cell r="BW101">
            <v>500</v>
          </cell>
          <cell r="BX101">
            <v>1498.2845528455284</v>
          </cell>
        </row>
        <row r="105">
          <cell r="BS105">
            <v>800.02222776703468</v>
          </cell>
          <cell r="BW105">
            <v>600</v>
          </cell>
          <cell r="BX105">
            <v>1138</v>
          </cell>
        </row>
        <row r="106">
          <cell r="BX106">
            <v>203</v>
          </cell>
        </row>
      </sheetData>
      <sheetData sheetId="2"/>
      <sheetData sheetId="3"/>
      <sheetData sheetId="4"/>
      <sheetData sheetId="5"/>
      <sheetData sheetId="6">
        <row r="9">
          <cell r="K9" t="str">
            <v>Ontario - Wood Frame 12 units and more</v>
          </cell>
          <cell r="O9">
            <v>830</v>
          </cell>
          <cell r="Q9">
            <v>555</v>
          </cell>
          <cell r="U9">
            <v>0.01</v>
          </cell>
        </row>
        <row r="10">
          <cell r="K10" t="str">
            <v>Ontario - Concrete</v>
          </cell>
          <cell r="O10">
            <v>975</v>
          </cell>
          <cell r="Q10">
            <v>700</v>
          </cell>
        </row>
      </sheetData>
      <sheetData sheetId="7">
        <row r="11">
          <cell r="H11">
            <v>975</v>
          </cell>
        </row>
        <row r="15">
          <cell r="H15">
            <v>700</v>
          </cell>
        </row>
      </sheetData>
    </sheetDataSet>
  </externalBook>
</externalLink>
</file>

<file path=xl/persons/person.xml><?xml version="1.0" encoding="utf-8"?>
<personList xmlns="http://schemas.microsoft.com/office/spreadsheetml/2018/threadedcomments" xmlns:x="http://schemas.openxmlformats.org/spreadsheetml/2006/main">
  <person displayName="Noor" id="{25E31214-BB82-4D19-B0A7-8762C964A634}" userId="S::Noor.Khan@RockAdvisorsInc.com::a66cb247-c16d-4421-b5c2-58d9897e2ab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57" dT="2026-02-16T00:34:04.32" personId="{25E31214-BB82-4D19-B0A7-8762C964A634}" id="{5953EDE6-E5C1-473E-B4F9-EFF2EA8C9271}">
    <text>Net of CMHC Premium</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9.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10.bin"/><Relationship Id="rId6" Type="http://schemas.microsoft.com/office/2017/10/relationships/threadedComment" Target="../threadedComments/threadedComment1.xml"/><Relationship Id="rId5" Type="http://schemas.openxmlformats.org/officeDocument/2006/relationships/comments" Target="../comments2.xml"/><Relationship Id="rId4" Type="http://schemas.openxmlformats.org/officeDocument/2006/relationships/ctrlProp" Target="../ctrlProps/ctrlProp3.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trlProp" Target="../ctrlProps/ctrlProp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CF16-BCAF-473D-8332-A730FFFD2EB6}">
  <sheetPr>
    <tabColor theme="4" tint="0.59999389629810485"/>
    <pageSetUpPr fitToPage="1"/>
  </sheetPr>
  <dimension ref="A1:IU150"/>
  <sheetViews>
    <sheetView tabSelected="1" topLeftCell="D1" zoomScale="90" zoomScaleNormal="90" zoomScalePageLayoutView="55" workbookViewId="0">
      <selection activeCell="F3" sqref="F3"/>
    </sheetView>
  </sheetViews>
  <sheetFormatPr defaultColWidth="20.5703125" defaultRowHeight="15" x14ac:dyDescent="0.25"/>
  <cols>
    <col min="1" max="1" width="5.140625" style="443" customWidth="1"/>
    <col min="2" max="2" width="19.85546875" style="443" customWidth="1"/>
    <col min="3" max="3" width="22.42578125" style="443" customWidth="1"/>
    <col min="4" max="4" width="33.5703125" style="551" customWidth="1"/>
    <col min="5" max="5" width="56.85546875" style="551" customWidth="1"/>
    <col min="6" max="6" width="24.5703125" style="760" customWidth="1"/>
    <col min="7" max="7" width="29.42578125" style="761" bestFit="1" customWidth="1"/>
    <col min="8" max="8" width="26.42578125" style="761" bestFit="1" customWidth="1"/>
    <col min="9" max="10" width="22.5703125" style="761" bestFit="1" customWidth="1"/>
    <col min="11" max="11" width="22.5703125" style="443" bestFit="1" customWidth="1"/>
    <col min="12" max="12" width="29.85546875" style="443" customWidth="1"/>
    <col min="13" max="13" width="13.42578125" style="443" customWidth="1"/>
    <col min="14" max="14" width="9.140625" style="443" customWidth="1"/>
    <col min="15" max="15" width="10" style="443" bestFit="1" customWidth="1"/>
    <col min="16" max="16" width="9.85546875" style="443" customWidth="1"/>
    <col min="17" max="17" width="11.42578125" style="443" customWidth="1"/>
    <col min="18" max="250" width="9.140625" style="443" customWidth="1"/>
    <col min="251" max="251" width="9" style="443" customWidth="1"/>
    <col min="252" max="256" width="20.5703125" style="443"/>
    <col min="257" max="257" width="5.140625" style="443" customWidth="1"/>
    <col min="258" max="258" width="19.85546875" style="443" customWidth="1"/>
    <col min="259" max="259" width="22.42578125" style="443" customWidth="1"/>
    <col min="260" max="260" width="33.5703125" style="443" customWidth="1"/>
    <col min="261" max="261" width="56.85546875" style="443" customWidth="1"/>
    <col min="262" max="262" width="24.5703125" style="443" customWidth="1"/>
    <col min="263" max="263" width="29.42578125" style="443" bestFit="1" customWidth="1"/>
    <col min="264" max="264" width="26.42578125" style="443" bestFit="1" customWidth="1"/>
    <col min="265" max="267" width="22.5703125" style="443" bestFit="1" customWidth="1"/>
    <col min="268" max="268" width="29.85546875" style="443" customWidth="1"/>
    <col min="269" max="269" width="13.42578125" style="443" customWidth="1"/>
    <col min="270" max="270" width="9.140625" style="443" customWidth="1"/>
    <col min="271" max="271" width="10" style="443" bestFit="1" customWidth="1"/>
    <col min="272" max="272" width="9.85546875" style="443" customWidth="1"/>
    <col min="273" max="273" width="11.42578125" style="443" customWidth="1"/>
    <col min="274" max="506" width="9.140625" style="443" customWidth="1"/>
    <col min="507" max="507" width="9" style="443" customWidth="1"/>
    <col min="508" max="512" width="20.5703125" style="443"/>
    <col min="513" max="513" width="5.140625" style="443" customWidth="1"/>
    <col min="514" max="514" width="19.85546875" style="443" customWidth="1"/>
    <col min="515" max="515" width="22.42578125" style="443" customWidth="1"/>
    <col min="516" max="516" width="33.5703125" style="443" customWidth="1"/>
    <col min="517" max="517" width="56.85546875" style="443" customWidth="1"/>
    <col min="518" max="518" width="24.5703125" style="443" customWidth="1"/>
    <col min="519" max="519" width="29.42578125" style="443" bestFit="1" customWidth="1"/>
    <col min="520" max="520" width="26.42578125" style="443" bestFit="1" customWidth="1"/>
    <col min="521" max="523" width="22.5703125" style="443" bestFit="1" customWidth="1"/>
    <col min="524" max="524" width="29.85546875" style="443" customWidth="1"/>
    <col min="525" max="525" width="13.42578125" style="443" customWidth="1"/>
    <col min="526" max="526" width="9.140625" style="443" customWidth="1"/>
    <col min="527" max="527" width="10" style="443" bestFit="1" customWidth="1"/>
    <col min="528" max="528" width="9.85546875" style="443" customWidth="1"/>
    <col min="529" max="529" width="11.42578125" style="443" customWidth="1"/>
    <col min="530" max="762" width="9.140625" style="443" customWidth="1"/>
    <col min="763" max="763" width="9" style="443" customWidth="1"/>
    <col min="764" max="768" width="20.5703125" style="443"/>
    <col min="769" max="769" width="5.140625" style="443" customWidth="1"/>
    <col min="770" max="770" width="19.85546875" style="443" customWidth="1"/>
    <col min="771" max="771" width="22.42578125" style="443" customWidth="1"/>
    <col min="772" max="772" width="33.5703125" style="443" customWidth="1"/>
    <col min="773" max="773" width="56.85546875" style="443" customWidth="1"/>
    <col min="774" max="774" width="24.5703125" style="443" customWidth="1"/>
    <col min="775" max="775" width="29.42578125" style="443" bestFit="1" customWidth="1"/>
    <col min="776" max="776" width="26.42578125" style="443" bestFit="1" customWidth="1"/>
    <col min="777" max="779" width="22.5703125" style="443" bestFit="1" customWidth="1"/>
    <col min="780" max="780" width="29.85546875" style="443" customWidth="1"/>
    <col min="781" max="781" width="13.42578125" style="443" customWidth="1"/>
    <col min="782" max="782" width="9.140625" style="443" customWidth="1"/>
    <col min="783" max="783" width="10" style="443" bestFit="1" customWidth="1"/>
    <col min="784" max="784" width="9.85546875" style="443" customWidth="1"/>
    <col min="785" max="785" width="11.42578125" style="443" customWidth="1"/>
    <col min="786" max="1018" width="9.140625" style="443" customWidth="1"/>
    <col min="1019" max="1019" width="9" style="443" customWidth="1"/>
    <col min="1020" max="1024" width="20.5703125" style="443"/>
    <col min="1025" max="1025" width="5.140625" style="443" customWidth="1"/>
    <col min="1026" max="1026" width="19.85546875" style="443" customWidth="1"/>
    <col min="1027" max="1027" width="22.42578125" style="443" customWidth="1"/>
    <col min="1028" max="1028" width="33.5703125" style="443" customWidth="1"/>
    <col min="1029" max="1029" width="56.85546875" style="443" customWidth="1"/>
    <col min="1030" max="1030" width="24.5703125" style="443" customWidth="1"/>
    <col min="1031" max="1031" width="29.42578125" style="443" bestFit="1" customWidth="1"/>
    <col min="1032" max="1032" width="26.42578125" style="443" bestFit="1" customWidth="1"/>
    <col min="1033" max="1035" width="22.5703125" style="443" bestFit="1" customWidth="1"/>
    <col min="1036" max="1036" width="29.85546875" style="443" customWidth="1"/>
    <col min="1037" max="1037" width="13.42578125" style="443" customWidth="1"/>
    <col min="1038" max="1038" width="9.140625" style="443" customWidth="1"/>
    <col min="1039" max="1039" width="10" style="443" bestFit="1" customWidth="1"/>
    <col min="1040" max="1040" width="9.85546875" style="443" customWidth="1"/>
    <col min="1041" max="1041" width="11.42578125" style="443" customWidth="1"/>
    <col min="1042" max="1274" width="9.140625" style="443" customWidth="1"/>
    <col min="1275" max="1275" width="9" style="443" customWidth="1"/>
    <col min="1276" max="1280" width="20.5703125" style="443"/>
    <col min="1281" max="1281" width="5.140625" style="443" customWidth="1"/>
    <col min="1282" max="1282" width="19.85546875" style="443" customWidth="1"/>
    <col min="1283" max="1283" width="22.42578125" style="443" customWidth="1"/>
    <col min="1284" max="1284" width="33.5703125" style="443" customWidth="1"/>
    <col min="1285" max="1285" width="56.85546875" style="443" customWidth="1"/>
    <col min="1286" max="1286" width="24.5703125" style="443" customWidth="1"/>
    <col min="1287" max="1287" width="29.42578125" style="443" bestFit="1" customWidth="1"/>
    <col min="1288" max="1288" width="26.42578125" style="443" bestFit="1" customWidth="1"/>
    <col min="1289" max="1291" width="22.5703125" style="443" bestFit="1" customWidth="1"/>
    <col min="1292" max="1292" width="29.85546875" style="443" customWidth="1"/>
    <col min="1293" max="1293" width="13.42578125" style="443" customWidth="1"/>
    <col min="1294" max="1294" width="9.140625" style="443" customWidth="1"/>
    <col min="1295" max="1295" width="10" style="443" bestFit="1" customWidth="1"/>
    <col min="1296" max="1296" width="9.85546875" style="443" customWidth="1"/>
    <col min="1297" max="1297" width="11.42578125" style="443" customWidth="1"/>
    <col min="1298" max="1530" width="9.140625" style="443" customWidth="1"/>
    <col min="1531" max="1531" width="9" style="443" customWidth="1"/>
    <col min="1532" max="1536" width="20.5703125" style="443"/>
    <col min="1537" max="1537" width="5.140625" style="443" customWidth="1"/>
    <col min="1538" max="1538" width="19.85546875" style="443" customWidth="1"/>
    <col min="1539" max="1539" width="22.42578125" style="443" customWidth="1"/>
    <col min="1540" max="1540" width="33.5703125" style="443" customWidth="1"/>
    <col min="1541" max="1541" width="56.85546875" style="443" customWidth="1"/>
    <col min="1542" max="1542" width="24.5703125" style="443" customWidth="1"/>
    <col min="1543" max="1543" width="29.42578125" style="443" bestFit="1" customWidth="1"/>
    <col min="1544" max="1544" width="26.42578125" style="443" bestFit="1" customWidth="1"/>
    <col min="1545" max="1547" width="22.5703125" style="443" bestFit="1" customWidth="1"/>
    <col min="1548" max="1548" width="29.85546875" style="443" customWidth="1"/>
    <col min="1549" max="1549" width="13.42578125" style="443" customWidth="1"/>
    <col min="1550" max="1550" width="9.140625" style="443" customWidth="1"/>
    <col min="1551" max="1551" width="10" style="443" bestFit="1" customWidth="1"/>
    <col min="1552" max="1552" width="9.85546875" style="443" customWidth="1"/>
    <col min="1553" max="1553" width="11.42578125" style="443" customWidth="1"/>
    <col min="1554" max="1786" width="9.140625" style="443" customWidth="1"/>
    <col min="1787" max="1787" width="9" style="443" customWidth="1"/>
    <col min="1788" max="1792" width="20.5703125" style="443"/>
    <col min="1793" max="1793" width="5.140625" style="443" customWidth="1"/>
    <col min="1794" max="1794" width="19.85546875" style="443" customWidth="1"/>
    <col min="1795" max="1795" width="22.42578125" style="443" customWidth="1"/>
    <col min="1796" max="1796" width="33.5703125" style="443" customWidth="1"/>
    <col min="1797" max="1797" width="56.85546875" style="443" customWidth="1"/>
    <col min="1798" max="1798" width="24.5703125" style="443" customWidth="1"/>
    <col min="1799" max="1799" width="29.42578125" style="443" bestFit="1" customWidth="1"/>
    <col min="1800" max="1800" width="26.42578125" style="443" bestFit="1" customWidth="1"/>
    <col min="1801" max="1803" width="22.5703125" style="443" bestFit="1" customWidth="1"/>
    <col min="1804" max="1804" width="29.85546875" style="443" customWidth="1"/>
    <col min="1805" max="1805" width="13.42578125" style="443" customWidth="1"/>
    <col min="1806" max="1806" width="9.140625" style="443" customWidth="1"/>
    <col min="1807" max="1807" width="10" style="443" bestFit="1" customWidth="1"/>
    <col min="1808" max="1808" width="9.85546875" style="443" customWidth="1"/>
    <col min="1809" max="1809" width="11.42578125" style="443" customWidth="1"/>
    <col min="1810" max="2042" width="9.140625" style="443" customWidth="1"/>
    <col min="2043" max="2043" width="9" style="443" customWidth="1"/>
    <col min="2044" max="2048" width="20.5703125" style="443"/>
    <col min="2049" max="2049" width="5.140625" style="443" customWidth="1"/>
    <col min="2050" max="2050" width="19.85546875" style="443" customWidth="1"/>
    <col min="2051" max="2051" width="22.42578125" style="443" customWidth="1"/>
    <col min="2052" max="2052" width="33.5703125" style="443" customWidth="1"/>
    <col min="2053" max="2053" width="56.85546875" style="443" customWidth="1"/>
    <col min="2054" max="2054" width="24.5703125" style="443" customWidth="1"/>
    <col min="2055" max="2055" width="29.42578125" style="443" bestFit="1" customWidth="1"/>
    <col min="2056" max="2056" width="26.42578125" style="443" bestFit="1" customWidth="1"/>
    <col min="2057" max="2059" width="22.5703125" style="443" bestFit="1" customWidth="1"/>
    <col min="2060" max="2060" width="29.85546875" style="443" customWidth="1"/>
    <col min="2061" max="2061" width="13.42578125" style="443" customWidth="1"/>
    <col min="2062" max="2062" width="9.140625" style="443" customWidth="1"/>
    <col min="2063" max="2063" width="10" style="443" bestFit="1" customWidth="1"/>
    <col min="2064" max="2064" width="9.85546875" style="443" customWidth="1"/>
    <col min="2065" max="2065" width="11.42578125" style="443" customWidth="1"/>
    <col min="2066" max="2298" width="9.140625" style="443" customWidth="1"/>
    <col min="2299" max="2299" width="9" style="443" customWidth="1"/>
    <col min="2300" max="2304" width="20.5703125" style="443"/>
    <col min="2305" max="2305" width="5.140625" style="443" customWidth="1"/>
    <col min="2306" max="2306" width="19.85546875" style="443" customWidth="1"/>
    <col min="2307" max="2307" width="22.42578125" style="443" customWidth="1"/>
    <col min="2308" max="2308" width="33.5703125" style="443" customWidth="1"/>
    <col min="2309" max="2309" width="56.85546875" style="443" customWidth="1"/>
    <col min="2310" max="2310" width="24.5703125" style="443" customWidth="1"/>
    <col min="2311" max="2311" width="29.42578125" style="443" bestFit="1" customWidth="1"/>
    <col min="2312" max="2312" width="26.42578125" style="443" bestFit="1" customWidth="1"/>
    <col min="2313" max="2315" width="22.5703125" style="443" bestFit="1" customWidth="1"/>
    <col min="2316" max="2316" width="29.85546875" style="443" customWidth="1"/>
    <col min="2317" max="2317" width="13.42578125" style="443" customWidth="1"/>
    <col min="2318" max="2318" width="9.140625" style="443" customWidth="1"/>
    <col min="2319" max="2319" width="10" style="443" bestFit="1" customWidth="1"/>
    <col min="2320" max="2320" width="9.85546875" style="443" customWidth="1"/>
    <col min="2321" max="2321" width="11.42578125" style="443" customWidth="1"/>
    <col min="2322" max="2554" width="9.140625" style="443" customWidth="1"/>
    <col min="2555" max="2555" width="9" style="443" customWidth="1"/>
    <col min="2556" max="2560" width="20.5703125" style="443"/>
    <col min="2561" max="2561" width="5.140625" style="443" customWidth="1"/>
    <col min="2562" max="2562" width="19.85546875" style="443" customWidth="1"/>
    <col min="2563" max="2563" width="22.42578125" style="443" customWidth="1"/>
    <col min="2564" max="2564" width="33.5703125" style="443" customWidth="1"/>
    <col min="2565" max="2565" width="56.85546875" style="443" customWidth="1"/>
    <col min="2566" max="2566" width="24.5703125" style="443" customWidth="1"/>
    <col min="2567" max="2567" width="29.42578125" style="443" bestFit="1" customWidth="1"/>
    <col min="2568" max="2568" width="26.42578125" style="443" bestFit="1" customWidth="1"/>
    <col min="2569" max="2571" width="22.5703125" style="443" bestFit="1" customWidth="1"/>
    <col min="2572" max="2572" width="29.85546875" style="443" customWidth="1"/>
    <col min="2573" max="2573" width="13.42578125" style="443" customWidth="1"/>
    <col min="2574" max="2574" width="9.140625" style="443" customWidth="1"/>
    <col min="2575" max="2575" width="10" style="443" bestFit="1" customWidth="1"/>
    <col min="2576" max="2576" width="9.85546875" style="443" customWidth="1"/>
    <col min="2577" max="2577" width="11.42578125" style="443" customWidth="1"/>
    <col min="2578" max="2810" width="9.140625" style="443" customWidth="1"/>
    <col min="2811" max="2811" width="9" style="443" customWidth="1"/>
    <col min="2812" max="2816" width="20.5703125" style="443"/>
    <col min="2817" max="2817" width="5.140625" style="443" customWidth="1"/>
    <col min="2818" max="2818" width="19.85546875" style="443" customWidth="1"/>
    <col min="2819" max="2819" width="22.42578125" style="443" customWidth="1"/>
    <col min="2820" max="2820" width="33.5703125" style="443" customWidth="1"/>
    <col min="2821" max="2821" width="56.85546875" style="443" customWidth="1"/>
    <col min="2822" max="2822" width="24.5703125" style="443" customWidth="1"/>
    <col min="2823" max="2823" width="29.42578125" style="443" bestFit="1" customWidth="1"/>
    <col min="2824" max="2824" width="26.42578125" style="443" bestFit="1" customWidth="1"/>
    <col min="2825" max="2827" width="22.5703125" style="443" bestFit="1" customWidth="1"/>
    <col min="2828" max="2828" width="29.85546875" style="443" customWidth="1"/>
    <col min="2829" max="2829" width="13.42578125" style="443" customWidth="1"/>
    <col min="2830" max="2830" width="9.140625" style="443" customWidth="1"/>
    <col min="2831" max="2831" width="10" style="443" bestFit="1" customWidth="1"/>
    <col min="2832" max="2832" width="9.85546875" style="443" customWidth="1"/>
    <col min="2833" max="2833" width="11.42578125" style="443" customWidth="1"/>
    <col min="2834" max="3066" width="9.140625" style="443" customWidth="1"/>
    <col min="3067" max="3067" width="9" style="443" customWidth="1"/>
    <col min="3068" max="3072" width="20.5703125" style="443"/>
    <col min="3073" max="3073" width="5.140625" style="443" customWidth="1"/>
    <col min="3074" max="3074" width="19.85546875" style="443" customWidth="1"/>
    <col min="3075" max="3075" width="22.42578125" style="443" customWidth="1"/>
    <col min="3076" max="3076" width="33.5703125" style="443" customWidth="1"/>
    <col min="3077" max="3077" width="56.85546875" style="443" customWidth="1"/>
    <col min="3078" max="3078" width="24.5703125" style="443" customWidth="1"/>
    <col min="3079" max="3079" width="29.42578125" style="443" bestFit="1" customWidth="1"/>
    <col min="3080" max="3080" width="26.42578125" style="443" bestFit="1" customWidth="1"/>
    <col min="3081" max="3083" width="22.5703125" style="443" bestFit="1" customWidth="1"/>
    <col min="3084" max="3084" width="29.85546875" style="443" customWidth="1"/>
    <col min="3085" max="3085" width="13.42578125" style="443" customWidth="1"/>
    <col min="3086" max="3086" width="9.140625" style="443" customWidth="1"/>
    <col min="3087" max="3087" width="10" style="443" bestFit="1" customWidth="1"/>
    <col min="3088" max="3088" width="9.85546875" style="443" customWidth="1"/>
    <col min="3089" max="3089" width="11.42578125" style="443" customWidth="1"/>
    <col min="3090" max="3322" width="9.140625" style="443" customWidth="1"/>
    <col min="3323" max="3323" width="9" style="443" customWidth="1"/>
    <col min="3324" max="3328" width="20.5703125" style="443"/>
    <col min="3329" max="3329" width="5.140625" style="443" customWidth="1"/>
    <col min="3330" max="3330" width="19.85546875" style="443" customWidth="1"/>
    <col min="3331" max="3331" width="22.42578125" style="443" customWidth="1"/>
    <col min="3332" max="3332" width="33.5703125" style="443" customWidth="1"/>
    <col min="3333" max="3333" width="56.85546875" style="443" customWidth="1"/>
    <col min="3334" max="3334" width="24.5703125" style="443" customWidth="1"/>
    <col min="3335" max="3335" width="29.42578125" style="443" bestFit="1" customWidth="1"/>
    <col min="3336" max="3336" width="26.42578125" style="443" bestFit="1" customWidth="1"/>
    <col min="3337" max="3339" width="22.5703125" style="443" bestFit="1" customWidth="1"/>
    <col min="3340" max="3340" width="29.85546875" style="443" customWidth="1"/>
    <col min="3341" max="3341" width="13.42578125" style="443" customWidth="1"/>
    <col min="3342" max="3342" width="9.140625" style="443" customWidth="1"/>
    <col min="3343" max="3343" width="10" style="443" bestFit="1" customWidth="1"/>
    <col min="3344" max="3344" width="9.85546875" style="443" customWidth="1"/>
    <col min="3345" max="3345" width="11.42578125" style="443" customWidth="1"/>
    <col min="3346" max="3578" width="9.140625" style="443" customWidth="1"/>
    <col min="3579" max="3579" width="9" style="443" customWidth="1"/>
    <col min="3580" max="3584" width="20.5703125" style="443"/>
    <col min="3585" max="3585" width="5.140625" style="443" customWidth="1"/>
    <col min="3586" max="3586" width="19.85546875" style="443" customWidth="1"/>
    <col min="3587" max="3587" width="22.42578125" style="443" customWidth="1"/>
    <col min="3588" max="3588" width="33.5703125" style="443" customWidth="1"/>
    <col min="3589" max="3589" width="56.85546875" style="443" customWidth="1"/>
    <col min="3590" max="3590" width="24.5703125" style="443" customWidth="1"/>
    <col min="3591" max="3591" width="29.42578125" style="443" bestFit="1" customWidth="1"/>
    <col min="3592" max="3592" width="26.42578125" style="443" bestFit="1" customWidth="1"/>
    <col min="3593" max="3595" width="22.5703125" style="443" bestFit="1" customWidth="1"/>
    <col min="3596" max="3596" width="29.85546875" style="443" customWidth="1"/>
    <col min="3597" max="3597" width="13.42578125" style="443" customWidth="1"/>
    <col min="3598" max="3598" width="9.140625" style="443" customWidth="1"/>
    <col min="3599" max="3599" width="10" style="443" bestFit="1" customWidth="1"/>
    <col min="3600" max="3600" width="9.85546875" style="443" customWidth="1"/>
    <col min="3601" max="3601" width="11.42578125" style="443" customWidth="1"/>
    <col min="3602" max="3834" width="9.140625" style="443" customWidth="1"/>
    <col min="3835" max="3835" width="9" style="443" customWidth="1"/>
    <col min="3836" max="3840" width="20.5703125" style="443"/>
    <col min="3841" max="3841" width="5.140625" style="443" customWidth="1"/>
    <col min="3842" max="3842" width="19.85546875" style="443" customWidth="1"/>
    <col min="3843" max="3843" width="22.42578125" style="443" customWidth="1"/>
    <col min="3844" max="3844" width="33.5703125" style="443" customWidth="1"/>
    <col min="3845" max="3845" width="56.85546875" style="443" customWidth="1"/>
    <col min="3846" max="3846" width="24.5703125" style="443" customWidth="1"/>
    <col min="3847" max="3847" width="29.42578125" style="443" bestFit="1" customWidth="1"/>
    <col min="3848" max="3848" width="26.42578125" style="443" bestFit="1" customWidth="1"/>
    <col min="3849" max="3851" width="22.5703125" style="443" bestFit="1" customWidth="1"/>
    <col min="3852" max="3852" width="29.85546875" style="443" customWidth="1"/>
    <col min="3853" max="3853" width="13.42578125" style="443" customWidth="1"/>
    <col min="3854" max="3854" width="9.140625" style="443" customWidth="1"/>
    <col min="3855" max="3855" width="10" style="443" bestFit="1" customWidth="1"/>
    <col min="3856" max="3856" width="9.85546875" style="443" customWidth="1"/>
    <col min="3857" max="3857" width="11.42578125" style="443" customWidth="1"/>
    <col min="3858" max="4090" width="9.140625" style="443" customWidth="1"/>
    <col min="4091" max="4091" width="9" style="443" customWidth="1"/>
    <col min="4092" max="4096" width="20.5703125" style="443"/>
    <col min="4097" max="4097" width="5.140625" style="443" customWidth="1"/>
    <col min="4098" max="4098" width="19.85546875" style="443" customWidth="1"/>
    <col min="4099" max="4099" width="22.42578125" style="443" customWidth="1"/>
    <col min="4100" max="4100" width="33.5703125" style="443" customWidth="1"/>
    <col min="4101" max="4101" width="56.85546875" style="443" customWidth="1"/>
    <col min="4102" max="4102" width="24.5703125" style="443" customWidth="1"/>
    <col min="4103" max="4103" width="29.42578125" style="443" bestFit="1" customWidth="1"/>
    <col min="4104" max="4104" width="26.42578125" style="443" bestFit="1" customWidth="1"/>
    <col min="4105" max="4107" width="22.5703125" style="443" bestFit="1" customWidth="1"/>
    <col min="4108" max="4108" width="29.85546875" style="443" customWidth="1"/>
    <col min="4109" max="4109" width="13.42578125" style="443" customWidth="1"/>
    <col min="4110" max="4110" width="9.140625" style="443" customWidth="1"/>
    <col min="4111" max="4111" width="10" style="443" bestFit="1" customWidth="1"/>
    <col min="4112" max="4112" width="9.85546875" style="443" customWidth="1"/>
    <col min="4113" max="4113" width="11.42578125" style="443" customWidth="1"/>
    <col min="4114" max="4346" width="9.140625" style="443" customWidth="1"/>
    <col min="4347" max="4347" width="9" style="443" customWidth="1"/>
    <col min="4348" max="4352" width="20.5703125" style="443"/>
    <col min="4353" max="4353" width="5.140625" style="443" customWidth="1"/>
    <col min="4354" max="4354" width="19.85546875" style="443" customWidth="1"/>
    <col min="4355" max="4355" width="22.42578125" style="443" customWidth="1"/>
    <col min="4356" max="4356" width="33.5703125" style="443" customWidth="1"/>
    <col min="4357" max="4357" width="56.85546875" style="443" customWidth="1"/>
    <col min="4358" max="4358" width="24.5703125" style="443" customWidth="1"/>
    <col min="4359" max="4359" width="29.42578125" style="443" bestFit="1" customWidth="1"/>
    <col min="4360" max="4360" width="26.42578125" style="443" bestFit="1" customWidth="1"/>
    <col min="4361" max="4363" width="22.5703125" style="443" bestFit="1" customWidth="1"/>
    <col min="4364" max="4364" width="29.85546875" style="443" customWidth="1"/>
    <col min="4365" max="4365" width="13.42578125" style="443" customWidth="1"/>
    <col min="4366" max="4366" width="9.140625" style="443" customWidth="1"/>
    <col min="4367" max="4367" width="10" style="443" bestFit="1" customWidth="1"/>
    <col min="4368" max="4368" width="9.85546875" style="443" customWidth="1"/>
    <col min="4369" max="4369" width="11.42578125" style="443" customWidth="1"/>
    <col min="4370" max="4602" width="9.140625" style="443" customWidth="1"/>
    <col min="4603" max="4603" width="9" style="443" customWidth="1"/>
    <col min="4604" max="4608" width="20.5703125" style="443"/>
    <col min="4609" max="4609" width="5.140625" style="443" customWidth="1"/>
    <col min="4610" max="4610" width="19.85546875" style="443" customWidth="1"/>
    <col min="4611" max="4611" width="22.42578125" style="443" customWidth="1"/>
    <col min="4612" max="4612" width="33.5703125" style="443" customWidth="1"/>
    <col min="4613" max="4613" width="56.85546875" style="443" customWidth="1"/>
    <col min="4614" max="4614" width="24.5703125" style="443" customWidth="1"/>
    <col min="4615" max="4615" width="29.42578125" style="443" bestFit="1" customWidth="1"/>
    <col min="4616" max="4616" width="26.42578125" style="443" bestFit="1" customWidth="1"/>
    <col min="4617" max="4619" width="22.5703125" style="443" bestFit="1" customWidth="1"/>
    <col min="4620" max="4620" width="29.85546875" style="443" customWidth="1"/>
    <col min="4621" max="4621" width="13.42578125" style="443" customWidth="1"/>
    <col min="4622" max="4622" width="9.140625" style="443" customWidth="1"/>
    <col min="4623" max="4623" width="10" style="443" bestFit="1" customWidth="1"/>
    <col min="4624" max="4624" width="9.85546875" style="443" customWidth="1"/>
    <col min="4625" max="4625" width="11.42578125" style="443" customWidth="1"/>
    <col min="4626" max="4858" width="9.140625" style="443" customWidth="1"/>
    <col min="4859" max="4859" width="9" style="443" customWidth="1"/>
    <col min="4860" max="4864" width="20.5703125" style="443"/>
    <col min="4865" max="4865" width="5.140625" style="443" customWidth="1"/>
    <col min="4866" max="4866" width="19.85546875" style="443" customWidth="1"/>
    <col min="4867" max="4867" width="22.42578125" style="443" customWidth="1"/>
    <col min="4868" max="4868" width="33.5703125" style="443" customWidth="1"/>
    <col min="4869" max="4869" width="56.85546875" style="443" customWidth="1"/>
    <col min="4870" max="4870" width="24.5703125" style="443" customWidth="1"/>
    <col min="4871" max="4871" width="29.42578125" style="443" bestFit="1" customWidth="1"/>
    <col min="4872" max="4872" width="26.42578125" style="443" bestFit="1" customWidth="1"/>
    <col min="4873" max="4875" width="22.5703125" style="443" bestFit="1" customWidth="1"/>
    <col min="4876" max="4876" width="29.85546875" style="443" customWidth="1"/>
    <col min="4877" max="4877" width="13.42578125" style="443" customWidth="1"/>
    <col min="4878" max="4878" width="9.140625" style="443" customWidth="1"/>
    <col min="4879" max="4879" width="10" style="443" bestFit="1" customWidth="1"/>
    <col min="4880" max="4880" width="9.85546875" style="443" customWidth="1"/>
    <col min="4881" max="4881" width="11.42578125" style="443" customWidth="1"/>
    <col min="4882" max="5114" width="9.140625" style="443" customWidth="1"/>
    <col min="5115" max="5115" width="9" style="443" customWidth="1"/>
    <col min="5116" max="5120" width="20.5703125" style="443"/>
    <col min="5121" max="5121" width="5.140625" style="443" customWidth="1"/>
    <col min="5122" max="5122" width="19.85546875" style="443" customWidth="1"/>
    <col min="5123" max="5123" width="22.42578125" style="443" customWidth="1"/>
    <col min="5124" max="5124" width="33.5703125" style="443" customWidth="1"/>
    <col min="5125" max="5125" width="56.85546875" style="443" customWidth="1"/>
    <col min="5126" max="5126" width="24.5703125" style="443" customWidth="1"/>
    <col min="5127" max="5127" width="29.42578125" style="443" bestFit="1" customWidth="1"/>
    <col min="5128" max="5128" width="26.42578125" style="443" bestFit="1" customWidth="1"/>
    <col min="5129" max="5131" width="22.5703125" style="443" bestFit="1" customWidth="1"/>
    <col min="5132" max="5132" width="29.85546875" style="443" customWidth="1"/>
    <col min="5133" max="5133" width="13.42578125" style="443" customWidth="1"/>
    <col min="5134" max="5134" width="9.140625" style="443" customWidth="1"/>
    <col min="5135" max="5135" width="10" style="443" bestFit="1" customWidth="1"/>
    <col min="5136" max="5136" width="9.85546875" style="443" customWidth="1"/>
    <col min="5137" max="5137" width="11.42578125" style="443" customWidth="1"/>
    <col min="5138" max="5370" width="9.140625" style="443" customWidth="1"/>
    <col min="5371" max="5371" width="9" style="443" customWidth="1"/>
    <col min="5372" max="5376" width="20.5703125" style="443"/>
    <col min="5377" max="5377" width="5.140625" style="443" customWidth="1"/>
    <col min="5378" max="5378" width="19.85546875" style="443" customWidth="1"/>
    <col min="5379" max="5379" width="22.42578125" style="443" customWidth="1"/>
    <col min="5380" max="5380" width="33.5703125" style="443" customWidth="1"/>
    <col min="5381" max="5381" width="56.85546875" style="443" customWidth="1"/>
    <col min="5382" max="5382" width="24.5703125" style="443" customWidth="1"/>
    <col min="5383" max="5383" width="29.42578125" style="443" bestFit="1" customWidth="1"/>
    <col min="5384" max="5384" width="26.42578125" style="443" bestFit="1" customWidth="1"/>
    <col min="5385" max="5387" width="22.5703125" style="443" bestFit="1" customWidth="1"/>
    <col min="5388" max="5388" width="29.85546875" style="443" customWidth="1"/>
    <col min="5389" max="5389" width="13.42578125" style="443" customWidth="1"/>
    <col min="5390" max="5390" width="9.140625" style="443" customWidth="1"/>
    <col min="5391" max="5391" width="10" style="443" bestFit="1" customWidth="1"/>
    <col min="5392" max="5392" width="9.85546875" style="443" customWidth="1"/>
    <col min="5393" max="5393" width="11.42578125" style="443" customWidth="1"/>
    <col min="5394" max="5626" width="9.140625" style="443" customWidth="1"/>
    <col min="5627" max="5627" width="9" style="443" customWidth="1"/>
    <col min="5628" max="5632" width="20.5703125" style="443"/>
    <col min="5633" max="5633" width="5.140625" style="443" customWidth="1"/>
    <col min="5634" max="5634" width="19.85546875" style="443" customWidth="1"/>
    <col min="5635" max="5635" width="22.42578125" style="443" customWidth="1"/>
    <col min="5636" max="5636" width="33.5703125" style="443" customWidth="1"/>
    <col min="5637" max="5637" width="56.85546875" style="443" customWidth="1"/>
    <col min="5638" max="5638" width="24.5703125" style="443" customWidth="1"/>
    <col min="5639" max="5639" width="29.42578125" style="443" bestFit="1" customWidth="1"/>
    <col min="5640" max="5640" width="26.42578125" style="443" bestFit="1" customWidth="1"/>
    <col min="5641" max="5643" width="22.5703125" style="443" bestFit="1" customWidth="1"/>
    <col min="5644" max="5644" width="29.85546875" style="443" customWidth="1"/>
    <col min="5645" max="5645" width="13.42578125" style="443" customWidth="1"/>
    <col min="5646" max="5646" width="9.140625" style="443" customWidth="1"/>
    <col min="5647" max="5647" width="10" style="443" bestFit="1" customWidth="1"/>
    <col min="5648" max="5648" width="9.85546875" style="443" customWidth="1"/>
    <col min="5649" max="5649" width="11.42578125" style="443" customWidth="1"/>
    <col min="5650" max="5882" width="9.140625" style="443" customWidth="1"/>
    <col min="5883" max="5883" width="9" style="443" customWidth="1"/>
    <col min="5884" max="5888" width="20.5703125" style="443"/>
    <col min="5889" max="5889" width="5.140625" style="443" customWidth="1"/>
    <col min="5890" max="5890" width="19.85546875" style="443" customWidth="1"/>
    <col min="5891" max="5891" width="22.42578125" style="443" customWidth="1"/>
    <col min="5892" max="5892" width="33.5703125" style="443" customWidth="1"/>
    <col min="5893" max="5893" width="56.85546875" style="443" customWidth="1"/>
    <col min="5894" max="5894" width="24.5703125" style="443" customWidth="1"/>
    <col min="5895" max="5895" width="29.42578125" style="443" bestFit="1" customWidth="1"/>
    <col min="5896" max="5896" width="26.42578125" style="443" bestFit="1" customWidth="1"/>
    <col min="5897" max="5899" width="22.5703125" style="443" bestFit="1" customWidth="1"/>
    <col min="5900" max="5900" width="29.85546875" style="443" customWidth="1"/>
    <col min="5901" max="5901" width="13.42578125" style="443" customWidth="1"/>
    <col min="5902" max="5902" width="9.140625" style="443" customWidth="1"/>
    <col min="5903" max="5903" width="10" style="443" bestFit="1" customWidth="1"/>
    <col min="5904" max="5904" width="9.85546875" style="443" customWidth="1"/>
    <col min="5905" max="5905" width="11.42578125" style="443" customWidth="1"/>
    <col min="5906" max="6138" width="9.140625" style="443" customWidth="1"/>
    <col min="6139" max="6139" width="9" style="443" customWidth="1"/>
    <col min="6140" max="6144" width="20.5703125" style="443"/>
    <col min="6145" max="6145" width="5.140625" style="443" customWidth="1"/>
    <col min="6146" max="6146" width="19.85546875" style="443" customWidth="1"/>
    <col min="6147" max="6147" width="22.42578125" style="443" customWidth="1"/>
    <col min="6148" max="6148" width="33.5703125" style="443" customWidth="1"/>
    <col min="6149" max="6149" width="56.85546875" style="443" customWidth="1"/>
    <col min="6150" max="6150" width="24.5703125" style="443" customWidth="1"/>
    <col min="6151" max="6151" width="29.42578125" style="443" bestFit="1" customWidth="1"/>
    <col min="6152" max="6152" width="26.42578125" style="443" bestFit="1" customWidth="1"/>
    <col min="6153" max="6155" width="22.5703125" style="443" bestFit="1" customWidth="1"/>
    <col min="6156" max="6156" width="29.85546875" style="443" customWidth="1"/>
    <col min="6157" max="6157" width="13.42578125" style="443" customWidth="1"/>
    <col min="6158" max="6158" width="9.140625" style="443" customWidth="1"/>
    <col min="6159" max="6159" width="10" style="443" bestFit="1" customWidth="1"/>
    <col min="6160" max="6160" width="9.85546875" style="443" customWidth="1"/>
    <col min="6161" max="6161" width="11.42578125" style="443" customWidth="1"/>
    <col min="6162" max="6394" width="9.140625" style="443" customWidth="1"/>
    <col min="6395" max="6395" width="9" style="443" customWidth="1"/>
    <col min="6396" max="6400" width="20.5703125" style="443"/>
    <col min="6401" max="6401" width="5.140625" style="443" customWidth="1"/>
    <col min="6402" max="6402" width="19.85546875" style="443" customWidth="1"/>
    <col min="6403" max="6403" width="22.42578125" style="443" customWidth="1"/>
    <col min="6404" max="6404" width="33.5703125" style="443" customWidth="1"/>
    <col min="6405" max="6405" width="56.85546875" style="443" customWidth="1"/>
    <col min="6406" max="6406" width="24.5703125" style="443" customWidth="1"/>
    <col min="6407" max="6407" width="29.42578125" style="443" bestFit="1" customWidth="1"/>
    <col min="6408" max="6408" width="26.42578125" style="443" bestFit="1" customWidth="1"/>
    <col min="6409" max="6411" width="22.5703125" style="443" bestFit="1" customWidth="1"/>
    <col min="6412" max="6412" width="29.85546875" style="443" customWidth="1"/>
    <col min="6413" max="6413" width="13.42578125" style="443" customWidth="1"/>
    <col min="6414" max="6414" width="9.140625" style="443" customWidth="1"/>
    <col min="6415" max="6415" width="10" style="443" bestFit="1" customWidth="1"/>
    <col min="6416" max="6416" width="9.85546875" style="443" customWidth="1"/>
    <col min="6417" max="6417" width="11.42578125" style="443" customWidth="1"/>
    <col min="6418" max="6650" width="9.140625" style="443" customWidth="1"/>
    <col min="6651" max="6651" width="9" style="443" customWidth="1"/>
    <col min="6652" max="6656" width="20.5703125" style="443"/>
    <col min="6657" max="6657" width="5.140625" style="443" customWidth="1"/>
    <col min="6658" max="6658" width="19.85546875" style="443" customWidth="1"/>
    <col min="6659" max="6659" width="22.42578125" style="443" customWidth="1"/>
    <col min="6660" max="6660" width="33.5703125" style="443" customWidth="1"/>
    <col min="6661" max="6661" width="56.85546875" style="443" customWidth="1"/>
    <col min="6662" max="6662" width="24.5703125" style="443" customWidth="1"/>
    <col min="6663" max="6663" width="29.42578125" style="443" bestFit="1" customWidth="1"/>
    <col min="6664" max="6664" width="26.42578125" style="443" bestFit="1" customWidth="1"/>
    <col min="6665" max="6667" width="22.5703125" style="443" bestFit="1" customWidth="1"/>
    <col min="6668" max="6668" width="29.85546875" style="443" customWidth="1"/>
    <col min="6669" max="6669" width="13.42578125" style="443" customWidth="1"/>
    <col min="6670" max="6670" width="9.140625" style="443" customWidth="1"/>
    <col min="6671" max="6671" width="10" style="443" bestFit="1" customWidth="1"/>
    <col min="6672" max="6672" width="9.85546875" style="443" customWidth="1"/>
    <col min="6673" max="6673" width="11.42578125" style="443" customWidth="1"/>
    <col min="6674" max="6906" width="9.140625" style="443" customWidth="1"/>
    <col min="6907" max="6907" width="9" style="443" customWidth="1"/>
    <col min="6908" max="6912" width="20.5703125" style="443"/>
    <col min="6913" max="6913" width="5.140625" style="443" customWidth="1"/>
    <col min="6914" max="6914" width="19.85546875" style="443" customWidth="1"/>
    <col min="6915" max="6915" width="22.42578125" style="443" customWidth="1"/>
    <col min="6916" max="6916" width="33.5703125" style="443" customWidth="1"/>
    <col min="6917" max="6917" width="56.85546875" style="443" customWidth="1"/>
    <col min="6918" max="6918" width="24.5703125" style="443" customWidth="1"/>
    <col min="6919" max="6919" width="29.42578125" style="443" bestFit="1" customWidth="1"/>
    <col min="6920" max="6920" width="26.42578125" style="443" bestFit="1" customWidth="1"/>
    <col min="6921" max="6923" width="22.5703125" style="443" bestFit="1" customWidth="1"/>
    <col min="6924" max="6924" width="29.85546875" style="443" customWidth="1"/>
    <col min="6925" max="6925" width="13.42578125" style="443" customWidth="1"/>
    <col min="6926" max="6926" width="9.140625" style="443" customWidth="1"/>
    <col min="6927" max="6927" width="10" style="443" bestFit="1" customWidth="1"/>
    <col min="6928" max="6928" width="9.85546875" style="443" customWidth="1"/>
    <col min="6929" max="6929" width="11.42578125" style="443" customWidth="1"/>
    <col min="6930" max="7162" width="9.140625" style="443" customWidth="1"/>
    <col min="7163" max="7163" width="9" style="443" customWidth="1"/>
    <col min="7164" max="7168" width="20.5703125" style="443"/>
    <col min="7169" max="7169" width="5.140625" style="443" customWidth="1"/>
    <col min="7170" max="7170" width="19.85546875" style="443" customWidth="1"/>
    <col min="7171" max="7171" width="22.42578125" style="443" customWidth="1"/>
    <col min="7172" max="7172" width="33.5703125" style="443" customWidth="1"/>
    <col min="7173" max="7173" width="56.85546875" style="443" customWidth="1"/>
    <col min="7174" max="7174" width="24.5703125" style="443" customWidth="1"/>
    <col min="7175" max="7175" width="29.42578125" style="443" bestFit="1" customWidth="1"/>
    <col min="7176" max="7176" width="26.42578125" style="443" bestFit="1" customWidth="1"/>
    <col min="7177" max="7179" width="22.5703125" style="443" bestFit="1" customWidth="1"/>
    <col min="7180" max="7180" width="29.85546875" style="443" customWidth="1"/>
    <col min="7181" max="7181" width="13.42578125" style="443" customWidth="1"/>
    <col min="7182" max="7182" width="9.140625" style="443" customWidth="1"/>
    <col min="7183" max="7183" width="10" style="443" bestFit="1" customWidth="1"/>
    <col min="7184" max="7184" width="9.85546875" style="443" customWidth="1"/>
    <col min="7185" max="7185" width="11.42578125" style="443" customWidth="1"/>
    <col min="7186" max="7418" width="9.140625" style="443" customWidth="1"/>
    <col min="7419" max="7419" width="9" style="443" customWidth="1"/>
    <col min="7420" max="7424" width="20.5703125" style="443"/>
    <col min="7425" max="7425" width="5.140625" style="443" customWidth="1"/>
    <col min="7426" max="7426" width="19.85546875" style="443" customWidth="1"/>
    <col min="7427" max="7427" width="22.42578125" style="443" customWidth="1"/>
    <col min="7428" max="7428" width="33.5703125" style="443" customWidth="1"/>
    <col min="7429" max="7429" width="56.85546875" style="443" customWidth="1"/>
    <col min="7430" max="7430" width="24.5703125" style="443" customWidth="1"/>
    <col min="7431" max="7431" width="29.42578125" style="443" bestFit="1" customWidth="1"/>
    <col min="7432" max="7432" width="26.42578125" style="443" bestFit="1" customWidth="1"/>
    <col min="7433" max="7435" width="22.5703125" style="443" bestFit="1" customWidth="1"/>
    <col min="7436" max="7436" width="29.85546875" style="443" customWidth="1"/>
    <col min="7437" max="7437" width="13.42578125" style="443" customWidth="1"/>
    <col min="7438" max="7438" width="9.140625" style="443" customWidth="1"/>
    <col min="7439" max="7439" width="10" style="443" bestFit="1" customWidth="1"/>
    <col min="7440" max="7440" width="9.85546875" style="443" customWidth="1"/>
    <col min="7441" max="7441" width="11.42578125" style="443" customWidth="1"/>
    <col min="7442" max="7674" width="9.140625" style="443" customWidth="1"/>
    <col min="7675" max="7675" width="9" style="443" customWidth="1"/>
    <col min="7676" max="7680" width="20.5703125" style="443"/>
    <col min="7681" max="7681" width="5.140625" style="443" customWidth="1"/>
    <col min="7682" max="7682" width="19.85546875" style="443" customWidth="1"/>
    <col min="7683" max="7683" width="22.42578125" style="443" customWidth="1"/>
    <col min="7684" max="7684" width="33.5703125" style="443" customWidth="1"/>
    <col min="7685" max="7685" width="56.85546875" style="443" customWidth="1"/>
    <col min="7686" max="7686" width="24.5703125" style="443" customWidth="1"/>
    <col min="7687" max="7687" width="29.42578125" style="443" bestFit="1" customWidth="1"/>
    <col min="7688" max="7688" width="26.42578125" style="443" bestFit="1" customWidth="1"/>
    <col min="7689" max="7691" width="22.5703125" style="443" bestFit="1" customWidth="1"/>
    <col min="7692" max="7692" width="29.85546875" style="443" customWidth="1"/>
    <col min="7693" max="7693" width="13.42578125" style="443" customWidth="1"/>
    <col min="7694" max="7694" width="9.140625" style="443" customWidth="1"/>
    <col min="7695" max="7695" width="10" style="443" bestFit="1" customWidth="1"/>
    <col min="7696" max="7696" width="9.85546875" style="443" customWidth="1"/>
    <col min="7697" max="7697" width="11.42578125" style="443" customWidth="1"/>
    <col min="7698" max="7930" width="9.140625" style="443" customWidth="1"/>
    <col min="7931" max="7931" width="9" style="443" customWidth="1"/>
    <col min="7932" max="7936" width="20.5703125" style="443"/>
    <col min="7937" max="7937" width="5.140625" style="443" customWidth="1"/>
    <col min="7938" max="7938" width="19.85546875" style="443" customWidth="1"/>
    <col min="7939" max="7939" width="22.42578125" style="443" customWidth="1"/>
    <col min="7940" max="7940" width="33.5703125" style="443" customWidth="1"/>
    <col min="7941" max="7941" width="56.85546875" style="443" customWidth="1"/>
    <col min="7942" max="7942" width="24.5703125" style="443" customWidth="1"/>
    <col min="7943" max="7943" width="29.42578125" style="443" bestFit="1" customWidth="1"/>
    <col min="7944" max="7944" width="26.42578125" style="443" bestFit="1" customWidth="1"/>
    <col min="7945" max="7947" width="22.5703125" style="443" bestFit="1" customWidth="1"/>
    <col min="7948" max="7948" width="29.85546875" style="443" customWidth="1"/>
    <col min="7949" max="7949" width="13.42578125" style="443" customWidth="1"/>
    <col min="7950" max="7950" width="9.140625" style="443" customWidth="1"/>
    <col min="7951" max="7951" width="10" style="443" bestFit="1" customWidth="1"/>
    <col min="7952" max="7952" width="9.85546875" style="443" customWidth="1"/>
    <col min="7953" max="7953" width="11.42578125" style="443" customWidth="1"/>
    <col min="7954" max="8186" width="9.140625" style="443" customWidth="1"/>
    <col min="8187" max="8187" width="9" style="443" customWidth="1"/>
    <col min="8188" max="8192" width="20.5703125" style="443"/>
    <col min="8193" max="8193" width="5.140625" style="443" customWidth="1"/>
    <col min="8194" max="8194" width="19.85546875" style="443" customWidth="1"/>
    <col min="8195" max="8195" width="22.42578125" style="443" customWidth="1"/>
    <col min="8196" max="8196" width="33.5703125" style="443" customWidth="1"/>
    <col min="8197" max="8197" width="56.85546875" style="443" customWidth="1"/>
    <col min="8198" max="8198" width="24.5703125" style="443" customWidth="1"/>
    <col min="8199" max="8199" width="29.42578125" style="443" bestFit="1" customWidth="1"/>
    <col min="8200" max="8200" width="26.42578125" style="443" bestFit="1" customWidth="1"/>
    <col min="8201" max="8203" width="22.5703125" style="443" bestFit="1" customWidth="1"/>
    <col min="8204" max="8204" width="29.85546875" style="443" customWidth="1"/>
    <col min="8205" max="8205" width="13.42578125" style="443" customWidth="1"/>
    <col min="8206" max="8206" width="9.140625" style="443" customWidth="1"/>
    <col min="8207" max="8207" width="10" style="443" bestFit="1" customWidth="1"/>
    <col min="8208" max="8208" width="9.85546875" style="443" customWidth="1"/>
    <col min="8209" max="8209" width="11.42578125" style="443" customWidth="1"/>
    <col min="8210" max="8442" width="9.140625" style="443" customWidth="1"/>
    <col min="8443" max="8443" width="9" style="443" customWidth="1"/>
    <col min="8444" max="8448" width="20.5703125" style="443"/>
    <col min="8449" max="8449" width="5.140625" style="443" customWidth="1"/>
    <col min="8450" max="8450" width="19.85546875" style="443" customWidth="1"/>
    <col min="8451" max="8451" width="22.42578125" style="443" customWidth="1"/>
    <col min="8452" max="8452" width="33.5703125" style="443" customWidth="1"/>
    <col min="8453" max="8453" width="56.85546875" style="443" customWidth="1"/>
    <col min="8454" max="8454" width="24.5703125" style="443" customWidth="1"/>
    <col min="8455" max="8455" width="29.42578125" style="443" bestFit="1" customWidth="1"/>
    <col min="8456" max="8456" width="26.42578125" style="443" bestFit="1" customWidth="1"/>
    <col min="8457" max="8459" width="22.5703125" style="443" bestFit="1" customWidth="1"/>
    <col min="8460" max="8460" width="29.85546875" style="443" customWidth="1"/>
    <col min="8461" max="8461" width="13.42578125" style="443" customWidth="1"/>
    <col min="8462" max="8462" width="9.140625" style="443" customWidth="1"/>
    <col min="8463" max="8463" width="10" style="443" bestFit="1" customWidth="1"/>
    <col min="8464" max="8464" width="9.85546875" style="443" customWidth="1"/>
    <col min="8465" max="8465" width="11.42578125" style="443" customWidth="1"/>
    <col min="8466" max="8698" width="9.140625" style="443" customWidth="1"/>
    <col min="8699" max="8699" width="9" style="443" customWidth="1"/>
    <col min="8700" max="8704" width="20.5703125" style="443"/>
    <col min="8705" max="8705" width="5.140625" style="443" customWidth="1"/>
    <col min="8706" max="8706" width="19.85546875" style="443" customWidth="1"/>
    <col min="8707" max="8707" width="22.42578125" style="443" customWidth="1"/>
    <col min="8708" max="8708" width="33.5703125" style="443" customWidth="1"/>
    <col min="8709" max="8709" width="56.85546875" style="443" customWidth="1"/>
    <col min="8710" max="8710" width="24.5703125" style="443" customWidth="1"/>
    <col min="8711" max="8711" width="29.42578125" style="443" bestFit="1" customWidth="1"/>
    <col min="8712" max="8712" width="26.42578125" style="443" bestFit="1" customWidth="1"/>
    <col min="8713" max="8715" width="22.5703125" style="443" bestFit="1" customWidth="1"/>
    <col min="8716" max="8716" width="29.85546875" style="443" customWidth="1"/>
    <col min="8717" max="8717" width="13.42578125" style="443" customWidth="1"/>
    <col min="8718" max="8718" width="9.140625" style="443" customWidth="1"/>
    <col min="8719" max="8719" width="10" style="443" bestFit="1" customWidth="1"/>
    <col min="8720" max="8720" width="9.85546875" style="443" customWidth="1"/>
    <col min="8721" max="8721" width="11.42578125" style="443" customWidth="1"/>
    <col min="8722" max="8954" width="9.140625" style="443" customWidth="1"/>
    <col min="8955" max="8955" width="9" style="443" customWidth="1"/>
    <col min="8956" max="8960" width="20.5703125" style="443"/>
    <col min="8961" max="8961" width="5.140625" style="443" customWidth="1"/>
    <col min="8962" max="8962" width="19.85546875" style="443" customWidth="1"/>
    <col min="8963" max="8963" width="22.42578125" style="443" customWidth="1"/>
    <col min="8964" max="8964" width="33.5703125" style="443" customWidth="1"/>
    <col min="8965" max="8965" width="56.85546875" style="443" customWidth="1"/>
    <col min="8966" max="8966" width="24.5703125" style="443" customWidth="1"/>
    <col min="8967" max="8967" width="29.42578125" style="443" bestFit="1" customWidth="1"/>
    <col min="8968" max="8968" width="26.42578125" style="443" bestFit="1" customWidth="1"/>
    <col min="8969" max="8971" width="22.5703125" style="443" bestFit="1" customWidth="1"/>
    <col min="8972" max="8972" width="29.85546875" style="443" customWidth="1"/>
    <col min="8973" max="8973" width="13.42578125" style="443" customWidth="1"/>
    <col min="8974" max="8974" width="9.140625" style="443" customWidth="1"/>
    <col min="8975" max="8975" width="10" style="443" bestFit="1" customWidth="1"/>
    <col min="8976" max="8976" width="9.85546875" style="443" customWidth="1"/>
    <col min="8977" max="8977" width="11.42578125" style="443" customWidth="1"/>
    <col min="8978" max="9210" width="9.140625" style="443" customWidth="1"/>
    <col min="9211" max="9211" width="9" style="443" customWidth="1"/>
    <col min="9212" max="9216" width="20.5703125" style="443"/>
    <col min="9217" max="9217" width="5.140625" style="443" customWidth="1"/>
    <col min="9218" max="9218" width="19.85546875" style="443" customWidth="1"/>
    <col min="9219" max="9219" width="22.42578125" style="443" customWidth="1"/>
    <col min="9220" max="9220" width="33.5703125" style="443" customWidth="1"/>
    <col min="9221" max="9221" width="56.85546875" style="443" customWidth="1"/>
    <col min="9222" max="9222" width="24.5703125" style="443" customWidth="1"/>
    <col min="9223" max="9223" width="29.42578125" style="443" bestFit="1" customWidth="1"/>
    <col min="9224" max="9224" width="26.42578125" style="443" bestFit="1" customWidth="1"/>
    <col min="9225" max="9227" width="22.5703125" style="443" bestFit="1" customWidth="1"/>
    <col min="9228" max="9228" width="29.85546875" style="443" customWidth="1"/>
    <col min="9229" max="9229" width="13.42578125" style="443" customWidth="1"/>
    <col min="9230" max="9230" width="9.140625" style="443" customWidth="1"/>
    <col min="9231" max="9231" width="10" style="443" bestFit="1" customWidth="1"/>
    <col min="9232" max="9232" width="9.85546875" style="443" customWidth="1"/>
    <col min="9233" max="9233" width="11.42578125" style="443" customWidth="1"/>
    <col min="9234" max="9466" width="9.140625" style="443" customWidth="1"/>
    <col min="9467" max="9467" width="9" style="443" customWidth="1"/>
    <col min="9468" max="9472" width="20.5703125" style="443"/>
    <col min="9473" max="9473" width="5.140625" style="443" customWidth="1"/>
    <col min="9474" max="9474" width="19.85546875" style="443" customWidth="1"/>
    <col min="9475" max="9475" width="22.42578125" style="443" customWidth="1"/>
    <col min="9476" max="9476" width="33.5703125" style="443" customWidth="1"/>
    <col min="9477" max="9477" width="56.85546875" style="443" customWidth="1"/>
    <col min="9478" max="9478" width="24.5703125" style="443" customWidth="1"/>
    <col min="9479" max="9479" width="29.42578125" style="443" bestFit="1" customWidth="1"/>
    <col min="9480" max="9480" width="26.42578125" style="443" bestFit="1" customWidth="1"/>
    <col min="9481" max="9483" width="22.5703125" style="443" bestFit="1" customWidth="1"/>
    <col min="9484" max="9484" width="29.85546875" style="443" customWidth="1"/>
    <col min="9485" max="9485" width="13.42578125" style="443" customWidth="1"/>
    <col min="9486" max="9486" width="9.140625" style="443" customWidth="1"/>
    <col min="9487" max="9487" width="10" style="443" bestFit="1" customWidth="1"/>
    <col min="9488" max="9488" width="9.85546875" style="443" customWidth="1"/>
    <col min="9489" max="9489" width="11.42578125" style="443" customWidth="1"/>
    <col min="9490" max="9722" width="9.140625" style="443" customWidth="1"/>
    <col min="9723" max="9723" width="9" style="443" customWidth="1"/>
    <col min="9724" max="9728" width="20.5703125" style="443"/>
    <col min="9729" max="9729" width="5.140625" style="443" customWidth="1"/>
    <col min="9730" max="9730" width="19.85546875" style="443" customWidth="1"/>
    <col min="9731" max="9731" width="22.42578125" style="443" customWidth="1"/>
    <col min="9732" max="9732" width="33.5703125" style="443" customWidth="1"/>
    <col min="9733" max="9733" width="56.85546875" style="443" customWidth="1"/>
    <col min="9734" max="9734" width="24.5703125" style="443" customWidth="1"/>
    <col min="9735" max="9735" width="29.42578125" style="443" bestFit="1" customWidth="1"/>
    <col min="9736" max="9736" width="26.42578125" style="443" bestFit="1" customWidth="1"/>
    <col min="9737" max="9739" width="22.5703125" style="443" bestFit="1" customWidth="1"/>
    <col min="9740" max="9740" width="29.85546875" style="443" customWidth="1"/>
    <col min="9741" max="9741" width="13.42578125" style="443" customWidth="1"/>
    <col min="9742" max="9742" width="9.140625" style="443" customWidth="1"/>
    <col min="9743" max="9743" width="10" style="443" bestFit="1" customWidth="1"/>
    <col min="9744" max="9744" width="9.85546875" style="443" customWidth="1"/>
    <col min="9745" max="9745" width="11.42578125" style="443" customWidth="1"/>
    <col min="9746" max="9978" width="9.140625" style="443" customWidth="1"/>
    <col min="9979" max="9979" width="9" style="443" customWidth="1"/>
    <col min="9980" max="9984" width="20.5703125" style="443"/>
    <col min="9985" max="9985" width="5.140625" style="443" customWidth="1"/>
    <col min="9986" max="9986" width="19.85546875" style="443" customWidth="1"/>
    <col min="9987" max="9987" width="22.42578125" style="443" customWidth="1"/>
    <col min="9988" max="9988" width="33.5703125" style="443" customWidth="1"/>
    <col min="9989" max="9989" width="56.85546875" style="443" customWidth="1"/>
    <col min="9990" max="9990" width="24.5703125" style="443" customWidth="1"/>
    <col min="9991" max="9991" width="29.42578125" style="443" bestFit="1" customWidth="1"/>
    <col min="9992" max="9992" width="26.42578125" style="443" bestFit="1" customWidth="1"/>
    <col min="9993" max="9995" width="22.5703125" style="443" bestFit="1" customWidth="1"/>
    <col min="9996" max="9996" width="29.85546875" style="443" customWidth="1"/>
    <col min="9997" max="9997" width="13.42578125" style="443" customWidth="1"/>
    <col min="9998" max="9998" width="9.140625" style="443" customWidth="1"/>
    <col min="9999" max="9999" width="10" style="443" bestFit="1" customWidth="1"/>
    <col min="10000" max="10000" width="9.85546875" style="443" customWidth="1"/>
    <col min="10001" max="10001" width="11.42578125" style="443" customWidth="1"/>
    <col min="10002" max="10234" width="9.140625" style="443" customWidth="1"/>
    <col min="10235" max="10235" width="9" style="443" customWidth="1"/>
    <col min="10236" max="10240" width="20.5703125" style="443"/>
    <col min="10241" max="10241" width="5.140625" style="443" customWidth="1"/>
    <col min="10242" max="10242" width="19.85546875" style="443" customWidth="1"/>
    <col min="10243" max="10243" width="22.42578125" style="443" customWidth="1"/>
    <col min="10244" max="10244" width="33.5703125" style="443" customWidth="1"/>
    <col min="10245" max="10245" width="56.85546875" style="443" customWidth="1"/>
    <col min="10246" max="10246" width="24.5703125" style="443" customWidth="1"/>
    <col min="10247" max="10247" width="29.42578125" style="443" bestFit="1" customWidth="1"/>
    <col min="10248" max="10248" width="26.42578125" style="443" bestFit="1" customWidth="1"/>
    <col min="10249" max="10251" width="22.5703125" style="443" bestFit="1" customWidth="1"/>
    <col min="10252" max="10252" width="29.85546875" style="443" customWidth="1"/>
    <col min="10253" max="10253" width="13.42578125" style="443" customWidth="1"/>
    <col min="10254" max="10254" width="9.140625" style="443" customWidth="1"/>
    <col min="10255" max="10255" width="10" style="443" bestFit="1" customWidth="1"/>
    <col min="10256" max="10256" width="9.85546875" style="443" customWidth="1"/>
    <col min="10257" max="10257" width="11.42578125" style="443" customWidth="1"/>
    <col min="10258" max="10490" width="9.140625" style="443" customWidth="1"/>
    <col min="10491" max="10491" width="9" style="443" customWidth="1"/>
    <col min="10492" max="10496" width="20.5703125" style="443"/>
    <col min="10497" max="10497" width="5.140625" style="443" customWidth="1"/>
    <col min="10498" max="10498" width="19.85546875" style="443" customWidth="1"/>
    <col min="10499" max="10499" width="22.42578125" style="443" customWidth="1"/>
    <col min="10500" max="10500" width="33.5703125" style="443" customWidth="1"/>
    <col min="10501" max="10501" width="56.85546875" style="443" customWidth="1"/>
    <col min="10502" max="10502" width="24.5703125" style="443" customWidth="1"/>
    <col min="10503" max="10503" width="29.42578125" style="443" bestFit="1" customWidth="1"/>
    <col min="10504" max="10504" width="26.42578125" style="443" bestFit="1" customWidth="1"/>
    <col min="10505" max="10507" width="22.5703125" style="443" bestFit="1" customWidth="1"/>
    <col min="10508" max="10508" width="29.85546875" style="443" customWidth="1"/>
    <col min="10509" max="10509" width="13.42578125" style="443" customWidth="1"/>
    <col min="10510" max="10510" width="9.140625" style="443" customWidth="1"/>
    <col min="10511" max="10511" width="10" style="443" bestFit="1" customWidth="1"/>
    <col min="10512" max="10512" width="9.85546875" style="443" customWidth="1"/>
    <col min="10513" max="10513" width="11.42578125" style="443" customWidth="1"/>
    <col min="10514" max="10746" width="9.140625" style="443" customWidth="1"/>
    <col min="10747" max="10747" width="9" style="443" customWidth="1"/>
    <col min="10748" max="10752" width="20.5703125" style="443"/>
    <col min="10753" max="10753" width="5.140625" style="443" customWidth="1"/>
    <col min="10754" max="10754" width="19.85546875" style="443" customWidth="1"/>
    <col min="10755" max="10755" width="22.42578125" style="443" customWidth="1"/>
    <col min="10756" max="10756" width="33.5703125" style="443" customWidth="1"/>
    <col min="10757" max="10757" width="56.85546875" style="443" customWidth="1"/>
    <col min="10758" max="10758" width="24.5703125" style="443" customWidth="1"/>
    <col min="10759" max="10759" width="29.42578125" style="443" bestFit="1" customWidth="1"/>
    <col min="10760" max="10760" width="26.42578125" style="443" bestFit="1" customWidth="1"/>
    <col min="10761" max="10763" width="22.5703125" style="443" bestFit="1" customWidth="1"/>
    <col min="10764" max="10764" width="29.85546875" style="443" customWidth="1"/>
    <col min="10765" max="10765" width="13.42578125" style="443" customWidth="1"/>
    <col min="10766" max="10766" width="9.140625" style="443" customWidth="1"/>
    <col min="10767" max="10767" width="10" style="443" bestFit="1" customWidth="1"/>
    <col min="10768" max="10768" width="9.85546875" style="443" customWidth="1"/>
    <col min="10769" max="10769" width="11.42578125" style="443" customWidth="1"/>
    <col min="10770" max="11002" width="9.140625" style="443" customWidth="1"/>
    <col min="11003" max="11003" width="9" style="443" customWidth="1"/>
    <col min="11004" max="11008" width="20.5703125" style="443"/>
    <col min="11009" max="11009" width="5.140625" style="443" customWidth="1"/>
    <col min="11010" max="11010" width="19.85546875" style="443" customWidth="1"/>
    <col min="11011" max="11011" width="22.42578125" style="443" customWidth="1"/>
    <col min="11012" max="11012" width="33.5703125" style="443" customWidth="1"/>
    <col min="11013" max="11013" width="56.85546875" style="443" customWidth="1"/>
    <col min="11014" max="11014" width="24.5703125" style="443" customWidth="1"/>
    <col min="11015" max="11015" width="29.42578125" style="443" bestFit="1" customWidth="1"/>
    <col min="11016" max="11016" width="26.42578125" style="443" bestFit="1" customWidth="1"/>
    <col min="11017" max="11019" width="22.5703125" style="443" bestFit="1" customWidth="1"/>
    <col min="11020" max="11020" width="29.85546875" style="443" customWidth="1"/>
    <col min="11021" max="11021" width="13.42578125" style="443" customWidth="1"/>
    <col min="11022" max="11022" width="9.140625" style="443" customWidth="1"/>
    <col min="11023" max="11023" width="10" style="443" bestFit="1" customWidth="1"/>
    <col min="11024" max="11024" width="9.85546875" style="443" customWidth="1"/>
    <col min="11025" max="11025" width="11.42578125" style="443" customWidth="1"/>
    <col min="11026" max="11258" width="9.140625" style="443" customWidth="1"/>
    <col min="11259" max="11259" width="9" style="443" customWidth="1"/>
    <col min="11260" max="11264" width="20.5703125" style="443"/>
    <col min="11265" max="11265" width="5.140625" style="443" customWidth="1"/>
    <col min="11266" max="11266" width="19.85546875" style="443" customWidth="1"/>
    <col min="11267" max="11267" width="22.42578125" style="443" customWidth="1"/>
    <col min="11268" max="11268" width="33.5703125" style="443" customWidth="1"/>
    <col min="11269" max="11269" width="56.85546875" style="443" customWidth="1"/>
    <col min="11270" max="11270" width="24.5703125" style="443" customWidth="1"/>
    <col min="11271" max="11271" width="29.42578125" style="443" bestFit="1" customWidth="1"/>
    <col min="11272" max="11272" width="26.42578125" style="443" bestFit="1" customWidth="1"/>
    <col min="11273" max="11275" width="22.5703125" style="443" bestFit="1" customWidth="1"/>
    <col min="11276" max="11276" width="29.85546875" style="443" customWidth="1"/>
    <col min="11277" max="11277" width="13.42578125" style="443" customWidth="1"/>
    <col min="11278" max="11278" width="9.140625" style="443" customWidth="1"/>
    <col min="11279" max="11279" width="10" style="443" bestFit="1" customWidth="1"/>
    <col min="11280" max="11280" width="9.85546875" style="443" customWidth="1"/>
    <col min="11281" max="11281" width="11.42578125" style="443" customWidth="1"/>
    <col min="11282" max="11514" width="9.140625" style="443" customWidth="1"/>
    <col min="11515" max="11515" width="9" style="443" customWidth="1"/>
    <col min="11516" max="11520" width="20.5703125" style="443"/>
    <col min="11521" max="11521" width="5.140625" style="443" customWidth="1"/>
    <col min="11522" max="11522" width="19.85546875" style="443" customWidth="1"/>
    <col min="11523" max="11523" width="22.42578125" style="443" customWidth="1"/>
    <col min="11524" max="11524" width="33.5703125" style="443" customWidth="1"/>
    <col min="11525" max="11525" width="56.85546875" style="443" customWidth="1"/>
    <col min="11526" max="11526" width="24.5703125" style="443" customWidth="1"/>
    <col min="11527" max="11527" width="29.42578125" style="443" bestFit="1" customWidth="1"/>
    <col min="11528" max="11528" width="26.42578125" style="443" bestFit="1" customWidth="1"/>
    <col min="11529" max="11531" width="22.5703125" style="443" bestFit="1" customWidth="1"/>
    <col min="11532" max="11532" width="29.85546875" style="443" customWidth="1"/>
    <col min="11533" max="11533" width="13.42578125" style="443" customWidth="1"/>
    <col min="11534" max="11534" width="9.140625" style="443" customWidth="1"/>
    <col min="11535" max="11535" width="10" style="443" bestFit="1" customWidth="1"/>
    <col min="11536" max="11536" width="9.85546875" style="443" customWidth="1"/>
    <col min="11537" max="11537" width="11.42578125" style="443" customWidth="1"/>
    <col min="11538" max="11770" width="9.140625" style="443" customWidth="1"/>
    <col min="11771" max="11771" width="9" style="443" customWidth="1"/>
    <col min="11772" max="11776" width="20.5703125" style="443"/>
    <col min="11777" max="11777" width="5.140625" style="443" customWidth="1"/>
    <col min="11778" max="11778" width="19.85546875" style="443" customWidth="1"/>
    <col min="11779" max="11779" width="22.42578125" style="443" customWidth="1"/>
    <col min="11780" max="11780" width="33.5703125" style="443" customWidth="1"/>
    <col min="11781" max="11781" width="56.85546875" style="443" customWidth="1"/>
    <col min="11782" max="11782" width="24.5703125" style="443" customWidth="1"/>
    <col min="11783" max="11783" width="29.42578125" style="443" bestFit="1" customWidth="1"/>
    <col min="11784" max="11784" width="26.42578125" style="443" bestFit="1" customWidth="1"/>
    <col min="11785" max="11787" width="22.5703125" style="443" bestFit="1" customWidth="1"/>
    <col min="11788" max="11788" width="29.85546875" style="443" customWidth="1"/>
    <col min="11789" max="11789" width="13.42578125" style="443" customWidth="1"/>
    <col min="11790" max="11790" width="9.140625" style="443" customWidth="1"/>
    <col min="11791" max="11791" width="10" style="443" bestFit="1" customWidth="1"/>
    <col min="11792" max="11792" width="9.85546875" style="443" customWidth="1"/>
    <col min="11793" max="11793" width="11.42578125" style="443" customWidth="1"/>
    <col min="11794" max="12026" width="9.140625" style="443" customWidth="1"/>
    <col min="12027" max="12027" width="9" style="443" customWidth="1"/>
    <col min="12028" max="12032" width="20.5703125" style="443"/>
    <col min="12033" max="12033" width="5.140625" style="443" customWidth="1"/>
    <col min="12034" max="12034" width="19.85546875" style="443" customWidth="1"/>
    <col min="12035" max="12035" width="22.42578125" style="443" customWidth="1"/>
    <col min="12036" max="12036" width="33.5703125" style="443" customWidth="1"/>
    <col min="12037" max="12037" width="56.85546875" style="443" customWidth="1"/>
    <col min="12038" max="12038" width="24.5703125" style="443" customWidth="1"/>
    <col min="12039" max="12039" width="29.42578125" style="443" bestFit="1" customWidth="1"/>
    <col min="12040" max="12040" width="26.42578125" style="443" bestFit="1" customWidth="1"/>
    <col min="12041" max="12043" width="22.5703125" style="443" bestFit="1" customWidth="1"/>
    <col min="12044" max="12044" width="29.85546875" style="443" customWidth="1"/>
    <col min="12045" max="12045" width="13.42578125" style="443" customWidth="1"/>
    <col min="12046" max="12046" width="9.140625" style="443" customWidth="1"/>
    <col min="12047" max="12047" width="10" style="443" bestFit="1" customWidth="1"/>
    <col min="12048" max="12048" width="9.85546875" style="443" customWidth="1"/>
    <col min="12049" max="12049" width="11.42578125" style="443" customWidth="1"/>
    <col min="12050" max="12282" width="9.140625" style="443" customWidth="1"/>
    <col min="12283" max="12283" width="9" style="443" customWidth="1"/>
    <col min="12284" max="12288" width="20.5703125" style="443"/>
    <col min="12289" max="12289" width="5.140625" style="443" customWidth="1"/>
    <col min="12290" max="12290" width="19.85546875" style="443" customWidth="1"/>
    <col min="12291" max="12291" width="22.42578125" style="443" customWidth="1"/>
    <col min="12292" max="12292" width="33.5703125" style="443" customWidth="1"/>
    <col min="12293" max="12293" width="56.85546875" style="443" customWidth="1"/>
    <col min="12294" max="12294" width="24.5703125" style="443" customWidth="1"/>
    <col min="12295" max="12295" width="29.42578125" style="443" bestFit="1" customWidth="1"/>
    <col min="12296" max="12296" width="26.42578125" style="443" bestFit="1" customWidth="1"/>
    <col min="12297" max="12299" width="22.5703125" style="443" bestFit="1" customWidth="1"/>
    <col min="12300" max="12300" width="29.85546875" style="443" customWidth="1"/>
    <col min="12301" max="12301" width="13.42578125" style="443" customWidth="1"/>
    <col min="12302" max="12302" width="9.140625" style="443" customWidth="1"/>
    <col min="12303" max="12303" width="10" style="443" bestFit="1" customWidth="1"/>
    <col min="12304" max="12304" width="9.85546875" style="443" customWidth="1"/>
    <col min="12305" max="12305" width="11.42578125" style="443" customWidth="1"/>
    <col min="12306" max="12538" width="9.140625" style="443" customWidth="1"/>
    <col min="12539" max="12539" width="9" style="443" customWidth="1"/>
    <col min="12540" max="12544" width="20.5703125" style="443"/>
    <col min="12545" max="12545" width="5.140625" style="443" customWidth="1"/>
    <col min="12546" max="12546" width="19.85546875" style="443" customWidth="1"/>
    <col min="12547" max="12547" width="22.42578125" style="443" customWidth="1"/>
    <col min="12548" max="12548" width="33.5703125" style="443" customWidth="1"/>
    <col min="12549" max="12549" width="56.85546875" style="443" customWidth="1"/>
    <col min="12550" max="12550" width="24.5703125" style="443" customWidth="1"/>
    <col min="12551" max="12551" width="29.42578125" style="443" bestFit="1" customWidth="1"/>
    <col min="12552" max="12552" width="26.42578125" style="443" bestFit="1" customWidth="1"/>
    <col min="12553" max="12555" width="22.5703125" style="443" bestFit="1" customWidth="1"/>
    <col min="12556" max="12556" width="29.85546875" style="443" customWidth="1"/>
    <col min="12557" max="12557" width="13.42578125" style="443" customWidth="1"/>
    <col min="12558" max="12558" width="9.140625" style="443" customWidth="1"/>
    <col min="12559" max="12559" width="10" style="443" bestFit="1" customWidth="1"/>
    <col min="12560" max="12560" width="9.85546875" style="443" customWidth="1"/>
    <col min="12561" max="12561" width="11.42578125" style="443" customWidth="1"/>
    <col min="12562" max="12794" width="9.140625" style="443" customWidth="1"/>
    <col min="12795" max="12795" width="9" style="443" customWidth="1"/>
    <col min="12796" max="12800" width="20.5703125" style="443"/>
    <col min="12801" max="12801" width="5.140625" style="443" customWidth="1"/>
    <col min="12802" max="12802" width="19.85546875" style="443" customWidth="1"/>
    <col min="12803" max="12803" width="22.42578125" style="443" customWidth="1"/>
    <col min="12804" max="12804" width="33.5703125" style="443" customWidth="1"/>
    <col min="12805" max="12805" width="56.85546875" style="443" customWidth="1"/>
    <col min="12806" max="12806" width="24.5703125" style="443" customWidth="1"/>
    <col min="12807" max="12807" width="29.42578125" style="443" bestFit="1" customWidth="1"/>
    <col min="12808" max="12808" width="26.42578125" style="443" bestFit="1" customWidth="1"/>
    <col min="12809" max="12811" width="22.5703125" style="443" bestFit="1" customWidth="1"/>
    <col min="12812" max="12812" width="29.85546875" style="443" customWidth="1"/>
    <col min="12813" max="12813" width="13.42578125" style="443" customWidth="1"/>
    <col min="12814" max="12814" width="9.140625" style="443" customWidth="1"/>
    <col min="12815" max="12815" width="10" style="443" bestFit="1" customWidth="1"/>
    <col min="12816" max="12816" width="9.85546875" style="443" customWidth="1"/>
    <col min="12817" max="12817" width="11.42578125" style="443" customWidth="1"/>
    <col min="12818" max="13050" width="9.140625" style="443" customWidth="1"/>
    <col min="13051" max="13051" width="9" style="443" customWidth="1"/>
    <col min="13052" max="13056" width="20.5703125" style="443"/>
    <col min="13057" max="13057" width="5.140625" style="443" customWidth="1"/>
    <col min="13058" max="13058" width="19.85546875" style="443" customWidth="1"/>
    <col min="13059" max="13059" width="22.42578125" style="443" customWidth="1"/>
    <col min="13060" max="13060" width="33.5703125" style="443" customWidth="1"/>
    <col min="13061" max="13061" width="56.85546875" style="443" customWidth="1"/>
    <col min="13062" max="13062" width="24.5703125" style="443" customWidth="1"/>
    <col min="13063" max="13063" width="29.42578125" style="443" bestFit="1" customWidth="1"/>
    <col min="13064" max="13064" width="26.42578125" style="443" bestFit="1" customWidth="1"/>
    <col min="13065" max="13067" width="22.5703125" style="443" bestFit="1" customWidth="1"/>
    <col min="13068" max="13068" width="29.85546875" style="443" customWidth="1"/>
    <col min="13069" max="13069" width="13.42578125" style="443" customWidth="1"/>
    <col min="13070" max="13070" width="9.140625" style="443" customWidth="1"/>
    <col min="13071" max="13071" width="10" style="443" bestFit="1" customWidth="1"/>
    <col min="13072" max="13072" width="9.85546875" style="443" customWidth="1"/>
    <col min="13073" max="13073" width="11.42578125" style="443" customWidth="1"/>
    <col min="13074" max="13306" width="9.140625" style="443" customWidth="1"/>
    <col min="13307" max="13307" width="9" style="443" customWidth="1"/>
    <col min="13308" max="13312" width="20.5703125" style="443"/>
    <col min="13313" max="13313" width="5.140625" style="443" customWidth="1"/>
    <col min="13314" max="13314" width="19.85546875" style="443" customWidth="1"/>
    <col min="13315" max="13315" width="22.42578125" style="443" customWidth="1"/>
    <col min="13316" max="13316" width="33.5703125" style="443" customWidth="1"/>
    <col min="13317" max="13317" width="56.85546875" style="443" customWidth="1"/>
    <col min="13318" max="13318" width="24.5703125" style="443" customWidth="1"/>
    <col min="13319" max="13319" width="29.42578125" style="443" bestFit="1" customWidth="1"/>
    <col min="13320" max="13320" width="26.42578125" style="443" bestFit="1" customWidth="1"/>
    <col min="13321" max="13323" width="22.5703125" style="443" bestFit="1" customWidth="1"/>
    <col min="13324" max="13324" width="29.85546875" style="443" customWidth="1"/>
    <col min="13325" max="13325" width="13.42578125" style="443" customWidth="1"/>
    <col min="13326" max="13326" width="9.140625" style="443" customWidth="1"/>
    <col min="13327" max="13327" width="10" style="443" bestFit="1" customWidth="1"/>
    <col min="13328" max="13328" width="9.85546875" style="443" customWidth="1"/>
    <col min="13329" max="13329" width="11.42578125" style="443" customWidth="1"/>
    <col min="13330" max="13562" width="9.140625" style="443" customWidth="1"/>
    <col min="13563" max="13563" width="9" style="443" customWidth="1"/>
    <col min="13564" max="13568" width="20.5703125" style="443"/>
    <col min="13569" max="13569" width="5.140625" style="443" customWidth="1"/>
    <col min="13570" max="13570" width="19.85546875" style="443" customWidth="1"/>
    <col min="13571" max="13571" width="22.42578125" style="443" customWidth="1"/>
    <col min="13572" max="13572" width="33.5703125" style="443" customWidth="1"/>
    <col min="13573" max="13573" width="56.85546875" style="443" customWidth="1"/>
    <col min="13574" max="13574" width="24.5703125" style="443" customWidth="1"/>
    <col min="13575" max="13575" width="29.42578125" style="443" bestFit="1" customWidth="1"/>
    <col min="13576" max="13576" width="26.42578125" style="443" bestFit="1" customWidth="1"/>
    <col min="13577" max="13579" width="22.5703125" style="443" bestFit="1" customWidth="1"/>
    <col min="13580" max="13580" width="29.85546875" style="443" customWidth="1"/>
    <col min="13581" max="13581" width="13.42578125" style="443" customWidth="1"/>
    <col min="13582" max="13582" width="9.140625" style="443" customWidth="1"/>
    <col min="13583" max="13583" width="10" style="443" bestFit="1" customWidth="1"/>
    <col min="13584" max="13584" width="9.85546875" style="443" customWidth="1"/>
    <col min="13585" max="13585" width="11.42578125" style="443" customWidth="1"/>
    <col min="13586" max="13818" width="9.140625" style="443" customWidth="1"/>
    <col min="13819" max="13819" width="9" style="443" customWidth="1"/>
    <col min="13820" max="13824" width="20.5703125" style="443"/>
    <col min="13825" max="13825" width="5.140625" style="443" customWidth="1"/>
    <col min="13826" max="13826" width="19.85546875" style="443" customWidth="1"/>
    <col min="13827" max="13827" width="22.42578125" style="443" customWidth="1"/>
    <col min="13828" max="13828" width="33.5703125" style="443" customWidth="1"/>
    <col min="13829" max="13829" width="56.85546875" style="443" customWidth="1"/>
    <col min="13830" max="13830" width="24.5703125" style="443" customWidth="1"/>
    <col min="13831" max="13831" width="29.42578125" style="443" bestFit="1" customWidth="1"/>
    <col min="13832" max="13832" width="26.42578125" style="443" bestFit="1" customWidth="1"/>
    <col min="13833" max="13835" width="22.5703125" style="443" bestFit="1" customWidth="1"/>
    <col min="13836" max="13836" width="29.85546875" style="443" customWidth="1"/>
    <col min="13837" max="13837" width="13.42578125" style="443" customWidth="1"/>
    <col min="13838" max="13838" width="9.140625" style="443" customWidth="1"/>
    <col min="13839" max="13839" width="10" style="443" bestFit="1" customWidth="1"/>
    <col min="13840" max="13840" width="9.85546875" style="443" customWidth="1"/>
    <col min="13841" max="13841" width="11.42578125" style="443" customWidth="1"/>
    <col min="13842" max="14074" width="9.140625" style="443" customWidth="1"/>
    <col min="14075" max="14075" width="9" style="443" customWidth="1"/>
    <col min="14076" max="14080" width="20.5703125" style="443"/>
    <col min="14081" max="14081" width="5.140625" style="443" customWidth="1"/>
    <col min="14082" max="14082" width="19.85546875" style="443" customWidth="1"/>
    <col min="14083" max="14083" width="22.42578125" style="443" customWidth="1"/>
    <col min="14084" max="14084" width="33.5703125" style="443" customWidth="1"/>
    <col min="14085" max="14085" width="56.85546875" style="443" customWidth="1"/>
    <col min="14086" max="14086" width="24.5703125" style="443" customWidth="1"/>
    <col min="14087" max="14087" width="29.42578125" style="443" bestFit="1" customWidth="1"/>
    <col min="14088" max="14088" width="26.42578125" style="443" bestFit="1" customWidth="1"/>
    <col min="14089" max="14091" width="22.5703125" style="443" bestFit="1" customWidth="1"/>
    <col min="14092" max="14092" width="29.85546875" style="443" customWidth="1"/>
    <col min="14093" max="14093" width="13.42578125" style="443" customWidth="1"/>
    <col min="14094" max="14094" width="9.140625" style="443" customWidth="1"/>
    <col min="14095" max="14095" width="10" style="443" bestFit="1" customWidth="1"/>
    <col min="14096" max="14096" width="9.85546875" style="443" customWidth="1"/>
    <col min="14097" max="14097" width="11.42578125" style="443" customWidth="1"/>
    <col min="14098" max="14330" width="9.140625" style="443" customWidth="1"/>
    <col min="14331" max="14331" width="9" style="443" customWidth="1"/>
    <col min="14332" max="14336" width="20.5703125" style="443"/>
    <col min="14337" max="14337" width="5.140625" style="443" customWidth="1"/>
    <col min="14338" max="14338" width="19.85546875" style="443" customWidth="1"/>
    <col min="14339" max="14339" width="22.42578125" style="443" customWidth="1"/>
    <col min="14340" max="14340" width="33.5703125" style="443" customWidth="1"/>
    <col min="14341" max="14341" width="56.85546875" style="443" customWidth="1"/>
    <col min="14342" max="14342" width="24.5703125" style="443" customWidth="1"/>
    <col min="14343" max="14343" width="29.42578125" style="443" bestFit="1" customWidth="1"/>
    <col min="14344" max="14344" width="26.42578125" style="443" bestFit="1" customWidth="1"/>
    <col min="14345" max="14347" width="22.5703125" style="443" bestFit="1" customWidth="1"/>
    <col min="14348" max="14348" width="29.85546875" style="443" customWidth="1"/>
    <col min="14349" max="14349" width="13.42578125" style="443" customWidth="1"/>
    <col min="14350" max="14350" width="9.140625" style="443" customWidth="1"/>
    <col min="14351" max="14351" width="10" style="443" bestFit="1" customWidth="1"/>
    <col min="14352" max="14352" width="9.85546875" style="443" customWidth="1"/>
    <col min="14353" max="14353" width="11.42578125" style="443" customWidth="1"/>
    <col min="14354" max="14586" width="9.140625" style="443" customWidth="1"/>
    <col min="14587" max="14587" width="9" style="443" customWidth="1"/>
    <col min="14588" max="14592" width="20.5703125" style="443"/>
    <col min="14593" max="14593" width="5.140625" style="443" customWidth="1"/>
    <col min="14594" max="14594" width="19.85546875" style="443" customWidth="1"/>
    <col min="14595" max="14595" width="22.42578125" style="443" customWidth="1"/>
    <col min="14596" max="14596" width="33.5703125" style="443" customWidth="1"/>
    <col min="14597" max="14597" width="56.85546875" style="443" customWidth="1"/>
    <col min="14598" max="14598" width="24.5703125" style="443" customWidth="1"/>
    <col min="14599" max="14599" width="29.42578125" style="443" bestFit="1" customWidth="1"/>
    <col min="14600" max="14600" width="26.42578125" style="443" bestFit="1" customWidth="1"/>
    <col min="14601" max="14603" width="22.5703125" style="443" bestFit="1" customWidth="1"/>
    <col min="14604" max="14604" width="29.85546875" style="443" customWidth="1"/>
    <col min="14605" max="14605" width="13.42578125" style="443" customWidth="1"/>
    <col min="14606" max="14606" width="9.140625" style="443" customWidth="1"/>
    <col min="14607" max="14607" width="10" style="443" bestFit="1" customWidth="1"/>
    <col min="14608" max="14608" width="9.85546875" style="443" customWidth="1"/>
    <col min="14609" max="14609" width="11.42578125" style="443" customWidth="1"/>
    <col min="14610" max="14842" width="9.140625" style="443" customWidth="1"/>
    <col min="14843" max="14843" width="9" style="443" customWidth="1"/>
    <col min="14844" max="14848" width="20.5703125" style="443"/>
    <col min="14849" max="14849" width="5.140625" style="443" customWidth="1"/>
    <col min="14850" max="14850" width="19.85546875" style="443" customWidth="1"/>
    <col min="14851" max="14851" width="22.42578125" style="443" customWidth="1"/>
    <col min="14852" max="14852" width="33.5703125" style="443" customWidth="1"/>
    <col min="14853" max="14853" width="56.85546875" style="443" customWidth="1"/>
    <col min="14854" max="14854" width="24.5703125" style="443" customWidth="1"/>
    <col min="14855" max="14855" width="29.42578125" style="443" bestFit="1" customWidth="1"/>
    <col min="14856" max="14856" width="26.42578125" style="443" bestFit="1" customWidth="1"/>
    <col min="14857" max="14859" width="22.5703125" style="443" bestFit="1" customWidth="1"/>
    <col min="14860" max="14860" width="29.85546875" style="443" customWidth="1"/>
    <col min="14861" max="14861" width="13.42578125" style="443" customWidth="1"/>
    <col min="14862" max="14862" width="9.140625" style="443" customWidth="1"/>
    <col min="14863" max="14863" width="10" style="443" bestFit="1" customWidth="1"/>
    <col min="14864" max="14864" width="9.85546875" style="443" customWidth="1"/>
    <col min="14865" max="14865" width="11.42578125" style="443" customWidth="1"/>
    <col min="14866" max="15098" width="9.140625" style="443" customWidth="1"/>
    <col min="15099" max="15099" width="9" style="443" customWidth="1"/>
    <col min="15100" max="15104" width="20.5703125" style="443"/>
    <col min="15105" max="15105" width="5.140625" style="443" customWidth="1"/>
    <col min="15106" max="15106" width="19.85546875" style="443" customWidth="1"/>
    <col min="15107" max="15107" width="22.42578125" style="443" customWidth="1"/>
    <col min="15108" max="15108" width="33.5703125" style="443" customWidth="1"/>
    <col min="15109" max="15109" width="56.85546875" style="443" customWidth="1"/>
    <col min="15110" max="15110" width="24.5703125" style="443" customWidth="1"/>
    <col min="15111" max="15111" width="29.42578125" style="443" bestFit="1" customWidth="1"/>
    <col min="15112" max="15112" width="26.42578125" style="443" bestFit="1" customWidth="1"/>
    <col min="15113" max="15115" width="22.5703125" style="443" bestFit="1" customWidth="1"/>
    <col min="15116" max="15116" width="29.85546875" style="443" customWidth="1"/>
    <col min="15117" max="15117" width="13.42578125" style="443" customWidth="1"/>
    <col min="15118" max="15118" width="9.140625" style="443" customWidth="1"/>
    <col min="15119" max="15119" width="10" style="443" bestFit="1" customWidth="1"/>
    <col min="15120" max="15120" width="9.85546875" style="443" customWidth="1"/>
    <col min="15121" max="15121" width="11.42578125" style="443" customWidth="1"/>
    <col min="15122" max="15354" width="9.140625" style="443" customWidth="1"/>
    <col min="15355" max="15355" width="9" style="443" customWidth="1"/>
    <col min="15356" max="15360" width="20.5703125" style="443"/>
    <col min="15361" max="15361" width="5.140625" style="443" customWidth="1"/>
    <col min="15362" max="15362" width="19.85546875" style="443" customWidth="1"/>
    <col min="15363" max="15363" width="22.42578125" style="443" customWidth="1"/>
    <col min="15364" max="15364" width="33.5703125" style="443" customWidth="1"/>
    <col min="15365" max="15365" width="56.85546875" style="443" customWidth="1"/>
    <col min="15366" max="15366" width="24.5703125" style="443" customWidth="1"/>
    <col min="15367" max="15367" width="29.42578125" style="443" bestFit="1" customWidth="1"/>
    <col min="15368" max="15368" width="26.42578125" style="443" bestFit="1" customWidth="1"/>
    <col min="15369" max="15371" width="22.5703125" style="443" bestFit="1" customWidth="1"/>
    <col min="15372" max="15372" width="29.85546875" style="443" customWidth="1"/>
    <col min="15373" max="15373" width="13.42578125" style="443" customWidth="1"/>
    <col min="15374" max="15374" width="9.140625" style="443" customWidth="1"/>
    <col min="15375" max="15375" width="10" style="443" bestFit="1" customWidth="1"/>
    <col min="15376" max="15376" width="9.85546875" style="443" customWidth="1"/>
    <col min="15377" max="15377" width="11.42578125" style="443" customWidth="1"/>
    <col min="15378" max="15610" width="9.140625" style="443" customWidth="1"/>
    <col min="15611" max="15611" width="9" style="443" customWidth="1"/>
    <col min="15612" max="15616" width="20.5703125" style="443"/>
    <col min="15617" max="15617" width="5.140625" style="443" customWidth="1"/>
    <col min="15618" max="15618" width="19.85546875" style="443" customWidth="1"/>
    <col min="15619" max="15619" width="22.42578125" style="443" customWidth="1"/>
    <col min="15620" max="15620" width="33.5703125" style="443" customWidth="1"/>
    <col min="15621" max="15621" width="56.85546875" style="443" customWidth="1"/>
    <col min="15622" max="15622" width="24.5703125" style="443" customWidth="1"/>
    <col min="15623" max="15623" width="29.42578125" style="443" bestFit="1" customWidth="1"/>
    <col min="15624" max="15624" width="26.42578125" style="443" bestFit="1" customWidth="1"/>
    <col min="15625" max="15627" width="22.5703125" style="443" bestFit="1" customWidth="1"/>
    <col min="15628" max="15628" width="29.85546875" style="443" customWidth="1"/>
    <col min="15629" max="15629" width="13.42578125" style="443" customWidth="1"/>
    <col min="15630" max="15630" width="9.140625" style="443" customWidth="1"/>
    <col min="15631" max="15631" width="10" style="443" bestFit="1" customWidth="1"/>
    <col min="15632" max="15632" width="9.85546875" style="443" customWidth="1"/>
    <col min="15633" max="15633" width="11.42578125" style="443" customWidth="1"/>
    <col min="15634" max="15866" width="9.140625" style="443" customWidth="1"/>
    <col min="15867" max="15867" width="9" style="443" customWidth="1"/>
    <col min="15868" max="15872" width="20.5703125" style="443"/>
    <col min="15873" max="15873" width="5.140625" style="443" customWidth="1"/>
    <col min="15874" max="15874" width="19.85546875" style="443" customWidth="1"/>
    <col min="15875" max="15875" width="22.42578125" style="443" customWidth="1"/>
    <col min="15876" max="15876" width="33.5703125" style="443" customWidth="1"/>
    <col min="15877" max="15877" width="56.85546875" style="443" customWidth="1"/>
    <col min="15878" max="15878" width="24.5703125" style="443" customWidth="1"/>
    <col min="15879" max="15879" width="29.42578125" style="443" bestFit="1" customWidth="1"/>
    <col min="15880" max="15880" width="26.42578125" style="443" bestFit="1" customWidth="1"/>
    <col min="15881" max="15883" width="22.5703125" style="443" bestFit="1" customWidth="1"/>
    <col min="15884" max="15884" width="29.85546875" style="443" customWidth="1"/>
    <col min="15885" max="15885" width="13.42578125" style="443" customWidth="1"/>
    <col min="15886" max="15886" width="9.140625" style="443" customWidth="1"/>
    <col min="15887" max="15887" width="10" style="443" bestFit="1" customWidth="1"/>
    <col min="15888" max="15888" width="9.85546875" style="443" customWidth="1"/>
    <col min="15889" max="15889" width="11.42578125" style="443" customWidth="1"/>
    <col min="15890" max="16122" width="9.140625" style="443" customWidth="1"/>
    <col min="16123" max="16123" width="9" style="443" customWidth="1"/>
    <col min="16124" max="16128" width="20.5703125" style="443"/>
    <col min="16129" max="16129" width="5.140625" style="443" customWidth="1"/>
    <col min="16130" max="16130" width="19.85546875" style="443" customWidth="1"/>
    <col min="16131" max="16131" width="22.42578125" style="443" customWidth="1"/>
    <col min="16132" max="16132" width="33.5703125" style="443" customWidth="1"/>
    <col min="16133" max="16133" width="56.85546875" style="443" customWidth="1"/>
    <col min="16134" max="16134" width="24.5703125" style="443" customWidth="1"/>
    <col min="16135" max="16135" width="29.42578125" style="443" bestFit="1" customWidth="1"/>
    <col min="16136" max="16136" width="26.42578125" style="443" bestFit="1" customWidth="1"/>
    <col min="16137" max="16139" width="22.5703125" style="443" bestFit="1" customWidth="1"/>
    <col min="16140" max="16140" width="29.85546875" style="443" customWidth="1"/>
    <col min="16141" max="16141" width="13.42578125" style="443" customWidth="1"/>
    <col min="16142" max="16142" width="9.140625" style="443" customWidth="1"/>
    <col min="16143" max="16143" width="10" style="443" bestFit="1" customWidth="1"/>
    <col min="16144" max="16144" width="9.85546875" style="443" customWidth="1"/>
    <col min="16145" max="16145" width="11.42578125" style="443" customWidth="1"/>
    <col min="16146" max="16378" width="9.140625" style="443" customWidth="1"/>
    <col min="16379" max="16379" width="9" style="443" customWidth="1"/>
    <col min="16380" max="16384" width="20.5703125" style="443"/>
  </cols>
  <sheetData>
    <row r="1" spans="3:28" ht="16.5" x14ac:dyDescent="0.25">
      <c r="C1" s="438"/>
      <c r="D1" s="439"/>
      <c r="E1" s="439"/>
      <c r="F1" s="440"/>
      <c r="G1" s="440"/>
      <c r="H1" s="441"/>
      <c r="I1" s="442"/>
      <c r="J1" s="442"/>
      <c r="K1" s="442"/>
      <c r="L1" s="438"/>
      <c r="M1" s="438"/>
      <c r="N1" s="438"/>
    </row>
    <row r="2" spans="3:28" ht="34.5" customHeight="1" x14ac:dyDescent="0.25">
      <c r="C2" s="438"/>
      <c r="D2" s="439"/>
      <c r="F2" s="777" t="s">
        <v>828</v>
      </c>
      <c r="G2" s="777"/>
      <c r="H2" s="776"/>
      <c r="I2" s="776"/>
      <c r="J2" s="776"/>
      <c r="K2" s="776"/>
      <c r="L2" s="776"/>
      <c r="M2" s="438"/>
      <c r="N2" s="438"/>
    </row>
    <row r="3" spans="3:28" ht="69.599999999999994" customHeight="1" x14ac:dyDescent="0.25">
      <c r="C3" s="438"/>
      <c r="D3" s="439"/>
      <c r="F3" s="777" t="s">
        <v>729</v>
      </c>
      <c r="G3" s="777"/>
      <c r="H3" s="777"/>
      <c r="I3" s="776"/>
      <c r="J3" s="776"/>
      <c r="K3" s="776"/>
      <c r="L3" s="776"/>
      <c r="M3" s="438"/>
      <c r="N3" s="438"/>
    </row>
    <row r="4" spans="3:28" ht="15" customHeight="1" thickBot="1" x14ac:dyDescent="0.3">
      <c r="C4" s="438"/>
      <c r="D4" s="439"/>
      <c r="E4" s="439"/>
      <c r="F4" s="440"/>
      <c r="G4" s="440"/>
      <c r="H4" s="441"/>
      <c r="I4" s="442"/>
      <c r="J4" s="442"/>
      <c r="K4" s="442"/>
      <c r="L4" s="438"/>
      <c r="M4" s="438"/>
      <c r="N4" s="438"/>
    </row>
    <row r="5" spans="3:28" ht="15" customHeight="1" x14ac:dyDescent="0.25">
      <c r="C5" s="444"/>
      <c r="D5" s="445" t="s">
        <v>309</v>
      </c>
      <c r="E5" s="446"/>
      <c r="F5" s="447"/>
      <c r="G5" s="937" t="s">
        <v>310</v>
      </c>
      <c r="H5" s="448"/>
      <c r="I5" s="449"/>
      <c r="J5" s="449"/>
      <c r="K5" s="449"/>
      <c r="L5" s="450"/>
      <c r="M5" s="438"/>
      <c r="N5" s="438"/>
    </row>
    <row r="6" spans="3:28" ht="20.45" customHeight="1" thickBot="1" x14ac:dyDescent="0.3">
      <c r="C6" s="438"/>
      <c r="D6" s="451" t="s">
        <v>34</v>
      </c>
      <c r="E6" s="452" t="s">
        <v>311</v>
      </c>
      <c r="F6" s="453" t="s">
        <v>312</v>
      </c>
      <c r="G6" s="938"/>
      <c r="H6" s="454" t="s">
        <v>313</v>
      </c>
      <c r="I6" s="455" t="s">
        <v>314</v>
      </c>
      <c r="J6" s="456" t="s">
        <v>74</v>
      </c>
      <c r="K6" s="456" t="s">
        <v>315</v>
      </c>
      <c r="L6" s="457" t="s">
        <v>316</v>
      </c>
      <c r="M6" s="438"/>
      <c r="N6" s="438"/>
      <c r="P6" s="458"/>
    </row>
    <row r="7" spans="3:28" ht="17.45" customHeight="1" x14ac:dyDescent="0.35">
      <c r="C7" s="459"/>
      <c r="D7" s="460" t="s">
        <v>275</v>
      </c>
      <c r="E7" s="461">
        <v>624</v>
      </c>
      <c r="F7" s="462">
        <v>84</v>
      </c>
      <c r="G7" s="463">
        <f>F7/$F$10</f>
        <v>0.49411764705882355</v>
      </c>
      <c r="H7" s="464">
        <f>F7*E7</f>
        <v>52416</v>
      </c>
      <c r="I7" s="465">
        <v>2490</v>
      </c>
      <c r="J7" s="466">
        <f>I7/E7</f>
        <v>3.9903846153846154</v>
      </c>
      <c r="K7" s="467">
        <f>I7*F7</f>
        <v>209160</v>
      </c>
      <c r="L7" s="468">
        <f>K7*12</f>
        <v>2509920</v>
      </c>
      <c r="M7" s="438"/>
      <c r="N7" s="438"/>
      <c r="P7" s="458"/>
    </row>
    <row r="8" spans="3:28" ht="17.45" customHeight="1" x14ac:dyDescent="0.35">
      <c r="C8" s="459"/>
      <c r="D8" s="460" t="s">
        <v>276</v>
      </c>
      <c r="E8" s="461">
        <v>855.4</v>
      </c>
      <c r="F8" s="462">
        <v>68</v>
      </c>
      <c r="G8" s="463">
        <f>F8/$F$10</f>
        <v>0.4</v>
      </c>
      <c r="H8" s="464">
        <f>F8*E8</f>
        <v>58167.199999999997</v>
      </c>
      <c r="I8" s="465">
        <v>3155</v>
      </c>
      <c r="J8" s="466">
        <f>I8/E8</f>
        <v>3.6883329436520929</v>
      </c>
      <c r="K8" s="467">
        <f>I8*F8</f>
        <v>214540</v>
      </c>
      <c r="L8" s="468">
        <f>K8*12</f>
        <v>2574480</v>
      </c>
      <c r="M8" s="438"/>
      <c r="N8" s="438"/>
      <c r="P8" s="458"/>
    </row>
    <row r="9" spans="3:28" ht="17.45" customHeight="1" thickBot="1" x14ac:dyDescent="0.4">
      <c r="C9" s="459"/>
      <c r="D9" s="460" t="s">
        <v>526</v>
      </c>
      <c r="E9" s="461">
        <v>1015</v>
      </c>
      <c r="F9" s="462">
        <v>18</v>
      </c>
      <c r="G9" s="463">
        <f>F9/$F$10</f>
        <v>0.10588235294117647</v>
      </c>
      <c r="H9" s="464">
        <f>F9*E9</f>
        <v>18270</v>
      </c>
      <c r="I9" s="465">
        <v>3675</v>
      </c>
      <c r="J9" s="466">
        <f>I9/E9</f>
        <v>3.6206896551724137</v>
      </c>
      <c r="K9" s="467">
        <f>I9*F9</f>
        <v>66150</v>
      </c>
      <c r="L9" s="468">
        <f>K9*12</f>
        <v>793800</v>
      </c>
      <c r="M9" s="438"/>
      <c r="N9" s="438"/>
      <c r="P9" s="458"/>
    </row>
    <row r="10" spans="3:28" ht="17.45" customHeight="1" thickBot="1" x14ac:dyDescent="0.3">
      <c r="C10" s="459"/>
      <c r="D10" s="469" t="s">
        <v>317</v>
      </c>
      <c r="E10" s="470">
        <f>SUMPRODUCT(E7:E9,F7:F9)/F10</f>
        <v>757.96</v>
      </c>
      <c r="F10" s="471">
        <f>SUM(F7:F9)</f>
        <v>170</v>
      </c>
      <c r="G10" s="472">
        <f>SUM(G7:G9)</f>
        <v>1</v>
      </c>
      <c r="H10" s="470">
        <f>SUM(H7:H9)</f>
        <v>128853.2</v>
      </c>
      <c r="I10" s="473">
        <f>K10/F10</f>
        <v>2881.4705882352941</v>
      </c>
      <c r="J10" s="474">
        <f>K10/H10</f>
        <v>3.8016129983578213</v>
      </c>
      <c r="K10" s="473">
        <f>SUM(K7:K9)</f>
        <v>489850</v>
      </c>
      <c r="L10" s="475">
        <f>SUM(L7:L9)</f>
        <v>5878200</v>
      </c>
      <c r="M10" s="438"/>
      <c r="N10" s="438"/>
      <c r="P10" s="458"/>
      <c r="Y10" s="476"/>
      <c r="Z10" s="476"/>
      <c r="AA10" s="476"/>
      <c r="AB10" s="476"/>
    </row>
    <row r="11" spans="3:28" ht="18.75" x14ac:dyDescent="0.25">
      <c r="C11" s="459"/>
      <c r="D11" s="477"/>
      <c r="E11" s="478"/>
      <c r="F11" s="479"/>
      <c r="G11" s="480"/>
      <c r="H11" s="480"/>
      <c r="I11" s="480"/>
      <c r="J11" s="480"/>
      <c r="K11" s="438"/>
      <c r="L11" s="438"/>
      <c r="M11" s="438"/>
      <c r="N11" s="438"/>
      <c r="P11" s="458"/>
      <c r="Y11" s="476"/>
      <c r="Z11" s="476"/>
      <c r="AA11" s="476"/>
      <c r="AB11" s="476"/>
    </row>
    <row r="12" spans="3:28" ht="15" customHeight="1" thickBot="1" x14ac:dyDescent="0.3">
      <c r="C12" s="459">
        <f>SUM(C7:C7)</f>
        <v>0</v>
      </c>
      <c r="D12" s="477"/>
      <c r="E12" s="477"/>
      <c r="F12" s="481"/>
      <c r="G12" s="481"/>
      <c r="H12" s="482"/>
      <c r="I12" s="483"/>
      <c r="J12" s="483"/>
      <c r="K12" s="484"/>
      <c r="L12" s="438"/>
      <c r="M12" s="438"/>
      <c r="N12" s="485"/>
      <c r="P12" s="458"/>
    </row>
    <row r="13" spans="3:28" ht="15" customHeight="1" thickBot="1" x14ac:dyDescent="0.3">
      <c r="C13" s="438"/>
      <c r="D13" s="477"/>
      <c r="E13" s="486" t="s">
        <v>318</v>
      </c>
      <c r="F13" s="487">
        <f>F10</f>
        <v>170</v>
      </c>
      <c r="G13" s="477"/>
      <c r="H13" s="488"/>
      <c r="I13" s="486" t="s">
        <v>319</v>
      </c>
      <c r="J13" s="489">
        <f>H10</f>
        <v>128853.2</v>
      </c>
      <c r="K13" s="483"/>
      <c r="L13" s="438"/>
      <c r="M13" s="485"/>
      <c r="N13" s="438"/>
      <c r="O13" s="458"/>
    </row>
    <row r="14" spans="3:28" ht="15" customHeight="1" thickBot="1" x14ac:dyDescent="0.3">
      <c r="C14" s="438"/>
      <c r="D14" s="477"/>
      <c r="E14" s="486"/>
      <c r="F14" s="490"/>
      <c r="G14" s="477"/>
      <c r="H14" s="488"/>
      <c r="I14" s="486" t="s">
        <v>320</v>
      </c>
      <c r="J14" s="491">
        <f>K10</f>
        <v>489850</v>
      </c>
      <c r="K14" s="483"/>
      <c r="L14" s="438"/>
      <c r="M14" s="485"/>
      <c r="N14" s="438"/>
      <c r="O14" s="458"/>
    </row>
    <row r="15" spans="3:28" ht="15" customHeight="1" x14ac:dyDescent="0.25">
      <c r="C15" s="438"/>
      <c r="D15" s="477"/>
      <c r="E15" s="477"/>
      <c r="F15" s="481"/>
      <c r="G15" s="481"/>
      <c r="H15" s="482"/>
      <c r="I15" s="483"/>
      <c r="J15" s="483"/>
      <c r="K15" s="483"/>
      <c r="L15" s="438"/>
      <c r="M15" s="485"/>
      <c r="N15" s="438"/>
      <c r="O15" s="458"/>
    </row>
    <row r="16" spans="3:28" ht="15" customHeight="1" x14ac:dyDescent="0.25">
      <c r="C16" s="438"/>
      <c r="D16" s="477"/>
      <c r="E16" s="492" t="s">
        <v>321</v>
      </c>
      <c r="F16" s="493" t="s">
        <v>322</v>
      </c>
      <c r="G16" s="493" t="s">
        <v>323</v>
      </c>
      <c r="H16" s="494" t="s">
        <v>324</v>
      </c>
      <c r="I16" s="495" t="s">
        <v>325</v>
      </c>
      <c r="J16" s="495" t="s">
        <v>315</v>
      </c>
      <c r="K16" s="495" t="s">
        <v>316</v>
      </c>
      <c r="L16" s="495"/>
      <c r="M16" s="485"/>
      <c r="N16" s="438"/>
      <c r="O16" s="458"/>
    </row>
    <row r="17" spans="3:16" ht="15" customHeight="1" x14ac:dyDescent="0.25">
      <c r="C17" s="438"/>
      <c r="D17" s="496"/>
      <c r="E17" s="477" t="s">
        <v>73</v>
      </c>
      <c r="F17" s="481"/>
      <c r="G17" s="497"/>
      <c r="H17" s="498">
        <f>K17/$F$13</f>
        <v>34577.647058823532</v>
      </c>
      <c r="I17" s="499">
        <f>I10</f>
        <v>2881.4705882352941</v>
      </c>
      <c r="J17" s="499">
        <f>K10</f>
        <v>489850</v>
      </c>
      <c r="K17" s="499">
        <f>L10</f>
        <v>5878200</v>
      </c>
      <c r="L17" s="438"/>
      <c r="M17" s="485"/>
      <c r="N17" s="438"/>
      <c r="O17" s="458"/>
    </row>
    <row r="18" spans="3:16" ht="15" customHeight="1" x14ac:dyDescent="0.25">
      <c r="C18" s="438"/>
      <c r="D18" s="477"/>
      <c r="E18" s="477" t="s">
        <v>506</v>
      </c>
      <c r="F18" s="500">
        <v>162</v>
      </c>
      <c r="G18" s="501">
        <v>200</v>
      </c>
      <c r="H18" s="499">
        <f>K18/$F$13</f>
        <v>2287.0588235294117</v>
      </c>
      <c r="I18" s="499">
        <f>J18/$F$13</f>
        <v>190.58823529411765</v>
      </c>
      <c r="J18" s="499">
        <f>F18*G18</f>
        <v>32400</v>
      </c>
      <c r="K18" s="499">
        <f>J18*12</f>
        <v>388800</v>
      </c>
      <c r="L18" s="502"/>
      <c r="M18" s="485"/>
      <c r="N18" s="438"/>
      <c r="O18" s="503"/>
      <c r="P18" s="503"/>
    </row>
    <row r="19" spans="3:16" ht="15" customHeight="1" x14ac:dyDescent="0.25">
      <c r="C19" s="438"/>
      <c r="D19" s="477"/>
      <c r="E19" s="477" t="s">
        <v>527</v>
      </c>
      <c r="F19" s="500">
        <v>15</v>
      </c>
      <c r="G19" s="501">
        <v>0</v>
      </c>
      <c r="H19" s="499"/>
      <c r="I19" s="499"/>
      <c r="J19" s="499"/>
      <c r="K19" s="499"/>
      <c r="L19" s="438"/>
      <c r="M19" s="485"/>
      <c r="N19" s="438"/>
      <c r="O19" s="503"/>
      <c r="P19" s="503"/>
    </row>
    <row r="20" spans="3:16" ht="15" customHeight="1" x14ac:dyDescent="0.25">
      <c r="C20" s="438"/>
      <c r="D20" s="477"/>
      <c r="E20" s="477" t="s">
        <v>528</v>
      </c>
      <c r="F20" s="500">
        <v>15</v>
      </c>
      <c r="G20" s="501">
        <v>0</v>
      </c>
      <c r="H20" s="499"/>
      <c r="I20" s="499"/>
      <c r="J20" s="499"/>
      <c r="K20" s="499"/>
      <c r="L20" s="438"/>
      <c r="M20" s="485"/>
      <c r="N20" s="438"/>
      <c r="O20" s="503"/>
      <c r="P20" s="503"/>
    </row>
    <row r="21" spans="3:16" ht="15" customHeight="1" x14ac:dyDescent="0.25">
      <c r="C21" s="438"/>
      <c r="D21" s="477"/>
      <c r="E21" s="477" t="s">
        <v>234</v>
      </c>
      <c r="F21" s="500">
        <v>100</v>
      </c>
      <c r="G21" s="501">
        <v>40</v>
      </c>
      <c r="H21" s="499">
        <f>K21/$F$13</f>
        <v>282.35294117647061</v>
      </c>
      <c r="I21" s="499">
        <f>J21/$F$13</f>
        <v>23.529411764705884</v>
      </c>
      <c r="J21" s="499">
        <f>F21*G21</f>
        <v>4000</v>
      </c>
      <c r="K21" s="499">
        <f>J21*12</f>
        <v>48000</v>
      </c>
      <c r="L21" s="438"/>
      <c r="M21" s="485"/>
      <c r="N21" s="438"/>
      <c r="O21" s="503"/>
      <c r="P21" s="503"/>
    </row>
    <row r="22" spans="3:16" ht="15" customHeight="1" x14ac:dyDescent="0.25">
      <c r="C22" s="438"/>
      <c r="D22" s="477"/>
      <c r="E22" s="477" t="s">
        <v>529</v>
      </c>
      <c r="F22" s="500">
        <f>F13</f>
        <v>170</v>
      </c>
      <c r="G22" s="501">
        <f>+'[2]Typical Conv.Operating Expenses'!BU96</f>
        <v>20</v>
      </c>
      <c r="H22" s="499">
        <f>K22/F13</f>
        <v>240</v>
      </c>
      <c r="I22" s="499">
        <f>G22</f>
        <v>20</v>
      </c>
      <c r="J22" s="499">
        <f>I22*F13</f>
        <v>3400</v>
      </c>
      <c r="K22" s="499">
        <f>J22*12</f>
        <v>40800</v>
      </c>
      <c r="L22" s="438"/>
      <c r="M22" s="485"/>
      <c r="N22" s="438"/>
      <c r="O22" s="503"/>
      <c r="P22" s="503"/>
    </row>
    <row r="23" spans="3:16" ht="15" customHeight="1" x14ac:dyDescent="0.25">
      <c r="C23" s="438"/>
      <c r="D23" s="478"/>
      <c r="E23" s="504" t="s">
        <v>326</v>
      </c>
      <c r="F23" s="505"/>
      <c r="G23" s="505"/>
      <c r="H23" s="506">
        <f>SUM(H17:H22)</f>
        <v>37387.058823529413</v>
      </c>
      <c r="I23" s="506">
        <f>SUM(I17:I22)</f>
        <v>3115.5882352941176</v>
      </c>
      <c r="J23" s="506">
        <f>SUM(J17:J22)</f>
        <v>529650</v>
      </c>
      <c r="K23" s="506">
        <f>SUM(K17:K22)</f>
        <v>6355800</v>
      </c>
      <c r="L23" s="438"/>
      <c r="M23" s="485"/>
      <c r="N23" s="438"/>
      <c r="O23" s="503"/>
      <c r="P23" s="503"/>
    </row>
    <row r="24" spans="3:16" ht="15" customHeight="1" x14ac:dyDescent="0.25">
      <c r="C24" s="438"/>
      <c r="D24" s="478"/>
      <c r="E24" s="477" t="s">
        <v>327</v>
      </c>
      <c r="F24" s="507">
        <v>0.03</v>
      </c>
      <c r="G24" s="508"/>
      <c r="H24" s="509">
        <f>-H23*$F$24</f>
        <v>-1121.6117647058823</v>
      </c>
      <c r="I24" s="509">
        <f>-I23*$F$24</f>
        <v>-93.46764705882353</v>
      </c>
      <c r="J24" s="509">
        <f>+K24/12</f>
        <v>-15889.5</v>
      </c>
      <c r="K24" s="509">
        <f>-+K23*F24</f>
        <v>-190674</v>
      </c>
      <c r="L24" s="438"/>
      <c r="M24" s="485"/>
      <c r="N24" s="438"/>
      <c r="O24" s="503"/>
      <c r="P24" s="503"/>
    </row>
    <row r="25" spans="3:16" ht="15" customHeight="1" x14ac:dyDescent="0.25">
      <c r="C25" s="438"/>
      <c r="D25" s="478"/>
      <c r="E25" s="504" t="s">
        <v>28</v>
      </c>
      <c r="F25" s="507"/>
      <c r="G25" s="505" t="s">
        <v>530</v>
      </c>
      <c r="H25" s="509"/>
      <c r="I25" s="509"/>
      <c r="J25" s="509"/>
      <c r="K25" s="506"/>
      <c r="L25" s="438"/>
      <c r="M25" s="485"/>
      <c r="N25" s="438"/>
      <c r="O25" s="503"/>
      <c r="P25" s="503"/>
    </row>
    <row r="26" spans="3:16" ht="15" customHeight="1" x14ac:dyDescent="0.25">
      <c r="C26" s="438"/>
      <c r="D26" s="478"/>
      <c r="E26" s="477" t="s">
        <v>531</v>
      </c>
      <c r="F26" s="510">
        <v>4370</v>
      </c>
      <c r="G26" s="501">
        <v>40</v>
      </c>
      <c r="H26" s="509"/>
      <c r="I26" s="509"/>
      <c r="J26" s="511">
        <f>K26/12</f>
        <v>14566.666666666666</v>
      </c>
      <c r="K26" s="506">
        <f>+F26*G26</f>
        <v>174800</v>
      </c>
      <c r="L26" s="438"/>
      <c r="M26" s="485"/>
      <c r="N26" s="438"/>
      <c r="O26" s="503"/>
      <c r="P26" s="503"/>
    </row>
    <row r="27" spans="3:16" ht="15" customHeight="1" x14ac:dyDescent="0.25">
      <c r="C27" s="438"/>
      <c r="D27" s="512"/>
      <c r="E27" s="477" t="s">
        <v>532</v>
      </c>
      <c r="F27" s="507">
        <v>0.04</v>
      </c>
      <c r="G27" s="508"/>
      <c r="H27" s="509"/>
      <c r="I27" s="509"/>
      <c r="J27" s="509">
        <f>K27/12</f>
        <v>-582.66666666666663</v>
      </c>
      <c r="K27" s="509">
        <f>-K26*$F$27</f>
        <v>-6992</v>
      </c>
      <c r="L27" s="438"/>
      <c r="M27" s="485"/>
      <c r="N27" s="438"/>
      <c r="O27" s="503"/>
      <c r="P27" s="503"/>
    </row>
    <row r="28" spans="3:16" ht="14.45" customHeight="1" x14ac:dyDescent="0.25">
      <c r="D28" s="512"/>
      <c r="E28" s="512" t="s">
        <v>328</v>
      </c>
      <c r="F28" s="513"/>
      <c r="G28" s="514"/>
      <c r="H28" s="506">
        <f>SUM(H23:H26)</f>
        <v>36265.447058823527</v>
      </c>
      <c r="I28" s="506">
        <f>SUM(I23:I26)</f>
        <v>3022.1205882352942</v>
      </c>
      <c r="J28" s="506">
        <f>SUM(J23:J27)</f>
        <v>527744.5</v>
      </c>
      <c r="K28" s="506">
        <f>SUM(K23:K27)</f>
        <v>6332934</v>
      </c>
      <c r="L28" s="515"/>
      <c r="M28" s="485"/>
      <c r="N28" s="438"/>
      <c r="O28" s="503"/>
      <c r="P28" s="503"/>
    </row>
    <row r="29" spans="3:16" ht="18.75" x14ac:dyDescent="0.25">
      <c r="C29" s="438"/>
      <c r="D29" s="477"/>
      <c r="E29" s="512"/>
      <c r="F29" s="496"/>
      <c r="G29" s="512"/>
      <c r="H29" s="516"/>
      <c r="I29" s="516"/>
      <c r="J29" s="516"/>
      <c r="K29" s="516"/>
      <c r="L29" s="438"/>
      <c r="M29" s="485"/>
      <c r="N29" s="438"/>
    </row>
    <row r="30" spans="3:16" ht="24" customHeight="1" x14ac:dyDescent="0.25">
      <c r="C30" s="438"/>
      <c r="D30" s="512"/>
      <c r="E30" s="492" t="s">
        <v>329</v>
      </c>
      <c r="F30" s="493"/>
      <c r="G30" s="493"/>
      <c r="H30" s="517" t="s">
        <v>324</v>
      </c>
      <c r="I30" s="518" t="s">
        <v>325</v>
      </c>
      <c r="J30" s="517" t="s">
        <v>315</v>
      </c>
      <c r="K30" s="517" t="s">
        <v>316</v>
      </c>
      <c r="L30" s="517" t="s">
        <v>533</v>
      </c>
      <c r="M30" s="519"/>
      <c r="N30" s="519"/>
    </row>
    <row r="31" spans="3:16" ht="17.100000000000001" customHeight="1" x14ac:dyDescent="0.25">
      <c r="C31" s="438"/>
      <c r="D31" s="512"/>
      <c r="E31" s="477" t="s">
        <v>534</v>
      </c>
      <c r="F31" s="520">
        <f t="shared" ref="F31:F36" si="0">$F$13</f>
        <v>170</v>
      </c>
      <c r="G31" s="481" t="s">
        <v>330</v>
      </c>
      <c r="H31" s="499">
        <f>+H80</f>
        <v>1130</v>
      </c>
      <c r="I31" s="499">
        <f>H31/12</f>
        <v>94.166666666666671</v>
      </c>
      <c r="J31" s="499">
        <f>K31/12</f>
        <v>16008.333333333334</v>
      </c>
      <c r="K31" s="499">
        <f>H31*F31</f>
        <v>192100</v>
      </c>
      <c r="L31" s="521">
        <f t="shared" ref="L31:L40" si="1">+K31/$K$28</f>
        <v>3.0333491553835867E-2</v>
      </c>
      <c r="M31" s="438"/>
      <c r="N31" s="522"/>
    </row>
    <row r="32" spans="3:16" ht="15.6" customHeight="1" x14ac:dyDescent="0.25">
      <c r="C32" s="438"/>
      <c r="D32" s="512"/>
      <c r="E32" s="477" t="s">
        <v>331</v>
      </c>
      <c r="F32" s="520">
        <f>$F$13</f>
        <v>170</v>
      </c>
      <c r="G32" s="481" t="s">
        <v>330</v>
      </c>
      <c r="H32" s="499">
        <f>+I93</f>
        <v>1050</v>
      </c>
      <c r="I32" s="499">
        <f>H32/12</f>
        <v>87.5</v>
      </c>
      <c r="J32" s="499">
        <f t="shared" ref="J32:J38" si="2">K32/12</f>
        <v>14875</v>
      </c>
      <c r="K32" s="499">
        <f>H32*F32</f>
        <v>178500</v>
      </c>
      <c r="L32" s="521">
        <f t="shared" si="1"/>
        <v>2.8185987727015631E-2</v>
      </c>
      <c r="M32" s="438"/>
      <c r="N32" s="438"/>
    </row>
    <row r="33" spans="3:255" ht="15.6" customHeight="1" x14ac:dyDescent="0.25">
      <c r="C33" s="438"/>
      <c r="D33" s="477"/>
      <c r="E33" s="523" t="s">
        <v>332</v>
      </c>
      <c r="F33" s="520">
        <f t="shared" si="0"/>
        <v>170</v>
      </c>
      <c r="G33" s="481" t="s">
        <v>330</v>
      </c>
      <c r="H33" s="524">
        <f>+I109</f>
        <v>1200</v>
      </c>
      <c r="I33" s="499">
        <f>J33/F13</f>
        <v>100</v>
      </c>
      <c r="J33" s="499">
        <f>K33/12</f>
        <v>17000</v>
      </c>
      <c r="K33" s="499">
        <f>+H33*F13</f>
        <v>204000</v>
      </c>
      <c r="L33" s="521">
        <f t="shared" si="1"/>
        <v>3.2212557402303575E-2</v>
      </c>
      <c r="M33" s="438"/>
      <c r="N33" s="438"/>
    </row>
    <row r="34" spans="3:255" ht="26.45" customHeight="1" x14ac:dyDescent="0.25">
      <c r="C34" s="438"/>
      <c r="D34" s="477"/>
      <c r="E34" s="477" t="s">
        <v>333</v>
      </c>
      <c r="F34" s="520">
        <f t="shared" si="0"/>
        <v>170</v>
      </c>
      <c r="G34" s="481" t="s">
        <v>330</v>
      </c>
      <c r="H34" s="499">
        <f>+F117</f>
        <v>450</v>
      </c>
      <c r="I34" s="499">
        <f>H34/12</f>
        <v>37.5</v>
      </c>
      <c r="J34" s="499">
        <f t="shared" si="2"/>
        <v>6375</v>
      </c>
      <c r="K34" s="499">
        <f>H34*F34</f>
        <v>76500</v>
      </c>
      <c r="L34" s="521">
        <f t="shared" si="1"/>
        <v>1.2079709025863842E-2</v>
      </c>
      <c r="M34" s="438"/>
      <c r="N34" s="438"/>
      <c r="R34" s="525"/>
      <c r="S34" s="525"/>
      <c r="T34" s="525"/>
      <c r="U34" s="525"/>
      <c r="V34" s="525"/>
      <c r="W34" s="525"/>
      <c r="X34" s="525"/>
      <c r="Y34" s="525"/>
      <c r="Z34" s="525"/>
      <c r="AA34" s="525"/>
      <c r="AB34" s="525"/>
      <c r="AC34" s="525"/>
      <c r="AD34" s="525"/>
      <c r="AE34" s="525"/>
      <c r="AF34" s="525"/>
      <c r="AG34" s="525"/>
      <c r="AH34" s="525"/>
      <c r="AI34" s="525"/>
      <c r="AJ34" s="525"/>
      <c r="AK34" s="525"/>
      <c r="AL34" s="525"/>
      <c r="AM34" s="525"/>
      <c r="AN34" s="525"/>
      <c r="AO34" s="525"/>
      <c r="AP34" s="525"/>
      <c r="AQ34" s="525"/>
      <c r="AR34" s="525"/>
      <c r="AS34" s="525"/>
      <c r="AT34" s="525"/>
      <c r="AU34" s="525"/>
      <c r="AV34" s="525"/>
      <c r="AW34" s="525"/>
      <c r="AX34" s="525"/>
      <c r="AY34" s="525"/>
      <c r="AZ34" s="525"/>
      <c r="BA34" s="525"/>
      <c r="BB34" s="525"/>
      <c r="BC34" s="525"/>
      <c r="BD34" s="525"/>
      <c r="BE34" s="525"/>
      <c r="BF34" s="525"/>
      <c r="BG34" s="525"/>
      <c r="BH34" s="525"/>
      <c r="BI34" s="525"/>
      <c r="BJ34" s="525"/>
      <c r="BK34" s="525"/>
      <c r="BL34" s="525"/>
      <c r="BM34" s="525"/>
      <c r="BN34" s="525"/>
      <c r="BO34" s="525"/>
      <c r="BP34" s="525"/>
      <c r="BQ34" s="525"/>
      <c r="BR34" s="525"/>
      <c r="BS34" s="525"/>
      <c r="BT34" s="525"/>
      <c r="BU34" s="525"/>
      <c r="BV34" s="525"/>
      <c r="BW34" s="525"/>
      <c r="BX34" s="525"/>
      <c r="BY34" s="525"/>
      <c r="BZ34" s="525"/>
      <c r="CA34" s="525"/>
      <c r="CB34" s="525"/>
      <c r="CC34" s="525"/>
      <c r="CD34" s="525"/>
      <c r="CE34" s="525"/>
      <c r="CF34" s="525"/>
      <c r="CG34" s="525"/>
      <c r="CH34" s="525"/>
      <c r="CI34" s="525"/>
      <c r="CJ34" s="525"/>
      <c r="CK34" s="525"/>
      <c r="CL34" s="525"/>
      <c r="CM34" s="525"/>
      <c r="CN34" s="525"/>
      <c r="CO34" s="525"/>
      <c r="CP34" s="525"/>
      <c r="CQ34" s="525"/>
      <c r="CR34" s="525"/>
      <c r="CS34" s="525"/>
      <c r="CT34" s="525"/>
      <c r="CU34" s="525"/>
      <c r="CV34" s="525"/>
      <c r="CW34" s="525"/>
      <c r="CX34" s="525"/>
      <c r="CY34" s="525"/>
      <c r="CZ34" s="525"/>
      <c r="DA34" s="525"/>
      <c r="DB34" s="525"/>
      <c r="DC34" s="525"/>
      <c r="DD34" s="525"/>
      <c r="DE34" s="525"/>
      <c r="DF34" s="525"/>
      <c r="DG34" s="525"/>
      <c r="DH34" s="525"/>
      <c r="DI34" s="525"/>
      <c r="DJ34" s="525"/>
      <c r="DK34" s="525"/>
      <c r="DL34" s="525"/>
      <c r="DM34" s="525"/>
      <c r="DN34" s="525"/>
      <c r="DO34" s="525"/>
      <c r="DP34" s="525"/>
      <c r="DQ34" s="525"/>
      <c r="DR34" s="525"/>
      <c r="DS34" s="525"/>
      <c r="DT34" s="525"/>
      <c r="DU34" s="525"/>
      <c r="DV34" s="525"/>
      <c r="DW34" s="525"/>
      <c r="DX34" s="525"/>
      <c r="DY34" s="525"/>
      <c r="DZ34" s="525"/>
      <c r="EA34" s="525"/>
      <c r="EB34" s="525"/>
      <c r="EC34" s="525"/>
      <c r="ED34" s="525"/>
      <c r="EE34" s="525"/>
      <c r="EF34" s="525"/>
      <c r="EG34" s="525"/>
      <c r="EH34" s="525"/>
      <c r="EI34" s="525"/>
      <c r="EJ34" s="525"/>
      <c r="EK34" s="525"/>
      <c r="EL34" s="525"/>
      <c r="EM34" s="525"/>
      <c r="EN34" s="525"/>
      <c r="EO34" s="525"/>
      <c r="EP34" s="525"/>
      <c r="EQ34" s="525"/>
      <c r="ER34" s="525"/>
      <c r="ES34" s="525"/>
      <c r="ET34" s="525"/>
      <c r="EU34" s="525"/>
      <c r="EV34" s="525"/>
      <c r="EW34" s="525"/>
      <c r="EX34" s="525"/>
      <c r="EY34" s="525"/>
      <c r="EZ34" s="525"/>
      <c r="FA34" s="525"/>
      <c r="FB34" s="525"/>
      <c r="FC34" s="525"/>
      <c r="FD34" s="525"/>
      <c r="FE34" s="525"/>
      <c r="FF34" s="525"/>
      <c r="FG34" s="525"/>
      <c r="FH34" s="525"/>
      <c r="FI34" s="525"/>
      <c r="FJ34" s="525"/>
      <c r="FK34" s="525"/>
      <c r="FL34" s="525"/>
      <c r="FM34" s="525"/>
      <c r="FN34" s="525"/>
      <c r="FO34" s="525"/>
      <c r="FP34" s="525"/>
      <c r="FQ34" s="525"/>
      <c r="FR34" s="525"/>
      <c r="FS34" s="525"/>
      <c r="FT34" s="525"/>
      <c r="FU34" s="525"/>
      <c r="FV34" s="525"/>
      <c r="FW34" s="525"/>
      <c r="FX34" s="525"/>
      <c r="FY34" s="525"/>
      <c r="FZ34" s="525"/>
      <c r="GA34" s="525"/>
      <c r="GB34" s="525"/>
      <c r="GC34" s="525"/>
      <c r="GD34" s="525"/>
      <c r="GE34" s="525"/>
      <c r="GF34" s="525"/>
      <c r="GG34" s="525"/>
      <c r="GH34" s="525"/>
      <c r="GI34" s="525"/>
      <c r="GJ34" s="525"/>
      <c r="GK34" s="525"/>
      <c r="GL34" s="525"/>
      <c r="GM34" s="525"/>
      <c r="GN34" s="525"/>
      <c r="GO34" s="525"/>
      <c r="GP34" s="525"/>
      <c r="GQ34" s="525"/>
      <c r="GR34" s="525"/>
      <c r="GS34" s="525"/>
      <c r="GT34" s="525"/>
      <c r="GU34" s="525"/>
      <c r="GV34" s="525"/>
      <c r="GW34" s="525"/>
      <c r="GX34" s="525"/>
      <c r="GY34" s="525"/>
      <c r="GZ34" s="525"/>
      <c r="HA34" s="525"/>
      <c r="HB34" s="525"/>
      <c r="HC34" s="525"/>
      <c r="HD34" s="525"/>
      <c r="HE34" s="525"/>
      <c r="HF34" s="525"/>
      <c r="HG34" s="525"/>
      <c r="HH34" s="525"/>
      <c r="HI34" s="525"/>
      <c r="HJ34" s="525"/>
      <c r="HK34" s="525"/>
      <c r="HL34" s="525"/>
      <c r="HM34" s="525"/>
      <c r="HN34" s="525"/>
      <c r="HO34" s="525"/>
      <c r="HP34" s="525"/>
      <c r="HQ34" s="525"/>
      <c r="HR34" s="525"/>
      <c r="HS34" s="525"/>
      <c r="HT34" s="525"/>
      <c r="HU34" s="525"/>
      <c r="HV34" s="525"/>
      <c r="HW34" s="525"/>
      <c r="HX34" s="525"/>
      <c r="HY34" s="525"/>
      <c r="HZ34" s="525"/>
      <c r="IA34" s="525"/>
      <c r="IB34" s="525"/>
      <c r="IC34" s="525"/>
      <c r="ID34" s="525"/>
      <c r="IE34" s="525"/>
      <c r="IF34" s="525"/>
      <c r="IG34" s="525"/>
      <c r="IH34" s="525"/>
      <c r="II34" s="525"/>
      <c r="IJ34" s="525"/>
      <c r="IK34" s="525"/>
      <c r="IL34" s="525"/>
      <c r="IM34" s="525"/>
      <c r="IN34" s="525"/>
      <c r="IO34" s="525"/>
    </row>
    <row r="35" spans="3:255" s="525" customFormat="1" ht="18.75" x14ac:dyDescent="0.25">
      <c r="C35" s="526"/>
      <c r="D35" s="477"/>
      <c r="E35" s="477" t="s">
        <v>11</v>
      </c>
      <c r="F35" s="520">
        <f t="shared" si="0"/>
        <v>170</v>
      </c>
      <c r="G35" s="481" t="s">
        <v>330</v>
      </c>
      <c r="H35" s="499">
        <f>+F122</f>
        <v>300</v>
      </c>
      <c r="I35" s="499">
        <f>H35/12</f>
        <v>25</v>
      </c>
      <c r="J35" s="499">
        <f t="shared" si="2"/>
        <v>4250</v>
      </c>
      <c r="K35" s="499">
        <f>H35*F35</f>
        <v>51000</v>
      </c>
      <c r="L35" s="521">
        <f t="shared" si="1"/>
        <v>8.0531393505758938E-3</v>
      </c>
      <c r="M35" s="526"/>
      <c r="N35" s="526"/>
    </row>
    <row r="36" spans="3:255" s="525" customFormat="1" ht="21.6" customHeight="1" x14ac:dyDescent="0.25">
      <c r="C36" s="526"/>
      <c r="D36" s="477"/>
      <c r="E36" s="477" t="s">
        <v>535</v>
      </c>
      <c r="F36" s="520">
        <f t="shared" si="0"/>
        <v>170</v>
      </c>
      <c r="G36" s="481" t="s">
        <v>330</v>
      </c>
      <c r="H36" s="499">
        <f>+F127</f>
        <v>250</v>
      </c>
      <c r="I36" s="499">
        <f>H36/12</f>
        <v>20.833333333333332</v>
      </c>
      <c r="J36" s="499">
        <f t="shared" si="2"/>
        <v>3541.6666666666665</v>
      </c>
      <c r="K36" s="499">
        <f>H36*F36</f>
        <v>42500</v>
      </c>
      <c r="L36" s="521">
        <f t="shared" si="1"/>
        <v>6.7109494588132451E-3</v>
      </c>
      <c r="M36" s="526"/>
      <c r="N36" s="526"/>
      <c r="R36" s="443"/>
      <c r="S36" s="443"/>
      <c r="T36" s="443"/>
      <c r="U36" s="443"/>
      <c r="V36" s="443"/>
      <c r="W36" s="443"/>
      <c r="X36" s="443"/>
      <c r="Y36" s="443"/>
      <c r="Z36" s="443"/>
      <c r="AA36" s="443"/>
      <c r="AB36" s="443"/>
      <c r="AC36" s="443"/>
      <c r="AD36" s="443"/>
      <c r="AE36" s="443"/>
      <c r="AF36" s="443"/>
      <c r="AG36" s="443"/>
      <c r="AH36" s="443"/>
      <c r="AI36" s="443"/>
      <c r="AJ36" s="443"/>
      <c r="AK36" s="443"/>
      <c r="AL36" s="443"/>
      <c r="AM36" s="443"/>
      <c r="AN36" s="443"/>
      <c r="AO36" s="443"/>
      <c r="AP36" s="443"/>
      <c r="AQ36" s="443"/>
      <c r="AR36" s="443"/>
      <c r="AS36" s="443"/>
      <c r="AT36" s="443"/>
      <c r="AU36" s="443"/>
      <c r="AV36" s="443"/>
      <c r="AW36" s="443"/>
      <c r="AX36" s="443"/>
      <c r="AY36" s="443"/>
      <c r="AZ36" s="443"/>
      <c r="BA36" s="443"/>
      <c r="BB36" s="443"/>
      <c r="BC36" s="443"/>
      <c r="BD36" s="443"/>
      <c r="BE36" s="443"/>
      <c r="BF36" s="443"/>
      <c r="BG36" s="443"/>
      <c r="BH36" s="443"/>
      <c r="BI36" s="443"/>
      <c r="BJ36" s="443"/>
      <c r="BK36" s="443"/>
      <c r="BL36" s="443"/>
      <c r="BM36" s="443"/>
      <c r="BN36" s="443"/>
      <c r="BO36" s="443"/>
      <c r="BP36" s="443"/>
      <c r="BQ36" s="443"/>
      <c r="BR36" s="443"/>
      <c r="BS36" s="443"/>
      <c r="BT36" s="443"/>
      <c r="BU36" s="443"/>
      <c r="BV36" s="443"/>
      <c r="BW36" s="443"/>
      <c r="BX36" s="443"/>
      <c r="BY36" s="443"/>
      <c r="BZ36" s="443"/>
      <c r="CA36" s="443"/>
      <c r="CB36" s="443"/>
      <c r="CC36" s="443"/>
      <c r="CD36" s="443"/>
      <c r="CE36" s="443"/>
      <c r="CF36" s="443"/>
      <c r="CG36" s="443"/>
      <c r="CH36" s="443"/>
      <c r="CI36" s="443"/>
      <c r="CJ36" s="443"/>
      <c r="CK36" s="443"/>
      <c r="CL36" s="443"/>
      <c r="CM36" s="443"/>
      <c r="CN36" s="443"/>
      <c r="CO36" s="443"/>
      <c r="CP36" s="443"/>
      <c r="CQ36" s="443"/>
      <c r="CR36" s="443"/>
      <c r="CS36" s="443"/>
      <c r="CT36" s="443"/>
      <c r="CU36" s="443"/>
      <c r="CV36" s="443"/>
      <c r="CW36" s="443"/>
      <c r="CX36" s="443"/>
      <c r="CY36" s="443"/>
      <c r="CZ36" s="443"/>
      <c r="DA36" s="443"/>
      <c r="DB36" s="443"/>
      <c r="DC36" s="443"/>
      <c r="DD36" s="443"/>
      <c r="DE36" s="443"/>
      <c r="DF36" s="443"/>
      <c r="DG36" s="443"/>
      <c r="DH36" s="443"/>
      <c r="DI36" s="443"/>
      <c r="DJ36" s="443"/>
      <c r="DK36" s="443"/>
      <c r="DL36" s="443"/>
      <c r="DM36" s="443"/>
      <c r="DN36" s="443"/>
      <c r="DO36" s="443"/>
      <c r="DP36" s="443"/>
      <c r="DQ36" s="443"/>
      <c r="DR36" s="443"/>
      <c r="DS36" s="443"/>
      <c r="DT36" s="443"/>
      <c r="DU36" s="443"/>
      <c r="DV36" s="443"/>
      <c r="DW36" s="443"/>
      <c r="DX36" s="443"/>
      <c r="DY36" s="443"/>
      <c r="DZ36" s="443"/>
      <c r="EA36" s="443"/>
      <c r="EB36" s="443"/>
      <c r="EC36" s="443"/>
      <c r="ED36" s="443"/>
      <c r="EE36" s="443"/>
      <c r="EF36" s="443"/>
      <c r="EG36" s="443"/>
      <c r="EH36" s="443"/>
      <c r="EI36" s="443"/>
      <c r="EJ36" s="443"/>
      <c r="EK36" s="443"/>
      <c r="EL36" s="443"/>
      <c r="EM36" s="443"/>
      <c r="EN36" s="443"/>
      <c r="EO36" s="443"/>
      <c r="EP36" s="443"/>
      <c r="EQ36" s="443"/>
      <c r="ER36" s="443"/>
      <c r="ES36" s="443"/>
      <c r="ET36" s="443"/>
      <c r="EU36" s="443"/>
      <c r="EV36" s="443"/>
      <c r="EW36" s="443"/>
      <c r="EX36" s="443"/>
      <c r="EY36" s="443"/>
      <c r="EZ36" s="443"/>
      <c r="FA36" s="443"/>
      <c r="FB36" s="443"/>
      <c r="FC36" s="443"/>
      <c r="FD36" s="443"/>
      <c r="FE36" s="443"/>
      <c r="FF36" s="443"/>
      <c r="FG36" s="443"/>
      <c r="FH36" s="443"/>
      <c r="FI36" s="443"/>
      <c r="FJ36" s="443"/>
      <c r="FK36" s="443"/>
      <c r="FL36" s="443"/>
      <c r="FM36" s="443"/>
      <c r="FN36" s="443"/>
      <c r="FO36" s="443"/>
      <c r="FP36" s="443"/>
      <c r="FQ36" s="443"/>
      <c r="FR36" s="443"/>
      <c r="FS36" s="443"/>
      <c r="FT36" s="443"/>
      <c r="FU36" s="443"/>
      <c r="FV36" s="443"/>
      <c r="FW36" s="443"/>
      <c r="FX36" s="443"/>
      <c r="FY36" s="443"/>
      <c r="FZ36" s="443"/>
      <c r="GA36" s="443"/>
      <c r="GB36" s="443"/>
      <c r="GC36" s="443"/>
      <c r="GD36" s="443"/>
      <c r="GE36" s="443"/>
      <c r="GF36" s="443"/>
      <c r="GG36" s="443"/>
      <c r="GH36" s="443"/>
      <c r="GI36" s="443"/>
      <c r="GJ36" s="443"/>
      <c r="GK36" s="443"/>
      <c r="GL36" s="443"/>
      <c r="GM36" s="443"/>
      <c r="GN36" s="443"/>
      <c r="GO36" s="443"/>
      <c r="GP36" s="443"/>
      <c r="GQ36" s="443"/>
      <c r="GR36" s="443"/>
      <c r="GS36" s="443"/>
      <c r="GT36" s="443"/>
      <c r="GU36" s="443"/>
      <c r="GV36" s="443"/>
      <c r="GW36" s="443"/>
      <c r="GX36" s="443"/>
      <c r="GY36" s="443"/>
      <c r="GZ36" s="443"/>
      <c r="HA36" s="443"/>
      <c r="HB36" s="443"/>
      <c r="HC36" s="443"/>
      <c r="HD36" s="443"/>
      <c r="HE36" s="443"/>
      <c r="HF36" s="443"/>
      <c r="HG36" s="443"/>
      <c r="HH36" s="443"/>
      <c r="HI36" s="443"/>
      <c r="HJ36" s="443"/>
      <c r="HK36" s="443"/>
      <c r="HL36" s="443"/>
      <c r="HM36" s="443"/>
      <c r="HN36" s="443"/>
      <c r="HO36" s="443"/>
      <c r="HP36" s="443"/>
      <c r="HQ36" s="443"/>
      <c r="HR36" s="443"/>
      <c r="HS36" s="443"/>
      <c r="HT36" s="443"/>
      <c r="HU36" s="443"/>
      <c r="HV36" s="443"/>
      <c r="HW36" s="443"/>
      <c r="HX36" s="443"/>
      <c r="HY36" s="443"/>
      <c r="HZ36" s="443"/>
      <c r="IA36" s="443"/>
      <c r="IB36" s="443"/>
      <c r="IC36" s="443"/>
      <c r="ID36" s="443"/>
      <c r="IE36" s="443"/>
      <c r="IF36" s="443"/>
      <c r="IG36" s="443"/>
      <c r="IH36" s="443"/>
      <c r="II36" s="443"/>
      <c r="IJ36" s="443"/>
      <c r="IK36" s="443"/>
      <c r="IL36" s="443"/>
      <c r="IM36" s="443"/>
      <c r="IN36" s="443"/>
      <c r="IO36" s="443"/>
    </row>
    <row r="37" spans="3:255" ht="18.75" x14ac:dyDescent="0.25">
      <c r="C37" s="438"/>
      <c r="D37" s="477"/>
      <c r="E37" s="477" t="s">
        <v>334</v>
      </c>
      <c r="F37" s="481" t="s">
        <v>335</v>
      </c>
      <c r="G37" s="527">
        <v>4.2500000000000003E-2</v>
      </c>
      <c r="H37" s="499">
        <f>ROUND(K37/F13,-1)</f>
        <v>1580</v>
      </c>
      <c r="I37" s="499">
        <f>J37/F13</f>
        <v>131.936125</v>
      </c>
      <c r="J37" s="499">
        <f>K37/12</f>
        <v>22429.141250000001</v>
      </c>
      <c r="K37" s="499">
        <f>K28*G37</f>
        <v>269149.69500000001</v>
      </c>
      <c r="L37" s="521">
        <f t="shared" si="1"/>
        <v>4.2500000000000003E-2</v>
      </c>
      <c r="M37" s="519"/>
      <c r="N37" s="519"/>
      <c r="O37" s="528"/>
      <c r="P37" s="528"/>
      <c r="Q37" s="528"/>
      <c r="R37" s="528"/>
      <c r="S37" s="528"/>
      <c r="T37" s="528"/>
      <c r="U37" s="528"/>
      <c r="V37" s="528"/>
      <c r="W37" s="528"/>
      <c r="X37" s="528"/>
      <c r="Y37" s="528"/>
      <c r="Z37" s="528"/>
      <c r="AA37" s="528"/>
      <c r="AB37" s="528"/>
      <c r="AC37" s="528"/>
      <c r="AD37" s="528"/>
      <c r="AE37" s="528"/>
      <c r="AF37" s="528"/>
      <c r="AG37" s="528"/>
      <c r="AH37" s="528"/>
      <c r="AI37" s="528"/>
      <c r="AJ37" s="528"/>
      <c r="AK37" s="528"/>
      <c r="AL37" s="528"/>
      <c r="AM37" s="528"/>
      <c r="AN37" s="528"/>
      <c r="AO37" s="528"/>
      <c r="AP37" s="528"/>
      <c r="AQ37" s="528"/>
      <c r="AR37" s="528"/>
      <c r="AS37" s="528"/>
      <c r="AT37" s="528"/>
      <c r="AU37" s="528"/>
      <c r="AV37" s="528"/>
      <c r="AW37" s="528"/>
      <c r="AX37" s="528"/>
      <c r="AY37" s="528"/>
      <c r="AZ37" s="528"/>
      <c r="BA37" s="528"/>
      <c r="BB37" s="528"/>
      <c r="BC37" s="528"/>
      <c r="BD37" s="528"/>
      <c r="BE37" s="528"/>
      <c r="BF37" s="528"/>
      <c r="BG37" s="528"/>
      <c r="BH37" s="528"/>
      <c r="BI37" s="528"/>
      <c r="BJ37" s="528"/>
      <c r="BK37" s="528"/>
      <c r="BL37" s="528"/>
      <c r="BM37" s="528"/>
      <c r="BN37" s="528"/>
      <c r="BO37" s="528"/>
      <c r="BP37" s="528"/>
      <c r="BQ37" s="528"/>
      <c r="BR37" s="528"/>
      <c r="BS37" s="528"/>
      <c r="BT37" s="528"/>
      <c r="BU37" s="528"/>
      <c r="BV37" s="528"/>
      <c r="BW37" s="528"/>
      <c r="BX37" s="528"/>
      <c r="BY37" s="528"/>
      <c r="BZ37" s="528"/>
      <c r="CA37" s="528"/>
      <c r="CB37" s="528"/>
      <c r="CC37" s="528"/>
      <c r="CD37" s="528"/>
      <c r="CE37" s="528"/>
      <c r="CF37" s="528"/>
      <c r="CG37" s="528"/>
      <c r="CH37" s="528"/>
      <c r="CI37" s="528"/>
      <c r="CJ37" s="528"/>
      <c r="CK37" s="528"/>
      <c r="CL37" s="528"/>
      <c r="CM37" s="528"/>
      <c r="CN37" s="528"/>
      <c r="CO37" s="528"/>
      <c r="CP37" s="528"/>
      <c r="CQ37" s="528"/>
      <c r="CR37" s="528"/>
      <c r="CS37" s="528"/>
      <c r="CT37" s="528"/>
      <c r="CU37" s="528"/>
      <c r="CV37" s="528"/>
      <c r="CW37" s="528"/>
      <c r="CX37" s="528"/>
      <c r="CY37" s="528"/>
      <c r="CZ37" s="528"/>
      <c r="DA37" s="528"/>
      <c r="DB37" s="528"/>
      <c r="DC37" s="528"/>
      <c r="DD37" s="528"/>
      <c r="DE37" s="528"/>
      <c r="DF37" s="528"/>
      <c r="DG37" s="528"/>
      <c r="DH37" s="528"/>
      <c r="DI37" s="528"/>
      <c r="DJ37" s="528"/>
      <c r="DK37" s="528"/>
      <c r="DL37" s="528"/>
      <c r="DM37" s="528"/>
      <c r="DN37" s="528"/>
      <c r="DO37" s="528"/>
      <c r="DP37" s="528"/>
      <c r="DQ37" s="528"/>
      <c r="DR37" s="528"/>
      <c r="DS37" s="528"/>
      <c r="DT37" s="528"/>
      <c r="DU37" s="528"/>
      <c r="DV37" s="528"/>
      <c r="DW37" s="528"/>
      <c r="DX37" s="528"/>
      <c r="DY37" s="528"/>
      <c r="DZ37" s="528"/>
      <c r="EA37" s="528"/>
      <c r="EB37" s="528"/>
      <c r="EC37" s="528"/>
      <c r="ED37" s="528"/>
      <c r="EE37" s="528"/>
      <c r="EF37" s="528"/>
      <c r="EG37" s="528"/>
      <c r="EH37" s="528"/>
      <c r="EI37" s="528"/>
      <c r="EJ37" s="528"/>
      <c r="EK37" s="528"/>
      <c r="EL37" s="528"/>
      <c r="EM37" s="528"/>
      <c r="EN37" s="528"/>
      <c r="EO37" s="528"/>
      <c r="EP37" s="528"/>
      <c r="EQ37" s="528"/>
      <c r="ER37" s="528"/>
      <c r="ES37" s="528"/>
      <c r="ET37" s="528"/>
      <c r="EU37" s="528"/>
      <c r="EV37" s="528"/>
      <c r="EW37" s="528"/>
      <c r="EX37" s="528"/>
      <c r="EY37" s="528"/>
      <c r="EZ37" s="528"/>
      <c r="FA37" s="528"/>
      <c r="FB37" s="528"/>
      <c r="FC37" s="528"/>
      <c r="FD37" s="528"/>
      <c r="FE37" s="528"/>
      <c r="FF37" s="528"/>
      <c r="FG37" s="528"/>
      <c r="FH37" s="528"/>
      <c r="FI37" s="528"/>
      <c r="FJ37" s="528"/>
      <c r="FK37" s="528"/>
      <c r="FL37" s="528"/>
      <c r="FM37" s="528"/>
      <c r="FN37" s="528"/>
      <c r="FO37" s="528"/>
      <c r="FP37" s="528"/>
      <c r="FQ37" s="528"/>
      <c r="FR37" s="528"/>
      <c r="FS37" s="528"/>
      <c r="FT37" s="528"/>
      <c r="FU37" s="528"/>
      <c r="FV37" s="528"/>
      <c r="FW37" s="528"/>
      <c r="FX37" s="528"/>
      <c r="FY37" s="528"/>
      <c r="FZ37" s="528"/>
      <c r="GA37" s="528"/>
      <c r="GB37" s="528"/>
      <c r="GC37" s="528"/>
      <c r="GD37" s="528"/>
      <c r="GE37" s="528"/>
      <c r="GF37" s="528"/>
      <c r="GG37" s="528"/>
      <c r="GH37" s="528"/>
      <c r="GI37" s="528"/>
      <c r="GJ37" s="528"/>
      <c r="GK37" s="528"/>
      <c r="GL37" s="528"/>
      <c r="GM37" s="528"/>
      <c r="GN37" s="528"/>
      <c r="GO37" s="528"/>
      <c r="GP37" s="528"/>
      <c r="GQ37" s="528"/>
      <c r="GR37" s="528"/>
      <c r="GS37" s="528"/>
      <c r="GT37" s="528"/>
      <c r="GU37" s="528"/>
      <c r="GV37" s="528"/>
      <c r="GW37" s="528"/>
      <c r="GX37" s="528"/>
      <c r="GY37" s="528"/>
      <c r="GZ37" s="528"/>
      <c r="HA37" s="528"/>
      <c r="HB37" s="528"/>
      <c r="HC37" s="528"/>
      <c r="HD37" s="528"/>
      <c r="HE37" s="528"/>
      <c r="HF37" s="528"/>
      <c r="HG37" s="528"/>
      <c r="HH37" s="528"/>
      <c r="HI37" s="528"/>
      <c r="HJ37" s="528"/>
      <c r="HK37" s="528"/>
      <c r="HL37" s="528"/>
      <c r="HM37" s="528"/>
      <c r="HN37" s="528"/>
      <c r="HO37" s="528"/>
      <c r="HP37" s="528"/>
      <c r="HQ37" s="528"/>
      <c r="HR37" s="528"/>
      <c r="HS37" s="528"/>
      <c r="HT37" s="528"/>
      <c r="HU37" s="528"/>
      <c r="HV37" s="528"/>
      <c r="HW37" s="528"/>
      <c r="HX37" s="528"/>
      <c r="HY37" s="528"/>
      <c r="HZ37" s="528"/>
      <c r="IA37" s="528"/>
      <c r="IB37" s="528"/>
      <c r="IC37" s="528"/>
      <c r="ID37" s="528"/>
      <c r="IE37" s="528"/>
      <c r="IF37" s="528"/>
      <c r="IG37" s="528"/>
      <c r="IH37" s="528"/>
      <c r="II37" s="528"/>
      <c r="IJ37" s="528"/>
      <c r="IK37" s="528"/>
      <c r="IL37" s="528"/>
      <c r="IM37" s="528"/>
      <c r="IN37" s="528"/>
      <c r="IO37" s="528"/>
    </row>
    <row r="38" spans="3:255" s="528" customFormat="1" ht="18.75" x14ac:dyDescent="0.25">
      <c r="C38" s="529"/>
      <c r="D38" s="477"/>
      <c r="E38" s="477" t="s">
        <v>336</v>
      </c>
      <c r="F38" s="530">
        <v>7.5408699999999999E-3</v>
      </c>
      <c r="G38" s="822">
        <v>450000</v>
      </c>
      <c r="H38" s="499">
        <f>ROUND(K38/F13,-1)</f>
        <v>3390</v>
      </c>
      <c r="I38" s="499">
        <f>J38/F13</f>
        <v>282.78262499999994</v>
      </c>
      <c r="J38" s="499">
        <f t="shared" si="2"/>
        <v>48073.046249999992</v>
      </c>
      <c r="K38" s="499">
        <f>F13*G38*F38</f>
        <v>576876.55499999993</v>
      </c>
      <c r="L38" s="521">
        <f t="shared" si="1"/>
        <v>9.1091515401865858E-2</v>
      </c>
      <c r="M38" s="438"/>
      <c r="N38" s="438"/>
      <c r="O38" s="443"/>
      <c r="P38" s="443"/>
      <c r="Q38" s="443"/>
      <c r="R38" s="443"/>
      <c r="S38" s="443"/>
      <c r="T38" s="443"/>
      <c r="U38" s="443"/>
      <c r="V38" s="443"/>
      <c r="W38" s="443"/>
      <c r="X38" s="443"/>
      <c r="Y38" s="443"/>
      <c r="Z38" s="443"/>
      <c r="AA38" s="443"/>
      <c r="AB38" s="443"/>
      <c r="AC38" s="443"/>
      <c r="AD38" s="443"/>
      <c r="AE38" s="443"/>
      <c r="AF38" s="443"/>
      <c r="AG38" s="443"/>
      <c r="AH38" s="443"/>
      <c r="AI38" s="443"/>
      <c r="AJ38" s="443"/>
      <c r="AK38" s="443"/>
      <c r="AL38" s="443"/>
      <c r="AM38" s="443"/>
      <c r="AN38" s="443"/>
      <c r="AO38" s="443"/>
      <c r="AP38" s="443"/>
      <c r="AQ38" s="443"/>
      <c r="AR38" s="443"/>
      <c r="AS38" s="443"/>
      <c r="AT38" s="443"/>
      <c r="AU38" s="443"/>
      <c r="AV38" s="443"/>
      <c r="AW38" s="443"/>
      <c r="AX38" s="443"/>
      <c r="AY38" s="443"/>
      <c r="AZ38" s="443"/>
      <c r="BA38" s="443"/>
      <c r="BB38" s="443"/>
      <c r="BC38" s="443"/>
      <c r="BD38" s="443"/>
      <c r="BE38" s="443"/>
      <c r="BF38" s="443"/>
      <c r="BG38" s="443"/>
      <c r="BH38" s="443"/>
      <c r="BI38" s="443"/>
      <c r="BJ38" s="443"/>
      <c r="BK38" s="443"/>
      <c r="BL38" s="443"/>
      <c r="BM38" s="443"/>
      <c r="BN38" s="443"/>
      <c r="BO38" s="443"/>
      <c r="BP38" s="443"/>
      <c r="BQ38" s="443"/>
      <c r="BR38" s="443"/>
      <c r="BS38" s="443"/>
      <c r="BT38" s="443"/>
      <c r="BU38" s="443"/>
      <c r="BV38" s="443"/>
      <c r="BW38" s="443"/>
      <c r="BX38" s="443"/>
      <c r="BY38" s="443"/>
      <c r="BZ38" s="443"/>
      <c r="CA38" s="443"/>
      <c r="CB38" s="443"/>
      <c r="CC38" s="443"/>
      <c r="CD38" s="443"/>
      <c r="CE38" s="443"/>
      <c r="CF38" s="443"/>
      <c r="CG38" s="443"/>
      <c r="CH38" s="443"/>
      <c r="CI38" s="443"/>
      <c r="CJ38" s="443"/>
      <c r="CK38" s="443"/>
      <c r="CL38" s="443"/>
      <c r="CM38" s="443"/>
      <c r="CN38" s="443"/>
      <c r="CO38" s="443"/>
      <c r="CP38" s="443"/>
      <c r="CQ38" s="443"/>
      <c r="CR38" s="443"/>
      <c r="CS38" s="443"/>
      <c r="CT38" s="443"/>
      <c r="CU38" s="443"/>
      <c r="CV38" s="443"/>
      <c r="CW38" s="443"/>
      <c r="CX38" s="443"/>
      <c r="CY38" s="443"/>
      <c r="CZ38" s="443"/>
      <c r="DA38" s="443"/>
      <c r="DB38" s="443"/>
      <c r="DC38" s="443"/>
      <c r="DD38" s="443"/>
      <c r="DE38" s="443"/>
      <c r="DF38" s="443"/>
      <c r="DG38" s="443"/>
      <c r="DH38" s="443"/>
      <c r="DI38" s="443"/>
      <c r="DJ38" s="443"/>
      <c r="DK38" s="443"/>
      <c r="DL38" s="443"/>
      <c r="DM38" s="443"/>
      <c r="DN38" s="443"/>
      <c r="DO38" s="443"/>
      <c r="DP38" s="443"/>
      <c r="DQ38" s="443"/>
      <c r="DR38" s="443"/>
      <c r="DS38" s="443"/>
      <c r="DT38" s="443"/>
      <c r="DU38" s="443"/>
      <c r="DV38" s="443"/>
      <c r="DW38" s="443"/>
      <c r="DX38" s="443"/>
      <c r="DY38" s="443"/>
      <c r="DZ38" s="443"/>
      <c r="EA38" s="443"/>
      <c r="EB38" s="443"/>
      <c r="EC38" s="443"/>
      <c r="ED38" s="443"/>
      <c r="EE38" s="443"/>
      <c r="EF38" s="443"/>
      <c r="EG38" s="443"/>
      <c r="EH38" s="443"/>
      <c r="EI38" s="443"/>
      <c r="EJ38" s="443"/>
      <c r="EK38" s="443"/>
      <c r="EL38" s="443"/>
      <c r="EM38" s="443"/>
      <c r="EN38" s="443"/>
      <c r="EO38" s="443"/>
      <c r="EP38" s="443"/>
      <c r="EQ38" s="443"/>
      <c r="ER38" s="443"/>
      <c r="ES38" s="443"/>
      <c r="ET38" s="443"/>
      <c r="EU38" s="443"/>
      <c r="EV38" s="443"/>
      <c r="EW38" s="443"/>
      <c r="EX38" s="443"/>
      <c r="EY38" s="443"/>
      <c r="EZ38" s="443"/>
      <c r="FA38" s="443"/>
      <c r="FB38" s="443"/>
      <c r="FC38" s="443"/>
      <c r="FD38" s="443"/>
      <c r="FE38" s="443"/>
      <c r="FF38" s="443"/>
      <c r="FG38" s="443"/>
      <c r="FH38" s="443"/>
      <c r="FI38" s="443"/>
      <c r="FJ38" s="443"/>
      <c r="FK38" s="443"/>
      <c r="FL38" s="443"/>
      <c r="FM38" s="443"/>
      <c r="FN38" s="443"/>
      <c r="FO38" s="443"/>
      <c r="FP38" s="443"/>
      <c r="FQ38" s="443"/>
      <c r="FR38" s="443"/>
      <c r="FS38" s="443"/>
      <c r="FT38" s="443"/>
      <c r="FU38" s="443"/>
      <c r="FV38" s="443"/>
      <c r="FW38" s="443"/>
      <c r="FX38" s="443"/>
      <c r="FY38" s="443"/>
      <c r="FZ38" s="443"/>
      <c r="GA38" s="443"/>
      <c r="GB38" s="443"/>
      <c r="GC38" s="443"/>
      <c r="GD38" s="443"/>
      <c r="GE38" s="443"/>
      <c r="GF38" s="443"/>
      <c r="GG38" s="443"/>
      <c r="GH38" s="443"/>
      <c r="GI38" s="443"/>
      <c r="GJ38" s="443"/>
      <c r="GK38" s="443"/>
      <c r="GL38" s="443"/>
      <c r="GM38" s="443"/>
      <c r="GN38" s="443"/>
      <c r="GO38" s="443"/>
      <c r="GP38" s="443"/>
      <c r="GQ38" s="443"/>
      <c r="GR38" s="443"/>
      <c r="GS38" s="443"/>
      <c r="GT38" s="443"/>
      <c r="GU38" s="443"/>
      <c r="GV38" s="443"/>
      <c r="GW38" s="443"/>
      <c r="GX38" s="443"/>
      <c r="GY38" s="443"/>
      <c r="GZ38" s="443"/>
      <c r="HA38" s="443"/>
      <c r="HB38" s="443"/>
      <c r="HC38" s="443"/>
      <c r="HD38" s="443"/>
      <c r="HE38" s="443"/>
      <c r="HF38" s="443"/>
      <c r="HG38" s="443"/>
      <c r="HH38" s="443"/>
      <c r="HI38" s="443"/>
      <c r="HJ38" s="443"/>
      <c r="HK38" s="443"/>
      <c r="HL38" s="443"/>
      <c r="HM38" s="443"/>
      <c r="HN38" s="443"/>
      <c r="HO38" s="443"/>
      <c r="HP38" s="443"/>
      <c r="HQ38" s="443"/>
      <c r="HR38" s="443"/>
      <c r="HS38" s="443"/>
      <c r="HT38" s="443"/>
      <c r="HU38" s="443"/>
      <c r="HV38" s="443"/>
      <c r="HW38" s="443"/>
      <c r="HX38" s="443"/>
      <c r="HY38" s="443"/>
      <c r="HZ38" s="443"/>
      <c r="IA38" s="443"/>
      <c r="IB38" s="443"/>
      <c r="IC38" s="443"/>
      <c r="ID38" s="443"/>
      <c r="IE38" s="443"/>
      <c r="IF38" s="443"/>
      <c r="IG38" s="443"/>
      <c r="IH38" s="443"/>
      <c r="II38" s="443"/>
      <c r="IJ38" s="443"/>
      <c r="IK38" s="443"/>
      <c r="IL38" s="443"/>
      <c r="IM38" s="443"/>
      <c r="IN38" s="443"/>
      <c r="IO38" s="443"/>
    </row>
    <row r="39" spans="3:255" s="528" customFormat="1" ht="18.75" x14ac:dyDescent="0.25">
      <c r="C39" s="529"/>
      <c r="D39" s="477"/>
      <c r="E39" s="531" t="s">
        <v>536</v>
      </c>
      <c r="F39" s="481" t="s">
        <v>335</v>
      </c>
      <c r="G39" s="532">
        <f>+I137</f>
        <v>0.02</v>
      </c>
      <c r="H39" s="499">
        <f>ROUND(K39/F13,-1)</f>
        <v>750</v>
      </c>
      <c r="I39" s="499">
        <f>J39/F13</f>
        <v>62.087588235294128</v>
      </c>
      <c r="J39" s="499">
        <f>K39/12</f>
        <v>10554.890000000001</v>
      </c>
      <c r="K39" s="499">
        <f>K28*G39</f>
        <v>126658.68000000001</v>
      </c>
      <c r="L39" s="521">
        <f t="shared" si="1"/>
        <v>0.02</v>
      </c>
      <c r="M39" s="438"/>
      <c r="N39" s="438"/>
      <c r="O39" s="443"/>
      <c r="P39" s="443"/>
      <c r="Q39" s="443"/>
      <c r="R39" s="443"/>
      <c r="S39" s="443"/>
      <c r="T39" s="443"/>
      <c r="U39" s="443"/>
      <c r="V39" s="443"/>
      <c r="W39" s="443"/>
      <c r="X39" s="443"/>
      <c r="Y39" s="443"/>
      <c r="Z39" s="443"/>
      <c r="AA39" s="443"/>
      <c r="AB39" s="443"/>
      <c r="AC39" s="443"/>
      <c r="AD39" s="443"/>
      <c r="AE39" s="443"/>
      <c r="AF39" s="443"/>
      <c r="AG39" s="443"/>
      <c r="AH39" s="443"/>
      <c r="AI39" s="443"/>
      <c r="AJ39" s="443"/>
      <c r="AK39" s="443"/>
      <c r="AL39" s="443"/>
      <c r="AM39" s="443"/>
      <c r="AN39" s="443"/>
      <c r="AO39" s="443"/>
      <c r="AP39" s="443"/>
      <c r="AQ39" s="443"/>
      <c r="AR39" s="443"/>
      <c r="AS39" s="443"/>
      <c r="AT39" s="443"/>
      <c r="AU39" s="443"/>
      <c r="AV39" s="443"/>
      <c r="AW39" s="443"/>
      <c r="AX39" s="443"/>
      <c r="AY39" s="443"/>
      <c r="AZ39" s="443"/>
      <c r="BA39" s="443"/>
      <c r="BB39" s="443"/>
      <c r="BC39" s="443"/>
      <c r="BD39" s="443"/>
      <c r="BE39" s="443"/>
      <c r="BF39" s="443"/>
      <c r="BG39" s="443"/>
      <c r="BH39" s="443"/>
      <c r="BI39" s="443"/>
      <c r="BJ39" s="443"/>
      <c r="BK39" s="443"/>
      <c r="BL39" s="443"/>
      <c r="BM39" s="443"/>
      <c r="BN39" s="443"/>
      <c r="BO39" s="443"/>
      <c r="BP39" s="443"/>
      <c r="BQ39" s="443"/>
      <c r="BR39" s="443"/>
      <c r="BS39" s="443"/>
      <c r="BT39" s="443"/>
      <c r="BU39" s="443"/>
      <c r="BV39" s="443"/>
      <c r="BW39" s="443"/>
      <c r="BX39" s="443"/>
      <c r="BY39" s="443"/>
      <c r="BZ39" s="443"/>
      <c r="CA39" s="443"/>
      <c r="CB39" s="443"/>
      <c r="CC39" s="443"/>
      <c r="CD39" s="443"/>
      <c r="CE39" s="443"/>
      <c r="CF39" s="443"/>
      <c r="CG39" s="443"/>
      <c r="CH39" s="443"/>
      <c r="CI39" s="443"/>
      <c r="CJ39" s="443"/>
      <c r="CK39" s="443"/>
      <c r="CL39" s="443"/>
      <c r="CM39" s="443"/>
      <c r="CN39" s="443"/>
      <c r="CO39" s="443"/>
      <c r="CP39" s="443"/>
      <c r="CQ39" s="443"/>
      <c r="CR39" s="443"/>
      <c r="CS39" s="443"/>
      <c r="CT39" s="443"/>
      <c r="CU39" s="443"/>
      <c r="CV39" s="443"/>
      <c r="CW39" s="443"/>
      <c r="CX39" s="443"/>
      <c r="CY39" s="443"/>
      <c r="CZ39" s="443"/>
      <c r="DA39" s="443"/>
      <c r="DB39" s="443"/>
      <c r="DC39" s="443"/>
      <c r="DD39" s="443"/>
      <c r="DE39" s="443"/>
      <c r="DF39" s="443"/>
      <c r="DG39" s="443"/>
      <c r="DH39" s="443"/>
      <c r="DI39" s="443"/>
      <c r="DJ39" s="443"/>
      <c r="DK39" s="443"/>
      <c r="DL39" s="443"/>
      <c r="DM39" s="443"/>
      <c r="DN39" s="443"/>
      <c r="DO39" s="443"/>
      <c r="DP39" s="443"/>
      <c r="DQ39" s="443"/>
      <c r="DR39" s="443"/>
      <c r="DS39" s="443"/>
      <c r="DT39" s="443"/>
      <c r="DU39" s="443"/>
      <c r="DV39" s="443"/>
      <c r="DW39" s="443"/>
      <c r="DX39" s="443"/>
      <c r="DY39" s="443"/>
      <c r="DZ39" s="443"/>
      <c r="EA39" s="443"/>
      <c r="EB39" s="443"/>
      <c r="EC39" s="443"/>
      <c r="ED39" s="443"/>
      <c r="EE39" s="443"/>
      <c r="EF39" s="443"/>
      <c r="EG39" s="443"/>
      <c r="EH39" s="443"/>
      <c r="EI39" s="443"/>
      <c r="EJ39" s="443"/>
      <c r="EK39" s="443"/>
      <c r="EL39" s="443"/>
      <c r="EM39" s="443"/>
      <c r="EN39" s="443"/>
      <c r="EO39" s="443"/>
      <c r="EP39" s="443"/>
      <c r="EQ39" s="443"/>
      <c r="ER39" s="443"/>
      <c r="ES39" s="443"/>
      <c r="ET39" s="443"/>
      <c r="EU39" s="443"/>
      <c r="EV39" s="443"/>
      <c r="EW39" s="443"/>
      <c r="EX39" s="443"/>
      <c r="EY39" s="443"/>
      <c r="EZ39" s="443"/>
      <c r="FA39" s="443"/>
      <c r="FB39" s="443"/>
      <c r="FC39" s="443"/>
      <c r="FD39" s="443"/>
      <c r="FE39" s="443"/>
      <c r="FF39" s="443"/>
      <c r="FG39" s="443"/>
      <c r="FH39" s="443"/>
      <c r="FI39" s="443"/>
      <c r="FJ39" s="443"/>
      <c r="FK39" s="443"/>
      <c r="FL39" s="443"/>
      <c r="FM39" s="443"/>
      <c r="FN39" s="443"/>
      <c r="FO39" s="443"/>
      <c r="FP39" s="443"/>
      <c r="FQ39" s="443"/>
      <c r="FR39" s="443"/>
      <c r="FS39" s="443"/>
      <c r="FT39" s="443"/>
      <c r="FU39" s="443"/>
      <c r="FV39" s="443"/>
      <c r="FW39" s="443"/>
      <c r="FX39" s="443"/>
      <c r="FY39" s="443"/>
      <c r="FZ39" s="443"/>
      <c r="GA39" s="443"/>
      <c r="GB39" s="443"/>
      <c r="GC39" s="443"/>
      <c r="GD39" s="443"/>
      <c r="GE39" s="443"/>
      <c r="GF39" s="443"/>
      <c r="GG39" s="443"/>
      <c r="GH39" s="443"/>
      <c r="GI39" s="443"/>
      <c r="GJ39" s="443"/>
      <c r="GK39" s="443"/>
      <c r="GL39" s="443"/>
      <c r="GM39" s="443"/>
      <c r="GN39" s="443"/>
      <c r="GO39" s="443"/>
      <c r="GP39" s="443"/>
      <c r="GQ39" s="443"/>
      <c r="GR39" s="443"/>
      <c r="GS39" s="443"/>
      <c r="GT39" s="443"/>
      <c r="GU39" s="443"/>
      <c r="GV39" s="443"/>
      <c r="GW39" s="443"/>
      <c r="GX39" s="443"/>
      <c r="GY39" s="443"/>
      <c r="GZ39" s="443"/>
      <c r="HA39" s="443"/>
      <c r="HB39" s="443"/>
      <c r="HC39" s="443"/>
      <c r="HD39" s="443"/>
      <c r="HE39" s="443"/>
      <c r="HF39" s="443"/>
      <c r="HG39" s="443"/>
      <c r="HH39" s="443"/>
      <c r="HI39" s="443"/>
      <c r="HJ39" s="443"/>
      <c r="HK39" s="443"/>
      <c r="HL39" s="443"/>
      <c r="HM39" s="443"/>
      <c r="HN39" s="443"/>
      <c r="HO39" s="443"/>
      <c r="HP39" s="443"/>
      <c r="HQ39" s="443"/>
      <c r="HR39" s="443"/>
      <c r="HS39" s="443"/>
      <c r="HT39" s="443"/>
      <c r="HU39" s="443"/>
      <c r="HV39" s="443"/>
      <c r="HW39" s="443"/>
      <c r="HX39" s="443"/>
      <c r="HY39" s="443"/>
      <c r="HZ39" s="443"/>
      <c r="IA39" s="443"/>
      <c r="IB39" s="443"/>
      <c r="IC39" s="443"/>
      <c r="ID39" s="443"/>
      <c r="IE39" s="443"/>
      <c r="IF39" s="443"/>
      <c r="IG39" s="443"/>
      <c r="IH39" s="443"/>
      <c r="II39" s="443"/>
      <c r="IJ39" s="443"/>
      <c r="IK39" s="443"/>
      <c r="IL39" s="443"/>
      <c r="IM39" s="443"/>
      <c r="IN39" s="443"/>
      <c r="IO39" s="443"/>
    </row>
    <row r="40" spans="3:255" ht="18.75" x14ac:dyDescent="0.25">
      <c r="C40" s="438"/>
      <c r="D40" s="477"/>
      <c r="E40" s="512" t="s">
        <v>328</v>
      </c>
      <c r="F40" s="533">
        <f>K40/K28</f>
        <v>0.27116734992027391</v>
      </c>
      <c r="G40" s="504"/>
      <c r="H40" s="534">
        <f>SUM(H31:H39)</f>
        <v>10100</v>
      </c>
      <c r="I40" s="506">
        <f>SUM(I31:I39)</f>
        <v>841.80633823529411</v>
      </c>
      <c r="J40" s="506">
        <f>SUM(J31:J39)</f>
        <v>143107.07750000001</v>
      </c>
      <c r="K40" s="506">
        <f>SUM(K31:K39)</f>
        <v>1717284.93</v>
      </c>
      <c r="L40" s="535">
        <f t="shared" si="1"/>
        <v>0.27116734992027391</v>
      </c>
      <c r="M40" s="519"/>
      <c r="N40" s="519"/>
      <c r="O40" s="528"/>
      <c r="P40" s="528"/>
      <c r="Q40" s="528"/>
      <c r="R40" s="528"/>
      <c r="S40" s="528"/>
      <c r="T40" s="528"/>
      <c r="U40" s="528"/>
      <c r="V40" s="528"/>
      <c r="W40" s="528"/>
      <c r="X40" s="528"/>
      <c r="Y40" s="528"/>
      <c r="Z40" s="528"/>
      <c r="AA40" s="528"/>
      <c r="AB40" s="528"/>
      <c r="AC40" s="528"/>
      <c r="AD40" s="528"/>
      <c r="AE40" s="528"/>
      <c r="AF40" s="528"/>
      <c r="AG40" s="528"/>
      <c r="AH40" s="528"/>
      <c r="AI40" s="528"/>
      <c r="AJ40" s="528"/>
      <c r="AK40" s="528"/>
      <c r="AL40" s="528"/>
      <c r="AM40" s="528"/>
      <c r="AN40" s="528"/>
      <c r="AO40" s="528"/>
      <c r="AP40" s="528"/>
      <c r="AQ40" s="528"/>
      <c r="AR40" s="528"/>
      <c r="AS40" s="528"/>
      <c r="AT40" s="528"/>
      <c r="AU40" s="528"/>
      <c r="AV40" s="528"/>
      <c r="AW40" s="528"/>
      <c r="AX40" s="528"/>
      <c r="AY40" s="528"/>
      <c r="AZ40" s="528"/>
      <c r="BA40" s="528"/>
      <c r="BB40" s="528"/>
      <c r="BC40" s="528"/>
      <c r="BD40" s="528"/>
      <c r="BE40" s="528"/>
      <c r="BF40" s="528"/>
      <c r="BG40" s="528"/>
      <c r="BH40" s="528"/>
      <c r="BI40" s="528"/>
      <c r="BJ40" s="528"/>
      <c r="BK40" s="528"/>
      <c r="BL40" s="528"/>
      <c r="BM40" s="528"/>
      <c r="BN40" s="528"/>
      <c r="BO40" s="528"/>
      <c r="BP40" s="528"/>
      <c r="BQ40" s="528"/>
      <c r="BR40" s="528"/>
      <c r="BS40" s="528"/>
      <c r="BT40" s="528"/>
      <c r="BU40" s="528"/>
      <c r="BV40" s="528"/>
      <c r="BW40" s="528"/>
      <c r="BX40" s="528"/>
      <c r="BY40" s="528"/>
      <c r="BZ40" s="528"/>
      <c r="CA40" s="528"/>
      <c r="CB40" s="528"/>
      <c r="CC40" s="528"/>
      <c r="CD40" s="528"/>
      <c r="CE40" s="528"/>
      <c r="CF40" s="528"/>
      <c r="CG40" s="528"/>
      <c r="CH40" s="528"/>
      <c r="CI40" s="528"/>
      <c r="CJ40" s="528"/>
      <c r="CK40" s="528"/>
      <c r="CL40" s="528"/>
      <c r="CM40" s="528"/>
      <c r="CN40" s="528"/>
      <c r="CO40" s="528"/>
      <c r="CP40" s="528"/>
      <c r="CQ40" s="528"/>
      <c r="CR40" s="528"/>
      <c r="CS40" s="528"/>
      <c r="CT40" s="528"/>
      <c r="CU40" s="528"/>
      <c r="CV40" s="528"/>
      <c r="CW40" s="528"/>
      <c r="CX40" s="528"/>
      <c r="CY40" s="528"/>
      <c r="CZ40" s="528"/>
      <c r="DA40" s="528"/>
      <c r="DB40" s="528"/>
      <c r="DC40" s="528"/>
      <c r="DD40" s="528"/>
      <c r="DE40" s="528"/>
      <c r="DF40" s="528"/>
      <c r="DG40" s="528"/>
      <c r="DH40" s="528"/>
      <c r="DI40" s="528"/>
      <c r="DJ40" s="528"/>
      <c r="DK40" s="528"/>
      <c r="DL40" s="528"/>
      <c r="DM40" s="528"/>
      <c r="DN40" s="528"/>
      <c r="DO40" s="528"/>
      <c r="DP40" s="528"/>
      <c r="DQ40" s="528"/>
      <c r="DR40" s="528"/>
      <c r="DS40" s="528"/>
      <c r="DT40" s="528"/>
      <c r="DU40" s="528"/>
      <c r="DV40" s="528"/>
      <c r="DW40" s="528"/>
      <c r="DX40" s="528"/>
      <c r="DY40" s="528"/>
      <c r="DZ40" s="528"/>
      <c r="EA40" s="528"/>
      <c r="EB40" s="528"/>
      <c r="EC40" s="528"/>
      <c r="ED40" s="528"/>
      <c r="EE40" s="528"/>
      <c r="EF40" s="528"/>
      <c r="EG40" s="528"/>
      <c r="EH40" s="528"/>
      <c r="EI40" s="528"/>
      <c r="EJ40" s="528"/>
      <c r="EK40" s="528"/>
      <c r="EL40" s="528"/>
      <c r="EM40" s="528"/>
      <c r="EN40" s="528"/>
      <c r="EO40" s="528"/>
      <c r="EP40" s="528"/>
      <c r="EQ40" s="528"/>
      <c r="ER40" s="528"/>
      <c r="ES40" s="528"/>
      <c r="ET40" s="528"/>
      <c r="EU40" s="528"/>
      <c r="EV40" s="528"/>
      <c r="EW40" s="528"/>
      <c r="EX40" s="528"/>
      <c r="EY40" s="528"/>
      <c r="EZ40" s="528"/>
      <c r="FA40" s="528"/>
      <c r="FB40" s="528"/>
      <c r="FC40" s="528"/>
      <c r="FD40" s="528"/>
      <c r="FE40" s="528"/>
      <c r="FF40" s="528"/>
      <c r="FG40" s="528"/>
      <c r="FH40" s="528"/>
      <c r="FI40" s="528"/>
      <c r="FJ40" s="528"/>
      <c r="FK40" s="528"/>
      <c r="FL40" s="528"/>
      <c r="FM40" s="528"/>
      <c r="FN40" s="528"/>
      <c r="FO40" s="528"/>
      <c r="FP40" s="528"/>
      <c r="FQ40" s="528"/>
      <c r="FR40" s="528"/>
      <c r="FS40" s="528"/>
      <c r="FT40" s="528"/>
      <c r="FU40" s="528"/>
      <c r="FV40" s="528"/>
      <c r="FW40" s="528"/>
      <c r="FX40" s="528"/>
      <c r="FY40" s="528"/>
      <c r="FZ40" s="528"/>
      <c r="GA40" s="528"/>
      <c r="GB40" s="528"/>
      <c r="GC40" s="528"/>
      <c r="GD40" s="528"/>
      <c r="GE40" s="528"/>
      <c r="GF40" s="528"/>
      <c r="GG40" s="528"/>
      <c r="GH40" s="528"/>
      <c r="GI40" s="528"/>
      <c r="GJ40" s="528"/>
      <c r="GK40" s="528"/>
      <c r="GL40" s="528"/>
      <c r="GM40" s="528"/>
      <c r="GN40" s="528"/>
      <c r="GO40" s="528"/>
      <c r="GP40" s="528"/>
      <c r="GQ40" s="528"/>
      <c r="GR40" s="528"/>
      <c r="GS40" s="528"/>
      <c r="GT40" s="528"/>
      <c r="GU40" s="528"/>
      <c r="GV40" s="528"/>
      <c r="GW40" s="528"/>
      <c r="GX40" s="528"/>
      <c r="GY40" s="528"/>
      <c r="GZ40" s="528"/>
      <c r="HA40" s="528"/>
      <c r="HB40" s="528"/>
      <c r="HC40" s="528"/>
      <c r="HD40" s="528"/>
      <c r="HE40" s="528"/>
      <c r="HF40" s="528"/>
      <c r="HG40" s="528"/>
      <c r="HH40" s="528"/>
      <c r="HI40" s="528"/>
      <c r="HJ40" s="528"/>
      <c r="HK40" s="528"/>
      <c r="HL40" s="528"/>
      <c r="HM40" s="528"/>
      <c r="HN40" s="528"/>
      <c r="HO40" s="528"/>
      <c r="HP40" s="528"/>
      <c r="HQ40" s="528"/>
      <c r="HR40" s="528"/>
      <c r="HS40" s="528"/>
      <c r="HT40" s="528"/>
      <c r="HU40" s="528"/>
      <c r="HV40" s="528"/>
      <c r="HW40" s="528"/>
      <c r="HX40" s="528"/>
      <c r="HY40" s="528"/>
      <c r="HZ40" s="528"/>
      <c r="IA40" s="528"/>
      <c r="IB40" s="528"/>
      <c r="IC40" s="528"/>
      <c r="ID40" s="528"/>
      <c r="IE40" s="528"/>
      <c r="IF40" s="528"/>
      <c r="IG40" s="528"/>
      <c r="IH40" s="528"/>
      <c r="II40" s="528"/>
      <c r="IJ40" s="528"/>
      <c r="IK40" s="528"/>
      <c r="IL40" s="528"/>
      <c r="IM40" s="528"/>
      <c r="IN40" s="528"/>
      <c r="IO40" s="528"/>
    </row>
    <row r="41" spans="3:255" ht="18.75" x14ac:dyDescent="0.25">
      <c r="C41" s="444"/>
      <c r="D41" s="512"/>
      <c r="E41" s="512"/>
      <c r="F41" s="512"/>
      <c r="G41" s="512"/>
      <c r="H41" s="536"/>
      <c r="I41" s="536"/>
      <c r="J41" s="536"/>
      <c r="K41" s="536"/>
      <c r="L41" s="519"/>
      <c r="M41" s="537"/>
      <c r="N41" s="438"/>
      <c r="IP41" s="528"/>
      <c r="IQ41" s="528"/>
      <c r="IR41" s="528"/>
      <c r="IS41" s="528"/>
      <c r="IT41" s="528"/>
      <c r="IU41" s="528"/>
    </row>
    <row r="42" spans="3:255" s="528" customFormat="1" ht="18.75" x14ac:dyDescent="0.25">
      <c r="C42" s="438"/>
      <c r="D42" s="512"/>
      <c r="E42" s="538" t="s">
        <v>337</v>
      </c>
      <c r="F42" s="538"/>
      <c r="G42" s="493"/>
      <c r="H42" s="539">
        <f>H28-H40</f>
        <v>26165.447058823527</v>
      </c>
      <c r="I42" s="539">
        <f>I28-I40</f>
        <v>2180.3142500000004</v>
      </c>
      <c r="J42" s="539">
        <f>J28-J40</f>
        <v>384637.42249999999</v>
      </c>
      <c r="K42" s="539">
        <f>K28-K40</f>
        <v>4615649.07</v>
      </c>
      <c r="L42" s="539"/>
      <c r="M42" s="519"/>
      <c r="N42" s="519"/>
      <c r="IP42" s="443"/>
      <c r="IQ42" s="443"/>
      <c r="IR42" s="443"/>
      <c r="IS42" s="443"/>
      <c r="IT42" s="443"/>
      <c r="IU42" s="443"/>
    </row>
    <row r="43" spans="3:255" ht="18.75" x14ac:dyDescent="0.25">
      <c r="C43" s="519"/>
      <c r="D43" s="477"/>
      <c r="E43" s="540"/>
      <c r="F43" s="512"/>
      <c r="G43" s="541"/>
      <c r="H43" s="512"/>
      <c r="I43" s="512"/>
      <c r="J43" s="512"/>
      <c r="K43" s="486"/>
      <c r="L43" s="542"/>
      <c r="M43" s="519"/>
      <c r="N43" s="519"/>
      <c r="O43" s="528"/>
      <c r="P43" s="528"/>
      <c r="Q43" s="528"/>
      <c r="R43" s="528"/>
      <c r="S43" s="528"/>
      <c r="T43" s="528"/>
      <c r="U43" s="528"/>
      <c r="V43" s="528"/>
      <c r="W43" s="528"/>
      <c r="X43" s="528"/>
      <c r="Y43" s="528"/>
      <c r="Z43" s="528"/>
      <c r="AA43" s="528"/>
      <c r="AB43" s="528"/>
      <c r="AC43" s="528"/>
      <c r="AD43" s="528"/>
      <c r="AE43" s="528"/>
      <c r="AF43" s="528"/>
      <c r="AG43" s="528"/>
      <c r="AH43" s="528"/>
      <c r="AI43" s="528"/>
      <c r="AJ43" s="528"/>
      <c r="AK43" s="528"/>
      <c r="AL43" s="528"/>
      <c r="AM43" s="528"/>
      <c r="AN43" s="528"/>
      <c r="AO43" s="528"/>
      <c r="AP43" s="528"/>
      <c r="AQ43" s="528"/>
      <c r="AR43" s="528"/>
      <c r="AS43" s="528"/>
      <c r="AT43" s="528"/>
      <c r="AU43" s="528"/>
      <c r="AV43" s="528"/>
      <c r="AW43" s="528"/>
      <c r="AX43" s="528"/>
      <c r="AY43" s="528"/>
      <c r="AZ43" s="528"/>
      <c r="BA43" s="528"/>
      <c r="BB43" s="528"/>
      <c r="BC43" s="528"/>
      <c r="BD43" s="528"/>
      <c r="BE43" s="528"/>
      <c r="BF43" s="528"/>
      <c r="BG43" s="528"/>
      <c r="BH43" s="528"/>
      <c r="BI43" s="528"/>
      <c r="BJ43" s="528"/>
      <c r="BK43" s="528"/>
      <c r="BL43" s="528"/>
      <c r="BM43" s="528"/>
      <c r="BN43" s="528"/>
      <c r="BO43" s="528"/>
      <c r="BP43" s="528"/>
      <c r="BQ43" s="528"/>
      <c r="BR43" s="528"/>
      <c r="BS43" s="528"/>
      <c r="BT43" s="528"/>
      <c r="BU43" s="528"/>
      <c r="BV43" s="528"/>
      <c r="BW43" s="528"/>
      <c r="BX43" s="528"/>
      <c r="BY43" s="528"/>
      <c r="BZ43" s="528"/>
      <c r="CA43" s="528"/>
      <c r="CB43" s="528"/>
      <c r="CC43" s="528"/>
      <c r="CD43" s="528"/>
      <c r="CE43" s="528"/>
      <c r="CF43" s="528"/>
      <c r="CG43" s="528"/>
      <c r="CH43" s="528"/>
      <c r="CI43" s="528"/>
      <c r="CJ43" s="528"/>
      <c r="CK43" s="528"/>
      <c r="CL43" s="528"/>
      <c r="CM43" s="528"/>
      <c r="CN43" s="528"/>
      <c r="CO43" s="528"/>
      <c r="CP43" s="528"/>
      <c r="CQ43" s="528"/>
      <c r="CR43" s="528"/>
      <c r="CS43" s="528"/>
      <c r="CT43" s="528"/>
      <c r="CU43" s="528"/>
      <c r="CV43" s="528"/>
      <c r="CW43" s="528"/>
      <c r="CX43" s="528"/>
      <c r="CY43" s="528"/>
      <c r="CZ43" s="528"/>
      <c r="DA43" s="528"/>
      <c r="DB43" s="528"/>
      <c r="DC43" s="528"/>
      <c r="DD43" s="528"/>
      <c r="DE43" s="528"/>
      <c r="DF43" s="528"/>
      <c r="DG43" s="528"/>
      <c r="DH43" s="528"/>
      <c r="DI43" s="528"/>
      <c r="DJ43" s="528"/>
      <c r="DK43" s="528"/>
      <c r="DL43" s="528"/>
      <c r="DM43" s="528"/>
      <c r="DN43" s="528"/>
      <c r="DO43" s="528"/>
      <c r="DP43" s="528"/>
      <c r="DQ43" s="528"/>
      <c r="DR43" s="528"/>
      <c r="DS43" s="528"/>
      <c r="DT43" s="528"/>
      <c r="DU43" s="528"/>
      <c r="DV43" s="528"/>
      <c r="DW43" s="528"/>
      <c r="DX43" s="528"/>
      <c r="DY43" s="528"/>
      <c r="DZ43" s="528"/>
      <c r="EA43" s="528"/>
      <c r="EB43" s="528"/>
      <c r="EC43" s="528"/>
      <c r="ED43" s="528"/>
      <c r="EE43" s="528"/>
      <c r="EF43" s="528"/>
      <c r="EG43" s="528"/>
      <c r="EH43" s="528"/>
      <c r="EI43" s="528"/>
      <c r="EJ43" s="528"/>
      <c r="EK43" s="528"/>
      <c r="EL43" s="528"/>
      <c r="EM43" s="528"/>
      <c r="EN43" s="528"/>
      <c r="EO43" s="528"/>
      <c r="EP43" s="528"/>
      <c r="EQ43" s="528"/>
      <c r="ER43" s="528"/>
      <c r="ES43" s="528"/>
      <c r="ET43" s="528"/>
      <c r="EU43" s="528"/>
      <c r="EV43" s="528"/>
      <c r="EW43" s="528"/>
      <c r="EX43" s="528"/>
      <c r="EY43" s="528"/>
      <c r="EZ43" s="528"/>
      <c r="FA43" s="528"/>
      <c r="FB43" s="528"/>
      <c r="FC43" s="528"/>
      <c r="FD43" s="528"/>
      <c r="FE43" s="528"/>
      <c r="FF43" s="528"/>
      <c r="FG43" s="528"/>
      <c r="FH43" s="528"/>
      <c r="FI43" s="528"/>
      <c r="FJ43" s="528"/>
      <c r="FK43" s="528"/>
      <c r="FL43" s="528"/>
      <c r="FM43" s="528"/>
      <c r="FN43" s="528"/>
      <c r="FO43" s="528"/>
      <c r="FP43" s="528"/>
      <c r="FQ43" s="528"/>
      <c r="FR43" s="528"/>
      <c r="FS43" s="528"/>
      <c r="FT43" s="528"/>
      <c r="FU43" s="528"/>
      <c r="FV43" s="528"/>
      <c r="FW43" s="528"/>
      <c r="FX43" s="528"/>
      <c r="FY43" s="528"/>
      <c r="FZ43" s="528"/>
      <c r="GA43" s="528"/>
      <c r="GB43" s="528"/>
      <c r="GC43" s="528"/>
      <c r="GD43" s="528"/>
      <c r="GE43" s="528"/>
      <c r="GF43" s="528"/>
      <c r="GG43" s="528"/>
      <c r="GH43" s="528"/>
      <c r="GI43" s="528"/>
      <c r="GJ43" s="528"/>
      <c r="GK43" s="528"/>
      <c r="GL43" s="528"/>
      <c r="GM43" s="528"/>
      <c r="GN43" s="528"/>
      <c r="GO43" s="528"/>
      <c r="GP43" s="528"/>
      <c r="GQ43" s="528"/>
      <c r="GR43" s="528"/>
      <c r="GS43" s="528"/>
      <c r="GT43" s="528"/>
      <c r="GU43" s="528"/>
      <c r="GV43" s="528"/>
      <c r="GW43" s="528"/>
      <c r="GX43" s="528"/>
      <c r="GY43" s="528"/>
      <c r="GZ43" s="528"/>
      <c r="HA43" s="528"/>
      <c r="HB43" s="528"/>
      <c r="HC43" s="528"/>
      <c r="HD43" s="528"/>
      <c r="HE43" s="528"/>
      <c r="HF43" s="528"/>
      <c r="HG43" s="528"/>
      <c r="HH43" s="528"/>
      <c r="HI43" s="528"/>
      <c r="HJ43" s="528"/>
      <c r="HK43" s="528"/>
      <c r="HL43" s="528"/>
      <c r="HM43" s="528"/>
      <c r="HN43" s="528"/>
      <c r="HO43" s="528"/>
      <c r="HP43" s="528"/>
      <c r="HQ43" s="528"/>
      <c r="HR43" s="528"/>
      <c r="HS43" s="528"/>
      <c r="HT43" s="528"/>
      <c r="HU43" s="528"/>
      <c r="HV43" s="528"/>
      <c r="HW43" s="528"/>
      <c r="HX43" s="528"/>
      <c r="HY43" s="528"/>
      <c r="HZ43" s="528"/>
      <c r="IA43" s="528"/>
      <c r="IB43" s="528"/>
      <c r="IC43" s="528"/>
      <c r="ID43" s="528"/>
      <c r="IE43" s="528"/>
      <c r="IF43" s="528"/>
      <c r="IG43" s="528"/>
      <c r="IH43" s="528"/>
      <c r="II43" s="528"/>
      <c r="IJ43" s="528"/>
      <c r="IK43" s="528"/>
      <c r="IL43" s="528"/>
      <c r="IM43" s="528"/>
      <c r="IN43" s="528"/>
      <c r="IO43" s="528"/>
      <c r="IP43" s="528"/>
      <c r="IQ43" s="528"/>
      <c r="IR43" s="528"/>
      <c r="IS43" s="528"/>
      <c r="IT43" s="528"/>
      <c r="IU43" s="528"/>
    </row>
    <row r="44" spans="3:255" s="528" customFormat="1" ht="18.75" x14ac:dyDescent="0.25">
      <c r="C44" s="438"/>
      <c r="D44" s="512"/>
      <c r="E44" s="540"/>
      <c r="F44" s="512"/>
      <c r="G44" s="512"/>
      <c r="H44" s="512"/>
      <c r="I44" s="512"/>
      <c r="J44" s="512"/>
      <c r="K44" s="486"/>
      <c r="L44" s="542"/>
      <c r="M44" s="519"/>
      <c r="N44" s="519"/>
    </row>
    <row r="45" spans="3:255" s="528" customFormat="1" ht="37.5" x14ac:dyDescent="0.4">
      <c r="C45" s="519"/>
      <c r="D45" s="543"/>
      <c r="E45" s="514"/>
      <c r="G45" s="544" t="s">
        <v>338</v>
      </c>
      <c r="H45" s="545" t="s">
        <v>339</v>
      </c>
      <c r="I45" s="546" t="s">
        <v>340</v>
      </c>
      <c r="J45" s="546" t="s">
        <v>341</v>
      </c>
      <c r="K45" s="546" t="s">
        <v>342</v>
      </c>
      <c r="L45" s="542"/>
      <c r="M45" s="542"/>
      <c r="N45" s="438"/>
      <c r="O45" s="443"/>
      <c r="P45" s="443"/>
      <c r="Q45" s="443"/>
      <c r="R45" s="443"/>
      <c r="S45" s="443"/>
      <c r="T45" s="443"/>
      <c r="U45" s="443"/>
      <c r="V45" s="443"/>
      <c r="W45" s="443"/>
      <c r="X45" s="443"/>
      <c r="Y45" s="443"/>
      <c r="Z45" s="443"/>
      <c r="AA45" s="443"/>
      <c r="AB45" s="443"/>
      <c r="AC45" s="443"/>
      <c r="AD45" s="443"/>
      <c r="AE45" s="443"/>
      <c r="AF45" s="443"/>
      <c r="AG45" s="443"/>
      <c r="AH45" s="443"/>
      <c r="AI45" s="443"/>
      <c r="AJ45" s="443"/>
      <c r="AK45" s="443"/>
      <c r="AL45" s="443"/>
      <c r="AM45" s="443"/>
      <c r="AN45" s="443"/>
      <c r="AO45" s="443"/>
      <c r="AP45" s="443"/>
      <c r="AQ45" s="443"/>
      <c r="AR45" s="443"/>
      <c r="AS45" s="443"/>
      <c r="AT45" s="443"/>
      <c r="AU45" s="443"/>
      <c r="AV45" s="443"/>
      <c r="AW45" s="443"/>
      <c r="AX45" s="443"/>
      <c r="AY45" s="443"/>
      <c r="AZ45" s="443"/>
      <c r="BA45" s="443"/>
      <c r="BB45" s="443"/>
      <c r="BC45" s="443"/>
      <c r="BD45" s="443"/>
      <c r="BE45" s="443"/>
      <c r="BF45" s="443"/>
      <c r="BG45" s="443"/>
      <c r="BH45" s="443"/>
      <c r="BI45" s="443"/>
      <c r="BJ45" s="443"/>
      <c r="BK45" s="443"/>
      <c r="BL45" s="443"/>
      <c r="BM45" s="443"/>
      <c r="BN45" s="443"/>
      <c r="BO45" s="443"/>
      <c r="BP45" s="443"/>
      <c r="BQ45" s="443"/>
      <c r="BR45" s="443"/>
      <c r="BS45" s="443"/>
      <c r="BT45" s="443"/>
      <c r="BU45" s="443"/>
      <c r="BV45" s="443"/>
      <c r="BW45" s="443"/>
      <c r="BX45" s="443"/>
      <c r="BY45" s="443"/>
      <c r="BZ45" s="443"/>
      <c r="CA45" s="443"/>
      <c r="CB45" s="443"/>
      <c r="CC45" s="443"/>
      <c r="CD45" s="443"/>
      <c r="CE45" s="443"/>
      <c r="CF45" s="443"/>
      <c r="CG45" s="443"/>
      <c r="CH45" s="443"/>
      <c r="CI45" s="443"/>
      <c r="CJ45" s="443"/>
      <c r="CK45" s="443"/>
      <c r="CL45" s="443"/>
      <c r="CM45" s="443"/>
      <c r="CN45" s="443"/>
      <c r="CO45" s="443"/>
      <c r="CP45" s="443"/>
      <c r="CQ45" s="443"/>
      <c r="CR45" s="443"/>
      <c r="CS45" s="443"/>
      <c r="CT45" s="443"/>
      <c r="CU45" s="443"/>
      <c r="CV45" s="443"/>
      <c r="CW45" s="443"/>
      <c r="CX45" s="443"/>
      <c r="CY45" s="443"/>
      <c r="CZ45" s="443"/>
      <c r="DA45" s="443"/>
      <c r="DB45" s="443"/>
      <c r="DC45" s="443"/>
      <c r="DD45" s="443"/>
      <c r="DE45" s="443"/>
      <c r="DF45" s="443"/>
      <c r="DG45" s="443"/>
      <c r="DH45" s="443"/>
      <c r="DI45" s="443"/>
      <c r="DJ45" s="443"/>
      <c r="DK45" s="443"/>
      <c r="DL45" s="443"/>
      <c r="DM45" s="443"/>
      <c r="DN45" s="443"/>
      <c r="DO45" s="443"/>
      <c r="DP45" s="443"/>
      <c r="DQ45" s="443"/>
      <c r="DR45" s="443"/>
      <c r="DS45" s="443"/>
      <c r="DT45" s="443"/>
      <c r="DU45" s="443"/>
      <c r="DV45" s="443"/>
      <c r="DW45" s="443"/>
      <c r="DX45" s="443"/>
      <c r="DY45" s="443"/>
      <c r="DZ45" s="443"/>
      <c r="EA45" s="443"/>
      <c r="EB45" s="443"/>
      <c r="EC45" s="443"/>
      <c r="ED45" s="443"/>
      <c r="EE45" s="443"/>
      <c r="EF45" s="443"/>
      <c r="EG45" s="443"/>
      <c r="EH45" s="443"/>
      <c r="EI45" s="443"/>
      <c r="EJ45" s="443"/>
      <c r="EK45" s="443"/>
      <c r="EL45" s="443"/>
      <c r="EM45" s="443"/>
      <c r="EN45" s="443"/>
      <c r="EO45" s="443"/>
      <c r="EP45" s="443"/>
      <c r="EQ45" s="443"/>
      <c r="ER45" s="443"/>
      <c r="ES45" s="443"/>
      <c r="ET45" s="443"/>
      <c r="EU45" s="443"/>
      <c r="EV45" s="443"/>
      <c r="EW45" s="443"/>
      <c r="EX45" s="443"/>
      <c r="EY45" s="443"/>
      <c r="EZ45" s="443"/>
      <c r="FA45" s="443"/>
      <c r="FB45" s="443"/>
      <c r="FC45" s="443"/>
      <c r="FD45" s="443"/>
      <c r="FE45" s="443"/>
      <c r="FF45" s="443"/>
      <c r="FG45" s="443"/>
      <c r="FH45" s="443"/>
      <c r="FI45" s="443"/>
      <c r="FJ45" s="443"/>
      <c r="FK45" s="443"/>
      <c r="FL45" s="443"/>
      <c r="FM45" s="443"/>
      <c r="FN45" s="443"/>
      <c r="FO45" s="443"/>
      <c r="FP45" s="443"/>
      <c r="FQ45" s="443"/>
      <c r="FR45" s="443"/>
      <c r="FS45" s="443"/>
      <c r="FT45" s="443"/>
      <c r="FU45" s="443"/>
      <c r="FV45" s="443"/>
      <c r="FW45" s="443"/>
      <c r="FX45" s="443"/>
      <c r="FY45" s="443"/>
      <c r="FZ45" s="443"/>
      <c r="GA45" s="443"/>
      <c r="GB45" s="443"/>
      <c r="GC45" s="443"/>
      <c r="GD45" s="443"/>
      <c r="GE45" s="443"/>
      <c r="GF45" s="443"/>
      <c r="GG45" s="443"/>
      <c r="GH45" s="443"/>
      <c r="GI45" s="443"/>
      <c r="GJ45" s="443"/>
      <c r="GK45" s="443"/>
      <c r="GL45" s="443"/>
      <c r="GM45" s="443"/>
      <c r="GN45" s="443"/>
      <c r="GO45" s="443"/>
      <c r="GP45" s="443"/>
      <c r="GQ45" s="443"/>
      <c r="GR45" s="443"/>
      <c r="GS45" s="443"/>
      <c r="GT45" s="443"/>
      <c r="GU45" s="443"/>
      <c r="GV45" s="443"/>
      <c r="GW45" s="443"/>
      <c r="GX45" s="443"/>
      <c r="GY45" s="443"/>
      <c r="GZ45" s="443"/>
      <c r="HA45" s="443"/>
      <c r="HB45" s="443"/>
      <c r="HC45" s="443"/>
      <c r="HD45" s="443"/>
      <c r="HE45" s="443"/>
      <c r="HF45" s="443"/>
      <c r="HG45" s="443"/>
      <c r="HH45" s="443"/>
      <c r="HI45" s="443"/>
      <c r="HJ45" s="443"/>
      <c r="HK45" s="443"/>
      <c r="HL45" s="443"/>
      <c r="HM45" s="443"/>
      <c r="HN45" s="443"/>
      <c r="HO45" s="443"/>
      <c r="HP45" s="443"/>
      <c r="HQ45" s="443"/>
      <c r="HR45" s="443"/>
      <c r="HS45" s="443"/>
      <c r="HT45" s="443"/>
      <c r="HU45" s="443"/>
      <c r="HV45" s="443"/>
      <c r="HW45" s="443"/>
      <c r="HX45" s="443"/>
      <c r="HY45" s="443"/>
      <c r="HZ45" s="443"/>
      <c r="IA45" s="443"/>
      <c r="IB45" s="443"/>
      <c r="IC45" s="443"/>
      <c r="ID45" s="443"/>
      <c r="IE45" s="443"/>
      <c r="IF45" s="443"/>
      <c r="IG45" s="443"/>
      <c r="IH45" s="443"/>
      <c r="II45" s="443"/>
      <c r="IJ45" s="443"/>
      <c r="IK45" s="443"/>
      <c r="IL45" s="443"/>
      <c r="IM45" s="443"/>
      <c r="IN45" s="443"/>
      <c r="IO45" s="443"/>
    </row>
    <row r="46" spans="3:255" s="528" customFormat="1" ht="18.75" x14ac:dyDescent="0.25">
      <c r="C46" s="519"/>
      <c r="D46" s="512"/>
      <c r="E46" s="477"/>
      <c r="F46" s="481"/>
      <c r="G46" s="547" t="s">
        <v>343</v>
      </c>
      <c r="H46" s="548">
        <v>4.2500000000000003E-2</v>
      </c>
      <c r="I46" s="549">
        <f>ROUND(K46/$F$13,-2)</f>
        <v>638800</v>
      </c>
      <c r="J46" s="549">
        <f>K46/$J$13</f>
        <v>842.85062381066211</v>
      </c>
      <c r="K46" s="550">
        <f>ROUND($K$42/H46,-3)</f>
        <v>108604000</v>
      </c>
      <c r="L46" s="542"/>
      <c r="M46" s="542"/>
      <c r="N46" s="438"/>
      <c r="O46" s="443"/>
      <c r="P46" s="443"/>
      <c r="Q46" s="443"/>
      <c r="R46" s="443"/>
      <c r="S46" s="443"/>
      <c r="T46" s="443"/>
      <c r="U46" s="443"/>
      <c r="V46" s="443"/>
      <c r="W46" s="443"/>
      <c r="X46" s="443"/>
      <c r="Y46" s="443"/>
      <c r="Z46" s="443"/>
      <c r="AA46" s="443"/>
      <c r="AB46" s="443"/>
      <c r="AC46" s="443"/>
      <c r="AD46" s="443"/>
      <c r="AE46" s="443"/>
      <c r="AF46" s="443"/>
      <c r="AG46" s="443"/>
      <c r="AH46" s="443"/>
      <c r="AI46" s="443"/>
      <c r="AJ46" s="443"/>
      <c r="AK46" s="443"/>
      <c r="AL46" s="443"/>
      <c r="AM46" s="443"/>
      <c r="AN46" s="443"/>
      <c r="AO46" s="443"/>
      <c r="AP46" s="443"/>
      <c r="AQ46" s="443"/>
      <c r="AR46" s="443"/>
      <c r="AS46" s="443"/>
      <c r="AT46" s="443"/>
      <c r="AU46" s="443"/>
      <c r="AV46" s="443"/>
      <c r="AW46" s="443"/>
      <c r="AX46" s="443"/>
      <c r="AY46" s="443"/>
      <c r="AZ46" s="443"/>
      <c r="BA46" s="443"/>
      <c r="BB46" s="443"/>
      <c r="BC46" s="443"/>
      <c r="BD46" s="443"/>
      <c r="BE46" s="443"/>
      <c r="BF46" s="443"/>
      <c r="BG46" s="443"/>
      <c r="BH46" s="443"/>
      <c r="BI46" s="443"/>
      <c r="BJ46" s="443"/>
      <c r="BK46" s="443"/>
      <c r="BL46" s="443"/>
      <c r="BM46" s="443"/>
      <c r="BN46" s="443"/>
      <c r="BO46" s="443"/>
      <c r="BP46" s="443"/>
      <c r="BQ46" s="443"/>
      <c r="BR46" s="443"/>
      <c r="BS46" s="443"/>
      <c r="BT46" s="443"/>
      <c r="BU46" s="443"/>
      <c r="BV46" s="443"/>
      <c r="BW46" s="443"/>
      <c r="BX46" s="443"/>
      <c r="BY46" s="443"/>
      <c r="BZ46" s="443"/>
      <c r="CA46" s="443"/>
      <c r="CB46" s="443"/>
      <c r="CC46" s="443"/>
      <c r="CD46" s="443"/>
      <c r="CE46" s="443"/>
      <c r="CF46" s="443"/>
      <c r="CG46" s="443"/>
      <c r="CH46" s="443"/>
      <c r="CI46" s="443"/>
      <c r="CJ46" s="443"/>
      <c r="CK46" s="443"/>
      <c r="CL46" s="443"/>
      <c r="CM46" s="443"/>
      <c r="CN46" s="443"/>
      <c r="CO46" s="443"/>
      <c r="CP46" s="443"/>
      <c r="CQ46" s="443"/>
      <c r="CR46" s="443"/>
      <c r="CS46" s="443"/>
      <c r="CT46" s="443"/>
      <c r="CU46" s="443"/>
      <c r="CV46" s="443"/>
      <c r="CW46" s="443"/>
      <c r="CX46" s="443"/>
      <c r="CY46" s="443"/>
      <c r="CZ46" s="443"/>
      <c r="DA46" s="443"/>
      <c r="DB46" s="443"/>
      <c r="DC46" s="443"/>
      <c r="DD46" s="443"/>
      <c r="DE46" s="443"/>
      <c r="DF46" s="443"/>
      <c r="DG46" s="443"/>
      <c r="DH46" s="443"/>
      <c r="DI46" s="443"/>
      <c r="DJ46" s="443"/>
      <c r="DK46" s="443"/>
      <c r="DL46" s="443"/>
      <c r="DM46" s="443"/>
      <c r="DN46" s="443"/>
      <c r="DO46" s="443"/>
      <c r="DP46" s="443"/>
      <c r="DQ46" s="443"/>
      <c r="DR46" s="443"/>
      <c r="DS46" s="443"/>
      <c r="DT46" s="443"/>
      <c r="DU46" s="443"/>
      <c r="DV46" s="443"/>
      <c r="DW46" s="443"/>
      <c r="DX46" s="443"/>
      <c r="DY46" s="443"/>
      <c r="DZ46" s="443"/>
      <c r="EA46" s="443"/>
      <c r="EB46" s="443"/>
      <c r="EC46" s="443"/>
      <c r="ED46" s="443"/>
      <c r="EE46" s="443"/>
      <c r="EF46" s="443"/>
      <c r="EG46" s="443"/>
      <c r="EH46" s="443"/>
      <c r="EI46" s="443"/>
      <c r="EJ46" s="443"/>
      <c r="EK46" s="443"/>
      <c r="EL46" s="443"/>
      <c r="EM46" s="443"/>
      <c r="EN46" s="443"/>
      <c r="EO46" s="443"/>
      <c r="EP46" s="443"/>
      <c r="EQ46" s="443"/>
      <c r="ER46" s="443"/>
      <c r="ES46" s="443"/>
      <c r="ET46" s="443"/>
      <c r="EU46" s="443"/>
      <c r="EV46" s="443"/>
      <c r="EW46" s="443"/>
      <c r="EX46" s="443"/>
      <c r="EY46" s="443"/>
      <c r="EZ46" s="443"/>
      <c r="FA46" s="443"/>
      <c r="FB46" s="443"/>
      <c r="FC46" s="443"/>
      <c r="FD46" s="443"/>
      <c r="FE46" s="443"/>
      <c r="FF46" s="443"/>
      <c r="FG46" s="443"/>
      <c r="FH46" s="443"/>
      <c r="FI46" s="443"/>
      <c r="FJ46" s="443"/>
      <c r="FK46" s="443"/>
      <c r="FL46" s="443"/>
      <c r="FM46" s="443"/>
      <c r="FN46" s="443"/>
      <c r="FO46" s="443"/>
      <c r="FP46" s="443"/>
      <c r="FQ46" s="443"/>
      <c r="FR46" s="443"/>
      <c r="FS46" s="443"/>
      <c r="FT46" s="443"/>
      <c r="FU46" s="443"/>
      <c r="FV46" s="443"/>
      <c r="FW46" s="443"/>
      <c r="FX46" s="443"/>
      <c r="FY46" s="443"/>
      <c r="FZ46" s="443"/>
      <c r="GA46" s="443"/>
      <c r="GB46" s="443"/>
      <c r="GC46" s="443"/>
      <c r="GD46" s="443"/>
      <c r="GE46" s="443"/>
      <c r="GF46" s="443"/>
      <c r="GG46" s="443"/>
      <c r="GH46" s="443"/>
      <c r="GI46" s="443"/>
      <c r="GJ46" s="443"/>
      <c r="GK46" s="443"/>
      <c r="GL46" s="443"/>
      <c r="GM46" s="443"/>
      <c r="GN46" s="443"/>
      <c r="GO46" s="443"/>
      <c r="GP46" s="443"/>
      <c r="GQ46" s="443"/>
      <c r="GR46" s="443"/>
      <c r="GS46" s="443"/>
      <c r="GT46" s="443"/>
      <c r="GU46" s="443"/>
      <c r="GV46" s="443"/>
      <c r="GW46" s="443"/>
      <c r="GX46" s="443"/>
      <c r="GY46" s="443"/>
      <c r="GZ46" s="443"/>
      <c r="HA46" s="443"/>
      <c r="HB46" s="443"/>
      <c r="HC46" s="443"/>
      <c r="HD46" s="443"/>
      <c r="HE46" s="443"/>
      <c r="HF46" s="443"/>
      <c r="HG46" s="443"/>
      <c r="HH46" s="443"/>
      <c r="HI46" s="443"/>
      <c r="HJ46" s="443"/>
      <c r="HK46" s="443"/>
      <c r="HL46" s="443"/>
      <c r="HM46" s="443"/>
      <c r="HN46" s="443"/>
      <c r="HO46" s="443"/>
      <c r="HP46" s="443"/>
      <c r="HQ46" s="443"/>
      <c r="HR46" s="443"/>
      <c r="HS46" s="443"/>
      <c r="HT46" s="443"/>
      <c r="HU46" s="443"/>
      <c r="HV46" s="443"/>
      <c r="HW46" s="443"/>
      <c r="HX46" s="443"/>
      <c r="HY46" s="443"/>
      <c r="HZ46" s="443"/>
      <c r="IA46" s="443"/>
      <c r="IB46" s="443"/>
      <c r="IC46" s="443"/>
      <c r="ID46" s="443"/>
      <c r="IE46" s="443"/>
      <c r="IF46" s="443"/>
      <c r="IG46" s="443"/>
      <c r="IH46" s="443"/>
      <c r="II46" s="443"/>
      <c r="IJ46" s="443"/>
      <c r="IK46" s="443"/>
      <c r="IL46" s="443"/>
      <c r="IM46" s="443"/>
      <c r="IN46" s="443"/>
      <c r="IO46" s="443"/>
      <c r="IP46" s="443"/>
      <c r="IQ46" s="443"/>
      <c r="IR46" s="443"/>
      <c r="IS46" s="443"/>
      <c r="IT46" s="443"/>
      <c r="IU46" s="443"/>
    </row>
    <row r="47" spans="3:255" ht="18.75" x14ac:dyDescent="0.25">
      <c r="C47" s="519"/>
      <c r="D47" s="477"/>
      <c r="E47" s="477"/>
      <c r="F47" s="481"/>
      <c r="G47" s="817" t="s">
        <v>343</v>
      </c>
      <c r="H47" s="818">
        <v>4.4999999999999998E-2</v>
      </c>
      <c r="I47" s="819">
        <f>ROUND(K47/$F$13,-2)</f>
        <v>603400</v>
      </c>
      <c r="J47" s="819">
        <f>K47/$J$13</f>
        <v>796.02213992357201</v>
      </c>
      <c r="K47" s="820">
        <f>ROUND($K$42/H47,-3)</f>
        <v>102570000</v>
      </c>
      <c r="L47" s="542"/>
      <c r="M47" s="542"/>
      <c r="N47" s="438"/>
    </row>
    <row r="48" spans="3:255" ht="18.75" x14ac:dyDescent="0.25">
      <c r="C48" s="444"/>
      <c r="D48" s="477"/>
      <c r="E48" s="477"/>
      <c r="F48" s="481"/>
      <c r="G48" s="547" t="s">
        <v>343</v>
      </c>
      <c r="H48" s="548">
        <v>4.7500000000000001E-2</v>
      </c>
      <c r="I48" s="549">
        <f>ROUND(K48/$F$13,-2)</f>
        <v>571600</v>
      </c>
      <c r="J48" s="549">
        <f>K48/$J$13</f>
        <v>754.12950551480287</v>
      </c>
      <c r="K48" s="550">
        <f>ROUND($K$42/H48,-3)</f>
        <v>97172000</v>
      </c>
      <c r="L48" s="542"/>
      <c r="M48" s="542"/>
      <c r="N48" s="438"/>
    </row>
    <row r="49" spans="3:249" ht="18.75" x14ac:dyDescent="0.25">
      <c r="C49" s="438"/>
      <c r="D49" s="477"/>
      <c r="F49" s="481"/>
      <c r="G49" s="497"/>
      <c r="H49" s="552"/>
      <c r="I49" s="553"/>
      <c r="J49" s="553"/>
      <c r="K49" s="554"/>
      <c r="L49" s="542"/>
      <c r="M49" s="542"/>
      <c r="N49" s="438"/>
    </row>
    <row r="50" spans="3:249" ht="18" hidden="1" x14ac:dyDescent="0.25">
      <c r="C50" s="438"/>
      <c r="D50" s="478"/>
      <c r="E50" s="478"/>
      <c r="F50" s="479"/>
      <c r="G50" s="555"/>
      <c r="H50" s="555"/>
      <c r="I50" s="556"/>
      <c r="J50" s="556"/>
      <c r="K50" s="438"/>
      <c r="L50" s="542"/>
      <c r="M50" s="542"/>
      <c r="N50" s="438"/>
    </row>
    <row r="51" spans="3:249" ht="18" x14ac:dyDescent="0.25">
      <c r="C51" s="438"/>
      <c r="D51" s="557"/>
      <c r="E51" s="558" t="s">
        <v>537</v>
      </c>
      <c r="F51" s="558"/>
      <c r="G51" s="525"/>
      <c r="H51" s="525"/>
      <c r="I51" s="559"/>
      <c r="J51" s="560"/>
      <c r="K51" s="438"/>
      <c r="L51" s="519"/>
      <c r="M51" s="542"/>
      <c r="N51" s="438"/>
    </row>
    <row r="52" spans="3:249" ht="18" x14ac:dyDescent="0.25">
      <c r="C52" s="438"/>
      <c r="D52" s="561"/>
      <c r="E52" s="526" t="s">
        <v>344</v>
      </c>
      <c r="F52" s="525"/>
      <c r="G52" s="439"/>
      <c r="H52" s="439"/>
      <c r="I52" s="562"/>
      <c r="J52" s="563"/>
      <c r="K52" s="438"/>
      <c r="L52" s="564"/>
      <c r="M52" s="542"/>
      <c r="N52" s="438"/>
    </row>
    <row r="53" spans="3:249" ht="18" x14ac:dyDescent="0.25">
      <c r="C53" s="438"/>
      <c r="D53" s="478"/>
      <c r="E53" s="565"/>
      <c r="F53" s="439"/>
      <c r="G53" s="480"/>
      <c r="H53" s="480"/>
      <c r="I53" s="480"/>
      <c r="J53" s="480"/>
      <c r="K53" s="438"/>
      <c r="L53" s="519"/>
      <c r="M53" s="519"/>
      <c r="N53" s="519"/>
      <c r="O53" s="528"/>
      <c r="P53" s="528"/>
      <c r="Q53" s="528"/>
      <c r="R53" s="528"/>
      <c r="S53" s="528"/>
      <c r="T53" s="528"/>
      <c r="U53" s="528"/>
      <c r="V53" s="528"/>
      <c r="W53" s="528"/>
      <c r="X53" s="528"/>
      <c r="Y53" s="528"/>
      <c r="Z53" s="528"/>
      <c r="AA53" s="528"/>
      <c r="AB53" s="528"/>
      <c r="AC53" s="528"/>
      <c r="AD53" s="528"/>
      <c r="AE53" s="528"/>
      <c r="AF53" s="528"/>
      <c r="AG53" s="528"/>
      <c r="AH53" s="528"/>
      <c r="AI53" s="528"/>
      <c r="AJ53" s="528"/>
      <c r="AK53" s="528"/>
      <c r="AL53" s="528"/>
      <c r="AM53" s="528"/>
      <c r="AN53" s="528"/>
      <c r="AO53" s="528"/>
      <c r="AP53" s="528"/>
      <c r="AQ53" s="528"/>
      <c r="AR53" s="528"/>
      <c r="AS53" s="528"/>
      <c r="AT53" s="528"/>
      <c r="AU53" s="528"/>
      <c r="AV53" s="528"/>
      <c r="AW53" s="528"/>
      <c r="AX53" s="528"/>
      <c r="AY53" s="528"/>
      <c r="AZ53" s="528"/>
      <c r="BA53" s="528"/>
      <c r="BB53" s="528"/>
      <c r="BC53" s="528"/>
      <c r="BD53" s="528"/>
      <c r="BE53" s="528"/>
      <c r="BF53" s="528"/>
      <c r="BG53" s="528"/>
      <c r="BH53" s="528"/>
      <c r="BI53" s="528"/>
      <c r="BJ53" s="528"/>
      <c r="BK53" s="528"/>
      <c r="BL53" s="528"/>
      <c r="BM53" s="528"/>
      <c r="BN53" s="528"/>
      <c r="BO53" s="528"/>
      <c r="BP53" s="528"/>
      <c r="BQ53" s="528"/>
      <c r="BR53" s="528"/>
      <c r="BS53" s="528"/>
      <c r="BT53" s="528"/>
      <c r="BU53" s="528"/>
      <c r="BV53" s="528"/>
      <c r="BW53" s="528"/>
      <c r="BX53" s="528"/>
      <c r="BY53" s="528"/>
      <c r="BZ53" s="528"/>
      <c r="CA53" s="528"/>
      <c r="CB53" s="528"/>
      <c r="CC53" s="528"/>
      <c r="CD53" s="528"/>
      <c r="CE53" s="528"/>
      <c r="CF53" s="528"/>
      <c r="CG53" s="528"/>
      <c r="CH53" s="528"/>
      <c r="CI53" s="528"/>
      <c r="CJ53" s="528"/>
      <c r="CK53" s="528"/>
      <c r="CL53" s="528"/>
      <c r="CM53" s="528"/>
      <c r="CN53" s="528"/>
      <c r="CO53" s="528"/>
      <c r="CP53" s="528"/>
      <c r="CQ53" s="528"/>
      <c r="CR53" s="528"/>
      <c r="CS53" s="528"/>
      <c r="CT53" s="528"/>
      <c r="CU53" s="528"/>
      <c r="CV53" s="528"/>
      <c r="CW53" s="528"/>
      <c r="CX53" s="528"/>
      <c r="CY53" s="528"/>
      <c r="CZ53" s="528"/>
      <c r="DA53" s="528"/>
      <c r="DB53" s="528"/>
      <c r="DC53" s="528"/>
      <c r="DD53" s="528"/>
      <c r="DE53" s="528"/>
      <c r="DF53" s="528"/>
      <c r="DG53" s="528"/>
      <c r="DH53" s="528"/>
      <c r="DI53" s="528"/>
      <c r="DJ53" s="528"/>
      <c r="DK53" s="528"/>
      <c r="DL53" s="528"/>
      <c r="DM53" s="528"/>
      <c r="DN53" s="528"/>
      <c r="DO53" s="528"/>
      <c r="DP53" s="528"/>
      <c r="DQ53" s="528"/>
      <c r="DR53" s="528"/>
      <c r="DS53" s="528"/>
      <c r="DT53" s="528"/>
      <c r="DU53" s="528"/>
      <c r="DV53" s="528"/>
      <c r="DW53" s="528"/>
      <c r="DX53" s="528"/>
      <c r="DY53" s="528"/>
      <c r="DZ53" s="528"/>
      <c r="EA53" s="528"/>
      <c r="EB53" s="528"/>
      <c r="EC53" s="528"/>
      <c r="ED53" s="528"/>
      <c r="EE53" s="528"/>
      <c r="EF53" s="528"/>
      <c r="EG53" s="528"/>
      <c r="EH53" s="528"/>
      <c r="EI53" s="528"/>
      <c r="EJ53" s="528"/>
      <c r="EK53" s="528"/>
      <c r="EL53" s="528"/>
      <c r="EM53" s="528"/>
      <c r="EN53" s="528"/>
      <c r="EO53" s="528"/>
      <c r="EP53" s="528"/>
      <c r="EQ53" s="528"/>
      <c r="ER53" s="528"/>
      <c r="ES53" s="528"/>
      <c r="ET53" s="528"/>
      <c r="EU53" s="528"/>
      <c r="EV53" s="528"/>
      <c r="EW53" s="528"/>
      <c r="EX53" s="528"/>
      <c r="EY53" s="528"/>
      <c r="EZ53" s="528"/>
      <c r="FA53" s="528"/>
      <c r="FB53" s="528"/>
      <c r="FC53" s="528"/>
      <c r="FD53" s="528"/>
      <c r="FE53" s="528"/>
      <c r="FF53" s="528"/>
      <c r="FG53" s="528"/>
      <c r="FH53" s="528"/>
      <c r="FI53" s="528"/>
      <c r="FJ53" s="528"/>
      <c r="FK53" s="528"/>
      <c r="FL53" s="528"/>
      <c r="FM53" s="528"/>
      <c r="FN53" s="528"/>
      <c r="FO53" s="528"/>
      <c r="FP53" s="528"/>
      <c r="FQ53" s="528"/>
      <c r="FR53" s="528"/>
      <c r="FS53" s="528"/>
      <c r="FT53" s="528"/>
      <c r="FU53" s="528"/>
      <c r="FV53" s="528"/>
      <c r="FW53" s="528"/>
      <c r="FX53" s="528"/>
      <c r="FY53" s="528"/>
      <c r="FZ53" s="528"/>
      <c r="GA53" s="528"/>
      <c r="GB53" s="528"/>
      <c r="GC53" s="528"/>
      <c r="GD53" s="528"/>
      <c r="GE53" s="528"/>
      <c r="GF53" s="528"/>
      <c r="GG53" s="528"/>
      <c r="GH53" s="528"/>
      <c r="GI53" s="528"/>
      <c r="GJ53" s="528"/>
      <c r="GK53" s="528"/>
      <c r="GL53" s="528"/>
      <c r="GM53" s="528"/>
      <c r="GN53" s="528"/>
      <c r="GO53" s="528"/>
      <c r="GP53" s="528"/>
      <c r="GQ53" s="528"/>
      <c r="GR53" s="528"/>
      <c r="GS53" s="528"/>
      <c r="GT53" s="528"/>
      <c r="GU53" s="528"/>
      <c r="GV53" s="528"/>
      <c r="GW53" s="528"/>
      <c r="GX53" s="528"/>
      <c r="GY53" s="528"/>
      <c r="GZ53" s="528"/>
      <c r="HA53" s="528"/>
      <c r="HB53" s="528"/>
      <c r="HC53" s="528"/>
      <c r="HD53" s="528"/>
      <c r="HE53" s="528"/>
      <c r="HF53" s="528"/>
      <c r="HG53" s="528"/>
      <c r="HH53" s="528"/>
      <c r="HI53" s="528"/>
      <c r="HJ53" s="528"/>
      <c r="HK53" s="528"/>
      <c r="HL53" s="528"/>
      <c r="HM53" s="528"/>
      <c r="HN53" s="528"/>
      <c r="HO53" s="528"/>
      <c r="HP53" s="528"/>
      <c r="HQ53" s="528"/>
      <c r="HR53" s="528"/>
      <c r="HS53" s="528"/>
      <c r="HT53" s="528"/>
      <c r="HU53" s="528"/>
      <c r="HV53" s="528"/>
      <c r="HW53" s="528"/>
      <c r="HX53" s="528"/>
      <c r="HY53" s="528"/>
      <c r="HZ53" s="528"/>
      <c r="IA53" s="528"/>
      <c r="IB53" s="528"/>
      <c r="IC53" s="528"/>
      <c r="ID53" s="528"/>
      <c r="IE53" s="528"/>
      <c r="IF53" s="528"/>
      <c r="IG53" s="528"/>
      <c r="IH53" s="528"/>
      <c r="II53" s="528"/>
      <c r="IJ53" s="528"/>
      <c r="IK53" s="528"/>
      <c r="IL53" s="528"/>
      <c r="IM53" s="528"/>
      <c r="IN53" s="528"/>
      <c r="IO53" s="528"/>
    </row>
    <row r="54" spans="3:249" ht="18" x14ac:dyDescent="0.25">
      <c r="C54" s="438"/>
      <c r="D54" s="478"/>
      <c r="E54" s="565"/>
      <c r="F54" s="439"/>
      <c r="G54" s="480"/>
      <c r="H54" s="480"/>
      <c r="I54" s="480"/>
      <c r="J54" s="480"/>
      <c r="K54" s="438"/>
      <c r="L54" s="519"/>
      <c r="M54" s="519"/>
      <c r="N54" s="519"/>
      <c r="O54" s="528"/>
      <c r="P54" s="528"/>
      <c r="Q54" s="528"/>
      <c r="R54" s="528"/>
      <c r="S54" s="528"/>
      <c r="T54" s="528"/>
      <c r="U54" s="528"/>
      <c r="V54" s="528"/>
      <c r="W54" s="528"/>
      <c r="X54" s="528"/>
      <c r="Y54" s="528"/>
      <c r="Z54" s="528"/>
      <c r="AA54" s="528"/>
      <c r="AB54" s="528"/>
      <c r="AC54" s="528"/>
      <c r="AD54" s="528"/>
      <c r="AE54" s="528"/>
      <c r="AF54" s="528"/>
      <c r="AG54" s="528"/>
      <c r="AH54" s="528"/>
      <c r="AI54" s="528"/>
      <c r="AJ54" s="528"/>
      <c r="AK54" s="528"/>
      <c r="AL54" s="528"/>
      <c r="AM54" s="528"/>
      <c r="AN54" s="528"/>
      <c r="AO54" s="528"/>
      <c r="AP54" s="528"/>
      <c r="AQ54" s="528"/>
      <c r="AR54" s="528"/>
      <c r="AS54" s="528"/>
      <c r="AT54" s="528"/>
      <c r="AU54" s="528"/>
      <c r="AV54" s="528"/>
      <c r="AW54" s="528"/>
      <c r="AX54" s="528"/>
      <c r="AY54" s="528"/>
      <c r="AZ54" s="528"/>
      <c r="BA54" s="528"/>
      <c r="BB54" s="528"/>
      <c r="BC54" s="528"/>
      <c r="BD54" s="528"/>
      <c r="BE54" s="528"/>
      <c r="BF54" s="528"/>
      <c r="BG54" s="528"/>
      <c r="BH54" s="528"/>
      <c r="BI54" s="528"/>
      <c r="BJ54" s="528"/>
      <c r="BK54" s="528"/>
      <c r="BL54" s="528"/>
      <c r="BM54" s="528"/>
      <c r="BN54" s="528"/>
      <c r="BO54" s="528"/>
      <c r="BP54" s="528"/>
      <c r="BQ54" s="528"/>
      <c r="BR54" s="528"/>
      <c r="BS54" s="528"/>
      <c r="BT54" s="528"/>
      <c r="BU54" s="528"/>
      <c r="BV54" s="528"/>
      <c r="BW54" s="528"/>
      <c r="BX54" s="528"/>
      <c r="BY54" s="528"/>
      <c r="BZ54" s="528"/>
      <c r="CA54" s="528"/>
      <c r="CB54" s="528"/>
      <c r="CC54" s="528"/>
      <c r="CD54" s="528"/>
      <c r="CE54" s="528"/>
      <c r="CF54" s="528"/>
      <c r="CG54" s="528"/>
      <c r="CH54" s="528"/>
      <c r="CI54" s="528"/>
      <c r="CJ54" s="528"/>
      <c r="CK54" s="528"/>
      <c r="CL54" s="528"/>
      <c r="CM54" s="528"/>
      <c r="CN54" s="528"/>
      <c r="CO54" s="528"/>
      <c r="CP54" s="528"/>
      <c r="CQ54" s="528"/>
      <c r="CR54" s="528"/>
      <c r="CS54" s="528"/>
      <c r="CT54" s="528"/>
      <c r="CU54" s="528"/>
      <c r="CV54" s="528"/>
      <c r="CW54" s="528"/>
      <c r="CX54" s="528"/>
      <c r="CY54" s="528"/>
      <c r="CZ54" s="528"/>
      <c r="DA54" s="528"/>
      <c r="DB54" s="528"/>
      <c r="DC54" s="528"/>
      <c r="DD54" s="528"/>
      <c r="DE54" s="528"/>
      <c r="DF54" s="528"/>
      <c r="DG54" s="528"/>
      <c r="DH54" s="528"/>
      <c r="DI54" s="528"/>
      <c r="DJ54" s="528"/>
      <c r="DK54" s="528"/>
      <c r="DL54" s="528"/>
      <c r="DM54" s="528"/>
      <c r="DN54" s="528"/>
      <c r="DO54" s="528"/>
      <c r="DP54" s="528"/>
      <c r="DQ54" s="528"/>
      <c r="DR54" s="528"/>
      <c r="DS54" s="528"/>
      <c r="DT54" s="528"/>
      <c r="DU54" s="528"/>
      <c r="DV54" s="528"/>
      <c r="DW54" s="528"/>
      <c r="DX54" s="528"/>
      <c r="DY54" s="528"/>
      <c r="DZ54" s="528"/>
      <c r="EA54" s="528"/>
      <c r="EB54" s="528"/>
      <c r="EC54" s="528"/>
      <c r="ED54" s="528"/>
      <c r="EE54" s="528"/>
      <c r="EF54" s="528"/>
      <c r="EG54" s="528"/>
      <c r="EH54" s="528"/>
      <c r="EI54" s="528"/>
      <c r="EJ54" s="528"/>
      <c r="EK54" s="528"/>
      <c r="EL54" s="528"/>
      <c r="EM54" s="528"/>
      <c r="EN54" s="528"/>
      <c r="EO54" s="528"/>
      <c r="EP54" s="528"/>
      <c r="EQ54" s="528"/>
      <c r="ER54" s="528"/>
      <c r="ES54" s="528"/>
      <c r="ET54" s="528"/>
      <c r="EU54" s="528"/>
      <c r="EV54" s="528"/>
      <c r="EW54" s="528"/>
      <c r="EX54" s="528"/>
      <c r="EY54" s="528"/>
      <c r="EZ54" s="528"/>
      <c r="FA54" s="528"/>
      <c r="FB54" s="528"/>
      <c r="FC54" s="528"/>
      <c r="FD54" s="528"/>
      <c r="FE54" s="528"/>
      <c r="FF54" s="528"/>
      <c r="FG54" s="528"/>
      <c r="FH54" s="528"/>
      <c r="FI54" s="528"/>
      <c r="FJ54" s="528"/>
      <c r="FK54" s="528"/>
      <c r="FL54" s="528"/>
      <c r="FM54" s="528"/>
      <c r="FN54" s="528"/>
      <c r="FO54" s="528"/>
      <c r="FP54" s="528"/>
      <c r="FQ54" s="528"/>
      <c r="FR54" s="528"/>
      <c r="FS54" s="528"/>
      <c r="FT54" s="528"/>
      <c r="FU54" s="528"/>
      <c r="FV54" s="528"/>
      <c r="FW54" s="528"/>
      <c r="FX54" s="528"/>
      <c r="FY54" s="528"/>
      <c r="FZ54" s="528"/>
      <c r="GA54" s="528"/>
      <c r="GB54" s="528"/>
      <c r="GC54" s="528"/>
      <c r="GD54" s="528"/>
      <c r="GE54" s="528"/>
      <c r="GF54" s="528"/>
      <c r="GG54" s="528"/>
      <c r="GH54" s="528"/>
      <c r="GI54" s="528"/>
      <c r="GJ54" s="528"/>
      <c r="GK54" s="528"/>
      <c r="GL54" s="528"/>
      <c r="GM54" s="528"/>
      <c r="GN54" s="528"/>
      <c r="GO54" s="528"/>
      <c r="GP54" s="528"/>
      <c r="GQ54" s="528"/>
      <c r="GR54" s="528"/>
      <c r="GS54" s="528"/>
      <c r="GT54" s="528"/>
      <c r="GU54" s="528"/>
      <c r="GV54" s="528"/>
      <c r="GW54" s="528"/>
      <c r="GX54" s="528"/>
      <c r="GY54" s="528"/>
      <c r="GZ54" s="528"/>
      <c r="HA54" s="528"/>
      <c r="HB54" s="528"/>
      <c r="HC54" s="528"/>
      <c r="HD54" s="528"/>
      <c r="HE54" s="528"/>
      <c r="HF54" s="528"/>
      <c r="HG54" s="528"/>
      <c r="HH54" s="528"/>
      <c r="HI54" s="528"/>
      <c r="HJ54" s="528"/>
      <c r="HK54" s="528"/>
      <c r="HL54" s="528"/>
      <c r="HM54" s="528"/>
      <c r="HN54" s="528"/>
      <c r="HO54" s="528"/>
      <c r="HP54" s="528"/>
      <c r="HQ54" s="528"/>
      <c r="HR54" s="528"/>
      <c r="HS54" s="528"/>
      <c r="HT54" s="528"/>
      <c r="HU54" s="528"/>
      <c r="HV54" s="528"/>
      <c r="HW54" s="528"/>
      <c r="HX54" s="528"/>
      <c r="HY54" s="528"/>
      <c r="HZ54" s="528"/>
      <c r="IA54" s="528"/>
      <c r="IB54" s="528"/>
      <c r="IC54" s="528"/>
      <c r="ID54" s="528"/>
      <c r="IE54" s="528"/>
      <c r="IF54" s="528"/>
      <c r="IG54" s="528"/>
      <c r="IH54" s="528"/>
      <c r="II54" s="528"/>
      <c r="IJ54" s="528"/>
      <c r="IK54" s="528"/>
      <c r="IL54" s="528"/>
      <c r="IM54" s="528"/>
      <c r="IN54" s="528"/>
      <c r="IO54" s="528"/>
    </row>
    <row r="55" spans="3:249" ht="18" x14ac:dyDescent="0.25">
      <c r="C55" s="438"/>
      <c r="D55" s="478"/>
      <c r="E55" s="565"/>
      <c r="F55" s="439"/>
      <c r="G55" s="480"/>
      <c r="H55" s="480"/>
      <c r="I55" s="480"/>
      <c r="J55" s="480"/>
      <c r="K55" s="438"/>
      <c r="L55" s="519"/>
      <c r="M55" s="519"/>
      <c r="N55" s="519"/>
      <c r="O55" s="528"/>
      <c r="P55" s="528"/>
      <c r="Q55" s="528"/>
      <c r="R55" s="528"/>
      <c r="S55" s="528"/>
      <c r="T55" s="528"/>
      <c r="U55" s="528"/>
      <c r="V55" s="528"/>
      <c r="W55" s="528"/>
      <c r="X55" s="528"/>
      <c r="Y55" s="528"/>
      <c r="Z55" s="528"/>
      <c r="AA55" s="528"/>
      <c r="AB55" s="528"/>
      <c r="AC55" s="528"/>
      <c r="AD55" s="528"/>
      <c r="AE55" s="528"/>
      <c r="AF55" s="528"/>
      <c r="AG55" s="528"/>
      <c r="AH55" s="528"/>
      <c r="AI55" s="528"/>
      <c r="AJ55" s="528"/>
      <c r="AK55" s="528"/>
      <c r="AL55" s="528"/>
      <c r="AM55" s="528"/>
      <c r="AN55" s="528"/>
      <c r="AO55" s="528"/>
      <c r="AP55" s="528"/>
      <c r="AQ55" s="528"/>
      <c r="AR55" s="528"/>
      <c r="AS55" s="528"/>
      <c r="AT55" s="528"/>
      <c r="AU55" s="528"/>
      <c r="AV55" s="528"/>
      <c r="AW55" s="528"/>
      <c r="AX55" s="528"/>
      <c r="AY55" s="528"/>
      <c r="AZ55" s="528"/>
      <c r="BA55" s="528"/>
      <c r="BB55" s="528"/>
      <c r="BC55" s="528"/>
      <c r="BD55" s="528"/>
      <c r="BE55" s="528"/>
      <c r="BF55" s="528"/>
      <c r="BG55" s="528"/>
      <c r="BH55" s="528"/>
      <c r="BI55" s="528"/>
      <c r="BJ55" s="528"/>
      <c r="BK55" s="528"/>
      <c r="BL55" s="528"/>
      <c r="BM55" s="528"/>
      <c r="BN55" s="528"/>
      <c r="BO55" s="528"/>
      <c r="BP55" s="528"/>
      <c r="BQ55" s="528"/>
      <c r="BR55" s="528"/>
      <c r="BS55" s="528"/>
      <c r="BT55" s="528"/>
      <c r="BU55" s="528"/>
      <c r="BV55" s="528"/>
      <c r="BW55" s="528"/>
      <c r="BX55" s="528"/>
      <c r="BY55" s="528"/>
      <c r="BZ55" s="528"/>
      <c r="CA55" s="528"/>
      <c r="CB55" s="528"/>
      <c r="CC55" s="528"/>
      <c r="CD55" s="528"/>
      <c r="CE55" s="528"/>
      <c r="CF55" s="528"/>
      <c r="CG55" s="528"/>
      <c r="CH55" s="528"/>
      <c r="CI55" s="528"/>
      <c r="CJ55" s="528"/>
      <c r="CK55" s="528"/>
      <c r="CL55" s="528"/>
      <c r="CM55" s="528"/>
      <c r="CN55" s="528"/>
      <c r="CO55" s="528"/>
      <c r="CP55" s="528"/>
      <c r="CQ55" s="528"/>
      <c r="CR55" s="528"/>
      <c r="CS55" s="528"/>
      <c r="CT55" s="528"/>
      <c r="CU55" s="528"/>
      <c r="CV55" s="528"/>
      <c r="CW55" s="528"/>
      <c r="CX55" s="528"/>
      <c r="CY55" s="528"/>
      <c r="CZ55" s="528"/>
      <c r="DA55" s="528"/>
      <c r="DB55" s="528"/>
      <c r="DC55" s="528"/>
      <c r="DD55" s="528"/>
      <c r="DE55" s="528"/>
      <c r="DF55" s="528"/>
      <c r="DG55" s="528"/>
      <c r="DH55" s="528"/>
      <c r="DI55" s="528"/>
      <c r="DJ55" s="528"/>
      <c r="DK55" s="528"/>
      <c r="DL55" s="528"/>
      <c r="DM55" s="528"/>
      <c r="DN55" s="528"/>
      <c r="DO55" s="528"/>
      <c r="DP55" s="528"/>
      <c r="DQ55" s="528"/>
      <c r="DR55" s="528"/>
      <c r="DS55" s="528"/>
      <c r="DT55" s="528"/>
      <c r="DU55" s="528"/>
      <c r="DV55" s="528"/>
      <c r="DW55" s="528"/>
      <c r="DX55" s="528"/>
      <c r="DY55" s="528"/>
      <c r="DZ55" s="528"/>
      <c r="EA55" s="528"/>
      <c r="EB55" s="528"/>
      <c r="EC55" s="528"/>
      <c r="ED55" s="528"/>
      <c r="EE55" s="528"/>
      <c r="EF55" s="528"/>
      <c r="EG55" s="528"/>
      <c r="EH55" s="528"/>
      <c r="EI55" s="528"/>
      <c r="EJ55" s="528"/>
      <c r="EK55" s="528"/>
      <c r="EL55" s="528"/>
      <c r="EM55" s="528"/>
      <c r="EN55" s="528"/>
      <c r="EO55" s="528"/>
      <c r="EP55" s="528"/>
      <c r="EQ55" s="528"/>
      <c r="ER55" s="528"/>
      <c r="ES55" s="528"/>
      <c r="ET55" s="528"/>
      <c r="EU55" s="528"/>
      <c r="EV55" s="528"/>
      <c r="EW55" s="528"/>
      <c r="EX55" s="528"/>
      <c r="EY55" s="528"/>
      <c r="EZ55" s="528"/>
      <c r="FA55" s="528"/>
      <c r="FB55" s="528"/>
      <c r="FC55" s="528"/>
      <c r="FD55" s="528"/>
      <c r="FE55" s="528"/>
      <c r="FF55" s="528"/>
      <c r="FG55" s="528"/>
      <c r="FH55" s="528"/>
      <c r="FI55" s="528"/>
      <c r="FJ55" s="528"/>
      <c r="FK55" s="528"/>
      <c r="FL55" s="528"/>
      <c r="FM55" s="528"/>
      <c r="FN55" s="528"/>
      <c r="FO55" s="528"/>
      <c r="FP55" s="528"/>
      <c r="FQ55" s="528"/>
      <c r="FR55" s="528"/>
      <c r="FS55" s="528"/>
      <c r="FT55" s="528"/>
      <c r="FU55" s="528"/>
      <c r="FV55" s="528"/>
      <c r="FW55" s="528"/>
      <c r="FX55" s="528"/>
      <c r="FY55" s="528"/>
      <c r="FZ55" s="528"/>
      <c r="GA55" s="528"/>
      <c r="GB55" s="528"/>
      <c r="GC55" s="528"/>
      <c r="GD55" s="528"/>
      <c r="GE55" s="528"/>
      <c r="GF55" s="528"/>
      <c r="GG55" s="528"/>
      <c r="GH55" s="528"/>
      <c r="GI55" s="528"/>
      <c r="GJ55" s="528"/>
      <c r="GK55" s="528"/>
      <c r="GL55" s="528"/>
      <c r="GM55" s="528"/>
      <c r="GN55" s="528"/>
      <c r="GO55" s="528"/>
      <c r="GP55" s="528"/>
      <c r="GQ55" s="528"/>
      <c r="GR55" s="528"/>
      <c r="GS55" s="528"/>
      <c r="GT55" s="528"/>
      <c r="GU55" s="528"/>
      <c r="GV55" s="528"/>
      <c r="GW55" s="528"/>
      <c r="GX55" s="528"/>
      <c r="GY55" s="528"/>
      <c r="GZ55" s="528"/>
      <c r="HA55" s="528"/>
      <c r="HB55" s="528"/>
      <c r="HC55" s="528"/>
      <c r="HD55" s="528"/>
      <c r="HE55" s="528"/>
      <c r="HF55" s="528"/>
      <c r="HG55" s="528"/>
      <c r="HH55" s="528"/>
      <c r="HI55" s="528"/>
      <c r="HJ55" s="528"/>
      <c r="HK55" s="528"/>
      <c r="HL55" s="528"/>
      <c r="HM55" s="528"/>
      <c r="HN55" s="528"/>
      <c r="HO55" s="528"/>
      <c r="HP55" s="528"/>
      <c r="HQ55" s="528"/>
      <c r="HR55" s="528"/>
      <c r="HS55" s="528"/>
      <c r="HT55" s="528"/>
      <c r="HU55" s="528"/>
      <c r="HV55" s="528"/>
      <c r="HW55" s="528"/>
      <c r="HX55" s="528"/>
      <c r="HY55" s="528"/>
      <c r="HZ55" s="528"/>
      <c r="IA55" s="528"/>
      <c r="IB55" s="528"/>
      <c r="IC55" s="528"/>
      <c r="ID55" s="528"/>
      <c r="IE55" s="528"/>
      <c r="IF55" s="528"/>
      <c r="IG55" s="528"/>
      <c r="IH55" s="528"/>
      <c r="II55" s="528"/>
      <c r="IJ55" s="528"/>
      <c r="IK55" s="528"/>
      <c r="IL55" s="528"/>
      <c r="IM55" s="528"/>
      <c r="IN55" s="528"/>
      <c r="IO55" s="528"/>
    </row>
    <row r="56" spans="3:249" ht="18" x14ac:dyDescent="0.25">
      <c r="C56" s="438"/>
      <c r="D56" s="478"/>
      <c r="E56" s="565"/>
      <c r="F56" s="439"/>
      <c r="G56" s="480"/>
      <c r="H56" s="480"/>
      <c r="I56" s="480"/>
      <c r="J56" s="480"/>
      <c r="K56" s="438"/>
      <c r="L56" s="519"/>
      <c r="M56" s="519"/>
      <c r="N56" s="519"/>
      <c r="O56" s="528"/>
      <c r="P56" s="528"/>
      <c r="Q56" s="528"/>
      <c r="R56" s="528"/>
      <c r="S56" s="528"/>
      <c r="T56" s="528"/>
      <c r="U56" s="528"/>
      <c r="V56" s="528"/>
      <c r="W56" s="528"/>
      <c r="X56" s="528"/>
      <c r="Y56" s="528"/>
      <c r="Z56" s="528"/>
      <c r="AA56" s="528"/>
      <c r="AB56" s="528"/>
      <c r="AC56" s="528"/>
      <c r="AD56" s="528"/>
      <c r="AE56" s="528"/>
      <c r="AF56" s="528"/>
      <c r="AG56" s="528"/>
      <c r="AH56" s="528"/>
      <c r="AI56" s="528"/>
      <c r="AJ56" s="528"/>
      <c r="AK56" s="528"/>
      <c r="AL56" s="528"/>
      <c r="AM56" s="528"/>
      <c r="AN56" s="528"/>
      <c r="AO56" s="528"/>
      <c r="AP56" s="528"/>
      <c r="AQ56" s="528"/>
      <c r="AR56" s="528"/>
      <c r="AS56" s="528"/>
      <c r="AT56" s="528"/>
      <c r="AU56" s="528"/>
      <c r="AV56" s="528"/>
      <c r="AW56" s="528"/>
      <c r="AX56" s="528"/>
      <c r="AY56" s="528"/>
      <c r="AZ56" s="528"/>
      <c r="BA56" s="528"/>
      <c r="BB56" s="528"/>
      <c r="BC56" s="528"/>
      <c r="BD56" s="528"/>
      <c r="BE56" s="528"/>
      <c r="BF56" s="528"/>
      <c r="BG56" s="528"/>
      <c r="BH56" s="528"/>
      <c r="BI56" s="528"/>
      <c r="BJ56" s="528"/>
      <c r="BK56" s="528"/>
      <c r="BL56" s="528"/>
      <c r="BM56" s="528"/>
      <c r="BN56" s="528"/>
      <c r="BO56" s="528"/>
      <c r="BP56" s="528"/>
      <c r="BQ56" s="528"/>
      <c r="BR56" s="528"/>
      <c r="BS56" s="528"/>
      <c r="BT56" s="528"/>
      <c r="BU56" s="528"/>
      <c r="BV56" s="528"/>
      <c r="BW56" s="528"/>
      <c r="BX56" s="528"/>
      <c r="BY56" s="528"/>
      <c r="BZ56" s="528"/>
      <c r="CA56" s="528"/>
      <c r="CB56" s="528"/>
      <c r="CC56" s="528"/>
      <c r="CD56" s="528"/>
      <c r="CE56" s="528"/>
      <c r="CF56" s="528"/>
      <c r="CG56" s="528"/>
      <c r="CH56" s="528"/>
      <c r="CI56" s="528"/>
      <c r="CJ56" s="528"/>
      <c r="CK56" s="528"/>
      <c r="CL56" s="528"/>
      <c r="CM56" s="528"/>
      <c r="CN56" s="528"/>
      <c r="CO56" s="528"/>
      <c r="CP56" s="528"/>
      <c r="CQ56" s="528"/>
      <c r="CR56" s="528"/>
      <c r="CS56" s="528"/>
      <c r="CT56" s="528"/>
      <c r="CU56" s="528"/>
      <c r="CV56" s="528"/>
      <c r="CW56" s="528"/>
      <c r="CX56" s="528"/>
      <c r="CY56" s="528"/>
      <c r="CZ56" s="528"/>
      <c r="DA56" s="528"/>
      <c r="DB56" s="528"/>
      <c r="DC56" s="528"/>
      <c r="DD56" s="528"/>
      <c r="DE56" s="528"/>
      <c r="DF56" s="528"/>
      <c r="DG56" s="528"/>
      <c r="DH56" s="528"/>
      <c r="DI56" s="528"/>
      <c r="DJ56" s="528"/>
      <c r="DK56" s="528"/>
      <c r="DL56" s="528"/>
      <c r="DM56" s="528"/>
      <c r="DN56" s="528"/>
      <c r="DO56" s="528"/>
      <c r="DP56" s="528"/>
      <c r="DQ56" s="528"/>
      <c r="DR56" s="528"/>
      <c r="DS56" s="528"/>
      <c r="DT56" s="528"/>
      <c r="DU56" s="528"/>
      <c r="DV56" s="528"/>
      <c r="DW56" s="528"/>
      <c r="DX56" s="528"/>
      <c r="DY56" s="528"/>
      <c r="DZ56" s="528"/>
      <c r="EA56" s="528"/>
      <c r="EB56" s="528"/>
      <c r="EC56" s="528"/>
      <c r="ED56" s="528"/>
      <c r="EE56" s="528"/>
      <c r="EF56" s="528"/>
      <c r="EG56" s="528"/>
      <c r="EH56" s="528"/>
      <c r="EI56" s="528"/>
      <c r="EJ56" s="528"/>
      <c r="EK56" s="528"/>
      <c r="EL56" s="528"/>
      <c r="EM56" s="528"/>
      <c r="EN56" s="528"/>
      <c r="EO56" s="528"/>
      <c r="EP56" s="528"/>
      <c r="EQ56" s="528"/>
      <c r="ER56" s="528"/>
      <c r="ES56" s="528"/>
      <c r="ET56" s="528"/>
      <c r="EU56" s="528"/>
      <c r="EV56" s="528"/>
      <c r="EW56" s="528"/>
      <c r="EX56" s="528"/>
      <c r="EY56" s="528"/>
      <c r="EZ56" s="528"/>
      <c r="FA56" s="528"/>
      <c r="FB56" s="528"/>
      <c r="FC56" s="528"/>
      <c r="FD56" s="528"/>
      <c r="FE56" s="528"/>
      <c r="FF56" s="528"/>
      <c r="FG56" s="528"/>
      <c r="FH56" s="528"/>
      <c r="FI56" s="528"/>
      <c r="FJ56" s="528"/>
      <c r="FK56" s="528"/>
      <c r="FL56" s="528"/>
      <c r="FM56" s="528"/>
      <c r="FN56" s="528"/>
      <c r="FO56" s="528"/>
      <c r="FP56" s="528"/>
      <c r="FQ56" s="528"/>
      <c r="FR56" s="528"/>
      <c r="FS56" s="528"/>
      <c r="FT56" s="528"/>
      <c r="FU56" s="528"/>
      <c r="FV56" s="528"/>
      <c r="FW56" s="528"/>
      <c r="FX56" s="528"/>
      <c r="FY56" s="528"/>
      <c r="FZ56" s="528"/>
      <c r="GA56" s="528"/>
      <c r="GB56" s="528"/>
      <c r="GC56" s="528"/>
      <c r="GD56" s="528"/>
      <c r="GE56" s="528"/>
      <c r="GF56" s="528"/>
      <c r="GG56" s="528"/>
      <c r="GH56" s="528"/>
      <c r="GI56" s="528"/>
      <c r="GJ56" s="528"/>
      <c r="GK56" s="528"/>
      <c r="GL56" s="528"/>
      <c r="GM56" s="528"/>
      <c r="GN56" s="528"/>
      <c r="GO56" s="528"/>
      <c r="GP56" s="528"/>
      <c r="GQ56" s="528"/>
      <c r="GR56" s="528"/>
      <c r="GS56" s="528"/>
      <c r="GT56" s="528"/>
      <c r="GU56" s="528"/>
      <c r="GV56" s="528"/>
      <c r="GW56" s="528"/>
      <c r="GX56" s="528"/>
      <c r="GY56" s="528"/>
      <c r="GZ56" s="528"/>
      <c r="HA56" s="528"/>
      <c r="HB56" s="528"/>
      <c r="HC56" s="528"/>
      <c r="HD56" s="528"/>
      <c r="HE56" s="528"/>
      <c r="HF56" s="528"/>
      <c r="HG56" s="528"/>
      <c r="HH56" s="528"/>
      <c r="HI56" s="528"/>
      <c r="HJ56" s="528"/>
      <c r="HK56" s="528"/>
      <c r="HL56" s="528"/>
      <c r="HM56" s="528"/>
      <c r="HN56" s="528"/>
      <c r="HO56" s="528"/>
      <c r="HP56" s="528"/>
      <c r="HQ56" s="528"/>
      <c r="HR56" s="528"/>
      <c r="HS56" s="528"/>
      <c r="HT56" s="528"/>
      <c r="HU56" s="528"/>
      <c r="HV56" s="528"/>
      <c r="HW56" s="528"/>
      <c r="HX56" s="528"/>
      <c r="HY56" s="528"/>
      <c r="HZ56" s="528"/>
      <c r="IA56" s="528"/>
      <c r="IB56" s="528"/>
      <c r="IC56" s="528"/>
      <c r="ID56" s="528"/>
      <c r="IE56" s="528"/>
      <c r="IF56" s="528"/>
      <c r="IG56" s="528"/>
      <c r="IH56" s="528"/>
      <c r="II56" s="528"/>
      <c r="IJ56" s="528"/>
      <c r="IK56" s="528"/>
      <c r="IL56" s="528"/>
      <c r="IM56" s="528"/>
      <c r="IN56" s="528"/>
      <c r="IO56" s="528"/>
    </row>
    <row r="57" spans="3:249" ht="18" x14ac:dyDescent="0.25">
      <c r="C57" s="438"/>
      <c r="E57" s="565"/>
      <c r="F57" s="439"/>
      <c r="G57" s="480"/>
      <c r="H57" s="480"/>
      <c r="I57" s="480"/>
      <c r="J57" s="480"/>
      <c r="K57" s="438"/>
      <c r="L57" s="519"/>
      <c r="M57" s="519"/>
      <c r="N57" s="519"/>
      <c r="O57" s="528"/>
      <c r="P57" s="528"/>
      <c r="Q57" s="528"/>
      <c r="R57" s="528"/>
      <c r="S57" s="528"/>
      <c r="T57" s="528"/>
      <c r="U57" s="528"/>
      <c r="V57" s="528"/>
      <c r="W57" s="528"/>
      <c r="X57" s="528"/>
      <c r="Y57" s="528"/>
      <c r="Z57" s="528"/>
      <c r="AA57" s="528"/>
      <c r="AB57" s="528"/>
      <c r="AC57" s="528"/>
      <c r="AD57" s="528"/>
      <c r="AE57" s="528"/>
      <c r="AF57" s="528"/>
      <c r="AG57" s="528"/>
      <c r="AH57" s="528"/>
      <c r="AI57" s="528"/>
      <c r="AJ57" s="528"/>
      <c r="AK57" s="528"/>
      <c r="AL57" s="528"/>
      <c r="AM57" s="528"/>
      <c r="AN57" s="528"/>
      <c r="AO57" s="528"/>
      <c r="AP57" s="528"/>
      <c r="AQ57" s="528"/>
      <c r="AR57" s="528"/>
      <c r="AS57" s="528"/>
      <c r="AT57" s="528"/>
      <c r="AU57" s="528"/>
      <c r="AV57" s="528"/>
      <c r="AW57" s="528"/>
      <c r="AX57" s="528"/>
      <c r="AY57" s="528"/>
      <c r="AZ57" s="528"/>
      <c r="BA57" s="528"/>
      <c r="BB57" s="528"/>
      <c r="BC57" s="528"/>
      <c r="BD57" s="528"/>
      <c r="BE57" s="528"/>
      <c r="BF57" s="528"/>
      <c r="BG57" s="528"/>
      <c r="BH57" s="528"/>
      <c r="BI57" s="528"/>
      <c r="BJ57" s="528"/>
      <c r="BK57" s="528"/>
      <c r="BL57" s="528"/>
      <c r="BM57" s="528"/>
      <c r="BN57" s="528"/>
      <c r="BO57" s="528"/>
      <c r="BP57" s="528"/>
      <c r="BQ57" s="528"/>
      <c r="BR57" s="528"/>
      <c r="BS57" s="528"/>
      <c r="BT57" s="528"/>
      <c r="BU57" s="528"/>
      <c r="BV57" s="528"/>
      <c r="BW57" s="528"/>
      <c r="BX57" s="528"/>
      <c r="BY57" s="528"/>
      <c r="BZ57" s="528"/>
      <c r="CA57" s="528"/>
      <c r="CB57" s="528"/>
      <c r="CC57" s="528"/>
      <c r="CD57" s="528"/>
      <c r="CE57" s="528"/>
      <c r="CF57" s="528"/>
      <c r="CG57" s="528"/>
      <c r="CH57" s="528"/>
      <c r="CI57" s="528"/>
      <c r="CJ57" s="528"/>
      <c r="CK57" s="528"/>
      <c r="CL57" s="528"/>
      <c r="CM57" s="528"/>
      <c r="CN57" s="528"/>
      <c r="CO57" s="528"/>
      <c r="CP57" s="528"/>
      <c r="CQ57" s="528"/>
      <c r="CR57" s="528"/>
      <c r="CS57" s="528"/>
      <c r="CT57" s="528"/>
      <c r="CU57" s="528"/>
      <c r="CV57" s="528"/>
      <c r="CW57" s="528"/>
      <c r="CX57" s="528"/>
      <c r="CY57" s="528"/>
      <c r="CZ57" s="528"/>
      <c r="DA57" s="528"/>
      <c r="DB57" s="528"/>
      <c r="DC57" s="528"/>
      <c r="DD57" s="528"/>
      <c r="DE57" s="528"/>
      <c r="DF57" s="528"/>
      <c r="DG57" s="528"/>
      <c r="DH57" s="528"/>
      <c r="DI57" s="528"/>
      <c r="DJ57" s="528"/>
      <c r="DK57" s="528"/>
      <c r="DL57" s="528"/>
      <c r="DM57" s="528"/>
      <c r="DN57" s="528"/>
      <c r="DO57" s="528"/>
      <c r="DP57" s="528"/>
      <c r="DQ57" s="528"/>
      <c r="DR57" s="528"/>
      <c r="DS57" s="528"/>
      <c r="DT57" s="528"/>
      <c r="DU57" s="528"/>
      <c r="DV57" s="528"/>
      <c r="DW57" s="528"/>
      <c r="DX57" s="528"/>
      <c r="DY57" s="528"/>
      <c r="DZ57" s="528"/>
      <c r="EA57" s="528"/>
      <c r="EB57" s="528"/>
      <c r="EC57" s="528"/>
      <c r="ED57" s="528"/>
      <c r="EE57" s="528"/>
      <c r="EF57" s="528"/>
      <c r="EG57" s="528"/>
      <c r="EH57" s="528"/>
      <c r="EI57" s="528"/>
      <c r="EJ57" s="528"/>
      <c r="EK57" s="528"/>
      <c r="EL57" s="528"/>
      <c r="EM57" s="528"/>
      <c r="EN57" s="528"/>
      <c r="EO57" s="528"/>
      <c r="EP57" s="528"/>
      <c r="EQ57" s="528"/>
      <c r="ER57" s="528"/>
      <c r="ES57" s="528"/>
      <c r="ET57" s="528"/>
      <c r="EU57" s="528"/>
      <c r="EV57" s="528"/>
      <c r="EW57" s="528"/>
      <c r="EX57" s="528"/>
      <c r="EY57" s="528"/>
      <c r="EZ57" s="528"/>
      <c r="FA57" s="528"/>
      <c r="FB57" s="528"/>
      <c r="FC57" s="528"/>
      <c r="FD57" s="528"/>
      <c r="FE57" s="528"/>
      <c r="FF57" s="528"/>
      <c r="FG57" s="528"/>
      <c r="FH57" s="528"/>
      <c r="FI57" s="528"/>
      <c r="FJ57" s="528"/>
      <c r="FK57" s="528"/>
      <c r="FL57" s="528"/>
      <c r="FM57" s="528"/>
      <c r="FN57" s="528"/>
      <c r="FO57" s="528"/>
      <c r="FP57" s="528"/>
      <c r="FQ57" s="528"/>
      <c r="FR57" s="528"/>
      <c r="FS57" s="528"/>
      <c r="FT57" s="528"/>
      <c r="FU57" s="528"/>
      <c r="FV57" s="528"/>
      <c r="FW57" s="528"/>
      <c r="FX57" s="528"/>
      <c r="FY57" s="528"/>
      <c r="FZ57" s="528"/>
      <c r="GA57" s="528"/>
      <c r="GB57" s="528"/>
      <c r="GC57" s="528"/>
      <c r="GD57" s="528"/>
      <c r="GE57" s="528"/>
      <c r="GF57" s="528"/>
      <c r="GG57" s="528"/>
      <c r="GH57" s="528"/>
      <c r="GI57" s="528"/>
      <c r="GJ57" s="528"/>
      <c r="GK57" s="528"/>
      <c r="GL57" s="528"/>
      <c r="GM57" s="528"/>
      <c r="GN57" s="528"/>
      <c r="GO57" s="528"/>
      <c r="GP57" s="528"/>
      <c r="GQ57" s="528"/>
      <c r="GR57" s="528"/>
      <c r="GS57" s="528"/>
      <c r="GT57" s="528"/>
      <c r="GU57" s="528"/>
      <c r="GV57" s="528"/>
      <c r="GW57" s="528"/>
      <c r="GX57" s="528"/>
      <c r="GY57" s="528"/>
      <c r="GZ57" s="528"/>
      <c r="HA57" s="528"/>
      <c r="HB57" s="528"/>
      <c r="HC57" s="528"/>
      <c r="HD57" s="528"/>
      <c r="HE57" s="528"/>
      <c r="HF57" s="528"/>
      <c r="HG57" s="528"/>
      <c r="HH57" s="528"/>
      <c r="HI57" s="528"/>
      <c r="HJ57" s="528"/>
      <c r="HK57" s="528"/>
      <c r="HL57" s="528"/>
      <c r="HM57" s="528"/>
      <c r="HN57" s="528"/>
      <c r="HO57" s="528"/>
      <c r="HP57" s="528"/>
      <c r="HQ57" s="528"/>
      <c r="HR57" s="528"/>
      <c r="HS57" s="528"/>
      <c r="HT57" s="528"/>
      <c r="HU57" s="528"/>
      <c r="HV57" s="528"/>
      <c r="HW57" s="528"/>
      <c r="HX57" s="528"/>
      <c r="HY57" s="528"/>
      <c r="HZ57" s="528"/>
      <c r="IA57" s="528"/>
      <c r="IB57" s="528"/>
      <c r="IC57" s="528"/>
      <c r="ID57" s="528"/>
      <c r="IE57" s="528"/>
      <c r="IF57" s="528"/>
      <c r="IG57" s="528"/>
      <c r="IH57" s="528"/>
      <c r="II57" s="528"/>
      <c r="IJ57" s="528"/>
      <c r="IK57" s="528"/>
      <c r="IL57" s="528"/>
      <c r="IM57" s="528"/>
      <c r="IN57" s="528"/>
      <c r="IO57" s="528"/>
    </row>
    <row r="58" spans="3:249" ht="18" x14ac:dyDescent="0.25">
      <c r="C58" s="438"/>
      <c r="E58" s="566" t="s">
        <v>538</v>
      </c>
      <c r="F58" s="439"/>
      <c r="G58" s="480"/>
      <c r="H58" s="480"/>
      <c r="I58" s="480"/>
      <c r="J58" s="480"/>
      <c r="K58" s="438"/>
      <c r="L58" s="519"/>
      <c r="M58" s="519"/>
      <c r="N58" s="519"/>
      <c r="O58" s="528"/>
      <c r="P58" s="528"/>
      <c r="Q58" s="528"/>
      <c r="R58" s="528"/>
      <c r="S58" s="528"/>
      <c r="T58" s="528"/>
      <c r="U58" s="528"/>
      <c r="V58" s="528"/>
      <c r="W58" s="528"/>
      <c r="X58" s="528"/>
      <c r="Y58" s="528"/>
      <c r="Z58" s="528"/>
      <c r="AA58" s="528"/>
      <c r="AB58" s="528"/>
      <c r="AC58" s="528"/>
      <c r="AD58" s="528"/>
      <c r="AE58" s="528"/>
      <c r="AF58" s="528"/>
      <c r="AG58" s="528"/>
      <c r="AH58" s="528"/>
      <c r="AI58" s="528"/>
      <c r="AJ58" s="528"/>
      <c r="AK58" s="528"/>
      <c r="AL58" s="528"/>
      <c r="AM58" s="528"/>
      <c r="AN58" s="528"/>
      <c r="AO58" s="528"/>
      <c r="AP58" s="528"/>
      <c r="AQ58" s="528"/>
      <c r="AR58" s="528"/>
      <c r="AS58" s="528"/>
      <c r="AT58" s="528"/>
      <c r="AU58" s="528"/>
      <c r="AV58" s="528"/>
      <c r="AW58" s="528"/>
      <c r="AX58" s="528"/>
      <c r="AY58" s="528"/>
      <c r="AZ58" s="528"/>
      <c r="BA58" s="528"/>
      <c r="BB58" s="528"/>
      <c r="BC58" s="528"/>
      <c r="BD58" s="528"/>
      <c r="BE58" s="528"/>
      <c r="BF58" s="528"/>
      <c r="BG58" s="528"/>
      <c r="BH58" s="528"/>
      <c r="BI58" s="528"/>
      <c r="BJ58" s="528"/>
      <c r="BK58" s="528"/>
      <c r="BL58" s="528"/>
      <c r="BM58" s="528"/>
      <c r="BN58" s="528"/>
      <c r="BO58" s="528"/>
      <c r="BP58" s="528"/>
      <c r="BQ58" s="528"/>
      <c r="BR58" s="528"/>
      <c r="BS58" s="528"/>
      <c r="BT58" s="528"/>
      <c r="BU58" s="528"/>
      <c r="BV58" s="528"/>
      <c r="BW58" s="528"/>
      <c r="BX58" s="528"/>
      <c r="BY58" s="528"/>
      <c r="BZ58" s="528"/>
      <c r="CA58" s="528"/>
      <c r="CB58" s="528"/>
      <c r="CC58" s="528"/>
      <c r="CD58" s="528"/>
      <c r="CE58" s="528"/>
      <c r="CF58" s="528"/>
      <c r="CG58" s="528"/>
      <c r="CH58" s="528"/>
      <c r="CI58" s="528"/>
      <c r="CJ58" s="528"/>
      <c r="CK58" s="528"/>
      <c r="CL58" s="528"/>
      <c r="CM58" s="528"/>
      <c r="CN58" s="528"/>
      <c r="CO58" s="528"/>
      <c r="CP58" s="528"/>
      <c r="CQ58" s="528"/>
      <c r="CR58" s="528"/>
      <c r="CS58" s="528"/>
      <c r="CT58" s="528"/>
      <c r="CU58" s="528"/>
      <c r="CV58" s="528"/>
      <c r="CW58" s="528"/>
      <c r="CX58" s="528"/>
      <c r="CY58" s="528"/>
      <c r="CZ58" s="528"/>
      <c r="DA58" s="528"/>
      <c r="DB58" s="528"/>
      <c r="DC58" s="528"/>
      <c r="DD58" s="528"/>
      <c r="DE58" s="528"/>
      <c r="DF58" s="528"/>
      <c r="DG58" s="528"/>
      <c r="DH58" s="528"/>
      <c r="DI58" s="528"/>
      <c r="DJ58" s="528"/>
      <c r="DK58" s="528"/>
      <c r="DL58" s="528"/>
      <c r="DM58" s="528"/>
      <c r="DN58" s="528"/>
      <c r="DO58" s="528"/>
      <c r="DP58" s="528"/>
      <c r="DQ58" s="528"/>
      <c r="DR58" s="528"/>
      <c r="DS58" s="528"/>
      <c r="DT58" s="528"/>
      <c r="DU58" s="528"/>
      <c r="DV58" s="528"/>
      <c r="DW58" s="528"/>
      <c r="DX58" s="528"/>
      <c r="DY58" s="528"/>
      <c r="DZ58" s="528"/>
      <c r="EA58" s="528"/>
      <c r="EB58" s="528"/>
      <c r="EC58" s="528"/>
      <c r="ED58" s="528"/>
      <c r="EE58" s="528"/>
      <c r="EF58" s="528"/>
      <c r="EG58" s="528"/>
      <c r="EH58" s="528"/>
      <c r="EI58" s="528"/>
      <c r="EJ58" s="528"/>
      <c r="EK58" s="528"/>
      <c r="EL58" s="528"/>
      <c r="EM58" s="528"/>
      <c r="EN58" s="528"/>
      <c r="EO58" s="528"/>
      <c r="EP58" s="528"/>
      <c r="EQ58" s="528"/>
      <c r="ER58" s="528"/>
      <c r="ES58" s="528"/>
      <c r="ET58" s="528"/>
      <c r="EU58" s="528"/>
      <c r="EV58" s="528"/>
      <c r="EW58" s="528"/>
      <c r="EX58" s="528"/>
      <c r="EY58" s="528"/>
      <c r="EZ58" s="528"/>
      <c r="FA58" s="528"/>
      <c r="FB58" s="528"/>
      <c r="FC58" s="528"/>
      <c r="FD58" s="528"/>
      <c r="FE58" s="528"/>
      <c r="FF58" s="528"/>
      <c r="FG58" s="528"/>
      <c r="FH58" s="528"/>
      <c r="FI58" s="528"/>
      <c r="FJ58" s="528"/>
      <c r="FK58" s="528"/>
      <c r="FL58" s="528"/>
      <c r="FM58" s="528"/>
      <c r="FN58" s="528"/>
      <c r="FO58" s="528"/>
      <c r="FP58" s="528"/>
      <c r="FQ58" s="528"/>
      <c r="FR58" s="528"/>
      <c r="FS58" s="528"/>
      <c r="FT58" s="528"/>
      <c r="FU58" s="528"/>
      <c r="FV58" s="528"/>
      <c r="FW58" s="528"/>
      <c r="FX58" s="528"/>
      <c r="FY58" s="528"/>
      <c r="FZ58" s="528"/>
      <c r="GA58" s="528"/>
      <c r="GB58" s="528"/>
      <c r="GC58" s="528"/>
      <c r="GD58" s="528"/>
      <c r="GE58" s="528"/>
      <c r="GF58" s="528"/>
      <c r="GG58" s="528"/>
      <c r="GH58" s="528"/>
      <c r="GI58" s="528"/>
      <c r="GJ58" s="528"/>
      <c r="GK58" s="528"/>
      <c r="GL58" s="528"/>
      <c r="GM58" s="528"/>
      <c r="GN58" s="528"/>
      <c r="GO58" s="528"/>
      <c r="GP58" s="528"/>
      <c r="GQ58" s="528"/>
      <c r="GR58" s="528"/>
      <c r="GS58" s="528"/>
      <c r="GT58" s="528"/>
      <c r="GU58" s="528"/>
      <c r="GV58" s="528"/>
      <c r="GW58" s="528"/>
      <c r="GX58" s="528"/>
      <c r="GY58" s="528"/>
      <c r="GZ58" s="528"/>
      <c r="HA58" s="528"/>
      <c r="HB58" s="528"/>
      <c r="HC58" s="528"/>
      <c r="HD58" s="528"/>
      <c r="HE58" s="528"/>
      <c r="HF58" s="528"/>
      <c r="HG58" s="528"/>
      <c r="HH58" s="528"/>
      <c r="HI58" s="528"/>
      <c r="HJ58" s="528"/>
      <c r="HK58" s="528"/>
      <c r="HL58" s="528"/>
      <c r="HM58" s="528"/>
      <c r="HN58" s="528"/>
      <c r="HO58" s="528"/>
      <c r="HP58" s="528"/>
      <c r="HQ58" s="528"/>
      <c r="HR58" s="528"/>
      <c r="HS58" s="528"/>
      <c r="HT58" s="528"/>
      <c r="HU58" s="528"/>
      <c r="HV58" s="528"/>
      <c r="HW58" s="528"/>
      <c r="HX58" s="528"/>
      <c r="HY58" s="528"/>
      <c r="HZ58" s="528"/>
      <c r="IA58" s="528"/>
      <c r="IB58" s="528"/>
      <c r="IC58" s="528"/>
      <c r="ID58" s="528"/>
      <c r="IE58" s="528"/>
      <c r="IF58" s="528"/>
      <c r="IG58" s="528"/>
      <c r="IH58" s="528"/>
      <c r="II58" s="528"/>
      <c r="IJ58" s="528"/>
      <c r="IK58" s="528"/>
      <c r="IL58" s="528"/>
      <c r="IM58" s="528"/>
      <c r="IN58" s="528"/>
      <c r="IO58" s="528"/>
    </row>
    <row r="59" spans="3:249" ht="18" x14ac:dyDescent="0.25">
      <c r="C59" s="438"/>
      <c r="E59" s="566"/>
      <c r="F59" s="439"/>
      <c r="G59" s="480"/>
      <c r="H59" s="480"/>
      <c r="I59" s="480"/>
      <c r="J59" s="480"/>
      <c r="K59" s="438"/>
      <c r="L59" s="519"/>
      <c r="M59" s="519"/>
      <c r="N59" s="519"/>
      <c r="O59" s="528"/>
      <c r="P59" s="528"/>
      <c r="Q59" s="528"/>
      <c r="R59" s="528"/>
      <c r="S59" s="528"/>
      <c r="T59" s="528"/>
      <c r="U59" s="528"/>
      <c r="V59" s="528"/>
      <c r="W59" s="528"/>
      <c r="X59" s="528"/>
      <c r="Y59" s="528"/>
      <c r="Z59" s="528"/>
      <c r="AA59" s="528"/>
      <c r="AB59" s="528"/>
      <c r="AC59" s="528"/>
      <c r="AD59" s="528"/>
      <c r="AE59" s="528"/>
      <c r="AF59" s="528"/>
      <c r="AG59" s="528"/>
      <c r="AH59" s="528"/>
      <c r="AI59" s="528"/>
      <c r="AJ59" s="528"/>
      <c r="AK59" s="528"/>
      <c r="AL59" s="528"/>
      <c r="AM59" s="528"/>
      <c r="AN59" s="528"/>
      <c r="AO59" s="528"/>
      <c r="AP59" s="528"/>
      <c r="AQ59" s="528"/>
      <c r="AR59" s="528"/>
      <c r="AS59" s="528"/>
      <c r="AT59" s="528"/>
      <c r="AU59" s="528"/>
      <c r="AV59" s="528"/>
      <c r="AW59" s="528"/>
      <c r="AX59" s="528"/>
      <c r="AY59" s="528"/>
      <c r="AZ59" s="528"/>
      <c r="BA59" s="528"/>
      <c r="BB59" s="528"/>
      <c r="BC59" s="528"/>
      <c r="BD59" s="528"/>
      <c r="BE59" s="528"/>
      <c r="BF59" s="528"/>
      <c r="BG59" s="528"/>
      <c r="BH59" s="528"/>
      <c r="BI59" s="528"/>
      <c r="BJ59" s="528"/>
      <c r="BK59" s="528"/>
      <c r="BL59" s="528"/>
      <c r="BM59" s="528"/>
      <c r="BN59" s="528"/>
      <c r="BO59" s="528"/>
      <c r="BP59" s="528"/>
      <c r="BQ59" s="528"/>
      <c r="BR59" s="528"/>
      <c r="BS59" s="528"/>
      <c r="BT59" s="528"/>
      <c r="BU59" s="528"/>
      <c r="BV59" s="528"/>
      <c r="BW59" s="528"/>
      <c r="BX59" s="528"/>
      <c r="BY59" s="528"/>
      <c r="BZ59" s="528"/>
      <c r="CA59" s="528"/>
      <c r="CB59" s="528"/>
      <c r="CC59" s="528"/>
      <c r="CD59" s="528"/>
      <c r="CE59" s="528"/>
      <c r="CF59" s="528"/>
      <c r="CG59" s="528"/>
      <c r="CH59" s="528"/>
      <c r="CI59" s="528"/>
      <c r="CJ59" s="528"/>
      <c r="CK59" s="528"/>
      <c r="CL59" s="528"/>
      <c r="CM59" s="528"/>
      <c r="CN59" s="528"/>
      <c r="CO59" s="528"/>
      <c r="CP59" s="528"/>
      <c r="CQ59" s="528"/>
      <c r="CR59" s="528"/>
      <c r="CS59" s="528"/>
      <c r="CT59" s="528"/>
      <c r="CU59" s="528"/>
      <c r="CV59" s="528"/>
      <c r="CW59" s="528"/>
      <c r="CX59" s="528"/>
      <c r="CY59" s="528"/>
      <c r="CZ59" s="528"/>
      <c r="DA59" s="528"/>
      <c r="DB59" s="528"/>
      <c r="DC59" s="528"/>
      <c r="DD59" s="528"/>
      <c r="DE59" s="528"/>
      <c r="DF59" s="528"/>
      <c r="DG59" s="528"/>
      <c r="DH59" s="528"/>
      <c r="DI59" s="528"/>
      <c r="DJ59" s="528"/>
      <c r="DK59" s="528"/>
      <c r="DL59" s="528"/>
      <c r="DM59" s="528"/>
      <c r="DN59" s="528"/>
      <c r="DO59" s="528"/>
      <c r="DP59" s="528"/>
      <c r="DQ59" s="528"/>
      <c r="DR59" s="528"/>
      <c r="DS59" s="528"/>
      <c r="DT59" s="528"/>
      <c r="DU59" s="528"/>
      <c r="DV59" s="528"/>
      <c r="DW59" s="528"/>
      <c r="DX59" s="528"/>
      <c r="DY59" s="528"/>
      <c r="DZ59" s="528"/>
      <c r="EA59" s="528"/>
      <c r="EB59" s="528"/>
      <c r="EC59" s="528"/>
      <c r="ED59" s="528"/>
      <c r="EE59" s="528"/>
      <c r="EF59" s="528"/>
      <c r="EG59" s="528"/>
      <c r="EH59" s="528"/>
      <c r="EI59" s="528"/>
      <c r="EJ59" s="528"/>
      <c r="EK59" s="528"/>
      <c r="EL59" s="528"/>
      <c r="EM59" s="528"/>
      <c r="EN59" s="528"/>
      <c r="EO59" s="528"/>
      <c r="EP59" s="528"/>
      <c r="EQ59" s="528"/>
      <c r="ER59" s="528"/>
      <c r="ES59" s="528"/>
      <c r="ET59" s="528"/>
      <c r="EU59" s="528"/>
      <c r="EV59" s="528"/>
      <c r="EW59" s="528"/>
      <c r="EX59" s="528"/>
      <c r="EY59" s="528"/>
      <c r="EZ59" s="528"/>
      <c r="FA59" s="528"/>
      <c r="FB59" s="528"/>
      <c r="FC59" s="528"/>
      <c r="FD59" s="528"/>
      <c r="FE59" s="528"/>
      <c r="FF59" s="528"/>
      <c r="FG59" s="528"/>
      <c r="FH59" s="528"/>
      <c r="FI59" s="528"/>
      <c r="FJ59" s="528"/>
      <c r="FK59" s="528"/>
      <c r="FL59" s="528"/>
      <c r="FM59" s="528"/>
      <c r="FN59" s="528"/>
      <c r="FO59" s="528"/>
      <c r="FP59" s="528"/>
      <c r="FQ59" s="528"/>
      <c r="FR59" s="528"/>
      <c r="FS59" s="528"/>
      <c r="FT59" s="528"/>
      <c r="FU59" s="528"/>
      <c r="FV59" s="528"/>
      <c r="FW59" s="528"/>
      <c r="FX59" s="528"/>
      <c r="FY59" s="528"/>
      <c r="FZ59" s="528"/>
      <c r="GA59" s="528"/>
      <c r="GB59" s="528"/>
      <c r="GC59" s="528"/>
      <c r="GD59" s="528"/>
      <c r="GE59" s="528"/>
      <c r="GF59" s="528"/>
      <c r="GG59" s="528"/>
      <c r="GH59" s="528"/>
      <c r="GI59" s="528"/>
      <c r="GJ59" s="528"/>
      <c r="GK59" s="528"/>
      <c r="GL59" s="528"/>
      <c r="GM59" s="528"/>
      <c r="GN59" s="528"/>
      <c r="GO59" s="528"/>
      <c r="GP59" s="528"/>
      <c r="GQ59" s="528"/>
      <c r="GR59" s="528"/>
      <c r="GS59" s="528"/>
      <c r="GT59" s="528"/>
      <c r="GU59" s="528"/>
      <c r="GV59" s="528"/>
      <c r="GW59" s="528"/>
      <c r="GX59" s="528"/>
      <c r="GY59" s="528"/>
      <c r="GZ59" s="528"/>
      <c r="HA59" s="528"/>
      <c r="HB59" s="528"/>
      <c r="HC59" s="528"/>
      <c r="HD59" s="528"/>
      <c r="HE59" s="528"/>
      <c r="HF59" s="528"/>
      <c r="HG59" s="528"/>
      <c r="HH59" s="528"/>
      <c r="HI59" s="528"/>
      <c r="HJ59" s="528"/>
      <c r="HK59" s="528"/>
      <c r="HL59" s="528"/>
      <c r="HM59" s="528"/>
      <c r="HN59" s="528"/>
      <c r="HO59" s="528"/>
      <c r="HP59" s="528"/>
      <c r="HQ59" s="528"/>
      <c r="HR59" s="528"/>
      <c r="HS59" s="528"/>
      <c r="HT59" s="528"/>
      <c r="HU59" s="528"/>
      <c r="HV59" s="528"/>
      <c r="HW59" s="528"/>
      <c r="HX59" s="528"/>
      <c r="HY59" s="528"/>
      <c r="HZ59" s="528"/>
      <c r="IA59" s="528"/>
      <c r="IB59" s="528"/>
      <c r="IC59" s="528"/>
      <c r="ID59" s="528"/>
      <c r="IE59" s="528"/>
      <c r="IF59" s="528"/>
      <c r="IG59" s="528"/>
      <c r="IH59" s="528"/>
      <c r="II59" s="528"/>
      <c r="IJ59" s="528"/>
      <c r="IK59" s="528"/>
      <c r="IL59" s="528"/>
      <c r="IM59" s="528"/>
      <c r="IN59" s="528"/>
      <c r="IO59" s="528"/>
    </row>
    <row r="60" spans="3:249" ht="21" x14ac:dyDescent="0.25">
      <c r="C60" s="438"/>
      <c r="D60" s="567"/>
      <c r="E60" s="568" t="s">
        <v>539</v>
      </c>
      <c r="F60" s="567"/>
      <c r="G60" s="567"/>
      <c r="H60" s="567"/>
      <c r="I60" s="567"/>
      <c r="J60" s="480"/>
      <c r="K60" s="438"/>
      <c r="L60" s="519"/>
      <c r="M60" s="519"/>
      <c r="N60" s="519"/>
      <c r="O60" s="528"/>
      <c r="P60" s="528"/>
      <c r="Q60" s="528"/>
      <c r="R60" s="528"/>
      <c r="S60" s="528"/>
      <c r="T60" s="528"/>
      <c r="U60" s="528"/>
      <c r="V60" s="528"/>
      <c r="W60" s="528"/>
      <c r="X60" s="528"/>
      <c r="Y60" s="528"/>
      <c r="Z60" s="528"/>
      <c r="AA60" s="480"/>
      <c r="AB60" s="528"/>
      <c r="AC60" s="528"/>
      <c r="AD60" s="528"/>
      <c r="AE60" s="528"/>
      <c r="AF60" s="528"/>
      <c r="AG60" s="528"/>
      <c r="AH60" s="528"/>
      <c r="AI60" s="528"/>
      <c r="AJ60" s="528"/>
      <c r="AK60" s="528"/>
      <c r="AL60" s="528"/>
      <c r="AM60" s="528"/>
      <c r="AN60" s="528"/>
      <c r="AO60" s="528"/>
      <c r="AP60" s="528"/>
      <c r="AQ60" s="528"/>
      <c r="AR60" s="528"/>
      <c r="AS60" s="528"/>
      <c r="AT60" s="528"/>
      <c r="AU60" s="528"/>
      <c r="AV60" s="528"/>
      <c r="AW60" s="528"/>
      <c r="AX60" s="528"/>
      <c r="AY60" s="528"/>
      <c r="AZ60" s="528"/>
      <c r="BA60" s="528"/>
      <c r="BB60" s="528"/>
      <c r="BC60" s="528"/>
      <c r="BD60" s="528"/>
      <c r="BE60" s="528"/>
      <c r="BF60" s="528"/>
      <c r="BG60" s="528"/>
      <c r="BH60" s="528"/>
      <c r="BI60" s="528"/>
      <c r="BJ60" s="528"/>
      <c r="BK60" s="528"/>
      <c r="BL60" s="528"/>
      <c r="BM60" s="528"/>
      <c r="BN60" s="528"/>
      <c r="BO60" s="528"/>
      <c r="BP60" s="528"/>
      <c r="BQ60" s="528"/>
      <c r="BR60" s="528"/>
      <c r="BS60" s="528"/>
      <c r="BT60" s="528"/>
      <c r="BU60" s="528"/>
      <c r="BV60" s="528"/>
      <c r="BW60" s="528"/>
      <c r="BX60" s="528"/>
      <c r="BY60" s="528"/>
      <c r="BZ60" s="528"/>
      <c r="CA60" s="528"/>
      <c r="CB60" s="528"/>
      <c r="CC60" s="528"/>
      <c r="CD60" s="528"/>
      <c r="CE60" s="528"/>
      <c r="CF60" s="528"/>
      <c r="CG60" s="528"/>
      <c r="CH60" s="528"/>
      <c r="CI60" s="528"/>
      <c r="CJ60" s="528"/>
      <c r="CK60" s="528"/>
      <c r="CL60" s="528"/>
      <c r="CM60" s="528"/>
      <c r="CN60" s="528"/>
      <c r="CO60" s="528"/>
      <c r="CP60" s="528"/>
      <c r="CQ60" s="528"/>
      <c r="CR60" s="528"/>
      <c r="CS60" s="528"/>
      <c r="CT60" s="528"/>
      <c r="CU60" s="528"/>
      <c r="CV60" s="528"/>
      <c r="CW60" s="528"/>
      <c r="CX60" s="528"/>
      <c r="CY60" s="528"/>
      <c r="CZ60" s="528"/>
      <c r="DA60" s="528"/>
      <c r="DB60" s="528"/>
      <c r="DC60" s="528"/>
      <c r="DD60" s="528"/>
      <c r="DE60" s="528"/>
      <c r="DF60" s="528"/>
      <c r="DG60" s="528"/>
      <c r="DH60" s="528"/>
      <c r="DI60" s="528"/>
      <c r="DJ60" s="528"/>
      <c r="DK60" s="528"/>
      <c r="DL60" s="528"/>
      <c r="DM60" s="528"/>
      <c r="DN60" s="528"/>
      <c r="DO60" s="528"/>
      <c r="DP60" s="528"/>
      <c r="DQ60" s="528"/>
      <c r="DR60" s="528"/>
      <c r="DS60" s="528"/>
      <c r="DT60" s="528"/>
      <c r="DU60" s="528"/>
      <c r="DV60" s="528"/>
      <c r="DW60" s="528"/>
      <c r="DX60" s="528"/>
      <c r="DY60" s="528"/>
      <c r="DZ60" s="528"/>
      <c r="EA60" s="528"/>
      <c r="EB60" s="528"/>
      <c r="EC60" s="528"/>
      <c r="ED60" s="528"/>
      <c r="EE60" s="528"/>
      <c r="EF60" s="528"/>
      <c r="EG60" s="528"/>
      <c r="EH60" s="528"/>
      <c r="EI60" s="528"/>
      <c r="EJ60" s="528"/>
      <c r="EK60" s="528"/>
      <c r="EL60" s="528"/>
      <c r="EM60" s="528"/>
      <c r="EN60" s="528"/>
      <c r="EO60" s="528"/>
      <c r="EP60" s="528"/>
      <c r="EQ60" s="528"/>
      <c r="ER60" s="528"/>
      <c r="ES60" s="528"/>
      <c r="ET60" s="528"/>
      <c r="EU60" s="528"/>
      <c r="EV60" s="528"/>
      <c r="EW60" s="528"/>
      <c r="EX60" s="528"/>
      <c r="EY60" s="528"/>
      <c r="EZ60" s="528"/>
      <c r="FA60" s="528"/>
      <c r="FB60" s="528"/>
      <c r="FC60" s="528"/>
      <c r="FD60" s="528"/>
      <c r="FE60" s="528"/>
      <c r="FF60" s="528"/>
      <c r="FG60" s="528"/>
      <c r="FH60" s="528"/>
      <c r="FI60" s="528"/>
      <c r="FJ60" s="528"/>
      <c r="FK60" s="528"/>
      <c r="FL60" s="528"/>
      <c r="FM60" s="528"/>
      <c r="FN60" s="528"/>
      <c r="FO60" s="528"/>
      <c r="FP60" s="528"/>
      <c r="FQ60" s="528"/>
      <c r="FR60" s="528"/>
      <c r="FS60" s="528"/>
      <c r="FT60" s="528"/>
      <c r="FU60" s="528"/>
      <c r="FV60" s="528"/>
      <c r="FW60" s="528"/>
      <c r="FX60" s="528"/>
      <c r="FY60" s="528"/>
      <c r="FZ60" s="528"/>
      <c r="GA60" s="528"/>
      <c r="GB60" s="528"/>
      <c r="GC60" s="528"/>
      <c r="GD60" s="528"/>
      <c r="GE60" s="528"/>
      <c r="GF60" s="528"/>
      <c r="GG60" s="528"/>
      <c r="GH60" s="528"/>
      <c r="GI60" s="528"/>
      <c r="GJ60" s="528"/>
      <c r="GK60" s="528"/>
      <c r="GL60" s="528"/>
      <c r="GM60" s="528"/>
      <c r="GN60" s="528"/>
      <c r="GO60" s="528"/>
      <c r="GP60" s="528"/>
      <c r="GQ60" s="528"/>
      <c r="GR60" s="528"/>
      <c r="GS60" s="528"/>
      <c r="GT60" s="528"/>
      <c r="GU60" s="528"/>
      <c r="GV60" s="528"/>
      <c r="GW60" s="528"/>
      <c r="GX60" s="528"/>
      <c r="GY60" s="528"/>
      <c r="GZ60" s="528"/>
      <c r="HA60" s="528"/>
      <c r="HB60" s="528"/>
      <c r="HC60" s="528"/>
      <c r="HD60" s="528"/>
      <c r="HE60" s="528"/>
      <c r="HF60" s="528"/>
      <c r="HG60" s="528"/>
      <c r="HH60" s="528"/>
      <c r="HI60" s="528"/>
      <c r="HJ60" s="528"/>
      <c r="HK60" s="528"/>
      <c r="HL60" s="528"/>
      <c r="HM60" s="528"/>
      <c r="HN60" s="528"/>
      <c r="HO60" s="528"/>
      <c r="HP60" s="528"/>
      <c r="HQ60" s="528"/>
      <c r="HR60" s="528"/>
      <c r="HS60" s="528"/>
      <c r="HT60" s="528"/>
      <c r="HU60" s="528"/>
      <c r="HV60" s="528"/>
      <c r="HW60" s="528"/>
      <c r="HX60" s="528"/>
      <c r="HY60" s="528"/>
      <c r="HZ60" s="528"/>
      <c r="IA60" s="528"/>
      <c r="IB60" s="528"/>
      <c r="IC60" s="528"/>
      <c r="ID60" s="528"/>
      <c r="IE60" s="528"/>
      <c r="IF60" s="528"/>
      <c r="IG60" s="528"/>
      <c r="IH60" s="528"/>
      <c r="II60" s="528"/>
      <c r="IJ60" s="528"/>
      <c r="IK60" s="528"/>
      <c r="IL60" s="528"/>
      <c r="IM60" s="528"/>
      <c r="IN60" s="528"/>
      <c r="IO60" s="528"/>
    </row>
    <row r="61" spans="3:249" x14ac:dyDescent="0.25">
      <c r="C61" s="438"/>
      <c r="D61" s="569">
        <v>1</v>
      </c>
      <c r="E61" s="570" t="s">
        <v>540</v>
      </c>
      <c r="F61" s="571"/>
      <c r="G61" s="571"/>
      <c r="H61" s="571"/>
      <c r="I61" s="571"/>
      <c r="J61" s="480"/>
      <c r="K61" s="438"/>
      <c r="L61" s="519"/>
      <c r="M61" s="519"/>
      <c r="N61" s="519"/>
      <c r="O61" s="528"/>
      <c r="P61" s="528"/>
      <c r="Q61" s="528"/>
      <c r="R61" s="528"/>
      <c r="S61" s="528"/>
      <c r="T61" s="528"/>
      <c r="U61" s="528"/>
      <c r="V61" s="528"/>
      <c r="W61" s="528"/>
      <c r="X61" s="528"/>
      <c r="Y61" s="528"/>
      <c r="Z61" s="528"/>
      <c r="AA61" s="480"/>
      <c r="AB61" s="528"/>
      <c r="AC61" s="528"/>
      <c r="AD61" s="528"/>
      <c r="AE61" s="528"/>
      <c r="AF61" s="528"/>
      <c r="AG61" s="528"/>
      <c r="AH61" s="528"/>
      <c r="AI61" s="528"/>
      <c r="AJ61" s="528"/>
      <c r="AK61" s="528"/>
      <c r="AL61" s="528"/>
      <c r="AM61" s="528"/>
      <c r="AN61" s="528"/>
      <c r="AO61" s="528"/>
      <c r="AP61" s="528"/>
      <c r="AQ61" s="528"/>
      <c r="AR61" s="528"/>
      <c r="AS61" s="528"/>
      <c r="AT61" s="528"/>
      <c r="AU61" s="528"/>
      <c r="AV61" s="528"/>
      <c r="AW61" s="528"/>
      <c r="AX61" s="528"/>
      <c r="AY61" s="528"/>
      <c r="AZ61" s="528"/>
      <c r="BA61" s="528"/>
      <c r="BB61" s="528"/>
      <c r="BC61" s="528"/>
      <c r="BD61" s="528"/>
      <c r="BE61" s="528"/>
      <c r="BF61" s="528"/>
      <c r="BG61" s="528"/>
      <c r="BH61" s="528"/>
      <c r="BI61" s="528"/>
      <c r="BJ61" s="528"/>
      <c r="BK61" s="528"/>
      <c r="BL61" s="528"/>
      <c r="BM61" s="528"/>
      <c r="BN61" s="528"/>
      <c r="BO61" s="528"/>
      <c r="BP61" s="528"/>
      <c r="BQ61" s="528"/>
      <c r="BR61" s="528"/>
      <c r="BS61" s="528"/>
      <c r="BT61" s="528"/>
      <c r="BU61" s="528"/>
      <c r="BV61" s="528"/>
      <c r="BW61" s="528"/>
      <c r="BX61" s="528"/>
      <c r="BY61" s="528"/>
      <c r="BZ61" s="528"/>
      <c r="CA61" s="528"/>
      <c r="CB61" s="528"/>
      <c r="CC61" s="528"/>
      <c r="CD61" s="528"/>
      <c r="CE61" s="528"/>
      <c r="CF61" s="528"/>
      <c r="CG61" s="528"/>
      <c r="CH61" s="528"/>
      <c r="CI61" s="528"/>
      <c r="CJ61" s="528"/>
      <c r="CK61" s="528"/>
      <c r="CL61" s="528"/>
      <c r="CM61" s="528"/>
      <c r="CN61" s="528"/>
      <c r="CO61" s="528"/>
      <c r="CP61" s="528"/>
      <c r="CQ61" s="528"/>
      <c r="CR61" s="528"/>
      <c r="CS61" s="528"/>
      <c r="CT61" s="528"/>
      <c r="CU61" s="528"/>
      <c r="CV61" s="528"/>
      <c r="CW61" s="528"/>
      <c r="CX61" s="528"/>
      <c r="CY61" s="528"/>
      <c r="CZ61" s="528"/>
      <c r="DA61" s="528"/>
      <c r="DB61" s="528"/>
      <c r="DC61" s="528"/>
      <c r="DD61" s="528"/>
      <c r="DE61" s="528"/>
      <c r="DF61" s="528"/>
      <c r="DG61" s="528"/>
      <c r="DH61" s="528"/>
      <c r="DI61" s="528"/>
      <c r="DJ61" s="528"/>
      <c r="DK61" s="528"/>
      <c r="DL61" s="528"/>
      <c r="DM61" s="528"/>
      <c r="DN61" s="528"/>
      <c r="DO61" s="528"/>
      <c r="DP61" s="528"/>
      <c r="DQ61" s="528"/>
      <c r="DR61" s="528"/>
      <c r="DS61" s="528"/>
      <c r="DT61" s="528"/>
      <c r="DU61" s="528"/>
      <c r="DV61" s="528"/>
      <c r="DW61" s="528"/>
      <c r="DX61" s="528"/>
      <c r="DY61" s="528"/>
      <c r="DZ61" s="528"/>
      <c r="EA61" s="528"/>
      <c r="EB61" s="528"/>
      <c r="EC61" s="528"/>
      <c r="ED61" s="528"/>
      <c r="EE61" s="528"/>
      <c r="EF61" s="528"/>
      <c r="EG61" s="528"/>
      <c r="EH61" s="528"/>
      <c r="EI61" s="528"/>
      <c r="EJ61" s="528"/>
      <c r="EK61" s="528"/>
      <c r="EL61" s="528"/>
      <c r="EM61" s="528"/>
      <c r="EN61" s="528"/>
      <c r="EO61" s="528"/>
      <c r="EP61" s="528"/>
      <c r="EQ61" s="528"/>
      <c r="ER61" s="528"/>
      <c r="ES61" s="528"/>
      <c r="ET61" s="528"/>
      <c r="EU61" s="528"/>
      <c r="EV61" s="528"/>
      <c r="EW61" s="528"/>
      <c r="EX61" s="528"/>
      <c r="EY61" s="528"/>
      <c r="EZ61" s="528"/>
      <c r="FA61" s="528"/>
      <c r="FB61" s="528"/>
      <c r="FC61" s="528"/>
      <c r="FD61" s="528"/>
      <c r="FE61" s="528"/>
      <c r="FF61" s="528"/>
      <c r="FG61" s="528"/>
      <c r="FH61" s="528"/>
      <c r="FI61" s="528"/>
      <c r="FJ61" s="528"/>
      <c r="FK61" s="528"/>
      <c r="FL61" s="528"/>
      <c r="FM61" s="528"/>
      <c r="FN61" s="528"/>
      <c r="FO61" s="528"/>
      <c r="FP61" s="528"/>
      <c r="FQ61" s="528"/>
      <c r="FR61" s="528"/>
      <c r="FS61" s="528"/>
      <c r="FT61" s="528"/>
      <c r="FU61" s="528"/>
      <c r="FV61" s="528"/>
      <c r="FW61" s="528"/>
      <c r="FX61" s="528"/>
      <c r="FY61" s="528"/>
      <c r="FZ61" s="528"/>
      <c r="GA61" s="528"/>
      <c r="GB61" s="528"/>
      <c r="GC61" s="528"/>
      <c r="GD61" s="528"/>
      <c r="GE61" s="528"/>
      <c r="GF61" s="528"/>
      <c r="GG61" s="528"/>
      <c r="GH61" s="528"/>
      <c r="GI61" s="528"/>
      <c r="GJ61" s="528"/>
      <c r="GK61" s="528"/>
      <c r="GL61" s="528"/>
      <c r="GM61" s="528"/>
      <c r="GN61" s="528"/>
      <c r="GO61" s="528"/>
      <c r="GP61" s="528"/>
      <c r="GQ61" s="528"/>
      <c r="GR61" s="528"/>
      <c r="GS61" s="528"/>
      <c r="GT61" s="528"/>
      <c r="GU61" s="528"/>
      <c r="GV61" s="528"/>
      <c r="GW61" s="528"/>
      <c r="GX61" s="528"/>
      <c r="GY61" s="528"/>
      <c r="GZ61" s="528"/>
      <c r="HA61" s="528"/>
      <c r="HB61" s="528"/>
      <c r="HC61" s="528"/>
      <c r="HD61" s="528"/>
      <c r="HE61" s="528"/>
      <c r="HF61" s="528"/>
      <c r="HG61" s="528"/>
      <c r="HH61" s="528"/>
      <c r="HI61" s="528"/>
      <c r="HJ61" s="528"/>
      <c r="HK61" s="528"/>
      <c r="HL61" s="528"/>
      <c r="HM61" s="528"/>
      <c r="HN61" s="528"/>
      <c r="HO61" s="528"/>
      <c r="HP61" s="528"/>
      <c r="HQ61" s="528"/>
      <c r="HR61" s="528"/>
      <c r="HS61" s="528"/>
      <c r="HT61" s="528"/>
      <c r="HU61" s="528"/>
      <c r="HV61" s="528"/>
      <c r="HW61" s="528"/>
      <c r="HX61" s="528"/>
      <c r="HY61" s="528"/>
      <c r="HZ61" s="528"/>
      <c r="IA61" s="528"/>
      <c r="IB61" s="528"/>
      <c r="IC61" s="528"/>
      <c r="ID61" s="528"/>
      <c r="IE61" s="528"/>
      <c r="IF61" s="528"/>
      <c r="IG61" s="528"/>
      <c r="IH61" s="528"/>
      <c r="II61" s="528"/>
      <c r="IJ61" s="528"/>
      <c r="IK61" s="528"/>
      <c r="IL61" s="528"/>
      <c r="IM61" s="528"/>
      <c r="IN61" s="528"/>
      <c r="IO61" s="528"/>
    </row>
    <row r="62" spans="3:249" x14ac:dyDescent="0.25">
      <c r="C62" s="438"/>
      <c r="D62" s="569"/>
      <c r="E62" s="572" t="s">
        <v>541</v>
      </c>
      <c r="F62" s="573">
        <v>146346</v>
      </c>
      <c r="G62" s="574"/>
      <c r="H62" s="575" t="s">
        <v>542</v>
      </c>
      <c r="I62" s="574"/>
      <c r="J62" s="480"/>
      <c r="K62" s="438" t="s">
        <v>543</v>
      </c>
      <c r="L62" s="519">
        <v>4370.1499999999996</v>
      </c>
      <c r="M62" s="519"/>
      <c r="N62" s="519"/>
      <c r="O62" s="528"/>
      <c r="P62" s="528"/>
      <c r="Q62" s="528"/>
      <c r="R62" s="528"/>
      <c r="S62" s="528"/>
      <c r="T62" s="528"/>
      <c r="U62" s="528"/>
      <c r="V62" s="528"/>
      <c r="W62" s="528"/>
      <c r="X62" s="528"/>
      <c r="Y62" s="528"/>
      <c r="Z62" s="528"/>
      <c r="AA62" s="480"/>
      <c r="AB62" s="528"/>
      <c r="AC62" s="528"/>
      <c r="AD62" s="528"/>
      <c r="AE62" s="528"/>
      <c r="AF62" s="528"/>
      <c r="AG62" s="528"/>
      <c r="AH62" s="528"/>
      <c r="AI62" s="528"/>
      <c r="AJ62" s="528"/>
      <c r="AK62" s="528"/>
      <c r="AL62" s="528"/>
      <c r="AM62" s="528"/>
      <c r="AN62" s="528"/>
      <c r="AO62" s="528"/>
      <c r="AP62" s="528"/>
      <c r="AQ62" s="528"/>
      <c r="AR62" s="528"/>
      <c r="AS62" s="528"/>
      <c r="AT62" s="528"/>
      <c r="AU62" s="528"/>
      <c r="AV62" s="528"/>
      <c r="AW62" s="528"/>
      <c r="AX62" s="528"/>
      <c r="AY62" s="528"/>
      <c r="AZ62" s="528"/>
      <c r="BA62" s="528"/>
      <c r="BB62" s="528"/>
      <c r="BC62" s="528"/>
      <c r="BD62" s="528"/>
      <c r="BE62" s="528"/>
      <c r="BF62" s="528"/>
      <c r="BG62" s="528"/>
      <c r="BH62" s="528"/>
      <c r="BI62" s="528"/>
      <c r="BJ62" s="528"/>
      <c r="BK62" s="528"/>
      <c r="BL62" s="528"/>
      <c r="BM62" s="528"/>
      <c r="BN62" s="528"/>
      <c r="BO62" s="528"/>
      <c r="BP62" s="528"/>
      <c r="BQ62" s="528"/>
      <c r="BR62" s="528"/>
      <c r="BS62" s="528"/>
      <c r="BT62" s="528"/>
      <c r="BU62" s="528"/>
      <c r="BV62" s="528"/>
      <c r="BW62" s="528"/>
      <c r="BX62" s="528"/>
      <c r="BY62" s="528"/>
      <c r="BZ62" s="528"/>
      <c r="CA62" s="528"/>
      <c r="CB62" s="528"/>
      <c r="CC62" s="528"/>
      <c r="CD62" s="528"/>
      <c r="CE62" s="528"/>
      <c r="CF62" s="528"/>
      <c r="CG62" s="528"/>
      <c r="CH62" s="528"/>
      <c r="CI62" s="528"/>
      <c r="CJ62" s="528"/>
      <c r="CK62" s="528"/>
      <c r="CL62" s="528"/>
      <c r="CM62" s="528"/>
      <c r="CN62" s="528"/>
      <c r="CO62" s="528"/>
      <c r="CP62" s="528"/>
      <c r="CQ62" s="528"/>
      <c r="CR62" s="528"/>
      <c r="CS62" s="528"/>
      <c r="CT62" s="528"/>
      <c r="CU62" s="528"/>
      <c r="CV62" s="528"/>
      <c r="CW62" s="528"/>
      <c r="CX62" s="528"/>
      <c r="CY62" s="528"/>
      <c r="CZ62" s="528"/>
      <c r="DA62" s="528"/>
      <c r="DB62" s="528"/>
      <c r="DC62" s="528"/>
      <c r="DD62" s="528"/>
      <c r="DE62" s="528"/>
      <c r="DF62" s="528"/>
      <c r="DG62" s="528"/>
      <c r="DH62" s="528"/>
      <c r="DI62" s="528"/>
      <c r="DJ62" s="528"/>
      <c r="DK62" s="528"/>
      <c r="DL62" s="528"/>
      <c r="DM62" s="528"/>
      <c r="DN62" s="528"/>
      <c r="DO62" s="528"/>
      <c r="DP62" s="528"/>
      <c r="DQ62" s="528"/>
      <c r="DR62" s="528"/>
      <c r="DS62" s="528"/>
      <c r="DT62" s="528"/>
      <c r="DU62" s="528"/>
      <c r="DV62" s="528"/>
      <c r="DW62" s="528"/>
      <c r="DX62" s="528"/>
      <c r="DY62" s="528"/>
      <c r="DZ62" s="528"/>
      <c r="EA62" s="528"/>
      <c r="EB62" s="528"/>
      <c r="EC62" s="528"/>
      <c r="ED62" s="528"/>
      <c r="EE62" s="528"/>
      <c r="EF62" s="528"/>
      <c r="EG62" s="528"/>
      <c r="EH62" s="528"/>
      <c r="EI62" s="528"/>
      <c r="EJ62" s="528"/>
      <c r="EK62" s="528"/>
      <c r="EL62" s="528"/>
      <c r="EM62" s="528"/>
      <c r="EN62" s="528"/>
      <c r="EO62" s="528"/>
      <c r="EP62" s="528"/>
      <c r="EQ62" s="528"/>
      <c r="ER62" s="528"/>
      <c r="ES62" s="528"/>
      <c r="ET62" s="528"/>
      <c r="EU62" s="528"/>
      <c r="EV62" s="528"/>
      <c r="EW62" s="528"/>
      <c r="EX62" s="528"/>
      <c r="EY62" s="528"/>
      <c r="EZ62" s="528"/>
      <c r="FA62" s="528"/>
      <c r="FB62" s="528"/>
      <c r="FC62" s="528"/>
      <c r="FD62" s="528"/>
      <c r="FE62" s="528"/>
      <c r="FF62" s="528"/>
      <c r="FG62" s="528"/>
      <c r="FH62" s="528"/>
      <c r="FI62" s="528"/>
      <c r="FJ62" s="528"/>
      <c r="FK62" s="528"/>
      <c r="FL62" s="528"/>
      <c r="FM62" s="528"/>
      <c r="FN62" s="528"/>
      <c r="FO62" s="528"/>
      <c r="FP62" s="528"/>
      <c r="FQ62" s="528"/>
      <c r="FR62" s="528"/>
      <c r="FS62" s="528"/>
      <c r="FT62" s="528"/>
      <c r="FU62" s="528"/>
      <c r="FV62" s="528"/>
      <c r="FW62" s="528"/>
      <c r="FX62" s="528"/>
      <c r="FY62" s="528"/>
      <c r="FZ62" s="528"/>
      <c r="GA62" s="528"/>
      <c r="GB62" s="528"/>
      <c r="GC62" s="528"/>
      <c r="GD62" s="528"/>
      <c r="GE62" s="528"/>
      <c r="GF62" s="528"/>
      <c r="GG62" s="528"/>
      <c r="GH62" s="528"/>
      <c r="GI62" s="528"/>
      <c r="GJ62" s="528"/>
      <c r="GK62" s="528"/>
      <c r="GL62" s="528"/>
      <c r="GM62" s="528"/>
      <c r="GN62" s="528"/>
      <c r="GO62" s="528"/>
      <c r="GP62" s="528"/>
      <c r="GQ62" s="528"/>
      <c r="GR62" s="528"/>
      <c r="GS62" s="528"/>
      <c r="GT62" s="528"/>
      <c r="GU62" s="528"/>
      <c r="GV62" s="528"/>
      <c r="GW62" s="528"/>
      <c r="GX62" s="528"/>
      <c r="GY62" s="528"/>
      <c r="GZ62" s="528"/>
      <c r="HA62" s="528"/>
      <c r="HB62" s="528"/>
      <c r="HC62" s="528"/>
      <c r="HD62" s="528"/>
      <c r="HE62" s="528"/>
      <c r="HF62" s="528"/>
      <c r="HG62" s="528"/>
      <c r="HH62" s="528"/>
      <c r="HI62" s="528"/>
      <c r="HJ62" s="528"/>
      <c r="HK62" s="528"/>
      <c r="HL62" s="528"/>
      <c r="HM62" s="528"/>
      <c r="HN62" s="528"/>
      <c r="HO62" s="528"/>
      <c r="HP62" s="528"/>
      <c r="HQ62" s="528"/>
      <c r="HR62" s="528"/>
      <c r="HS62" s="528"/>
      <c r="HT62" s="528"/>
      <c r="HU62" s="528"/>
      <c r="HV62" s="528"/>
      <c r="HW62" s="528"/>
      <c r="HX62" s="528"/>
      <c r="HY62" s="528"/>
      <c r="HZ62" s="528"/>
      <c r="IA62" s="528"/>
      <c r="IB62" s="528"/>
      <c r="IC62" s="528"/>
      <c r="ID62" s="528"/>
      <c r="IE62" s="528"/>
      <c r="IF62" s="528"/>
      <c r="IG62" s="528"/>
      <c r="IH62" s="528"/>
      <c r="II62" s="528"/>
      <c r="IJ62" s="528"/>
      <c r="IK62" s="528"/>
      <c r="IL62" s="528"/>
      <c r="IM62" s="528"/>
      <c r="IN62" s="528"/>
      <c r="IO62" s="528"/>
    </row>
    <row r="63" spans="3:249" x14ac:dyDescent="0.25">
      <c r="C63" s="438"/>
      <c r="D63" s="569"/>
      <c r="E63" s="576" t="s">
        <v>544</v>
      </c>
      <c r="F63" s="577">
        <f>+H10</f>
        <v>128853.2</v>
      </c>
      <c r="G63" s="578">
        <f>+F63/F62</f>
        <v>0.88046957210993126</v>
      </c>
      <c r="H63" s="579">
        <f>+E10</f>
        <v>757.96</v>
      </c>
      <c r="I63" s="580"/>
      <c r="J63" s="480"/>
      <c r="K63" s="438"/>
      <c r="L63" s="519"/>
      <c r="M63" s="519"/>
      <c r="N63" s="519"/>
      <c r="O63" s="528"/>
      <c r="P63" s="528"/>
      <c r="Q63" s="528"/>
      <c r="R63" s="528"/>
      <c r="S63" s="528"/>
      <c r="T63" s="528"/>
      <c r="U63" s="528"/>
      <c r="V63" s="528"/>
      <c r="W63" s="528"/>
      <c r="X63" s="528"/>
      <c r="Y63" s="528"/>
      <c r="Z63" s="528"/>
      <c r="AA63" s="480"/>
      <c r="AB63" s="528"/>
      <c r="AC63" s="528"/>
      <c r="AD63" s="528"/>
      <c r="AE63" s="528"/>
      <c r="AF63" s="528"/>
      <c r="AG63" s="528"/>
      <c r="AH63" s="528"/>
      <c r="AI63" s="528"/>
      <c r="AJ63" s="528"/>
      <c r="AK63" s="528"/>
      <c r="AL63" s="528"/>
      <c r="AM63" s="528"/>
      <c r="AN63" s="528"/>
      <c r="AO63" s="528"/>
      <c r="AP63" s="528"/>
      <c r="AQ63" s="528"/>
      <c r="AR63" s="528"/>
      <c r="AS63" s="528"/>
      <c r="AT63" s="528"/>
      <c r="AU63" s="528"/>
      <c r="AV63" s="528"/>
      <c r="AW63" s="528"/>
      <c r="AX63" s="528"/>
      <c r="AY63" s="528"/>
      <c r="AZ63" s="528"/>
      <c r="BA63" s="528"/>
      <c r="BB63" s="528"/>
      <c r="BC63" s="528"/>
      <c r="BD63" s="528"/>
      <c r="BE63" s="528"/>
      <c r="BF63" s="528"/>
      <c r="BG63" s="528"/>
      <c r="BH63" s="528"/>
      <c r="BI63" s="528"/>
      <c r="BJ63" s="528"/>
      <c r="BK63" s="528"/>
      <c r="BL63" s="528"/>
      <c r="BM63" s="528"/>
      <c r="BN63" s="528"/>
      <c r="BO63" s="528"/>
      <c r="BP63" s="528"/>
      <c r="BQ63" s="528"/>
      <c r="BR63" s="528"/>
      <c r="BS63" s="528"/>
      <c r="BT63" s="528"/>
      <c r="BU63" s="528"/>
      <c r="BV63" s="528"/>
      <c r="BW63" s="528"/>
      <c r="BX63" s="528"/>
      <c r="BY63" s="528"/>
      <c r="BZ63" s="528"/>
      <c r="CA63" s="528"/>
      <c r="CB63" s="528"/>
      <c r="CC63" s="528"/>
      <c r="CD63" s="528"/>
      <c r="CE63" s="528"/>
      <c r="CF63" s="528"/>
      <c r="CG63" s="528"/>
      <c r="CH63" s="528"/>
      <c r="CI63" s="528"/>
      <c r="CJ63" s="528"/>
      <c r="CK63" s="528"/>
      <c r="CL63" s="528"/>
      <c r="CM63" s="528"/>
      <c r="CN63" s="528"/>
      <c r="CO63" s="528"/>
      <c r="CP63" s="528"/>
      <c r="CQ63" s="528"/>
      <c r="CR63" s="528"/>
      <c r="CS63" s="528"/>
      <c r="CT63" s="528"/>
      <c r="CU63" s="528"/>
      <c r="CV63" s="528"/>
      <c r="CW63" s="528"/>
      <c r="CX63" s="528"/>
      <c r="CY63" s="528"/>
      <c r="CZ63" s="528"/>
      <c r="DA63" s="528"/>
      <c r="DB63" s="528"/>
      <c r="DC63" s="528"/>
      <c r="DD63" s="528"/>
      <c r="DE63" s="528"/>
      <c r="DF63" s="528"/>
      <c r="DG63" s="528"/>
      <c r="DH63" s="528"/>
      <c r="DI63" s="528"/>
      <c r="DJ63" s="528"/>
      <c r="DK63" s="528"/>
      <c r="DL63" s="528"/>
      <c r="DM63" s="528"/>
      <c r="DN63" s="528"/>
      <c r="DO63" s="528"/>
      <c r="DP63" s="528"/>
      <c r="DQ63" s="528"/>
      <c r="DR63" s="528"/>
      <c r="DS63" s="528"/>
      <c r="DT63" s="528"/>
      <c r="DU63" s="528"/>
      <c r="DV63" s="528"/>
      <c r="DW63" s="528"/>
      <c r="DX63" s="528"/>
      <c r="DY63" s="528"/>
      <c r="DZ63" s="528"/>
      <c r="EA63" s="528"/>
      <c r="EB63" s="528"/>
      <c r="EC63" s="528"/>
      <c r="ED63" s="528"/>
      <c r="EE63" s="528"/>
      <c r="EF63" s="528"/>
      <c r="EG63" s="528"/>
      <c r="EH63" s="528"/>
      <c r="EI63" s="528"/>
      <c r="EJ63" s="528"/>
      <c r="EK63" s="528"/>
      <c r="EL63" s="528"/>
      <c r="EM63" s="528"/>
      <c r="EN63" s="528"/>
      <c r="EO63" s="528"/>
      <c r="EP63" s="528"/>
      <c r="EQ63" s="528"/>
      <c r="ER63" s="528"/>
      <c r="ES63" s="528"/>
      <c r="ET63" s="528"/>
      <c r="EU63" s="528"/>
      <c r="EV63" s="528"/>
      <c r="EW63" s="528"/>
      <c r="EX63" s="528"/>
      <c r="EY63" s="528"/>
      <c r="EZ63" s="528"/>
      <c r="FA63" s="528"/>
      <c r="FB63" s="528"/>
      <c r="FC63" s="528"/>
      <c r="FD63" s="528"/>
      <c r="FE63" s="528"/>
      <c r="FF63" s="528"/>
      <c r="FG63" s="528"/>
      <c r="FH63" s="528"/>
      <c r="FI63" s="528"/>
      <c r="FJ63" s="528"/>
      <c r="FK63" s="528"/>
      <c r="FL63" s="528"/>
      <c r="FM63" s="528"/>
      <c r="FN63" s="528"/>
      <c r="FO63" s="528"/>
      <c r="FP63" s="528"/>
      <c r="FQ63" s="528"/>
      <c r="FR63" s="528"/>
      <c r="FS63" s="528"/>
      <c r="FT63" s="528"/>
      <c r="FU63" s="528"/>
      <c r="FV63" s="528"/>
      <c r="FW63" s="528"/>
      <c r="FX63" s="528"/>
      <c r="FY63" s="528"/>
      <c r="FZ63" s="528"/>
      <c r="GA63" s="528"/>
      <c r="GB63" s="528"/>
      <c r="GC63" s="528"/>
      <c r="GD63" s="528"/>
      <c r="GE63" s="528"/>
      <c r="GF63" s="528"/>
      <c r="GG63" s="528"/>
      <c r="GH63" s="528"/>
      <c r="GI63" s="528"/>
      <c r="GJ63" s="528"/>
      <c r="GK63" s="528"/>
      <c r="GL63" s="528"/>
      <c r="GM63" s="528"/>
      <c r="GN63" s="528"/>
      <c r="GO63" s="528"/>
      <c r="GP63" s="528"/>
      <c r="GQ63" s="528"/>
      <c r="GR63" s="528"/>
      <c r="GS63" s="528"/>
      <c r="GT63" s="528"/>
      <c r="GU63" s="528"/>
      <c r="GV63" s="528"/>
      <c r="GW63" s="528"/>
      <c r="GX63" s="528"/>
      <c r="GY63" s="528"/>
      <c r="GZ63" s="528"/>
      <c r="HA63" s="528"/>
      <c r="HB63" s="528"/>
      <c r="HC63" s="528"/>
      <c r="HD63" s="528"/>
      <c r="HE63" s="528"/>
      <c r="HF63" s="528"/>
      <c r="HG63" s="528"/>
      <c r="HH63" s="528"/>
      <c r="HI63" s="528"/>
      <c r="HJ63" s="528"/>
      <c r="HK63" s="528"/>
      <c r="HL63" s="528"/>
      <c r="HM63" s="528"/>
      <c r="HN63" s="528"/>
      <c r="HO63" s="528"/>
      <c r="HP63" s="528"/>
      <c r="HQ63" s="528"/>
      <c r="HR63" s="528"/>
      <c r="HS63" s="528"/>
      <c r="HT63" s="528"/>
      <c r="HU63" s="528"/>
      <c r="HV63" s="528"/>
      <c r="HW63" s="528"/>
      <c r="HX63" s="528"/>
      <c r="HY63" s="528"/>
      <c r="HZ63" s="528"/>
      <c r="IA63" s="528"/>
      <c r="IB63" s="528"/>
      <c r="IC63" s="528"/>
      <c r="ID63" s="528"/>
      <c r="IE63" s="528"/>
      <c r="IF63" s="528"/>
      <c r="IG63" s="528"/>
      <c r="IH63" s="528"/>
      <c r="II63" s="528"/>
      <c r="IJ63" s="528"/>
      <c r="IK63" s="528"/>
      <c r="IL63" s="528"/>
      <c r="IM63" s="528"/>
      <c r="IN63" s="528"/>
      <c r="IO63" s="528"/>
    </row>
    <row r="64" spans="3:249" x14ac:dyDescent="0.25">
      <c r="C64" s="438"/>
      <c r="D64" s="569"/>
      <c r="E64" s="576" t="s">
        <v>545</v>
      </c>
      <c r="F64" s="581">
        <v>3703</v>
      </c>
      <c r="G64" s="578">
        <f>+F64/F62</f>
        <v>2.5303048938816231E-2</v>
      </c>
      <c r="H64" s="579"/>
      <c r="I64" s="580"/>
      <c r="J64" s="480"/>
      <c r="K64" s="438"/>
      <c r="L64" s="519"/>
      <c r="M64" s="519"/>
      <c r="N64" s="519"/>
      <c r="O64" s="528"/>
      <c r="P64" s="528"/>
      <c r="Q64" s="528"/>
      <c r="R64" s="528"/>
      <c r="S64" s="528"/>
      <c r="T64" s="528"/>
      <c r="U64" s="528"/>
      <c r="V64" s="528"/>
      <c r="W64" s="528"/>
      <c r="X64" s="528"/>
      <c r="Y64" s="528"/>
      <c r="Z64" s="528"/>
      <c r="AA64" s="480"/>
      <c r="AB64" s="528"/>
      <c r="AC64" s="528"/>
      <c r="AD64" s="528"/>
      <c r="AE64" s="528"/>
      <c r="AF64" s="528"/>
      <c r="AG64" s="528"/>
      <c r="AH64" s="528"/>
      <c r="AI64" s="528"/>
      <c r="AJ64" s="528"/>
      <c r="AK64" s="528"/>
      <c r="AL64" s="528"/>
      <c r="AM64" s="528"/>
      <c r="AN64" s="528"/>
      <c r="AO64" s="528"/>
      <c r="AP64" s="528"/>
      <c r="AQ64" s="528"/>
      <c r="AR64" s="528"/>
      <c r="AS64" s="528"/>
      <c r="AT64" s="528"/>
      <c r="AU64" s="528"/>
      <c r="AV64" s="528"/>
      <c r="AW64" s="528"/>
      <c r="AX64" s="528"/>
      <c r="AY64" s="528"/>
      <c r="AZ64" s="528"/>
      <c r="BA64" s="528"/>
      <c r="BB64" s="528"/>
      <c r="BC64" s="528"/>
      <c r="BD64" s="528"/>
      <c r="BE64" s="528"/>
      <c r="BF64" s="528"/>
      <c r="BG64" s="528"/>
      <c r="BH64" s="528"/>
      <c r="BI64" s="528"/>
      <c r="BJ64" s="528"/>
      <c r="BK64" s="528"/>
      <c r="BL64" s="528"/>
      <c r="BM64" s="528"/>
      <c r="BN64" s="528"/>
      <c r="BO64" s="528"/>
      <c r="BP64" s="528"/>
      <c r="BQ64" s="528"/>
      <c r="BR64" s="528"/>
      <c r="BS64" s="528"/>
      <c r="BT64" s="528"/>
      <c r="BU64" s="528"/>
      <c r="BV64" s="528"/>
      <c r="BW64" s="528"/>
      <c r="BX64" s="528"/>
      <c r="BY64" s="528"/>
      <c r="BZ64" s="528"/>
      <c r="CA64" s="528"/>
      <c r="CB64" s="528"/>
      <c r="CC64" s="528"/>
      <c r="CD64" s="528"/>
      <c r="CE64" s="528"/>
      <c r="CF64" s="528"/>
      <c r="CG64" s="528"/>
      <c r="CH64" s="528"/>
      <c r="CI64" s="528"/>
      <c r="CJ64" s="528"/>
      <c r="CK64" s="528"/>
      <c r="CL64" s="528"/>
      <c r="CM64" s="528"/>
      <c r="CN64" s="528"/>
      <c r="CO64" s="528"/>
      <c r="CP64" s="528"/>
      <c r="CQ64" s="528"/>
      <c r="CR64" s="528"/>
      <c r="CS64" s="528"/>
      <c r="CT64" s="528"/>
      <c r="CU64" s="528"/>
      <c r="CV64" s="528"/>
      <c r="CW64" s="528"/>
      <c r="CX64" s="528"/>
      <c r="CY64" s="528"/>
      <c r="CZ64" s="528"/>
      <c r="DA64" s="528"/>
      <c r="DB64" s="528"/>
      <c r="DC64" s="528"/>
      <c r="DD64" s="528"/>
      <c r="DE64" s="528"/>
      <c r="DF64" s="528"/>
      <c r="DG64" s="528"/>
      <c r="DH64" s="528"/>
      <c r="DI64" s="528"/>
      <c r="DJ64" s="528"/>
      <c r="DK64" s="528"/>
      <c r="DL64" s="528"/>
      <c r="DM64" s="528"/>
      <c r="DN64" s="528"/>
      <c r="DO64" s="528"/>
      <c r="DP64" s="528"/>
      <c r="DQ64" s="528"/>
      <c r="DR64" s="528"/>
      <c r="DS64" s="528"/>
      <c r="DT64" s="528"/>
      <c r="DU64" s="528"/>
      <c r="DV64" s="528"/>
      <c r="DW64" s="528"/>
      <c r="DX64" s="528"/>
      <c r="DY64" s="528"/>
      <c r="DZ64" s="528"/>
      <c r="EA64" s="528"/>
      <c r="EB64" s="528"/>
      <c r="EC64" s="528"/>
      <c r="ED64" s="528"/>
      <c r="EE64" s="528"/>
      <c r="EF64" s="528"/>
      <c r="EG64" s="528"/>
      <c r="EH64" s="528"/>
      <c r="EI64" s="528"/>
      <c r="EJ64" s="528"/>
      <c r="EK64" s="528"/>
      <c r="EL64" s="528"/>
      <c r="EM64" s="528"/>
      <c r="EN64" s="528"/>
      <c r="EO64" s="528"/>
      <c r="EP64" s="528"/>
      <c r="EQ64" s="528"/>
      <c r="ER64" s="528"/>
      <c r="ES64" s="528"/>
      <c r="ET64" s="528"/>
      <c r="EU64" s="528"/>
      <c r="EV64" s="528"/>
      <c r="EW64" s="528"/>
      <c r="EX64" s="528"/>
      <c r="EY64" s="528"/>
      <c r="EZ64" s="528"/>
      <c r="FA64" s="528"/>
      <c r="FB64" s="528"/>
      <c r="FC64" s="528"/>
      <c r="FD64" s="528"/>
      <c r="FE64" s="528"/>
      <c r="FF64" s="528"/>
      <c r="FG64" s="528"/>
      <c r="FH64" s="528"/>
      <c r="FI64" s="528"/>
      <c r="FJ64" s="528"/>
      <c r="FK64" s="528"/>
      <c r="FL64" s="528"/>
      <c r="FM64" s="528"/>
      <c r="FN64" s="528"/>
      <c r="FO64" s="528"/>
      <c r="FP64" s="528"/>
      <c r="FQ64" s="528"/>
      <c r="FR64" s="528"/>
      <c r="FS64" s="528"/>
      <c r="FT64" s="528"/>
      <c r="FU64" s="528"/>
      <c r="FV64" s="528"/>
      <c r="FW64" s="528"/>
      <c r="FX64" s="528"/>
      <c r="FY64" s="528"/>
      <c r="FZ64" s="528"/>
      <c r="GA64" s="528"/>
      <c r="GB64" s="528"/>
      <c r="GC64" s="528"/>
      <c r="GD64" s="528"/>
      <c r="GE64" s="528"/>
      <c r="GF64" s="528"/>
      <c r="GG64" s="528"/>
      <c r="GH64" s="528"/>
      <c r="GI64" s="528"/>
      <c r="GJ64" s="528"/>
      <c r="GK64" s="528"/>
      <c r="GL64" s="528"/>
      <c r="GM64" s="528"/>
      <c r="GN64" s="528"/>
      <c r="GO64" s="528"/>
      <c r="GP64" s="528"/>
      <c r="GQ64" s="528"/>
      <c r="GR64" s="528"/>
      <c r="GS64" s="528"/>
      <c r="GT64" s="528"/>
      <c r="GU64" s="528"/>
      <c r="GV64" s="528"/>
      <c r="GW64" s="528"/>
      <c r="GX64" s="528"/>
      <c r="GY64" s="528"/>
      <c r="GZ64" s="528"/>
      <c r="HA64" s="528"/>
      <c r="HB64" s="528"/>
      <c r="HC64" s="528"/>
      <c r="HD64" s="528"/>
      <c r="HE64" s="528"/>
      <c r="HF64" s="528"/>
      <c r="HG64" s="528"/>
      <c r="HH64" s="528"/>
      <c r="HI64" s="528"/>
      <c r="HJ64" s="528"/>
      <c r="HK64" s="528"/>
      <c r="HL64" s="528"/>
      <c r="HM64" s="528"/>
      <c r="HN64" s="528"/>
      <c r="HO64" s="528"/>
      <c r="HP64" s="528"/>
      <c r="HQ64" s="528"/>
      <c r="HR64" s="528"/>
      <c r="HS64" s="528"/>
      <c r="HT64" s="528"/>
      <c r="HU64" s="528"/>
      <c r="HV64" s="528"/>
      <c r="HW64" s="528"/>
      <c r="HX64" s="528"/>
      <c r="HY64" s="528"/>
      <c r="HZ64" s="528"/>
      <c r="IA64" s="528"/>
      <c r="IB64" s="528"/>
      <c r="IC64" s="528"/>
      <c r="ID64" s="528"/>
      <c r="IE64" s="528"/>
      <c r="IF64" s="528"/>
      <c r="IG64" s="528"/>
      <c r="IH64" s="528"/>
      <c r="II64" s="528"/>
      <c r="IJ64" s="528"/>
      <c r="IK64" s="528"/>
      <c r="IL64" s="528"/>
      <c r="IM64" s="528"/>
      <c r="IN64" s="528"/>
      <c r="IO64" s="528"/>
    </row>
    <row r="65" spans="3:249" x14ac:dyDescent="0.25">
      <c r="C65" s="438"/>
      <c r="D65" s="569"/>
      <c r="E65" s="582" t="s">
        <v>546</v>
      </c>
      <c r="F65" s="583">
        <f>+F62-F63</f>
        <v>17492.800000000003</v>
      </c>
      <c r="G65" s="584">
        <f>+F65/F62</f>
        <v>0.11953042789006876</v>
      </c>
      <c r="H65" s="585"/>
      <c r="I65" s="586"/>
      <c r="J65" s="480"/>
      <c r="K65" s="438"/>
      <c r="L65" s="519"/>
      <c r="M65" s="519"/>
      <c r="N65" s="519"/>
      <c r="O65" s="528"/>
      <c r="P65" s="528"/>
      <c r="Q65" s="528"/>
      <c r="R65" s="528"/>
      <c r="S65" s="528"/>
      <c r="T65" s="528"/>
      <c r="U65" s="528"/>
      <c r="V65" s="528"/>
      <c r="W65" s="528"/>
      <c r="X65" s="528"/>
      <c r="Y65" s="528"/>
      <c r="Z65" s="528"/>
      <c r="AA65" s="480"/>
      <c r="AB65" s="528"/>
      <c r="AC65" s="528"/>
      <c r="AD65" s="528"/>
      <c r="AE65" s="528"/>
      <c r="AF65" s="528"/>
      <c r="AG65" s="528"/>
      <c r="AH65" s="528"/>
      <c r="AI65" s="528"/>
      <c r="AJ65" s="528"/>
      <c r="AK65" s="528"/>
      <c r="AL65" s="528"/>
      <c r="AM65" s="528"/>
      <c r="AN65" s="528"/>
      <c r="AO65" s="528"/>
      <c r="AP65" s="528"/>
      <c r="AQ65" s="528"/>
      <c r="AR65" s="528"/>
      <c r="AS65" s="528"/>
      <c r="AT65" s="528"/>
      <c r="AU65" s="528"/>
      <c r="AV65" s="528"/>
      <c r="AW65" s="528"/>
      <c r="AX65" s="528"/>
      <c r="AY65" s="528"/>
      <c r="AZ65" s="528"/>
      <c r="BA65" s="528"/>
      <c r="BB65" s="528"/>
      <c r="BC65" s="528"/>
      <c r="BD65" s="528"/>
      <c r="BE65" s="528"/>
      <c r="BF65" s="528"/>
      <c r="BG65" s="528"/>
      <c r="BH65" s="528"/>
      <c r="BI65" s="528"/>
      <c r="BJ65" s="528"/>
      <c r="BK65" s="528"/>
      <c r="BL65" s="528"/>
      <c r="BM65" s="528"/>
      <c r="BN65" s="528"/>
      <c r="BO65" s="528"/>
      <c r="BP65" s="528"/>
      <c r="BQ65" s="528"/>
      <c r="BR65" s="528"/>
      <c r="BS65" s="528"/>
      <c r="BT65" s="528"/>
      <c r="BU65" s="528"/>
      <c r="BV65" s="528"/>
      <c r="BW65" s="528"/>
      <c r="BX65" s="528"/>
      <c r="BY65" s="528"/>
      <c r="BZ65" s="528"/>
      <c r="CA65" s="528"/>
      <c r="CB65" s="528"/>
      <c r="CC65" s="528"/>
      <c r="CD65" s="528"/>
      <c r="CE65" s="528"/>
      <c r="CF65" s="528"/>
      <c r="CG65" s="528"/>
      <c r="CH65" s="528"/>
      <c r="CI65" s="528"/>
      <c r="CJ65" s="528"/>
      <c r="CK65" s="528"/>
      <c r="CL65" s="528"/>
      <c r="CM65" s="528"/>
      <c r="CN65" s="528"/>
      <c r="CO65" s="528"/>
      <c r="CP65" s="528"/>
      <c r="CQ65" s="528"/>
      <c r="CR65" s="528"/>
      <c r="CS65" s="528"/>
      <c r="CT65" s="528"/>
      <c r="CU65" s="528"/>
      <c r="CV65" s="528"/>
      <c r="CW65" s="528"/>
      <c r="CX65" s="528"/>
      <c r="CY65" s="528"/>
      <c r="CZ65" s="528"/>
      <c r="DA65" s="528"/>
      <c r="DB65" s="528"/>
      <c r="DC65" s="528"/>
      <c r="DD65" s="528"/>
      <c r="DE65" s="528"/>
      <c r="DF65" s="528"/>
      <c r="DG65" s="528"/>
      <c r="DH65" s="528"/>
      <c r="DI65" s="528"/>
      <c r="DJ65" s="528"/>
      <c r="DK65" s="528"/>
      <c r="DL65" s="528"/>
      <c r="DM65" s="528"/>
      <c r="DN65" s="528"/>
      <c r="DO65" s="528"/>
      <c r="DP65" s="528"/>
      <c r="DQ65" s="528"/>
      <c r="DR65" s="528"/>
      <c r="DS65" s="528"/>
      <c r="DT65" s="528"/>
      <c r="DU65" s="528"/>
      <c r="DV65" s="528"/>
      <c r="DW65" s="528"/>
      <c r="DX65" s="528"/>
      <c r="DY65" s="528"/>
      <c r="DZ65" s="528"/>
      <c r="EA65" s="528"/>
      <c r="EB65" s="528"/>
      <c r="EC65" s="528"/>
      <c r="ED65" s="528"/>
      <c r="EE65" s="528"/>
      <c r="EF65" s="528"/>
      <c r="EG65" s="528"/>
      <c r="EH65" s="528"/>
      <c r="EI65" s="528"/>
      <c r="EJ65" s="528"/>
      <c r="EK65" s="528"/>
      <c r="EL65" s="528"/>
      <c r="EM65" s="528"/>
      <c r="EN65" s="528"/>
      <c r="EO65" s="528"/>
      <c r="EP65" s="528"/>
      <c r="EQ65" s="528"/>
      <c r="ER65" s="528"/>
      <c r="ES65" s="528"/>
      <c r="ET65" s="528"/>
      <c r="EU65" s="528"/>
      <c r="EV65" s="528"/>
      <c r="EW65" s="528"/>
      <c r="EX65" s="528"/>
      <c r="EY65" s="528"/>
      <c r="EZ65" s="528"/>
      <c r="FA65" s="528"/>
      <c r="FB65" s="528"/>
      <c r="FC65" s="528"/>
      <c r="FD65" s="528"/>
      <c r="FE65" s="528"/>
      <c r="FF65" s="528"/>
      <c r="FG65" s="528"/>
      <c r="FH65" s="528"/>
      <c r="FI65" s="528"/>
      <c r="FJ65" s="528"/>
      <c r="FK65" s="528"/>
      <c r="FL65" s="528"/>
      <c r="FM65" s="528"/>
      <c r="FN65" s="528"/>
      <c r="FO65" s="528"/>
      <c r="FP65" s="528"/>
      <c r="FQ65" s="528"/>
      <c r="FR65" s="528"/>
      <c r="FS65" s="528"/>
      <c r="FT65" s="528"/>
      <c r="FU65" s="528"/>
      <c r="FV65" s="528"/>
      <c r="FW65" s="528"/>
      <c r="FX65" s="528"/>
      <c r="FY65" s="528"/>
      <c r="FZ65" s="528"/>
      <c r="GA65" s="528"/>
      <c r="GB65" s="528"/>
      <c r="GC65" s="528"/>
      <c r="GD65" s="528"/>
      <c r="GE65" s="528"/>
      <c r="GF65" s="528"/>
      <c r="GG65" s="528"/>
      <c r="GH65" s="528"/>
      <c r="GI65" s="528"/>
      <c r="GJ65" s="528"/>
      <c r="GK65" s="528"/>
      <c r="GL65" s="528"/>
      <c r="GM65" s="528"/>
      <c r="GN65" s="528"/>
      <c r="GO65" s="528"/>
      <c r="GP65" s="528"/>
      <c r="GQ65" s="528"/>
      <c r="GR65" s="528"/>
      <c r="GS65" s="528"/>
      <c r="GT65" s="528"/>
      <c r="GU65" s="528"/>
      <c r="GV65" s="528"/>
      <c r="GW65" s="528"/>
      <c r="GX65" s="528"/>
      <c r="GY65" s="528"/>
      <c r="GZ65" s="528"/>
      <c r="HA65" s="528"/>
      <c r="HB65" s="528"/>
      <c r="HC65" s="528"/>
      <c r="HD65" s="528"/>
      <c r="HE65" s="528"/>
      <c r="HF65" s="528"/>
      <c r="HG65" s="528"/>
      <c r="HH65" s="528"/>
      <c r="HI65" s="528"/>
      <c r="HJ65" s="528"/>
      <c r="HK65" s="528"/>
      <c r="HL65" s="528"/>
      <c r="HM65" s="528"/>
      <c r="HN65" s="528"/>
      <c r="HO65" s="528"/>
      <c r="HP65" s="528"/>
      <c r="HQ65" s="528"/>
      <c r="HR65" s="528"/>
      <c r="HS65" s="528"/>
      <c r="HT65" s="528"/>
      <c r="HU65" s="528"/>
      <c r="HV65" s="528"/>
      <c r="HW65" s="528"/>
      <c r="HX65" s="528"/>
      <c r="HY65" s="528"/>
      <c r="HZ65" s="528"/>
      <c r="IA65" s="528"/>
      <c r="IB65" s="528"/>
      <c r="IC65" s="528"/>
      <c r="ID65" s="528"/>
      <c r="IE65" s="528"/>
      <c r="IF65" s="528"/>
      <c r="IG65" s="528"/>
      <c r="IH65" s="528"/>
      <c r="II65" s="528"/>
      <c r="IJ65" s="528"/>
      <c r="IK65" s="528"/>
      <c r="IL65" s="528"/>
      <c r="IM65" s="528"/>
      <c r="IN65" s="528"/>
      <c r="IO65" s="528"/>
    </row>
    <row r="66" spans="3:249" x14ac:dyDescent="0.25">
      <c r="C66" s="438"/>
      <c r="D66" s="569"/>
      <c r="E66" s="443"/>
      <c r="F66" s="551"/>
      <c r="G66" s="551"/>
      <c r="H66" s="551"/>
      <c r="I66" s="551"/>
      <c r="J66" s="480"/>
      <c r="K66" s="438"/>
      <c r="L66" s="519"/>
      <c r="M66" s="519"/>
      <c r="N66" s="519"/>
      <c r="O66" s="528"/>
      <c r="P66" s="528"/>
      <c r="Q66" s="528"/>
      <c r="R66" s="528"/>
      <c r="S66" s="528"/>
      <c r="T66" s="528"/>
      <c r="U66" s="528"/>
      <c r="V66" s="528"/>
      <c r="W66" s="528"/>
      <c r="X66" s="528"/>
      <c r="Y66" s="528"/>
      <c r="Z66" s="528"/>
      <c r="AA66" s="480"/>
      <c r="AB66" s="528"/>
      <c r="AC66" s="528"/>
      <c r="AD66" s="528"/>
      <c r="AE66" s="528"/>
      <c r="AF66" s="528"/>
      <c r="AG66" s="528"/>
      <c r="AH66" s="528"/>
      <c r="AI66" s="528"/>
      <c r="AJ66" s="528"/>
      <c r="AK66" s="528"/>
      <c r="AL66" s="528"/>
      <c r="AM66" s="528"/>
      <c r="AN66" s="528"/>
      <c r="AO66" s="528"/>
      <c r="AP66" s="528"/>
      <c r="AQ66" s="528"/>
      <c r="AR66" s="528"/>
      <c r="AS66" s="528"/>
      <c r="AT66" s="528"/>
      <c r="AU66" s="528"/>
      <c r="AV66" s="528"/>
      <c r="AW66" s="528"/>
      <c r="AX66" s="528"/>
      <c r="AY66" s="528"/>
      <c r="AZ66" s="528"/>
      <c r="BA66" s="528"/>
      <c r="BB66" s="528"/>
      <c r="BC66" s="528"/>
      <c r="BD66" s="528"/>
      <c r="BE66" s="528"/>
      <c r="BF66" s="528"/>
      <c r="BG66" s="528"/>
      <c r="BH66" s="528"/>
      <c r="BI66" s="528"/>
      <c r="BJ66" s="528"/>
      <c r="BK66" s="528"/>
      <c r="BL66" s="528"/>
      <c r="BM66" s="528"/>
      <c r="BN66" s="528"/>
      <c r="BO66" s="528"/>
      <c r="BP66" s="528"/>
      <c r="BQ66" s="528"/>
      <c r="BR66" s="528"/>
      <c r="BS66" s="528"/>
      <c r="BT66" s="528"/>
      <c r="BU66" s="528"/>
      <c r="BV66" s="528"/>
      <c r="BW66" s="528"/>
      <c r="BX66" s="528"/>
      <c r="BY66" s="528"/>
      <c r="BZ66" s="528"/>
      <c r="CA66" s="528"/>
      <c r="CB66" s="528"/>
      <c r="CC66" s="528"/>
      <c r="CD66" s="528"/>
      <c r="CE66" s="528"/>
      <c r="CF66" s="528"/>
      <c r="CG66" s="528"/>
      <c r="CH66" s="528"/>
      <c r="CI66" s="528"/>
      <c r="CJ66" s="528"/>
      <c r="CK66" s="528"/>
      <c r="CL66" s="528"/>
      <c r="CM66" s="528"/>
      <c r="CN66" s="528"/>
      <c r="CO66" s="528"/>
      <c r="CP66" s="528"/>
      <c r="CQ66" s="528"/>
      <c r="CR66" s="528"/>
      <c r="CS66" s="528"/>
      <c r="CT66" s="528"/>
      <c r="CU66" s="528"/>
      <c r="CV66" s="528"/>
      <c r="CW66" s="528"/>
      <c r="CX66" s="528"/>
      <c r="CY66" s="528"/>
      <c r="CZ66" s="528"/>
      <c r="DA66" s="528"/>
      <c r="DB66" s="528"/>
      <c r="DC66" s="528"/>
      <c r="DD66" s="528"/>
      <c r="DE66" s="528"/>
      <c r="DF66" s="528"/>
      <c r="DG66" s="528"/>
      <c r="DH66" s="528"/>
      <c r="DI66" s="528"/>
      <c r="DJ66" s="528"/>
      <c r="DK66" s="528"/>
      <c r="DL66" s="528"/>
      <c r="DM66" s="528"/>
      <c r="DN66" s="528"/>
      <c r="DO66" s="528"/>
      <c r="DP66" s="528"/>
      <c r="DQ66" s="528"/>
      <c r="DR66" s="528"/>
      <c r="DS66" s="528"/>
      <c r="DT66" s="528"/>
      <c r="DU66" s="528"/>
      <c r="DV66" s="528"/>
      <c r="DW66" s="528"/>
      <c r="DX66" s="528"/>
      <c r="DY66" s="528"/>
      <c r="DZ66" s="528"/>
      <c r="EA66" s="528"/>
      <c r="EB66" s="528"/>
      <c r="EC66" s="528"/>
      <c r="ED66" s="528"/>
      <c r="EE66" s="528"/>
      <c r="EF66" s="528"/>
      <c r="EG66" s="528"/>
      <c r="EH66" s="528"/>
      <c r="EI66" s="528"/>
      <c r="EJ66" s="528"/>
      <c r="EK66" s="528"/>
      <c r="EL66" s="528"/>
      <c r="EM66" s="528"/>
      <c r="EN66" s="528"/>
      <c r="EO66" s="528"/>
      <c r="EP66" s="528"/>
      <c r="EQ66" s="528"/>
      <c r="ER66" s="528"/>
      <c r="ES66" s="528"/>
      <c r="ET66" s="528"/>
      <c r="EU66" s="528"/>
      <c r="EV66" s="528"/>
      <c r="EW66" s="528"/>
      <c r="EX66" s="528"/>
      <c r="EY66" s="528"/>
      <c r="EZ66" s="528"/>
      <c r="FA66" s="528"/>
      <c r="FB66" s="528"/>
      <c r="FC66" s="528"/>
      <c r="FD66" s="528"/>
      <c r="FE66" s="528"/>
      <c r="FF66" s="528"/>
      <c r="FG66" s="528"/>
      <c r="FH66" s="528"/>
      <c r="FI66" s="528"/>
      <c r="FJ66" s="528"/>
      <c r="FK66" s="528"/>
      <c r="FL66" s="528"/>
      <c r="FM66" s="528"/>
      <c r="FN66" s="528"/>
      <c r="FO66" s="528"/>
      <c r="FP66" s="528"/>
      <c r="FQ66" s="528"/>
      <c r="FR66" s="528"/>
      <c r="FS66" s="528"/>
      <c r="FT66" s="528"/>
      <c r="FU66" s="528"/>
      <c r="FV66" s="528"/>
      <c r="FW66" s="528"/>
      <c r="FX66" s="528"/>
      <c r="FY66" s="528"/>
      <c r="FZ66" s="528"/>
      <c r="GA66" s="528"/>
      <c r="GB66" s="528"/>
      <c r="GC66" s="528"/>
      <c r="GD66" s="528"/>
      <c r="GE66" s="528"/>
      <c r="GF66" s="528"/>
      <c r="GG66" s="528"/>
      <c r="GH66" s="528"/>
      <c r="GI66" s="528"/>
      <c r="GJ66" s="528"/>
      <c r="GK66" s="528"/>
      <c r="GL66" s="528"/>
      <c r="GM66" s="528"/>
      <c r="GN66" s="528"/>
      <c r="GO66" s="528"/>
      <c r="GP66" s="528"/>
      <c r="GQ66" s="528"/>
      <c r="GR66" s="528"/>
      <c r="GS66" s="528"/>
      <c r="GT66" s="528"/>
      <c r="GU66" s="528"/>
      <c r="GV66" s="528"/>
      <c r="GW66" s="528"/>
      <c r="GX66" s="528"/>
      <c r="GY66" s="528"/>
      <c r="GZ66" s="528"/>
      <c r="HA66" s="528"/>
      <c r="HB66" s="528"/>
      <c r="HC66" s="528"/>
      <c r="HD66" s="528"/>
      <c r="HE66" s="528"/>
      <c r="HF66" s="528"/>
      <c r="HG66" s="528"/>
      <c r="HH66" s="528"/>
      <c r="HI66" s="528"/>
      <c r="HJ66" s="528"/>
      <c r="HK66" s="528"/>
      <c r="HL66" s="528"/>
      <c r="HM66" s="528"/>
      <c r="HN66" s="528"/>
      <c r="HO66" s="528"/>
      <c r="HP66" s="528"/>
      <c r="HQ66" s="528"/>
      <c r="HR66" s="528"/>
      <c r="HS66" s="528"/>
      <c r="HT66" s="528"/>
      <c r="HU66" s="528"/>
      <c r="HV66" s="528"/>
      <c r="HW66" s="528"/>
      <c r="HX66" s="528"/>
      <c r="HY66" s="528"/>
      <c r="HZ66" s="528"/>
      <c r="IA66" s="528"/>
      <c r="IB66" s="528"/>
      <c r="IC66" s="528"/>
      <c r="ID66" s="528"/>
      <c r="IE66" s="528"/>
      <c r="IF66" s="528"/>
      <c r="IG66" s="528"/>
      <c r="IH66" s="528"/>
      <c r="II66" s="528"/>
      <c r="IJ66" s="528"/>
      <c r="IK66" s="528"/>
      <c r="IL66" s="528"/>
      <c r="IM66" s="528"/>
      <c r="IN66" s="528"/>
      <c r="IO66" s="528"/>
    </row>
    <row r="67" spans="3:249" x14ac:dyDescent="0.25">
      <c r="C67" s="438"/>
      <c r="D67" s="569"/>
      <c r="E67" s="587"/>
      <c r="F67" s="588"/>
      <c r="G67" s="551"/>
      <c r="H67" s="551"/>
      <c r="I67" s="551"/>
      <c r="J67" s="551"/>
      <c r="K67" s="438"/>
      <c r="L67" s="519"/>
      <c r="M67" s="519"/>
      <c r="N67" s="519"/>
      <c r="O67" s="528"/>
      <c r="P67" s="528"/>
      <c r="Q67" s="528"/>
      <c r="R67" s="528"/>
      <c r="S67" s="528"/>
      <c r="T67" s="528"/>
      <c r="U67" s="528"/>
      <c r="V67" s="528"/>
      <c r="W67" s="528"/>
      <c r="X67" s="528"/>
      <c r="Y67" s="528"/>
      <c r="Z67" s="528"/>
      <c r="AA67" s="528"/>
      <c r="AB67" s="528"/>
      <c r="AC67" s="528"/>
      <c r="AD67" s="528"/>
      <c r="AE67" s="528"/>
      <c r="AF67" s="528"/>
      <c r="AG67" s="528"/>
      <c r="AH67" s="528"/>
      <c r="AI67" s="528"/>
      <c r="AJ67" s="528"/>
      <c r="AK67" s="528"/>
      <c r="AL67" s="528"/>
      <c r="AM67" s="528"/>
      <c r="AN67" s="528"/>
      <c r="AO67" s="528"/>
      <c r="AP67" s="528"/>
      <c r="AQ67" s="528"/>
      <c r="AR67" s="528"/>
      <c r="AS67" s="528"/>
      <c r="AT67" s="528"/>
      <c r="AU67" s="528"/>
      <c r="AV67" s="528"/>
      <c r="AW67" s="528"/>
      <c r="AX67" s="528"/>
      <c r="AY67" s="528"/>
      <c r="AZ67" s="528"/>
      <c r="BA67" s="528"/>
      <c r="BB67" s="528"/>
      <c r="BC67" s="528"/>
      <c r="BD67" s="528"/>
      <c r="BE67" s="528"/>
      <c r="BF67" s="528"/>
      <c r="BG67" s="528"/>
      <c r="BH67" s="528"/>
      <c r="BI67" s="528"/>
      <c r="BJ67" s="528"/>
      <c r="BK67" s="528"/>
      <c r="BL67" s="528"/>
      <c r="BM67" s="528"/>
      <c r="BN67" s="528"/>
      <c r="BO67" s="528"/>
      <c r="BP67" s="528"/>
      <c r="BQ67" s="528"/>
      <c r="BR67" s="528"/>
      <c r="BS67" s="528"/>
      <c r="BT67" s="528"/>
      <c r="BU67" s="528"/>
      <c r="BV67" s="528"/>
      <c r="BW67" s="528"/>
      <c r="BX67" s="528"/>
      <c r="BY67" s="528"/>
      <c r="BZ67" s="528"/>
      <c r="CA67" s="528"/>
      <c r="CB67" s="528"/>
      <c r="CC67" s="528"/>
      <c r="CD67" s="528"/>
      <c r="CE67" s="528"/>
      <c r="CF67" s="528"/>
      <c r="CG67" s="528"/>
      <c r="CH67" s="528"/>
      <c r="CI67" s="528"/>
      <c r="CJ67" s="528"/>
      <c r="CK67" s="528"/>
      <c r="CL67" s="528"/>
      <c r="CM67" s="528"/>
      <c r="CN67" s="528"/>
      <c r="CO67" s="528"/>
      <c r="CP67" s="528"/>
      <c r="CQ67" s="528"/>
      <c r="CR67" s="528"/>
      <c r="CS67" s="528"/>
      <c r="CT67" s="528"/>
      <c r="CU67" s="528"/>
      <c r="CV67" s="528"/>
      <c r="CW67" s="528"/>
      <c r="CX67" s="528"/>
      <c r="CY67" s="528"/>
      <c r="CZ67" s="528"/>
      <c r="DA67" s="528"/>
      <c r="DB67" s="528"/>
      <c r="DC67" s="528"/>
      <c r="DD67" s="528"/>
      <c r="DE67" s="528"/>
      <c r="DF67" s="528"/>
      <c r="DG67" s="528"/>
      <c r="DH67" s="528"/>
      <c r="DI67" s="528"/>
      <c r="DJ67" s="528"/>
      <c r="DK67" s="528"/>
      <c r="DL67" s="528"/>
      <c r="DM67" s="528"/>
      <c r="DN67" s="528"/>
      <c r="DO67" s="528"/>
      <c r="DP67" s="528"/>
      <c r="DQ67" s="528"/>
      <c r="DR67" s="528"/>
      <c r="DS67" s="528"/>
      <c r="DT67" s="528"/>
      <c r="DU67" s="528"/>
      <c r="DV67" s="528"/>
      <c r="DW67" s="528"/>
      <c r="DX67" s="528"/>
      <c r="DY67" s="528"/>
      <c r="DZ67" s="528"/>
      <c r="EA67" s="528"/>
      <c r="EB67" s="528"/>
      <c r="EC67" s="528"/>
      <c r="ED67" s="528"/>
      <c r="EE67" s="528"/>
      <c r="EF67" s="528"/>
      <c r="EG67" s="528"/>
      <c r="EH67" s="528"/>
      <c r="EI67" s="528"/>
      <c r="EJ67" s="528"/>
      <c r="EK67" s="528"/>
      <c r="EL67" s="528"/>
      <c r="EM67" s="528"/>
      <c r="EN67" s="528"/>
      <c r="EO67" s="528"/>
      <c r="EP67" s="528"/>
      <c r="EQ67" s="528"/>
      <c r="ER67" s="528"/>
      <c r="ES67" s="528"/>
      <c r="ET67" s="528"/>
      <c r="EU67" s="528"/>
      <c r="EV67" s="528"/>
      <c r="EW67" s="528"/>
      <c r="EX67" s="528"/>
      <c r="EY67" s="528"/>
      <c r="EZ67" s="528"/>
      <c r="FA67" s="528"/>
      <c r="FB67" s="528"/>
      <c r="FC67" s="528"/>
      <c r="FD67" s="528"/>
      <c r="FE67" s="528"/>
      <c r="FF67" s="528"/>
      <c r="FG67" s="528"/>
      <c r="FH67" s="528"/>
      <c r="FI67" s="528"/>
      <c r="FJ67" s="528"/>
      <c r="FK67" s="528"/>
      <c r="FL67" s="528"/>
      <c r="FM67" s="528"/>
      <c r="FN67" s="528"/>
      <c r="FO67" s="528"/>
      <c r="FP67" s="528"/>
      <c r="FQ67" s="528"/>
      <c r="FR67" s="528"/>
      <c r="FS67" s="528"/>
      <c r="FT67" s="528"/>
      <c r="FU67" s="528"/>
      <c r="FV67" s="528"/>
      <c r="FW67" s="528"/>
      <c r="FX67" s="528"/>
      <c r="FY67" s="528"/>
      <c r="FZ67" s="528"/>
      <c r="GA67" s="528"/>
      <c r="GB67" s="528"/>
      <c r="GC67" s="528"/>
      <c r="GD67" s="528"/>
      <c r="GE67" s="528"/>
      <c r="GF67" s="528"/>
      <c r="GG67" s="528"/>
      <c r="GH67" s="528"/>
      <c r="GI67" s="528"/>
      <c r="GJ67" s="528"/>
      <c r="GK67" s="528"/>
      <c r="GL67" s="528"/>
      <c r="GM67" s="528"/>
      <c r="GN67" s="528"/>
      <c r="GO67" s="528"/>
      <c r="GP67" s="528"/>
      <c r="GQ67" s="528"/>
      <c r="GR67" s="528"/>
      <c r="GS67" s="528"/>
      <c r="GT67" s="528"/>
      <c r="GU67" s="528"/>
      <c r="GV67" s="528"/>
      <c r="GW67" s="528"/>
      <c r="GX67" s="528"/>
      <c r="GY67" s="528"/>
      <c r="GZ67" s="528"/>
      <c r="HA67" s="528"/>
      <c r="HB67" s="528"/>
      <c r="HC67" s="528"/>
      <c r="HD67" s="528"/>
      <c r="HE67" s="528"/>
      <c r="HF67" s="528"/>
      <c r="HG67" s="528"/>
      <c r="HH67" s="528"/>
      <c r="HI67" s="528"/>
      <c r="HJ67" s="528"/>
      <c r="HK67" s="528"/>
      <c r="HL67" s="528"/>
      <c r="HM67" s="528"/>
      <c r="HN67" s="528"/>
      <c r="HO67" s="528"/>
      <c r="HP67" s="528"/>
      <c r="HQ67" s="528"/>
      <c r="HR67" s="528"/>
      <c r="HS67" s="528"/>
      <c r="HT67" s="528"/>
      <c r="HU67" s="528"/>
      <c r="HV67" s="528"/>
      <c r="HW67" s="528"/>
      <c r="HX67" s="528"/>
      <c r="HY67" s="528"/>
      <c r="HZ67" s="528"/>
      <c r="IA67" s="528"/>
      <c r="IB67" s="528"/>
      <c r="IC67" s="528"/>
      <c r="ID67" s="528"/>
      <c r="IE67" s="528"/>
      <c r="IF67" s="528"/>
      <c r="IG67" s="528"/>
      <c r="IH67" s="528"/>
      <c r="II67" s="528"/>
      <c r="IJ67" s="528"/>
      <c r="IK67" s="528"/>
      <c r="IL67" s="528"/>
      <c r="IM67" s="528"/>
      <c r="IN67" s="528"/>
      <c r="IO67" s="528"/>
    </row>
    <row r="68" spans="3:249" x14ac:dyDescent="0.25">
      <c r="C68" s="438"/>
      <c r="D68" s="569"/>
      <c r="E68" s="589" t="s">
        <v>547</v>
      </c>
      <c r="F68" s="939" t="s">
        <v>548</v>
      </c>
      <c r="G68" s="940"/>
      <c r="H68" s="941" t="s">
        <v>549</v>
      </c>
      <c r="I68" s="927"/>
      <c r="J68" s="926" t="s">
        <v>550</v>
      </c>
      <c r="K68" s="927"/>
      <c r="L68" s="519"/>
      <c r="M68" s="519"/>
      <c r="N68" s="519"/>
      <c r="O68" s="528"/>
      <c r="P68" s="528"/>
      <c r="Q68" s="528"/>
      <c r="R68" s="528"/>
      <c r="S68" s="528"/>
      <c r="T68" s="528"/>
      <c r="U68" s="528"/>
      <c r="V68" s="528"/>
      <c r="W68" s="528"/>
      <c r="X68" s="528"/>
      <c r="Y68" s="528"/>
      <c r="Z68" s="528"/>
      <c r="AA68" s="528"/>
      <c r="AB68" s="528"/>
      <c r="AC68" s="528"/>
      <c r="AD68" s="528"/>
      <c r="AE68" s="528"/>
      <c r="AF68" s="528"/>
      <c r="AG68" s="528"/>
      <c r="AH68" s="528"/>
      <c r="AI68" s="528"/>
      <c r="AJ68" s="528"/>
      <c r="AK68" s="528"/>
      <c r="AL68" s="528"/>
      <c r="AM68" s="528"/>
      <c r="AN68" s="528"/>
      <c r="AO68" s="528"/>
      <c r="AP68" s="528"/>
      <c r="AQ68" s="528"/>
      <c r="AR68" s="528"/>
      <c r="AS68" s="528"/>
      <c r="AT68" s="528"/>
      <c r="AU68" s="528"/>
      <c r="AV68" s="528"/>
      <c r="AW68" s="528"/>
      <c r="AX68" s="528"/>
      <c r="AY68" s="528"/>
      <c r="AZ68" s="528"/>
      <c r="BA68" s="528"/>
      <c r="BB68" s="528"/>
      <c r="BC68" s="528"/>
      <c r="BD68" s="528"/>
      <c r="BE68" s="528"/>
      <c r="BF68" s="528"/>
      <c r="BG68" s="528"/>
      <c r="BH68" s="528"/>
      <c r="BI68" s="528"/>
      <c r="BJ68" s="528"/>
      <c r="BK68" s="528"/>
      <c r="BL68" s="528"/>
      <c r="BM68" s="528"/>
      <c r="BN68" s="528"/>
      <c r="BO68" s="528"/>
      <c r="BP68" s="528"/>
      <c r="BQ68" s="528"/>
      <c r="BR68" s="528"/>
      <c r="BS68" s="528"/>
      <c r="BT68" s="528"/>
      <c r="BU68" s="528"/>
      <c r="BV68" s="528"/>
      <c r="BW68" s="528"/>
      <c r="BX68" s="528"/>
      <c r="BY68" s="528"/>
      <c r="BZ68" s="528"/>
      <c r="CA68" s="528"/>
      <c r="CB68" s="528"/>
      <c r="CC68" s="528"/>
      <c r="CD68" s="528"/>
      <c r="CE68" s="528"/>
      <c r="CF68" s="528"/>
      <c r="CG68" s="528"/>
      <c r="CH68" s="528"/>
      <c r="CI68" s="528"/>
      <c r="CJ68" s="528"/>
      <c r="CK68" s="528"/>
      <c r="CL68" s="528"/>
      <c r="CM68" s="528"/>
      <c r="CN68" s="528"/>
      <c r="CO68" s="528"/>
      <c r="CP68" s="528"/>
      <c r="CQ68" s="528"/>
      <c r="CR68" s="528"/>
      <c r="CS68" s="528"/>
      <c r="CT68" s="528"/>
      <c r="CU68" s="528"/>
      <c r="CV68" s="528"/>
      <c r="CW68" s="528"/>
      <c r="CX68" s="528"/>
      <c r="CY68" s="528"/>
      <c r="CZ68" s="528"/>
      <c r="DA68" s="528"/>
      <c r="DB68" s="528"/>
      <c r="DC68" s="528"/>
      <c r="DD68" s="528"/>
      <c r="DE68" s="528"/>
      <c r="DF68" s="528"/>
      <c r="DG68" s="528"/>
      <c r="DH68" s="528"/>
      <c r="DI68" s="528"/>
      <c r="DJ68" s="528"/>
      <c r="DK68" s="528"/>
      <c r="DL68" s="528"/>
      <c r="DM68" s="528"/>
      <c r="DN68" s="528"/>
      <c r="DO68" s="528"/>
      <c r="DP68" s="528"/>
      <c r="DQ68" s="528"/>
      <c r="DR68" s="528"/>
      <c r="DS68" s="528"/>
      <c r="DT68" s="528"/>
      <c r="DU68" s="528"/>
      <c r="DV68" s="528"/>
      <c r="DW68" s="528"/>
      <c r="DX68" s="528"/>
      <c r="DY68" s="528"/>
      <c r="DZ68" s="528"/>
      <c r="EA68" s="528"/>
      <c r="EB68" s="528"/>
      <c r="EC68" s="528"/>
      <c r="ED68" s="528"/>
      <c r="EE68" s="528"/>
      <c r="EF68" s="528"/>
      <c r="EG68" s="528"/>
      <c r="EH68" s="528"/>
      <c r="EI68" s="528"/>
      <c r="EJ68" s="528"/>
      <c r="EK68" s="528"/>
      <c r="EL68" s="528"/>
      <c r="EM68" s="528"/>
      <c r="EN68" s="528"/>
      <c r="EO68" s="528"/>
      <c r="EP68" s="528"/>
      <c r="EQ68" s="528"/>
      <c r="ER68" s="528"/>
      <c r="ES68" s="528"/>
      <c r="ET68" s="528"/>
      <c r="EU68" s="528"/>
      <c r="EV68" s="528"/>
      <c r="EW68" s="528"/>
      <c r="EX68" s="528"/>
      <c r="EY68" s="528"/>
      <c r="EZ68" s="528"/>
      <c r="FA68" s="528"/>
      <c r="FB68" s="528"/>
      <c r="FC68" s="528"/>
      <c r="FD68" s="528"/>
      <c r="FE68" s="528"/>
      <c r="FF68" s="528"/>
      <c r="FG68" s="528"/>
      <c r="FH68" s="528"/>
      <c r="FI68" s="528"/>
      <c r="FJ68" s="528"/>
      <c r="FK68" s="528"/>
      <c r="FL68" s="528"/>
      <c r="FM68" s="528"/>
      <c r="FN68" s="528"/>
      <c r="FO68" s="528"/>
      <c r="FP68" s="528"/>
      <c r="FQ68" s="528"/>
      <c r="FR68" s="528"/>
      <c r="FS68" s="528"/>
      <c r="FT68" s="528"/>
      <c r="FU68" s="528"/>
      <c r="FV68" s="528"/>
      <c r="FW68" s="528"/>
      <c r="FX68" s="528"/>
      <c r="FY68" s="528"/>
      <c r="FZ68" s="528"/>
      <c r="GA68" s="528"/>
      <c r="GB68" s="528"/>
      <c r="GC68" s="528"/>
      <c r="GD68" s="528"/>
      <c r="GE68" s="528"/>
      <c r="GF68" s="528"/>
      <c r="GG68" s="528"/>
      <c r="GH68" s="528"/>
      <c r="GI68" s="528"/>
      <c r="GJ68" s="528"/>
      <c r="GK68" s="528"/>
      <c r="GL68" s="528"/>
      <c r="GM68" s="528"/>
      <c r="GN68" s="528"/>
      <c r="GO68" s="528"/>
      <c r="GP68" s="528"/>
      <c r="GQ68" s="528"/>
      <c r="GR68" s="528"/>
      <c r="GS68" s="528"/>
      <c r="GT68" s="528"/>
      <c r="GU68" s="528"/>
      <c r="GV68" s="528"/>
      <c r="GW68" s="528"/>
      <c r="GX68" s="528"/>
      <c r="GY68" s="528"/>
      <c r="GZ68" s="528"/>
      <c r="HA68" s="528"/>
      <c r="HB68" s="528"/>
      <c r="HC68" s="528"/>
      <c r="HD68" s="528"/>
      <c r="HE68" s="528"/>
      <c r="HF68" s="528"/>
      <c r="HG68" s="528"/>
      <c r="HH68" s="528"/>
      <c r="HI68" s="528"/>
      <c r="HJ68" s="528"/>
      <c r="HK68" s="528"/>
      <c r="HL68" s="528"/>
      <c r="HM68" s="528"/>
      <c r="HN68" s="528"/>
      <c r="HO68" s="528"/>
      <c r="HP68" s="528"/>
      <c r="HQ68" s="528"/>
      <c r="HR68" s="528"/>
      <c r="HS68" s="528"/>
      <c r="HT68" s="528"/>
      <c r="HU68" s="528"/>
      <c r="HV68" s="528"/>
      <c r="HW68" s="528"/>
      <c r="HX68" s="528"/>
      <c r="HY68" s="528"/>
      <c r="HZ68" s="528"/>
      <c r="IA68" s="528"/>
      <c r="IB68" s="528"/>
      <c r="IC68" s="528"/>
      <c r="ID68" s="528"/>
      <c r="IE68" s="528"/>
      <c r="IF68" s="528"/>
      <c r="IG68" s="528"/>
      <c r="IH68" s="528"/>
      <c r="II68" s="528"/>
      <c r="IJ68" s="528"/>
      <c r="IK68" s="528"/>
      <c r="IL68" s="528"/>
      <c r="IM68" s="528"/>
      <c r="IN68" s="528"/>
      <c r="IO68" s="528"/>
    </row>
    <row r="69" spans="3:249" x14ac:dyDescent="0.25">
      <c r="C69" s="438"/>
      <c r="D69" s="569"/>
      <c r="E69" s="589"/>
      <c r="F69" s="592" t="s">
        <v>551</v>
      </c>
      <c r="G69" s="591" t="s">
        <v>552</v>
      </c>
      <c r="H69" s="590" t="s">
        <v>551</v>
      </c>
      <c r="I69" s="591" t="s">
        <v>552</v>
      </c>
      <c r="J69" s="592" t="s">
        <v>551</v>
      </c>
      <c r="K69" s="591" t="s">
        <v>552</v>
      </c>
      <c r="L69" s="519"/>
      <c r="M69" s="519"/>
      <c r="N69" s="519"/>
      <c r="O69" s="528"/>
      <c r="P69" s="528"/>
      <c r="Q69" s="528"/>
      <c r="R69" s="528"/>
      <c r="S69" s="528"/>
      <c r="T69" s="528"/>
      <c r="U69" s="528"/>
      <c r="V69" s="528"/>
      <c r="W69" s="528"/>
      <c r="X69" s="528"/>
      <c r="Y69" s="528"/>
      <c r="Z69" s="528"/>
      <c r="AA69" s="528"/>
      <c r="AB69" s="528"/>
      <c r="AC69" s="528"/>
      <c r="AD69" s="528"/>
      <c r="AE69" s="528"/>
      <c r="AF69" s="528"/>
      <c r="AG69" s="528"/>
      <c r="AH69" s="528"/>
      <c r="AI69" s="528"/>
      <c r="AJ69" s="528"/>
      <c r="AK69" s="528"/>
      <c r="AL69" s="528"/>
      <c r="AM69" s="528"/>
      <c r="AN69" s="528"/>
      <c r="AO69" s="528"/>
      <c r="AP69" s="528"/>
      <c r="AQ69" s="528"/>
      <c r="AR69" s="528"/>
      <c r="AS69" s="528"/>
      <c r="AT69" s="528"/>
      <c r="AU69" s="528"/>
      <c r="AV69" s="528"/>
      <c r="AW69" s="528"/>
      <c r="AX69" s="528"/>
      <c r="AY69" s="528"/>
      <c r="AZ69" s="528"/>
      <c r="BA69" s="528"/>
      <c r="BB69" s="528"/>
      <c r="BC69" s="528"/>
      <c r="BD69" s="528"/>
      <c r="BE69" s="528"/>
      <c r="BF69" s="528"/>
      <c r="BG69" s="528"/>
      <c r="BH69" s="528"/>
      <c r="BI69" s="528"/>
      <c r="BJ69" s="528"/>
      <c r="BK69" s="528"/>
      <c r="BL69" s="528"/>
      <c r="BM69" s="528"/>
      <c r="BN69" s="528"/>
      <c r="BO69" s="528"/>
      <c r="BP69" s="528"/>
      <c r="BQ69" s="528"/>
      <c r="BR69" s="528"/>
      <c r="BS69" s="528"/>
      <c r="BT69" s="528"/>
      <c r="BU69" s="528"/>
      <c r="BV69" s="528"/>
      <c r="BW69" s="528"/>
      <c r="BX69" s="528"/>
      <c r="BY69" s="528"/>
      <c r="BZ69" s="528"/>
      <c r="CA69" s="528"/>
      <c r="CB69" s="528"/>
      <c r="CC69" s="528"/>
      <c r="CD69" s="528"/>
      <c r="CE69" s="528"/>
      <c r="CF69" s="528"/>
      <c r="CG69" s="528"/>
      <c r="CH69" s="528"/>
      <c r="CI69" s="528"/>
      <c r="CJ69" s="528"/>
      <c r="CK69" s="528"/>
      <c r="CL69" s="528"/>
      <c r="CM69" s="528"/>
      <c r="CN69" s="528"/>
      <c r="CO69" s="528"/>
      <c r="CP69" s="528"/>
      <c r="CQ69" s="528"/>
      <c r="CR69" s="528"/>
      <c r="CS69" s="528"/>
      <c r="CT69" s="528"/>
      <c r="CU69" s="528"/>
      <c r="CV69" s="528"/>
      <c r="CW69" s="528"/>
      <c r="CX69" s="528"/>
      <c r="CY69" s="528"/>
      <c r="CZ69" s="528"/>
      <c r="DA69" s="528"/>
      <c r="DB69" s="528"/>
      <c r="DC69" s="528"/>
      <c r="DD69" s="528"/>
      <c r="DE69" s="528"/>
      <c r="DF69" s="528"/>
      <c r="DG69" s="528"/>
      <c r="DH69" s="528"/>
      <c r="DI69" s="528"/>
      <c r="DJ69" s="528"/>
      <c r="DK69" s="528"/>
      <c r="DL69" s="528"/>
      <c r="DM69" s="528"/>
      <c r="DN69" s="528"/>
      <c r="DO69" s="528"/>
      <c r="DP69" s="528"/>
      <c r="DQ69" s="528"/>
      <c r="DR69" s="528"/>
      <c r="DS69" s="528"/>
      <c r="DT69" s="528"/>
      <c r="DU69" s="528"/>
      <c r="DV69" s="528"/>
      <c r="DW69" s="528"/>
      <c r="DX69" s="528"/>
      <c r="DY69" s="528"/>
      <c r="DZ69" s="528"/>
      <c r="EA69" s="528"/>
      <c r="EB69" s="528"/>
      <c r="EC69" s="528"/>
      <c r="ED69" s="528"/>
      <c r="EE69" s="528"/>
      <c r="EF69" s="528"/>
      <c r="EG69" s="528"/>
      <c r="EH69" s="528"/>
      <c r="EI69" s="528"/>
      <c r="EJ69" s="528"/>
      <c r="EK69" s="528"/>
      <c r="EL69" s="528"/>
      <c r="EM69" s="528"/>
      <c r="EN69" s="528"/>
      <c r="EO69" s="528"/>
      <c r="EP69" s="528"/>
      <c r="EQ69" s="528"/>
      <c r="ER69" s="528"/>
      <c r="ES69" s="528"/>
      <c r="ET69" s="528"/>
      <c r="EU69" s="528"/>
      <c r="EV69" s="528"/>
      <c r="EW69" s="528"/>
      <c r="EX69" s="528"/>
      <c r="EY69" s="528"/>
      <c r="EZ69" s="528"/>
      <c r="FA69" s="528"/>
      <c r="FB69" s="528"/>
      <c r="FC69" s="528"/>
      <c r="FD69" s="528"/>
      <c r="FE69" s="528"/>
      <c r="FF69" s="528"/>
      <c r="FG69" s="528"/>
      <c r="FH69" s="528"/>
      <c r="FI69" s="528"/>
      <c r="FJ69" s="528"/>
      <c r="FK69" s="528"/>
      <c r="FL69" s="528"/>
      <c r="FM69" s="528"/>
      <c r="FN69" s="528"/>
      <c r="FO69" s="528"/>
      <c r="FP69" s="528"/>
      <c r="FQ69" s="528"/>
      <c r="FR69" s="528"/>
      <c r="FS69" s="528"/>
      <c r="FT69" s="528"/>
      <c r="FU69" s="528"/>
      <c r="FV69" s="528"/>
      <c r="FW69" s="528"/>
      <c r="FX69" s="528"/>
      <c r="FY69" s="528"/>
      <c r="FZ69" s="528"/>
      <c r="GA69" s="528"/>
      <c r="GB69" s="528"/>
      <c r="GC69" s="528"/>
      <c r="GD69" s="528"/>
      <c r="GE69" s="528"/>
      <c r="GF69" s="528"/>
      <c r="GG69" s="528"/>
      <c r="GH69" s="528"/>
      <c r="GI69" s="528"/>
      <c r="GJ69" s="528"/>
      <c r="GK69" s="528"/>
      <c r="GL69" s="528"/>
      <c r="GM69" s="528"/>
      <c r="GN69" s="528"/>
      <c r="GO69" s="528"/>
      <c r="GP69" s="528"/>
      <c r="GQ69" s="528"/>
      <c r="GR69" s="528"/>
      <c r="GS69" s="528"/>
      <c r="GT69" s="528"/>
      <c r="GU69" s="528"/>
      <c r="GV69" s="528"/>
      <c r="GW69" s="528"/>
      <c r="GX69" s="528"/>
      <c r="GY69" s="528"/>
      <c r="GZ69" s="528"/>
      <c r="HA69" s="528"/>
      <c r="HB69" s="528"/>
      <c r="HC69" s="528"/>
      <c r="HD69" s="528"/>
      <c r="HE69" s="528"/>
      <c r="HF69" s="528"/>
      <c r="HG69" s="528"/>
      <c r="HH69" s="528"/>
      <c r="HI69" s="528"/>
      <c r="HJ69" s="528"/>
      <c r="HK69" s="528"/>
      <c r="HL69" s="528"/>
      <c r="HM69" s="528"/>
      <c r="HN69" s="528"/>
      <c r="HO69" s="528"/>
      <c r="HP69" s="528"/>
      <c r="HQ69" s="528"/>
      <c r="HR69" s="528"/>
      <c r="HS69" s="528"/>
      <c r="HT69" s="528"/>
      <c r="HU69" s="528"/>
      <c r="HV69" s="528"/>
      <c r="HW69" s="528"/>
      <c r="HX69" s="528"/>
      <c r="HY69" s="528"/>
      <c r="HZ69" s="528"/>
      <c r="IA69" s="528"/>
      <c r="IB69" s="528"/>
      <c r="IC69" s="528"/>
      <c r="ID69" s="528"/>
      <c r="IE69" s="528"/>
      <c r="IF69" s="528"/>
      <c r="IG69" s="528"/>
      <c r="IH69" s="528"/>
      <c r="II69" s="528"/>
      <c r="IJ69" s="528"/>
      <c r="IK69" s="528"/>
      <c r="IL69" s="528"/>
      <c r="IM69" s="528"/>
      <c r="IN69" s="528"/>
      <c r="IO69" s="528"/>
    </row>
    <row r="70" spans="3:249" x14ac:dyDescent="0.25">
      <c r="C70" s="438"/>
      <c r="D70" s="569"/>
      <c r="E70" s="569" t="s">
        <v>233</v>
      </c>
      <c r="F70" s="593">
        <f>+'[2]Typical Conv.Operating Expenses'!BW85</f>
        <v>1.1269682168445956</v>
      </c>
      <c r="G70" s="594">
        <f>+'[2]Typical Conv.Operating Expenses'!BX85</f>
        <v>3.1454605637041166</v>
      </c>
      <c r="H70" s="595">
        <f>+'[2]Typical Conv.Operating Expenses'!BZ85</f>
        <v>0.16904523252668927</v>
      </c>
      <c r="I70" s="594">
        <f>+'[2]Typical Conv.Operating Expenses'!CA85</f>
        <v>0.47181908455561766</v>
      </c>
      <c r="J70" s="593">
        <f>+'[2]Typical Conv.Operating Expenses'!CC85</f>
        <v>0.19887674414904619</v>
      </c>
      <c r="K70" s="594">
        <f>+'[2]Typical Conv.Operating Expenses'!CD85</f>
        <v>3.0043212058330586</v>
      </c>
      <c r="L70" s="519"/>
      <c r="M70" s="519"/>
      <c r="N70" s="519"/>
      <c r="O70" s="528"/>
      <c r="P70" s="528"/>
      <c r="Q70" s="528"/>
      <c r="R70" s="528"/>
      <c r="S70" s="528"/>
      <c r="T70" s="528"/>
      <c r="U70" s="528"/>
      <c r="V70" s="528"/>
      <c r="W70" s="528"/>
      <c r="X70" s="528"/>
      <c r="Y70" s="528"/>
      <c r="Z70" s="528"/>
      <c r="AA70" s="528"/>
      <c r="AB70" s="528"/>
      <c r="AC70" s="528"/>
      <c r="AD70" s="528"/>
      <c r="AE70" s="528"/>
      <c r="AF70" s="528"/>
      <c r="AG70" s="528"/>
      <c r="AH70" s="528"/>
      <c r="AI70" s="528"/>
      <c r="AJ70" s="528"/>
      <c r="AK70" s="528"/>
      <c r="AL70" s="528"/>
      <c r="AM70" s="528"/>
      <c r="AN70" s="528"/>
      <c r="AO70" s="528"/>
      <c r="AP70" s="528"/>
      <c r="AQ70" s="528"/>
      <c r="AR70" s="528"/>
      <c r="AS70" s="528"/>
      <c r="AT70" s="528"/>
      <c r="AU70" s="528"/>
      <c r="AV70" s="528"/>
      <c r="AW70" s="528"/>
      <c r="AX70" s="528"/>
      <c r="AY70" s="528"/>
      <c r="AZ70" s="528"/>
      <c r="BA70" s="528"/>
      <c r="BB70" s="528"/>
      <c r="BC70" s="528"/>
      <c r="BD70" s="528"/>
      <c r="BE70" s="528"/>
      <c r="BF70" s="528"/>
      <c r="BG70" s="528"/>
      <c r="BH70" s="528"/>
      <c r="BI70" s="528"/>
      <c r="BJ70" s="528"/>
      <c r="BK70" s="528"/>
      <c r="BL70" s="528"/>
      <c r="BM70" s="528"/>
      <c r="BN70" s="528"/>
      <c r="BO70" s="528"/>
      <c r="BP70" s="528"/>
      <c r="BQ70" s="528"/>
      <c r="BR70" s="528"/>
      <c r="BS70" s="528"/>
      <c r="BT70" s="528"/>
      <c r="BU70" s="528"/>
      <c r="BV70" s="528"/>
      <c r="BW70" s="528"/>
      <c r="BX70" s="528"/>
      <c r="BY70" s="528"/>
      <c r="BZ70" s="528"/>
      <c r="CA70" s="528"/>
      <c r="CB70" s="528"/>
      <c r="CC70" s="528"/>
      <c r="CD70" s="528"/>
      <c r="CE70" s="528"/>
      <c r="CF70" s="528"/>
      <c r="CG70" s="528"/>
      <c r="CH70" s="528"/>
      <c r="CI70" s="528"/>
      <c r="CJ70" s="528"/>
      <c r="CK70" s="528"/>
      <c r="CL70" s="528"/>
      <c r="CM70" s="528"/>
      <c r="CN70" s="528"/>
      <c r="CO70" s="528"/>
      <c r="CP70" s="528"/>
      <c r="CQ70" s="528"/>
      <c r="CR70" s="528"/>
      <c r="CS70" s="528"/>
      <c r="CT70" s="528"/>
      <c r="CU70" s="528"/>
      <c r="CV70" s="528"/>
      <c r="CW70" s="528"/>
      <c r="CX70" s="528"/>
      <c r="CY70" s="528"/>
      <c r="CZ70" s="528"/>
      <c r="DA70" s="528"/>
      <c r="DB70" s="528"/>
      <c r="DC70" s="528"/>
      <c r="DD70" s="528"/>
      <c r="DE70" s="528"/>
      <c r="DF70" s="528"/>
      <c r="DG70" s="528"/>
      <c r="DH70" s="528"/>
      <c r="DI70" s="528"/>
      <c r="DJ70" s="528"/>
      <c r="DK70" s="528"/>
      <c r="DL70" s="528"/>
      <c r="DM70" s="528"/>
      <c r="DN70" s="528"/>
      <c r="DO70" s="528"/>
      <c r="DP70" s="528"/>
      <c r="DQ70" s="528"/>
      <c r="DR70" s="528"/>
      <c r="DS70" s="528"/>
      <c r="DT70" s="528"/>
      <c r="DU70" s="528"/>
      <c r="DV70" s="528"/>
      <c r="DW70" s="528"/>
      <c r="DX70" s="528"/>
      <c r="DY70" s="528"/>
      <c r="DZ70" s="528"/>
      <c r="EA70" s="528"/>
      <c r="EB70" s="528"/>
      <c r="EC70" s="528"/>
      <c r="ED70" s="528"/>
      <c r="EE70" s="528"/>
      <c r="EF70" s="528"/>
      <c r="EG70" s="528"/>
      <c r="EH70" s="528"/>
      <c r="EI70" s="528"/>
      <c r="EJ70" s="528"/>
      <c r="EK70" s="528"/>
      <c r="EL70" s="528"/>
      <c r="EM70" s="528"/>
      <c r="EN70" s="528"/>
      <c r="EO70" s="528"/>
      <c r="EP70" s="528"/>
      <c r="EQ70" s="528"/>
      <c r="ER70" s="528"/>
      <c r="ES70" s="528"/>
      <c r="ET70" s="528"/>
      <c r="EU70" s="528"/>
      <c r="EV70" s="528"/>
      <c r="EW70" s="528"/>
      <c r="EX70" s="528"/>
      <c r="EY70" s="528"/>
      <c r="EZ70" s="528"/>
      <c r="FA70" s="528"/>
      <c r="FB70" s="528"/>
      <c r="FC70" s="528"/>
      <c r="FD70" s="528"/>
      <c r="FE70" s="528"/>
      <c r="FF70" s="528"/>
      <c r="FG70" s="528"/>
      <c r="FH70" s="528"/>
      <c r="FI70" s="528"/>
      <c r="FJ70" s="528"/>
      <c r="FK70" s="528"/>
      <c r="FL70" s="528"/>
      <c r="FM70" s="528"/>
      <c r="FN70" s="528"/>
      <c r="FO70" s="528"/>
      <c r="FP70" s="528"/>
      <c r="FQ70" s="528"/>
      <c r="FR70" s="528"/>
      <c r="FS70" s="528"/>
      <c r="FT70" s="528"/>
      <c r="FU70" s="528"/>
      <c r="FV70" s="528"/>
      <c r="FW70" s="528"/>
      <c r="FX70" s="528"/>
      <c r="FY70" s="528"/>
      <c r="FZ70" s="528"/>
      <c r="GA70" s="528"/>
      <c r="GB70" s="528"/>
      <c r="GC70" s="528"/>
      <c r="GD70" s="528"/>
      <c r="GE70" s="528"/>
      <c r="GF70" s="528"/>
      <c r="GG70" s="528"/>
      <c r="GH70" s="528"/>
      <c r="GI70" s="528"/>
      <c r="GJ70" s="528"/>
      <c r="GK70" s="528"/>
      <c r="GL70" s="528"/>
      <c r="GM70" s="528"/>
      <c r="GN70" s="528"/>
      <c r="GO70" s="528"/>
      <c r="GP70" s="528"/>
      <c r="GQ70" s="528"/>
      <c r="GR70" s="528"/>
      <c r="GS70" s="528"/>
      <c r="GT70" s="528"/>
      <c r="GU70" s="528"/>
      <c r="GV70" s="528"/>
      <c r="GW70" s="528"/>
      <c r="GX70" s="528"/>
      <c r="GY70" s="528"/>
      <c r="GZ70" s="528"/>
      <c r="HA70" s="528"/>
      <c r="HB70" s="528"/>
      <c r="HC70" s="528"/>
      <c r="HD70" s="528"/>
      <c r="HE70" s="528"/>
      <c r="HF70" s="528"/>
      <c r="HG70" s="528"/>
      <c r="HH70" s="528"/>
      <c r="HI70" s="528"/>
      <c r="HJ70" s="528"/>
      <c r="HK70" s="528"/>
      <c r="HL70" s="528"/>
      <c r="HM70" s="528"/>
      <c r="HN70" s="528"/>
      <c r="HO70" s="528"/>
      <c r="HP70" s="528"/>
      <c r="HQ70" s="528"/>
      <c r="HR70" s="528"/>
      <c r="HS70" s="528"/>
      <c r="HT70" s="528"/>
      <c r="HU70" s="528"/>
      <c r="HV70" s="528"/>
      <c r="HW70" s="528"/>
      <c r="HX70" s="528"/>
      <c r="HY70" s="528"/>
      <c r="HZ70" s="528"/>
      <c r="IA70" s="528"/>
      <c r="IB70" s="528"/>
      <c r="IC70" s="528"/>
      <c r="ID70" s="528"/>
      <c r="IE70" s="528"/>
      <c r="IF70" s="528"/>
      <c r="IG70" s="528"/>
      <c r="IH70" s="528"/>
      <c r="II70" s="528"/>
      <c r="IJ70" s="528"/>
      <c r="IK70" s="528"/>
      <c r="IL70" s="528"/>
      <c r="IM70" s="528"/>
      <c r="IN70" s="528"/>
      <c r="IO70" s="528"/>
    </row>
    <row r="71" spans="3:249" x14ac:dyDescent="0.25">
      <c r="C71" s="438"/>
      <c r="D71" s="569"/>
      <c r="E71" s="569" t="s">
        <v>553</v>
      </c>
      <c r="F71" s="593">
        <f>+'[2]Typical Conv.Operating Expenses'!BW86</f>
        <v>0.64609058189958246</v>
      </c>
      <c r="G71" s="594">
        <f>+'[2]Typical Conv.Operating Expenses'!BX86</f>
        <v>6.906005125652225</v>
      </c>
      <c r="H71" s="595">
        <f>+'[2]Typical Conv.Operating Expenses'!BZ86</f>
        <v>9.6913587284937347E-2</v>
      </c>
      <c r="I71" s="594">
        <f>+'[2]Typical Conv.Operating Expenses'!CA86</f>
        <v>1.0359007688478343</v>
      </c>
      <c r="J71" s="593">
        <f>+'[2]Typical Conv.Operating Expenses'!CC86</f>
        <v>0.11401598504110276</v>
      </c>
      <c r="K71" s="594">
        <f>+'[2]Typical Conv.Operating Expenses'!CD86</f>
        <v>6.906005125652225</v>
      </c>
      <c r="L71" s="519"/>
      <c r="M71" s="519"/>
      <c r="N71" s="519"/>
      <c r="O71" s="528"/>
      <c r="P71" s="528"/>
      <c r="Q71" s="528"/>
      <c r="R71" s="528"/>
      <c r="S71" s="528"/>
      <c r="T71" s="528"/>
      <c r="U71" s="528"/>
      <c r="V71" s="528"/>
      <c r="W71" s="528"/>
      <c r="X71" s="528"/>
      <c r="Y71" s="528"/>
      <c r="Z71" s="528"/>
      <c r="AA71" s="528"/>
      <c r="AB71" s="528"/>
      <c r="AC71" s="528"/>
      <c r="AD71" s="528"/>
      <c r="AE71" s="528"/>
      <c r="AF71" s="528"/>
      <c r="AG71" s="528"/>
      <c r="AH71" s="528"/>
      <c r="AI71" s="528"/>
      <c r="AJ71" s="528"/>
      <c r="AK71" s="528"/>
      <c r="AL71" s="528"/>
      <c r="AM71" s="528"/>
      <c r="AN71" s="528"/>
      <c r="AO71" s="528"/>
      <c r="AP71" s="528"/>
      <c r="AQ71" s="528"/>
      <c r="AR71" s="528"/>
      <c r="AS71" s="528"/>
      <c r="AT71" s="528"/>
      <c r="AU71" s="528"/>
      <c r="AV71" s="528"/>
      <c r="AW71" s="528"/>
      <c r="AX71" s="528"/>
      <c r="AY71" s="528"/>
      <c r="AZ71" s="528"/>
      <c r="BA71" s="528"/>
      <c r="BB71" s="528"/>
      <c r="BC71" s="528"/>
      <c r="BD71" s="528"/>
      <c r="BE71" s="528"/>
      <c r="BF71" s="528"/>
      <c r="BG71" s="528"/>
      <c r="BH71" s="528"/>
      <c r="BI71" s="528"/>
      <c r="BJ71" s="528"/>
      <c r="BK71" s="528"/>
      <c r="BL71" s="528"/>
      <c r="BM71" s="528"/>
      <c r="BN71" s="528"/>
      <c r="BO71" s="528"/>
      <c r="BP71" s="528"/>
      <c r="BQ71" s="528"/>
      <c r="BR71" s="528"/>
      <c r="BS71" s="528"/>
      <c r="BT71" s="528"/>
      <c r="BU71" s="528"/>
      <c r="BV71" s="528"/>
      <c r="BW71" s="528"/>
      <c r="BX71" s="528"/>
      <c r="BY71" s="528"/>
      <c r="BZ71" s="528"/>
      <c r="CA71" s="528"/>
      <c r="CB71" s="528"/>
      <c r="CC71" s="528"/>
      <c r="CD71" s="528"/>
      <c r="CE71" s="528"/>
      <c r="CF71" s="528"/>
      <c r="CG71" s="528"/>
      <c r="CH71" s="528"/>
      <c r="CI71" s="528"/>
      <c r="CJ71" s="528"/>
      <c r="CK71" s="528"/>
      <c r="CL71" s="528"/>
      <c r="CM71" s="528"/>
      <c r="CN71" s="528"/>
      <c r="CO71" s="528"/>
      <c r="CP71" s="528"/>
      <c r="CQ71" s="528"/>
      <c r="CR71" s="528"/>
      <c r="CS71" s="528"/>
      <c r="CT71" s="528"/>
      <c r="CU71" s="528"/>
      <c r="CV71" s="528"/>
      <c r="CW71" s="528"/>
      <c r="CX71" s="528"/>
      <c r="CY71" s="528"/>
      <c r="CZ71" s="528"/>
      <c r="DA71" s="528"/>
      <c r="DB71" s="528"/>
      <c r="DC71" s="528"/>
      <c r="DD71" s="528"/>
      <c r="DE71" s="528"/>
      <c r="DF71" s="528"/>
      <c r="DG71" s="528"/>
      <c r="DH71" s="528"/>
      <c r="DI71" s="528"/>
      <c r="DJ71" s="528"/>
      <c r="DK71" s="528"/>
      <c r="DL71" s="528"/>
      <c r="DM71" s="528"/>
      <c r="DN71" s="528"/>
      <c r="DO71" s="528"/>
      <c r="DP71" s="528"/>
      <c r="DQ71" s="528"/>
      <c r="DR71" s="528"/>
      <c r="DS71" s="528"/>
      <c r="DT71" s="528"/>
      <c r="DU71" s="528"/>
      <c r="DV71" s="528"/>
      <c r="DW71" s="528"/>
      <c r="DX71" s="528"/>
      <c r="DY71" s="528"/>
      <c r="DZ71" s="528"/>
      <c r="EA71" s="528"/>
      <c r="EB71" s="528"/>
      <c r="EC71" s="528"/>
      <c r="ED71" s="528"/>
      <c r="EE71" s="528"/>
      <c r="EF71" s="528"/>
      <c r="EG71" s="528"/>
      <c r="EH71" s="528"/>
      <c r="EI71" s="528"/>
      <c r="EJ71" s="528"/>
      <c r="EK71" s="528"/>
      <c r="EL71" s="528"/>
      <c r="EM71" s="528"/>
      <c r="EN71" s="528"/>
      <c r="EO71" s="528"/>
      <c r="EP71" s="528"/>
      <c r="EQ71" s="528"/>
      <c r="ER71" s="528"/>
      <c r="ES71" s="528"/>
      <c r="ET71" s="528"/>
      <c r="EU71" s="528"/>
      <c r="EV71" s="528"/>
      <c r="EW71" s="528"/>
      <c r="EX71" s="528"/>
      <c r="EY71" s="528"/>
      <c r="EZ71" s="528"/>
      <c r="FA71" s="528"/>
      <c r="FB71" s="528"/>
      <c r="FC71" s="528"/>
      <c r="FD71" s="528"/>
      <c r="FE71" s="528"/>
      <c r="FF71" s="528"/>
      <c r="FG71" s="528"/>
      <c r="FH71" s="528"/>
      <c r="FI71" s="528"/>
      <c r="FJ71" s="528"/>
      <c r="FK71" s="528"/>
      <c r="FL71" s="528"/>
      <c r="FM71" s="528"/>
      <c r="FN71" s="528"/>
      <c r="FO71" s="528"/>
      <c r="FP71" s="528"/>
      <c r="FQ71" s="528"/>
      <c r="FR71" s="528"/>
      <c r="FS71" s="528"/>
      <c r="FT71" s="528"/>
      <c r="FU71" s="528"/>
      <c r="FV71" s="528"/>
      <c r="FW71" s="528"/>
      <c r="FX71" s="528"/>
      <c r="FY71" s="528"/>
      <c r="FZ71" s="528"/>
      <c r="GA71" s="528"/>
      <c r="GB71" s="528"/>
      <c r="GC71" s="528"/>
      <c r="GD71" s="528"/>
      <c r="GE71" s="528"/>
      <c r="GF71" s="528"/>
      <c r="GG71" s="528"/>
      <c r="GH71" s="528"/>
      <c r="GI71" s="528"/>
      <c r="GJ71" s="528"/>
      <c r="GK71" s="528"/>
      <c r="GL71" s="528"/>
      <c r="GM71" s="528"/>
      <c r="GN71" s="528"/>
      <c r="GO71" s="528"/>
      <c r="GP71" s="528"/>
      <c r="GQ71" s="528"/>
      <c r="GR71" s="528"/>
      <c r="GS71" s="528"/>
      <c r="GT71" s="528"/>
      <c r="GU71" s="528"/>
      <c r="GV71" s="528"/>
      <c r="GW71" s="528"/>
      <c r="GX71" s="528"/>
      <c r="GY71" s="528"/>
      <c r="GZ71" s="528"/>
      <c r="HA71" s="528"/>
      <c r="HB71" s="528"/>
      <c r="HC71" s="528"/>
      <c r="HD71" s="528"/>
      <c r="HE71" s="528"/>
      <c r="HF71" s="528"/>
      <c r="HG71" s="528"/>
      <c r="HH71" s="528"/>
      <c r="HI71" s="528"/>
      <c r="HJ71" s="528"/>
      <c r="HK71" s="528"/>
      <c r="HL71" s="528"/>
      <c r="HM71" s="528"/>
      <c r="HN71" s="528"/>
      <c r="HO71" s="528"/>
      <c r="HP71" s="528"/>
      <c r="HQ71" s="528"/>
      <c r="HR71" s="528"/>
      <c r="HS71" s="528"/>
      <c r="HT71" s="528"/>
      <c r="HU71" s="528"/>
      <c r="HV71" s="528"/>
      <c r="HW71" s="528"/>
      <c r="HX71" s="528"/>
      <c r="HY71" s="528"/>
      <c r="HZ71" s="528"/>
      <c r="IA71" s="528"/>
      <c r="IB71" s="528"/>
      <c r="IC71" s="528"/>
      <c r="ID71" s="528"/>
      <c r="IE71" s="528"/>
      <c r="IF71" s="528"/>
      <c r="IG71" s="528"/>
      <c r="IH71" s="528"/>
      <c r="II71" s="528"/>
      <c r="IJ71" s="528"/>
      <c r="IK71" s="528"/>
      <c r="IL71" s="528"/>
      <c r="IM71" s="528"/>
      <c r="IN71" s="528"/>
      <c r="IO71" s="528"/>
    </row>
    <row r="72" spans="3:249" x14ac:dyDescent="0.25">
      <c r="C72" s="438"/>
      <c r="D72" s="569"/>
      <c r="E72" s="569" t="str">
        <f>+'[2]Typical Conv.Operating Expenses'!B87</f>
        <v>Water &amp; Sewer</v>
      </c>
      <c r="F72" s="593">
        <f>+'[2]Typical Conv.Operating Expenses'!BW87</f>
        <v>0.54094474408540583</v>
      </c>
      <c r="G72" s="594">
        <f>+'[2]Typical Conv.Operating Expenses'!BX87</f>
        <v>4.7552529720763079</v>
      </c>
      <c r="H72" s="595">
        <f>+'[2]Typical Conv.Operating Expenses'!BZ87</f>
        <v>8.1141711612810849E-2</v>
      </c>
      <c r="I72" s="594">
        <f>+'[2]Typical Conv.Operating Expenses'!CA87</f>
        <v>0.71328794581144594</v>
      </c>
      <c r="J72" s="593">
        <f>+'[2]Typical Conv.Operating Expenses'!CC87</f>
        <v>9.5460837191542164E-2</v>
      </c>
      <c r="K72" s="594">
        <f>+'[2]Typical Conv.Operating Expenses'!CD87</f>
        <v>4.7552529720763062</v>
      </c>
      <c r="L72" s="519"/>
      <c r="M72" s="519"/>
      <c r="N72" s="519"/>
      <c r="O72" s="528"/>
      <c r="P72" s="528"/>
      <c r="Q72" s="528"/>
      <c r="R72" s="528"/>
      <c r="S72" s="528"/>
      <c r="T72" s="528"/>
      <c r="U72" s="528"/>
      <c r="V72" s="528"/>
      <c r="W72" s="528"/>
      <c r="X72" s="528"/>
      <c r="Y72" s="528"/>
      <c r="Z72" s="528"/>
      <c r="AA72" s="528"/>
      <c r="AB72" s="528"/>
      <c r="AC72" s="528"/>
      <c r="AD72" s="528"/>
      <c r="AE72" s="528"/>
      <c r="AF72" s="528"/>
      <c r="AG72" s="528"/>
      <c r="AH72" s="528"/>
      <c r="AI72" s="528"/>
      <c r="AJ72" s="528"/>
      <c r="AK72" s="528"/>
      <c r="AL72" s="528"/>
      <c r="AM72" s="528"/>
      <c r="AN72" s="528"/>
      <c r="AO72" s="528"/>
      <c r="AP72" s="528"/>
      <c r="AQ72" s="528"/>
      <c r="AR72" s="528"/>
      <c r="AS72" s="528"/>
      <c r="AT72" s="528"/>
      <c r="AU72" s="528"/>
      <c r="AV72" s="528"/>
      <c r="AW72" s="528"/>
      <c r="AX72" s="528"/>
      <c r="AY72" s="528"/>
      <c r="AZ72" s="528"/>
      <c r="BA72" s="528"/>
      <c r="BB72" s="528"/>
      <c r="BC72" s="528"/>
      <c r="BD72" s="528"/>
      <c r="BE72" s="528"/>
      <c r="BF72" s="528"/>
      <c r="BG72" s="528"/>
      <c r="BH72" s="528"/>
      <c r="BI72" s="528"/>
      <c r="BJ72" s="528"/>
      <c r="BK72" s="528"/>
      <c r="BL72" s="528"/>
      <c r="BM72" s="528"/>
      <c r="BN72" s="528"/>
      <c r="BO72" s="528"/>
      <c r="BP72" s="528"/>
      <c r="BQ72" s="528"/>
      <c r="BR72" s="528"/>
      <c r="BS72" s="528"/>
      <c r="BT72" s="528"/>
      <c r="BU72" s="528"/>
      <c r="BV72" s="528"/>
      <c r="BW72" s="528"/>
      <c r="BX72" s="528"/>
      <c r="BY72" s="528"/>
      <c r="BZ72" s="528"/>
      <c r="CA72" s="528"/>
      <c r="CB72" s="528"/>
      <c r="CC72" s="528"/>
      <c r="CD72" s="528"/>
      <c r="CE72" s="528"/>
      <c r="CF72" s="528"/>
      <c r="CG72" s="528"/>
      <c r="CH72" s="528"/>
      <c r="CI72" s="528"/>
      <c r="CJ72" s="528"/>
      <c r="CK72" s="528"/>
      <c r="CL72" s="528"/>
      <c r="CM72" s="528"/>
      <c r="CN72" s="528"/>
      <c r="CO72" s="528"/>
      <c r="CP72" s="528"/>
      <c r="CQ72" s="528"/>
      <c r="CR72" s="528"/>
      <c r="CS72" s="528"/>
      <c r="CT72" s="528"/>
      <c r="CU72" s="528"/>
      <c r="CV72" s="528"/>
      <c r="CW72" s="528"/>
      <c r="CX72" s="528"/>
      <c r="CY72" s="528"/>
      <c r="CZ72" s="528"/>
      <c r="DA72" s="528"/>
      <c r="DB72" s="528"/>
      <c r="DC72" s="528"/>
      <c r="DD72" s="528"/>
      <c r="DE72" s="528"/>
      <c r="DF72" s="528"/>
      <c r="DG72" s="528"/>
      <c r="DH72" s="528"/>
      <c r="DI72" s="528"/>
      <c r="DJ72" s="528"/>
      <c r="DK72" s="528"/>
      <c r="DL72" s="528"/>
      <c r="DM72" s="528"/>
      <c r="DN72" s="528"/>
      <c r="DO72" s="528"/>
      <c r="DP72" s="528"/>
      <c r="DQ72" s="528"/>
      <c r="DR72" s="528"/>
      <c r="DS72" s="528"/>
      <c r="DT72" s="528"/>
      <c r="DU72" s="528"/>
      <c r="DV72" s="528"/>
      <c r="DW72" s="528"/>
      <c r="DX72" s="528"/>
      <c r="DY72" s="528"/>
      <c r="DZ72" s="528"/>
      <c r="EA72" s="528"/>
      <c r="EB72" s="528"/>
      <c r="EC72" s="528"/>
      <c r="ED72" s="528"/>
      <c r="EE72" s="528"/>
      <c r="EF72" s="528"/>
      <c r="EG72" s="528"/>
      <c r="EH72" s="528"/>
      <c r="EI72" s="528"/>
      <c r="EJ72" s="528"/>
      <c r="EK72" s="528"/>
      <c r="EL72" s="528"/>
      <c r="EM72" s="528"/>
      <c r="EN72" s="528"/>
      <c r="EO72" s="528"/>
      <c r="EP72" s="528"/>
      <c r="EQ72" s="528"/>
      <c r="ER72" s="528"/>
      <c r="ES72" s="528"/>
      <c r="ET72" s="528"/>
      <c r="EU72" s="528"/>
      <c r="EV72" s="528"/>
      <c r="EW72" s="528"/>
      <c r="EX72" s="528"/>
      <c r="EY72" s="528"/>
      <c r="EZ72" s="528"/>
      <c r="FA72" s="528"/>
      <c r="FB72" s="528"/>
      <c r="FC72" s="528"/>
      <c r="FD72" s="528"/>
      <c r="FE72" s="528"/>
      <c r="FF72" s="528"/>
      <c r="FG72" s="528"/>
      <c r="FH72" s="528"/>
      <c r="FI72" s="528"/>
      <c r="FJ72" s="528"/>
      <c r="FK72" s="528"/>
      <c r="FL72" s="528"/>
      <c r="FM72" s="528"/>
      <c r="FN72" s="528"/>
      <c r="FO72" s="528"/>
      <c r="FP72" s="528"/>
      <c r="FQ72" s="528"/>
      <c r="FR72" s="528"/>
      <c r="FS72" s="528"/>
      <c r="FT72" s="528"/>
      <c r="FU72" s="528"/>
      <c r="FV72" s="528"/>
      <c r="FW72" s="528"/>
      <c r="FX72" s="528"/>
      <c r="FY72" s="528"/>
      <c r="FZ72" s="528"/>
      <c r="GA72" s="528"/>
      <c r="GB72" s="528"/>
      <c r="GC72" s="528"/>
      <c r="GD72" s="528"/>
      <c r="GE72" s="528"/>
      <c r="GF72" s="528"/>
      <c r="GG72" s="528"/>
      <c r="GH72" s="528"/>
      <c r="GI72" s="528"/>
      <c r="GJ72" s="528"/>
      <c r="GK72" s="528"/>
      <c r="GL72" s="528"/>
      <c r="GM72" s="528"/>
      <c r="GN72" s="528"/>
      <c r="GO72" s="528"/>
      <c r="GP72" s="528"/>
      <c r="GQ72" s="528"/>
      <c r="GR72" s="528"/>
      <c r="GS72" s="528"/>
      <c r="GT72" s="528"/>
      <c r="GU72" s="528"/>
      <c r="GV72" s="528"/>
      <c r="GW72" s="528"/>
      <c r="GX72" s="528"/>
      <c r="GY72" s="528"/>
      <c r="GZ72" s="528"/>
      <c r="HA72" s="528"/>
      <c r="HB72" s="528"/>
      <c r="HC72" s="528"/>
      <c r="HD72" s="528"/>
      <c r="HE72" s="528"/>
      <c r="HF72" s="528"/>
      <c r="HG72" s="528"/>
      <c r="HH72" s="528"/>
      <c r="HI72" s="528"/>
      <c r="HJ72" s="528"/>
      <c r="HK72" s="528"/>
      <c r="HL72" s="528"/>
      <c r="HM72" s="528"/>
      <c r="HN72" s="528"/>
      <c r="HO72" s="528"/>
      <c r="HP72" s="528"/>
      <c r="HQ72" s="528"/>
      <c r="HR72" s="528"/>
      <c r="HS72" s="528"/>
      <c r="HT72" s="528"/>
      <c r="HU72" s="528"/>
      <c r="HV72" s="528"/>
      <c r="HW72" s="528"/>
      <c r="HX72" s="528"/>
      <c r="HY72" s="528"/>
      <c r="HZ72" s="528"/>
      <c r="IA72" s="528"/>
      <c r="IB72" s="528"/>
      <c r="IC72" s="528"/>
      <c r="ID72" s="528"/>
      <c r="IE72" s="528"/>
      <c r="IF72" s="528"/>
      <c r="IG72" s="528"/>
      <c r="IH72" s="528"/>
      <c r="II72" s="528"/>
      <c r="IJ72" s="528"/>
      <c r="IK72" s="528"/>
      <c r="IL72" s="528"/>
      <c r="IM72" s="528"/>
      <c r="IN72" s="528"/>
      <c r="IO72" s="528"/>
    </row>
    <row r="73" spans="3:249" ht="18" x14ac:dyDescent="0.25">
      <c r="C73" s="438"/>
      <c r="D73" s="569"/>
      <c r="E73" s="566"/>
      <c r="F73" s="596">
        <f>SUM(F70:F72)</f>
        <v>2.314003542829584</v>
      </c>
      <c r="G73" s="597">
        <f>SUM(G70:G72)</f>
        <v>14.806718661432649</v>
      </c>
      <c r="H73" s="598">
        <f>+'[2]Typical Conv.Operating Expenses'!BZ88</f>
        <v>0.43681288084896508</v>
      </c>
      <c r="I73" s="599">
        <f>+'[2]Typical Conv.Operating Expenses'!CA88</f>
        <v>4.9121524898114757</v>
      </c>
      <c r="J73" s="600">
        <f>+'[2]Typical Conv.Operating Expenses'!CC88</f>
        <v>0.51389750688113534</v>
      </c>
      <c r="K73" s="599">
        <f>+'[2]Typical Conv.Operating Expenses'!CD88</f>
        <v>5.7427339211859252</v>
      </c>
      <c r="L73" s="519"/>
      <c r="M73" s="519"/>
      <c r="N73" s="519"/>
      <c r="O73" s="528"/>
      <c r="P73" s="601"/>
      <c r="Q73" s="601"/>
      <c r="R73" s="528"/>
      <c r="S73" s="528"/>
      <c r="T73" s="528"/>
      <c r="U73" s="528"/>
      <c r="V73" s="528"/>
      <c r="W73" s="528"/>
      <c r="X73" s="528"/>
      <c r="Y73" s="528"/>
      <c r="Z73" s="528"/>
      <c r="AA73" s="528"/>
      <c r="AB73" s="528"/>
      <c r="AC73" s="528"/>
      <c r="AD73" s="528"/>
      <c r="AE73" s="528"/>
      <c r="AF73" s="528"/>
      <c r="AG73" s="528"/>
      <c r="AH73" s="528"/>
      <c r="AI73" s="528"/>
      <c r="AJ73" s="528"/>
      <c r="AK73" s="528"/>
      <c r="AL73" s="528"/>
      <c r="AM73" s="528"/>
      <c r="AN73" s="528"/>
      <c r="AO73" s="528"/>
      <c r="AP73" s="528"/>
      <c r="AQ73" s="528"/>
      <c r="AR73" s="528"/>
      <c r="AS73" s="528"/>
      <c r="AT73" s="528"/>
      <c r="AU73" s="528"/>
      <c r="AV73" s="528"/>
      <c r="AW73" s="528"/>
      <c r="AX73" s="528"/>
      <c r="AY73" s="528"/>
      <c r="AZ73" s="528"/>
      <c r="BA73" s="528"/>
      <c r="BB73" s="528"/>
      <c r="BC73" s="528"/>
      <c r="BD73" s="528"/>
      <c r="BE73" s="528"/>
      <c r="BF73" s="528"/>
      <c r="BG73" s="528"/>
      <c r="BH73" s="528"/>
      <c r="BI73" s="528"/>
      <c r="BJ73" s="528"/>
      <c r="BK73" s="528"/>
      <c r="BL73" s="528"/>
      <c r="BM73" s="528"/>
      <c r="BN73" s="528"/>
      <c r="BO73" s="528"/>
      <c r="BP73" s="528"/>
      <c r="BQ73" s="528"/>
      <c r="BR73" s="528"/>
      <c r="BS73" s="528"/>
      <c r="BT73" s="528"/>
      <c r="BU73" s="528"/>
      <c r="BV73" s="528"/>
      <c r="BW73" s="528"/>
      <c r="BX73" s="528"/>
      <c r="BY73" s="528"/>
      <c r="BZ73" s="528"/>
      <c r="CA73" s="528"/>
      <c r="CB73" s="528"/>
      <c r="CC73" s="528"/>
      <c r="CD73" s="528"/>
      <c r="CE73" s="528"/>
      <c r="CF73" s="528"/>
      <c r="CG73" s="528"/>
      <c r="CH73" s="528"/>
      <c r="CI73" s="528"/>
      <c r="CJ73" s="528"/>
      <c r="CK73" s="528"/>
      <c r="CL73" s="528"/>
      <c r="CM73" s="528"/>
      <c r="CN73" s="528"/>
      <c r="CO73" s="528"/>
      <c r="CP73" s="528"/>
      <c r="CQ73" s="528"/>
      <c r="CR73" s="528"/>
      <c r="CS73" s="528"/>
      <c r="CT73" s="528"/>
      <c r="CU73" s="528"/>
      <c r="CV73" s="528"/>
      <c r="CW73" s="528"/>
      <c r="CX73" s="528"/>
      <c r="CY73" s="528"/>
      <c r="CZ73" s="528"/>
      <c r="DA73" s="528"/>
      <c r="DB73" s="528"/>
      <c r="DC73" s="528"/>
      <c r="DD73" s="528"/>
      <c r="DE73" s="528"/>
      <c r="DF73" s="528"/>
      <c r="DG73" s="528"/>
      <c r="DH73" s="528"/>
      <c r="DI73" s="528"/>
      <c r="DJ73" s="528"/>
      <c r="DK73" s="528"/>
      <c r="DL73" s="528"/>
      <c r="DM73" s="528"/>
      <c r="DN73" s="528"/>
      <c r="DO73" s="528"/>
      <c r="DP73" s="528"/>
      <c r="DQ73" s="528"/>
      <c r="DR73" s="528"/>
      <c r="DS73" s="528"/>
      <c r="DT73" s="528"/>
      <c r="DU73" s="528"/>
      <c r="DV73" s="528"/>
      <c r="DW73" s="528"/>
      <c r="DX73" s="528"/>
      <c r="DY73" s="528"/>
      <c r="DZ73" s="528"/>
      <c r="EA73" s="528"/>
      <c r="EB73" s="528"/>
      <c r="EC73" s="528"/>
      <c r="ED73" s="528"/>
      <c r="EE73" s="528"/>
      <c r="EF73" s="528"/>
      <c r="EG73" s="528"/>
      <c r="EH73" s="528"/>
      <c r="EI73" s="528"/>
      <c r="EJ73" s="528"/>
      <c r="EK73" s="528"/>
      <c r="EL73" s="528"/>
      <c r="EM73" s="528"/>
      <c r="EN73" s="528"/>
      <c r="EO73" s="528"/>
      <c r="EP73" s="528"/>
      <c r="EQ73" s="528"/>
      <c r="ER73" s="528"/>
      <c r="ES73" s="528"/>
      <c r="ET73" s="528"/>
      <c r="EU73" s="528"/>
      <c r="EV73" s="528"/>
      <c r="EW73" s="528"/>
      <c r="EX73" s="528"/>
      <c r="EY73" s="528"/>
      <c r="EZ73" s="528"/>
      <c r="FA73" s="528"/>
      <c r="FB73" s="528"/>
      <c r="FC73" s="528"/>
      <c r="FD73" s="528"/>
      <c r="FE73" s="528"/>
      <c r="FF73" s="528"/>
      <c r="FG73" s="528"/>
      <c r="FH73" s="528"/>
      <c r="FI73" s="528"/>
      <c r="FJ73" s="528"/>
      <c r="FK73" s="528"/>
      <c r="FL73" s="528"/>
      <c r="FM73" s="528"/>
      <c r="FN73" s="528"/>
      <c r="FO73" s="528"/>
      <c r="FP73" s="528"/>
      <c r="FQ73" s="528"/>
      <c r="FR73" s="528"/>
      <c r="FS73" s="528"/>
      <c r="FT73" s="528"/>
      <c r="FU73" s="528"/>
      <c r="FV73" s="528"/>
      <c r="FW73" s="528"/>
      <c r="FX73" s="528"/>
      <c r="FY73" s="528"/>
      <c r="FZ73" s="528"/>
      <c r="GA73" s="528"/>
      <c r="GB73" s="528"/>
      <c r="GC73" s="528"/>
      <c r="GD73" s="528"/>
      <c r="GE73" s="528"/>
      <c r="GF73" s="528"/>
      <c r="GG73" s="528"/>
      <c r="GH73" s="528"/>
      <c r="GI73" s="528"/>
      <c r="GJ73" s="528"/>
      <c r="GK73" s="528"/>
      <c r="GL73" s="528"/>
      <c r="GM73" s="528"/>
      <c r="GN73" s="528"/>
      <c r="GO73" s="528"/>
      <c r="GP73" s="528"/>
      <c r="GQ73" s="528"/>
      <c r="GR73" s="528"/>
      <c r="GS73" s="528"/>
      <c r="GT73" s="528"/>
      <c r="GU73" s="528"/>
      <c r="GV73" s="528"/>
      <c r="GW73" s="528"/>
      <c r="GX73" s="528"/>
      <c r="GY73" s="528"/>
      <c r="GZ73" s="528"/>
      <c r="HA73" s="528"/>
      <c r="HB73" s="528"/>
      <c r="HC73" s="528"/>
      <c r="HD73" s="528"/>
      <c r="HE73" s="528"/>
      <c r="HF73" s="528"/>
      <c r="HG73" s="528"/>
      <c r="HH73" s="528"/>
      <c r="HI73" s="528"/>
      <c r="HJ73" s="528"/>
      <c r="HK73" s="528"/>
      <c r="HL73" s="528"/>
      <c r="HM73" s="528"/>
      <c r="HN73" s="528"/>
      <c r="HO73" s="528"/>
      <c r="HP73" s="528"/>
      <c r="HQ73" s="528"/>
      <c r="HR73" s="528"/>
      <c r="HS73" s="528"/>
      <c r="HT73" s="528"/>
      <c r="HU73" s="528"/>
      <c r="HV73" s="528"/>
      <c r="HW73" s="528"/>
      <c r="HX73" s="528"/>
      <c r="HY73" s="528"/>
      <c r="HZ73" s="528"/>
      <c r="IA73" s="528"/>
      <c r="IB73" s="528"/>
      <c r="IC73" s="528"/>
      <c r="ID73" s="528"/>
      <c r="IE73" s="528"/>
      <c r="IF73" s="528"/>
      <c r="IG73" s="528"/>
      <c r="IH73" s="528"/>
      <c r="II73" s="528"/>
      <c r="IJ73" s="528"/>
      <c r="IK73" s="528"/>
      <c r="IL73" s="528"/>
      <c r="IM73" s="528"/>
      <c r="IN73" s="528"/>
      <c r="IO73" s="528"/>
    </row>
    <row r="74" spans="3:249" ht="18" x14ac:dyDescent="0.25">
      <c r="C74" s="438"/>
      <c r="D74" s="569"/>
      <c r="E74" s="602" t="s">
        <v>554</v>
      </c>
      <c r="F74" s="928">
        <f>+'[2]Typical Conv.Operating Expenses'!BU93</f>
        <v>8.4224722371217666</v>
      </c>
      <c r="G74" s="929"/>
      <c r="H74" s="930">
        <f>+'[2]Typical Conv.Operating Expenses'!BU94</f>
        <v>1.2258458796157747</v>
      </c>
      <c r="I74" s="931"/>
      <c r="J74" s="932">
        <f>+'[2]Typical Conv.Operating Expenses'!BU92</f>
        <v>1.4346517903191525</v>
      </c>
      <c r="K74" s="931"/>
      <c r="L74" s="519"/>
      <c r="M74" s="519"/>
      <c r="N74" s="519"/>
      <c r="O74" s="528"/>
      <c r="P74" s="601"/>
      <c r="Q74" s="601"/>
      <c r="R74" s="528"/>
      <c r="S74" s="528"/>
      <c r="T74" s="528"/>
      <c r="U74" s="528"/>
      <c r="V74" s="528"/>
      <c r="W74" s="528"/>
      <c r="X74" s="528"/>
      <c r="Y74" s="528"/>
      <c r="Z74" s="528"/>
      <c r="AA74" s="528"/>
      <c r="AB74" s="528"/>
      <c r="AC74" s="528"/>
      <c r="AD74" s="528"/>
      <c r="AE74" s="528"/>
      <c r="AF74" s="528"/>
      <c r="AG74" s="528"/>
      <c r="AH74" s="528"/>
      <c r="AI74" s="528"/>
      <c r="AJ74" s="528"/>
      <c r="AK74" s="528"/>
      <c r="AL74" s="528"/>
      <c r="AM74" s="528"/>
      <c r="AN74" s="528"/>
      <c r="AO74" s="528"/>
      <c r="AP74" s="528"/>
      <c r="AQ74" s="528"/>
      <c r="AR74" s="528"/>
      <c r="AS74" s="528"/>
      <c r="AT74" s="528"/>
      <c r="AU74" s="528"/>
      <c r="AV74" s="528"/>
      <c r="AW74" s="528"/>
      <c r="AX74" s="528"/>
      <c r="AY74" s="528"/>
      <c r="AZ74" s="528"/>
      <c r="BA74" s="528"/>
      <c r="BB74" s="528"/>
      <c r="BC74" s="528"/>
      <c r="BD74" s="528"/>
      <c r="BE74" s="528"/>
      <c r="BF74" s="528"/>
      <c r="BG74" s="528"/>
      <c r="BH74" s="528"/>
      <c r="BI74" s="528"/>
      <c r="BJ74" s="528"/>
      <c r="BK74" s="528"/>
      <c r="BL74" s="528"/>
      <c r="BM74" s="528"/>
      <c r="BN74" s="528"/>
      <c r="BO74" s="528"/>
      <c r="BP74" s="528"/>
      <c r="BQ74" s="528"/>
      <c r="BR74" s="528"/>
      <c r="BS74" s="528"/>
      <c r="BT74" s="528"/>
      <c r="BU74" s="528"/>
      <c r="BV74" s="528"/>
      <c r="BW74" s="528"/>
      <c r="BX74" s="528"/>
      <c r="BY74" s="528"/>
      <c r="BZ74" s="528"/>
      <c r="CA74" s="528"/>
      <c r="CB74" s="528"/>
      <c r="CC74" s="528"/>
      <c r="CD74" s="528"/>
      <c r="CE74" s="528"/>
      <c r="CF74" s="528"/>
      <c r="CG74" s="528"/>
      <c r="CH74" s="528"/>
      <c r="CI74" s="528"/>
      <c r="CJ74" s="528"/>
      <c r="CK74" s="528"/>
      <c r="CL74" s="528"/>
      <c r="CM74" s="528"/>
      <c r="CN74" s="528"/>
      <c r="CO74" s="528"/>
      <c r="CP74" s="528"/>
      <c r="CQ74" s="528"/>
      <c r="CR74" s="528"/>
      <c r="CS74" s="528"/>
      <c r="CT74" s="528"/>
      <c r="CU74" s="528"/>
      <c r="CV74" s="528"/>
      <c r="CW74" s="528"/>
      <c r="CX74" s="528"/>
      <c r="CY74" s="528"/>
      <c r="CZ74" s="528"/>
      <c r="DA74" s="528"/>
      <c r="DB74" s="528"/>
      <c r="DC74" s="528"/>
      <c r="DD74" s="528"/>
      <c r="DE74" s="528"/>
      <c r="DF74" s="528"/>
      <c r="DG74" s="528"/>
      <c r="DH74" s="528"/>
      <c r="DI74" s="528"/>
      <c r="DJ74" s="528"/>
      <c r="DK74" s="528"/>
      <c r="DL74" s="528"/>
      <c r="DM74" s="528"/>
      <c r="DN74" s="528"/>
      <c r="DO74" s="528"/>
      <c r="DP74" s="528"/>
      <c r="DQ74" s="528"/>
      <c r="DR74" s="528"/>
      <c r="DS74" s="528"/>
      <c r="DT74" s="528"/>
      <c r="DU74" s="528"/>
      <c r="DV74" s="528"/>
      <c r="DW74" s="528"/>
      <c r="DX74" s="528"/>
      <c r="DY74" s="528"/>
      <c r="DZ74" s="528"/>
      <c r="EA74" s="528"/>
      <c r="EB74" s="528"/>
      <c r="EC74" s="528"/>
      <c r="ED74" s="528"/>
      <c r="EE74" s="528"/>
      <c r="EF74" s="528"/>
      <c r="EG74" s="528"/>
      <c r="EH74" s="528"/>
      <c r="EI74" s="528"/>
      <c r="EJ74" s="528"/>
      <c r="EK74" s="528"/>
      <c r="EL74" s="528"/>
      <c r="EM74" s="528"/>
      <c r="EN74" s="528"/>
      <c r="EO74" s="528"/>
      <c r="EP74" s="528"/>
      <c r="EQ74" s="528"/>
      <c r="ER74" s="528"/>
      <c r="ES74" s="528"/>
      <c r="ET74" s="528"/>
      <c r="EU74" s="528"/>
      <c r="EV74" s="528"/>
      <c r="EW74" s="528"/>
      <c r="EX74" s="528"/>
      <c r="EY74" s="528"/>
      <c r="EZ74" s="528"/>
      <c r="FA74" s="528"/>
      <c r="FB74" s="528"/>
      <c r="FC74" s="528"/>
      <c r="FD74" s="528"/>
      <c r="FE74" s="528"/>
      <c r="FF74" s="528"/>
      <c r="FG74" s="528"/>
      <c r="FH74" s="528"/>
      <c r="FI74" s="528"/>
      <c r="FJ74" s="528"/>
      <c r="FK74" s="528"/>
      <c r="FL74" s="528"/>
      <c r="FM74" s="528"/>
      <c r="FN74" s="528"/>
      <c r="FO74" s="528"/>
      <c r="FP74" s="528"/>
      <c r="FQ74" s="528"/>
      <c r="FR74" s="528"/>
      <c r="FS74" s="528"/>
      <c r="FT74" s="528"/>
      <c r="FU74" s="528"/>
      <c r="FV74" s="528"/>
      <c r="FW74" s="528"/>
      <c r="FX74" s="528"/>
      <c r="FY74" s="528"/>
      <c r="FZ74" s="528"/>
      <c r="GA74" s="528"/>
      <c r="GB74" s="528"/>
      <c r="GC74" s="528"/>
      <c r="GD74" s="528"/>
      <c r="GE74" s="528"/>
      <c r="GF74" s="528"/>
      <c r="GG74" s="528"/>
      <c r="GH74" s="528"/>
      <c r="GI74" s="528"/>
      <c r="GJ74" s="528"/>
      <c r="GK74" s="528"/>
      <c r="GL74" s="528"/>
      <c r="GM74" s="528"/>
      <c r="GN74" s="528"/>
      <c r="GO74" s="528"/>
      <c r="GP74" s="528"/>
      <c r="GQ74" s="528"/>
      <c r="GR74" s="528"/>
      <c r="GS74" s="528"/>
      <c r="GT74" s="528"/>
      <c r="GU74" s="528"/>
      <c r="GV74" s="528"/>
      <c r="GW74" s="528"/>
      <c r="GX74" s="528"/>
      <c r="GY74" s="528"/>
      <c r="GZ74" s="528"/>
      <c r="HA74" s="528"/>
      <c r="HB74" s="528"/>
      <c r="HC74" s="528"/>
      <c r="HD74" s="528"/>
      <c r="HE74" s="528"/>
      <c r="HF74" s="528"/>
      <c r="HG74" s="528"/>
      <c r="HH74" s="528"/>
      <c r="HI74" s="528"/>
      <c r="HJ74" s="528"/>
      <c r="HK74" s="528"/>
      <c r="HL74" s="528"/>
      <c r="HM74" s="528"/>
      <c r="HN74" s="528"/>
      <c r="HO74" s="528"/>
      <c r="HP74" s="528"/>
      <c r="HQ74" s="528"/>
      <c r="HR74" s="528"/>
      <c r="HS74" s="528"/>
      <c r="HT74" s="528"/>
      <c r="HU74" s="528"/>
      <c r="HV74" s="528"/>
      <c r="HW74" s="528"/>
      <c r="HX74" s="528"/>
      <c r="HY74" s="528"/>
      <c r="HZ74" s="528"/>
      <c r="IA74" s="528"/>
      <c r="IB74" s="528"/>
      <c r="IC74" s="528"/>
      <c r="ID74" s="528"/>
      <c r="IE74" s="528"/>
      <c r="IF74" s="528"/>
      <c r="IG74" s="528"/>
      <c r="IH74" s="528"/>
      <c r="II74" s="528"/>
      <c r="IJ74" s="528"/>
      <c r="IK74" s="528"/>
      <c r="IL74" s="528"/>
      <c r="IM74" s="528"/>
      <c r="IN74" s="528"/>
      <c r="IO74" s="528"/>
    </row>
    <row r="75" spans="3:249" x14ac:dyDescent="0.25">
      <c r="C75" s="438"/>
      <c r="D75" s="569"/>
      <c r="E75" s="603" t="s">
        <v>555</v>
      </c>
      <c r="F75" s="604"/>
      <c r="G75" s="605"/>
      <c r="H75" s="933">
        <v>1.5</v>
      </c>
      <c r="I75" s="934"/>
      <c r="J75" s="480"/>
      <c r="K75" s="438"/>
      <c r="L75" s="519"/>
      <c r="M75" s="519"/>
      <c r="N75" s="519"/>
      <c r="O75" s="528"/>
      <c r="P75" s="606"/>
      <c r="Q75" s="606"/>
      <c r="R75" s="528"/>
      <c r="S75" s="528"/>
      <c r="T75" s="528"/>
      <c r="U75" s="528"/>
      <c r="V75" s="528"/>
      <c r="W75" s="528"/>
      <c r="X75" s="528"/>
      <c r="Y75" s="528"/>
      <c r="Z75" s="528"/>
      <c r="AA75" s="528"/>
      <c r="AB75" s="528"/>
      <c r="AC75" s="528"/>
      <c r="AD75" s="528"/>
      <c r="AE75" s="528"/>
      <c r="AF75" s="528"/>
      <c r="AG75" s="528"/>
      <c r="AH75" s="528"/>
      <c r="AI75" s="528"/>
      <c r="AJ75" s="528"/>
      <c r="AK75" s="528"/>
      <c r="AL75" s="528"/>
      <c r="AM75" s="528"/>
      <c r="AN75" s="528"/>
      <c r="AO75" s="528"/>
      <c r="AP75" s="528"/>
      <c r="AQ75" s="528"/>
      <c r="AR75" s="528"/>
      <c r="AS75" s="528"/>
      <c r="AT75" s="528"/>
      <c r="AU75" s="528"/>
      <c r="AV75" s="528"/>
      <c r="AW75" s="528"/>
      <c r="AX75" s="528"/>
      <c r="AY75" s="528"/>
      <c r="AZ75" s="528"/>
      <c r="BA75" s="528"/>
      <c r="BB75" s="528"/>
      <c r="BC75" s="528"/>
      <c r="BD75" s="528"/>
      <c r="BE75" s="528"/>
      <c r="BF75" s="528"/>
      <c r="BG75" s="528"/>
      <c r="BH75" s="528"/>
      <c r="BI75" s="528"/>
      <c r="BJ75" s="528"/>
      <c r="BK75" s="528"/>
      <c r="BL75" s="528"/>
      <c r="BM75" s="528"/>
      <c r="BN75" s="528"/>
      <c r="BO75" s="528"/>
      <c r="BP75" s="528"/>
      <c r="BQ75" s="528"/>
      <c r="BR75" s="528"/>
      <c r="BS75" s="528"/>
      <c r="BT75" s="528"/>
      <c r="BU75" s="528"/>
      <c r="BV75" s="528"/>
      <c r="BW75" s="528"/>
      <c r="BX75" s="528"/>
      <c r="BY75" s="528"/>
      <c r="BZ75" s="528"/>
      <c r="CA75" s="528"/>
      <c r="CB75" s="528"/>
      <c r="CC75" s="528"/>
      <c r="CD75" s="528"/>
      <c r="CE75" s="528"/>
      <c r="CF75" s="528"/>
      <c r="CG75" s="528"/>
      <c r="CH75" s="528"/>
      <c r="CI75" s="528"/>
      <c r="CJ75" s="528"/>
      <c r="CK75" s="528"/>
      <c r="CL75" s="528"/>
      <c r="CM75" s="528"/>
      <c r="CN75" s="528"/>
      <c r="CO75" s="528"/>
      <c r="CP75" s="528"/>
      <c r="CQ75" s="528"/>
      <c r="CR75" s="528"/>
      <c r="CS75" s="528"/>
      <c r="CT75" s="528"/>
      <c r="CU75" s="528"/>
      <c r="CV75" s="528"/>
      <c r="CW75" s="528"/>
      <c r="CX75" s="528"/>
      <c r="CY75" s="528"/>
      <c r="CZ75" s="528"/>
      <c r="DA75" s="528"/>
      <c r="DB75" s="528"/>
      <c r="DC75" s="528"/>
      <c r="DD75" s="528"/>
      <c r="DE75" s="528"/>
      <c r="DF75" s="528"/>
      <c r="DG75" s="528"/>
      <c r="DH75" s="528"/>
      <c r="DI75" s="528"/>
      <c r="DJ75" s="528"/>
      <c r="DK75" s="528"/>
      <c r="DL75" s="528"/>
      <c r="DM75" s="528"/>
      <c r="DN75" s="528"/>
      <c r="DO75" s="528"/>
      <c r="DP75" s="528"/>
      <c r="DQ75" s="528"/>
      <c r="DR75" s="528"/>
      <c r="DS75" s="528"/>
      <c r="DT75" s="528"/>
      <c r="DU75" s="528"/>
      <c r="DV75" s="528"/>
      <c r="DW75" s="528"/>
      <c r="DX75" s="528"/>
      <c r="DY75" s="528"/>
      <c r="DZ75" s="528"/>
      <c r="EA75" s="528"/>
      <c r="EB75" s="528"/>
      <c r="EC75" s="528"/>
      <c r="ED75" s="528"/>
      <c r="EE75" s="528"/>
      <c r="EF75" s="528"/>
      <c r="EG75" s="528"/>
      <c r="EH75" s="528"/>
      <c r="EI75" s="528"/>
      <c r="EJ75" s="528"/>
      <c r="EK75" s="528"/>
      <c r="EL75" s="528"/>
      <c r="EM75" s="528"/>
      <c r="EN75" s="528"/>
      <c r="EO75" s="528"/>
      <c r="EP75" s="528"/>
      <c r="EQ75" s="528"/>
      <c r="ER75" s="528"/>
      <c r="ES75" s="528"/>
      <c r="ET75" s="528"/>
      <c r="EU75" s="528"/>
      <c r="EV75" s="528"/>
      <c r="EW75" s="528"/>
      <c r="EX75" s="528"/>
      <c r="EY75" s="528"/>
      <c r="EZ75" s="528"/>
      <c r="FA75" s="528"/>
      <c r="FB75" s="528"/>
      <c r="FC75" s="528"/>
      <c r="FD75" s="528"/>
      <c r="FE75" s="528"/>
      <c r="FF75" s="528"/>
      <c r="FG75" s="528"/>
      <c r="FH75" s="528"/>
      <c r="FI75" s="528"/>
      <c r="FJ75" s="528"/>
      <c r="FK75" s="528"/>
      <c r="FL75" s="528"/>
      <c r="FM75" s="528"/>
      <c r="FN75" s="528"/>
      <c r="FO75" s="528"/>
      <c r="FP75" s="528"/>
      <c r="FQ75" s="528"/>
      <c r="FR75" s="528"/>
      <c r="FS75" s="528"/>
      <c r="FT75" s="528"/>
      <c r="FU75" s="528"/>
      <c r="FV75" s="528"/>
      <c r="FW75" s="528"/>
      <c r="FX75" s="528"/>
      <c r="FY75" s="528"/>
      <c r="FZ75" s="528"/>
      <c r="GA75" s="528"/>
      <c r="GB75" s="528"/>
      <c r="GC75" s="528"/>
      <c r="GD75" s="528"/>
      <c r="GE75" s="528"/>
      <c r="GF75" s="528"/>
      <c r="GG75" s="528"/>
      <c r="GH75" s="528"/>
      <c r="GI75" s="528"/>
      <c r="GJ75" s="528"/>
      <c r="GK75" s="528"/>
      <c r="GL75" s="528"/>
      <c r="GM75" s="528"/>
      <c r="GN75" s="528"/>
      <c r="GO75" s="528"/>
      <c r="GP75" s="528"/>
      <c r="GQ75" s="528"/>
      <c r="GR75" s="528"/>
      <c r="GS75" s="528"/>
      <c r="GT75" s="528"/>
      <c r="GU75" s="528"/>
      <c r="GV75" s="528"/>
      <c r="GW75" s="528"/>
      <c r="GX75" s="528"/>
      <c r="GY75" s="528"/>
      <c r="GZ75" s="528"/>
      <c r="HA75" s="528"/>
      <c r="HB75" s="528"/>
      <c r="HC75" s="528"/>
      <c r="HD75" s="528"/>
      <c r="HE75" s="528"/>
      <c r="HF75" s="528"/>
      <c r="HG75" s="528"/>
      <c r="HH75" s="528"/>
      <c r="HI75" s="528"/>
      <c r="HJ75" s="528"/>
      <c r="HK75" s="528"/>
      <c r="HL75" s="528"/>
      <c r="HM75" s="528"/>
      <c r="HN75" s="528"/>
      <c r="HO75" s="528"/>
      <c r="HP75" s="528"/>
      <c r="HQ75" s="528"/>
      <c r="HR75" s="528"/>
      <c r="HS75" s="528"/>
      <c r="HT75" s="528"/>
      <c r="HU75" s="528"/>
      <c r="HV75" s="528"/>
      <c r="HW75" s="528"/>
      <c r="HX75" s="528"/>
      <c r="HY75" s="528"/>
      <c r="HZ75" s="528"/>
      <c r="IA75" s="528"/>
      <c r="IB75" s="528"/>
      <c r="IC75" s="528"/>
      <c r="ID75" s="528"/>
      <c r="IE75" s="528"/>
      <c r="IF75" s="528"/>
      <c r="IG75" s="528"/>
      <c r="IH75" s="528"/>
      <c r="II75" s="528"/>
      <c r="IJ75" s="528"/>
      <c r="IK75" s="528"/>
      <c r="IL75" s="528"/>
      <c r="IM75" s="528"/>
      <c r="IN75" s="528"/>
      <c r="IO75" s="528"/>
    </row>
    <row r="76" spans="3:249" x14ac:dyDescent="0.25">
      <c r="C76" s="438"/>
      <c r="D76" s="569"/>
      <c r="E76" s="603" t="s">
        <v>556</v>
      </c>
      <c r="F76" s="607">
        <v>1620</v>
      </c>
      <c r="G76" s="607" t="s">
        <v>378</v>
      </c>
      <c r="H76" s="608" t="s">
        <v>557</v>
      </c>
      <c r="I76" s="608" t="s">
        <v>558</v>
      </c>
      <c r="J76" s="480"/>
      <c r="K76" s="438"/>
      <c r="L76" s="519"/>
      <c r="M76" s="519"/>
      <c r="N76" s="519"/>
      <c r="O76" s="528"/>
      <c r="P76" s="606"/>
      <c r="Q76" s="606"/>
      <c r="R76" s="528"/>
      <c r="S76" s="528"/>
      <c r="T76" s="528"/>
      <c r="U76" s="528"/>
      <c r="V76" s="528"/>
      <c r="W76" s="528"/>
      <c r="X76" s="528"/>
      <c r="Y76" s="528"/>
      <c r="Z76" s="528"/>
      <c r="AA76" s="528"/>
      <c r="AB76" s="528"/>
      <c r="AC76" s="528"/>
      <c r="AD76" s="528"/>
      <c r="AE76" s="528"/>
      <c r="AF76" s="528"/>
      <c r="AG76" s="528"/>
      <c r="AH76" s="528"/>
      <c r="AI76" s="528"/>
      <c r="AJ76" s="528"/>
      <c r="AK76" s="528"/>
      <c r="AL76" s="528"/>
      <c r="AM76" s="528"/>
      <c r="AN76" s="528"/>
      <c r="AO76" s="528"/>
      <c r="AP76" s="528"/>
      <c r="AQ76" s="528"/>
      <c r="AR76" s="528"/>
      <c r="AS76" s="528"/>
      <c r="AT76" s="528"/>
      <c r="AU76" s="528"/>
      <c r="AV76" s="528"/>
      <c r="AW76" s="528"/>
      <c r="AX76" s="528"/>
      <c r="AY76" s="528"/>
      <c r="AZ76" s="528"/>
      <c r="BA76" s="528"/>
      <c r="BB76" s="528"/>
      <c r="BC76" s="528"/>
      <c r="BD76" s="528"/>
      <c r="BE76" s="528"/>
      <c r="BF76" s="528"/>
      <c r="BG76" s="528"/>
      <c r="BH76" s="528"/>
      <c r="BI76" s="528"/>
      <c r="BJ76" s="528"/>
      <c r="BK76" s="528"/>
      <c r="BL76" s="528"/>
      <c r="BM76" s="528"/>
      <c r="BN76" s="528"/>
      <c r="BO76" s="528"/>
      <c r="BP76" s="528"/>
      <c r="BQ76" s="528"/>
      <c r="BR76" s="528"/>
      <c r="BS76" s="528"/>
      <c r="BT76" s="528"/>
      <c r="BU76" s="528"/>
      <c r="BV76" s="528"/>
      <c r="BW76" s="528"/>
      <c r="BX76" s="528"/>
      <c r="BY76" s="528"/>
      <c r="BZ76" s="528"/>
      <c r="CA76" s="528"/>
      <c r="CB76" s="528"/>
      <c r="CC76" s="528"/>
      <c r="CD76" s="528"/>
      <c r="CE76" s="528"/>
      <c r="CF76" s="528"/>
      <c r="CG76" s="528"/>
      <c r="CH76" s="528"/>
      <c r="CI76" s="528"/>
      <c r="CJ76" s="528"/>
      <c r="CK76" s="528"/>
      <c r="CL76" s="528"/>
      <c r="CM76" s="528"/>
      <c r="CN76" s="528"/>
      <c r="CO76" s="528"/>
      <c r="CP76" s="528"/>
      <c r="CQ76" s="528"/>
      <c r="CR76" s="528"/>
      <c r="CS76" s="528"/>
      <c r="CT76" s="528"/>
      <c r="CU76" s="528"/>
      <c r="CV76" s="528"/>
      <c r="CW76" s="528"/>
      <c r="CX76" s="528"/>
      <c r="CY76" s="528"/>
      <c r="CZ76" s="528"/>
      <c r="DA76" s="528"/>
      <c r="DB76" s="528"/>
      <c r="DC76" s="528"/>
      <c r="DD76" s="528"/>
      <c r="DE76" s="528"/>
      <c r="DF76" s="528"/>
      <c r="DG76" s="528"/>
      <c r="DH76" s="528"/>
      <c r="DI76" s="528"/>
      <c r="DJ76" s="528"/>
      <c r="DK76" s="528"/>
      <c r="DL76" s="528"/>
      <c r="DM76" s="528"/>
      <c r="DN76" s="528"/>
      <c r="DO76" s="528"/>
      <c r="DP76" s="528"/>
      <c r="DQ76" s="528"/>
      <c r="DR76" s="528"/>
      <c r="DS76" s="528"/>
      <c r="DT76" s="528"/>
      <c r="DU76" s="528"/>
      <c r="DV76" s="528"/>
      <c r="DW76" s="528"/>
      <c r="DX76" s="528"/>
      <c r="DY76" s="528"/>
      <c r="DZ76" s="528"/>
      <c r="EA76" s="528"/>
      <c r="EB76" s="528"/>
      <c r="EC76" s="528"/>
      <c r="ED76" s="528"/>
      <c r="EE76" s="528"/>
      <c r="EF76" s="528"/>
      <c r="EG76" s="528"/>
      <c r="EH76" s="528"/>
      <c r="EI76" s="528"/>
      <c r="EJ76" s="528"/>
      <c r="EK76" s="528"/>
      <c r="EL76" s="528"/>
      <c r="EM76" s="528"/>
      <c r="EN76" s="528"/>
      <c r="EO76" s="528"/>
      <c r="EP76" s="528"/>
      <c r="EQ76" s="528"/>
      <c r="ER76" s="528"/>
      <c r="ES76" s="528"/>
      <c r="ET76" s="528"/>
      <c r="EU76" s="528"/>
      <c r="EV76" s="528"/>
      <c r="EW76" s="528"/>
      <c r="EX76" s="528"/>
      <c r="EY76" s="528"/>
      <c r="EZ76" s="528"/>
      <c r="FA76" s="528"/>
      <c r="FB76" s="528"/>
      <c r="FC76" s="528"/>
      <c r="FD76" s="528"/>
      <c r="FE76" s="528"/>
      <c r="FF76" s="528"/>
      <c r="FG76" s="528"/>
      <c r="FH76" s="528"/>
      <c r="FI76" s="528"/>
      <c r="FJ76" s="528"/>
      <c r="FK76" s="528"/>
      <c r="FL76" s="528"/>
      <c r="FM76" s="528"/>
      <c r="FN76" s="528"/>
      <c r="FO76" s="528"/>
      <c r="FP76" s="528"/>
      <c r="FQ76" s="528"/>
      <c r="FR76" s="528"/>
      <c r="FS76" s="528"/>
      <c r="FT76" s="528"/>
      <c r="FU76" s="528"/>
      <c r="FV76" s="528"/>
      <c r="FW76" s="528"/>
      <c r="FX76" s="528"/>
      <c r="FY76" s="528"/>
      <c r="FZ76" s="528"/>
      <c r="GA76" s="528"/>
      <c r="GB76" s="528"/>
      <c r="GC76" s="528"/>
      <c r="GD76" s="528"/>
      <c r="GE76" s="528"/>
      <c r="GF76" s="528"/>
      <c r="GG76" s="528"/>
      <c r="GH76" s="528"/>
      <c r="GI76" s="528"/>
      <c r="GJ76" s="528"/>
      <c r="GK76" s="528"/>
      <c r="GL76" s="528"/>
      <c r="GM76" s="528"/>
      <c r="GN76" s="528"/>
      <c r="GO76" s="528"/>
      <c r="GP76" s="528"/>
      <c r="GQ76" s="528"/>
      <c r="GR76" s="528"/>
      <c r="GS76" s="528"/>
      <c r="GT76" s="528"/>
      <c r="GU76" s="528"/>
      <c r="GV76" s="528"/>
      <c r="GW76" s="528"/>
      <c r="GX76" s="528"/>
      <c r="GY76" s="528"/>
      <c r="GZ76" s="528"/>
      <c r="HA76" s="528"/>
      <c r="HB76" s="528"/>
      <c r="HC76" s="528"/>
      <c r="HD76" s="528"/>
      <c r="HE76" s="528"/>
      <c r="HF76" s="528"/>
      <c r="HG76" s="528"/>
      <c r="HH76" s="528"/>
      <c r="HI76" s="528"/>
      <c r="HJ76" s="528"/>
      <c r="HK76" s="528"/>
      <c r="HL76" s="528"/>
      <c r="HM76" s="528"/>
      <c r="HN76" s="528"/>
      <c r="HO76" s="528"/>
      <c r="HP76" s="528"/>
      <c r="HQ76" s="528"/>
      <c r="HR76" s="528"/>
      <c r="HS76" s="528"/>
      <c r="HT76" s="528"/>
      <c r="HU76" s="528"/>
      <c r="HV76" s="528"/>
      <c r="HW76" s="528"/>
      <c r="HX76" s="528"/>
      <c r="HY76" s="528"/>
      <c r="HZ76" s="528"/>
      <c r="IA76" s="528"/>
      <c r="IB76" s="528"/>
      <c r="IC76" s="528"/>
      <c r="ID76" s="528"/>
      <c r="IE76" s="528"/>
      <c r="IF76" s="528"/>
      <c r="IG76" s="528"/>
      <c r="IH76" s="528"/>
      <c r="II76" s="528"/>
      <c r="IJ76" s="528"/>
      <c r="IK76" s="528"/>
      <c r="IL76" s="528"/>
      <c r="IM76" s="528"/>
      <c r="IN76" s="528"/>
      <c r="IO76" s="528"/>
    </row>
    <row r="77" spans="3:249" x14ac:dyDescent="0.25">
      <c r="C77" s="438"/>
      <c r="D77" s="569"/>
      <c r="E77" s="609" t="s">
        <v>559</v>
      </c>
      <c r="F77" s="610">
        <f>+'[2]Typical Conv.Operating Expenses'!BU91</f>
        <v>1202.8066978193146</v>
      </c>
      <c r="G77" s="611"/>
      <c r="H77" s="612">
        <f>+'[2]Typical Conv.Operating Expenses'!BX91</f>
        <v>426.08695652173913</v>
      </c>
      <c r="I77" s="613">
        <f>+'[2]Typical Conv.Operating Expenses'!BX92</f>
        <v>2195.3577235772359</v>
      </c>
      <c r="J77" s="480"/>
      <c r="K77" s="438"/>
      <c r="L77" s="519"/>
      <c r="M77" s="519"/>
      <c r="N77" s="519"/>
      <c r="O77" s="528"/>
      <c r="P77" s="606"/>
      <c r="Q77" s="606"/>
      <c r="R77" s="528"/>
      <c r="S77" s="528"/>
      <c r="T77" s="528"/>
      <c r="U77" s="528"/>
      <c r="V77" s="528"/>
      <c r="W77" s="528"/>
      <c r="X77" s="528"/>
      <c r="Y77" s="528"/>
      <c r="Z77" s="528"/>
      <c r="AA77" s="528"/>
      <c r="AB77" s="528"/>
      <c r="AC77" s="528"/>
      <c r="AD77" s="528"/>
      <c r="AE77" s="528"/>
      <c r="AF77" s="528"/>
      <c r="AG77" s="528"/>
      <c r="AH77" s="528"/>
      <c r="AI77" s="528"/>
      <c r="AJ77" s="528"/>
      <c r="AK77" s="528"/>
      <c r="AL77" s="528"/>
      <c r="AM77" s="528"/>
      <c r="AN77" s="528"/>
      <c r="AO77" s="528"/>
      <c r="AP77" s="528"/>
      <c r="AQ77" s="528"/>
      <c r="AR77" s="528"/>
      <c r="AS77" s="528"/>
      <c r="AT77" s="528"/>
      <c r="AU77" s="528"/>
      <c r="AV77" s="528"/>
      <c r="AW77" s="528"/>
      <c r="AX77" s="528"/>
      <c r="AY77" s="528"/>
      <c r="AZ77" s="528"/>
      <c r="BA77" s="528"/>
      <c r="BB77" s="528"/>
      <c r="BC77" s="528"/>
      <c r="BD77" s="528"/>
      <c r="BE77" s="528"/>
      <c r="BF77" s="528"/>
      <c r="BG77" s="528"/>
      <c r="BH77" s="528"/>
      <c r="BI77" s="528"/>
      <c r="BJ77" s="528"/>
      <c r="BK77" s="528"/>
      <c r="BL77" s="528"/>
      <c r="BM77" s="528"/>
      <c r="BN77" s="528"/>
      <c r="BO77" s="528"/>
      <c r="BP77" s="528"/>
      <c r="BQ77" s="528"/>
      <c r="BR77" s="528"/>
      <c r="BS77" s="528"/>
      <c r="BT77" s="528"/>
      <c r="BU77" s="528"/>
      <c r="BV77" s="528"/>
      <c r="BW77" s="528"/>
      <c r="BX77" s="528"/>
      <c r="BY77" s="528"/>
      <c r="BZ77" s="528"/>
      <c r="CA77" s="528"/>
      <c r="CB77" s="528"/>
      <c r="CC77" s="528"/>
      <c r="CD77" s="528"/>
      <c r="CE77" s="528"/>
      <c r="CF77" s="528"/>
      <c r="CG77" s="528"/>
      <c r="CH77" s="528"/>
      <c r="CI77" s="528"/>
      <c r="CJ77" s="528"/>
      <c r="CK77" s="528"/>
      <c r="CL77" s="528"/>
      <c r="CM77" s="528"/>
      <c r="CN77" s="528"/>
      <c r="CO77" s="528"/>
      <c r="CP77" s="528"/>
      <c r="CQ77" s="528"/>
      <c r="CR77" s="528"/>
      <c r="CS77" s="528"/>
      <c r="CT77" s="528"/>
      <c r="CU77" s="528"/>
      <c r="CV77" s="528"/>
      <c r="CW77" s="528"/>
      <c r="CX77" s="528"/>
      <c r="CY77" s="528"/>
      <c r="CZ77" s="528"/>
      <c r="DA77" s="528"/>
      <c r="DB77" s="528"/>
      <c r="DC77" s="528"/>
      <c r="DD77" s="528"/>
      <c r="DE77" s="528"/>
      <c r="DF77" s="528"/>
      <c r="DG77" s="528"/>
      <c r="DH77" s="528"/>
      <c r="DI77" s="528"/>
      <c r="DJ77" s="528"/>
      <c r="DK77" s="528"/>
      <c r="DL77" s="528"/>
      <c r="DM77" s="528"/>
      <c r="DN77" s="528"/>
      <c r="DO77" s="528"/>
      <c r="DP77" s="528"/>
      <c r="DQ77" s="528"/>
      <c r="DR77" s="528"/>
      <c r="DS77" s="528"/>
      <c r="DT77" s="528"/>
      <c r="DU77" s="528"/>
      <c r="DV77" s="528"/>
      <c r="DW77" s="528"/>
      <c r="DX77" s="528"/>
      <c r="DY77" s="528"/>
      <c r="DZ77" s="528"/>
      <c r="EA77" s="528"/>
      <c r="EB77" s="528"/>
      <c r="EC77" s="528"/>
      <c r="ED77" s="528"/>
      <c r="EE77" s="528"/>
      <c r="EF77" s="528"/>
      <c r="EG77" s="528"/>
      <c r="EH77" s="528"/>
      <c r="EI77" s="528"/>
      <c r="EJ77" s="528"/>
      <c r="EK77" s="528"/>
      <c r="EL77" s="528"/>
      <c r="EM77" s="528"/>
      <c r="EN77" s="528"/>
      <c r="EO77" s="528"/>
      <c r="EP77" s="528"/>
      <c r="EQ77" s="528"/>
      <c r="ER77" s="528"/>
      <c r="ES77" s="528"/>
      <c r="ET77" s="528"/>
      <c r="EU77" s="528"/>
      <c r="EV77" s="528"/>
      <c r="EW77" s="528"/>
      <c r="EX77" s="528"/>
      <c r="EY77" s="528"/>
      <c r="EZ77" s="528"/>
      <c r="FA77" s="528"/>
      <c r="FB77" s="528"/>
      <c r="FC77" s="528"/>
      <c r="FD77" s="528"/>
      <c r="FE77" s="528"/>
      <c r="FF77" s="528"/>
      <c r="FG77" s="528"/>
      <c r="FH77" s="528"/>
      <c r="FI77" s="528"/>
      <c r="FJ77" s="528"/>
      <c r="FK77" s="528"/>
      <c r="FL77" s="528"/>
      <c r="FM77" s="528"/>
      <c r="FN77" s="528"/>
      <c r="FO77" s="528"/>
      <c r="FP77" s="528"/>
      <c r="FQ77" s="528"/>
      <c r="FR77" s="528"/>
      <c r="FS77" s="528"/>
      <c r="FT77" s="528"/>
      <c r="FU77" s="528"/>
      <c r="FV77" s="528"/>
      <c r="FW77" s="528"/>
      <c r="FX77" s="528"/>
      <c r="FY77" s="528"/>
      <c r="FZ77" s="528"/>
      <c r="GA77" s="528"/>
      <c r="GB77" s="528"/>
      <c r="GC77" s="528"/>
      <c r="GD77" s="528"/>
      <c r="GE77" s="528"/>
      <c r="GF77" s="528"/>
      <c r="GG77" s="528"/>
      <c r="GH77" s="528"/>
      <c r="GI77" s="528"/>
      <c r="GJ77" s="528"/>
      <c r="GK77" s="528"/>
      <c r="GL77" s="528"/>
      <c r="GM77" s="528"/>
      <c r="GN77" s="528"/>
      <c r="GO77" s="528"/>
      <c r="GP77" s="528"/>
      <c r="GQ77" s="528"/>
      <c r="GR77" s="528"/>
      <c r="GS77" s="528"/>
      <c r="GT77" s="528"/>
      <c r="GU77" s="528"/>
      <c r="GV77" s="528"/>
      <c r="GW77" s="528"/>
      <c r="GX77" s="528"/>
      <c r="GY77" s="528"/>
      <c r="GZ77" s="528"/>
      <c r="HA77" s="528"/>
      <c r="HB77" s="528"/>
      <c r="HC77" s="528"/>
      <c r="HD77" s="528"/>
      <c r="HE77" s="528"/>
      <c r="HF77" s="528"/>
      <c r="HG77" s="528"/>
      <c r="HH77" s="528"/>
      <c r="HI77" s="528"/>
      <c r="HJ77" s="528"/>
      <c r="HK77" s="528"/>
      <c r="HL77" s="528"/>
      <c r="HM77" s="528"/>
      <c r="HN77" s="528"/>
      <c r="HO77" s="528"/>
      <c r="HP77" s="528"/>
      <c r="HQ77" s="528"/>
      <c r="HR77" s="528"/>
      <c r="HS77" s="528"/>
      <c r="HT77" s="528"/>
      <c r="HU77" s="528"/>
      <c r="HV77" s="528"/>
      <c r="HW77" s="528"/>
      <c r="HX77" s="528"/>
      <c r="HY77" s="528"/>
      <c r="HZ77" s="528"/>
      <c r="IA77" s="528"/>
      <c r="IB77" s="528"/>
      <c r="IC77" s="528"/>
      <c r="ID77" s="528"/>
      <c r="IE77" s="528"/>
      <c r="IF77" s="528"/>
      <c r="IG77" s="528"/>
      <c r="IH77" s="528"/>
      <c r="II77" s="528"/>
      <c r="IJ77" s="528"/>
      <c r="IK77" s="528"/>
      <c r="IL77" s="528"/>
      <c r="IM77" s="528"/>
      <c r="IN77" s="528"/>
      <c r="IO77" s="528"/>
    </row>
    <row r="78" spans="3:249" x14ac:dyDescent="0.25">
      <c r="C78" s="438"/>
      <c r="D78" s="569"/>
      <c r="E78" s="609"/>
      <c r="F78" s="614"/>
      <c r="G78" s="614"/>
      <c r="H78" s="615"/>
      <c r="I78" s="614"/>
      <c r="J78" s="480"/>
      <c r="K78" s="438"/>
      <c r="L78" s="519"/>
      <c r="M78" s="519"/>
      <c r="N78" s="519"/>
      <c r="O78" s="528"/>
      <c r="P78" s="606"/>
      <c r="Q78" s="606"/>
      <c r="R78" s="528"/>
      <c r="S78" s="528"/>
      <c r="T78" s="528"/>
      <c r="U78" s="528"/>
      <c r="V78" s="528"/>
      <c r="W78" s="528"/>
      <c r="X78" s="528"/>
      <c r="Y78" s="528"/>
      <c r="Z78" s="528"/>
      <c r="AA78" s="528"/>
      <c r="AB78" s="528"/>
      <c r="AC78" s="528"/>
      <c r="AD78" s="528"/>
      <c r="AE78" s="528"/>
      <c r="AF78" s="528"/>
      <c r="AG78" s="528"/>
      <c r="AH78" s="528"/>
      <c r="AI78" s="528"/>
      <c r="AJ78" s="528"/>
      <c r="AK78" s="528"/>
      <c r="AL78" s="528"/>
      <c r="AM78" s="528"/>
      <c r="AN78" s="528"/>
      <c r="AO78" s="528"/>
      <c r="AP78" s="528"/>
      <c r="AQ78" s="528"/>
      <c r="AR78" s="528"/>
      <c r="AS78" s="528"/>
      <c r="AT78" s="528"/>
      <c r="AU78" s="528"/>
      <c r="AV78" s="528"/>
      <c r="AW78" s="528"/>
      <c r="AX78" s="528"/>
      <c r="AY78" s="528"/>
      <c r="AZ78" s="528"/>
      <c r="BA78" s="528"/>
      <c r="BB78" s="528"/>
      <c r="BC78" s="528"/>
      <c r="BD78" s="528"/>
      <c r="BE78" s="528"/>
      <c r="BF78" s="528"/>
      <c r="BG78" s="528"/>
      <c r="BH78" s="528"/>
      <c r="BI78" s="528"/>
      <c r="BJ78" s="528"/>
      <c r="BK78" s="528"/>
      <c r="BL78" s="528"/>
      <c r="BM78" s="528"/>
      <c r="BN78" s="528"/>
      <c r="BO78" s="528"/>
      <c r="BP78" s="528"/>
      <c r="BQ78" s="528"/>
      <c r="BR78" s="528"/>
      <c r="BS78" s="528"/>
      <c r="BT78" s="528"/>
      <c r="BU78" s="528"/>
      <c r="BV78" s="528"/>
      <c r="BW78" s="528"/>
      <c r="BX78" s="528"/>
      <c r="BY78" s="528"/>
      <c r="BZ78" s="528"/>
      <c r="CA78" s="528"/>
      <c r="CB78" s="528"/>
      <c r="CC78" s="528"/>
      <c r="CD78" s="528"/>
      <c r="CE78" s="528"/>
      <c r="CF78" s="528"/>
      <c r="CG78" s="528"/>
      <c r="CH78" s="528"/>
      <c r="CI78" s="528"/>
      <c r="CJ78" s="528"/>
      <c r="CK78" s="528"/>
      <c r="CL78" s="528"/>
      <c r="CM78" s="528"/>
      <c r="CN78" s="528"/>
      <c r="CO78" s="528"/>
      <c r="CP78" s="528"/>
      <c r="CQ78" s="528"/>
      <c r="CR78" s="528"/>
      <c r="CS78" s="528"/>
      <c r="CT78" s="528"/>
      <c r="CU78" s="528"/>
      <c r="CV78" s="528"/>
      <c r="CW78" s="528"/>
      <c r="CX78" s="528"/>
      <c r="CY78" s="528"/>
      <c r="CZ78" s="528"/>
      <c r="DA78" s="528"/>
      <c r="DB78" s="528"/>
      <c r="DC78" s="528"/>
      <c r="DD78" s="528"/>
      <c r="DE78" s="528"/>
      <c r="DF78" s="528"/>
      <c r="DG78" s="528"/>
      <c r="DH78" s="528"/>
      <c r="DI78" s="528"/>
      <c r="DJ78" s="528"/>
      <c r="DK78" s="528"/>
      <c r="DL78" s="528"/>
      <c r="DM78" s="528"/>
      <c r="DN78" s="528"/>
      <c r="DO78" s="528"/>
      <c r="DP78" s="528"/>
      <c r="DQ78" s="528"/>
      <c r="DR78" s="528"/>
      <c r="DS78" s="528"/>
      <c r="DT78" s="528"/>
      <c r="DU78" s="528"/>
      <c r="DV78" s="528"/>
      <c r="DW78" s="528"/>
      <c r="DX78" s="528"/>
      <c r="DY78" s="528"/>
      <c r="DZ78" s="528"/>
      <c r="EA78" s="528"/>
      <c r="EB78" s="528"/>
      <c r="EC78" s="528"/>
      <c r="ED78" s="528"/>
      <c r="EE78" s="528"/>
      <c r="EF78" s="528"/>
      <c r="EG78" s="528"/>
      <c r="EH78" s="528"/>
      <c r="EI78" s="528"/>
      <c r="EJ78" s="528"/>
      <c r="EK78" s="528"/>
      <c r="EL78" s="528"/>
      <c r="EM78" s="528"/>
      <c r="EN78" s="528"/>
      <c r="EO78" s="528"/>
      <c r="EP78" s="528"/>
      <c r="EQ78" s="528"/>
      <c r="ER78" s="528"/>
      <c r="ES78" s="528"/>
      <c r="ET78" s="528"/>
      <c r="EU78" s="528"/>
      <c r="EV78" s="528"/>
      <c r="EW78" s="528"/>
      <c r="EX78" s="528"/>
      <c r="EY78" s="528"/>
      <c r="EZ78" s="528"/>
      <c r="FA78" s="528"/>
      <c r="FB78" s="528"/>
      <c r="FC78" s="528"/>
      <c r="FD78" s="528"/>
      <c r="FE78" s="528"/>
      <c r="FF78" s="528"/>
      <c r="FG78" s="528"/>
      <c r="FH78" s="528"/>
      <c r="FI78" s="528"/>
      <c r="FJ78" s="528"/>
      <c r="FK78" s="528"/>
      <c r="FL78" s="528"/>
      <c r="FM78" s="528"/>
      <c r="FN78" s="528"/>
      <c r="FO78" s="528"/>
      <c r="FP78" s="528"/>
      <c r="FQ78" s="528"/>
      <c r="FR78" s="528"/>
      <c r="FS78" s="528"/>
      <c r="FT78" s="528"/>
      <c r="FU78" s="528"/>
      <c r="FV78" s="528"/>
      <c r="FW78" s="528"/>
      <c r="FX78" s="528"/>
      <c r="FY78" s="528"/>
      <c r="FZ78" s="528"/>
      <c r="GA78" s="528"/>
      <c r="GB78" s="528"/>
      <c r="GC78" s="528"/>
      <c r="GD78" s="528"/>
      <c r="GE78" s="528"/>
      <c r="GF78" s="528"/>
      <c r="GG78" s="528"/>
      <c r="GH78" s="528"/>
      <c r="GI78" s="528"/>
      <c r="GJ78" s="528"/>
      <c r="GK78" s="528"/>
      <c r="GL78" s="528"/>
      <c r="GM78" s="528"/>
      <c r="GN78" s="528"/>
      <c r="GO78" s="528"/>
      <c r="GP78" s="528"/>
      <c r="GQ78" s="528"/>
      <c r="GR78" s="528"/>
      <c r="GS78" s="528"/>
      <c r="GT78" s="528"/>
      <c r="GU78" s="528"/>
      <c r="GV78" s="528"/>
      <c r="GW78" s="528"/>
      <c r="GX78" s="528"/>
      <c r="GY78" s="528"/>
      <c r="GZ78" s="528"/>
      <c r="HA78" s="528"/>
      <c r="HB78" s="528"/>
      <c r="HC78" s="528"/>
      <c r="HD78" s="528"/>
      <c r="HE78" s="528"/>
      <c r="HF78" s="528"/>
      <c r="HG78" s="528"/>
      <c r="HH78" s="528"/>
      <c r="HI78" s="528"/>
      <c r="HJ78" s="528"/>
      <c r="HK78" s="528"/>
      <c r="HL78" s="528"/>
      <c r="HM78" s="528"/>
      <c r="HN78" s="528"/>
      <c r="HO78" s="528"/>
      <c r="HP78" s="528"/>
      <c r="HQ78" s="528"/>
      <c r="HR78" s="528"/>
      <c r="HS78" s="528"/>
      <c r="HT78" s="528"/>
      <c r="HU78" s="528"/>
      <c r="HV78" s="528"/>
      <c r="HW78" s="528"/>
      <c r="HX78" s="528"/>
      <c r="HY78" s="528"/>
      <c r="HZ78" s="528"/>
      <c r="IA78" s="528"/>
      <c r="IB78" s="528"/>
      <c r="IC78" s="528"/>
      <c r="ID78" s="528"/>
      <c r="IE78" s="528"/>
      <c r="IF78" s="528"/>
      <c r="IG78" s="528"/>
      <c r="IH78" s="528"/>
      <c r="II78" s="528"/>
      <c r="IJ78" s="528"/>
      <c r="IK78" s="528"/>
      <c r="IL78" s="528"/>
      <c r="IM78" s="528"/>
      <c r="IN78" s="528"/>
      <c r="IO78" s="528"/>
    </row>
    <row r="79" spans="3:249" x14ac:dyDescent="0.25">
      <c r="C79" s="438"/>
      <c r="D79" s="569"/>
      <c r="E79" s="609"/>
      <c r="F79" s="616"/>
      <c r="G79" s="616"/>
      <c r="H79" s="616"/>
      <c r="I79" s="616"/>
      <c r="J79" s="617"/>
      <c r="K79" s="438"/>
      <c r="L79" s="519"/>
      <c r="M79" s="519"/>
      <c r="N79" s="519"/>
      <c r="O79" s="528"/>
      <c r="P79" s="528"/>
      <c r="Q79" s="618"/>
      <c r="R79" s="528"/>
      <c r="S79" s="528"/>
      <c r="T79" s="528"/>
      <c r="U79" s="528"/>
      <c r="V79" s="528"/>
      <c r="W79" s="528"/>
      <c r="X79" s="528"/>
      <c r="Y79" s="528"/>
      <c r="Z79" s="528"/>
      <c r="AA79" s="528"/>
      <c r="AB79" s="528"/>
      <c r="AC79" s="528"/>
      <c r="AD79" s="528"/>
      <c r="AE79" s="528"/>
      <c r="AF79" s="528"/>
      <c r="AG79" s="528"/>
      <c r="AH79" s="528"/>
      <c r="AI79" s="528"/>
      <c r="AJ79" s="528"/>
      <c r="AK79" s="528"/>
      <c r="AL79" s="528"/>
      <c r="AM79" s="528"/>
      <c r="AN79" s="528"/>
      <c r="AO79" s="528"/>
      <c r="AP79" s="528"/>
      <c r="AQ79" s="528"/>
      <c r="AR79" s="528"/>
      <c r="AS79" s="528"/>
      <c r="AT79" s="528"/>
      <c r="AU79" s="528"/>
      <c r="AV79" s="528"/>
      <c r="AW79" s="528"/>
      <c r="AX79" s="528"/>
      <c r="AY79" s="528"/>
      <c r="AZ79" s="528"/>
      <c r="BA79" s="528"/>
      <c r="BB79" s="528"/>
      <c r="BC79" s="528"/>
      <c r="BD79" s="528"/>
      <c r="BE79" s="528"/>
      <c r="BF79" s="528"/>
      <c r="BG79" s="528"/>
      <c r="BH79" s="528"/>
      <c r="BI79" s="528"/>
      <c r="BJ79" s="528"/>
      <c r="BK79" s="528"/>
      <c r="BL79" s="528"/>
      <c r="BM79" s="528"/>
      <c r="BN79" s="528"/>
      <c r="BO79" s="528"/>
      <c r="BP79" s="528"/>
      <c r="BQ79" s="528"/>
      <c r="BR79" s="528"/>
      <c r="BS79" s="528"/>
      <c r="BT79" s="528"/>
      <c r="BU79" s="528"/>
      <c r="BV79" s="528"/>
      <c r="BW79" s="528"/>
      <c r="BX79" s="528"/>
      <c r="BY79" s="528"/>
      <c r="BZ79" s="528"/>
      <c r="CA79" s="528"/>
      <c r="CB79" s="528"/>
      <c r="CC79" s="528"/>
      <c r="CD79" s="528"/>
      <c r="CE79" s="528"/>
      <c r="CF79" s="528"/>
      <c r="CG79" s="528"/>
      <c r="CH79" s="528"/>
      <c r="CI79" s="528"/>
      <c r="CJ79" s="528"/>
      <c r="CK79" s="528"/>
      <c r="CL79" s="528"/>
      <c r="CM79" s="528"/>
      <c r="CN79" s="528"/>
      <c r="CO79" s="528"/>
      <c r="CP79" s="528"/>
      <c r="CQ79" s="528"/>
      <c r="CR79" s="528"/>
      <c r="CS79" s="528"/>
      <c r="CT79" s="528"/>
      <c r="CU79" s="528"/>
      <c r="CV79" s="528"/>
      <c r="CW79" s="528"/>
      <c r="CX79" s="528"/>
      <c r="CY79" s="528"/>
      <c r="CZ79" s="528"/>
      <c r="DA79" s="528"/>
      <c r="DB79" s="528"/>
      <c r="DC79" s="528"/>
      <c r="DD79" s="528"/>
      <c r="DE79" s="528"/>
      <c r="DF79" s="528"/>
      <c r="DG79" s="528"/>
      <c r="DH79" s="528"/>
      <c r="DI79" s="528"/>
      <c r="DJ79" s="528"/>
      <c r="DK79" s="528"/>
      <c r="DL79" s="528"/>
      <c r="DM79" s="528"/>
      <c r="DN79" s="528"/>
      <c r="DO79" s="528"/>
      <c r="DP79" s="528"/>
      <c r="DQ79" s="528"/>
      <c r="DR79" s="528"/>
      <c r="DS79" s="528"/>
      <c r="DT79" s="528"/>
      <c r="DU79" s="528"/>
      <c r="DV79" s="528"/>
      <c r="DW79" s="528"/>
      <c r="DX79" s="528"/>
      <c r="DY79" s="528"/>
      <c r="DZ79" s="528"/>
      <c r="EA79" s="528"/>
      <c r="EB79" s="528"/>
      <c r="EC79" s="528"/>
      <c r="ED79" s="528"/>
      <c r="EE79" s="528"/>
      <c r="EF79" s="528"/>
      <c r="EG79" s="528"/>
      <c r="EH79" s="528"/>
      <c r="EI79" s="528"/>
      <c r="EJ79" s="528"/>
      <c r="EK79" s="528"/>
      <c r="EL79" s="528"/>
      <c r="EM79" s="528"/>
      <c r="EN79" s="528"/>
      <c r="EO79" s="528"/>
      <c r="EP79" s="528"/>
      <c r="EQ79" s="528"/>
      <c r="ER79" s="528"/>
      <c r="ES79" s="528"/>
      <c r="ET79" s="528"/>
      <c r="EU79" s="528"/>
      <c r="EV79" s="528"/>
      <c r="EW79" s="528"/>
      <c r="EX79" s="528"/>
      <c r="EY79" s="528"/>
      <c r="EZ79" s="528"/>
      <c r="FA79" s="528"/>
      <c r="FB79" s="528"/>
      <c r="FC79" s="528"/>
      <c r="FD79" s="528"/>
      <c r="FE79" s="528"/>
      <c r="FF79" s="528"/>
      <c r="FG79" s="528"/>
      <c r="FH79" s="528"/>
      <c r="FI79" s="528"/>
      <c r="FJ79" s="528"/>
      <c r="FK79" s="528"/>
      <c r="FL79" s="528"/>
      <c r="FM79" s="528"/>
      <c r="FN79" s="528"/>
      <c r="FO79" s="528"/>
      <c r="FP79" s="528"/>
      <c r="FQ79" s="528"/>
      <c r="FR79" s="528"/>
      <c r="FS79" s="528"/>
      <c r="FT79" s="528"/>
      <c r="FU79" s="528"/>
      <c r="FV79" s="528"/>
      <c r="FW79" s="528"/>
      <c r="FX79" s="528"/>
      <c r="FY79" s="528"/>
      <c r="FZ79" s="528"/>
      <c r="GA79" s="528"/>
      <c r="GB79" s="528"/>
      <c r="GC79" s="528"/>
      <c r="GD79" s="528"/>
      <c r="GE79" s="528"/>
      <c r="GF79" s="528"/>
      <c r="GG79" s="528"/>
      <c r="GH79" s="528"/>
      <c r="GI79" s="528"/>
      <c r="GJ79" s="528"/>
      <c r="GK79" s="528"/>
      <c r="GL79" s="528"/>
      <c r="GM79" s="528"/>
      <c r="GN79" s="528"/>
      <c r="GO79" s="528"/>
      <c r="GP79" s="528"/>
      <c r="GQ79" s="528"/>
      <c r="GR79" s="528"/>
      <c r="GS79" s="528"/>
      <c r="GT79" s="528"/>
      <c r="GU79" s="528"/>
      <c r="GV79" s="528"/>
      <c r="GW79" s="528"/>
      <c r="GX79" s="528"/>
      <c r="GY79" s="528"/>
      <c r="GZ79" s="528"/>
      <c r="HA79" s="528"/>
      <c r="HB79" s="528"/>
      <c r="HC79" s="528"/>
      <c r="HD79" s="528"/>
      <c r="HE79" s="528"/>
      <c r="HF79" s="528"/>
      <c r="HG79" s="528"/>
      <c r="HH79" s="528"/>
      <c r="HI79" s="528"/>
      <c r="HJ79" s="528"/>
      <c r="HK79" s="528"/>
      <c r="HL79" s="528"/>
      <c r="HM79" s="528"/>
      <c r="HN79" s="528"/>
      <c r="HO79" s="528"/>
      <c r="HP79" s="528"/>
      <c r="HQ79" s="528"/>
      <c r="HR79" s="528"/>
      <c r="HS79" s="528"/>
      <c r="HT79" s="528"/>
      <c r="HU79" s="528"/>
      <c r="HV79" s="528"/>
      <c r="HW79" s="528"/>
      <c r="HX79" s="528"/>
      <c r="HY79" s="528"/>
      <c r="HZ79" s="528"/>
      <c r="IA79" s="528"/>
      <c r="IB79" s="528"/>
      <c r="IC79" s="528"/>
      <c r="ID79" s="528"/>
      <c r="IE79" s="528"/>
      <c r="IF79" s="528"/>
      <c r="IG79" s="528"/>
      <c r="IH79" s="528"/>
      <c r="II79" s="528"/>
      <c r="IJ79" s="528"/>
      <c r="IK79" s="528"/>
      <c r="IL79" s="528"/>
      <c r="IM79" s="528"/>
      <c r="IN79" s="528"/>
      <c r="IO79" s="528"/>
    </row>
    <row r="80" spans="3:249" x14ac:dyDescent="0.25">
      <c r="C80" s="438"/>
      <c r="D80" s="569"/>
      <c r="E80" s="619" t="s">
        <v>560</v>
      </c>
      <c r="F80" s="620">
        <v>11</v>
      </c>
      <c r="G80" s="621" t="s">
        <v>561</v>
      </c>
      <c r="H80" s="622">
        <f>ROUND(+F81/F13,-1)</f>
        <v>1130</v>
      </c>
      <c r="I80" s="623" t="s">
        <v>562</v>
      </c>
      <c r="J80" s="617"/>
      <c r="K80" s="438"/>
      <c r="L80" s="519"/>
      <c r="M80" s="519"/>
      <c r="N80" s="519"/>
      <c r="O80" s="528"/>
      <c r="P80" s="528"/>
      <c r="Q80" s="618"/>
      <c r="R80" s="528"/>
      <c r="S80" s="528"/>
      <c r="T80" s="528"/>
      <c r="U80" s="528"/>
      <c r="V80" s="528"/>
      <c r="W80" s="528"/>
      <c r="X80" s="528"/>
      <c r="Y80" s="528"/>
      <c r="Z80" s="528"/>
      <c r="AA80" s="528"/>
      <c r="AB80" s="528"/>
      <c r="AC80" s="528"/>
      <c r="AD80" s="528"/>
      <c r="AE80" s="528"/>
      <c r="AF80" s="528"/>
      <c r="AG80" s="528"/>
      <c r="AH80" s="528"/>
      <c r="AI80" s="528"/>
      <c r="AJ80" s="528"/>
      <c r="AK80" s="528"/>
      <c r="AL80" s="528"/>
      <c r="AM80" s="528"/>
      <c r="AN80" s="528"/>
      <c r="AO80" s="528"/>
      <c r="AP80" s="528"/>
      <c r="AQ80" s="528"/>
      <c r="AR80" s="528"/>
      <c r="AS80" s="528"/>
      <c r="AT80" s="528"/>
      <c r="AU80" s="528"/>
      <c r="AV80" s="528"/>
      <c r="AW80" s="528"/>
      <c r="AX80" s="528"/>
      <c r="AY80" s="528"/>
      <c r="AZ80" s="528"/>
      <c r="BA80" s="528"/>
      <c r="BB80" s="528"/>
      <c r="BC80" s="528"/>
      <c r="BD80" s="528"/>
      <c r="BE80" s="528"/>
      <c r="BF80" s="528"/>
      <c r="BG80" s="528"/>
      <c r="BH80" s="528"/>
      <c r="BI80" s="528"/>
      <c r="BJ80" s="528"/>
      <c r="BK80" s="528"/>
      <c r="BL80" s="528"/>
      <c r="BM80" s="528"/>
      <c r="BN80" s="528"/>
      <c r="BO80" s="528"/>
      <c r="BP80" s="528"/>
      <c r="BQ80" s="528"/>
      <c r="BR80" s="528"/>
      <c r="BS80" s="528"/>
      <c r="BT80" s="528"/>
      <c r="BU80" s="528"/>
      <c r="BV80" s="528"/>
      <c r="BW80" s="528"/>
      <c r="BX80" s="528"/>
      <c r="BY80" s="528"/>
      <c r="BZ80" s="528"/>
      <c r="CA80" s="528"/>
      <c r="CB80" s="528"/>
      <c r="CC80" s="528"/>
      <c r="CD80" s="528"/>
      <c r="CE80" s="528"/>
      <c r="CF80" s="528"/>
      <c r="CG80" s="528"/>
      <c r="CH80" s="528"/>
      <c r="CI80" s="528"/>
      <c r="CJ80" s="528"/>
      <c r="CK80" s="528"/>
      <c r="CL80" s="528"/>
      <c r="CM80" s="528"/>
      <c r="CN80" s="528"/>
      <c r="CO80" s="528"/>
      <c r="CP80" s="528"/>
      <c r="CQ80" s="528"/>
      <c r="CR80" s="528"/>
      <c r="CS80" s="528"/>
      <c r="CT80" s="528"/>
      <c r="CU80" s="528"/>
      <c r="CV80" s="528"/>
      <c r="CW80" s="528"/>
      <c r="CX80" s="528"/>
      <c r="CY80" s="528"/>
      <c r="CZ80" s="528"/>
      <c r="DA80" s="528"/>
      <c r="DB80" s="528"/>
      <c r="DC80" s="528"/>
      <c r="DD80" s="528"/>
      <c r="DE80" s="528"/>
      <c r="DF80" s="528"/>
      <c r="DG80" s="528"/>
      <c r="DH80" s="528"/>
      <c r="DI80" s="528"/>
      <c r="DJ80" s="528"/>
      <c r="DK80" s="528"/>
      <c r="DL80" s="528"/>
      <c r="DM80" s="528"/>
      <c r="DN80" s="528"/>
      <c r="DO80" s="528"/>
      <c r="DP80" s="528"/>
      <c r="DQ80" s="528"/>
      <c r="DR80" s="528"/>
      <c r="DS80" s="528"/>
      <c r="DT80" s="528"/>
      <c r="DU80" s="528"/>
      <c r="DV80" s="528"/>
      <c r="DW80" s="528"/>
      <c r="DX80" s="528"/>
      <c r="DY80" s="528"/>
      <c r="DZ80" s="528"/>
      <c r="EA80" s="528"/>
      <c r="EB80" s="528"/>
      <c r="EC80" s="528"/>
      <c r="ED80" s="528"/>
      <c r="EE80" s="528"/>
      <c r="EF80" s="528"/>
      <c r="EG80" s="528"/>
      <c r="EH80" s="528"/>
      <c r="EI80" s="528"/>
      <c r="EJ80" s="528"/>
      <c r="EK80" s="528"/>
      <c r="EL80" s="528"/>
      <c r="EM80" s="528"/>
      <c r="EN80" s="528"/>
      <c r="EO80" s="528"/>
      <c r="EP80" s="528"/>
      <c r="EQ80" s="528"/>
      <c r="ER80" s="528"/>
      <c r="ES80" s="528"/>
      <c r="ET80" s="528"/>
      <c r="EU80" s="528"/>
      <c r="EV80" s="528"/>
      <c r="EW80" s="528"/>
      <c r="EX80" s="528"/>
      <c r="EY80" s="528"/>
      <c r="EZ80" s="528"/>
      <c r="FA80" s="528"/>
      <c r="FB80" s="528"/>
      <c r="FC80" s="528"/>
      <c r="FD80" s="528"/>
      <c r="FE80" s="528"/>
      <c r="FF80" s="528"/>
      <c r="FG80" s="528"/>
      <c r="FH80" s="528"/>
      <c r="FI80" s="528"/>
      <c r="FJ80" s="528"/>
      <c r="FK80" s="528"/>
      <c r="FL80" s="528"/>
      <c r="FM80" s="528"/>
      <c r="FN80" s="528"/>
      <c r="FO80" s="528"/>
      <c r="FP80" s="528"/>
      <c r="FQ80" s="528"/>
      <c r="FR80" s="528"/>
      <c r="FS80" s="528"/>
      <c r="FT80" s="528"/>
      <c r="FU80" s="528"/>
      <c r="FV80" s="528"/>
      <c r="FW80" s="528"/>
      <c r="FX80" s="528"/>
      <c r="FY80" s="528"/>
      <c r="FZ80" s="528"/>
      <c r="GA80" s="528"/>
      <c r="GB80" s="528"/>
      <c r="GC80" s="528"/>
      <c r="GD80" s="528"/>
      <c r="GE80" s="528"/>
      <c r="GF80" s="528"/>
      <c r="GG80" s="528"/>
      <c r="GH80" s="528"/>
      <c r="GI80" s="528"/>
      <c r="GJ80" s="528"/>
      <c r="GK80" s="528"/>
      <c r="GL80" s="528"/>
      <c r="GM80" s="528"/>
      <c r="GN80" s="528"/>
      <c r="GO80" s="528"/>
      <c r="GP80" s="528"/>
      <c r="GQ80" s="528"/>
      <c r="GR80" s="528"/>
      <c r="GS80" s="528"/>
      <c r="GT80" s="528"/>
      <c r="GU80" s="528"/>
      <c r="GV80" s="528"/>
      <c r="GW80" s="528"/>
      <c r="GX80" s="528"/>
      <c r="GY80" s="528"/>
      <c r="GZ80" s="528"/>
      <c r="HA80" s="528"/>
      <c r="HB80" s="528"/>
      <c r="HC80" s="528"/>
      <c r="HD80" s="528"/>
      <c r="HE80" s="528"/>
      <c r="HF80" s="528"/>
      <c r="HG80" s="528"/>
      <c r="HH80" s="528"/>
      <c r="HI80" s="528"/>
      <c r="HJ80" s="528"/>
      <c r="HK80" s="528"/>
      <c r="HL80" s="528"/>
      <c r="HM80" s="528"/>
      <c r="HN80" s="528"/>
      <c r="HO80" s="528"/>
      <c r="HP80" s="528"/>
      <c r="HQ80" s="528"/>
      <c r="HR80" s="528"/>
      <c r="HS80" s="528"/>
      <c r="HT80" s="528"/>
      <c r="HU80" s="528"/>
      <c r="HV80" s="528"/>
      <c r="HW80" s="528"/>
      <c r="HX80" s="528"/>
      <c r="HY80" s="528"/>
      <c r="HZ80" s="528"/>
      <c r="IA80" s="528"/>
      <c r="IB80" s="528"/>
      <c r="IC80" s="528"/>
      <c r="ID80" s="528"/>
      <c r="IE80" s="528"/>
      <c r="IF80" s="528"/>
      <c r="IG80" s="528"/>
      <c r="IH80" s="528"/>
      <c r="II80" s="528"/>
      <c r="IJ80" s="528"/>
      <c r="IK80" s="528"/>
      <c r="IL80" s="528"/>
      <c r="IM80" s="528"/>
      <c r="IN80" s="528"/>
      <c r="IO80" s="528"/>
    </row>
    <row r="81" spans="3:249" x14ac:dyDescent="0.25">
      <c r="C81" s="438"/>
      <c r="D81" s="569"/>
      <c r="E81" s="609"/>
      <c r="F81" s="624">
        <f>+F80*F65</f>
        <v>192420.80000000005</v>
      </c>
      <c r="G81" s="625" t="s">
        <v>563</v>
      </c>
      <c r="H81" s="626">
        <f>+H80*F13</f>
        <v>192100</v>
      </c>
      <c r="I81" s="616"/>
      <c r="J81" s="617"/>
      <c r="K81" s="438"/>
      <c r="L81" s="519"/>
      <c r="M81" s="519"/>
      <c r="N81" s="519"/>
      <c r="O81" s="528"/>
      <c r="P81" s="528"/>
      <c r="Q81" s="618"/>
      <c r="R81" s="528"/>
      <c r="S81" s="528"/>
      <c r="T81" s="528"/>
      <c r="U81" s="528"/>
      <c r="V81" s="528"/>
      <c r="W81" s="528"/>
      <c r="X81" s="528"/>
      <c r="Y81" s="528"/>
      <c r="Z81" s="528"/>
      <c r="AA81" s="528"/>
      <c r="AB81" s="528"/>
      <c r="AC81" s="528"/>
      <c r="AD81" s="528"/>
      <c r="AE81" s="528"/>
      <c r="AF81" s="528"/>
      <c r="AG81" s="528"/>
      <c r="AH81" s="528"/>
      <c r="AI81" s="528"/>
      <c r="AJ81" s="528"/>
      <c r="AK81" s="528"/>
      <c r="AL81" s="528"/>
      <c r="AM81" s="528"/>
      <c r="AN81" s="528"/>
      <c r="AO81" s="528"/>
      <c r="AP81" s="528"/>
      <c r="AQ81" s="528"/>
      <c r="AR81" s="528"/>
      <c r="AS81" s="528"/>
      <c r="AT81" s="528"/>
      <c r="AU81" s="528"/>
      <c r="AV81" s="528"/>
      <c r="AW81" s="528"/>
      <c r="AX81" s="528"/>
      <c r="AY81" s="528"/>
      <c r="AZ81" s="528"/>
      <c r="BA81" s="528"/>
      <c r="BB81" s="528"/>
      <c r="BC81" s="528"/>
      <c r="BD81" s="528"/>
      <c r="BE81" s="528"/>
      <c r="BF81" s="528"/>
      <c r="BG81" s="528"/>
      <c r="BH81" s="528"/>
      <c r="BI81" s="528"/>
      <c r="BJ81" s="528"/>
      <c r="BK81" s="528"/>
      <c r="BL81" s="528"/>
      <c r="BM81" s="528"/>
      <c r="BN81" s="528"/>
      <c r="BO81" s="528"/>
      <c r="BP81" s="528"/>
      <c r="BQ81" s="528"/>
      <c r="BR81" s="528"/>
      <c r="BS81" s="528"/>
      <c r="BT81" s="528"/>
      <c r="BU81" s="528"/>
      <c r="BV81" s="528"/>
      <c r="BW81" s="528"/>
      <c r="BX81" s="528"/>
      <c r="BY81" s="528"/>
      <c r="BZ81" s="528"/>
      <c r="CA81" s="528"/>
      <c r="CB81" s="528"/>
      <c r="CC81" s="528"/>
      <c r="CD81" s="528"/>
      <c r="CE81" s="528"/>
      <c r="CF81" s="528"/>
      <c r="CG81" s="528"/>
      <c r="CH81" s="528"/>
      <c r="CI81" s="528"/>
      <c r="CJ81" s="528"/>
      <c r="CK81" s="528"/>
      <c r="CL81" s="528"/>
      <c r="CM81" s="528"/>
      <c r="CN81" s="528"/>
      <c r="CO81" s="528"/>
      <c r="CP81" s="528"/>
      <c r="CQ81" s="528"/>
      <c r="CR81" s="528"/>
      <c r="CS81" s="528"/>
      <c r="CT81" s="528"/>
      <c r="CU81" s="528"/>
      <c r="CV81" s="528"/>
      <c r="CW81" s="528"/>
      <c r="CX81" s="528"/>
      <c r="CY81" s="528"/>
      <c r="CZ81" s="528"/>
      <c r="DA81" s="528"/>
      <c r="DB81" s="528"/>
      <c r="DC81" s="528"/>
      <c r="DD81" s="528"/>
      <c r="DE81" s="528"/>
      <c r="DF81" s="528"/>
      <c r="DG81" s="528"/>
      <c r="DH81" s="528"/>
      <c r="DI81" s="528"/>
      <c r="DJ81" s="528"/>
      <c r="DK81" s="528"/>
      <c r="DL81" s="528"/>
      <c r="DM81" s="528"/>
      <c r="DN81" s="528"/>
      <c r="DO81" s="528"/>
      <c r="DP81" s="528"/>
      <c r="DQ81" s="528"/>
      <c r="DR81" s="528"/>
      <c r="DS81" s="528"/>
      <c r="DT81" s="528"/>
      <c r="DU81" s="528"/>
      <c r="DV81" s="528"/>
      <c r="DW81" s="528"/>
      <c r="DX81" s="528"/>
      <c r="DY81" s="528"/>
      <c r="DZ81" s="528"/>
      <c r="EA81" s="528"/>
      <c r="EB81" s="528"/>
      <c r="EC81" s="528"/>
      <c r="ED81" s="528"/>
      <c r="EE81" s="528"/>
      <c r="EF81" s="528"/>
      <c r="EG81" s="528"/>
      <c r="EH81" s="528"/>
      <c r="EI81" s="528"/>
      <c r="EJ81" s="528"/>
      <c r="EK81" s="528"/>
      <c r="EL81" s="528"/>
      <c r="EM81" s="528"/>
      <c r="EN81" s="528"/>
      <c r="EO81" s="528"/>
      <c r="EP81" s="528"/>
      <c r="EQ81" s="528"/>
      <c r="ER81" s="528"/>
      <c r="ES81" s="528"/>
      <c r="ET81" s="528"/>
      <c r="EU81" s="528"/>
      <c r="EV81" s="528"/>
      <c r="EW81" s="528"/>
      <c r="EX81" s="528"/>
      <c r="EY81" s="528"/>
      <c r="EZ81" s="528"/>
      <c r="FA81" s="528"/>
      <c r="FB81" s="528"/>
      <c r="FC81" s="528"/>
      <c r="FD81" s="528"/>
      <c r="FE81" s="528"/>
      <c r="FF81" s="528"/>
      <c r="FG81" s="528"/>
      <c r="FH81" s="528"/>
      <c r="FI81" s="528"/>
      <c r="FJ81" s="528"/>
      <c r="FK81" s="528"/>
      <c r="FL81" s="528"/>
      <c r="FM81" s="528"/>
      <c r="FN81" s="528"/>
      <c r="FO81" s="528"/>
      <c r="FP81" s="528"/>
      <c r="FQ81" s="528"/>
      <c r="FR81" s="528"/>
      <c r="FS81" s="528"/>
      <c r="FT81" s="528"/>
      <c r="FU81" s="528"/>
      <c r="FV81" s="528"/>
      <c r="FW81" s="528"/>
      <c r="FX81" s="528"/>
      <c r="FY81" s="528"/>
      <c r="FZ81" s="528"/>
      <c r="GA81" s="528"/>
      <c r="GB81" s="528"/>
      <c r="GC81" s="528"/>
      <c r="GD81" s="528"/>
      <c r="GE81" s="528"/>
      <c r="GF81" s="528"/>
      <c r="GG81" s="528"/>
      <c r="GH81" s="528"/>
      <c r="GI81" s="528"/>
      <c r="GJ81" s="528"/>
      <c r="GK81" s="528"/>
      <c r="GL81" s="528"/>
      <c r="GM81" s="528"/>
      <c r="GN81" s="528"/>
      <c r="GO81" s="528"/>
      <c r="GP81" s="528"/>
      <c r="GQ81" s="528"/>
      <c r="GR81" s="528"/>
      <c r="GS81" s="528"/>
      <c r="GT81" s="528"/>
      <c r="GU81" s="528"/>
      <c r="GV81" s="528"/>
      <c r="GW81" s="528"/>
      <c r="GX81" s="528"/>
      <c r="GY81" s="528"/>
      <c r="GZ81" s="528"/>
      <c r="HA81" s="528"/>
      <c r="HB81" s="528"/>
      <c r="HC81" s="528"/>
      <c r="HD81" s="528"/>
      <c r="HE81" s="528"/>
      <c r="HF81" s="528"/>
      <c r="HG81" s="528"/>
      <c r="HH81" s="528"/>
      <c r="HI81" s="528"/>
      <c r="HJ81" s="528"/>
      <c r="HK81" s="528"/>
      <c r="HL81" s="528"/>
      <c r="HM81" s="528"/>
      <c r="HN81" s="528"/>
      <c r="HO81" s="528"/>
      <c r="HP81" s="528"/>
      <c r="HQ81" s="528"/>
      <c r="HR81" s="528"/>
      <c r="HS81" s="528"/>
      <c r="HT81" s="528"/>
      <c r="HU81" s="528"/>
      <c r="HV81" s="528"/>
      <c r="HW81" s="528"/>
      <c r="HX81" s="528"/>
      <c r="HY81" s="528"/>
      <c r="HZ81" s="528"/>
      <c r="IA81" s="528"/>
      <c r="IB81" s="528"/>
      <c r="IC81" s="528"/>
      <c r="ID81" s="528"/>
      <c r="IE81" s="528"/>
      <c r="IF81" s="528"/>
      <c r="IG81" s="528"/>
      <c r="IH81" s="528"/>
      <c r="II81" s="528"/>
      <c r="IJ81" s="528"/>
      <c r="IK81" s="528"/>
      <c r="IL81" s="528"/>
      <c r="IM81" s="528"/>
      <c r="IN81" s="528"/>
      <c r="IO81" s="528"/>
    </row>
    <row r="82" spans="3:249" x14ac:dyDescent="0.25">
      <c r="C82" s="438"/>
      <c r="D82" s="569"/>
      <c r="E82" s="609"/>
      <c r="F82" s="627">
        <f>+F81/F62</f>
        <v>1.3148347067907564</v>
      </c>
      <c r="G82" s="625" t="s">
        <v>564</v>
      </c>
      <c r="H82" s="628"/>
      <c r="I82" s="616"/>
      <c r="J82" s="617"/>
      <c r="K82" s="438"/>
      <c r="L82" s="519"/>
      <c r="M82" s="519"/>
      <c r="N82" s="519"/>
      <c r="O82" s="528"/>
      <c r="P82" s="438"/>
      <c r="Q82" s="618"/>
      <c r="R82" s="528"/>
      <c r="S82" s="528"/>
      <c r="T82" s="528"/>
      <c r="U82" s="528"/>
      <c r="V82" s="528"/>
      <c r="W82" s="528"/>
      <c r="X82" s="528"/>
      <c r="Y82" s="528"/>
      <c r="Z82" s="528"/>
      <c r="AA82" s="528"/>
      <c r="AB82" s="528"/>
      <c r="AC82" s="528"/>
      <c r="AD82" s="528"/>
      <c r="AE82" s="528"/>
      <c r="AF82" s="528"/>
      <c r="AG82" s="528"/>
      <c r="AH82" s="528"/>
      <c r="AI82" s="528"/>
      <c r="AJ82" s="528"/>
      <c r="AK82" s="528"/>
      <c r="AL82" s="528"/>
      <c r="AM82" s="528"/>
      <c r="AN82" s="528"/>
      <c r="AO82" s="528"/>
      <c r="AP82" s="528"/>
      <c r="AQ82" s="528"/>
      <c r="AR82" s="528"/>
      <c r="AS82" s="528"/>
      <c r="AT82" s="528"/>
      <c r="AU82" s="528"/>
      <c r="AV82" s="528"/>
      <c r="AW82" s="528"/>
      <c r="AX82" s="528"/>
      <c r="AY82" s="528"/>
      <c r="AZ82" s="528"/>
      <c r="BA82" s="528"/>
      <c r="BB82" s="528"/>
      <c r="BC82" s="528"/>
      <c r="BD82" s="528"/>
      <c r="BE82" s="528"/>
      <c r="BF82" s="528"/>
      <c r="BG82" s="528"/>
      <c r="BH82" s="528"/>
      <c r="BI82" s="528"/>
      <c r="BJ82" s="528"/>
      <c r="BK82" s="528"/>
      <c r="BL82" s="528"/>
      <c r="BM82" s="528"/>
      <c r="BN82" s="528"/>
      <c r="BO82" s="528"/>
      <c r="BP82" s="528"/>
      <c r="BQ82" s="528"/>
      <c r="BR82" s="528"/>
      <c r="BS82" s="528"/>
      <c r="BT82" s="528"/>
      <c r="BU82" s="528"/>
      <c r="BV82" s="528"/>
      <c r="BW82" s="528"/>
      <c r="BX82" s="528"/>
      <c r="BY82" s="528"/>
      <c r="BZ82" s="528"/>
      <c r="CA82" s="528"/>
      <c r="CB82" s="528"/>
      <c r="CC82" s="528"/>
      <c r="CD82" s="528"/>
      <c r="CE82" s="528"/>
      <c r="CF82" s="528"/>
      <c r="CG82" s="528"/>
      <c r="CH82" s="528"/>
      <c r="CI82" s="528"/>
      <c r="CJ82" s="528"/>
      <c r="CK82" s="528"/>
      <c r="CL82" s="528"/>
      <c r="CM82" s="528"/>
      <c r="CN82" s="528"/>
      <c r="CO82" s="528"/>
      <c r="CP82" s="528"/>
      <c r="CQ82" s="528"/>
      <c r="CR82" s="528"/>
      <c r="CS82" s="528"/>
      <c r="CT82" s="528"/>
      <c r="CU82" s="528"/>
      <c r="CV82" s="528"/>
      <c r="CW82" s="528"/>
      <c r="CX82" s="528"/>
      <c r="CY82" s="528"/>
      <c r="CZ82" s="528"/>
      <c r="DA82" s="528"/>
      <c r="DB82" s="528"/>
      <c r="DC82" s="528"/>
      <c r="DD82" s="528"/>
      <c r="DE82" s="528"/>
      <c r="DF82" s="528"/>
      <c r="DG82" s="528"/>
      <c r="DH82" s="528"/>
      <c r="DI82" s="528"/>
      <c r="DJ82" s="528"/>
      <c r="DK82" s="528"/>
      <c r="DL82" s="528"/>
      <c r="DM82" s="528"/>
      <c r="DN82" s="528"/>
      <c r="DO82" s="528"/>
      <c r="DP82" s="528"/>
      <c r="DQ82" s="528"/>
      <c r="DR82" s="528"/>
      <c r="DS82" s="528"/>
      <c r="DT82" s="528"/>
      <c r="DU82" s="528"/>
      <c r="DV82" s="528"/>
      <c r="DW82" s="528"/>
      <c r="DX82" s="528"/>
      <c r="DY82" s="528"/>
      <c r="DZ82" s="528"/>
      <c r="EA82" s="528"/>
      <c r="EB82" s="528"/>
      <c r="EC82" s="528"/>
      <c r="ED82" s="528"/>
      <c r="EE82" s="528"/>
      <c r="EF82" s="528"/>
      <c r="EG82" s="528"/>
      <c r="EH82" s="528"/>
      <c r="EI82" s="528"/>
      <c r="EJ82" s="528"/>
      <c r="EK82" s="528"/>
      <c r="EL82" s="528"/>
      <c r="EM82" s="528"/>
      <c r="EN82" s="528"/>
      <c r="EO82" s="528"/>
      <c r="EP82" s="528"/>
      <c r="EQ82" s="528"/>
      <c r="ER82" s="528"/>
      <c r="ES82" s="528"/>
      <c r="ET82" s="528"/>
      <c r="EU82" s="528"/>
      <c r="EV82" s="528"/>
      <c r="EW82" s="528"/>
      <c r="EX82" s="528"/>
      <c r="EY82" s="528"/>
      <c r="EZ82" s="528"/>
      <c r="FA82" s="528"/>
      <c r="FB82" s="528"/>
      <c r="FC82" s="528"/>
      <c r="FD82" s="528"/>
      <c r="FE82" s="528"/>
      <c r="FF82" s="528"/>
      <c r="FG82" s="528"/>
      <c r="FH82" s="528"/>
      <c r="FI82" s="528"/>
      <c r="FJ82" s="528"/>
      <c r="FK82" s="528"/>
      <c r="FL82" s="528"/>
      <c r="FM82" s="528"/>
      <c r="FN82" s="528"/>
      <c r="FO82" s="528"/>
      <c r="FP82" s="528"/>
      <c r="FQ82" s="528"/>
      <c r="FR82" s="528"/>
      <c r="FS82" s="528"/>
      <c r="FT82" s="528"/>
      <c r="FU82" s="528"/>
      <c r="FV82" s="528"/>
      <c r="FW82" s="528"/>
      <c r="FX82" s="528"/>
      <c r="FY82" s="528"/>
      <c r="FZ82" s="528"/>
      <c r="GA82" s="528"/>
      <c r="GB82" s="528"/>
      <c r="GC82" s="528"/>
      <c r="GD82" s="528"/>
      <c r="GE82" s="528"/>
      <c r="GF82" s="528"/>
      <c r="GG82" s="528"/>
      <c r="GH82" s="528"/>
      <c r="GI82" s="528"/>
      <c r="GJ82" s="528"/>
      <c r="GK82" s="528"/>
      <c r="GL82" s="528"/>
      <c r="GM82" s="528"/>
      <c r="GN82" s="528"/>
      <c r="GO82" s="528"/>
      <c r="GP82" s="528"/>
      <c r="GQ82" s="528"/>
      <c r="GR82" s="528"/>
      <c r="GS82" s="528"/>
      <c r="GT82" s="528"/>
      <c r="GU82" s="528"/>
      <c r="GV82" s="528"/>
      <c r="GW82" s="528"/>
      <c r="GX82" s="528"/>
      <c r="GY82" s="528"/>
      <c r="GZ82" s="528"/>
      <c r="HA82" s="528"/>
      <c r="HB82" s="528"/>
      <c r="HC82" s="528"/>
      <c r="HD82" s="528"/>
      <c r="HE82" s="528"/>
      <c r="HF82" s="528"/>
      <c r="HG82" s="528"/>
      <c r="HH82" s="528"/>
      <c r="HI82" s="528"/>
      <c r="HJ82" s="528"/>
      <c r="HK82" s="528"/>
      <c r="HL82" s="528"/>
      <c r="HM82" s="528"/>
      <c r="HN82" s="528"/>
      <c r="HO82" s="528"/>
      <c r="HP82" s="528"/>
      <c r="HQ82" s="528"/>
      <c r="HR82" s="528"/>
      <c r="HS82" s="528"/>
      <c r="HT82" s="528"/>
      <c r="HU82" s="528"/>
      <c r="HV82" s="528"/>
      <c r="HW82" s="528"/>
      <c r="HX82" s="528"/>
      <c r="HY82" s="528"/>
      <c r="HZ82" s="528"/>
      <c r="IA82" s="528"/>
      <c r="IB82" s="528"/>
      <c r="IC82" s="528"/>
      <c r="ID82" s="528"/>
      <c r="IE82" s="528"/>
      <c r="IF82" s="528"/>
      <c r="IG82" s="528"/>
      <c r="IH82" s="528"/>
      <c r="II82" s="528"/>
      <c r="IJ82" s="528"/>
      <c r="IK82" s="528"/>
      <c r="IL82" s="528"/>
      <c r="IM82" s="528"/>
      <c r="IN82" s="528"/>
      <c r="IO82" s="528"/>
    </row>
    <row r="83" spans="3:249" x14ac:dyDescent="0.25">
      <c r="C83" s="438"/>
      <c r="D83" s="569"/>
      <c r="E83" s="609"/>
      <c r="F83" s="629">
        <f>+F81/F63</f>
        <v>1.4933334988964189</v>
      </c>
      <c r="G83" s="630" t="s">
        <v>565</v>
      </c>
      <c r="H83" s="631"/>
      <c r="I83" s="616"/>
      <c r="J83" s="617"/>
      <c r="K83" s="438"/>
      <c r="L83" s="519"/>
      <c r="M83" s="519"/>
      <c r="N83" s="519"/>
      <c r="O83" s="528"/>
      <c r="P83" s="438"/>
      <c r="Q83" s="618"/>
      <c r="R83" s="528"/>
      <c r="S83" s="528"/>
      <c r="T83" s="528"/>
      <c r="U83" s="528"/>
      <c r="V83" s="528"/>
      <c r="W83" s="528"/>
      <c r="X83" s="528"/>
      <c r="Y83" s="528"/>
      <c r="Z83" s="528"/>
      <c r="AA83" s="528"/>
      <c r="AB83" s="528"/>
      <c r="AC83" s="528"/>
      <c r="AD83" s="528"/>
      <c r="AE83" s="528"/>
      <c r="AF83" s="528"/>
      <c r="AG83" s="528"/>
      <c r="AH83" s="528"/>
      <c r="AI83" s="528"/>
      <c r="AJ83" s="528"/>
      <c r="AK83" s="528"/>
      <c r="AL83" s="528"/>
      <c r="AM83" s="528"/>
      <c r="AN83" s="528"/>
      <c r="AO83" s="528"/>
      <c r="AP83" s="528"/>
      <c r="AQ83" s="528"/>
      <c r="AR83" s="528"/>
      <c r="AS83" s="528"/>
      <c r="AT83" s="528"/>
      <c r="AU83" s="528"/>
      <c r="AV83" s="528"/>
      <c r="AW83" s="528"/>
      <c r="AX83" s="528"/>
      <c r="AY83" s="528"/>
      <c r="AZ83" s="528"/>
      <c r="BA83" s="528"/>
      <c r="BB83" s="528"/>
      <c r="BC83" s="528"/>
      <c r="BD83" s="528"/>
      <c r="BE83" s="528"/>
      <c r="BF83" s="528"/>
      <c r="BG83" s="528"/>
      <c r="BH83" s="528"/>
      <c r="BI83" s="528"/>
      <c r="BJ83" s="528"/>
      <c r="BK83" s="528"/>
      <c r="BL83" s="528"/>
      <c r="BM83" s="528"/>
      <c r="BN83" s="528"/>
      <c r="BO83" s="528"/>
      <c r="BP83" s="528"/>
      <c r="BQ83" s="528"/>
      <c r="BR83" s="528"/>
      <c r="BS83" s="528"/>
      <c r="BT83" s="528"/>
      <c r="BU83" s="528"/>
      <c r="BV83" s="528"/>
      <c r="BW83" s="528"/>
      <c r="BX83" s="528"/>
      <c r="BY83" s="528"/>
      <c r="BZ83" s="528"/>
      <c r="CA83" s="528"/>
      <c r="CB83" s="528"/>
      <c r="CC83" s="528"/>
      <c r="CD83" s="528"/>
      <c r="CE83" s="528"/>
      <c r="CF83" s="528"/>
      <c r="CG83" s="528"/>
      <c r="CH83" s="528"/>
      <c r="CI83" s="528"/>
      <c r="CJ83" s="528"/>
      <c r="CK83" s="528"/>
      <c r="CL83" s="528"/>
      <c r="CM83" s="528"/>
      <c r="CN83" s="528"/>
      <c r="CO83" s="528"/>
      <c r="CP83" s="528"/>
      <c r="CQ83" s="528"/>
      <c r="CR83" s="528"/>
      <c r="CS83" s="528"/>
      <c r="CT83" s="528"/>
      <c r="CU83" s="528"/>
      <c r="CV83" s="528"/>
      <c r="CW83" s="528"/>
      <c r="CX83" s="528"/>
      <c r="CY83" s="528"/>
      <c r="CZ83" s="528"/>
      <c r="DA83" s="528"/>
      <c r="DB83" s="528"/>
      <c r="DC83" s="528"/>
      <c r="DD83" s="528"/>
      <c r="DE83" s="528"/>
      <c r="DF83" s="528"/>
      <c r="DG83" s="528"/>
      <c r="DH83" s="528"/>
      <c r="DI83" s="528"/>
      <c r="DJ83" s="528"/>
      <c r="DK83" s="528"/>
      <c r="DL83" s="528"/>
      <c r="DM83" s="528"/>
      <c r="DN83" s="528"/>
      <c r="DO83" s="528"/>
      <c r="DP83" s="528"/>
      <c r="DQ83" s="528"/>
      <c r="DR83" s="528"/>
      <c r="DS83" s="528"/>
      <c r="DT83" s="528"/>
      <c r="DU83" s="528"/>
      <c r="DV83" s="528"/>
      <c r="DW83" s="528"/>
      <c r="DX83" s="528"/>
      <c r="DY83" s="528"/>
      <c r="DZ83" s="528"/>
      <c r="EA83" s="528"/>
      <c r="EB83" s="528"/>
      <c r="EC83" s="528"/>
      <c r="ED83" s="528"/>
      <c r="EE83" s="528"/>
      <c r="EF83" s="528"/>
      <c r="EG83" s="528"/>
      <c r="EH83" s="528"/>
      <c r="EI83" s="528"/>
      <c r="EJ83" s="528"/>
      <c r="EK83" s="528"/>
      <c r="EL83" s="528"/>
      <c r="EM83" s="528"/>
      <c r="EN83" s="528"/>
      <c r="EO83" s="528"/>
      <c r="EP83" s="528"/>
      <c r="EQ83" s="528"/>
      <c r="ER83" s="528"/>
      <c r="ES83" s="528"/>
      <c r="ET83" s="528"/>
      <c r="EU83" s="528"/>
      <c r="EV83" s="528"/>
      <c r="EW83" s="528"/>
      <c r="EX83" s="528"/>
      <c r="EY83" s="528"/>
      <c r="EZ83" s="528"/>
      <c r="FA83" s="528"/>
      <c r="FB83" s="528"/>
      <c r="FC83" s="528"/>
      <c r="FD83" s="528"/>
      <c r="FE83" s="528"/>
      <c r="FF83" s="528"/>
      <c r="FG83" s="528"/>
      <c r="FH83" s="528"/>
      <c r="FI83" s="528"/>
      <c r="FJ83" s="528"/>
      <c r="FK83" s="528"/>
      <c r="FL83" s="528"/>
      <c r="FM83" s="528"/>
      <c r="FN83" s="528"/>
      <c r="FO83" s="528"/>
      <c r="FP83" s="528"/>
      <c r="FQ83" s="528"/>
      <c r="FR83" s="528"/>
      <c r="FS83" s="528"/>
      <c r="FT83" s="528"/>
      <c r="FU83" s="528"/>
      <c r="FV83" s="528"/>
      <c r="FW83" s="528"/>
      <c r="FX83" s="528"/>
      <c r="FY83" s="528"/>
      <c r="FZ83" s="528"/>
      <c r="GA83" s="528"/>
      <c r="GB83" s="528"/>
      <c r="GC83" s="528"/>
      <c r="GD83" s="528"/>
      <c r="GE83" s="528"/>
      <c r="GF83" s="528"/>
      <c r="GG83" s="528"/>
      <c r="GH83" s="528"/>
      <c r="GI83" s="528"/>
      <c r="GJ83" s="528"/>
      <c r="GK83" s="528"/>
      <c r="GL83" s="528"/>
      <c r="GM83" s="528"/>
      <c r="GN83" s="528"/>
      <c r="GO83" s="528"/>
      <c r="GP83" s="528"/>
      <c r="GQ83" s="528"/>
      <c r="GR83" s="528"/>
      <c r="GS83" s="528"/>
      <c r="GT83" s="528"/>
      <c r="GU83" s="528"/>
      <c r="GV83" s="528"/>
      <c r="GW83" s="528"/>
      <c r="GX83" s="528"/>
      <c r="GY83" s="528"/>
      <c r="GZ83" s="528"/>
      <c r="HA83" s="528"/>
      <c r="HB83" s="528"/>
      <c r="HC83" s="528"/>
      <c r="HD83" s="528"/>
      <c r="HE83" s="528"/>
      <c r="HF83" s="528"/>
      <c r="HG83" s="528"/>
      <c r="HH83" s="528"/>
      <c r="HI83" s="528"/>
      <c r="HJ83" s="528"/>
      <c r="HK83" s="528"/>
      <c r="HL83" s="528"/>
      <c r="HM83" s="528"/>
      <c r="HN83" s="528"/>
      <c r="HO83" s="528"/>
      <c r="HP83" s="528"/>
      <c r="HQ83" s="528"/>
      <c r="HR83" s="528"/>
      <c r="HS83" s="528"/>
      <c r="HT83" s="528"/>
      <c r="HU83" s="528"/>
      <c r="HV83" s="528"/>
      <c r="HW83" s="528"/>
      <c r="HX83" s="528"/>
      <c r="HY83" s="528"/>
      <c r="HZ83" s="528"/>
      <c r="IA83" s="528"/>
      <c r="IB83" s="528"/>
      <c r="IC83" s="528"/>
      <c r="ID83" s="528"/>
      <c r="IE83" s="528"/>
      <c r="IF83" s="528"/>
      <c r="IG83" s="528"/>
      <c r="IH83" s="528"/>
      <c r="II83" s="528"/>
      <c r="IJ83" s="528"/>
      <c r="IK83" s="528"/>
      <c r="IL83" s="528"/>
      <c r="IM83" s="528"/>
      <c r="IN83" s="528"/>
      <c r="IO83" s="528"/>
    </row>
    <row r="84" spans="3:249" ht="18" x14ac:dyDescent="0.25">
      <c r="C84" s="438"/>
      <c r="D84" s="569"/>
      <c r="E84" s="566"/>
      <c r="F84" s="439"/>
      <c r="G84" s="480"/>
      <c r="H84" s="480"/>
      <c r="I84" s="480"/>
      <c r="J84" s="617"/>
      <c r="K84" s="438"/>
      <c r="L84" s="519"/>
      <c r="M84" s="519"/>
      <c r="N84" s="519"/>
      <c r="O84" s="528"/>
      <c r="P84" s="438"/>
      <c r="Q84" s="528"/>
      <c r="R84" s="528"/>
      <c r="S84" s="528"/>
      <c r="T84" s="528"/>
      <c r="U84" s="528"/>
      <c r="V84" s="528"/>
      <c r="W84" s="528"/>
      <c r="X84" s="528"/>
      <c r="Y84" s="528"/>
      <c r="Z84" s="528"/>
      <c r="AA84" s="528"/>
      <c r="AB84" s="528"/>
      <c r="AC84" s="528"/>
      <c r="AD84" s="528"/>
      <c r="AE84" s="528"/>
      <c r="AF84" s="528"/>
      <c r="AG84" s="528"/>
      <c r="AH84" s="528"/>
      <c r="AI84" s="528"/>
      <c r="AJ84" s="528"/>
      <c r="AK84" s="528"/>
      <c r="AL84" s="528"/>
      <c r="AM84" s="528"/>
      <c r="AN84" s="528"/>
      <c r="AO84" s="528"/>
      <c r="AP84" s="528"/>
      <c r="AQ84" s="528"/>
      <c r="AR84" s="528"/>
      <c r="AS84" s="528"/>
      <c r="AT84" s="528"/>
      <c r="AU84" s="528"/>
      <c r="AV84" s="528"/>
      <c r="AW84" s="528"/>
      <c r="AX84" s="528"/>
      <c r="AY84" s="528"/>
      <c r="AZ84" s="528"/>
      <c r="BA84" s="528"/>
      <c r="BB84" s="528"/>
      <c r="BC84" s="528"/>
      <c r="BD84" s="528"/>
      <c r="BE84" s="528"/>
      <c r="BF84" s="528"/>
      <c r="BG84" s="528"/>
      <c r="BH84" s="528"/>
      <c r="BI84" s="528"/>
      <c r="BJ84" s="528"/>
      <c r="BK84" s="528"/>
      <c r="BL84" s="528"/>
      <c r="BM84" s="528"/>
      <c r="BN84" s="528"/>
      <c r="BO84" s="528"/>
      <c r="BP84" s="528"/>
      <c r="BQ84" s="528"/>
      <c r="BR84" s="528"/>
      <c r="BS84" s="528"/>
      <c r="BT84" s="528"/>
      <c r="BU84" s="528"/>
      <c r="BV84" s="528"/>
      <c r="BW84" s="528"/>
      <c r="BX84" s="528"/>
      <c r="BY84" s="528"/>
      <c r="BZ84" s="528"/>
      <c r="CA84" s="528"/>
      <c r="CB84" s="528"/>
      <c r="CC84" s="528"/>
      <c r="CD84" s="528"/>
      <c r="CE84" s="528"/>
      <c r="CF84" s="528"/>
      <c r="CG84" s="528"/>
      <c r="CH84" s="528"/>
      <c r="CI84" s="528"/>
      <c r="CJ84" s="528"/>
      <c r="CK84" s="528"/>
      <c r="CL84" s="528"/>
      <c r="CM84" s="528"/>
      <c r="CN84" s="528"/>
      <c r="CO84" s="528"/>
      <c r="CP84" s="528"/>
      <c r="CQ84" s="528"/>
      <c r="CR84" s="528"/>
      <c r="CS84" s="528"/>
      <c r="CT84" s="528"/>
      <c r="CU84" s="528"/>
      <c r="CV84" s="528"/>
      <c r="CW84" s="528"/>
      <c r="CX84" s="528"/>
      <c r="CY84" s="528"/>
      <c r="CZ84" s="528"/>
      <c r="DA84" s="528"/>
      <c r="DB84" s="528"/>
      <c r="DC84" s="528"/>
      <c r="DD84" s="528"/>
      <c r="DE84" s="528"/>
      <c r="DF84" s="528"/>
      <c r="DG84" s="528"/>
      <c r="DH84" s="528"/>
      <c r="DI84" s="528"/>
      <c r="DJ84" s="528"/>
      <c r="DK84" s="528"/>
      <c r="DL84" s="528"/>
      <c r="DM84" s="528"/>
      <c r="DN84" s="528"/>
      <c r="DO84" s="528"/>
      <c r="DP84" s="528"/>
      <c r="DQ84" s="528"/>
      <c r="DR84" s="528"/>
      <c r="DS84" s="528"/>
      <c r="DT84" s="528"/>
      <c r="DU84" s="528"/>
      <c r="DV84" s="528"/>
      <c r="DW84" s="528"/>
      <c r="DX84" s="528"/>
      <c r="DY84" s="528"/>
      <c r="DZ84" s="528"/>
      <c r="EA84" s="528"/>
      <c r="EB84" s="528"/>
      <c r="EC84" s="528"/>
      <c r="ED84" s="528"/>
      <c r="EE84" s="528"/>
      <c r="EF84" s="528"/>
      <c r="EG84" s="528"/>
      <c r="EH84" s="528"/>
      <c r="EI84" s="528"/>
      <c r="EJ84" s="528"/>
      <c r="EK84" s="528"/>
      <c r="EL84" s="528"/>
      <c r="EM84" s="528"/>
      <c r="EN84" s="528"/>
      <c r="EO84" s="528"/>
      <c r="EP84" s="528"/>
      <c r="EQ84" s="528"/>
      <c r="ER84" s="528"/>
      <c r="ES84" s="528"/>
      <c r="ET84" s="528"/>
      <c r="EU84" s="528"/>
      <c r="EV84" s="528"/>
      <c r="EW84" s="528"/>
      <c r="EX84" s="528"/>
      <c r="EY84" s="528"/>
      <c r="EZ84" s="528"/>
      <c r="FA84" s="528"/>
      <c r="FB84" s="528"/>
      <c r="FC84" s="528"/>
      <c r="FD84" s="528"/>
      <c r="FE84" s="528"/>
      <c r="FF84" s="528"/>
      <c r="FG84" s="528"/>
      <c r="FH84" s="528"/>
      <c r="FI84" s="528"/>
      <c r="FJ84" s="528"/>
      <c r="FK84" s="528"/>
      <c r="FL84" s="528"/>
      <c r="FM84" s="528"/>
      <c r="FN84" s="528"/>
      <c r="FO84" s="528"/>
      <c r="FP84" s="528"/>
      <c r="FQ84" s="528"/>
      <c r="FR84" s="528"/>
      <c r="FS84" s="528"/>
      <c r="FT84" s="528"/>
      <c r="FU84" s="528"/>
      <c r="FV84" s="528"/>
      <c r="FW84" s="528"/>
      <c r="FX84" s="528"/>
      <c r="FY84" s="528"/>
      <c r="FZ84" s="528"/>
      <c r="GA84" s="528"/>
      <c r="GB84" s="528"/>
      <c r="GC84" s="528"/>
      <c r="GD84" s="528"/>
      <c r="GE84" s="528"/>
      <c r="GF84" s="528"/>
      <c r="GG84" s="528"/>
      <c r="GH84" s="528"/>
      <c r="GI84" s="528"/>
      <c r="GJ84" s="528"/>
      <c r="GK84" s="528"/>
      <c r="GL84" s="528"/>
      <c r="GM84" s="528"/>
      <c r="GN84" s="528"/>
      <c r="GO84" s="528"/>
      <c r="GP84" s="528"/>
      <c r="GQ84" s="528"/>
      <c r="GR84" s="528"/>
      <c r="GS84" s="528"/>
      <c r="GT84" s="528"/>
      <c r="GU84" s="528"/>
      <c r="GV84" s="528"/>
      <c r="GW84" s="528"/>
      <c r="GX84" s="528"/>
      <c r="GY84" s="528"/>
      <c r="GZ84" s="528"/>
      <c r="HA84" s="528"/>
      <c r="HB84" s="528"/>
      <c r="HC84" s="528"/>
      <c r="HD84" s="528"/>
      <c r="HE84" s="528"/>
      <c r="HF84" s="528"/>
      <c r="HG84" s="528"/>
      <c r="HH84" s="528"/>
      <c r="HI84" s="528"/>
      <c r="HJ84" s="528"/>
      <c r="HK84" s="528"/>
      <c r="HL84" s="528"/>
      <c r="HM84" s="528"/>
      <c r="HN84" s="528"/>
      <c r="HO84" s="528"/>
      <c r="HP84" s="528"/>
      <c r="HQ84" s="528"/>
      <c r="HR84" s="528"/>
      <c r="HS84" s="528"/>
      <c r="HT84" s="528"/>
      <c r="HU84" s="528"/>
      <c r="HV84" s="528"/>
      <c r="HW84" s="528"/>
      <c r="HX84" s="528"/>
      <c r="HY84" s="528"/>
      <c r="HZ84" s="528"/>
      <c r="IA84" s="528"/>
      <c r="IB84" s="528"/>
      <c r="IC84" s="528"/>
      <c r="ID84" s="528"/>
      <c r="IE84" s="528"/>
      <c r="IF84" s="528"/>
      <c r="IG84" s="528"/>
      <c r="IH84" s="528"/>
      <c r="II84" s="528"/>
      <c r="IJ84" s="528"/>
      <c r="IK84" s="528"/>
      <c r="IL84" s="528"/>
      <c r="IM84" s="528"/>
      <c r="IN84" s="528"/>
      <c r="IO84" s="528"/>
    </row>
    <row r="85" spans="3:249" x14ac:dyDescent="0.25">
      <c r="C85" s="438"/>
      <c r="D85" s="569">
        <v>2</v>
      </c>
      <c r="E85" s="632" t="s">
        <v>566</v>
      </c>
      <c r="F85" s="633"/>
      <c r="G85" s="634"/>
      <c r="H85" s="635"/>
      <c r="I85" s="636"/>
      <c r="J85" s="617"/>
      <c r="K85" s="438"/>
      <c r="L85" s="519"/>
      <c r="M85" s="519"/>
      <c r="N85" s="519"/>
      <c r="O85" s="528"/>
      <c r="P85" s="438"/>
      <c r="Q85" s="528"/>
      <c r="R85" s="528"/>
      <c r="S85" s="528"/>
      <c r="T85" s="528"/>
      <c r="U85" s="528"/>
      <c r="V85" s="528"/>
      <c r="W85" s="528"/>
      <c r="X85" s="528"/>
      <c r="Y85" s="528"/>
      <c r="Z85" s="528"/>
      <c r="AA85" s="528"/>
      <c r="AB85" s="528"/>
      <c r="AC85" s="528"/>
      <c r="AD85" s="528"/>
      <c r="AE85" s="528"/>
      <c r="AF85" s="528"/>
      <c r="AG85" s="528"/>
      <c r="AH85" s="528"/>
      <c r="AI85" s="528"/>
      <c r="AJ85" s="528"/>
      <c r="AK85" s="528"/>
      <c r="AL85" s="528"/>
      <c r="AM85" s="528"/>
      <c r="AN85" s="528"/>
      <c r="AO85" s="528"/>
      <c r="AP85" s="528"/>
      <c r="AQ85" s="528"/>
      <c r="AR85" s="528"/>
      <c r="AS85" s="528"/>
      <c r="AT85" s="528"/>
      <c r="AU85" s="528"/>
      <c r="AV85" s="528"/>
      <c r="AW85" s="528"/>
      <c r="AX85" s="528"/>
      <c r="AY85" s="528"/>
      <c r="AZ85" s="528"/>
      <c r="BA85" s="528"/>
      <c r="BB85" s="528"/>
      <c r="BC85" s="528"/>
      <c r="BD85" s="528"/>
      <c r="BE85" s="528"/>
      <c r="BF85" s="528"/>
      <c r="BG85" s="528"/>
      <c r="BH85" s="528"/>
      <c r="BI85" s="528"/>
      <c r="BJ85" s="528"/>
      <c r="BK85" s="528"/>
      <c r="BL85" s="528"/>
      <c r="BM85" s="528"/>
      <c r="BN85" s="528"/>
      <c r="BO85" s="528"/>
      <c r="BP85" s="528"/>
      <c r="BQ85" s="528"/>
      <c r="BR85" s="528"/>
      <c r="BS85" s="528"/>
      <c r="BT85" s="528"/>
      <c r="BU85" s="528"/>
      <c r="BV85" s="528"/>
      <c r="BW85" s="528"/>
      <c r="BX85" s="528"/>
      <c r="BY85" s="528"/>
      <c r="BZ85" s="528"/>
      <c r="CA85" s="528"/>
      <c r="CB85" s="528"/>
      <c r="CC85" s="528"/>
      <c r="CD85" s="528"/>
      <c r="CE85" s="528"/>
      <c r="CF85" s="528"/>
      <c r="CG85" s="528"/>
      <c r="CH85" s="528"/>
      <c r="CI85" s="528"/>
      <c r="CJ85" s="528"/>
      <c r="CK85" s="528"/>
      <c r="CL85" s="528"/>
      <c r="CM85" s="528"/>
      <c r="CN85" s="528"/>
      <c r="CO85" s="528"/>
      <c r="CP85" s="528"/>
      <c r="CQ85" s="528"/>
      <c r="CR85" s="528"/>
      <c r="CS85" s="528"/>
      <c r="CT85" s="528"/>
      <c r="CU85" s="528"/>
      <c r="CV85" s="528"/>
      <c r="CW85" s="528"/>
      <c r="CX85" s="528"/>
      <c r="CY85" s="528"/>
      <c r="CZ85" s="528"/>
      <c r="DA85" s="528"/>
      <c r="DB85" s="528"/>
      <c r="DC85" s="528"/>
      <c r="DD85" s="528"/>
      <c r="DE85" s="528"/>
      <c r="DF85" s="528"/>
      <c r="DG85" s="528"/>
      <c r="DH85" s="528"/>
      <c r="DI85" s="528"/>
      <c r="DJ85" s="528"/>
      <c r="DK85" s="528"/>
      <c r="DL85" s="528"/>
      <c r="DM85" s="528"/>
      <c r="DN85" s="528"/>
      <c r="DO85" s="528"/>
      <c r="DP85" s="528"/>
      <c r="DQ85" s="528"/>
      <c r="DR85" s="528"/>
      <c r="DS85" s="528"/>
      <c r="DT85" s="528"/>
      <c r="DU85" s="528"/>
      <c r="DV85" s="528"/>
      <c r="DW85" s="528"/>
      <c r="DX85" s="528"/>
      <c r="DY85" s="528"/>
      <c r="DZ85" s="528"/>
      <c r="EA85" s="528"/>
      <c r="EB85" s="528"/>
      <c r="EC85" s="528"/>
      <c r="ED85" s="528"/>
      <c r="EE85" s="528"/>
      <c r="EF85" s="528"/>
      <c r="EG85" s="528"/>
      <c r="EH85" s="528"/>
      <c r="EI85" s="528"/>
      <c r="EJ85" s="528"/>
      <c r="EK85" s="528"/>
      <c r="EL85" s="528"/>
      <c r="EM85" s="528"/>
      <c r="EN85" s="528"/>
      <c r="EO85" s="528"/>
      <c r="EP85" s="528"/>
      <c r="EQ85" s="528"/>
      <c r="ER85" s="528"/>
      <c r="ES85" s="528"/>
      <c r="ET85" s="528"/>
      <c r="EU85" s="528"/>
      <c r="EV85" s="528"/>
      <c r="EW85" s="528"/>
      <c r="EX85" s="528"/>
      <c r="EY85" s="528"/>
      <c r="EZ85" s="528"/>
      <c r="FA85" s="528"/>
      <c r="FB85" s="528"/>
      <c r="FC85" s="528"/>
      <c r="FD85" s="528"/>
      <c r="FE85" s="528"/>
      <c r="FF85" s="528"/>
      <c r="FG85" s="528"/>
      <c r="FH85" s="528"/>
      <c r="FI85" s="528"/>
      <c r="FJ85" s="528"/>
      <c r="FK85" s="528"/>
      <c r="FL85" s="528"/>
      <c r="FM85" s="528"/>
      <c r="FN85" s="528"/>
      <c r="FO85" s="528"/>
      <c r="FP85" s="528"/>
      <c r="FQ85" s="528"/>
      <c r="FR85" s="528"/>
      <c r="FS85" s="528"/>
      <c r="FT85" s="528"/>
      <c r="FU85" s="528"/>
      <c r="FV85" s="528"/>
      <c r="FW85" s="528"/>
      <c r="FX85" s="528"/>
      <c r="FY85" s="528"/>
      <c r="FZ85" s="528"/>
      <c r="GA85" s="528"/>
      <c r="GB85" s="528"/>
      <c r="GC85" s="528"/>
      <c r="GD85" s="528"/>
      <c r="GE85" s="528"/>
      <c r="GF85" s="528"/>
      <c r="GG85" s="528"/>
      <c r="GH85" s="528"/>
      <c r="GI85" s="528"/>
      <c r="GJ85" s="528"/>
      <c r="GK85" s="528"/>
      <c r="GL85" s="528"/>
      <c r="GM85" s="528"/>
      <c r="GN85" s="528"/>
      <c r="GO85" s="528"/>
      <c r="GP85" s="528"/>
      <c r="GQ85" s="528"/>
      <c r="GR85" s="528"/>
      <c r="GS85" s="528"/>
      <c r="GT85" s="528"/>
      <c r="GU85" s="528"/>
      <c r="GV85" s="528"/>
      <c r="GW85" s="528"/>
      <c r="GX85" s="528"/>
      <c r="GY85" s="528"/>
      <c r="GZ85" s="528"/>
      <c r="HA85" s="528"/>
      <c r="HB85" s="528"/>
      <c r="HC85" s="528"/>
      <c r="HD85" s="528"/>
      <c r="HE85" s="528"/>
      <c r="HF85" s="528"/>
      <c r="HG85" s="528"/>
      <c r="HH85" s="528"/>
      <c r="HI85" s="528"/>
      <c r="HJ85" s="528"/>
      <c r="HK85" s="528"/>
      <c r="HL85" s="528"/>
      <c r="HM85" s="528"/>
      <c r="HN85" s="528"/>
      <c r="HO85" s="528"/>
      <c r="HP85" s="528"/>
      <c r="HQ85" s="528"/>
      <c r="HR85" s="528"/>
      <c r="HS85" s="528"/>
      <c r="HT85" s="528"/>
      <c r="HU85" s="528"/>
      <c r="HV85" s="528"/>
      <c r="HW85" s="528"/>
      <c r="HX85" s="528"/>
      <c r="HY85" s="528"/>
      <c r="HZ85" s="528"/>
      <c r="IA85" s="528"/>
      <c r="IB85" s="528"/>
      <c r="IC85" s="528"/>
      <c r="ID85" s="528"/>
      <c r="IE85" s="528"/>
      <c r="IF85" s="528"/>
      <c r="IG85" s="528"/>
      <c r="IH85" s="528"/>
      <c r="II85" s="528"/>
      <c r="IJ85" s="528"/>
      <c r="IK85" s="528"/>
      <c r="IL85" s="528"/>
      <c r="IM85" s="528"/>
      <c r="IN85" s="528"/>
      <c r="IO85" s="528"/>
    </row>
    <row r="86" spans="3:249" x14ac:dyDescent="0.25">
      <c r="C86" s="438"/>
      <c r="D86" s="569"/>
      <c r="E86" s="637"/>
      <c r="F86" s="935" t="s">
        <v>567</v>
      </c>
      <c r="G86" s="936"/>
      <c r="H86" s="935" t="s">
        <v>568</v>
      </c>
      <c r="I86" s="936"/>
      <c r="J86" s="617"/>
      <c r="K86" s="438"/>
      <c r="L86" s="519"/>
      <c r="M86" s="519"/>
      <c r="N86" s="519"/>
      <c r="O86" s="528"/>
      <c r="P86" s="438"/>
      <c r="Q86" s="528"/>
      <c r="R86" s="528"/>
      <c r="S86" s="528"/>
      <c r="T86" s="528"/>
      <c r="U86" s="528"/>
      <c r="V86" s="528"/>
      <c r="W86" s="528"/>
      <c r="X86" s="528"/>
      <c r="Y86" s="528"/>
      <c r="Z86" s="528"/>
      <c r="AA86" s="528"/>
      <c r="AB86" s="528"/>
      <c r="AC86" s="528"/>
      <c r="AD86" s="528"/>
      <c r="AE86" s="528"/>
      <c r="AF86" s="528"/>
      <c r="AG86" s="528"/>
      <c r="AH86" s="528"/>
      <c r="AI86" s="528"/>
      <c r="AJ86" s="528"/>
      <c r="AK86" s="528"/>
      <c r="AL86" s="528"/>
      <c r="AM86" s="528"/>
      <c r="AN86" s="528"/>
      <c r="AO86" s="528"/>
      <c r="AP86" s="528"/>
      <c r="AQ86" s="528"/>
      <c r="AR86" s="528"/>
      <c r="AS86" s="528"/>
      <c r="AT86" s="528"/>
      <c r="AU86" s="528"/>
      <c r="AV86" s="528"/>
      <c r="AW86" s="528"/>
      <c r="AX86" s="528"/>
      <c r="AY86" s="528"/>
      <c r="AZ86" s="528"/>
      <c r="BA86" s="528"/>
      <c r="BB86" s="528"/>
      <c r="BC86" s="528"/>
      <c r="BD86" s="528"/>
      <c r="BE86" s="528"/>
      <c r="BF86" s="528"/>
      <c r="BG86" s="528"/>
      <c r="BH86" s="528"/>
      <c r="BI86" s="528"/>
      <c r="BJ86" s="528"/>
      <c r="BK86" s="528"/>
      <c r="BL86" s="528"/>
      <c r="BM86" s="528"/>
      <c r="BN86" s="528"/>
      <c r="BO86" s="528"/>
      <c r="BP86" s="528"/>
      <c r="BQ86" s="528"/>
      <c r="BR86" s="528"/>
      <c r="BS86" s="528"/>
      <c r="BT86" s="528"/>
      <c r="BU86" s="528"/>
      <c r="BV86" s="528"/>
      <c r="BW86" s="528"/>
      <c r="BX86" s="528"/>
      <c r="BY86" s="528"/>
      <c r="BZ86" s="528"/>
      <c r="CA86" s="528"/>
      <c r="CB86" s="528"/>
      <c r="CC86" s="528"/>
      <c r="CD86" s="528"/>
      <c r="CE86" s="528"/>
      <c r="CF86" s="528"/>
      <c r="CG86" s="528"/>
      <c r="CH86" s="528"/>
      <c r="CI86" s="528"/>
      <c r="CJ86" s="528"/>
      <c r="CK86" s="528"/>
      <c r="CL86" s="528"/>
      <c r="CM86" s="528"/>
      <c r="CN86" s="528"/>
      <c r="CO86" s="528"/>
      <c r="CP86" s="528"/>
      <c r="CQ86" s="528"/>
      <c r="CR86" s="528"/>
      <c r="CS86" s="528"/>
      <c r="CT86" s="528"/>
      <c r="CU86" s="528"/>
      <c r="CV86" s="528"/>
      <c r="CW86" s="528"/>
      <c r="CX86" s="528"/>
      <c r="CY86" s="528"/>
      <c r="CZ86" s="528"/>
      <c r="DA86" s="528"/>
      <c r="DB86" s="528"/>
      <c r="DC86" s="528"/>
      <c r="DD86" s="528"/>
      <c r="DE86" s="528"/>
      <c r="DF86" s="528"/>
      <c r="DG86" s="528"/>
      <c r="DH86" s="528"/>
      <c r="DI86" s="528"/>
      <c r="DJ86" s="528"/>
      <c r="DK86" s="528"/>
      <c r="DL86" s="528"/>
      <c r="DM86" s="528"/>
      <c r="DN86" s="528"/>
      <c r="DO86" s="528"/>
      <c r="DP86" s="528"/>
      <c r="DQ86" s="528"/>
      <c r="DR86" s="528"/>
      <c r="DS86" s="528"/>
      <c r="DT86" s="528"/>
      <c r="DU86" s="528"/>
      <c r="DV86" s="528"/>
      <c r="DW86" s="528"/>
      <c r="DX86" s="528"/>
      <c r="DY86" s="528"/>
      <c r="DZ86" s="528"/>
      <c r="EA86" s="528"/>
      <c r="EB86" s="528"/>
      <c r="EC86" s="528"/>
      <c r="ED86" s="528"/>
      <c r="EE86" s="528"/>
      <c r="EF86" s="528"/>
      <c r="EG86" s="528"/>
      <c r="EH86" s="528"/>
      <c r="EI86" s="528"/>
      <c r="EJ86" s="528"/>
      <c r="EK86" s="528"/>
      <c r="EL86" s="528"/>
      <c r="EM86" s="528"/>
      <c r="EN86" s="528"/>
      <c r="EO86" s="528"/>
      <c r="EP86" s="528"/>
      <c r="EQ86" s="528"/>
      <c r="ER86" s="528"/>
      <c r="ES86" s="528"/>
      <c r="ET86" s="528"/>
      <c r="EU86" s="528"/>
      <c r="EV86" s="528"/>
      <c r="EW86" s="528"/>
      <c r="EX86" s="528"/>
      <c r="EY86" s="528"/>
      <c r="EZ86" s="528"/>
      <c r="FA86" s="528"/>
      <c r="FB86" s="528"/>
      <c r="FC86" s="528"/>
      <c r="FD86" s="528"/>
      <c r="FE86" s="528"/>
      <c r="FF86" s="528"/>
      <c r="FG86" s="528"/>
      <c r="FH86" s="528"/>
      <c r="FI86" s="528"/>
      <c r="FJ86" s="528"/>
      <c r="FK86" s="528"/>
      <c r="FL86" s="528"/>
      <c r="FM86" s="528"/>
      <c r="FN86" s="528"/>
      <c r="FO86" s="528"/>
      <c r="FP86" s="528"/>
      <c r="FQ86" s="528"/>
      <c r="FR86" s="528"/>
      <c r="FS86" s="528"/>
      <c r="FT86" s="528"/>
      <c r="FU86" s="528"/>
      <c r="FV86" s="528"/>
      <c r="FW86" s="528"/>
      <c r="FX86" s="528"/>
      <c r="FY86" s="528"/>
      <c r="FZ86" s="528"/>
      <c r="GA86" s="528"/>
      <c r="GB86" s="528"/>
      <c r="GC86" s="528"/>
      <c r="GD86" s="528"/>
      <c r="GE86" s="528"/>
      <c r="GF86" s="528"/>
      <c r="GG86" s="528"/>
      <c r="GH86" s="528"/>
      <c r="GI86" s="528"/>
      <c r="GJ86" s="528"/>
      <c r="GK86" s="528"/>
      <c r="GL86" s="528"/>
      <c r="GM86" s="528"/>
      <c r="GN86" s="528"/>
      <c r="GO86" s="528"/>
      <c r="GP86" s="528"/>
      <c r="GQ86" s="528"/>
      <c r="GR86" s="528"/>
      <c r="GS86" s="528"/>
      <c r="GT86" s="528"/>
      <c r="GU86" s="528"/>
      <c r="GV86" s="528"/>
      <c r="GW86" s="528"/>
      <c r="GX86" s="528"/>
      <c r="GY86" s="528"/>
      <c r="GZ86" s="528"/>
      <c r="HA86" s="528"/>
      <c r="HB86" s="528"/>
      <c r="HC86" s="528"/>
      <c r="HD86" s="528"/>
      <c r="HE86" s="528"/>
      <c r="HF86" s="528"/>
      <c r="HG86" s="528"/>
      <c r="HH86" s="528"/>
      <c r="HI86" s="528"/>
      <c r="HJ86" s="528"/>
      <c r="HK86" s="528"/>
      <c r="HL86" s="528"/>
      <c r="HM86" s="528"/>
      <c r="HN86" s="528"/>
      <c r="HO86" s="528"/>
      <c r="HP86" s="528"/>
      <c r="HQ86" s="528"/>
      <c r="HR86" s="528"/>
      <c r="HS86" s="528"/>
      <c r="HT86" s="528"/>
      <c r="HU86" s="528"/>
      <c r="HV86" s="528"/>
      <c r="HW86" s="528"/>
      <c r="HX86" s="528"/>
      <c r="HY86" s="528"/>
      <c r="HZ86" s="528"/>
      <c r="IA86" s="528"/>
      <c r="IB86" s="528"/>
      <c r="IC86" s="528"/>
      <c r="ID86" s="528"/>
      <c r="IE86" s="528"/>
      <c r="IF86" s="528"/>
      <c r="IG86" s="528"/>
      <c r="IH86" s="528"/>
      <c r="II86" s="528"/>
      <c r="IJ86" s="528"/>
      <c r="IK86" s="528"/>
      <c r="IL86" s="528"/>
      <c r="IM86" s="528"/>
      <c r="IN86" s="528"/>
      <c r="IO86" s="528"/>
    </row>
    <row r="87" spans="3:249" x14ac:dyDescent="0.25">
      <c r="C87" s="438"/>
      <c r="D87" s="569"/>
      <c r="E87" s="576" t="s">
        <v>569</v>
      </c>
      <c r="F87" s="638">
        <v>25</v>
      </c>
      <c r="G87" s="639">
        <v>50</v>
      </c>
      <c r="H87" s="640">
        <f t="shared" ref="H87:I89" si="3">+F87*$F$13*12</f>
        <v>51000</v>
      </c>
      <c r="I87" s="641">
        <f t="shared" si="3"/>
        <v>102000</v>
      </c>
      <c r="J87" s="480"/>
      <c r="K87" s="438"/>
      <c r="L87" s="519"/>
      <c r="M87" s="519"/>
      <c r="N87" s="519"/>
      <c r="O87" s="528"/>
      <c r="P87" s="438"/>
      <c r="Q87" s="528"/>
      <c r="R87" s="528"/>
      <c r="S87" s="528"/>
      <c r="T87" s="528"/>
      <c r="U87" s="528"/>
      <c r="V87" s="528"/>
      <c r="W87" s="528"/>
      <c r="X87" s="528"/>
      <c r="Y87" s="528"/>
      <c r="Z87" s="528"/>
      <c r="AA87" s="528"/>
      <c r="AB87" s="528"/>
      <c r="AC87" s="528"/>
      <c r="AD87" s="528"/>
      <c r="AE87" s="528"/>
      <c r="AF87" s="528"/>
      <c r="AG87" s="528"/>
      <c r="AH87" s="528"/>
      <c r="AI87" s="528"/>
      <c r="AJ87" s="528"/>
      <c r="AK87" s="528"/>
      <c r="AL87" s="528"/>
      <c r="AM87" s="528"/>
      <c r="AN87" s="528"/>
      <c r="AO87" s="528"/>
      <c r="AP87" s="528"/>
      <c r="AQ87" s="528"/>
      <c r="AR87" s="528"/>
      <c r="AS87" s="528"/>
      <c r="AT87" s="528"/>
      <c r="AU87" s="528"/>
      <c r="AV87" s="528"/>
      <c r="AW87" s="528"/>
      <c r="AX87" s="528"/>
      <c r="AY87" s="528"/>
      <c r="AZ87" s="528"/>
      <c r="BA87" s="528"/>
      <c r="BB87" s="528"/>
      <c r="BC87" s="528"/>
      <c r="BD87" s="528"/>
      <c r="BE87" s="528"/>
      <c r="BF87" s="528"/>
      <c r="BG87" s="528"/>
      <c r="BH87" s="528"/>
      <c r="BI87" s="528"/>
      <c r="BJ87" s="528"/>
      <c r="BK87" s="528"/>
      <c r="BL87" s="528"/>
      <c r="BM87" s="528"/>
      <c r="BN87" s="528"/>
      <c r="BO87" s="528"/>
      <c r="BP87" s="528"/>
      <c r="BQ87" s="528"/>
      <c r="BR87" s="528"/>
      <c r="BS87" s="528"/>
      <c r="BT87" s="528"/>
      <c r="BU87" s="528"/>
      <c r="BV87" s="528"/>
      <c r="BW87" s="528"/>
      <c r="BX87" s="528"/>
      <c r="BY87" s="528"/>
      <c r="BZ87" s="528"/>
      <c r="CA87" s="528"/>
      <c r="CB87" s="528"/>
      <c r="CC87" s="528"/>
      <c r="CD87" s="528"/>
      <c r="CE87" s="528"/>
      <c r="CF87" s="528"/>
      <c r="CG87" s="528"/>
      <c r="CH87" s="528"/>
      <c r="CI87" s="528"/>
      <c r="CJ87" s="528"/>
      <c r="CK87" s="528"/>
      <c r="CL87" s="528"/>
      <c r="CM87" s="528"/>
      <c r="CN87" s="528"/>
      <c r="CO87" s="528"/>
      <c r="CP87" s="528"/>
      <c r="CQ87" s="528"/>
      <c r="CR87" s="528"/>
      <c r="CS87" s="528"/>
      <c r="CT87" s="528"/>
      <c r="CU87" s="528"/>
      <c r="CV87" s="528"/>
      <c r="CW87" s="528"/>
      <c r="CX87" s="528"/>
      <c r="CY87" s="528"/>
      <c r="CZ87" s="528"/>
      <c r="DA87" s="528"/>
      <c r="DB87" s="528"/>
      <c r="DC87" s="528"/>
      <c r="DD87" s="528"/>
      <c r="DE87" s="528"/>
      <c r="DF87" s="528"/>
      <c r="DG87" s="528"/>
      <c r="DH87" s="528"/>
      <c r="DI87" s="528"/>
      <c r="DJ87" s="528"/>
      <c r="DK87" s="528"/>
      <c r="DL87" s="528"/>
      <c r="DM87" s="528"/>
      <c r="DN87" s="528"/>
      <c r="DO87" s="528"/>
      <c r="DP87" s="528"/>
      <c r="DQ87" s="528"/>
      <c r="DR87" s="528"/>
      <c r="DS87" s="528"/>
      <c r="DT87" s="528"/>
      <c r="DU87" s="528"/>
      <c r="DV87" s="528"/>
      <c r="DW87" s="528"/>
      <c r="DX87" s="528"/>
      <c r="DY87" s="528"/>
      <c r="DZ87" s="528"/>
      <c r="EA87" s="528"/>
      <c r="EB87" s="528"/>
      <c r="EC87" s="528"/>
      <c r="ED87" s="528"/>
      <c r="EE87" s="528"/>
      <c r="EF87" s="528"/>
      <c r="EG87" s="528"/>
      <c r="EH87" s="528"/>
      <c r="EI87" s="528"/>
      <c r="EJ87" s="528"/>
      <c r="EK87" s="528"/>
      <c r="EL87" s="528"/>
      <c r="EM87" s="528"/>
      <c r="EN87" s="528"/>
      <c r="EO87" s="528"/>
      <c r="EP87" s="528"/>
      <c r="EQ87" s="528"/>
      <c r="ER87" s="528"/>
      <c r="ES87" s="528"/>
      <c r="ET87" s="528"/>
      <c r="EU87" s="528"/>
      <c r="EV87" s="528"/>
      <c r="EW87" s="528"/>
      <c r="EX87" s="528"/>
      <c r="EY87" s="528"/>
      <c r="EZ87" s="528"/>
      <c r="FA87" s="528"/>
      <c r="FB87" s="528"/>
      <c r="FC87" s="528"/>
      <c r="FD87" s="528"/>
      <c r="FE87" s="528"/>
      <c r="FF87" s="528"/>
      <c r="FG87" s="528"/>
      <c r="FH87" s="528"/>
      <c r="FI87" s="528"/>
      <c r="FJ87" s="528"/>
      <c r="FK87" s="528"/>
      <c r="FL87" s="528"/>
      <c r="FM87" s="528"/>
      <c r="FN87" s="528"/>
      <c r="FO87" s="528"/>
      <c r="FP87" s="528"/>
      <c r="FQ87" s="528"/>
      <c r="FR87" s="528"/>
      <c r="FS87" s="528"/>
      <c r="FT87" s="528"/>
      <c r="FU87" s="528"/>
      <c r="FV87" s="528"/>
      <c r="FW87" s="528"/>
      <c r="FX87" s="528"/>
      <c r="FY87" s="528"/>
      <c r="FZ87" s="528"/>
      <c r="GA87" s="528"/>
      <c r="GB87" s="528"/>
      <c r="GC87" s="528"/>
      <c r="GD87" s="528"/>
      <c r="GE87" s="528"/>
      <c r="GF87" s="528"/>
      <c r="GG87" s="528"/>
      <c r="GH87" s="528"/>
      <c r="GI87" s="528"/>
      <c r="GJ87" s="528"/>
      <c r="GK87" s="528"/>
      <c r="GL87" s="528"/>
      <c r="GM87" s="528"/>
      <c r="GN87" s="528"/>
      <c r="GO87" s="528"/>
      <c r="GP87" s="528"/>
      <c r="GQ87" s="528"/>
      <c r="GR87" s="528"/>
      <c r="GS87" s="528"/>
      <c r="GT87" s="528"/>
      <c r="GU87" s="528"/>
      <c r="GV87" s="528"/>
      <c r="GW87" s="528"/>
      <c r="GX87" s="528"/>
      <c r="GY87" s="528"/>
      <c r="GZ87" s="528"/>
      <c r="HA87" s="528"/>
      <c r="HB87" s="528"/>
      <c r="HC87" s="528"/>
      <c r="HD87" s="528"/>
      <c r="HE87" s="528"/>
      <c r="HF87" s="528"/>
      <c r="HG87" s="528"/>
      <c r="HH87" s="528"/>
      <c r="HI87" s="528"/>
      <c r="HJ87" s="528"/>
      <c r="HK87" s="528"/>
      <c r="HL87" s="528"/>
      <c r="HM87" s="528"/>
      <c r="HN87" s="528"/>
      <c r="HO87" s="528"/>
      <c r="HP87" s="528"/>
      <c r="HQ87" s="528"/>
      <c r="HR87" s="528"/>
      <c r="HS87" s="528"/>
      <c r="HT87" s="528"/>
      <c r="HU87" s="528"/>
      <c r="HV87" s="528"/>
      <c r="HW87" s="528"/>
      <c r="HX87" s="528"/>
      <c r="HY87" s="528"/>
      <c r="HZ87" s="528"/>
      <c r="IA87" s="528"/>
      <c r="IB87" s="528"/>
      <c r="IC87" s="528"/>
      <c r="ID87" s="528"/>
      <c r="IE87" s="528"/>
      <c r="IF87" s="528"/>
      <c r="IG87" s="528"/>
      <c r="IH87" s="528"/>
      <c r="II87" s="528"/>
      <c r="IJ87" s="528"/>
      <c r="IK87" s="528"/>
      <c r="IL87" s="528"/>
      <c r="IM87" s="528"/>
      <c r="IN87" s="528"/>
      <c r="IO87" s="528"/>
    </row>
    <row r="88" spans="3:249" x14ac:dyDescent="0.25">
      <c r="C88" s="438"/>
      <c r="D88" s="569"/>
      <c r="E88" s="576" t="s">
        <v>570</v>
      </c>
      <c r="F88" s="638">
        <v>5</v>
      </c>
      <c r="G88" s="639">
        <v>20</v>
      </c>
      <c r="H88" s="640">
        <f t="shared" si="3"/>
        <v>10200</v>
      </c>
      <c r="I88" s="641">
        <f t="shared" si="3"/>
        <v>40800</v>
      </c>
      <c r="J88" s="480"/>
      <c r="K88" s="438"/>
      <c r="L88" s="519"/>
      <c r="M88" s="519"/>
      <c r="N88" s="519"/>
      <c r="O88" s="528"/>
      <c r="P88" s="438"/>
      <c r="Q88" s="528"/>
      <c r="R88" s="528"/>
      <c r="S88" s="528"/>
      <c r="T88" s="528"/>
      <c r="U88" s="528"/>
      <c r="V88" s="528"/>
      <c r="W88" s="528"/>
      <c r="X88" s="528"/>
      <c r="Y88" s="528"/>
      <c r="Z88" s="528"/>
      <c r="AA88" s="528"/>
      <c r="AB88" s="528"/>
      <c r="AC88" s="528"/>
      <c r="AD88" s="528"/>
      <c r="AE88" s="528"/>
      <c r="AF88" s="528"/>
      <c r="AG88" s="528"/>
      <c r="AH88" s="528"/>
      <c r="AI88" s="528"/>
      <c r="AJ88" s="528"/>
      <c r="AK88" s="528"/>
      <c r="AL88" s="528"/>
      <c r="AM88" s="528"/>
      <c r="AN88" s="528"/>
      <c r="AO88" s="528"/>
      <c r="AP88" s="528"/>
      <c r="AQ88" s="528"/>
      <c r="AR88" s="528"/>
      <c r="AS88" s="528"/>
      <c r="AT88" s="528"/>
      <c r="AU88" s="528"/>
      <c r="AV88" s="528"/>
      <c r="AW88" s="528"/>
      <c r="AX88" s="528"/>
      <c r="AY88" s="528"/>
      <c r="AZ88" s="528"/>
      <c r="BA88" s="528"/>
      <c r="BB88" s="528"/>
      <c r="BC88" s="528"/>
      <c r="BD88" s="528"/>
      <c r="BE88" s="528"/>
      <c r="BF88" s="528"/>
      <c r="BG88" s="528"/>
      <c r="BH88" s="528"/>
      <c r="BI88" s="528"/>
      <c r="BJ88" s="528"/>
      <c r="BK88" s="528"/>
      <c r="BL88" s="528"/>
      <c r="BM88" s="528"/>
      <c r="BN88" s="528"/>
      <c r="BO88" s="528"/>
      <c r="BP88" s="528"/>
      <c r="BQ88" s="528"/>
      <c r="BR88" s="528"/>
      <c r="BS88" s="528"/>
      <c r="BT88" s="528"/>
      <c r="BU88" s="528"/>
      <c r="BV88" s="528"/>
      <c r="BW88" s="528"/>
      <c r="BX88" s="528"/>
      <c r="BY88" s="528"/>
      <c r="BZ88" s="528"/>
      <c r="CA88" s="528"/>
      <c r="CB88" s="528"/>
      <c r="CC88" s="528"/>
      <c r="CD88" s="528"/>
      <c r="CE88" s="528"/>
      <c r="CF88" s="528"/>
      <c r="CG88" s="528"/>
      <c r="CH88" s="528"/>
      <c r="CI88" s="528"/>
      <c r="CJ88" s="528"/>
      <c r="CK88" s="528"/>
      <c r="CL88" s="528"/>
      <c r="CM88" s="528"/>
      <c r="CN88" s="528"/>
      <c r="CO88" s="528"/>
      <c r="CP88" s="528"/>
      <c r="CQ88" s="528"/>
      <c r="CR88" s="528"/>
      <c r="CS88" s="528"/>
      <c r="CT88" s="528"/>
      <c r="CU88" s="528"/>
      <c r="CV88" s="528"/>
      <c r="CW88" s="528"/>
      <c r="CX88" s="528"/>
      <c r="CY88" s="528"/>
      <c r="CZ88" s="528"/>
      <c r="DA88" s="528"/>
      <c r="DB88" s="528"/>
      <c r="DC88" s="528"/>
      <c r="DD88" s="528"/>
      <c r="DE88" s="528"/>
      <c r="DF88" s="528"/>
      <c r="DG88" s="528"/>
      <c r="DH88" s="528"/>
      <c r="DI88" s="528"/>
      <c r="DJ88" s="528"/>
      <c r="DK88" s="528"/>
      <c r="DL88" s="528"/>
      <c r="DM88" s="528"/>
      <c r="DN88" s="528"/>
      <c r="DO88" s="528"/>
      <c r="DP88" s="528"/>
      <c r="DQ88" s="528"/>
      <c r="DR88" s="528"/>
      <c r="DS88" s="528"/>
      <c r="DT88" s="528"/>
      <c r="DU88" s="528"/>
      <c r="DV88" s="528"/>
      <c r="DW88" s="528"/>
      <c r="DX88" s="528"/>
      <c r="DY88" s="528"/>
      <c r="DZ88" s="528"/>
      <c r="EA88" s="528"/>
      <c r="EB88" s="528"/>
      <c r="EC88" s="528"/>
      <c r="ED88" s="528"/>
      <c r="EE88" s="528"/>
      <c r="EF88" s="528"/>
      <c r="EG88" s="528"/>
      <c r="EH88" s="528"/>
      <c r="EI88" s="528"/>
      <c r="EJ88" s="528"/>
      <c r="EK88" s="528"/>
      <c r="EL88" s="528"/>
      <c r="EM88" s="528"/>
      <c r="EN88" s="528"/>
      <c r="EO88" s="528"/>
      <c r="EP88" s="528"/>
      <c r="EQ88" s="528"/>
      <c r="ER88" s="528"/>
      <c r="ES88" s="528"/>
      <c r="ET88" s="528"/>
      <c r="EU88" s="528"/>
      <c r="EV88" s="528"/>
      <c r="EW88" s="528"/>
      <c r="EX88" s="528"/>
      <c r="EY88" s="528"/>
      <c r="EZ88" s="528"/>
      <c r="FA88" s="528"/>
      <c r="FB88" s="528"/>
      <c r="FC88" s="528"/>
      <c r="FD88" s="528"/>
      <c r="FE88" s="528"/>
      <c r="FF88" s="528"/>
      <c r="FG88" s="528"/>
      <c r="FH88" s="528"/>
      <c r="FI88" s="528"/>
      <c r="FJ88" s="528"/>
      <c r="FK88" s="528"/>
      <c r="FL88" s="528"/>
      <c r="FM88" s="528"/>
      <c r="FN88" s="528"/>
      <c r="FO88" s="528"/>
      <c r="FP88" s="528"/>
      <c r="FQ88" s="528"/>
      <c r="FR88" s="528"/>
      <c r="FS88" s="528"/>
      <c r="FT88" s="528"/>
      <c r="FU88" s="528"/>
      <c r="FV88" s="528"/>
      <c r="FW88" s="528"/>
      <c r="FX88" s="528"/>
      <c r="FY88" s="528"/>
      <c r="FZ88" s="528"/>
      <c r="GA88" s="528"/>
      <c r="GB88" s="528"/>
      <c r="GC88" s="528"/>
      <c r="GD88" s="528"/>
      <c r="GE88" s="528"/>
      <c r="GF88" s="528"/>
      <c r="GG88" s="528"/>
      <c r="GH88" s="528"/>
      <c r="GI88" s="528"/>
      <c r="GJ88" s="528"/>
      <c r="GK88" s="528"/>
      <c r="GL88" s="528"/>
      <c r="GM88" s="528"/>
      <c r="GN88" s="528"/>
      <c r="GO88" s="528"/>
      <c r="GP88" s="528"/>
      <c r="GQ88" s="528"/>
      <c r="GR88" s="528"/>
      <c r="GS88" s="528"/>
      <c r="GT88" s="528"/>
      <c r="GU88" s="528"/>
      <c r="GV88" s="528"/>
      <c r="GW88" s="528"/>
      <c r="GX88" s="528"/>
      <c r="GY88" s="528"/>
      <c r="GZ88" s="528"/>
      <c r="HA88" s="528"/>
      <c r="HB88" s="528"/>
      <c r="HC88" s="528"/>
      <c r="HD88" s="528"/>
      <c r="HE88" s="528"/>
      <c r="HF88" s="528"/>
      <c r="HG88" s="528"/>
      <c r="HH88" s="528"/>
      <c r="HI88" s="528"/>
      <c r="HJ88" s="528"/>
      <c r="HK88" s="528"/>
      <c r="HL88" s="528"/>
      <c r="HM88" s="528"/>
      <c r="HN88" s="528"/>
      <c r="HO88" s="528"/>
      <c r="HP88" s="528"/>
      <c r="HQ88" s="528"/>
      <c r="HR88" s="528"/>
      <c r="HS88" s="528"/>
      <c r="HT88" s="528"/>
      <c r="HU88" s="528"/>
      <c r="HV88" s="528"/>
      <c r="HW88" s="528"/>
      <c r="HX88" s="528"/>
      <c r="HY88" s="528"/>
      <c r="HZ88" s="528"/>
      <c r="IA88" s="528"/>
      <c r="IB88" s="528"/>
      <c r="IC88" s="528"/>
      <c r="ID88" s="528"/>
      <c r="IE88" s="528"/>
      <c r="IF88" s="528"/>
      <c r="IG88" s="528"/>
      <c r="IH88" s="528"/>
      <c r="II88" s="528"/>
      <c r="IJ88" s="528"/>
      <c r="IK88" s="528"/>
      <c r="IL88" s="528"/>
      <c r="IM88" s="528"/>
      <c r="IN88" s="528"/>
      <c r="IO88" s="528"/>
    </row>
    <row r="89" spans="3:249" x14ac:dyDescent="0.25">
      <c r="C89" s="438"/>
      <c r="D89" s="569"/>
      <c r="E89" s="576" t="s">
        <v>571</v>
      </c>
      <c r="F89" s="638">
        <v>20</v>
      </c>
      <c r="G89" s="639">
        <v>35</v>
      </c>
      <c r="H89" s="640">
        <f t="shared" si="3"/>
        <v>40800</v>
      </c>
      <c r="I89" s="641">
        <f t="shared" si="3"/>
        <v>71400</v>
      </c>
      <c r="J89" s="480"/>
      <c r="K89" s="438"/>
      <c r="L89" s="519"/>
      <c r="M89" s="519"/>
      <c r="N89" s="519"/>
      <c r="O89" s="528"/>
      <c r="P89" s="438"/>
      <c r="Q89" s="528"/>
      <c r="R89" s="528"/>
      <c r="S89" s="528"/>
      <c r="T89" s="528"/>
      <c r="U89" s="528"/>
      <c r="V89" s="528"/>
      <c r="W89" s="528"/>
      <c r="X89" s="528"/>
      <c r="Y89" s="528"/>
      <c r="Z89" s="528"/>
      <c r="AA89" s="528"/>
      <c r="AB89" s="528"/>
      <c r="AC89" s="528"/>
      <c r="AD89" s="528"/>
      <c r="AE89" s="528"/>
      <c r="AF89" s="528"/>
      <c r="AG89" s="528"/>
      <c r="AH89" s="528"/>
      <c r="AI89" s="528"/>
      <c r="AJ89" s="528"/>
      <c r="AK89" s="528"/>
      <c r="AL89" s="528"/>
      <c r="AM89" s="528"/>
      <c r="AN89" s="528"/>
      <c r="AO89" s="528"/>
      <c r="AP89" s="528"/>
      <c r="AQ89" s="528"/>
      <c r="AR89" s="528"/>
      <c r="AS89" s="528"/>
      <c r="AT89" s="528"/>
      <c r="AU89" s="528"/>
      <c r="AV89" s="528"/>
      <c r="AW89" s="528"/>
      <c r="AX89" s="528"/>
      <c r="AY89" s="528"/>
      <c r="AZ89" s="528"/>
      <c r="BA89" s="528"/>
      <c r="BB89" s="528"/>
      <c r="BC89" s="528"/>
      <c r="BD89" s="528"/>
      <c r="BE89" s="528"/>
      <c r="BF89" s="528"/>
      <c r="BG89" s="528"/>
      <c r="BH89" s="528"/>
      <c r="BI89" s="528"/>
      <c r="BJ89" s="528"/>
      <c r="BK89" s="528"/>
      <c r="BL89" s="528"/>
      <c r="BM89" s="528"/>
      <c r="BN89" s="528"/>
      <c r="BO89" s="528"/>
      <c r="BP89" s="528"/>
      <c r="BQ89" s="528"/>
      <c r="BR89" s="528"/>
      <c r="BS89" s="528"/>
      <c r="BT89" s="528"/>
      <c r="BU89" s="528"/>
      <c r="BV89" s="528"/>
      <c r="BW89" s="528"/>
      <c r="BX89" s="528"/>
      <c r="BY89" s="528"/>
      <c r="BZ89" s="528"/>
      <c r="CA89" s="528"/>
      <c r="CB89" s="528"/>
      <c r="CC89" s="528"/>
      <c r="CD89" s="528"/>
      <c r="CE89" s="528"/>
      <c r="CF89" s="528"/>
      <c r="CG89" s="528"/>
      <c r="CH89" s="528"/>
      <c r="CI89" s="528"/>
      <c r="CJ89" s="528"/>
      <c r="CK89" s="528"/>
      <c r="CL89" s="528"/>
      <c r="CM89" s="528"/>
      <c r="CN89" s="528"/>
      <c r="CO89" s="528"/>
      <c r="CP89" s="528"/>
      <c r="CQ89" s="528"/>
      <c r="CR89" s="528"/>
      <c r="CS89" s="528"/>
      <c r="CT89" s="528"/>
      <c r="CU89" s="528"/>
      <c r="CV89" s="528"/>
      <c r="CW89" s="528"/>
      <c r="CX89" s="528"/>
      <c r="CY89" s="528"/>
      <c r="CZ89" s="528"/>
      <c r="DA89" s="528"/>
      <c r="DB89" s="528"/>
      <c r="DC89" s="528"/>
      <c r="DD89" s="528"/>
      <c r="DE89" s="528"/>
      <c r="DF89" s="528"/>
      <c r="DG89" s="528"/>
      <c r="DH89" s="528"/>
      <c r="DI89" s="528"/>
      <c r="DJ89" s="528"/>
      <c r="DK89" s="528"/>
      <c r="DL89" s="528"/>
      <c r="DM89" s="528"/>
      <c r="DN89" s="528"/>
      <c r="DO89" s="528"/>
      <c r="DP89" s="528"/>
      <c r="DQ89" s="528"/>
      <c r="DR89" s="528"/>
      <c r="DS89" s="528"/>
      <c r="DT89" s="528"/>
      <c r="DU89" s="528"/>
      <c r="DV89" s="528"/>
      <c r="DW89" s="528"/>
      <c r="DX89" s="528"/>
      <c r="DY89" s="528"/>
      <c r="DZ89" s="528"/>
      <c r="EA89" s="528"/>
      <c r="EB89" s="528"/>
      <c r="EC89" s="528"/>
      <c r="ED89" s="528"/>
      <c r="EE89" s="528"/>
      <c r="EF89" s="528"/>
      <c r="EG89" s="528"/>
      <c r="EH89" s="528"/>
      <c r="EI89" s="528"/>
      <c r="EJ89" s="528"/>
      <c r="EK89" s="528"/>
      <c r="EL89" s="528"/>
      <c r="EM89" s="528"/>
      <c r="EN89" s="528"/>
      <c r="EO89" s="528"/>
      <c r="EP89" s="528"/>
      <c r="EQ89" s="528"/>
      <c r="ER89" s="528"/>
      <c r="ES89" s="528"/>
      <c r="ET89" s="528"/>
      <c r="EU89" s="528"/>
      <c r="EV89" s="528"/>
      <c r="EW89" s="528"/>
      <c r="EX89" s="528"/>
      <c r="EY89" s="528"/>
      <c r="EZ89" s="528"/>
      <c r="FA89" s="528"/>
      <c r="FB89" s="528"/>
      <c r="FC89" s="528"/>
      <c r="FD89" s="528"/>
      <c r="FE89" s="528"/>
      <c r="FF89" s="528"/>
      <c r="FG89" s="528"/>
      <c r="FH89" s="528"/>
      <c r="FI89" s="528"/>
      <c r="FJ89" s="528"/>
      <c r="FK89" s="528"/>
      <c r="FL89" s="528"/>
      <c r="FM89" s="528"/>
      <c r="FN89" s="528"/>
      <c r="FO89" s="528"/>
      <c r="FP89" s="528"/>
      <c r="FQ89" s="528"/>
      <c r="FR89" s="528"/>
      <c r="FS89" s="528"/>
      <c r="FT89" s="528"/>
      <c r="FU89" s="528"/>
      <c r="FV89" s="528"/>
      <c r="FW89" s="528"/>
      <c r="FX89" s="528"/>
      <c r="FY89" s="528"/>
      <c r="FZ89" s="528"/>
      <c r="GA89" s="528"/>
      <c r="GB89" s="528"/>
      <c r="GC89" s="528"/>
      <c r="GD89" s="528"/>
      <c r="GE89" s="528"/>
      <c r="GF89" s="528"/>
      <c r="GG89" s="528"/>
      <c r="GH89" s="528"/>
      <c r="GI89" s="528"/>
      <c r="GJ89" s="528"/>
      <c r="GK89" s="528"/>
      <c r="GL89" s="528"/>
      <c r="GM89" s="528"/>
      <c r="GN89" s="528"/>
      <c r="GO89" s="528"/>
      <c r="GP89" s="528"/>
      <c r="GQ89" s="528"/>
      <c r="GR89" s="528"/>
      <c r="GS89" s="528"/>
      <c r="GT89" s="528"/>
      <c r="GU89" s="528"/>
      <c r="GV89" s="528"/>
      <c r="GW89" s="528"/>
      <c r="GX89" s="528"/>
      <c r="GY89" s="528"/>
      <c r="GZ89" s="528"/>
      <c r="HA89" s="528"/>
      <c r="HB89" s="528"/>
      <c r="HC89" s="528"/>
      <c r="HD89" s="528"/>
      <c r="HE89" s="528"/>
      <c r="HF89" s="528"/>
      <c r="HG89" s="528"/>
      <c r="HH89" s="528"/>
      <c r="HI89" s="528"/>
      <c r="HJ89" s="528"/>
      <c r="HK89" s="528"/>
      <c r="HL89" s="528"/>
      <c r="HM89" s="528"/>
      <c r="HN89" s="528"/>
      <c r="HO89" s="528"/>
      <c r="HP89" s="528"/>
      <c r="HQ89" s="528"/>
      <c r="HR89" s="528"/>
      <c r="HS89" s="528"/>
      <c r="HT89" s="528"/>
      <c r="HU89" s="528"/>
      <c r="HV89" s="528"/>
      <c r="HW89" s="528"/>
      <c r="HX89" s="528"/>
      <c r="HY89" s="528"/>
      <c r="HZ89" s="528"/>
      <c r="IA89" s="528"/>
      <c r="IB89" s="528"/>
      <c r="IC89" s="528"/>
      <c r="ID89" s="528"/>
      <c r="IE89" s="528"/>
      <c r="IF89" s="528"/>
      <c r="IG89" s="528"/>
      <c r="IH89" s="528"/>
      <c r="II89" s="528"/>
      <c r="IJ89" s="528"/>
      <c r="IK89" s="528"/>
      <c r="IL89" s="528"/>
      <c r="IM89" s="528"/>
      <c r="IN89" s="528"/>
      <c r="IO89" s="528"/>
    </row>
    <row r="90" spans="3:249" x14ac:dyDescent="0.25">
      <c r="C90" s="438"/>
      <c r="D90" s="569">
        <f>5*52*8</f>
        <v>2080</v>
      </c>
      <c r="E90" s="642"/>
      <c r="F90" s="643">
        <f>SUM(F87:F89)</f>
        <v>50</v>
      </c>
      <c r="G90" s="643">
        <f>SUM(G87:G89)</f>
        <v>105</v>
      </c>
      <c r="H90" s="644">
        <f>SUM(H87:H89)</f>
        <v>102000</v>
      </c>
      <c r="I90" s="645">
        <f>SUM(I87:I89)</f>
        <v>214200</v>
      </c>
      <c r="J90" s="480"/>
      <c r="K90" s="519" t="s">
        <v>572</v>
      </c>
      <c r="L90" s="519"/>
      <c r="M90" s="519"/>
      <c r="N90" s="519"/>
      <c r="O90" s="528"/>
      <c r="P90" s="438"/>
      <c r="Q90" s="528"/>
      <c r="R90" s="528"/>
      <c r="S90" s="528"/>
      <c r="T90" s="528"/>
      <c r="U90" s="528"/>
      <c r="V90" s="528"/>
      <c r="W90" s="528"/>
      <c r="X90" s="528"/>
      <c r="Y90" s="528"/>
      <c r="Z90" s="528"/>
      <c r="AA90" s="528"/>
      <c r="AB90" s="528"/>
      <c r="AC90" s="528"/>
      <c r="AD90" s="528"/>
      <c r="AE90" s="528"/>
      <c r="AF90" s="528"/>
      <c r="AG90" s="528"/>
      <c r="AH90" s="528"/>
      <c r="AI90" s="528"/>
      <c r="AJ90" s="528"/>
      <c r="AK90" s="528"/>
      <c r="AL90" s="528"/>
      <c r="AM90" s="528"/>
      <c r="AN90" s="528"/>
      <c r="AO90" s="528"/>
      <c r="AP90" s="528"/>
      <c r="AQ90" s="528"/>
      <c r="AR90" s="528"/>
      <c r="AS90" s="528"/>
      <c r="AT90" s="528"/>
      <c r="AU90" s="528"/>
      <c r="AV90" s="528"/>
      <c r="AW90" s="528"/>
      <c r="AX90" s="528"/>
      <c r="AY90" s="528"/>
      <c r="AZ90" s="528"/>
      <c r="BA90" s="528"/>
      <c r="BB90" s="528"/>
      <c r="BC90" s="528"/>
      <c r="BD90" s="528"/>
      <c r="BE90" s="528"/>
      <c r="BF90" s="528"/>
      <c r="BG90" s="528"/>
      <c r="BH90" s="528"/>
      <c r="BI90" s="528"/>
      <c r="BJ90" s="528"/>
      <c r="BK90" s="528"/>
      <c r="BL90" s="528"/>
      <c r="BM90" s="528"/>
      <c r="BN90" s="528"/>
      <c r="BO90" s="528"/>
      <c r="BP90" s="528"/>
      <c r="BQ90" s="528"/>
      <c r="BR90" s="528"/>
      <c r="BS90" s="528"/>
      <c r="BT90" s="528"/>
      <c r="BU90" s="528"/>
      <c r="BV90" s="528"/>
      <c r="BW90" s="528"/>
      <c r="BX90" s="528"/>
      <c r="BY90" s="528"/>
      <c r="BZ90" s="528"/>
      <c r="CA90" s="528"/>
      <c r="CB90" s="528"/>
      <c r="CC90" s="528"/>
      <c r="CD90" s="528"/>
      <c r="CE90" s="528"/>
      <c r="CF90" s="528"/>
      <c r="CG90" s="528"/>
      <c r="CH90" s="528"/>
      <c r="CI90" s="528"/>
      <c r="CJ90" s="528"/>
      <c r="CK90" s="528"/>
      <c r="CL90" s="528"/>
      <c r="CM90" s="528"/>
      <c r="CN90" s="528"/>
      <c r="CO90" s="528"/>
      <c r="CP90" s="528"/>
      <c r="CQ90" s="528"/>
      <c r="CR90" s="528"/>
      <c r="CS90" s="528"/>
      <c r="CT90" s="528"/>
      <c r="CU90" s="528"/>
      <c r="CV90" s="528"/>
      <c r="CW90" s="528"/>
      <c r="CX90" s="528"/>
      <c r="CY90" s="528"/>
      <c r="CZ90" s="528"/>
      <c r="DA90" s="528"/>
      <c r="DB90" s="528"/>
      <c r="DC90" s="528"/>
      <c r="DD90" s="528"/>
      <c r="DE90" s="528"/>
      <c r="DF90" s="528"/>
      <c r="DG90" s="528"/>
      <c r="DH90" s="528"/>
      <c r="DI90" s="528"/>
      <c r="DJ90" s="528"/>
      <c r="DK90" s="528"/>
      <c r="DL90" s="528"/>
      <c r="DM90" s="528"/>
      <c r="DN90" s="528"/>
      <c r="DO90" s="528"/>
      <c r="DP90" s="528"/>
      <c r="DQ90" s="528"/>
      <c r="DR90" s="528"/>
      <c r="DS90" s="528"/>
      <c r="DT90" s="528"/>
      <c r="DU90" s="528"/>
      <c r="DV90" s="528"/>
      <c r="DW90" s="528"/>
      <c r="DX90" s="528"/>
      <c r="DY90" s="528"/>
      <c r="DZ90" s="528"/>
      <c r="EA90" s="528"/>
      <c r="EB90" s="528"/>
      <c r="EC90" s="528"/>
      <c r="ED90" s="528"/>
      <c r="EE90" s="528"/>
      <c r="EF90" s="528"/>
      <c r="EG90" s="528"/>
      <c r="EH90" s="528"/>
      <c r="EI90" s="528"/>
      <c r="EJ90" s="528"/>
      <c r="EK90" s="528"/>
      <c r="EL90" s="528"/>
      <c r="EM90" s="528"/>
      <c r="EN90" s="528"/>
      <c r="EO90" s="528"/>
      <c r="EP90" s="528"/>
      <c r="EQ90" s="528"/>
      <c r="ER90" s="528"/>
      <c r="ES90" s="528"/>
      <c r="ET90" s="528"/>
      <c r="EU90" s="528"/>
      <c r="EV90" s="528"/>
      <c r="EW90" s="528"/>
      <c r="EX90" s="528"/>
      <c r="EY90" s="528"/>
      <c r="EZ90" s="528"/>
      <c r="FA90" s="528"/>
      <c r="FB90" s="528"/>
      <c r="FC90" s="528"/>
      <c r="FD90" s="528"/>
      <c r="FE90" s="528"/>
      <c r="FF90" s="528"/>
      <c r="FG90" s="528"/>
      <c r="FH90" s="528"/>
      <c r="FI90" s="528"/>
      <c r="FJ90" s="528"/>
      <c r="FK90" s="528"/>
      <c r="FL90" s="528"/>
      <c r="FM90" s="528"/>
      <c r="FN90" s="528"/>
      <c r="FO90" s="528"/>
      <c r="FP90" s="528"/>
      <c r="FQ90" s="528"/>
      <c r="FR90" s="528"/>
      <c r="FS90" s="528"/>
      <c r="FT90" s="528"/>
      <c r="FU90" s="528"/>
      <c r="FV90" s="528"/>
      <c r="FW90" s="528"/>
      <c r="FX90" s="528"/>
      <c r="FY90" s="528"/>
      <c r="FZ90" s="528"/>
      <c r="GA90" s="528"/>
      <c r="GB90" s="528"/>
      <c r="GC90" s="528"/>
      <c r="GD90" s="528"/>
      <c r="GE90" s="528"/>
      <c r="GF90" s="528"/>
      <c r="GG90" s="528"/>
      <c r="GH90" s="528"/>
      <c r="GI90" s="528"/>
      <c r="GJ90" s="528"/>
      <c r="GK90" s="528"/>
      <c r="GL90" s="528"/>
      <c r="GM90" s="528"/>
      <c r="GN90" s="528"/>
      <c r="GO90" s="528"/>
      <c r="GP90" s="528"/>
      <c r="GQ90" s="528"/>
      <c r="GR90" s="528"/>
      <c r="GS90" s="528"/>
      <c r="GT90" s="528"/>
      <c r="GU90" s="528"/>
      <c r="GV90" s="528"/>
      <c r="GW90" s="528"/>
      <c r="GX90" s="528"/>
      <c r="GY90" s="528"/>
      <c r="GZ90" s="528"/>
      <c r="HA90" s="528"/>
      <c r="HB90" s="528"/>
      <c r="HC90" s="528"/>
      <c r="HD90" s="528"/>
      <c r="HE90" s="528"/>
      <c r="HF90" s="528"/>
      <c r="HG90" s="528"/>
      <c r="HH90" s="528"/>
      <c r="HI90" s="528"/>
      <c r="HJ90" s="528"/>
      <c r="HK90" s="528"/>
      <c r="HL90" s="528"/>
      <c r="HM90" s="528"/>
      <c r="HN90" s="528"/>
      <c r="HO90" s="528"/>
      <c r="HP90" s="528"/>
      <c r="HQ90" s="528"/>
      <c r="HR90" s="528"/>
      <c r="HS90" s="528"/>
      <c r="HT90" s="528"/>
      <c r="HU90" s="528"/>
      <c r="HV90" s="528"/>
      <c r="HW90" s="528"/>
      <c r="HX90" s="528"/>
      <c r="HY90" s="528"/>
      <c r="HZ90" s="528"/>
      <c r="IA90" s="528"/>
      <c r="IB90" s="528"/>
      <c r="IC90" s="528"/>
      <c r="ID90" s="528"/>
      <c r="IE90" s="528"/>
      <c r="IF90" s="528"/>
      <c r="IG90" s="528"/>
      <c r="IH90" s="528"/>
      <c r="II90" s="528"/>
      <c r="IJ90" s="528"/>
      <c r="IK90" s="528"/>
      <c r="IL90" s="528"/>
      <c r="IM90" s="528"/>
      <c r="IN90" s="528"/>
      <c r="IO90" s="528"/>
    </row>
    <row r="91" spans="3:249" x14ac:dyDescent="0.25">
      <c r="C91" s="438"/>
      <c r="D91" s="569"/>
      <c r="E91" s="646" t="s">
        <v>573</v>
      </c>
      <c r="F91" s="647"/>
      <c r="G91" s="648"/>
      <c r="H91" s="649">
        <f>+H90/$F$13</f>
        <v>600</v>
      </c>
      <c r="I91" s="650">
        <f>+I90/$F$13</f>
        <v>1260</v>
      </c>
      <c r="J91" s="443"/>
      <c r="K91" s="651" t="s">
        <v>574</v>
      </c>
      <c r="L91" s="652" t="s">
        <v>575</v>
      </c>
      <c r="O91" s="528"/>
      <c r="P91" s="528"/>
      <c r="Q91" s="528"/>
      <c r="R91" s="528"/>
      <c r="S91" s="528"/>
      <c r="T91" s="528"/>
      <c r="U91" s="528"/>
      <c r="V91" s="528"/>
      <c r="W91" s="528"/>
      <c r="X91" s="528"/>
      <c r="Y91" s="528"/>
      <c r="Z91" s="528"/>
      <c r="AA91" s="528"/>
      <c r="AB91" s="528"/>
      <c r="AC91" s="528"/>
      <c r="AD91" s="528"/>
      <c r="AE91" s="528"/>
      <c r="AF91" s="528"/>
      <c r="AG91" s="528"/>
      <c r="AH91" s="528"/>
      <c r="AI91" s="528"/>
      <c r="AJ91" s="528"/>
      <c r="AK91" s="528"/>
      <c r="AL91" s="528"/>
      <c r="AM91" s="528"/>
      <c r="AN91" s="528"/>
      <c r="AO91" s="528"/>
      <c r="AP91" s="528"/>
      <c r="AQ91" s="528"/>
      <c r="AR91" s="528"/>
      <c r="AS91" s="528"/>
      <c r="AT91" s="528"/>
      <c r="AU91" s="528"/>
      <c r="AV91" s="528"/>
      <c r="AW91" s="528"/>
      <c r="AX91" s="528"/>
      <c r="AY91" s="528"/>
      <c r="AZ91" s="528"/>
      <c r="BA91" s="528"/>
      <c r="BB91" s="528"/>
      <c r="BC91" s="528"/>
      <c r="BD91" s="528"/>
      <c r="BE91" s="528"/>
      <c r="BF91" s="528"/>
      <c r="BG91" s="528"/>
      <c r="BH91" s="528"/>
      <c r="BI91" s="528"/>
      <c r="BJ91" s="528"/>
      <c r="BK91" s="528"/>
      <c r="BL91" s="528"/>
      <c r="BM91" s="528"/>
      <c r="BN91" s="528"/>
      <c r="BO91" s="528"/>
      <c r="BP91" s="528"/>
      <c r="BQ91" s="528"/>
      <c r="BR91" s="528"/>
      <c r="BS91" s="528"/>
      <c r="BT91" s="528"/>
      <c r="BU91" s="528"/>
      <c r="BV91" s="528"/>
      <c r="BW91" s="528"/>
      <c r="BX91" s="528"/>
      <c r="BY91" s="528"/>
      <c r="BZ91" s="528"/>
      <c r="CA91" s="528"/>
      <c r="CB91" s="528"/>
      <c r="CC91" s="528"/>
      <c r="CD91" s="528"/>
      <c r="CE91" s="528"/>
      <c r="CF91" s="528"/>
      <c r="CG91" s="528"/>
      <c r="CH91" s="528"/>
      <c r="CI91" s="528"/>
      <c r="CJ91" s="528"/>
      <c r="CK91" s="528"/>
      <c r="CL91" s="528"/>
      <c r="CM91" s="528"/>
      <c r="CN91" s="528"/>
      <c r="CO91" s="528"/>
      <c r="CP91" s="528"/>
      <c r="CQ91" s="528"/>
      <c r="CR91" s="528"/>
      <c r="CS91" s="528"/>
      <c r="CT91" s="528"/>
      <c r="CU91" s="528"/>
      <c r="CV91" s="528"/>
      <c r="CW91" s="528"/>
      <c r="CX91" s="528"/>
      <c r="CY91" s="528"/>
      <c r="CZ91" s="528"/>
      <c r="DA91" s="528"/>
      <c r="DB91" s="528"/>
      <c r="DC91" s="528"/>
      <c r="DD91" s="528"/>
      <c r="DE91" s="528"/>
      <c r="DF91" s="528"/>
      <c r="DG91" s="528"/>
      <c r="DH91" s="528"/>
      <c r="DI91" s="528"/>
      <c r="DJ91" s="528"/>
      <c r="DK91" s="528"/>
      <c r="DL91" s="528"/>
      <c r="DM91" s="528"/>
      <c r="DN91" s="528"/>
      <c r="DO91" s="528"/>
      <c r="DP91" s="528"/>
      <c r="DQ91" s="528"/>
      <c r="DR91" s="528"/>
      <c r="DS91" s="528"/>
      <c r="DT91" s="528"/>
      <c r="DU91" s="528"/>
      <c r="DV91" s="528"/>
      <c r="DW91" s="528"/>
      <c r="DX91" s="528"/>
      <c r="DY91" s="528"/>
      <c r="DZ91" s="528"/>
      <c r="EA91" s="528"/>
      <c r="EB91" s="528"/>
      <c r="EC91" s="528"/>
      <c r="ED91" s="528"/>
      <c r="EE91" s="528"/>
      <c r="EF91" s="528"/>
      <c r="EG91" s="528"/>
      <c r="EH91" s="528"/>
      <c r="EI91" s="528"/>
      <c r="EJ91" s="528"/>
      <c r="EK91" s="528"/>
      <c r="EL91" s="528"/>
      <c r="EM91" s="528"/>
      <c r="EN91" s="528"/>
      <c r="EO91" s="528"/>
      <c r="EP91" s="528"/>
      <c r="EQ91" s="528"/>
      <c r="ER91" s="528"/>
      <c r="ES91" s="528"/>
      <c r="ET91" s="528"/>
      <c r="EU91" s="528"/>
      <c r="EV91" s="528"/>
      <c r="EW91" s="528"/>
      <c r="EX91" s="528"/>
      <c r="EY91" s="528"/>
      <c r="EZ91" s="528"/>
      <c r="FA91" s="528"/>
      <c r="FB91" s="528"/>
      <c r="FC91" s="528"/>
      <c r="FD91" s="528"/>
      <c r="FE91" s="528"/>
      <c r="FF91" s="528"/>
      <c r="FG91" s="528"/>
      <c r="FH91" s="528"/>
      <c r="FI91" s="528"/>
      <c r="FJ91" s="528"/>
      <c r="FK91" s="528"/>
      <c r="FL91" s="528"/>
      <c r="FM91" s="528"/>
      <c r="FN91" s="528"/>
      <c r="FO91" s="528"/>
      <c r="FP91" s="528"/>
      <c r="FQ91" s="528"/>
      <c r="FR91" s="528"/>
      <c r="FS91" s="528"/>
      <c r="FT91" s="528"/>
      <c r="FU91" s="528"/>
      <c r="FV91" s="528"/>
      <c r="FW91" s="528"/>
      <c r="FX91" s="528"/>
      <c r="FY91" s="528"/>
      <c r="FZ91" s="528"/>
      <c r="GA91" s="528"/>
      <c r="GB91" s="528"/>
      <c r="GC91" s="528"/>
      <c r="GD91" s="528"/>
      <c r="GE91" s="528"/>
      <c r="GF91" s="528"/>
      <c r="GG91" s="528"/>
      <c r="GH91" s="528"/>
      <c r="GI91" s="528"/>
      <c r="GJ91" s="528"/>
      <c r="GK91" s="528"/>
      <c r="GL91" s="528"/>
      <c r="GM91" s="528"/>
      <c r="GN91" s="528"/>
      <c r="GO91" s="528"/>
      <c r="GP91" s="528"/>
      <c r="GQ91" s="528"/>
      <c r="GR91" s="528"/>
      <c r="GS91" s="528"/>
      <c r="GT91" s="528"/>
      <c r="GU91" s="528"/>
      <c r="GV91" s="528"/>
      <c r="GW91" s="528"/>
      <c r="GX91" s="528"/>
      <c r="GY91" s="528"/>
      <c r="GZ91" s="528"/>
      <c r="HA91" s="528"/>
      <c r="HB91" s="528"/>
      <c r="HC91" s="528"/>
      <c r="HD91" s="528"/>
      <c r="HE91" s="528"/>
      <c r="HF91" s="528"/>
      <c r="HG91" s="528"/>
      <c r="HH91" s="528"/>
      <c r="HI91" s="528"/>
      <c r="HJ91" s="528"/>
      <c r="HK91" s="528"/>
      <c r="HL91" s="528"/>
      <c r="HM91" s="528"/>
      <c r="HN91" s="528"/>
      <c r="HO91" s="528"/>
      <c r="HP91" s="528"/>
      <c r="HQ91" s="528"/>
      <c r="HR91" s="528"/>
      <c r="HS91" s="528"/>
      <c r="HT91" s="528"/>
      <c r="HU91" s="528"/>
      <c r="HV91" s="528"/>
      <c r="HW91" s="528"/>
      <c r="HX91" s="528"/>
      <c r="HY91" s="528"/>
      <c r="HZ91" s="528"/>
      <c r="IA91" s="528"/>
      <c r="IB91" s="528"/>
      <c r="IC91" s="528"/>
      <c r="ID91" s="528"/>
      <c r="IE91" s="528"/>
      <c r="IF91" s="528"/>
      <c r="IG91" s="528"/>
      <c r="IH91" s="528"/>
      <c r="II91" s="528"/>
      <c r="IJ91" s="528"/>
      <c r="IK91" s="528"/>
      <c r="IL91" s="528"/>
      <c r="IM91" s="528"/>
      <c r="IN91" s="528"/>
      <c r="IO91" s="528"/>
    </row>
    <row r="92" spans="3:249" x14ac:dyDescent="0.25">
      <c r="C92" s="438"/>
      <c r="D92" s="569"/>
      <c r="E92" s="653"/>
      <c r="F92" s="654"/>
      <c r="G92" s="655"/>
      <c r="H92" s="614"/>
      <c r="I92" s="656">
        <f>AVERAGE(H91:I91)</f>
        <v>930</v>
      </c>
      <c r="J92" s="528" t="s">
        <v>576</v>
      </c>
      <c r="K92" s="657">
        <f>+'[2]Typical Conv.Operating Expenses'!BW101</f>
        <v>500</v>
      </c>
      <c r="L92" s="658">
        <f>+'[2]Typical Conv.Operating Expenses'!BX101</f>
        <v>1498.2845528455284</v>
      </c>
      <c r="O92" s="528"/>
      <c r="P92" s="528"/>
      <c r="Q92" s="528"/>
      <c r="R92" s="528"/>
      <c r="S92" s="528"/>
      <c r="T92" s="528"/>
      <c r="U92" s="528"/>
      <c r="V92" s="528"/>
      <c r="W92" s="528"/>
      <c r="X92" s="528"/>
      <c r="Y92" s="528"/>
      <c r="Z92" s="528"/>
      <c r="AA92" s="528"/>
      <c r="AB92" s="528"/>
      <c r="AC92" s="528"/>
      <c r="AD92" s="528"/>
      <c r="AE92" s="528"/>
      <c r="AF92" s="528"/>
      <c r="AG92" s="528"/>
      <c r="AH92" s="528"/>
      <c r="AI92" s="528"/>
      <c r="AJ92" s="528"/>
      <c r="AK92" s="528"/>
      <c r="AL92" s="528"/>
      <c r="AM92" s="528"/>
      <c r="AN92" s="528"/>
      <c r="AO92" s="528"/>
      <c r="AP92" s="528"/>
      <c r="AQ92" s="528"/>
      <c r="AR92" s="528"/>
      <c r="AS92" s="528"/>
      <c r="AT92" s="528"/>
      <c r="AU92" s="528"/>
      <c r="AV92" s="528"/>
      <c r="AW92" s="528"/>
      <c r="AX92" s="528"/>
      <c r="AY92" s="528"/>
      <c r="AZ92" s="528"/>
      <c r="BA92" s="528"/>
      <c r="BB92" s="528"/>
      <c r="BC92" s="528"/>
      <c r="BD92" s="528"/>
      <c r="BE92" s="528"/>
      <c r="BF92" s="528"/>
      <c r="BG92" s="528"/>
      <c r="BH92" s="528"/>
      <c r="BI92" s="528"/>
      <c r="BJ92" s="528"/>
      <c r="BK92" s="528"/>
      <c r="BL92" s="528"/>
      <c r="BM92" s="528"/>
      <c r="BN92" s="528"/>
      <c r="BO92" s="528"/>
      <c r="BP92" s="528"/>
      <c r="BQ92" s="528"/>
      <c r="BR92" s="528"/>
      <c r="BS92" s="528"/>
      <c r="BT92" s="528"/>
      <c r="BU92" s="528"/>
      <c r="BV92" s="528"/>
      <c r="BW92" s="528"/>
      <c r="BX92" s="528"/>
      <c r="BY92" s="528"/>
      <c r="BZ92" s="528"/>
      <c r="CA92" s="528"/>
      <c r="CB92" s="528"/>
      <c r="CC92" s="528"/>
      <c r="CD92" s="528"/>
      <c r="CE92" s="528"/>
      <c r="CF92" s="528"/>
      <c r="CG92" s="528"/>
      <c r="CH92" s="528"/>
      <c r="CI92" s="528"/>
      <c r="CJ92" s="528"/>
      <c r="CK92" s="528"/>
      <c r="CL92" s="528"/>
      <c r="CM92" s="528"/>
      <c r="CN92" s="528"/>
      <c r="CO92" s="528"/>
      <c r="CP92" s="528"/>
      <c r="CQ92" s="528"/>
      <c r="CR92" s="528"/>
      <c r="CS92" s="528"/>
      <c r="CT92" s="528"/>
      <c r="CU92" s="528"/>
      <c r="CV92" s="528"/>
      <c r="CW92" s="528"/>
      <c r="CX92" s="528"/>
      <c r="CY92" s="528"/>
      <c r="CZ92" s="528"/>
      <c r="DA92" s="528"/>
      <c r="DB92" s="528"/>
      <c r="DC92" s="528"/>
      <c r="DD92" s="528"/>
      <c r="DE92" s="528"/>
      <c r="DF92" s="528"/>
      <c r="DG92" s="528"/>
      <c r="DH92" s="528"/>
      <c r="DI92" s="528"/>
      <c r="DJ92" s="528"/>
      <c r="DK92" s="528"/>
      <c r="DL92" s="528"/>
      <c r="DM92" s="528"/>
      <c r="DN92" s="528"/>
      <c r="DO92" s="528"/>
      <c r="DP92" s="528"/>
      <c r="DQ92" s="528"/>
      <c r="DR92" s="528"/>
      <c r="DS92" s="528"/>
      <c r="DT92" s="528"/>
      <c r="DU92" s="528"/>
      <c r="DV92" s="528"/>
      <c r="DW92" s="528"/>
      <c r="DX92" s="528"/>
      <c r="DY92" s="528"/>
      <c r="DZ92" s="528"/>
      <c r="EA92" s="528"/>
      <c r="EB92" s="528"/>
      <c r="EC92" s="528"/>
      <c r="ED92" s="528"/>
      <c r="EE92" s="528"/>
      <c r="EF92" s="528"/>
      <c r="EG92" s="528"/>
      <c r="EH92" s="528"/>
      <c r="EI92" s="528"/>
      <c r="EJ92" s="528"/>
      <c r="EK92" s="528"/>
      <c r="EL92" s="528"/>
      <c r="EM92" s="528"/>
      <c r="EN92" s="528"/>
      <c r="EO92" s="528"/>
      <c r="EP92" s="528"/>
      <c r="EQ92" s="528"/>
      <c r="ER92" s="528"/>
      <c r="ES92" s="528"/>
      <c r="ET92" s="528"/>
      <c r="EU92" s="528"/>
      <c r="EV92" s="528"/>
      <c r="EW92" s="528"/>
      <c r="EX92" s="528"/>
      <c r="EY92" s="528"/>
      <c r="EZ92" s="528"/>
      <c r="FA92" s="528"/>
      <c r="FB92" s="528"/>
      <c r="FC92" s="528"/>
      <c r="FD92" s="528"/>
      <c r="FE92" s="528"/>
      <c r="FF92" s="528"/>
      <c r="FG92" s="528"/>
      <c r="FH92" s="528"/>
      <c r="FI92" s="528"/>
      <c r="FJ92" s="528"/>
      <c r="FK92" s="528"/>
      <c r="FL92" s="528"/>
      <c r="FM92" s="528"/>
      <c r="FN92" s="528"/>
      <c r="FO92" s="528"/>
      <c r="FP92" s="528"/>
      <c r="FQ92" s="528"/>
      <c r="FR92" s="528"/>
      <c r="FS92" s="528"/>
      <c r="FT92" s="528"/>
      <c r="FU92" s="528"/>
      <c r="FV92" s="528"/>
      <c r="FW92" s="528"/>
      <c r="FX92" s="528"/>
      <c r="FY92" s="528"/>
      <c r="FZ92" s="528"/>
      <c r="GA92" s="528"/>
      <c r="GB92" s="528"/>
      <c r="GC92" s="528"/>
      <c r="GD92" s="528"/>
      <c r="GE92" s="528"/>
      <c r="GF92" s="528"/>
      <c r="GG92" s="528"/>
      <c r="GH92" s="528"/>
      <c r="GI92" s="528"/>
      <c r="GJ92" s="528"/>
      <c r="GK92" s="528"/>
      <c r="GL92" s="528"/>
      <c r="GM92" s="528"/>
      <c r="GN92" s="528"/>
      <c r="GO92" s="528"/>
      <c r="GP92" s="528"/>
      <c r="GQ92" s="528"/>
      <c r="GR92" s="528"/>
      <c r="GS92" s="528"/>
      <c r="GT92" s="528"/>
      <c r="GU92" s="528"/>
      <c r="GV92" s="528"/>
      <c r="GW92" s="528"/>
      <c r="GX92" s="528"/>
      <c r="GY92" s="528"/>
      <c r="GZ92" s="528"/>
      <c r="HA92" s="528"/>
      <c r="HB92" s="528"/>
      <c r="HC92" s="528"/>
      <c r="HD92" s="528"/>
      <c r="HE92" s="528"/>
      <c r="HF92" s="528"/>
      <c r="HG92" s="528"/>
      <c r="HH92" s="528"/>
      <c r="HI92" s="528"/>
      <c r="HJ92" s="528"/>
      <c r="HK92" s="528"/>
      <c r="HL92" s="528"/>
      <c r="HM92" s="528"/>
      <c r="HN92" s="528"/>
      <c r="HO92" s="528"/>
      <c r="HP92" s="528"/>
      <c r="HQ92" s="528"/>
      <c r="HR92" s="528"/>
      <c r="HS92" s="528"/>
      <c r="HT92" s="528"/>
      <c r="HU92" s="528"/>
      <c r="HV92" s="528"/>
      <c r="HW92" s="528"/>
      <c r="HX92" s="528"/>
      <c r="HY92" s="528"/>
      <c r="HZ92" s="528"/>
      <c r="IA92" s="528"/>
      <c r="IB92" s="528"/>
      <c r="IC92" s="528"/>
      <c r="ID92" s="528"/>
      <c r="IE92" s="528"/>
      <c r="IF92" s="528"/>
      <c r="IG92" s="528"/>
      <c r="IH92" s="528"/>
      <c r="II92" s="528"/>
      <c r="IJ92" s="528"/>
      <c r="IK92" s="528"/>
      <c r="IL92" s="528"/>
      <c r="IM92" s="528"/>
      <c r="IN92" s="528"/>
      <c r="IO92" s="528"/>
    </row>
    <row r="93" spans="3:249" x14ac:dyDescent="0.3">
      <c r="C93" s="438"/>
      <c r="D93" s="569"/>
      <c r="E93" s="659"/>
      <c r="F93" s="660"/>
      <c r="G93" s="660"/>
      <c r="H93" s="661" t="s">
        <v>577</v>
      </c>
      <c r="I93" s="662">
        <v>1050</v>
      </c>
      <c r="J93" s="480"/>
      <c r="O93" s="528"/>
      <c r="P93" s="528"/>
      <c r="Q93" s="528"/>
      <c r="R93" s="528"/>
      <c r="S93" s="528"/>
      <c r="T93" s="528"/>
      <c r="U93" s="528"/>
      <c r="V93" s="528"/>
      <c r="W93" s="528"/>
      <c r="X93" s="528"/>
      <c r="Y93" s="528"/>
      <c r="Z93" s="528"/>
      <c r="AA93" s="528"/>
      <c r="AB93" s="528"/>
      <c r="AC93" s="528"/>
      <c r="AD93" s="528"/>
      <c r="AE93" s="528"/>
      <c r="AF93" s="528"/>
      <c r="AG93" s="528"/>
      <c r="AH93" s="528"/>
      <c r="AI93" s="528"/>
      <c r="AJ93" s="528"/>
      <c r="AK93" s="528"/>
      <c r="AL93" s="528"/>
      <c r="AM93" s="528"/>
      <c r="AN93" s="528"/>
      <c r="AO93" s="528"/>
      <c r="AP93" s="528"/>
      <c r="AQ93" s="528"/>
      <c r="AR93" s="528"/>
      <c r="AS93" s="528"/>
      <c r="AT93" s="528"/>
      <c r="AU93" s="528"/>
      <c r="AV93" s="528"/>
      <c r="AW93" s="528"/>
      <c r="AX93" s="528"/>
      <c r="AY93" s="528"/>
      <c r="AZ93" s="528"/>
      <c r="BA93" s="528"/>
      <c r="BB93" s="528"/>
      <c r="BC93" s="528"/>
      <c r="BD93" s="528"/>
      <c r="BE93" s="528"/>
      <c r="BF93" s="528"/>
      <c r="BG93" s="528"/>
      <c r="BH93" s="528"/>
      <c r="BI93" s="528"/>
      <c r="BJ93" s="528"/>
      <c r="BK93" s="528"/>
      <c r="BL93" s="528"/>
      <c r="BM93" s="528"/>
      <c r="BN93" s="528"/>
      <c r="BO93" s="528"/>
      <c r="BP93" s="528"/>
      <c r="BQ93" s="528"/>
      <c r="BR93" s="528"/>
      <c r="BS93" s="528"/>
      <c r="BT93" s="528"/>
      <c r="BU93" s="528"/>
      <c r="BV93" s="528"/>
      <c r="BW93" s="528"/>
      <c r="BX93" s="528"/>
      <c r="BY93" s="528"/>
      <c r="BZ93" s="528"/>
      <c r="CA93" s="528"/>
      <c r="CB93" s="528"/>
      <c r="CC93" s="528"/>
      <c r="CD93" s="528"/>
      <c r="CE93" s="528"/>
      <c r="CF93" s="528"/>
      <c r="CG93" s="528"/>
      <c r="CH93" s="528"/>
      <c r="CI93" s="528"/>
      <c r="CJ93" s="528"/>
      <c r="CK93" s="528"/>
      <c r="CL93" s="528"/>
      <c r="CM93" s="528"/>
      <c r="CN93" s="528"/>
      <c r="CO93" s="528"/>
      <c r="CP93" s="528"/>
      <c r="CQ93" s="528"/>
      <c r="CR93" s="528"/>
      <c r="CS93" s="528"/>
      <c r="CT93" s="528"/>
      <c r="CU93" s="528"/>
      <c r="CV93" s="528"/>
      <c r="CW93" s="528"/>
      <c r="CX93" s="528"/>
      <c r="CY93" s="528"/>
      <c r="CZ93" s="528"/>
      <c r="DA93" s="528"/>
      <c r="DB93" s="528"/>
      <c r="DC93" s="528"/>
      <c r="DD93" s="528"/>
      <c r="DE93" s="528"/>
      <c r="DF93" s="528"/>
      <c r="DG93" s="528"/>
      <c r="DH93" s="528"/>
      <c r="DI93" s="528"/>
      <c r="DJ93" s="528"/>
      <c r="DK93" s="528"/>
      <c r="DL93" s="528"/>
      <c r="DM93" s="528"/>
      <c r="DN93" s="528"/>
      <c r="DO93" s="528"/>
      <c r="DP93" s="528"/>
      <c r="DQ93" s="528"/>
      <c r="DR93" s="528"/>
      <c r="DS93" s="528"/>
      <c r="DT93" s="528"/>
      <c r="DU93" s="528"/>
      <c r="DV93" s="528"/>
      <c r="DW93" s="528"/>
      <c r="DX93" s="528"/>
      <c r="DY93" s="528"/>
      <c r="DZ93" s="528"/>
      <c r="EA93" s="528"/>
      <c r="EB93" s="528"/>
      <c r="EC93" s="528"/>
      <c r="ED93" s="528"/>
      <c r="EE93" s="528"/>
      <c r="EF93" s="528"/>
      <c r="EG93" s="528"/>
      <c r="EH93" s="528"/>
      <c r="EI93" s="528"/>
      <c r="EJ93" s="528"/>
      <c r="EK93" s="528"/>
      <c r="EL93" s="528"/>
      <c r="EM93" s="528"/>
      <c r="EN93" s="528"/>
      <c r="EO93" s="528"/>
      <c r="EP93" s="528"/>
      <c r="EQ93" s="528"/>
      <c r="ER93" s="528"/>
      <c r="ES93" s="528"/>
      <c r="ET93" s="528"/>
      <c r="EU93" s="528"/>
      <c r="EV93" s="528"/>
      <c r="EW93" s="528"/>
      <c r="EX93" s="528"/>
      <c r="EY93" s="528"/>
      <c r="EZ93" s="528"/>
      <c r="FA93" s="528"/>
      <c r="FB93" s="528"/>
      <c r="FC93" s="528"/>
      <c r="FD93" s="528"/>
      <c r="FE93" s="528"/>
      <c r="FF93" s="528"/>
      <c r="FG93" s="528"/>
      <c r="FH93" s="528"/>
      <c r="FI93" s="528"/>
      <c r="FJ93" s="528"/>
      <c r="FK93" s="528"/>
      <c r="FL93" s="528"/>
      <c r="FM93" s="528"/>
      <c r="FN93" s="528"/>
      <c r="FO93" s="528"/>
      <c r="FP93" s="528"/>
      <c r="FQ93" s="528"/>
      <c r="FR93" s="528"/>
      <c r="FS93" s="528"/>
      <c r="FT93" s="528"/>
      <c r="FU93" s="528"/>
      <c r="FV93" s="528"/>
      <c r="FW93" s="528"/>
      <c r="FX93" s="528"/>
      <c r="FY93" s="528"/>
      <c r="FZ93" s="528"/>
      <c r="GA93" s="528"/>
      <c r="GB93" s="528"/>
      <c r="GC93" s="528"/>
      <c r="GD93" s="528"/>
      <c r="GE93" s="528"/>
      <c r="GF93" s="528"/>
      <c r="GG93" s="528"/>
      <c r="GH93" s="528"/>
      <c r="GI93" s="528"/>
      <c r="GJ93" s="528"/>
      <c r="GK93" s="528"/>
      <c r="GL93" s="528"/>
      <c r="GM93" s="528"/>
      <c r="GN93" s="528"/>
      <c r="GO93" s="528"/>
      <c r="GP93" s="528"/>
      <c r="GQ93" s="528"/>
      <c r="GR93" s="528"/>
      <c r="GS93" s="528"/>
      <c r="GT93" s="528"/>
      <c r="GU93" s="528"/>
      <c r="GV93" s="528"/>
      <c r="GW93" s="528"/>
      <c r="GX93" s="528"/>
      <c r="GY93" s="528"/>
      <c r="GZ93" s="528"/>
      <c r="HA93" s="528"/>
      <c r="HB93" s="528"/>
      <c r="HC93" s="528"/>
      <c r="HD93" s="528"/>
      <c r="HE93" s="528"/>
      <c r="HF93" s="528"/>
      <c r="HG93" s="528"/>
      <c r="HH93" s="528"/>
      <c r="HI93" s="528"/>
      <c r="HJ93" s="528"/>
      <c r="HK93" s="528"/>
      <c r="HL93" s="528"/>
      <c r="HM93" s="528"/>
      <c r="HN93" s="528"/>
      <c r="HO93" s="528"/>
      <c r="HP93" s="528"/>
      <c r="HQ93" s="528"/>
      <c r="HR93" s="528"/>
      <c r="HS93" s="528"/>
      <c r="HT93" s="528"/>
      <c r="HU93" s="528"/>
      <c r="HV93" s="528"/>
      <c r="HW93" s="528"/>
      <c r="HX93" s="528"/>
      <c r="HY93" s="528"/>
      <c r="HZ93" s="528"/>
      <c r="IA93" s="528"/>
      <c r="IB93" s="528"/>
      <c r="IC93" s="528"/>
      <c r="ID93" s="528"/>
      <c r="IE93" s="528"/>
      <c r="IF93" s="528"/>
      <c r="IG93" s="528"/>
      <c r="IH93" s="528"/>
      <c r="II93" s="528"/>
      <c r="IJ93" s="528"/>
      <c r="IK93" s="528"/>
      <c r="IL93" s="528"/>
      <c r="IM93" s="528"/>
      <c r="IN93" s="528"/>
      <c r="IO93" s="528"/>
    </row>
    <row r="94" spans="3:249" ht="18" x14ac:dyDescent="0.25">
      <c r="C94" s="438"/>
      <c r="D94" s="569"/>
      <c r="E94" s="663"/>
      <c r="F94" s="664"/>
      <c r="G94" s="665" t="s">
        <v>578</v>
      </c>
      <c r="H94" s="666"/>
      <c r="I94" s="667"/>
      <c r="J94" s="480"/>
      <c r="O94" s="528"/>
      <c r="P94" s="528"/>
      <c r="Q94" s="528"/>
      <c r="R94" s="528"/>
      <c r="S94" s="528"/>
      <c r="T94" s="528"/>
      <c r="U94" s="528"/>
      <c r="V94" s="528"/>
      <c r="W94" s="528"/>
      <c r="X94" s="528"/>
      <c r="Y94" s="528"/>
      <c r="Z94" s="528"/>
      <c r="AA94" s="528"/>
      <c r="AB94" s="528"/>
      <c r="AC94" s="528"/>
      <c r="AD94" s="528"/>
      <c r="AE94" s="528"/>
      <c r="AF94" s="528"/>
      <c r="AG94" s="528"/>
      <c r="AH94" s="528"/>
      <c r="AI94" s="528"/>
      <c r="AJ94" s="528"/>
      <c r="AK94" s="528"/>
      <c r="AL94" s="528"/>
      <c r="AM94" s="528"/>
      <c r="AN94" s="528"/>
      <c r="AO94" s="528"/>
      <c r="AP94" s="528"/>
      <c r="AQ94" s="528"/>
      <c r="AR94" s="528"/>
      <c r="AS94" s="528"/>
      <c r="AT94" s="528"/>
      <c r="AU94" s="528"/>
      <c r="AV94" s="528"/>
      <c r="AW94" s="528"/>
      <c r="AX94" s="528"/>
      <c r="AY94" s="528"/>
      <c r="AZ94" s="528"/>
      <c r="BA94" s="528"/>
      <c r="BB94" s="528"/>
      <c r="BC94" s="528"/>
      <c r="BD94" s="528"/>
      <c r="BE94" s="528"/>
      <c r="BF94" s="528"/>
      <c r="BG94" s="528"/>
      <c r="BH94" s="528"/>
      <c r="BI94" s="528"/>
      <c r="BJ94" s="528"/>
      <c r="BK94" s="528"/>
      <c r="BL94" s="528"/>
      <c r="BM94" s="528"/>
      <c r="BN94" s="528"/>
      <c r="BO94" s="528"/>
      <c r="BP94" s="528"/>
      <c r="BQ94" s="528"/>
      <c r="BR94" s="528"/>
      <c r="BS94" s="528"/>
      <c r="BT94" s="528"/>
      <c r="BU94" s="528"/>
      <c r="BV94" s="528"/>
      <c r="BW94" s="528"/>
      <c r="BX94" s="528"/>
      <c r="BY94" s="528"/>
      <c r="BZ94" s="528"/>
      <c r="CA94" s="528"/>
      <c r="CB94" s="528"/>
      <c r="CC94" s="528"/>
      <c r="CD94" s="528"/>
      <c r="CE94" s="528"/>
      <c r="CF94" s="528"/>
      <c r="CG94" s="528"/>
      <c r="CH94" s="528"/>
      <c r="CI94" s="528"/>
      <c r="CJ94" s="528"/>
      <c r="CK94" s="528"/>
      <c r="CL94" s="528"/>
      <c r="CM94" s="528"/>
      <c r="CN94" s="528"/>
      <c r="CO94" s="528"/>
      <c r="CP94" s="528"/>
      <c r="CQ94" s="528"/>
      <c r="CR94" s="528"/>
      <c r="CS94" s="528"/>
      <c r="CT94" s="528"/>
      <c r="CU94" s="528"/>
      <c r="CV94" s="528"/>
      <c r="CW94" s="528"/>
      <c r="CX94" s="528"/>
      <c r="CY94" s="528"/>
      <c r="CZ94" s="528"/>
      <c r="DA94" s="528"/>
      <c r="DB94" s="528"/>
      <c r="DC94" s="528"/>
      <c r="DD94" s="528"/>
      <c r="DE94" s="528"/>
      <c r="DF94" s="528"/>
      <c r="DG94" s="528"/>
      <c r="DH94" s="528"/>
      <c r="DI94" s="528"/>
      <c r="DJ94" s="528"/>
      <c r="DK94" s="528"/>
      <c r="DL94" s="528"/>
      <c r="DM94" s="528"/>
      <c r="DN94" s="528"/>
      <c r="DO94" s="528"/>
      <c r="DP94" s="528"/>
      <c r="DQ94" s="528"/>
      <c r="DR94" s="528"/>
      <c r="DS94" s="528"/>
      <c r="DT94" s="528"/>
      <c r="DU94" s="528"/>
      <c r="DV94" s="528"/>
      <c r="DW94" s="528"/>
      <c r="DX94" s="528"/>
      <c r="DY94" s="528"/>
      <c r="DZ94" s="528"/>
      <c r="EA94" s="528"/>
      <c r="EB94" s="528"/>
      <c r="EC94" s="528"/>
      <c r="ED94" s="528"/>
      <c r="EE94" s="528"/>
      <c r="EF94" s="528"/>
      <c r="EG94" s="528"/>
      <c r="EH94" s="528"/>
      <c r="EI94" s="528"/>
      <c r="EJ94" s="528"/>
      <c r="EK94" s="528"/>
      <c r="EL94" s="528"/>
      <c r="EM94" s="528"/>
      <c r="EN94" s="528"/>
      <c r="EO94" s="528"/>
      <c r="EP94" s="528"/>
      <c r="EQ94" s="528"/>
      <c r="ER94" s="528"/>
      <c r="ES94" s="528"/>
      <c r="ET94" s="528"/>
      <c r="EU94" s="528"/>
      <c r="EV94" s="528"/>
      <c r="EW94" s="528"/>
      <c r="EX94" s="528"/>
      <c r="EY94" s="528"/>
      <c r="EZ94" s="528"/>
      <c r="FA94" s="528"/>
      <c r="FB94" s="528"/>
      <c r="FC94" s="528"/>
      <c r="FD94" s="528"/>
      <c r="FE94" s="528"/>
      <c r="FF94" s="528"/>
      <c r="FG94" s="528"/>
      <c r="FH94" s="528"/>
      <c r="FI94" s="528"/>
      <c r="FJ94" s="528"/>
      <c r="FK94" s="528"/>
      <c r="FL94" s="528"/>
      <c r="FM94" s="528"/>
      <c r="FN94" s="528"/>
      <c r="FO94" s="528"/>
      <c r="FP94" s="528"/>
      <c r="FQ94" s="528"/>
      <c r="FR94" s="528"/>
      <c r="FS94" s="528"/>
      <c r="FT94" s="528"/>
      <c r="FU94" s="528"/>
      <c r="FV94" s="528"/>
      <c r="FW94" s="528"/>
      <c r="FX94" s="528"/>
      <c r="FY94" s="528"/>
      <c r="FZ94" s="528"/>
      <c r="GA94" s="528"/>
      <c r="GB94" s="528"/>
      <c r="GC94" s="528"/>
      <c r="GD94" s="528"/>
      <c r="GE94" s="528"/>
      <c r="GF94" s="528"/>
      <c r="GG94" s="528"/>
      <c r="GH94" s="528"/>
      <c r="GI94" s="528"/>
      <c r="GJ94" s="528"/>
      <c r="GK94" s="528"/>
      <c r="GL94" s="528"/>
      <c r="GM94" s="528"/>
      <c r="GN94" s="528"/>
      <c r="GO94" s="528"/>
      <c r="GP94" s="528"/>
      <c r="GQ94" s="528"/>
      <c r="GR94" s="528"/>
      <c r="GS94" s="528"/>
      <c r="GT94" s="528"/>
      <c r="GU94" s="528"/>
      <c r="GV94" s="528"/>
      <c r="GW94" s="528"/>
      <c r="GX94" s="528"/>
      <c r="GY94" s="528"/>
      <c r="GZ94" s="528"/>
      <c r="HA94" s="528"/>
      <c r="HB94" s="528"/>
      <c r="HC94" s="528"/>
      <c r="HD94" s="528"/>
      <c r="HE94" s="528"/>
      <c r="HF94" s="528"/>
      <c r="HG94" s="528"/>
      <c r="HH94" s="528"/>
      <c r="HI94" s="528"/>
      <c r="HJ94" s="528"/>
      <c r="HK94" s="528"/>
      <c r="HL94" s="528"/>
      <c r="HM94" s="528"/>
      <c r="HN94" s="528"/>
      <c r="HO94" s="528"/>
      <c r="HP94" s="528"/>
      <c r="HQ94" s="528"/>
      <c r="HR94" s="528"/>
      <c r="HS94" s="528"/>
      <c r="HT94" s="528"/>
      <c r="HU94" s="528"/>
      <c r="HV94" s="528"/>
      <c r="HW94" s="528"/>
      <c r="HX94" s="528"/>
      <c r="HY94" s="528"/>
      <c r="HZ94" s="528"/>
      <c r="IA94" s="528"/>
      <c r="IB94" s="528"/>
      <c r="IC94" s="528"/>
      <c r="ID94" s="528"/>
      <c r="IE94" s="528"/>
      <c r="IF94" s="528"/>
      <c r="IG94" s="528"/>
      <c r="IH94" s="528"/>
      <c r="II94" s="528"/>
      <c r="IJ94" s="528"/>
      <c r="IK94" s="528"/>
      <c r="IL94" s="528"/>
      <c r="IM94" s="528"/>
      <c r="IN94" s="528"/>
      <c r="IO94" s="528"/>
    </row>
    <row r="95" spans="3:249" ht="16.5" x14ac:dyDescent="0.25">
      <c r="C95" s="438"/>
      <c r="D95" s="569"/>
      <c r="E95" s="668" t="s">
        <v>579</v>
      </c>
      <c r="F95" s="439"/>
      <c r="G95" s="669" t="str">
        <f>+'[2]CMHC '!K10</f>
        <v>Ontario - Concrete</v>
      </c>
      <c r="H95" s="669"/>
      <c r="I95" s="670">
        <f>ROUND(+'[2]CMHC '!O10*1.025*1.025*1.025,-1)</f>
        <v>1050</v>
      </c>
      <c r="J95" s="480" t="s">
        <v>580</v>
      </c>
      <c r="O95" s="528"/>
      <c r="P95" s="528"/>
      <c r="Q95" s="528"/>
      <c r="R95" s="528"/>
      <c r="S95" s="528"/>
      <c r="T95" s="528"/>
      <c r="U95" s="528"/>
      <c r="V95" s="528"/>
      <c r="W95" s="528"/>
      <c r="X95" s="528"/>
      <c r="Y95" s="528"/>
      <c r="Z95" s="528"/>
      <c r="AA95" s="528"/>
      <c r="AB95" s="528"/>
      <c r="AC95" s="528"/>
      <c r="AD95" s="528"/>
      <c r="AE95" s="528"/>
      <c r="AF95" s="528"/>
      <c r="AG95" s="528"/>
      <c r="AH95" s="528"/>
      <c r="AI95" s="528"/>
      <c r="AJ95" s="528"/>
      <c r="AK95" s="528"/>
      <c r="AL95" s="528"/>
      <c r="AM95" s="528"/>
      <c r="AN95" s="528"/>
      <c r="AO95" s="528"/>
      <c r="AP95" s="528"/>
      <c r="AQ95" s="528"/>
      <c r="AR95" s="528"/>
      <c r="AS95" s="528"/>
      <c r="AT95" s="528"/>
      <c r="AU95" s="528"/>
      <c r="AV95" s="528"/>
      <c r="AW95" s="528"/>
      <c r="AX95" s="528"/>
      <c r="AY95" s="528"/>
      <c r="AZ95" s="528"/>
      <c r="BA95" s="528"/>
      <c r="BB95" s="528"/>
      <c r="BC95" s="528"/>
      <c r="BD95" s="528"/>
      <c r="BE95" s="528"/>
      <c r="BF95" s="528"/>
      <c r="BG95" s="528"/>
      <c r="BH95" s="528"/>
      <c r="BI95" s="528"/>
      <c r="BJ95" s="528"/>
      <c r="BK95" s="528"/>
      <c r="BL95" s="528"/>
      <c r="BM95" s="528"/>
      <c r="BN95" s="528"/>
      <c r="BO95" s="528"/>
      <c r="BP95" s="528"/>
      <c r="BQ95" s="528"/>
      <c r="BR95" s="528"/>
      <c r="BS95" s="528"/>
      <c r="BT95" s="528"/>
      <c r="BU95" s="528"/>
      <c r="BV95" s="528"/>
      <c r="BW95" s="528"/>
      <c r="BX95" s="528"/>
      <c r="BY95" s="528"/>
      <c r="BZ95" s="528"/>
      <c r="CA95" s="528"/>
      <c r="CB95" s="528"/>
      <c r="CC95" s="528"/>
      <c r="CD95" s="528"/>
      <c r="CE95" s="528"/>
      <c r="CF95" s="528"/>
      <c r="CG95" s="528"/>
      <c r="CH95" s="528"/>
      <c r="CI95" s="528"/>
      <c r="CJ95" s="528"/>
      <c r="CK95" s="528"/>
      <c r="CL95" s="528"/>
      <c r="CM95" s="528"/>
      <c r="CN95" s="528"/>
      <c r="CO95" s="528"/>
      <c r="CP95" s="528"/>
      <c r="CQ95" s="528"/>
      <c r="CR95" s="528"/>
      <c r="CS95" s="528"/>
      <c r="CT95" s="528"/>
      <c r="CU95" s="528"/>
      <c r="CV95" s="528"/>
      <c r="CW95" s="528"/>
      <c r="CX95" s="528"/>
      <c r="CY95" s="528"/>
      <c r="CZ95" s="528"/>
      <c r="DA95" s="528"/>
      <c r="DB95" s="528"/>
      <c r="DC95" s="528"/>
      <c r="DD95" s="528"/>
      <c r="DE95" s="528"/>
      <c r="DF95" s="528"/>
      <c r="DG95" s="528"/>
      <c r="DH95" s="528"/>
      <c r="DI95" s="528"/>
      <c r="DJ95" s="528"/>
      <c r="DK95" s="528"/>
      <c r="DL95" s="528"/>
      <c r="DM95" s="528"/>
      <c r="DN95" s="528"/>
      <c r="DO95" s="528"/>
      <c r="DP95" s="528"/>
      <c r="DQ95" s="528"/>
      <c r="DR95" s="528"/>
      <c r="DS95" s="528"/>
      <c r="DT95" s="528"/>
      <c r="DU95" s="528"/>
      <c r="DV95" s="528"/>
      <c r="DW95" s="528"/>
      <c r="DX95" s="528"/>
      <c r="DY95" s="528"/>
      <c r="DZ95" s="528"/>
      <c r="EA95" s="528"/>
      <c r="EB95" s="528"/>
      <c r="EC95" s="528"/>
      <c r="ED95" s="528"/>
      <c r="EE95" s="528"/>
      <c r="EF95" s="528"/>
      <c r="EG95" s="528"/>
      <c r="EH95" s="528"/>
      <c r="EI95" s="528"/>
      <c r="EJ95" s="528"/>
      <c r="EK95" s="528"/>
      <c r="EL95" s="528"/>
      <c r="EM95" s="528"/>
      <c r="EN95" s="528"/>
      <c r="EO95" s="528"/>
      <c r="EP95" s="528"/>
      <c r="EQ95" s="528"/>
      <c r="ER95" s="528"/>
      <c r="ES95" s="528"/>
      <c r="ET95" s="528"/>
      <c r="EU95" s="528"/>
      <c r="EV95" s="528"/>
      <c r="EW95" s="528"/>
      <c r="EX95" s="528"/>
      <c r="EY95" s="528"/>
      <c r="EZ95" s="528"/>
      <c r="FA95" s="528"/>
      <c r="FB95" s="528"/>
      <c r="FC95" s="528"/>
      <c r="FD95" s="528"/>
      <c r="FE95" s="528"/>
      <c r="FF95" s="528"/>
      <c r="FG95" s="528"/>
      <c r="FH95" s="528"/>
      <c r="FI95" s="528"/>
      <c r="FJ95" s="528"/>
      <c r="FK95" s="528"/>
      <c r="FL95" s="528"/>
      <c r="FM95" s="528"/>
      <c r="FN95" s="528"/>
      <c r="FO95" s="528"/>
      <c r="FP95" s="528"/>
      <c r="FQ95" s="528"/>
      <c r="FR95" s="528"/>
      <c r="FS95" s="528"/>
      <c r="FT95" s="528"/>
      <c r="FU95" s="528"/>
      <c r="FV95" s="528"/>
      <c r="FW95" s="528"/>
      <c r="FX95" s="528"/>
      <c r="FY95" s="528"/>
      <c r="FZ95" s="528"/>
      <c r="GA95" s="528"/>
      <c r="GB95" s="528"/>
      <c r="GC95" s="528"/>
      <c r="GD95" s="528"/>
      <c r="GE95" s="528"/>
      <c r="GF95" s="528"/>
      <c r="GG95" s="528"/>
      <c r="GH95" s="528"/>
      <c r="GI95" s="528"/>
      <c r="GJ95" s="528"/>
      <c r="GK95" s="528"/>
      <c r="GL95" s="528"/>
      <c r="GM95" s="528"/>
      <c r="GN95" s="528"/>
      <c r="GO95" s="528"/>
      <c r="GP95" s="528"/>
      <c r="GQ95" s="528"/>
      <c r="GR95" s="528"/>
      <c r="GS95" s="528"/>
      <c r="GT95" s="528"/>
      <c r="GU95" s="528"/>
      <c r="GV95" s="528"/>
      <c r="GW95" s="528"/>
      <c r="GX95" s="528"/>
      <c r="GY95" s="528"/>
      <c r="GZ95" s="528"/>
      <c r="HA95" s="528"/>
      <c r="HB95" s="528"/>
      <c r="HC95" s="528"/>
      <c r="HD95" s="528"/>
      <c r="HE95" s="528"/>
      <c r="HF95" s="528"/>
      <c r="HG95" s="528"/>
      <c r="HH95" s="528"/>
      <c r="HI95" s="528"/>
      <c r="HJ95" s="528"/>
      <c r="HK95" s="528"/>
      <c r="HL95" s="528"/>
      <c r="HM95" s="528"/>
      <c r="HN95" s="528"/>
      <c r="HO95" s="528"/>
      <c r="HP95" s="528"/>
      <c r="HQ95" s="528"/>
      <c r="HR95" s="528"/>
      <c r="HS95" s="528"/>
      <c r="HT95" s="528"/>
      <c r="HU95" s="528"/>
      <c r="HV95" s="528"/>
      <c r="HW95" s="528"/>
      <c r="HX95" s="528"/>
      <c r="HY95" s="528"/>
      <c r="HZ95" s="528"/>
      <c r="IA95" s="528"/>
      <c r="IB95" s="528"/>
      <c r="IC95" s="528"/>
      <c r="ID95" s="528"/>
      <c r="IE95" s="528"/>
      <c r="IF95" s="528"/>
      <c r="IG95" s="528"/>
      <c r="IH95" s="528"/>
      <c r="II95" s="528"/>
      <c r="IJ95" s="528"/>
      <c r="IK95" s="528"/>
      <c r="IL95" s="528"/>
      <c r="IM95" s="528"/>
      <c r="IN95" s="528"/>
      <c r="IO95" s="528"/>
    </row>
    <row r="96" spans="3:249" ht="18" x14ac:dyDescent="0.25">
      <c r="C96" s="438"/>
      <c r="D96" s="569"/>
      <c r="E96" s="671"/>
      <c r="F96" s="672"/>
      <c r="G96" s="673" t="str">
        <f>+'[2]CMHC '!K9</f>
        <v>Ontario - Wood Frame 12 units and more</v>
      </c>
      <c r="H96" s="673"/>
      <c r="I96" s="674">
        <f>ROUND(+'[2]CMHC '!O9*1.025*1.025*1.025,-1)</f>
        <v>890</v>
      </c>
      <c r="J96" s="480" t="s">
        <v>580</v>
      </c>
      <c r="O96" s="528"/>
      <c r="P96" s="528"/>
      <c r="Q96" s="528"/>
      <c r="R96" s="528"/>
      <c r="S96" s="528"/>
      <c r="T96" s="528"/>
      <c r="U96" s="528"/>
      <c r="V96" s="528"/>
      <c r="W96" s="528"/>
      <c r="X96" s="528"/>
      <c r="Y96" s="528"/>
      <c r="Z96" s="528"/>
      <c r="AA96" s="528"/>
      <c r="AB96" s="528"/>
      <c r="AC96" s="528"/>
      <c r="AD96" s="528"/>
      <c r="AE96" s="528"/>
      <c r="AF96" s="528"/>
      <c r="AG96" s="528"/>
      <c r="AH96" s="528"/>
      <c r="AI96" s="528"/>
      <c r="AJ96" s="528"/>
      <c r="AK96" s="528"/>
      <c r="AL96" s="528"/>
      <c r="AM96" s="528"/>
      <c r="AN96" s="528"/>
      <c r="AO96" s="528"/>
      <c r="AP96" s="528"/>
      <c r="AQ96" s="528"/>
      <c r="AR96" s="528"/>
      <c r="AS96" s="528"/>
      <c r="AT96" s="528"/>
      <c r="AU96" s="528"/>
      <c r="AV96" s="528"/>
      <c r="AW96" s="528"/>
      <c r="AX96" s="528"/>
      <c r="AY96" s="528"/>
      <c r="AZ96" s="528"/>
      <c r="BA96" s="528"/>
      <c r="BB96" s="528"/>
      <c r="BC96" s="528"/>
      <c r="BD96" s="528"/>
      <c r="BE96" s="528"/>
      <c r="BF96" s="528"/>
      <c r="BG96" s="528"/>
      <c r="BH96" s="528"/>
      <c r="BI96" s="528"/>
      <c r="BJ96" s="528"/>
      <c r="BK96" s="528"/>
      <c r="BL96" s="528"/>
      <c r="BM96" s="528"/>
      <c r="BN96" s="528"/>
      <c r="BO96" s="528"/>
      <c r="BP96" s="528"/>
      <c r="BQ96" s="528"/>
      <c r="BR96" s="528"/>
      <c r="BS96" s="528"/>
      <c r="BT96" s="528"/>
      <c r="BU96" s="528"/>
      <c r="BV96" s="528"/>
      <c r="BW96" s="528"/>
      <c r="BX96" s="528"/>
      <c r="BY96" s="528"/>
      <c r="BZ96" s="528"/>
      <c r="CA96" s="528"/>
      <c r="CB96" s="528"/>
      <c r="CC96" s="528"/>
      <c r="CD96" s="528"/>
      <c r="CE96" s="528"/>
      <c r="CF96" s="528"/>
      <c r="CG96" s="528"/>
      <c r="CH96" s="528"/>
      <c r="CI96" s="528"/>
      <c r="CJ96" s="528"/>
      <c r="CK96" s="528"/>
      <c r="CL96" s="528"/>
      <c r="CM96" s="528"/>
      <c r="CN96" s="528"/>
      <c r="CO96" s="528"/>
      <c r="CP96" s="528"/>
      <c r="CQ96" s="528"/>
      <c r="CR96" s="528"/>
      <c r="CS96" s="528"/>
      <c r="CT96" s="528"/>
      <c r="CU96" s="528"/>
      <c r="CV96" s="528"/>
      <c r="CW96" s="528"/>
      <c r="CX96" s="528"/>
      <c r="CY96" s="528"/>
      <c r="CZ96" s="528"/>
      <c r="DA96" s="528"/>
      <c r="DB96" s="528"/>
      <c r="DC96" s="528"/>
      <c r="DD96" s="528"/>
      <c r="DE96" s="528"/>
      <c r="DF96" s="528"/>
      <c r="DG96" s="528"/>
      <c r="DH96" s="528"/>
      <c r="DI96" s="528"/>
      <c r="DJ96" s="528"/>
      <c r="DK96" s="528"/>
      <c r="DL96" s="528"/>
      <c r="DM96" s="528"/>
      <c r="DN96" s="528"/>
      <c r="DO96" s="528"/>
      <c r="DP96" s="528"/>
      <c r="DQ96" s="528"/>
      <c r="DR96" s="528"/>
      <c r="DS96" s="528"/>
      <c r="DT96" s="528"/>
      <c r="DU96" s="528"/>
      <c r="DV96" s="528"/>
      <c r="DW96" s="528"/>
      <c r="DX96" s="528"/>
      <c r="DY96" s="528"/>
      <c r="DZ96" s="528"/>
      <c r="EA96" s="528"/>
      <c r="EB96" s="528"/>
      <c r="EC96" s="528"/>
      <c r="ED96" s="528"/>
      <c r="EE96" s="528"/>
      <c r="EF96" s="528"/>
      <c r="EG96" s="528"/>
      <c r="EH96" s="528"/>
      <c r="EI96" s="528"/>
      <c r="EJ96" s="528"/>
      <c r="EK96" s="528"/>
      <c r="EL96" s="528"/>
      <c r="EM96" s="528"/>
      <c r="EN96" s="528"/>
      <c r="EO96" s="528"/>
      <c r="EP96" s="528"/>
      <c r="EQ96" s="528"/>
      <c r="ER96" s="528"/>
      <c r="ES96" s="528"/>
      <c r="ET96" s="528"/>
      <c r="EU96" s="528"/>
      <c r="EV96" s="528"/>
      <c r="EW96" s="528"/>
      <c r="EX96" s="528"/>
      <c r="EY96" s="528"/>
      <c r="EZ96" s="528"/>
      <c r="FA96" s="528"/>
      <c r="FB96" s="528"/>
      <c r="FC96" s="528"/>
      <c r="FD96" s="528"/>
      <c r="FE96" s="528"/>
      <c r="FF96" s="528"/>
      <c r="FG96" s="528"/>
      <c r="FH96" s="528"/>
      <c r="FI96" s="528"/>
      <c r="FJ96" s="528"/>
      <c r="FK96" s="528"/>
      <c r="FL96" s="528"/>
      <c r="FM96" s="528"/>
      <c r="FN96" s="528"/>
      <c r="FO96" s="528"/>
      <c r="FP96" s="528"/>
      <c r="FQ96" s="528"/>
      <c r="FR96" s="528"/>
      <c r="FS96" s="528"/>
      <c r="FT96" s="528"/>
      <c r="FU96" s="528"/>
      <c r="FV96" s="528"/>
      <c r="FW96" s="528"/>
      <c r="FX96" s="528"/>
      <c r="FY96" s="528"/>
      <c r="FZ96" s="528"/>
      <c r="GA96" s="528"/>
      <c r="GB96" s="528"/>
      <c r="GC96" s="528"/>
      <c r="GD96" s="528"/>
      <c r="GE96" s="528"/>
      <c r="GF96" s="528"/>
      <c r="GG96" s="528"/>
      <c r="GH96" s="528"/>
      <c r="GI96" s="528"/>
      <c r="GJ96" s="528"/>
      <c r="GK96" s="528"/>
      <c r="GL96" s="528"/>
      <c r="GM96" s="528"/>
      <c r="GN96" s="528"/>
      <c r="GO96" s="528"/>
      <c r="GP96" s="528"/>
      <c r="GQ96" s="528"/>
      <c r="GR96" s="528"/>
      <c r="GS96" s="528"/>
      <c r="GT96" s="528"/>
      <c r="GU96" s="528"/>
      <c r="GV96" s="528"/>
      <c r="GW96" s="528"/>
      <c r="GX96" s="528"/>
      <c r="GY96" s="528"/>
      <c r="GZ96" s="528"/>
      <c r="HA96" s="528"/>
      <c r="HB96" s="528"/>
      <c r="HC96" s="528"/>
      <c r="HD96" s="528"/>
      <c r="HE96" s="528"/>
      <c r="HF96" s="528"/>
      <c r="HG96" s="528"/>
      <c r="HH96" s="528"/>
      <c r="HI96" s="528"/>
      <c r="HJ96" s="528"/>
      <c r="HK96" s="528"/>
      <c r="HL96" s="528"/>
      <c r="HM96" s="528"/>
      <c r="HN96" s="528"/>
      <c r="HO96" s="528"/>
      <c r="HP96" s="528"/>
      <c r="HQ96" s="528"/>
      <c r="HR96" s="528"/>
      <c r="HS96" s="528"/>
      <c r="HT96" s="528"/>
      <c r="HU96" s="528"/>
      <c r="HV96" s="528"/>
      <c r="HW96" s="528"/>
      <c r="HX96" s="528"/>
      <c r="HY96" s="528"/>
      <c r="HZ96" s="528"/>
      <c r="IA96" s="528"/>
      <c r="IB96" s="528"/>
      <c r="IC96" s="528"/>
      <c r="ID96" s="528"/>
      <c r="IE96" s="528"/>
      <c r="IF96" s="528"/>
      <c r="IG96" s="528"/>
      <c r="IH96" s="528"/>
      <c r="II96" s="528"/>
      <c r="IJ96" s="528"/>
      <c r="IK96" s="528"/>
      <c r="IL96" s="528"/>
      <c r="IM96" s="528"/>
      <c r="IN96" s="528"/>
      <c r="IO96" s="528"/>
    </row>
    <row r="97" spans="3:249" ht="18" x14ac:dyDescent="0.25">
      <c r="C97" s="438"/>
      <c r="D97" s="569"/>
      <c r="E97" s="566"/>
      <c r="F97" s="439"/>
      <c r="G97" s="480"/>
      <c r="H97" s="480"/>
      <c r="I97" s="675">
        <f>+'[2]Expense Comparison'!H11</f>
        <v>975</v>
      </c>
      <c r="J97" s="676" t="s">
        <v>581</v>
      </c>
      <c r="O97" s="528"/>
      <c r="P97" s="528"/>
      <c r="Q97" s="528"/>
      <c r="R97" s="528"/>
      <c r="S97" s="528"/>
      <c r="T97" s="528"/>
      <c r="U97" s="528"/>
      <c r="V97" s="528"/>
      <c r="W97" s="528"/>
      <c r="X97" s="528"/>
      <c r="Y97" s="528"/>
      <c r="Z97" s="528"/>
      <c r="AA97" s="528"/>
      <c r="AB97" s="528"/>
      <c r="AC97" s="528"/>
      <c r="AD97" s="528"/>
      <c r="AE97" s="528"/>
      <c r="AF97" s="528"/>
      <c r="AG97" s="528"/>
      <c r="AH97" s="528"/>
      <c r="AI97" s="528"/>
      <c r="AJ97" s="528"/>
      <c r="AK97" s="528"/>
      <c r="AL97" s="528"/>
      <c r="AM97" s="528"/>
      <c r="AN97" s="528"/>
      <c r="AO97" s="528"/>
      <c r="AP97" s="528"/>
      <c r="AQ97" s="528"/>
      <c r="AR97" s="528"/>
      <c r="AS97" s="528"/>
      <c r="AT97" s="528"/>
      <c r="AU97" s="528"/>
      <c r="AV97" s="528"/>
      <c r="AW97" s="528"/>
      <c r="AX97" s="528"/>
      <c r="AY97" s="528"/>
      <c r="AZ97" s="528"/>
      <c r="BA97" s="528"/>
      <c r="BB97" s="528"/>
      <c r="BC97" s="528"/>
      <c r="BD97" s="528"/>
      <c r="BE97" s="528"/>
      <c r="BF97" s="528"/>
      <c r="BG97" s="528"/>
      <c r="BH97" s="528"/>
      <c r="BI97" s="528"/>
      <c r="BJ97" s="528"/>
      <c r="BK97" s="528"/>
      <c r="BL97" s="528"/>
      <c r="BM97" s="528"/>
      <c r="BN97" s="528"/>
      <c r="BO97" s="528"/>
      <c r="BP97" s="528"/>
      <c r="BQ97" s="528"/>
      <c r="BR97" s="528"/>
      <c r="BS97" s="528"/>
      <c r="BT97" s="528"/>
      <c r="BU97" s="528"/>
      <c r="BV97" s="528"/>
      <c r="BW97" s="528"/>
      <c r="BX97" s="528"/>
      <c r="BY97" s="528"/>
      <c r="BZ97" s="528"/>
      <c r="CA97" s="528"/>
      <c r="CB97" s="528"/>
      <c r="CC97" s="528"/>
      <c r="CD97" s="528"/>
      <c r="CE97" s="528"/>
      <c r="CF97" s="528"/>
      <c r="CG97" s="528"/>
      <c r="CH97" s="528"/>
      <c r="CI97" s="528"/>
      <c r="CJ97" s="528"/>
      <c r="CK97" s="528"/>
      <c r="CL97" s="528"/>
      <c r="CM97" s="528"/>
      <c r="CN97" s="528"/>
      <c r="CO97" s="528"/>
      <c r="CP97" s="528"/>
      <c r="CQ97" s="528"/>
      <c r="CR97" s="528"/>
      <c r="CS97" s="528"/>
      <c r="CT97" s="528"/>
      <c r="CU97" s="528"/>
      <c r="CV97" s="528"/>
      <c r="CW97" s="528"/>
      <c r="CX97" s="528"/>
      <c r="CY97" s="528"/>
      <c r="CZ97" s="528"/>
      <c r="DA97" s="528"/>
      <c r="DB97" s="528"/>
      <c r="DC97" s="528"/>
      <c r="DD97" s="528"/>
      <c r="DE97" s="528"/>
      <c r="DF97" s="528"/>
      <c r="DG97" s="528"/>
      <c r="DH97" s="528"/>
      <c r="DI97" s="528"/>
      <c r="DJ97" s="528"/>
      <c r="DK97" s="528"/>
      <c r="DL97" s="528"/>
      <c r="DM97" s="528"/>
      <c r="DN97" s="528"/>
      <c r="DO97" s="528"/>
      <c r="DP97" s="528"/>
      <c r="DQ97" s="528"/>
      <c r="DR97" s="528"/>
      <c r="DS97" s="528"/>
      <c r="DT97" s="528"/>
      <c r="DU97" s="528"/>
      <c r="DV97" s="528"/>
      <c r="DW97" s="528"/>
      <c r="DX97" s="528"/>
      <c r="DY97" s="528"/>
      <c r="DZ97" s="528"/>
      <c r="EA97" s="528"/>
      <c r="EB97" s="528"/>
      <c r="EC97" s="528"/>
      <c r="ED97" s="528"/>
      <c r="EE97" s="528"/>
      <c r="EF97" s="528"/>
      <c r="EG97" s="528"/>
      <c r="EH97" s="528"/>
      <c r="EI97" s="528"/>
      <c r="EJ97" s="528"/>
      <c r="EK97" s="528"/>
      <c r="EL97" s="528"/>
      <c r="EM97" s="528"/>
      <c r="EN97" s="528"/>
      <c r="EO97" s="528"/>
      <c r="EP97" s="528"/>
      <c r="EQ97" s="528"/>
      <c r="ER97" s="528"/>
      <c r="ES97" s="528"/>
      <c r="ET97" s="528"/>
      <c r="EU97" s="528"/>
      <c r="EV97" s="528"/>
      <c r="EW97" s="528"/>
      <c r="EX97" s="528"/>
      <c r="EY97" s="528"/>
      <c r="EZ97" s="528"/>
      <c r="FA97" s="528"/>
      <c r="FB97" s="528"/>
      <c r="FC97" s="528"/>
      <c r="FD97" s="528"/>
      <c r="FE97" s="528"/>
      <c r="FF97" s="528"/>
      <c r="FG97" s="528"/>
      <c r="FH97" s="528"/>
      <c r="FI97" s="528"/>
      <c r="FJ97" s="528"/>
      <c r="FK97" s="528"/>
      <c r="FL97" s="528"/>
      <c r="FM97" s="528"/>
      <c r="FN97" s="528"/>
      <c r="FO97" s="528"/>
      <c r="FP97" s="528"/>
      <c r="FQ97" s="528"/>
      <c r="FR97" s="528"/>
      <c r="FS97" s="528"/>
      <c r="FT97" s="528"/>
      <c r="FU97" s="528"/>
      <c r="FV97" s="528"/>
      <c r="FW97" s="528"/>
      <c r="FX97" s="528"/>
      <c r="FY97" s="528"/>
      <c r="FZ97" s="528"/>
      <c r="GA97" s="528"/>
      <c r="GB97" s="528"/>
      <c r="GC97" s="528"/>
      <c r="GD97" s="528"/>
      <c r="GE97" s="528"/>
      <c r="GF97" s="528"/>
      <c r="GG97" s="528"/>
      <c r="GH97" s="528"/>
      <c r="GI97" s="528"/>
      <c r="GJ97" s="528"/>
      <c r="GK97" s="528"/>
      <c r="GL97" s="528"/>
      <c r="GM97" s="528"/>
      <c r="GN97" s="528"/>
      <c r="GO97" s="528"/>
      <c r="GP97" s="528"/>
      <c r="GQ97" s="528"/>
      <c r="GR97" s="528"/>
      <c r="GS97" s="528"/>
      <c r="GT97" s="528"/>
      <c r="GU97" s="528"/>
      <c r="GV97" s="528"/>
      <c r="GW97" s="528"/>
      <c r="GX97" s="528"/>
      <c r="GY97" s="528"/>
      <c r="GZ97" s="528"/>
      <c r="HA97" s="528"/>
      <c r="HB97" s="528"/>
      <c r="HC97" s="528"/>
      <c r="HD97" s="528"/>
      <c r="HE97" s="528"/>
      <c r="HF97" s="528"/>
      <c r="HG97" s="528"/>
      <c r="HH97" s="528"/>
      <c r="HI97" s="528"/>
      <c r="HJ97" s="528"/>
      <c r="HK97" s="528"/>
      <c r="HL97" s="528"/>
      <c r="HM97" s="528"/>
      <c r="HN97" s="528"/>
      <c r="HO97" s="528"/>
      <c r="HP97" s="528"/>
      <c r="HQ97" s="528"/>
      <c r="HR97" s="528"/>
      <c r="HS97" s="528"/>
      <c r="HT97" s="528"/>
      <c r="HU97" s="528"/>
      <c r="HV97" s="528"/>
      <c r="HW97" s="528"/>
      <c r="HX97" s="528"/>
      <c r="HY97" s="528"/>
      <c r="HZ97" s="528"/>
      <c r="IA97" s="528"/>
      <c r="IB97" s="528"/>
      <c r="IC97" s="528"/>
      <c r="ID97" s="528"/>
      <c r="IE97" s="528"/>
      <c r="IF97" s="528"/>
      <c r="IG97" s="528"/>
      <c r="IH97" s="528"/>
      <c r="II97" s="528"/>
      <c r="IJ97" s="528"/>
      <c r="IK97" s="528"/>
      <c r="IL97" s="528"/>
      <c r="IM97" s="528"/>
      <c r="IN97" s="528"/>
      <c r="IO97" s="528"/>
    </row>
    <row r="98" spans="3:249" x14ac:dyDescent="0.25">
      <c r="C98" s="438"/>
      <c r="D98" s="569">
        <v>3</v>
      </c>
      <c r="E98" s="677" t="s">
        <v>582</v>
      </c>
      <c r="F98" s="678"/>
      <c r="G98" s="678"/>
      <c r="H98" s="678"/>
      <c r="I98" s="679"/>
      <c r="J98" s="480"/>
      <c r="O98" s="528"/>
      <c r="P98" s="528"/>
      <c r="Q98" s="528"/>
      <c r="R98" s="528"/>
      <c r="S98" s="528"/>
      <c r="T98" s="528"/>
      <c r="U98" s="528"/>
      <c r="V98" s="528"/>
      <c r="W98" s="528"/>
      <c r="X98" s="528"/>
      <c r="Y98" s="528"/>
      <c r="Z98" s="528"/>
      <c r="AA98" s="528"/>
      <c r="AB98" s="528"/>
      <c r="AC98" s="528"/>
      <c r="AD98" s="528"/>
      <c r="AE98" s="528"/>
      <c r="AF98" s="528"/>
      <c r="AG98" s="528"/>
      <c r="AH98" s="528"/>
      <c r="AI98" s="528"/>
      <c r="AJ98" s="528"/>
      <c r="AK98" s="528"/>
      <c r="AL98" s="528"/>
      <c r="AM98" s="528"/>
      <c r="AN98" s="528"/>
      <c r="AO98" s="528"/>
      <c r="AP98" s="528"/>
      <c r="AQ98" s="528"/>
      <c r="AR98" s="528"/>
      <c r="AS98" s="528"/>
      <c r="AT98" s="528"/>
      <c r="AU98" s="528"/>
      <c r="AV98" s="528"/>
      <c r="AW98" s="528"/>
      <c r="AX98" s="528"/>
      <c r="AY98" s="528"/>
      <c r="AZ98" s="528"/>
      <c r="BA98" s="528"/>
      <c r="BB98" s="528"/>
      <c r="BC98" s="528"/>
      <c r="BD98" s="528"/>
      <c r="BE98" s="528"/>
      <c r="BF98" s="528"/>
      <c r="BG98" s="528"/>
      <c r="BH98" s="528"/>
      <c r="BI98" s="528"/>
      <c r="BJ98" s="528"/>
      <c r="BK98" s="528"/>
      <c r="BL98" s="528"/>
      <c r="BM98" s="528"/>
      <c r="BN98" s="528"/>
      <c r="BO98" s="528"/>
      <c r="BP98" s="528"/>
      <c r="BQ98" s="528"/>
      <c r="BR98" s="528"/>
      <c r="BS98" s="528"/>
      <c r="BT98" s="528"/>
      <c r="BU98" s="528"/>
      <c r="BV98" s="528"/>
      <c r="BW98" s="528"/>
      <c r="BX98" s="528"/>
      <c r="BY98" s="528"/>
      <c r="BZ98" s="528"/>
      <c r="CA98" s="528"/>
      <c r="CB98" s="528"/>
      <c r="CC98" s="528"/>
      <c r="CD98" s="528"/>
      <c r="CE98" s="528"/>
      <c r="CF98" s="528"/>
      <c r="CG98" s="528"/>
      <c r="CH98" s="528"/>
      <c r="CI98" s="528"/>
      <c r="CJ98" s="528"/>
      <c r="CK98" s="528"/>
      <c r="CL98" s="528"/>
      <c r="CM98" s="528"/>
      <c r="CN98" s="528"/>
      <c r="CO98" s="528"/>
      <c r="CP98" s="528"/>
      <c r="CQ98" s="528"/>
      <c r="CR98" s="528"/>
      <c r="CS98" s="528"/>
      <c r="CT98" s="528"/>
      <c r="CU98" s="528"/>
      <c r="CV98" s="528"/>
      <c r="CW98" s="528"/>
      <c r="CX98" s="528"/>
      <c r="CY98" s="528"/>
      <c r="CZ98" s="528"/>
      <c r="DA98" s="528"/>
      <c r="DB98" s="528"/>
      <c r="DC98" s="528"/>
      <c r="DD98" s="528"/>
      <c r="DE98" s="528"/>
      <c r="DF98" s="528"/>
      <c r="DG98" s="528"/>
      <c r="DH98" s="528"/>
      <c r="DI98" s="528"/>
      <c r="DJ98" s="528"/>
      <c r="DK98" s="528"/>
      <c r="DL98" s="528"/>
      <c r="DM98" s="528"/>
      <c r="DN98" s="528"/>
      <c r="DO98" s="528"/>
      <c r="DP98" s="528"/>
      <c r="DQ98" s="528"/>
      <c r="DR98" s="528"/>
      <c r="DS98" s="528"/>
      <c r="DT98" s="528"/>
      <c r="DU98" s="528"/>
      <c r="DV98" s="528"/>
      <c r="DW98" s="528"/>
      <c r="DX98" s="528"/>
      <c r="DY98" s="528"/>
      <c r="DZ98" s="528"/>
      <c r="EA98" s="528"/>
      <c r="EB98" s="528"/>
      <c r="EC98" s="528"/>
      <c r="ED98" s="528"/>
      <c r="EE98" s="528"/>
      <c r="EF98" s="528"/>
      <c r="EG98" s="528"/>
      <c r="EH98" s="528"/>
      <c r="EI98" s="528"/>
      <c r="EJ98" s="528"/>
      <c r="EK98" s="528"/>
      <c r="EL98" s="528"/>
      <c r="EM98" s="528"/>
      <c r="EN98" s="528"/>
      <c r="EO98" s="528"/>
      <c r="EP98" s="528"/>
      <c r="EQ98" s="528"/>
      <c r="ER98" s="528"/>
      <c r="ES98" s="528"/>
      <c r="ET98" s="528"/>
      <c r="EU98" s="528"/>
      <c r="EV98" s="528"/>
      <c r="EW98" s="528"/>
      <c r="EX98" s="528"/>
      <c r="EY98" s="528"/>
      <c r="EZ98" s="528"/>
      <c r="FA98" s="528"/>
      <c r="FB98" s="528"/>
      <c r="FC98" s="528"/>
      <c r="FD98" s="528"/>
      <c r="FE98" s="528"/>
      <c r="FF98" s="528"/>
      <c r="FG98" s="528"/>
      <c r="FH98" s="528"/>
      <c r="FI98" s="528"/>
      <c r="FJ98" s="528"/>
      <c r="FK98" s="528"/>
      <c r="FL98" s="528"/>
      <c r="FM98" s="528"/>
      <c r="FN98" s="528"/>
      <c r="FO98" s="528"/>
      <c r="FP98" s="528"/>
      <c r="FQ98" s="528"/>
      <c r="FR98" s="528"/>
      <c r="FS98" s="528"/>
      <c r="FT98" s="528"/>
      <c r="FU98" s="528"/>
      <c r="FV98" s="528"/>
      <c r="FW98" s="528"/>
      <c r="FX98" s="528"/>
      <c r="FY98" s="528"/>
      <c r="FZ98" s="528"/>
      <c r="GA98" s="528"/>
      <c r="GB98" s="528"/>
      <c r="GC98" s="528"/>
      <c r="GD98" s="528"/>
      <c r="GE98" s="528"/>
      <c r="GF98" s="528"/>
      <c r="GG98" s="528"/>
      <c r="GH98" s="528"/>
      <c r="GI98" s="528"/>
      <c r="GJ98" s="528"/>
      <c r="GK98" s="528"/>
      <c r="GL98" s="528"/>
      <c r="GM98" s="528"/>
      <c r="GN98" s="528"/>
      <c r="GO98" s="528"/>
      <c r="GP98" s="528"/>
      <c r="GQ98" s="528"/>
      <c r="GR98" s="528"/>
      <c r="GS98" s="528"/>
      <c r="GT98" s="528"/>
      <c r="GU98" s="528"/>
      <c r="GV98" s="528"/>
      <c r="GW98" s="528"/>
      <c r="GX98" s="528"/>
      <c r="GY98" s="528"/>
      <c r="GZ98" s="528"/>
      <c r="HA98" s="528"/>
      <c r="HB98" s="528"/>
      <c r="HC98" s="528"/>
      <c r="HD98" s="528"/>
      <c r="HE98" s="528"/>
      <c r="HF98" s="528"/>
      <c r="HG98" s="528"/>
      <c r="HH98" s="528"/>
      <c r="HI98" s="528"/>
      <c r="HJ98" s="528"/>
      <c r="HK98" s="528"/>
      <c r="HL98" s="528"/>
      <c r="HM98" s="528"/>
      <c r="HN98" s="528"/>
      <c r="HO98" s="528"/>
      <c r="HP98" s="528"/>
      <c r="HQ98" s="528"/>
      <c r="HR98" s="528"/>
      <c r="HS98" s="528"/>
      <c r="HT98" s="528"/>
      <c r="HU98" s="528"/>
      <c r="HV98" s="528"/>
      <c r="HW98" s="528"/>
      <c r="HX98" s="528"/>
      <c r="HY98" s="528"/>
      <c r="HZ98" s="528"/>
      <c r="IA98" s="528"/>
      <c r="IB98" s="528"/>
      <c r="IC98" s="528"/>
      <c r="ID98" s="528"/>
      <c r="IE98" s="528"/>
      <c r="IF98" s="528"/>
      <c r="IG98" s="528"/>
      <c r="IH98" s="528"/>
      <c r="II98" s="528"/>
      <c r="IJ98" s="528"/>
      <c r="IK98" s="528"/>
      <c r="IL98" s="528"/>
      <c r="IM98" s="528"/>
      <c r="IN98" s="528"/>
      <c r="IO98" s="528"/>
    </row>
    <row r="99" spans="3:249" x14ac:dyDescent="0.25">
      <c r="C99" s="438"/>
      <c r="D99" s="569"/>
      <c r="E99" s="680"/>
      <c r="F99" s="681" t="s">
        <v>583</v>
      </c>
      <c r="G99" s="682" t="s">
        <v>345</v>
      </c>
      <c r="H99" s="681" t="s">
        <v>584</v>
      </c>
      <c r="I99" s="683" t="s">
        <v>14</v>
      </c>
      <c r="J99" s="480"/>
      <c r="O99" s="528"/>
      <c r="P99" s="528"/>
      <c r="Q99" s="528"/>
      <c r="R99" s="528"/>
      <c r="S99" s="528"/>
      <c r="T99" s="528"/>
      <c r="U99" s="528"/>
      <c r="V99" s="528"/>
      <c r="W99" s="528"/>
      <c r="X99" s="528"/>
      <c r="Y99" s="528"/>
      <c r="Z99" s="528"/>
      <c r="AA99" s="528"/>
      <c r="AB99" s="528"/>
      <c r="AC99" s="528"/>
      <c r="AD99" s="528"/>
      <c r="AE99" s="528"/>
      <c r="AF99" s="528"/>
      <c r="AG99" s="528"/>
      <c r="AH99" s="528"/>
      <c r="AI99" s="528"/>
      <c r="AJ99" s="528"/>
      <c r="AK99" s="528"/>
      <c r="AL99" s="528"/>
      <c r="AM99" s="528"/>
      <c r="AN99" s="528"/>
      <c r="AO99" s="528"/>
      <c r="AP99" s="528"/>
      <c r="AQ99" s="528"/>
      <c r="AR99" s="528"/>
      <c r="AS99" s="528"/>
      <c r="AT99" s="528"/>
      <c r="AU99" s="528"/>
      <c r="AV99" s="528"/>
      <c r="AW99" s="528"/>
      <c r="AX99" s="528"/>
      <c r="AY99" s="528"/>
      <c r="AZ99" s="528"/>
      <c r="BA99" s="528"/>
      <c r="BB99" s="528"/>
      <c r="BC99" s="528"/>
      <c r="BD99" s="528"/>
      <c r="BE99" s="528"/>
      <c r="BF99" s="528"/>
      <c r="BG99" s="528"/>
      <c r="BH99" s="528"/>
      <c r="BI99" s="528"/>
      <c r="BJ99" s="528"/>
      <c r="BK99" s="528"/>
      <c r="BL99" s="528"/>
      <c r="BM99" s="528"/>
      <c r="BN99" s="528"/>
      <c r="BO99" s="528"/>
      <c r="BP99" s="528"/>
      <c r="BQ99" s="528"/>
      <c r="BR99" s="528"/>
      <c r="BS99" s="528"/>
      <c r="BT99" s="528"/>
      <c r="BU99" s="528"/>
      <c r="BV99" s="528"/>
      <c r="BW99" s="528"/>
      <c r="BX99" s="528"/>
      <c r="BY99" s="528"/>
      <c r="BZ99" s="528"/>
      <c r="CA99" s="528"/>
      <c r="CB99" s="528"/>
      <c r="CC99" s="528"/>
      <c r="CD99" s="528"/>
      <c r="CE99" s="528"/>
      <c r="CF99" s="528"/>
      <c r="CG99" s="528"/>
      <c r="CH99" s="528"/>
      <c r="CI99" s="528"/>
      <c r="CJ99" s="528"/>
      <c r="CK99" s="528"/>
      <c r="CL99" s="528"/>
      <c r="CM99" s="528"/>
      <c r="CN99" s="528"/>
      <c r="CO99" s="528"/>
      <c r="CP99" s="528"/>
      <c r="CQ99" s="528"/>
      <c r="CR99" s="528"/>
      <c r="CS99" s="528"/>
      <c r="CT99" s="528"/>
      <c r="CU99" s="528"/>
      <c r="CV99" s="528"/>
      <c r="CW99" s="528"/>
      <c r="CX99" s="528"/>
      <c r="CY99" s="528"/>
      <c r="CZ99" s="528"/>
      <c r="DA99" s="528"/>
      <c r="DB99" s="528"/>
      <c r="DC99" s="528"/>
      <c r="DD99" s="528"/>
      <c r="DE99" s="528"/>
      <c r="DF99" s="528"/>
      <c r="DG99" s="528"/>
      <c r="DH99" s="528"/>
      <c r="DI99" s="528"/>
      <c r="DJ99" s="528"/>
      <c r="DK99" s="528"/>
      <c r="DL99" s="528"/>
      <c r="DM99" s="528"/>
      <c r="DN99" s="528"/>
      <c r="DO99" s="528"/>
      <c r="DP99" s="528"/>
      <c r="DQ99" s="528"/>
      <c r="DR99" s="528"/>
      <c r="DS99" s="528"/>
      <c r="DT99" s="528"/>
      <c r="DU99" s="528"/>
      <c r="DV99" s="528"/>
      <c r="DW99" s="528"/>
      <c r="DX99" s="528"/>
      <c r="DY99" s="528"/>
      <c r="DZ99" s="528"/>
      <c r="EA99" s="528"/>
      <c r="EB99" s="528"/>
      <c r="EC99" s="528"/>
      <c r="ED99" s="528"/>
      <c r="EE99" s="528"/>
      <c r="EF99" s="528"/>
      <c r="EG99" s="528"/>
      <c r="EH99" s="528"/>
      <c r="EI99" s="528"/>
      <c r="EJ99" s="528"/>
      <c r="EK99" s="528"/>
      <c r="EL99" s="528"/>
      <c r="EM99" s="528"/>
      <c r="EN99" s="528"/>
      <c r="EO99" s="528"/>
      <c r="EP99" s="528"/>
      <c r="EQ99" s="528"/>
      <c r="ER99" s="528"/>
      <c r="ES99" s="528"/>
      <c r="ET99" s="528"/>
      <c r="EU99" s="528"/>
      <c r="EV99" s="528"/>
      <c r="EW99" s="528"/>
      <c r="EX99" s="528"/>
      <c r="EY99" s="528"/>
      <c r="EZ99" s="528"/>
      <c r="FA99" s="528"/>
      <c r="FB99" s="528"/>
      <c r="FC99" s="528"/>
      <c r="FD99" s="528"/>
      <c r="FE99" s="528"/>
      <c r="FF99" s="528"/>
      <c r="FG99" s="528"/>
      <c r="FH99" s="528"/>
      <c r="FI99" s="528"/>
      <c r="FJ99" s="528"/>
      <c r="FK99" s="528"/>
      <c r="FL99" s="528"/>
      <c r="FM99" s="528"/>
      <c r="FN99" s="528"/>
      <c r="FO99" s="528"/>
      <c r="FP99" s="528"/>
      <c r="FQ99" s="528"/>
      <c r="FR99" s="528"/>
      <c r="FS99" s="528"/>
      <c r="FT99" s="528"/>
      <c r="FU99" s="528"/>
      <c r="FV99" s="528"/>
      <c r="FW99" s="528"/>
      <c r="FX99" s="528"/>
      <c r="FY99" s="528"/>
      <c r="FZ99" s="528"/>
      <c r="GA99" s="528"/>
      <c r="GB99" s="528"/>
      <c r="GC99" s="528"/>
      <c r="GD99" s="528"/>
      <c r="GE99" s="528"/>
      <c r="GF99" s="528"/>
      <c r="GG99" s="528"/>
      <c r="GH99" s="528"/>
      <c r="GI99" s="528"/>
      <c r="GJ99" s="528"/>
      <c r="GK99" s="528"/>
      <c r="GL99" s="528"/>
      <c r="GM99" s="528"/>
      <c r="GN99" s="528"/>
      <c r="GO99" s="528"/>
      <c r="GP99" s="528"/>
      <c r="GQ99" s="528"/>
      <c r="GR99" s="528"/>
      <c r="GS99" s="528"/>
      <c r="GT99" s="528"/>
      <c r="GU99" s="528"/>
      <c r="GV99" s="528"/>
      <c r="GW99" s="528"/>
      <c r="GX99" s="528"/>
      <c r="GY99" s="528"/>
      <c r="GZ99" s="528"/>
      <c r="HA99" s="528"/>
      <c r="HB99" s="528"/>
      <c r="HC99" s="528"/>
      <c r="HD99" s="528"/>
      <c r="HE99" s="528"/>
      <c r="HF99" s="528"/>
      <c r="HG99" s="528"/>
      <c r="HH99" s="528"/>
      <c r="HI99" s="528"/>
      <c r="HJ99" s="528"/>
      <c r="HK99" s="528"/>
      <c r="HL99" s="528"/>
      <c r="HM99" s="528"/>
      <c r="HN99" s="528"/>
      <c r="HO99" s="528"/>
      <c r="HP99" s="528"/>
      <c r="HQ99" s="528"/>
      <c r="HR99" s="528"/>
      <c r="HS99" s="528"/>
      <c r="HT99" s="528"/>
      <c r="HU99" s="528"/>
      <c r="HV99" s="528"/>
      <c r="HW99" s="528"/>
      <c r="HX99" s="528"/>
      <c r="HY99" s="528"/>
      <c r="HZ99" s="528"/>
      <c r="IA99" s="528"/>
      <c r="IB99" s="528"/>
      <c r="IC99" s="528"/>
      <c r="ID99" s="528"/>
      <c r="IE99" s="528"/>
      <c r="IF99" s="528"/>
      <c r="IG99" s="528"/>
      <c r="IH99" s="528"/>
      <c r="II99" s="528"/>
      <c r="IJ99" s="528"/>
      <c r="IK99" s="528"/>
      <c r="IL99" s="528"/>
      <c r="IM99" s="528"/>
      <c r="IN99" s="528"/>
      <c r="IO99" s="528"/>
    </row>
    <row r="100" spans="3:249" x14ac:dyDescent="0.25">
      <c r="C100" s="438"/>
      <c r="D100" s="569"/>
      <c r="E100" s="576" t="s">
        <v>585</v>
      </c>
      <c r="F100" s="684">
        <v>0.5</v>
      </c>
      <c r="G100" s="685">
        <v>30</v>
      </c>
      <c r="H100" s="686">
        <v>2000</v>
      </c>
      <c r="I100" s="687">
        <f>+F100*G100*H100</f>
        <v>30000</v>
      </c>
      <c r="J100" s="480" t="s">
        <v>586</v>
      </c>
      <c r="K100" s="438"/>
      <c r="L100" s="438"/>
      <c r="M100" s="519"/>
      <c r="N100" s="519"/>
      <c r="O100" s="528"/>
      <c r="P100" s="528"/>
      <c r="Q100" s="528"/>
      <c r="R100" s="528"/>
      <c r="S100" s="528"/>
      <c r="T100" s="528"/>
      <c r="U100" s="528"/>
      <c r="V100" s="528"/>
      <c r="W100" s="528"/>
      <c r="X100" s="528"/>
      <c r="Y100" s="528"/>
      <c r="Z100" s="528"/>
      <c r="AA100" s="528"/>
      <c r="AB100" s="528"/>
      <c r="AC100" s="528"/>
      <c r="AD100" s="528"/>
      <c r="AE100" s="528"/>
      <c r="AF100" s="528"/>
      <c r="AG100" s="528"/>
      <c r="AH100" s="528"/>
      <c r="AI100" s="528"/>
      <c r="AJ100" s="528"/>
      <c r="AK100" s="528"/>
      <c r="AL100" s="528"/>
      <c r="AM100" s="528"/>
      <c r="AN100" s="528"/>
      <c r="AO100" s="528"/>
      <c r="AP100" s="528"/>
      <c r="AQ100" s="528"/>
      <c r="AR100" s="528"/>
      <c r="AS100" s="528"/>
      <c r="AT100" s="528"/>
      <c r="AU100" s="528"/>
      <c r="AV100" s="528"/>
      <c r="AW100" s="528"/>
      <c r="AX100" s="528"/>
      <c r="AY100" s="528"/>
      <c r="AZ100" s="528"/>
      <c r="BA100" s="528"/>
      <c r="BB100" s="528"/>
      <c r="BC100" s="528"/>
      <c r="BD100" s="528"/>
      <c r="BE100" s="528"/>
      <c r="BF100" s="528"/>
      <c r="BG100" s="528"/>
      <c r="BH100" s="528"/>
      <c r="BI100" s="528"/>
      <c r="BJ100" s="528"/>
      <c r="BK100" s="528"/>
      <c r="BL100" s="528"/>
      <c r="BM100" s="528"/>
      <c r="BN100" s="528"/>
      <c r="BO100" s="528"/>
      <c r="BP100" s="528"/>
      <c r="BQ100" s="528"/>
      <c r="BR100" s="528"/>
      <c r="BS100" s="528"/>
      <c r="BT100" s="528"/>
      <c r="BU100" s="528"/>
      <c r="BV100" s="528"/>
      <c r="BW100" s="528"/>
      <c r="BX100" s="528"/>
      <c r="BY100" s="528"/>
      <c r="BZ100" s="528"/>
      <c r="CA100" s="528"/>
      <c r="CB100" s="528"/>
      <c r="CC100" s="528"/>
      <c r="CD100" s="528"/>
      <c r="CE100" s="528"/>
      <c r="CF100" s="528"/>
      <c r="CG100" s="528"/>
      <c r="CH100" s="528"/>
      <c r="CI100" s="528"/>
      <c r="CJ100" s="528"/>
      <c r="CK100" s="528"/>
      <c r="CL100" s="528"/>
      <c r="CM100" s="528"/>
      <c r="CN100" s="528"/>
      <c r="CO100" s="528"/>
      <c r="CP100" s="528"/>
      <c r="CQ100" s="528"/>
      <c r="CR100" s="528"/>
      <c r="CS100" s="528"/>
      <c r="CT100" s="528"/>
      <c r="CU100" s="528"/>
      <c r="CV100" s="528"/>
      <c r="CW100" s="528"/>
      <c r="CX100" s="528"/>
      <c r="CY100" s="528"/>
      <c r="CZ100" s="528"/>
      <c r="DA100" s="528"/>
      <c r="DB100" s="528"/>
      <c r="DC100" s="528"/>
      <c r="DD100" s="528"/>
      <c r="DE100" s="528"/>
      <c r="DF100" s="528"/>
      <c r="DG100" s="528"/>
      <c r="DH100" s="528"/>
      <c r="DI100" s="528"/>
      <c r="DJ100" s="528"/>
      <c r="DK100" s="528"/>
      <c r="DL100" s="528"/>
      <c r="DM100" s="528"/>
      <c r="DN100" s="528"/>
      <c r="DO100" s="528"/>
      <c r="DP100" s="528"/>
      <c r="DQ100" s="528"/>
      <c r="DR100" s="528"/>
      <c r="DS100" s="528"/>
      <c r="DT100" s="528"/>
      <c r="DU100" s="528"/>
      <c r="DV100" s="528"/>
      <c r="DW100" s="528"/>
      <c r="DX100" s="528"/>
      <c r="DY100" s="528"/>
      <c r="DZ100" s="528"/>
      <c r="EA100" s="528"/>
      <c r="EB100" s="528"/>
      <c r="EC100" s="528"/>
      <c r="ED100" s="528"/>
      <c r="EE100" s="528"/>
      <c r="EF100" s="528"/>
      <c r="EG100" s="528"/>
      <c r="EH100" s="528"/>
      <c r="EI100" s="528"/>
      <c r="EJ100" s="528"/>
      <c r="EK100" s="528"/>
      <c r="EL100" s="528"/>
      <c r="EM100" s="528"/>
      <c r="EN100" s="528"/>
      <c r="EO100" s="528"/>
      <c r="EP100" s="528"/>
      <c r="EQ100" s="528"/>
      <c r="ER100" s="528"/>
      <c r="ES100" s="528"/>
      <c r="ET100" s="528"/>
      <c r="EU100" s="528"/>
      <c r="EV100" s="528"/>
      <c r="EW100" s="528"/>
      <c r="EX100" s="528"/>
      <c r="EY100" s="528"/>
      <c r="EZ100" s="528"/>
      <c r="FA100" s="528"/>
      <c r="FB100" s="528"/>
      <c r="FC100" s="528"/>
      <c r="FD100" s="528"/>
      <c r="FE100" s="528"/>
      <c r="FF100" s="528"/>
      <c r="FG100" s="528"/>
      <c r="FH100" s="528"/>
      <c r="FI100" s="528"/>
      <c r="FJ100" s="528"/>
      <c r="FK100" s="528"/>
      <c r="FL100" s="528"/>
      <c r="FM100" s="528"/>
      <c r="FN100" s="528"/>
      <c r="FO100" s="528"/>
      <c r="FP100" s="528"/>
      <c r="FQ100" s="528"/>
      <c r="FR100" s="528"/>
      <c r="FS100" s="528"/>
      <c r="FT100" s="528"/>
      <c r="FU100" s="528"/>
      <c r="FV100" s="528"/>
      <c r="FW100" s="528"/>
      <c r="FX100" s="528"/>
      <c r="FY100" s="528"/>
      <c r="FZ100" s="528"/>
      <c r="GA100" s="528"/>
      <c r="GB100" s="528"/>
      <c r="GC100" s="528"/>
      <c r="GD100" s="528"/>
      <c r="GE100" s="528"/>
      <c r="GF100" s="528"/>
      <c r="GG100" s="528"/>
      <c r="GH100" s="528"/>
      <c r="GI100" s="528"/>
      <c r="GJ100" s="528"/>
      <c r="GK100" s="528"/>
      <c r="GL100" s="528"/>
      <c r="GM100" s="528"/>
      <c r="GN100" s="528"/>
      <c r="GO100" s="528"/>
      <c r="GP100" s="528"/>
      <c r="GQ100" s="528"/>
      <c r="GR100" s="528"/>
      <c r="GS100" s="528"/>
      <c r="GT100" s="528"/>
      <c r="GU100" s="528"/>
      <c r="GV100" s="528"/>
      <c r="GW100" s="528"/>
      <c r="GX100" s="528"/>
      <c r="GY100" s="528"/>
      <c r="GZ100" s="528"/>
      <c r="HA100" s="528"/>
      <c r="HB100" s="528"/>
      <c r="HC100" s="528"/>
      <c r="HD100" s="528"/>
      <c r="HE100" s="528"/>
      <c r="HF100" s="528"/>
      <c r="HG100" s="528"/>
      <c r="HH100" s="528"/>
      <c r="HI100" s="528"/>
      <c r="HJ100" s="528"/>
      <c r="HK100" s="528"/>
      <c r="HL100" s="528"/>
      <c r="HM100" s="528"/>
      <c r="HN100" s="528"/>
      <c r="HO100" s="528"/>
      <c r="HP100" s="528"/>
      <c r="HQ100" s="528"/>
      <c r="HR100" s="528"/>
      <c r="HS100" s="528"/>
      <c r="HT100" s="528"/>
      <c r="HU100" s="528"/>
      <c r="HV100" s="528"/>
      <c r="HW100" s="528"/>
      <c r="HX100" s="528"/>
      <c r="HY100" s="528"/>
      <c r="HZ100" s="528"/>
      <c r="IA100" s="528"/>
      <c r="IB100" s="528"/>
      <c r="IC100" s="528"/>
      <c r="ID100" s="528"/>
      <c r="IE100" s="528"/>
      <c r="IF100" s="528"/>
      <c r="IG100" s="528"/>
      <c r="IH100" s="528"/>
      <c r="II100" s="528"/>
      <c r="IJ100" s="528"/>
      <c r="IK100" s="528"/>
      <c r="IL100" s="528"/>
      <c r="IM100" s="528"/>
      <c r="IN100" s="528"/>
      <c r="IO100" s="528"/>
    </row>
    <row r="101" spans="3:249" x14ac:dyDescent="0.25">
      <c r="C101" s="438"/>
      <c r="D101" s="569"/>
      <c r="E101" s="576" t="s">
        <v>587</v>
      </c>
      <c r="F101" s="684">
        <v>1</v>
      </c>
      <c r="G101" s="685">
        <v>30</v>
      </c>
      <c r="H101" s="686">
        <v>2000</v>
      </c>
      <c r="I101" s="687">
        <f>+F101*G101*H101</f>
        <v>60000</v>
      </c>
      <c r="J101" s="480"/>
      <c r="K101" s="438"/>
      <c r="L101" s="438"/>
      <c r="M101" s="519"/>
      <c r="N101" s="519"/>
      <c r="O101" s="528"/>
      <c r="P101" s="528"/>
      <c r="Q101" s="528"/>
      <c r="R101" s="528"/>
      <c r="S101" s="528"/>
      <c r="T101" s="528"/>
      <c r="U101" s="528"/>
      <c r="V101" s="528"/>
      <c r="W101" s="528"/>
      <c r="X101" s="528"/>
      <c r="Y101" s="528"/>
      <c r="Z101" s="528"/>
      <c r="AA101" s="528"/>
      <c r="AB101" s="528"/>
      <c r="AC101" s="528"/>
      <c r="AD101" s="528"/>
      <c r="AE101" s="528"/>
      <c r="AF101" s="528"/>
      <c r="AG101" s="528"/>
      <c r="AH101" s="528"/>
      <c r="AI101" s="528"/>
      <c r="AJ101" s="528"/>
      <c r="AK101" s="528"/>
      <c r="AL101" s="528"/>
      <c r="AM101" s="528"/>
      <c r="AN101" s="528"/>
      <c r="AO101" s="528"/>
      <c r="AP101" s="528"/>
      <c r="AQ101" s="528"/>
      <c r="AR101" s="528"/>
      <c r="AS101" s="528"/>
      <c r="AT101" s="528"/>
      <c r="AU101" s="528"/>
      <c r="AV101" s="528"/>
      <c r="AW101" s="528"/>
      <c r="AX101" s="528"/>
      <c r="AY101" s="528"/>
      <c r="AZ101" s="528"/>
      <c r="BA101" s="528"/>
      <c r="BB101" s="528"/>
      <c r="BC101" s="528"/>
      <c r="BD101" s="528"/>
      <c r="BE101" s="528"/>
      <c r="BF101" s="528"/>
      <c r="BG101" s="528"/>
      <c r="BH101" s="528"/>
      <c r="BI101" s="528"/>
      <c r="BJ101" s="528"/>
      <c r="BK101" s="528"/>
      <c r="BL101" s="528"/>
      <c r="BM101" s="528"/>
      <c r="BN101" s="528"/>
      <c r="BO101" s="528"/>
      <c r="BP101" s="528"/>
      <c r="BQ101" s="528"/>
      <c r="BR101" s="528"/>
      <c r="BS101" s="528"/>
      <c r="BT101" s="528"/>
      <c r="BU101" s="528"/>
      <c r="BV101" s="528"/>
      <c r="BW101" s="528"/>
      <c r="BX101" s="528"/>
      <c r="BY101" s="528"/>
      <c r="BZ101" s="528"/>
      <c r="CA101" s="528"/>
      <c r="CB101" s="528"/>
      <c r="CC101" s="528"/>
      <c r="CD101" s="528"/>
      <c r="CE101" s="528"/>
      <c r="CF101" s="528"/>
      <c r="CG101" s="528"/>
      <c r="CH101" s="528"/>
      <c r="CI101" s="528"/>
      <c r="CJ101" s="528"/>
      <c r="CK101" s="528"/>
      <c r="CL101" s="528"/>
      <c r="CM101" s="528"/>
      <c r="CN101" s="528"/>
      <c r="CO101" s="528"/>
      <c r="CP101" s="528"/>
      <c r="CQ101" s="528"/>
      <c r="CR101" s="528"/>
      <c r="CS101" s="528"/>
      <c r="CT101" s="528"/>
      <c r="CU101" s="528"/>
      <c r="CV101" s="528"/>
      <c r="CW101" s="528"/>
      <c r="CX101" s="528"/>
      <c r="CY101" s="528"/>
      <c r="CZ101" s="528"/>
      <c r="DA101" s="528"/>
      <c r="DB101" s="528"/>
      <c r="DC101" s="528"/>
      <c r="DD101" s="528"/>
      <c r="DE101" s="528"/>
      <c r="DF101" s="528"/>
      <c r="DG101" s="528"/>
      <c r="DH101" s="528"/>
      <c r="DI101" s="528"/>
      <c r="DJ101" s="528"/>
      <c r="DK101" s="528"/>
      <c r="DL101" s="528"/>
      <c r="DM101" s="528"/>
      <c r="DN101" s="528"/>
      <c r="DO101" s="528"/>
      <c r="DP101" s="528"/>
      <c r="DQ101" s="528"/>
      <c r="DR101" s="528"/>
      <c r="DS101" s="528"/>
      <c r="DT101" s="528"/>
      <c r="DU101" s="528"/>
      <c r="DV101" s="528"/>
      <c r="DW101" s="528"/>
      <c r="DX101" s="528"/>
      <c r="DY101" s="528"/>
      <c r="DZ101" s="528"/>
      <c r="EA101" s="528"/>
      <c r="EB101" s="528"/>
      <c r="EC101" s="528"/>
      <c r="ED101" s="528"/>
      <c r="EE101" s="528"/>
      <c r="EF101" s="528"/>
      <c r="EG101" s="528"/>
      <c r="EH101" s="528"/>
      <c r="EI101" s="528"/>
      <c r="EJ101" s="528"/>
      <c r="EK101" s="528"/>
      <c r="EL101" s="528"/>
      <c r="EM101" s="528"/>
      <c r="EN101" s="528"/>
      <c r="EO101" s="528"/>
      <c r="EP101" s="528"/>
      <c r="EQ101" s="528"/>
      <c r="ER101" s="528"/>
      <c r="ES101" s="528"/>
      <c r="ET101" s="528"/>
      <c r="EU101" s="528"/>
      <c r="EV101" s="528"/>
      <c r="EW101" s="528"/>
      <c r="EX101" s="528"/>
      <c r="EY101" s="528"/>
      <c r="EZ101" s="528"/>
      <c r="FA101" s="528"/>
      <c r="FB101" s="528"/>
      <c r="FC101" s="528"/>
      <c r="FD101" s="528"/>
      <c r="FE101" s="528"/>
      <c r="FF101" s="528"/>
      <c r="FG101" s="528"/>
      <c r="FH101" s="528"/>
      <c r="FI101" s="528"/>
      <c r="FJ101" s="528"/>
      <c r="FK101" s="528"/>
      <c r="FL101" s="528"/>
      <c r="FM101" s="528"/>
      <c r="FN101" s="528"/>
      <c r="FO101" s="528"/>
      <c r="FP101" s="528"/>
      <c r="FQ101" s="528"/>
      <c r="FR101" s="528"/>
      <c r="FS101" s="528"/>
      <c r="FT101" s="528"/>
      <c r="FU101" s="528"/>
      <c r="FV101" s="528"/>
      <c r="FW101" s="528"/>
      <c r="FX101" s="528"/>
      <c r="FY101" s="528"/>
      <c r="FZ101" s="528"/>
      <c r="GA101" s="528"/>
      <c r="GB101" s="528"/>
      <c r="GC101" s="528"/>
      <c r="GD101" s="528"/>
      <c r="GE101" s="528"/>
      <c r="GF101" s="528"/>
      <c r="GG101" s="528"/>
      <c r="GH101" s="528"/>
      <c r="GI101" s="528"/>
      <c r="GJ101" s="528"/>
      <c r="GK101" s="528"/>
      <c r="GL101" s="528"/>
      <c r="GM101" s="528"/>
      <c r="GN101" s="528"/>
      <c r="GO101" s="528"/>
      <c r="GP101" s="528"/>
      <c r="GQ101" s="528"/>
      <c r="GR101" s="528"/>
      <c r="GS101" s="528"/>
      <c r="GT101" s="528"/>
      <c r="GU101" s="528"/>
      <c r="GV101" s="528"/>
      <c r="GW101" s="528"/>
      <c r="GX101" s="528"/>
      <c r="GY101" s="528"/>
      <c r="GZ101" s="528"/>
      <c r="HA101" s="528"/>
      <c r="HB101" s="528"/>
      <c r="HC101" s="528"/>
      <c r="HD101" s="528"/>
      <c r="HE101" s="528"/>
      <c r="HF101" s="528"/>
      <c r="HG101" s="528"/>
      <c r="HH101" s="528"/>
      <c r="HI101" s="528"/>
      <c r="HJ101" s="528"/>
      <c r="HK101" s="528"/>
      <c r="HL101" s="528"/>
      <c r="HM101" s="528"/>
      <c r="HN101" s="528"/>
      <c r="HO101" s="528"/>
      <c r="HP101" s="528"/>
      <c r="HQ101" s="528"/>
      <c r="HR101" s="528"/>
      <c r="HS101" s="528"/>
      <c r="HT101" s="528"/>
      <c r="HU101" s="528"/>
      <c r="HV101" s="528"/>
      <c r="HW101" s="528"/>
      <c r="HX101" s="528"/>
      <c r="HY101" s="528"/>
      <c r="HZ101" s="528"/>
      <c r="IA101" s="528"/>
      <c r="IB101" s="528"/>
      <c r="IC101" s="528"/>
      <c r="ID101" s="528"/>
      <c r="IE101" s="528"/>
      <c r="IF101" s="528"/>
      <c r="IG101" s="528"/>
      <c r="IH101" s="528"/>
      <c r="II101" s="528"/>
      <c r="IJ101" s="528"/>
      <c r="IK101" s="528"/>
      <c r="IL101" s="528"/>
      <c r="IM101" s="528"/>
      <c r="IN101" s="528"/>
      <c r="IO101" s="528"/>
    </row>
    <row r="102" spans="3:249" x14ac:dyDescent="0.25">
      <c r="C102" s="438"/>
      <c r="D102" s="569"/>
      <c r="E102" s="576" t="s">
        <v>346</v>
      </c>
      <c r="F102" s="684">
        <v>1</v>
      </c>
      <c r="G102" s="685">
        <v>30</v>
      </c>
      <c r="H102" s="686">
        <v>2000</v>
      </c>
      <c r="I102" s="687">
        <f>+F102*G102*H102</f>
        <v>60000</v>
      </c>
      <c r="J102" s="480"/>
      <c r="K102" s="688"/>
      <c r="L102" s="438"/>
      <c r="M102" s="519"/>
      <c r="N102" s="519"/>
      <c r="O102" s="528"/>
      <c r="P102" s="528"/>
      <c r="Q102" s="528"/>
      <c r="R102" s="528"/>
      <c r="S102" s="528"/>
      <c r="T102" s="528"/>
      <c r="U102" s="528"/>
      <c r="V102" s="528"/>
      <c r="W102" s="528"/>
      <c r="X102" s="528"/>
      <c r="Y102" s="528"/>
      <c r="Z102" s="528"/>
      <c r="AA102" s="528"/>
      <c r="AB102" s="528"/>
      <c r="AC102" s="528"/>
      <c r="AD102" s="528"/>
      <c r="AE102" s="528"/>
      <c r="AF102" s="528"/>
      <c r="AG102" s="528"/>
      <c r="AH102" s="528"/>
      <c r="AI102" s="528"/>
      <c r="AJ102" s="528"/>
      <c r="AK102" s="528"/>
      <c r="AL102" s="528"/>
      <c r="AM102" s="528"/>
      <c r="AN102" s="528"/>
      <c r="AO102" s="528"/>
      <c r="AP102" s="528"/>
      <c r="AQ102" s="528"/>
      <c r="AR102" s="528"/>
      <c r="AS102" s="528"/>
      <c r="AT102" s="528"/>
      <c r="AU102" s="528"/>
      <c r="AV102" s="528"/>
      <c r="AW102" s="528"/>
      <c r="AX102" s="528"/>
      <c r="AY102" s="528"/>
      <c r="AZ102" s="528"/>
      <c r="BA102" s="528"/>
      <c r="BB102" s="528"/>
      <c r="BC102" s="528"/>
      <c r="BD102" s="528"/>
      <c r="BE102" s="528"/>
      <c r="BF102" s="528"/>
      <c r="BG102" s="528"/>
      <c r="BH102" s="528"/>
      <c r="BI102" s="528"/>
      <c r="BJ102" s="528"/>
      <c r="BK102" s="528"/>
      <c r="BL102" s="528"/>
      <c r="BM102" s="528"/>
      <c r="BN102" s="528"/>
      <c r="BO102" s="528"/>
      <c r="BP102" s="528"/>
      <c r="BQ102" s="528"/>
      <c r="BR102" s="528"/>
      <c r="BS102" s="528"/>
      <c r="BT102" s="528"/>
      <c r="BU102" s="528"/>
      <c r="BV102" s="528"/>
      <c r="BW102" s="528"/>
      <c r="BX102" s="528"/>
      <c r="BY102" s="528"/>
      <c r="BZ102" s="528"/>
      <c r="CA102" s="528"/>
      <c r="CB102" s="528"/>
      <c r="CC102" s="528"/>
      <c r="CD102" s="528"/>
      <c r="CE102" s="528"/>
      <c r="CF102" s="528"/>
      <c r="CG102" s="528"/>
      <c r="CH102" s="528"/>
      <c r="CI102" s="528"/>
      <c r="CJ102" s="528"/>
      <c r="CK102" s="528"/>
      <c r="CL102" s="528"/>
      <c r="CM102" s="528"/>
      <c r="CN102" s="528"/>
      <c r="CO102" s="528"/>
      <c r="CP102" s="528"/>
      <c r="CQ102" s="528"/>
      <c r="CR102" s="528"/>
      <c r="CS102" s="528"/>
      <c r="CT102" s="528"/>
      <c r="CU102" s="528"/>
      <c r="CV102" s="528"/>
      <c r="CW102" s="528"/>
      <c r="CX102" s="528"/>
      <c r="CY102" s="528"/>
      <c r="CZ102" s="528"/>
      <c r="DA102" s="528"/>
      <c r="DB102" s="528"/>
      <c r="DC102" s="528"/>
      <c r="DD102" s="528"/>
      <c r="DE102" s="528"/>
      <c r="DF102" s="528"/>
      <c r="DG102" s="528"/>
      <c r="DH102" s="528"/>
      <c r="DI102" s="528"/>
      <c r="DJ102" s="528"/>
      <c r="DK102" s="528"/>
      <c r="DL102" s="528"/>
      <c r="DM102" s="528"/>
      <c r="DN102" s="528"/>
      <c r="DO102" s="528"/>
      <c r="DP102" s="528"/>
      <c r="DQ102" s="528"/>
      <c r="DR102" s="528"/>
      <c r="DS102" s="528"/>
      <c r="DT102" s="528"/>
      <c r="DU102" s="528"/>
      <c r="DV102" s="528"/>
      <c r="DW102" s="528"/>
      <c r="DX102" s="528"/>
      <c r="DY102" s="528"/>
      <c r="DZ102" s="528"/>
      <c r="EA102" s="528"/>
      <c r="EB102" s="528"/>
      <c r="EC102" s="528"/>
      <c r="ED102" s="528"/>
      <c r="EE102" s="528"/>
      <c r="EF102" s="528"/>
      <c r="EG102" s="528"/>
      <c r="EH102" s="528"/>
      <c r="EI102" s="528"/>
      <c r="EJ102" s="528"/>
      <c r="EK102" s="528"/>
      <c r="EL102" s="528"/>
      <c r="EM102" s="528"/>
      <c r="EN102" s="528"/>
      <c r="EO102" s="528"/>
      <c r="EP102" s="528"/>
      <c r="EQ102" s="528"/>
      <c r="ER102" s="528"/>
      <c r="ES102" s="528"/>
      <c r="ET102" s="528"/>
      <c r="EU102" s="528"/>
      <c r="EV102" s="528"/>
      <c r="EW102" s="528"/>
      <c r="EX102" s="528"/>
      <c r="EY102" s="528"/>
      <c r="EZ102" s="528"/>
      <c r="FA102" s="528"/>
      <c r="FB102" s="528"/>
      <c r="FC102" s="528"/>
      <c r="FD102" s="528"/>
      <c r="FE102" s="528"/>
      <c r="FF102" s="528"/>
      <c r="FG102" s="528"/>
      <c r="FH102" s="528"/>
      <c r="FI102" s="528"/>
      <c r="FJ102" s="528"/>
      <c r="FK102" s="528"/>
      <c r="FL102" s="528"/>
      <c r="FM102" s="528"/>
      <c r="FN102" s="528"/>
      <c r="FO102" s="528"/>
      <c r="FP102" s="528"/>
      <c r="FQ102" s="528"/>
      <c r="FR102" s="528"/>
      <c r="FS102" s="528"/>
      <c r="FT102" s="528"/>
      <c r="FU102" s="528"/>
      <c r="FV102" s="528"/>
      <c r="FW102" s="528"/>
      <c r="FX102" s="528"/>
      <c r="FY102" s="528"/>
      <c r="FZ102" s="528"/>
      <c r="GA102" s="528"/>
      <c r="GB102" s="528"/>
      <c r="GC102" s="528"/>
      <c r="GD102" s="528"/>
      <c r="GE102" s="528"/>
      <c r="GF102" s="528"/>
      <c r="GG102" s="528"/>
      <c r="GH102" s="528"/>
      <c r="GI102" s="528"/>
      <c r="GJ102" s="528"/>
      <c r="GK102" s="528"/>
      <c r="GL102" s="528"/>
      <c r="GM102" s="528"/>
      <c r="GN102" s="528"/>
      <c r="GO102" s="528"/>
      <c r="GP102" s="528"/>
      <c r="GQ102" s="528"/>
      <c r="GR102" s="528"/>
      <c r="GS102" s="528"/>
      <c r="GT102" s="528"/>
      <c r="GU102" s="528"/>
      <c r="GV102" s="528"/>
      <c r="GW102" s="528"/>
      <c r="GX102" s="528"/>
      <c r="GY102" s="528"/>
      <c r="GZ102" s="528"/>
      <c r="HA102" s="528"/>
      <c r="HB102" s="528"/>
      <c r="HC102" s="528"/>
      <c r="HD102" s="528"/>
      <c r="HE102" s="528"/>
      <c r="HF102" s="528"/>
      <c r="HG102" s="528"/>
      <c r="HH102" s="528"/>
      <c r="HI102" s="528"/>
      <c r="HJ102" s="528"/>
      <c r="HK102" s="528"/>
      <c r="HL102" s="528"/>
      <c r="HM102" s="528"/>
      <c r="HN102" s="528"/>
      <c r="HO102" s="528"/>
      <c r="HP102" s="528"/>
      <c r="HQ102" s="528"/>
      <c r="HR102" s="528"/>
      <c r="HS102" s="528"/>
      <c r="HT102" s="528"/>
      <c r="HU102" s="528"/>
      <c r="HV102" s="528"/>
      <c r="HW102" s="528"/>
      <c r="HX102" s="528"/>
      <c r="HY102" s="528"/>
      <c r="HZ102" s="528"/>
      <c r="IA102" s="528"/>
      <c r="IB102" s="528"/>
      <c r="IC102" s="528"/>
      <c r="ID102" s="528"/>
      <c r="IE102" s="528"/>
      <c r="IF102" s="528"/>
      <c r="IG102" s="528"/>
      <c r="IH102" s="528"/>
      <c r="II102" s="528"/>
      <c r="IJ102" s="528"/>
      <c r="IK102" s="528"/>
      <c r="IL102" s="528"/>
      <c r="IM102" s="528"/>
      <c r="IN102" s="528"/>
      <c r="IO102" s="528"/>
    </row>
    <row r="103" spans="3:249" x14ac:dyDescent="0.25">
      <c r="C103" s="438"/>
      <c r="D103" s="569"/>
      <c r="E103" s="576" t="s">
        <v>588</v>
      </c>
      <c r="F103" s="684">
        <v>0</v>
      </c>
      <c r="G103" s="685">
        <v>32</v>
      </c>
      <c r="H103" s="686">
        <v>2000</v>
      </c>
      <c r="I103" s="687">
        <f>+F103*G103*H103</f>
        <v>0</v>
      </c>
      <c r="J103" s="480"/>
      <c r="K103" s="688"/>
      <c r="L103" s="438"/>
      <c r="M103" s="519"/>
      <c r="N103" s="519"/>
      <c r="O103" s="528"/>
      <c r="P103" s="528"/>
      <c r="Q103" s="528"/>
      <c r="R103" s="528"/>
      <c r="S103" s="528"/>
      <c r="T103" s="528"/>
      <c r="U103" s="528"/>
      <c r="V103" s="528"/>
      <c r="W103" s="528"/>
      <c r="X103" s="528"/>
      <c r="Y103" s="528"/>
      <c r="Z103" s="528"/>
      <c r="AA103" s="528"/>
      <c r="AB103" s="528"/>
      <c r="AC103" s="528"/>
      <c r="AD103" s="528"/>
      <c r="AE103" s="528"/>
      <c r="AF103" s="528"/>
      <c r="AG103" s="528"/>
      <c r="AH103" s="528"/>
      <c r="AI103" s="528"/>
      <c r="AJ103" s="528"/>
      <c r="AK103" s="528"/>
      <c r="AL103" s="528"/>
      <c r="AM103" s="528"/>
      <c r="AN103" s="528"/>
      <c r="AO103" s="528"/>
      <c r="AP103" s="528"/>
      <c r="AQ103" s="528"/>
      <c r="AR103" s="528"/>
      <c r="AS103" s="528"/>
      <c r="AT103" s="528"/>
      <c r="AU103" s="528"/>
      <c r="AV103" s="528"/>
      <c r="AW103" s="528"/>
      <c r="AX103" s="528"/>
      <c r="AY103" s="528"/>
      <c r="AZ103" s="528"/>
      <c r="BA103" s="528"/>
      <c r="BB103" s="528"/>
      <c r="BC103" s="528"/>
      <c r="BD103" s="528"/>
      <c r="BE103" s="528"/>
      <c r="BF103" s="528"/>
      <c r="BG103" s="528"/>
      <c r="BH103" s="528"/>
      <c r="BI103" s="528"/>
      <c r="BJ103" s="528"/>
      <c r="BK103" s="528"/>
      <c r="BL103" s="528"/>
      <c r="BM103" s="528"/>
      <c r="BN103" s="528"/>
      <c r="BO103" s="528"/>
      <c r="BP103" s="528"/>
      <c r="BQ103" s="528"/>
      <c r="BR103" s="528"/>
      <c r="BS103" s="528"/>
      <c r="BT103" s="528"/>
      <c r="BU103" s="528"/>
      <c r="BV103" s="528"/>
      <c r="BW103" s="528"/>
      <c r="BX103" s="528"/>
      <c r="BY103" s="528"/>
      <c r="BZ103" s="528"/>
      <c r="CA103" s="528"/>
      <c r="CB103" s="528"/>
      <c r="CC103" s="528"/>
      <c r="CD103" s="528"/>
      <c r="CE103" s="528"/>
      <c r="CF103" s="528"/>
      <c r="CG103" s="528"/>
      <c r="CH103" s="528"/>
      <c r="CI103" s="528"/>
      <c r="CJ103" s="528"/>
      <c r="CK103" s="528"/>
      <c r="CL103" s="528"/>
      <c r="CM103" s="528"/>
      <c r="CN103" s="528"/>
      <c r="CO103" s="528"/>
      <c r="CP103" s="528"/>
      <c r="CQ103" s="528"/>
      <c r="CR103" s="528"/>
      <c r="CS103" s="528"/>
      <c r="CT103" s="528"/>
      <c r="CU103" s="528"/>
      <c r="CV103" s="528"/>
      <c r="CW103" s="528"/>
      <c r="CX103" s="528"/>
      <c r="CY103" s="528"/>
      <c r="CZ103" s="528"/>
      <c r="DA103" s="528"/>
      <c r="DB103" s="528"/>
      <c r="DC103" s="528"/>
      <c r="DD103" s="528"/>
      <c r="DE103" s="528"/>
      <c r="DF103" s="528"/>
      <c r="DG103" s="528"/>
      <c r="DH103" s="528"/>
      <c r="DI103" s="528"/>
      <c r="DJ103" s="528"/>
      <c r="DK103" s="528"/>
      <c r="DL103" s="528"/>
      <c r="DM103" s="528"/>
      <c r="DN103" s="528"/>
      <c r="DO103" s="528"/>
      <c r="DP103" s="528"/>
      <c r="DQ103" s="528"/>
      <c r="DR103" s="528"/>
      <c r="DS103" s="528"/>
      <c r="DT103" s="528"/>
      <c r="DU103" s="528"/>
      <c r="DV103" s="528"/>
      <c r="DW103" s="528"/>
      <c r="DX103" s="528"/>
      <c r="DY103" s="528"/>
      <c r="DZ103" s="528"/>
      <c r="EA103" s="528"/>
      <c r="EB103" s="528"/>
      <c r="EC103" s="528"/>
      <c r="ED103" s="528"/>
      <c r="EE103" s="528"/>
      <c r="EF103" s="528"/>
      <c r="EG103" s="528"/>
      <c r="EH103" s="528"/>
      <c r="EI103" s="528"/>
      <c r="EJ103" s="528"/>
      <c r="EK103" s="528"/>
      <c r="EL103" s="528"/>
      <c r="EM103" s="528"/>
      <c r="EN103" s="528"/>
      <c r="EO103" s="528"/>
      <c r="EP103" s="528"/>
      <c r="EQ103" s="528"/>
      <c r="ER103" s="528"/>
      <c r="ES103" s="528"/>
      <c r="ET103" s="528"/>
      <c r="EU103" s="528"/>
      <c r="EV103" s="528"/>
      <c r="EW103" s="528"/>
      <c r="EX103" s="528"/>
      <c r="EY103" s="528"/>
      <c r="EZ103" s="528"/>
      <c r="FA103" s="528"/>
      <c r="FB103" s="528"/>
      <c r="FC103" s="528"/>
      <c r="FD103" s="528"/>
      <c r="FE103" s="528"/>
      <c r="FF103" s="528"/>
      <c r="FG103" s="528"/>
      <c r="FH103" s="528"/>
      <c r="FI103" s="528"/>
      <c r="FJ103" s="528"/>
      <c r="FK103" s="528"/>
      <c r="FL103" s="528"/>
      <c r="FM103" s="528"/>
      <c r="FN103" s="528"/>
      <c r="FO103" s="528"/>
      <c r="FP103" s="528"/>
      <c r="FQ103" s="528"/>
      <c r="FR103" s="528"/>
      <c r="FS103" s="528"/>
      <c r="FT103" s="528"/>
      <c r="FU103" s="528"/>
      <c r="FV103" s="528"/>
      <c r="FW103" s="528"/>
      <c r="FX103" s="528"/>
      <c r="FY103" s="528"/>
      <c r="FZ103" s="528"/>
      <c r="GA103" s="528"/>
      <c r="GB103" s="528"/>
      <c r="GC103" s="528"/>
      <c r="GD103" s="528"/>
      <c r="GE103" s="528"/>
      <c r="GF103" s="528"/>
      <c r="GG103" s="528"/>
      <c r="GH103" s="528"/>
      <c r="GI103" s="528"/>
      <c r="GJ103" s="528"/>
      <c r="GK103" s="528"/>
      <c r="GL103" s="528"/>
      <c r="GM103" s="528"/>
      <c r="GN103" s="528"/>
      <c r="GO103" s="528"/>
      <c r="GP103" s="528"/>
      <c r="GQ103" s="528"/>
      <c r="GR103" s="528"/>
      <c r="GS103" s="528"/>
      <c r="GT103" s="528"/>
      <c r="GU103" s="528"/>
      <c r="GV103" s="528"/>
      <c r="GW103" s="528"/>
      <c r="GX103" s="528"/>
      <c r="GY103" s="528"/>
      <c r="GZ103" s="528"/>
      <c r="HA103" s="528"/>
      <c r="HB103" s="528"/>
      <c r="HC103" s="528"/>
      <c r="HD103" s="528"/>
      <c r="HE103" s="528"/>
      <c r="HF103" s="528"/>
      <c r="HG103" s="528"/>
      <c r="HH103" s="528"/>
      <c r="HI103" s="528"/>
      <c r="HJ103" s="528"/>
      <c r="HK103" s="528"/>
      <c r="HL103" s="528"/>
      <c r="HM103" s="528"/>
      <c r="HN103" s="528"/>
      <c r="HO103" s="528"/>
      <c r="HP103" s="528"/>
      <c r="HQ103" s="528"/>
      <c r="HR103" s="528"/>
      <c r="HS103" s="528"/>
      <c r="HT103" s="528"/>
      <c r="HU103" s="528"/>
      <c r="HV103" s="528"/>
      <c r="HW103" s="528"/>
      <c r="HX103" s="528"/>
      <c r="HY103" s="528"/>
      <c r="HZ103" s="528"/>
      <c r="IA103" s="528"/>
      <c r="IB103" s="528"/>
      <c r="IC103" s="528"/>
      <c r="ID103" s="528"/>
      <c r="IE103" s="528"/>
      <c r="IF103" s="528"/>
      <c r="IG103" s="528"/>
      <c r="IH103" s="528"/>
      <c r="II103" s="528"/>
      <c r="IJ103" s="528"/>
      <c r="IK103" s="528"/>
      <c r="IL103" s="528"/>
      <c r="IM103" s="528"/>
      <c r="IN103" s="528"/>
      <c r="IO103" s="528"/>
    </row>
    <row r="104" spans="3:249" x14ac:dyDescent="0.25">
      <c r="C104" s="438"/>
      <c r="D104" s="569"/>
      <c r="E104" s="576" t="s">
        <v>589</v>
      </c>
      <c r="F104" s="684">
        <v>1</v>
      </c>
      <c r="G104" s="689">
        <v>70000</v>
      </c>
      <c r="H104" s="686"/>
      <c r="I104" s="687">
        <f>+F104*G104</f>
        <v>70000</v>
      </c>
      <c r="J104" s="480"/>
      <c r="K104" s="688"/>
      <c r="L104" s="438"/>
      <c r="M104" s="519"/>
      <c r="N104" s="519"/>
      <c r="O104" s="528"/>
      <c r="P104" s="528"/>
      <c r="Q104" s="528"/>
      <c r="R104" s="528"/>
      <c r="S104" s="528"/>
      <c r="T104" s="528"/>
      <c r="U104" s="528"/>
      <c r="V104" s="528"/>
      <c r="W104" s="528"/>
      <c r="X104" s="528"/>
      <c r="Y104" s="528"/>
      <c r="Z104" s="528"/>
      <c r="AA104" s="528"/>
      <c r="AB104" s="528"/>
      <c r="AC104" s="528"/>
      <c r="AD104" s="528"/>
      <c r="AE104" s="528"/>
      <c r="AF104" s="528"/>
      <c r="AG104" s="528"/>
      <c r="AH104" s="528"/>
      <c r="AI104" s="528"/>
      <c r="AJ104" s="528"/>
      <c r="AK104" s="528"/>
      <c r="AL104" s="528"/>
      <c r="AM104" s="528"/>
      <c r="AN104" s="528"/>
      <c r="AO104" s="528"/>
      <c r="AP104" s="528"/>
      <c r="AQ104" s="528"/>
      <c r="AR104" s="528"/>
      <c r="AS104" s="528"/>
      <c r="AT104" s="528"/>
      <c r="AU104" s="528"/>
      <c r="AV104" s="528"/>
      <c r="AW104" s="528"/>
      <c r="AX104" s="528"/>
      <c r="AY104" s="528"/>
      <c r="AZ104" s="528"/>
      <c r="BA104" s="528"/>
      <c r="BB104" s="528"/>
      <c r="BC104" s="528"/>
      <c r="BD104" s="528"/>
      <c r="BE104" s="528"/>
      <c r="BF104" s="528"/>
      <c r="BG104" s="528"/>
      <c r="BH104" s="528"/>
      <c r="BI104" s="528"/>
      <c r="BJ104" s="528"/>
      <c r="BK104" s="528"/>
      <c r="BL104" s="528"/>
      <c r="BM104" s="528"/>
      <c r="BN104" s="528"/>
      <c r="BO104" s="528"/>
      <c r="BP104" s="528"/>
      <c r="BQ104" s="528"/>
      <c r="BR104" s="528"/>
      <c r="BS104" s="528"/>
      <c r="BT104" s="528"/>
      <c r="BU104" s="528"/>
      <c r="BV104" s="528"/>
      <c r="BW104" s="528"/>
      <c r="BX104" s="528"/>
      <c r="BY104" s="528"/>
      <c r="BZ104" s="528"/>
      <c r="CA104" s="528"/>
      <c r="CB104" s="528"/>
      <c r="CC104" s="528"/>
      <c r="CD104" s="528"/>
      <c r="CE104" s="528"/>
      <c r="CF104" s="528"/>
      <c r="CG104" s="528"/>
      <c r="CH104" s="528"/>
      <c r="CI104" s="528"/>
      <c r="CJ104" s="528"/>
      <c r="CK104" s="528"/>
      <c r="CL104" s="528"/>
      <c r="CM104" s="528"/>
      <c r="CN104" s="528"/>
      <c r="CO104" s="528"/>
      <c r="CP104" s="528"/>
      <c r="CQ104" s="528"/>
      <c r="CR104" s="528"/>
      <c r="CS104" s="528"/>
      <c r="CT104" s="528"/>
      <c r="CU104" s="528"/>
      <c r="CV104" s="528"/>
      <c r="CW104" s="528"/>
      <c r="CX104" s="528"/>
      <c r="CY104" s="528"/>
      <c r="CZ104" s="528"/>
      <c r="DA104" s="528"/>
      <c r="DB104" s="528"/>
      <c r="DC104" s="528"/>
      <c r="DD104" s="528"/>
      <c r="DE104" s="528"/>
      <c r="DF104" s="528"/>
      <c r="DG104" s="528"/>
      <c r="DH104" s="528"/>
      <c r="DI104" s="528"/>
      <c r="DJ104" s="528"/>
      <c r="DK104" s="528"/>
      <c r="DL104" s="528"/>
      <c r="DM104" s="528"/>
      <c r="DN104" s="528"/>
      <c r="DO104" s="528"/>
      <c r="DP104" s="528"/>
      <c r="DQ104" s="528"/>
      <c r="DR104" s="528"/>
      <c r="DS104" s="528"/>
      <c r="DT104" s="528"/>
      <c r="DU104" s="528"/>
      <c r="DV104" s="528"/>
      <c r="DW104" s="528"/>
      <c r="DX104" s="528"/>
      <c r="DY104" s="528"/>
      <c r="DZ104" s="528"/>
      <c r="EA104" s="528"/>
      <c r="EB104" s="528"/>
      <c r="EC104" s="528"/>
      <c r="ED104" s="528"/>
      <c r="EE104" s="528"/>
      <c r="EF104" s="528"/>
      <c r="EG104" s="528"/>
      <c r="EH104" s="528"/>
      <c r="EI104" s="528"/>
      <c r="EJ104" s="528"/>
      <c r="EK104" s="528"/>
      <c r="EL104" s="528"/>
      <c r="EM104" s="528"/>
      <c r="EN104" s="528"/>
      <c r="EO104" s="528"/>
      <c r="EP104" s="528"/>
      <c r="EQ104" s="528"/>
      <c r="ER104" s="528"/>
      <c r="ES104" s="528"/>
      <c r="ET104" s="528"/>
      <c r="EU104" s="528"/>
      <c r="EV104" s="528"/>
      <c r="EW104" s="528"/>
      <c r="EX104" s="528"/>
      <c r="EY104" s="528"/>
      <c r="EZ104" s="528"/>
      <c r="FA104" s="528"/>
      <c r="FB104" s="528"/>
      <c r="FC104" s="528"/>
      <c r="FD104" s="528"/>
      <c r="FE104" s="528"/>
      <c r="FF104" s="528"/>
      <c r="FG104" s="528"/>
      <c r="FH104" s="528"/>
      <c r="FI104" s="528"/>
      <c r="FJ104" s="528"/>
      <c r="FK104" s="528"/>
      <c r="FL104" s="528"/>
      <c r="FM104" s="528"/>
      <c r="FN104" s="528"/>
      <c r="FO104" s="528"/>
      <c r="FP104" s="528"/>
      <c r="FQ104" s="528"/>
      <c r="FR104" s="528"/>
      <c r="FS104" s="528"/>
      <c r="FT104" s="528"/>
      <c r="FU104" s="528"/>
      <c r="FV104" s="528"/>
      <c r="FW104" s="528"/>
      <c r="FX104" s="528"/>
      <c r="FY104" s="528"/>
      <c r="FZ104" s="528"/>
      <c r="GA104" s="528"/>
      <c r="GB104" s="528"/>
      <c r="GC104" s="528"/>
      <c r="GD104" s="528"/>
      <c r="GE104" s="528"/>
      <c r="GF104" s="528"/>
      <c r="GG104" s="528"/>
      <c r="GH104" s="528"/>
      <c r="GI104" s="528"/>
      <c r="GJ104" s="528"/>
      <c r="GK104" s="528"/>
      <c r="GL104" s="528"/>
      <c r="GM104" s="528"/>
      <c r="GN104" s="528"/>
      <c r="GO104" s="528"/>
      <c r="GP104" s="528"/>
      <c r="GQ104" s="528"/>
      <c r="GR104" s="528"/>
      <c r="GS104" s="528"/>
      <c r="GT104" s="528"/>
      <c r="GU104" s="528"/>
      <c r="GV104" s="528"/>
      <c r="GW104" s="528"/>
      <c r="GX104" s="528"/>
      <c r="GY104" s="528"/>
      <c r="GZ104" s="528"/>
      <c r="HA104" s="528"/>
      <c r="HB104" s="528"/>
      <c r="HC104" s="528"/>
      <c r="HD104" s="528"/>
      <c r="HE104" s="528"/>
      <c r="HF104" s="528"/>
      <c r="HG104" s="528"/>
      <c r="HH104" s="528"/>
      <c r="HI104" s="528"/>
      <c r="HJ104" s="528"/>
      <c r="HK104" s="528"/>
      <c r="HL104" s="528"/>
      <c r="HM104" s="528"/>
      <c r="HN104" s="528"/>
      <c r="HO104" s="528"/>
      <c r="HP104" s="528"/>
      <c r="HQ104" s="528"/>
      <c r="HR104" s="528"/>
      <c r="HS104" s="528"/>
      <c r="HT104" s="528"/>
      <c r="HU104" s="528"/>
      <c r="HV104" s="528"/>
      <c r="HW104" s="528"/>
      <c r="HX104" s="528"/>
      <c r="HY104" s="528"/>
      <c r="HZ104" s="528"/>
      <c r="IA104" s="528"/>
      <c r="IB104" s="528"/>
      <c r="IC104" s="528"/>
      <c r="ID104" s="528"/>
      <c r="IE104" s="528"/>
      <c r="IF104" s="528"/>
      <c r="IG104" s="528"/>
      <c r="IH104" s="528"/>
      <c r="II104" s="528"/>
      <c r="IJ104" s="528"/>
      <c r="IK104" s="528"/>
      <c r="IL104" s="528"/>
      <c r="IM104" s="528"/>
      <c r="IN104" s="528"/>
      <c r="IO104" s="528"/>
    </row>
    <row r="105" spans="3:249" x14ac:dyDescent="0.25">
      <c r="C105" s="438"/>
      <c r="D105" s="569"/>
      <c r="E105" s="576" t="s">
        <v>590</v>
      </c>
      <c r="F105" s="684">
        <v>0</v>
      </c>
      <c r="G105" s="689">
        <v>50000</v>
      </c>
      <c r="H105" s="686"/>
      <c r="I105" s="687">
        <f>+F105*G105</f>
        <v>0</v>
      </c>
      <c r="J105" s="480"/>
      <c r="K105" s="688" t="s">
        <v>591</v>
      </c>
      <c r="L105" s="438"/>
      <c r="M105" s="519"/>
      <c r="N105" s="519"/>
      <c r="O105" s="528"/>
      <c r="P105" s="528"/>
      <c r="Q105" s="528"/>
      <c r="R105" s="528"/>
      <c r="S105" s="528"/>
      <c r="T105" s="528"/>
      <c r="U105" s="528"/>
      <c r="V105" s="528"/>
      <c r="W105" s="528"/>
      <c r="X105" s="528"/>
      <c r="Y105" s="528"/>
      <c r="Z105" s="528"/>
      <c r="AA105" s="528"/>
      <c r="AB105" s="528"/>
      <c r="AC105" s="528"/>
      <c r="AD105" s="528"/>
      <c r="AE105" s="528"/>
      <c r="AF105" s="528"/>
      <c r="AG105" s="528"/>
      <c r="AH105" s="528"/>
      <c r="AI105" s="528"/>
      <c r="AJ105" s="528"/>
      <c r="AK105" s="528"/>
      <c r="AL105" s="528"/>
      <c r="AM105" s="528"/>
      <c r="AN105" s="528"/>
      <c r="AO105" s="528"/>
      <c r="AP105" s="528"/>
      <c r="AQ105" s="528"/>
      <c r="AR105" s="528"/>
      <c r="AS105" s="528"/>
      <c r="AT105" s="528"/>
      <c r="AU105" s="528"/>
      <c r="AV105" s="528"/>
      <c r="AW105" s="528"/>
      <c r="AX105" s="528"/>
      <c r="AY105" s="528"/>
      <c r="AZ105" s="528"/>
      <c r="BA105" s="528"/>
      <c r="BB105" s="528"/>
      <c r="BC105" s="528"/>
      <c r="BD105" s="528"/>
      <c r="BE105" s="528"/>
      <c r="BF105" s="528"/>
      <c r="BG105" s="528"/>
      <c r="BH105" s="528"/>
      <c r="BI105" s="528"/>
      <c r="BJ105" s="528"/>
      <c r="BK105" s="528"/>
      <c r="BL105" s="528"/>
      <c r="BM105" s="528"/>
      <c r="BN105" s="528"/>
      <c r="BO105" s="528"/>
      <c r="BP105" s="528"/>
      <c r="BQ105" s="528"/>
      <c r="BR105" s="528"/>
      <c r="BS105" s="528"/>
      <c r="BT105" s="528"/>
      <c r="BU105" s="528"/>
      <c r="BV105" s="528"/>
      <c r="BW105" s="528"/>
      <c r="BX105" s="528"/>
      <c r="BY105" s="528"/>
      <c r="BZ105" s="528"/>
      <c r="CA105" s="528"/>
      <c r="CB105" s="528"/>
      <c r="CC105" s="528"/>
      <c r="CD105" s="528"/>
      <c r="CE105" s="528"/>
      <c r="CF105" s="528"/>
      <c r="CG105" s="528"/>
      <c r="CH105" s="528"/>
      <c r="CI105" s="528"/>
      <c r="CJ105" s="528"/>
      <c r="CK105" s="528"/>
      <c r="CL105" s="528"/>
      <c r="CM105" s="528"/>
      <c r="CN105" s="528"/>
      <c r="CO105" s="528"/>
      <c r="CP105" s="528"/>
      <c r="CQ105" s="528"/>
      <c r="CR105" s="528"/>
      <c r="CS105" s="528"/>
      <c r="CT105" s="528"/>
      <c r="CU105" s="528"/>
      <c r="CV105" s="528"/>
      <c r="CW105" s="528"/>
      <c r="CX105" s="528"/>
      <c r="CY105" s="528"/>
      <c r="CZ105" s="528"/>
      <c r="DA105" s="528"/>
      <c r="DB105" s="528"/>
      <c r="DC105" s="528"/>
      <c r="DD105" s="528"/>
      <c r="DE105" s="528"/>
      <c r="DF105" s="528"/>
      <c r="DG105" s="528"/>
      <c r="DH105" s="528"/>
      <c r="DI105" s="528"/>
      <c r="DJ105" s="528"/>
      <c r="DK105" s="528"/>
      <c r="DL105" s="528"/>
      <c r="DM105" s="528"/>
      <c r="DN105" s="528"/>
      <c r="DO105" s="528"/>
      <c r="DP105" s="528"/>
      <c r="DQ105" s="528"/>
      <c r="DR105" s="528"/>
      <c r="DS105" s="528"/>
      <c r="DT105" s="528"/>
      <c r="DU105" s="528"/>
      <c r="DV105" s="528"/>
      <c r="DW105" s="528"/>
      <c r="DX105" s="528"/>
      <c r="DY105" s="528"/>
      <c r="DZ105" s="528"/>
      <c r="EA105" s="528"/>
      <c r="EB105" s="528"/>
      <c r="EC105" s="528"/>
      <c r="ED105" s="528"/>
      <c r="EE105" s="528"/>
      <c r="EF105" s="528"/>
      <c r="EG105" s="528"/>
      <c r="EH105" s="528"/>
      <c r="EI105" s="528"/>
      <c r="EJ105" s="528"/>
      <c r="EK105" s="528"/>
      <c r="EL105" s="528"/>
      <c r="EM105" s="528"/>
      <c r="EN105" s="528"/>
      <c r="EO105" s="528"/>
      <c r="EP105" s="528"/>
      <c r="EQ105" s="528"/>
      <c r="ER105" s="528"/>
      <c r="ES105" s="528"/>
      <c r="ET105" s="528"/>
      <c r="EU105" s="528"/>
      <c r="EV105" s="528"/>
      <c r="EW105" s="528"/>
      <c r="EX105" s="528"/>
      <c r="EY105" s="528"/>
      <c r="EZ105" s="528"/>
      <c r="FA105" s="528"/>
      <c r="FB105" s="528"/>
      <c r="FC105" s="528"/>
      <c r="FD105" s="528"/>
      <c r="FE105" s="528"/>
      <c r="FF105" s="528"/>
      <c r="FG105" s="528"/>
      <c r="FH105" s="528"/>
      <c r="FI105" s="528"/>
      <c r="FJ105" s="528"/>
      <c r="FK105" s="528"/>
      <c r="FL105" s="528"/>
      <c r="FM105" s="528"/>
      <c r="FN105" s="528"/>
      <c r="FO105" s="528"/>
      <c r="FP105" s="528"/>
      <c r="FQ105" s="528"/>
      <c r="FR105" s="528"/>
      <c r="FS105" s="528"/>
      <c r="FT105" s="528"/>
      <c r="FU105" s="528"/>
      <c r="FV105" s="528"/>
      <c r="FW105" s="528"/>
      <c r="FX105" s="528"/>
      <c r="FY105" s="528"/>
      <c r="FZ105" s="528"/>
      <c r="GA105" s="528"/>
      <c r="GB105" s="528"/>
      <c r="GC105" s="528"/>
      <c r="GD105" s="528"/>
      <c r="GE105" s="528"/>
      <c r="GF105" s="528"/>
      <c r="GG105" s="528"/>
      <c r="GH105" s="528"/>
      <c r="GI105" s="528"/>
      <c r="GJ105" s="528"/>
      <c r="GK105" s="528"/>
      <c r="GL105" s="528"/>
      <c r="GM105" s="528"/>
      <c r="GN105" s="528"/>
      <c r="GO105" s="528"/>
      <c r="GP105" s="528"/>
      <c r="GQ105" s="528"/>
      <c r="GR105" s="528"/>
      <c r="GS105" s="528"/>
      <c r="GT105" s="528"/>
      <c r="GU105" s="528"/>
      <c r="GV105" s="528"/>
      <c r="GW105" s="528"/>
      <c r="GX105" s="528"/>
      <c r="GY105" s="528"/>
      <c r="GZ105" s="528"/>
      <c r="HA105" s="528"/>
      <c r="HB105" s="528"/>
      <c r="HC105" s="528"/>
      <c r="HD105" s="528"/>
      <c r="HE105" s="528"/>
      <c r="HF105" s="528"/>
      <c r="HG105" s="528"/>
      <c r="HH105" s="528"/>
      <c r="HI105" s="528"/>
      <c r="HJ105" s="528"/>
      <c r="HK105" s="528"/>
      <c r="HL105" s="528"/>
      <c r="HM105" s="528"/>
      <c r="HN105" s="528"/>
      <c r="HO105" s="528"/>
      <c r="HP105" s="528"/>
      <c r="HQ105" s="528"/>
      <c r="HR105" s="528"/>
      <c r="HS105" s="528"/>
      <c r="HT105" s="528"/>
      <c r="HU105" s="528"/>
      <c r="HV105" s="528"/>
      <c r="HW105" s="528"/>
      <c r="HX105" s="528"/>
      <c r="HY105" s="528"/>
      <c r="HZ105" s="528"/>
      <c r="IA105" s="528"/>
      <c r="IB105" s="528"/>
      <c r="IC105" s="528"/>
      <c r="ID105" s="528"/>
      <c r="IE105" s="528"/>
      <c r="IF105" s="528"/>
      <c r="IG105" s="528"/>
      <c r="IH105" s="528"/>
      <c r="II105" s="528"/>
      <c r="IJ105" s="528"/>
      <c r="IK105" s="528"/>
      <c r="IL105" s="528"/>
      <c r="IM105" s="528"/>
      <c r="IN105" s="528"/>
      <c r="IO105" s="528"/>
    </row>
    <row r="106" spans="3:249" ht="16.5" x14ac:dyDescent="0.25">
      <c r="C106" s="438"/>
      <c r="D106" s="569"/>
      <c r="E106" s="690" t="s">
        <v>592</v>
      </c>
      <c r="F106" s="691">
        <f>SUM(F100:F105)</f>
        <v>3.5</v>
      </c>
      <c r="G106" s="692"/>
      <c r="H106" s="693"/>
      <c r="I106" s="694">
        <f>SUM(I100:I105)</f>
        <v>220000</v>
      </c>
      <c r="J106" s="695" t="s">
        <v>593</v>
      </c>
      <c r="K106" s="651" t="s">
        <v>574</v>
      </c>
      <c r="L106" s="652" t="s">
        <v>575</v>
      </c>
      <c r="M106" s="519"/>
      <c r="N106" s="519"/>
      <c r="O106" s="528"/>
      <c r="P106" s="528"/>
      <c r="Q106" s="528"/>
      <c r="R106" s="528"/>
      <c r="S106" s="528"/>
      <c r="T106" s="528"/>
      <c r="U106" s="528"/>
      <c r="V106" s="528"/>
      <c r="W106" s="528"/>
      <c r="X106" s="528"/>
      <c r="Y106" s="528"/>
      <c r="Z106" s="528"/>
      <c r="AA106" s="528"/>
      <c r="AB106" s="528"/>
      <c r="AC106" s="528"/>
      <c r="AD106" s="528"/>
      <c r="AE106" s="528"/>
      <c r="AF106" s="528"/>
      <c r="AG106" s="528"/>
      <c r="AH106" s="528"/>
      <c r="AI106" s="528"/>
      <c r="AJ106" s="528"/>
      <c r="AK106" s="528"/>
      <c r="AL106" s="528"/>
      <c r="AM106" s="528"/>
      <c r="AN106" s="528"/>
      <c r="AO106" s="528"/>
      <c r="AP106" s="528"/>
      <c r="AQ106" s="528"/>
      <c r="AR106" s="528"/>
      <c r="AS106" s="528"/>
      <c r="AT106" s="528"/>
      <c r="AU106" s="528"/>
      <c r="AV106" s="528"/>
      <c r="AW106" s="528"/>
      <c r="AX106" s="528"/>
      <c r="AY106" s="528"/>
      <c r="AZ106" s="528"/>
      <c r="BA106" s="528"/>
      <c r="BB106" s="528"/>
      <c r="BC106" s="528"/>
      <c r="BD106" s="528"/>
      <c r="BE106" s="528"/>
      <c r="BF106" s="528"/>
      <c r="BG106" s="528"/>
      <c r="BH106" s="528"/>
      <c r="BI106" s="528"/>
      <c r="BJ106" s="528"/>
      <c r="BK106" s="528"/>
      <c r="BL106" s="528"/>
      <c r="BM106" s="528"/>
      <c r="BN106" s="528"/>
      <c r="BO106" s="528"/>
      <c r="BP106" s="528"/>
      <c r="BQ106" s="528"/>
      <c r="BR106" s="528"/>
      <c r="BS106" s="528"/>
      <c r="BT106" s="528"/>
      <c r="BU106" s="528"/>
      <c r="BV106" s="528"/>
      <c r="BW106" s="528"/>
      <c r="BX106" s="528"/>
      <c r="BY106" s="528"/>
      <c r="BZ106" s="528"/>
      <c r="CA106" s="528"/>
      <c r="CB106" s="528"/>
      <c r="CC106" s="528"/>
      <c r="CD106" s="528"/>
      <c r="CE106" s="528"/>
      <c r="CF106" s="528"/>
      <c r="CG106" s="528"/>
      <c r="CH106" s="528"/>
      <c r="CI106" s="528"/>
      <c r="CJ106" s="528"/>
      <c r="CK106" s="528"/>
      <c r="CL106" s="528"/>
      <c r="CM106" s="528"/>
      <c r="CN106" s="528"/>
      <c r="CO106" s="528"/>
      <c r="CP106" s="528"/>
      <c r="CQ106" s="528"/>
      <c r="CR106" s="528"/>
      <c r="CS106" s="528"/>
      <c r="CT106" s="528"/>
      <c r="CU106" s="528"/>
      <c r="CV106" s="528"/>
      <c r="CW106" s="528"/>
      <c r="CX106" s="528"/>
      <c r="CY106" s="528"/>
      <c r="CZ106" s="528"/>
      <c r="DA106" s="528"/>
      <c r="DB106" s="528"/>
      <c r="DC106" s="528"/>
      <c r="DD106" s="528"/>
      <c r="DE106" s="528"/>
      <c r="DF106" s="528"/>
      <c r="DG106" s="528"/>
      <c r="DH106" s="528"/>
      <c r="DI106" s="528"/>
      <c r="DJ106" s="528"/>
      <c r="DK106" s="528"/>
      <c r="DL106" s="528"/>
      <c r="DM106" s="528"/>
      <c r="DN106" s="528"/>
      <c r="DO106" s="528"/>
      <c r="DP106" s="528"/>
      <c r="DQ106" s="528"/>
      <c r="DR106" s="528"/>
      <c r="DS106" s="528"/>
      <c r="DT106" s="528"/>
      <c r="DU106" s="528"/>
      <c r="DV106" s="528"/>
      <c r="DW106" s="528"/>
      <c r="DX106" s="528"/>
      <c r="DY106" s="528"/>
      <c r="DZ106" s="528"/>
      <c r="EA106" s="528"/>
      <c r="EB106" s="528"/>
      <c r="EC106" s="528"/>
      <c r="ED106" s="528"/>
      <c r="EE106" s="528"/>
      <c r="EF106" s="528"/>
      <c r="EG106" s="528"/>
      <c r="EH106" s="528"/>
      <c r="EI106" s="528"/>
      <c r="EJ106" s="528"/>
      <c r="EK106" s="528"/>
      <c r="EL106" s="528"/>
      <c r="EM106" s="528"/>
      <c r="EN106" s="528"/>
      <c r="EO106" s="528"/>
      <c r="EP106" s="528"/>
      <c r="EQ106" s="528"/>
      <c r="ER106" s="528"/>
      <c r="ES106" s="528"/>
      <c r="ET106" s="528"/>
      <c r="EU106" s="528"/>
      <c r="EV106" s="528"/>
      <c r="EW106" s="528"/>
      <c r="EX106" s="528"/>
      <c r="EY106" s="528"/>
      <c r="EZ106" s="528"/>
      <c r="FA106" s="528"/>
      <c r="FB106" s="528"/>
      <c r="FC106" s="528"/>
      <c r="FD106" s="528"/>
      <c r="FE106" s="528"/>
      <c r="FF106" s="528"/>
      <c r="FG106" s="528"/>
      <c r="FH106" s="528"/>
      <c r="FI106" s="528"/>
      <c r="FJ106" s="528"/>
      <c r="FK106" s="528"/>
      <c r="FL106" s="528"/>
      <c r="FM106" s="528"/>
      <c r="FN106" s="528"/>
      <c r="FO106" s="528"/>
      <c r="FP106" s="528"/>
      <c r="FQ106" s="528"/>
      <c r="FR106" s="528"/>
      <c r="FS106" s="528"/>
      <c r="FT106" s="528"/>
      <c r="FU106" s="528"/>
      <c r="FV106" s="528"/>
      <c r="FW106" s="528"/>
      <c r="FX106" s="528"/>
      <c r="FY106" s="528"/>
      <c r="FZ106" s="528"/>
      <c r="GA106" s="528"/>
      <c r="GB106" s="528"/>
      <c r="GC106" s="528"/>
      <c r="GD106" s="528"/>
      <c r="GE106" s="528"/>
      <c r="GF106" s="528"/>
      <c r="GG106" s="528"/>
      <c r="GH106" s="528"/>
      <c r="GI106" s="528"/>
      <c r="GJ106" s="528"/>
      <c r="GK106" s="528"/>
      <c r="GL106" s="528"/>
      <c r="GM106" s="528"/>
      <c r="GN106" s="528"/>
      <c r="GO106" s="528"/>
      <c r="GP106" s="528"/>
      <c r="GQ106" s="528"/>
      <c r="GR106" s="528"/>
      <c r="GS106" s="528"/>
      <c r="GT106" s="528"/>
      <c r="GU106" s="528"/>
      <c r="GV106" s="528"/>
      <c r="GW106" s="528"/>
      <c r="GX106" s="528"/>
      <c r="GY106" s="528"/>
      <c r="GZ106" s="528"/>
      <c r="HA106" s="528"/>
      <c r="HB106" s="528"/>
      <c r="HC106" s="528"/>
      <c r="HD106" s="528"/>
      <c r="HE106" s="528"/>
      <c r="HF106" s="528"/>
      <c r="HG106" s="528"/>
      <c r="HH106" s="528"/>
      <c r="HI106" s="528"/>
      <c r="HJ106" s="528"/>
      <c r="HK106" s="528"/>
      <c r="HL106" s="528"/>
      <c r="HM106" s="528"/>
      <c r="HN106" s="528"/>
      <c r="HO106" s="528"/>
      <c r="HP106" s="528"/>
      <c r="HQ106" s="528"/>
      <c r="HR106" s="528"/>
      <c r="HS106" s="528"/>
      <c r="HT106" s="528"/>
      <c r="HU106" s="528"/>
      <c r="HV106" s="528"/>
      <c r="HW106" s="528"/>
      <c r="HX106" s="528"/>
      <c r="HY106" s="528"/>
      <c r="HZ106" s="528"/>
      <c r="IA106" s="528"/>
      <c r="IB106" s="528"/>
      <c r="IC106" s="528"/>
      <c r="ID106" s="528"/>
      <c r="IE106" s="528"/>
      <c r="IF106" s="528"/>
      <c r="IG106" s="528"/>
      <c r="IH106" s="528"/>
      <c r="II106" s="528"/>
      <c r="IJ106" s="528"/>
      <c r="IK106" s="528"/>
      <c r="IL106" s="528"/>
      <c r="IM106" s="528"/>
      <c r="IN106" s="528"/>
      <c r="IO106" s="528"/>
    </row>
    <row r="107" spans="3:249" ht="16.5" x14ac:dyDescent="0.25">
      <c r="C107" s="438"/>
      <c r="D107" s="569"/>
      <c r="E107" s="696"/>
      <c r="F107" s="697"/>
      <c r="G107" s="698"/>
      <c r="H107" s="698"/>
      <c r="I107" s="699">
        <f>+I106/F10</f>
        <v>1294.1176470588234</v>
      </c>
      <c r="J107" s="695" t="s">
        <v>45</v>
      </c>
      <c r="K107" s="657">
        <f>+'[2]Typical Conv.Operating Expenses'!BW105</f>
        <v>600</v>
      </c>
      <c r="L107" s="658">
        <f>+'[2]Typical Conv.Operating Expenses'!BX105</f>
        <v>1138</v>
      </c>
      <c r="M107" s="519"/>
      <c r="N107" s="519"/>
      <c r="O107" s="528"/>
      <c r="P107" s="528"/>
      <c r="Q107" s="528"/>
      <c r="R107" s="528"/>
      <c r="S107" s="528"/>
      <c r="T107" s="528"/>
      <c r="U107" s="528"/>
      <c r="V107" s="528"/>
      <c r="W107" s="528"/>
      <c r="X107" s="528"/>
      <c r="Y107" s="528"/>
      <c r="Z107" s="528"/>
      <c r="AA107" s="528"/>
      <c r="AB107" s="528"/>
      <c r="AC107" s="528"/>
      <c r="AD107" s="528"/>
      <c r="AE107" s="528"/>
      <c r="AF107" s="528"/>
      <c r="AG107" s="528"/>
      <c r="AH107" s="528"/>
      <c r="AI107" s="528"/>
      <c r="AJ107" s="528"/>
      <c r="AK107" s="528"/>
      <c r="AL107" s="528"/>
      <c r="AM107" s="528"/>
      <c r="AN107" s="528"/>
      <c r="AO107" s="528"/>
      <c r="AP107" s="528"/>
      <c r="AQ107" s="528"/>
      <c r="AR107" s="528"/>
      <c r="AS107" s="528"/>
      <c r="AT107" s="528"/>
      <c r="AU107" s="528"/>
      <c r="AV107" s="528"/>
      <c r="AW107" s="528"/>
      <c r="AX107" s="528"/>
      <c r="AY107" s="528"/>
      <c r="AZ107" s="528"/>
      <c r="BA107" s="528"/>
      <c r="BB107" s="528"/>
      <c r="BC107" s="528"/>
      <c r="BD107" s="528"/>
      <c r="BE107" s="528"/>
      <c r="BF107" s="528"/>
      <c r="BG107" s="528"/>
      <c r="BH107" s="528"/>
      <c r="BI107" s="528"/>
      <c r="BJ107" s="528"/>
      <c r="BK107" s="528"/>
      <c r="BL107" s="528"/>
      <c r="BM107" s="528"/>
      <c r="BN107" s="528"/>
      <c r="BO107" s="528"/>
      <c r="BP107" s="528"/>
      <c r="BQ107" s="528"/>
      <c r="BR107" s="528"/>
      <c r="BS107" s="528"/>
      <c r="BT107" s="528"/>
      <c r="BU107" s="528"/>
      <c r="BV107" s="528"/>
      <c r="BW107" s="528"/>
      <c r="BX107" s="528"/>
      <c r="BY107" s="528"/>
      <c r="BZ107" s="528"/>
      <c r="CA107" s="528"/>
      <c r="CB107" s="528"/>
      <c r="CC107" s="528"/>
      <c r="CD107" s="528"/>
      <c r="CE107" s="528"/>
      <c r="CF107" s="528"/>
      <c r="CG107" s="528"/>
      <c r="CH107" s="528"/>
      <c r="CI107" s="528"/>
      <c r="CJ107" s="528"/>
      <c r="CK107" s="528"/>
      <c r="CL107" s="528"/>
      <c r="CM107" s="528"/>
      <c r="CN107" s="528"/>
      <c r="CO107" s="528"/>
      <c r="CP107" s="528"/>
      <c r="CQ107" s="528"/>
      <c r="CR107" s="528"/>
      <c r="CS107" s="528"/>
      <c r="CT107" s="528"/>
      <c r="CU107" s="528"/>
      <c r="CV107" s="528"/>
      <c r="CW107" s="528"/>
      <c r="CX107" s="528"/>
      <c r="CY107" s="528"/>
      <c r="CZ107" s="528"/>
      <c r="DA107" s="528"/>
      <c r="DB107" s="528"/>
      <c r="DC107" s="528"/>
      <c r="DD107" s="528"/>
      <c r="DE107" s="528"/>
      <c r="DF107" s="528"/>
      <c r="DG107" s="528"/>
      <c r="DH107" s="528"/>
      <c r="DI107" s="528"/>
      <c r="DJ107" s="528"/>
      <c r="DK107" s="528"/>
      <c r="DL107" s="528"/>
      <c r="DM107" s="528"/>
      <c r="DN107" s="528"/>
      <c r="DO107" s="528"/>
      <c r="DP107" s="528"/>
      <c r="DQ107" s="528"/>
      <c r="DR107" s="528"/>
      <c r="DS107" s="528"/>
      <c r="DT107" s="528"/>
      <c r="DU107" s="528"/>
      <c r="DV107" s="528"/>
      <c r="DW107" s="528"/>
      <c r="DX107" s="528"/>
      <c r="DY107" s="528"/>
      <c r="DZ107" s="528"/>
      <c r="EA107" s="528"/>
      <c r="EB107" s="528"/>
      <c r="EC107" s="528"/>
      <c r="ED107" s="528"/>
      <c r="EE107" s="528"/>
      <c r="EF107" s="528"/>
      <c r="EG107" s="528"/>
      <c r="EH107" s="528"/>
      <c r="EI107" s="528"/>
      <c r="EJ107" s="528"/>
      <c r="EK107" s="528"/>
      <c r="EL107" s="528"/>
      <c r="EM107" s="528"/>
      <c r="EN107" s="528"/>
      <c r="EO107" s="528"/>
      <c r="EP107" s="528"/>
      <c r="EQ107" s="528"/>
      <c r="ER107" s="528"/>
      <c r="ES107" s="528"/>
      <c r="ET107" s="528"/>
      <c r="EU107" s="528"/>
      <c r="EV107" s="528"/>
      <c r="EW107" s="528"/>
      <c r="EX107" s="528"/>
      <c r="EY107" s="528"/>
      <c r="EZ107" s="528"/>
      <c r="FA107" s="528"/>
      <c r="FB107" s="528"/>
      <c r="FC107" s="528"/>
      <c r="FD107" s="528"/>
      <c r="FE107" s="528"/>
      <c r="FF107" s="528"/>
      <c r="FG107" s="528"/>
      <c r="FH107" s="528"/>
      <c r="FI107" s="528"/>
      <c r="FJ107" s="528"/>
      <c r="FK107" s="528"/>
      <c r="FL107" s="528"/>
      <c r="FM107" s="528"/>
      <c r="FN107" s="528"/>
      <c r="FO107" s="528"/>
      <c r="FP107" s="528"/>
      <c r="FQ107" s="528"/>
      <c r="FR107" s="528"/>
      <c r="FS107" s="528"/>
      <c r="FT107" s="528"/>
      <c r="FU107" s="528"/>
      <c r="FV107" s="528"/>
      <c r="FW107" s="528"/>
      <c r="FX107" s="528"/>
      <c r="FY107" s="528"/>
      <c r="FZ107" s="528"/>
      <c r="GA107" s="528"/>
      <c r="GB107" s="528"/>
      <c r="GC107" s="528"/>
      <c r="GD107" s="528"/>
      <c r="GE107" s="528"/>
      <c r="GF107" s="528"/>
      <c r="GG107" s="528"/>
      <c r="GH107" s="528"/>
      <c r="GI107" s="528"/>
      <c r="GJ107" s="528"/>
      <c r="GK107" s="528"/>
      <c r="GL107" s="528"/>
      <c r="GM107" s="528"/>
      <c r="GN107" s="528"/>
      <c r="GO107" s="528"/>
      <c r="GP107" s="528"/>
      <c r="GQ107" s="528"/>
      <c r="GR107" s="528"/>
      <c r="GS107" s="528"/>
      <c r="GT107" s="528"/>
      <c r="GU107" s="528"/>
      <c r="GV107" s="528"/>
      <c r="GW107" s="528"/>
      <c r="GX107" s="528"/>
      <c r="GY107" s="528"/>
      <c r="GZ107" s="528"/>
      <c r="HA107" s="528"/>
      <c r="HB107" s="528"/>
      <c r="HC107" s="528"/>
      <c r="HD107" s="528"/>
      <c r="HE107" s="528"/>
      <c r="HF107" s="528"/>
      <c r="HG107" s="528"/>
      <c r="HH107" s="528"/>
      <c r="HI107" s="528"/>
      <c r="HJ107" s="528"/>
      <c r="HK107" s="528"/>
      <c r="HL107" s="528"/>
      <c r="HM107" s="528"/>
      <c r="HN107" s="528"/>
      <c r="HO107" s="528"/>
      <c r="HP107" s="528"/>
      <c r="HQ107" s="528"/>
      <c r="HR107" s="528"/>
      <c r="HS107" s="528"/>
      <c r="HT107" s="528"/>
      <c r="HU107" s="528"/>
      <c r="HV107" s="528"/>
      <c r="HW107" s="528"/>
      <c r="HX107" s="528"/>
      <c r="HY107" s="528"/>
      <c r="HZ107" s="528"/>
      <c r="IA107" s="528"/>
      <c r="IB107" s="528"/>
      <c r="IC107" s="528"/>
      <c r="ID107" s="528"/>
      <c r="IE107" s="528"/>
      <c r="IF107" s="528"/>
      <c r="IG107" s="528"/>
      <c r="IH107" s="528"/>
      <c r="II107" s="528"/>
      <c r="IJ107" s="528"/>
      <c r="IK107" s="528"/>
      <c r="IL107" s="528"/>
      <c r="IM107" s="528"/>
      <c r="IN107" s="528"/>
      <c r="IO107" s="528"/>
    </row>
    <row r="108" spans="3:249" ht="16.5" x14ac:dyDescent="0.25">
      <c r="C108" s="438"/>
      <c r="D108" s="569"/>
      <c r="E108" s="696"/>
      <c r="F108" s="697"/>
      <c r="G108" s="698"/>
      <c r="H108" s="698"/>
      <c r="I108" s="700">
        <f>+'[2]Typical Conv.Operating Expenses'!BS105</f>
        <v>800.02222776703468</v>
      </c>
      <c r="J108" s="695" t="s">
        <v>576</v>
      </c>
      <c r="M108" s="519"/>
      <c r="N108" s="519"/>
      <c r="O108" s="528"/>
      <c r="P108" s="528"/>
      <c r="Q108" s="528"/>
      <c r="R108" s="528"/>
      <c r="S108" s="528"/>
      <c r="T108" s="528"/>
      <c r="U108" s="528"/>
      <c r="V108" s="528"/>
      <c r="W108" s="528"/>
      <c r="X108" s="528"/>
      <c r="Y108" s="528"/>
      <c r="Z108" s="528"/>
      <c r="AA108" s="528"/>
      <c r="AB108" s="528"/>
      <c r="AC108" s="528"/>
      <c r="AD108" s="528"/>
      <c r="AE108" s="528"/>
      <c r="AF108" s="528"/>
      <c r="AG108" s="528"/>
      <c r="AH108" s="528"/>
      <c r="AI108" s="528"/>
      <c r="AJ108" s="528"/>
      <c r="AK108" s="528"/>
      <c r="AL108" s="528"/>
      <c r="AM108" s="528"/>
      <c r="AN108" s="528"/>
      <c r="AO108" s="528"/>
      <c r="AP108" s="528"/>
      <c r="AQ108" s="528"/>
      <c r="AR108" s="528"/>
      <c r="AS108" s="528"/>
      <c r="AT108" s="528"/>
      <c r="AU108" s="528"/>
      <c r="AV108" s="528"/>
      <c r="AW108" s="528"/>
      <c r="AX108" s="528"/>
      <c r="AY108" s="528"/>
      <c r="AZ108" s="528"/>
      <c r="BA108" s="528"/>
      <c r="BB108" s="528"/>
      <c r="BC108" s="528"/>
      <c r="BD108" s="528"/>
      <c r="BE108" s="528"/>
      <c r="BF108" s="528"/>
      <c r="BG108" s="528"/>
      <c r="BH108" s="528"/>
      <c r="BI108" s="528"/>
      <c r="BJ108" s="528"/>
      <c r="BK108" s="528"/>
      <c r="BL108" s="528"/>
      <c r="BM108" s="528"/>
      <c r="BN108" s="528"/>
      <c r="BO108" s="528"/>
      <c r="BP108" s="528"/>
      <c r="BQ108" s="528"/>
      <c r="BR108" s="528"/>
      <c r="BS108" s="528"/>
      <c r="BT108" s="528"/>
      <c r="BU108" s="528"/>
      <c r="BV108" s="528"/>
      <c r="BW108" s="528"/>
      <c r="BX108" s="528"/>
      <c r="BY108" s="528"/>
      <c r="BZ108" s="528"/>
      <c r="CA108" s="528"/>
      <c r="CB108" s="528"/>
      <c r="CC108" s="528"/>
      <c r="CD108" s="528"/>
      <c r="CE108" s="528"/>
      <c r="CF108" s="528"/>
      <c r="CG108" s="528"/>
      <c r="CH108" s="528"/>
      <c r="CI108" s="528"/>
      <c r="CJ108" s="528"/>
      <c r="CK108" s="528"/>
      <c r="CL108" s="528"/>
      <c r="CM108" s="528"/>
      <c r="CN108" s="528"/>
      <c r="CO108" s="528"/>
      <c r="CP108" s="528"/>
      <c r="CQ108" s="528"/>
      <c r="CR108" s="528"/>
      <c r="CS108" s="528"/>
      <c r="CT108" s="528"/>
      <c r="CU108" s="528"/>
      <c r="CV108" s="528"/>
      <c r="CW108" s="528"/>
      <c r="CX108" s="528"/>
      <c r="CY108" s="528"/>
      <c r="CZ108" s="528"/>
      <c r="DA108" s="528"/>
      <c r="DB108" s="528"/>
      <c r="DC108" s="528"/>
      <c r="DD108" s="528"/>
      <c r="DE108" s="528"/>
      <c r="DF108" s="528"/>
      <c r="DG108" s="528"/>
      <c r="DH108" s="528"/>
      <c r="DI108" s="528"/>
      <c r="DJ108" s="528"/>
      <c r="DK108" s="528"/>
      <c r="DL108" s="528"/>
      <c r="DM108" s="528"/>
      <c r="DN108" s="528"/>
      <c r="DO108" s="528"/>
      <c r="DP108" s="528"/>
      <c r="DQ108" s="528"/>
      <c r="DR108" s="528"/>
      <c r="DS108" s="528"/>
      <c r="DT108" s="528"/>
      <c r="DU108" s="528"/>
      <c r="DV108" s="528"/>
      <c r="DW108" s="528"/>
      <c r="DX108" s="528"/>
      <c r="DY108" s="528"/>
      <c r="DZ108" s="528"/>
      <c r="EA108" s="528"/>
      <c r="EB108" s="528"/>
      <c r="EC108" s="528"/>
      <c r="ED108" s="528"/>
      <c r="EE108" s="528"/>
      <c r="EF108" s="528"/>
      <c r="EG108" s="528"/>
      <c r="EH108" s="528"/>
      <c r="EI108" s="528"/>
      <c r="EJ108" s="528"/>
      <c r="EK108" s="528"/>
      <c r="EL108" s="528"/>
      <c r="EM108" s="528"/>
      <c r="EN108" s="528"/>
      <c r="EO108" s="528"/>
      <c r="EP108" s="528"/>
      <c r="EQ108" s="528"/>
      <c r="ER108" s="528"/>
      <c r="ES108" s="528"/>
      <c r="ET108" s="528"/>
      <c r="EU108" s="528"/>
      <c r="EV108" s="528"/>
      <c r="EW108" s="528"/>
      <c r="EX108" s="528"/>
      <c r="EY108" s="528"/>
      <c r="EZ108" s="528"/>
      <c r="FA108" s="528"/>
      <c r="FB108" s="528"/>
      <c r="FC108" s="528"/>
      <c r="FD108" s="528"/>
      <c r="FE108" s="528"/>
      <c r="FF108" s="528"/>
      <c r="FG108" s="528"/>
      <c r="FH108" s="528"/>
      <c r="FI108" s="528"/>
      <c r="FJ108" s="528"/>
      <c r="FK108" s="528"/>
      <c r="FL108" s="528"/>
      <c r="FM108" s="528"/>
      <c r="FN108" s="528"/>
      <c r="FO108" s="528"/>
      <c r="FP108" s="528"/>
      <c r="FQ108" s="528"/>
      <c r="FR108" s="528"/>
      <c r="FS108" s="528"/>
      <c r="FT108" s="528"/>
      <c r="FU108" s="528"/>
      <c r="FV108" s="528"/>
      <c r="FW108" s="528"/>
      <c r="FX108" s="528"/>
      <c r="FY108" s="528"/>
      <c r="FZ108" s="528"/>
      <c r="GA108" s="528"/>
      <c r="GB108" s="528"/>
      <c r="GC108" s="528"/>
      <c r="GD108" s="528"/>
      <c r="GE108" s="528"/>
      <c r="GF108" s="528"/>
      <c r="GG108" s="528"/>
      <c r="GH108" s="528"/>
      <c r="GI108" s="528"/>
      <c r="GJ108" s="528"/>
      <c r="GK108" s="528"/>
      <c r="GL108" s="528"/>
      <c r="GM108" s="528"/>
      <c r="GN108" s="528"/>
      <c r="GO108" s="528"/>
      <c r="GP108" s="528"/>
      <c r="GQ108" s="528"/>
      <c r="GR108" s="528"/>
      <c r="GS108" s="528"/>
      <c r="GT108" s="528"/>
      <c r="GU108" s="528"/>
      <c r="GV108" s="528"/>
      <c r="GW108" s="528"/>
      <c r="GX108" s="528"/>
      <c r="GY108" s="528"/>
      <c r="GZ108" s="528"/>
      <c r="HA108" s="528"/>
      <c r="HB108" s="528"/>
      <c r="HC108" s="528"/>
      <c r="HD108" s="528"/>
      <c r="HE108" s="528"/>
      <c r="HF108" s="528"/>
      <c r="HG108" s="528"/>
      <c r="HH108" s="528"/>
      <c r="HI108" s="528"/>
      <c r="HJ108" s="528"/>
      <c r="HK108" s="528"/>
      <c r="HL108" s="528"/>
      <c r="HM108" s="528"/>
      <c r="HN108" s="528"/>
      <c r="HO108" s="528"/>
      <c r="HP108" s="528"/>
      <c r="HQ108" s="528"/>
      <c r="HR108" s="528"/>
      <c r="HS108" s="528"/>
      <c r="HT108" s="528"/>
      <c r="HU108" s="528"/>
      <c r="HV108" s="528"/>
      <c r="HW108" s="528"/>
      <c r="HX108" s="528"/>
      <c r="HY108" s="528"/>
      <c r="HZ108" s="528"/>
      <c r="IA108" s="528"/>
      <c r="IB108" s="528"/>
      <c r="IC108" s="528"/>
      <c r="ID108" s="528"/>
      <c r="IE108" s="528"/>
      <c r="IF108" s="528"/>
      <c r="IG108" s="528"/>
      <c r="IH108" s="528"/>
      <c r="II108" s="528"/>
      <c r="IJ108" s="528"/>
      <c r="IK108" s="528"/>
      <c r="IL108" s="528"/>
      <c r="IM108" s="528"/>
      <c r="IN108" s="528"/>
      <c r="IO108" s="528"/>
    </row>
    <row r="109" spans="3:249" ht="18" x14ac:dyDescent="0.25">
      <c r="C109" s="438"/>
      <c r="D109" s="569"/>
      <c r="E109" s="671"/>
      <c r="F109" s="672"/>
      <c r="G109" s="673"/>
      <c r="H109" s="673"/>
      <c r="I109" s="701">
        <v>1200</v>
      </c>
      <c r="J109" s="480" t="s">
        <v>594</v>
      </c>
      <c r="K109" s="438"/>
      <c r="L109" s="519"/>
      <c r="M109" s="519"/>
      <c r="N109" s="519"/>
      <c r="O109" s="528"/>
      <c r="P109" s="528"/>
      <c r="Q109" s="528"/>
      <c r="R109" s="528"/>
      <c r="S109" s="528"/>
      <c r="T109" s="528"/>
      <c r="U109" s="528"/>
      <c r="V109" s="528"/>
      <c r="W109" s="528"/>
      <c r="X109" s="528"/>
      <c r="Y109" s="528"/>
      <c r="Z109" s="528"/>
      <c r="AA109" s="528"/>
      <c r="AB109" s="528"/>
      <c r="AC109" s="528"/>
      <c r="AD109" s="528"/>
      <c r="AE109" s="528"/>
      <c r="AF109" s="528"/>
      <c r="AG109" s="528"/>
      <c r="AH109" s="528"/>
      <c r="AI109" s="528"/>
      <c r="AJ109" s="528"/>
      <c r="AK109" s="528"/>
      <c r="AL109" s="528"/>
      <c r="AM109" s="528"/>
      <c r="AN109" s="528"/>
      <c r="AO109" s="528"/>
      <c r="AP109" s="528"/>
      <c r="AQ109" s="528"/>
      <c r="AR109" s="528"/>
      <c r="AS109" s="528"/>
      <c r="AT109" s="528"/>
      <c r="AU109" s="528"/>
      <c r="AV109" s="528"/>
      <c r="AW109" s="528"/>
      <c r="AX109" s="528"/>
      <c r="AY109" s="528"/>
      <c r="AZ109" s="528"/>
      <c r="BA109" s="528"/>
      <c r="BB109" s="528"/>
      <c r="BC109" s="528"/>
      <c r="BD109" s="528"/>
      <c r="BE109" s="528"/>
      <c r="BF109" s="528"/>
      <c r="BG109" s="528"/>
      <c r="BH109" s="528"/>
      <c r="BI109" s="528"/>
      <c r="BJ109" s="528"/>
      <c r="BK109" s="528"/>
      <c r="BL109" s="528"/>
      <c r="BM109" s="528"/>
      <c r="BN109" s="528"/>
      <c r="BO109" s="528"/>
      <c r="BP109" s="528"/>
      <c r="BQ109" s="528"/>
      <c r="BR109" s="528"/>
      <c r="BS109" s="528"/>
      <c r="BT109" s="528"/>
      <c r="BU109" s="528"/>
      <c r="BV109" s="528"/>
      <c r="BW109" s="528"/>
      <c r="BX109" s="528"/>
      <c r="BY109" s="528"/>
      <c r="BZ109" s="528"/>
      <c r="CA109" s="528"/>
      <c r="CB109" s="528"/>
      <c r="CC109" s="528"/>
      <c r="CD109" s="528"/>
      <c r="CE109" s="528"/>
      <c r="CF109" s="528"/>
      <c r="CG109" s="528"/>
      <c r="CH109" s="528"/>
      <c r="CI109" s="528"/>
      <c r="CJ109" s="528"/>
      <c r="CK109" s="528"/>
      <c r="CL109" s="528"/>
      <c r="CM109" s="528"/>
      <c r="CN109" s="528"/>
      <c r="CO109" s="528"/>
      <c r="CP109" s="528"/>
      <c r="CQ109" s="528"/>
      <c r="CR109" s="528"/>
      <c r="CS109" s="528"/>
      <c r="CT109" s="528"/>
      <c r="CU109" s="528"/>
      <c r="CV109" s="528"/>
      <c r="CW109" s="528"/>
      <c r="CX109" s="528"/>
      <c r="CY109" s="528"/>
      <c r="CZ109" s="528"/>
      <c r="DA109" s="528"/>
      <c r="DB109" s="528"/>
      <c r="DC109" s="528"/>
      <c r="DD109" s="528"/>
      <c r="DE109" s="528"/>
      <c r="DF109" s="528"/>
      <c r="DG109" s="528"/>
      <c r="DH109" s="528"/>
      <c r="DI109" s="528"/>
      <c r="DJ109" s="528"/>
      <c r="DK109" s="528"/>
      <c r="DL109" s="528"/>
      <c r="DM109" s="528"/>
      <c r="DN109" s="528"/>
      <c r="DO109" s="528"/>
      <c r="DP109" s="528"/>
      <c r="DQ109" s="528"/>
      <c r="DR109" s="528"/>
      <c r="DS109" s="528"/>
      <c r="DT109" s="528"/>
      <c r="DU109" s="528"/>
      <c r="DV109" s="528"/>
      <c r="DW109" s="528"/>
      <c r="DX109" s="528"/>
      <c r="DY109" s="528"/>
      <c r="DZ109" s="528"/>
      <c r="EA109" s="528"/>
      <c r="EB109" s="528"/>
      <c r="EC109" s="528"/>
      <c r="ED109" s="528"/>
      <c r="EE109" s="528"/>
      <c r="EF109" s="528"/>
      <c r="EG109" s="528"/>
      <c r="EH109" s="528"/>
      <c r="EI109" s="528"/>
      <c r="EJ109" s="528"/>
      <c r="EK109" s="528"/>
      <c r="EL109" s="528"/>
      <c r="EM109" s="528"/>
      <c r="EN109" s="528"/>
      <c r="EO109" s="528"/>
      <c r="EP109" s="528"/>
      <c r="EQ109" s="528"/>
      <c r="ER109" s="528"/>
      <c r="ES109" s="528"/>
      <c r="ET109" s="528"/>
      <c r="EU109" s="528"/>
      <c r="EV109" s="528"/>
      <c r="EW109" s="528"/>
      <c r="EX109" s="528"/>
      <c r="EY109" s="528"/>
      <c r="EZ109" s="528"/>
      <c r="FA109" s="528"/>
      <c r="FB109" s="528"/>
      <c r="FC109" s="528"/>
      <c r="FD109" s="528"/>
      <c r="FE109" s="528"/>
      <c r="FF109" s="528"/>
      <c r="FG109" s="528"/>
      <c r="FH109" s="528"/>
      <c r="FI109" s="528"/>
      <c r="FJ109" s="528"/>
      <c r="FK109" s="528"/>
      <c r="FL109" s="528"/>
      <c r="FM109" s="528"/>
      <c r="FN109" s="528"/>
      <c r="FO109" s="528"/>
      <c r="FP109" s="528"/>
      <c r="FQ109" s="528"/>
      <c r="FR109" s="528"/>
      <c r="FS109" s="528"/>
      <c r="FT109" s="528"/>
      <c r="FU109" s="528"/>
      <c r="FV109" s="528"/>
      <c r="FW109" s="528"/>
      <c r="FX109" s="528"/>
      <c r="FY109" s="528"/>
      <c r="FZ109" s="528"/>
      <c r="GA109" s="528"/>
      <c r="GB109" s="528"/>
      <c r="GC109" s="528"/>
      <c r="GD109" s="528"/>
      <c r="GE109" s="528"/>
      <c r="GF109" s="528"/>
      <c r="GG109" s="528"/>
      <c r="GH109" s="528"/>
      <c r="GI109" s="528"/>
      <c r="GJ109" s="528"/>
      <c r="GK109" s="528"/>
      <c r="GL109" s="528"/>
      <c r="GM109" s="528"/>
      <c r="GN109" s="528"/>
      <c r="GO109" s="528"/>
      <c r="GP109" s="528"/>
      <c r="GQ109" s="528"/>
      <c r="GR109" s="528"/>
      <c r="GS109" s="528"/>
      <c r="GT109" s="528"/>
      <c r="GU109" s="528"/>
      <c r="GV109" s="528"/>
      <c r="GW109" s="528"/>
      <c r="GX109" s="528"/>
      <c r="GY109" s="528"/>
      <c r="GZ109" s="528"/>
      <c r="HA109" s="528"/>
      <c r="HB109" s="528"/>
      <c r="HC109" s="528"/>
      <c r="HD109" s="528"/>
      <c r="HE109" s="528"/>
      <c r="HF109" s="528"/>
      <c r="HG109" s="528"/>
      <c r="HH109" s="528"/>
      <c r="HI109" s="528"/>
      <c r="HJ109" s="528"/>
      <c r="HK109" s="528"/>
      <c r="HL109" s="528"/>
      <c r="HM109" s="528"/>
      <c r="HN109" s="528"/>
      <c r="HO109" s="528"/>
      <c r="HP109" s="528"/>
      <c r="HQ109" s="528"/>
      <c r="HR109" s="528"/>
      <c r="HS109" s="528"/>
      <c r="HT109" s="528"/>
      <c r="HU109" s="528"/>
      <c r="HV109" s="528"/>
      <c r="HW109" s="528"/>
      <c r="HX109" s="528"/>
      <c r="HY109" s="528"/>
      <c r="HZ109" s="528"/>
      <c r="IA109" s="528"/>
      <c r="IB109" s="528"/>
      <c r="IC109" s="528"/>
      <c r="ID109" s="528"/>
      <c r="IE109" s="528"/>
      <c r="IF109" s="528"/>
      <c r="IG109" s="528"/>
      <c r="IH109" s="528"/>
      <c r="II109" s="528"/>
      <c r="IJ109" s="528"/>
      <c r="IK109" s="528"/>
      <c r="IL109" s="528"/>
      <c r="IM109" s="528"/>
      <c r="IN109" s="528"/>
      <c r="IO109" s="528"/>
    </row>
    <row r="110" spans="3:249" ht="18" x14ac:dyDescent="0.25">
      <c r="C110" s="438"/>
      <c r="D110" s="569"/>
      <c r="E110" s="663"/>
      <c r="F110" s="664"/>
      <c r="G110" s="665" t="s">
        <v>595</v>
      </c>
      <c r="H110" s="666"/>
      <c r="I110" s="667"/>
      <c r="J110" s="480" t="s">
        <v>596</v>
      </c>
      <c r="K110" s="438"/>
      <c r="L110" s="519"/>
      <c r="M110" s="519"/>
      <c r="N110" s="519"/>
      <c r="O110" s="528"/>
      <c r="P110" s="528"/>
      <c r="Q110" s="528"/>
      <c r="R110" s="528"/>
      <c r="S110" s="528"/>
      <c r="T110" s="528"/>
      <c r="U110" s="528"/>
      <c r="V110" s="528"/>
      <c r="W110" s="528"/>
      <c r="X110" s="528"/>
      <c r="Y110" s="528"/>
      <c r="Z110" s="528"/>
      <c r="AA110" s="528"/>
      <c r="AB110" s="528"/>
      <c r="AC110" s="528"/>
      <c r="AD110" s="528"/>
      <c r="AE110" s="528"/>
      <c r="AF110" s="528"/>
      <c r="AG110" s="528"/>
      <c r="AH110" s="528"/>
      <c r="AI110" s="528"/>
      <c r="AJ110" s="528"/>
      <c r="AK110" s="528"/>
      <c r="AL110" s="528"/>
      <c r="AM110" s="528"/>
      <c r="AN110" s="528"/>
      <c r="AO110" s="528"/>
      <c r="AP110" s="528"/>
      <c r="AQ110" s="528"/>
      <c r="AR110" s="528"/>
      <c r="AS110" s="528"/>
      <c r="AT110" s="528"/>
      <c r="AU110" s="528"/>
      <c r="AV110" s="528"/>
      <c r="AW110" s="528"/>
      <c r="AX110" s="528"/>
      <c r="AY110" s="528"/>
      <c r="AZ110" s="528"/>
      <c r="BA110" s="528"/>
      <c r="BB110" s="528"/>
      <c r="BC110" s="528"/>
      <c r="BD110" s="528"/>
      <c r="BE110" s="528"/>
      <c r="BF110" s="528"/>
      <c r="BG110" s="528"/>
      <c r="BH110" s="528"/>
      <c r="BI110" s="528"/>
      <c r="BJ110" s="528"/>
      <c r="BK110" s="528"/>
      <c r="BL110" s="528"/>
      <c r="BM110" s="528"/>
      <c r="BN110" s="528"/>
      <c r="BO110" s="528"/>
      <c r="BP110" s="528"/>
      <c r="BQ110" s="528"/>
      <c r="BR110" s="528"/>
      <c r="BS110" s="528"/>
      <c r="BT110" s="528"/>
      <c r="BU110" s="528"/>
      <c r="BV110" s="528"/>
      <c r="BW110" s="528"/>
      <c r="BX110" s="528"/>
      <c r="BY110" s="528"/>
      <c r="BZ110" s="528"/>
      <c r="CA110" s="528"/>
      <c r="CB110" s="528"/>
      <c r="CC110" s="528"/>
      <c r="CD110" s="528"/>
      <c r="CE110" s="528"/>
      <c r="CF110" s="528"/>
      <c r="CG110" s="528"/>
      <c r="CH110" s="528"/>
      <c r="CI110" s="528"/>
      <c r="CJ110" s="528"/>
      <c r="CK110" s="528"/>
      <c r="CL110" s="528"/>
      <c r="CM110" s="528"/>
      <c r="CN110" s="528"/>
      <c r="CO110" s="528"/>
      <c r="CP110" s="528"/>
      <c r="CQ110" s="528"/>
      <c r="CR110" s="528"/>
      <c r="CS110" s="528"/>
      <c r="CT110" s="528"/>
      <c r="CU110" s="528"/>
      <c r="CV110" s="528"/>
      <c r="CW110" s="528"/>
      <c r="CX110" s="528"/>
      <c r="CY110" s="528"/>
      <c r="CZ110" s="528"/>
      <c r="DA110" s="528"/>
      <c r="DB110" s="528"/>
      <c r="DC110" s="528"/>
      <c r="DD110" s="528"/>
      <c r="DE110" s="528"/>
      <c r="DF110" s="528"/>
      <c r="DG110" s="528"/>
      <c r="DH110" s="528"/>
      <c r="DI110" s="528"/>
      <c r="DJ110" s="528"/>
      <c r="DK110" s="528"/>
      <c r="DL110" s="528"/>
      <c r="DM110" s="528"/>
      <c r="DN110" s="528"/>
      <c r="DO110" s="528"/>
      <c r="DP110" s="528"/>
      <c r="DQ110" s="528"/>
      <c r="DR110" s="528"/>
      <c r="DS110" s="528"/>
      <c r="DT110" s="528"/>
      <c r="DU110" s="528"/>
      <c r="DV110" s="528"/>
      <c r="DW110" s="528"/>
      <c r="DX110" s="528"/>
      <c r="DY110" s="528"/>
      <c r="DZ110" s="528"/>
      <c r="EA110" s="528"/>
      <c r="EB110" s="528"/>
      <c r="EC110" s="528"/>
      <c r="ED110" s="528"/>
      <c r="EE110" s="528"/>
      <c r="EF110" s="528"/>
      <c r="EG110" s="528"/>
      <c r="EH110" s="528"/>
      <c r="EI110" s="528"/>
      <c r="EJ110" s="528"/>
      <c r="EK110" s="528"/>
      <c r="EL110" s="528"/>
      <c r="EM110" s="528"/>
      <c r="EN110" s="528"/>
      <c r="EO110" s="528"/>
      <c r="EP110" s="528"/>
      <c r="EQ110" s="528"/>
      <c r="ER110" s="528"/>
      <c r="ES110" s="528"/>
      <c r="ET110" s="528"/>
      <c r="EU110" s="528"/>
      <c r="EV110" s="528"/>
      <c r="EW110" s="528"/>
      <c r="EX110" s="528"/>
      <c r="EY110" s="528"/>
      <c r="EZ110" s="528"/>
      <c r="FA110" s="528"/>
      <c r="FB110" s="528"/>
      <c r="FC110" s="528"/>
      <c r="FD110" s="528"/>
      <c r="FE110" s="528"/>
      <c r="FF110" s="528"/>
      <c r="FG110" s="528"/>
      <c r="FH110" s="528"/>
      <c r="FI110" s="528"/>
      <c r="FJ110" s="528"/>
      <c r="FK110" s="528"/>
      <c r="FL110" s="528"/>
      <c r="FM110" s="528"/>
      <c r="FN110" s="528"/>
      <c r="FO110" s="528"/>
      <c r="FP110" s="528"/>
      <c r="FQ110" s="528"/>
      <c r="FR110" s="528"/>
      <c r="FS110" s="528"/>
      <c r="FT110" s="528"/>
      <c r="FU110" s="528"/>
      <c r="FV110" s="528"/>
      <c r="FW110" s="528"/>
      <c r="FX110" s="528"/>
      <c r="FY110" s="528"/>
      <c r="FZ110" s="528"/>
      <c r="GA110" s="528"/>
      <c r="GB110" s="528"/>
      <c r="GC110" s="528"/>
      <c r="GD110" s="528"/>
      <c r="GE110" s="528"/>
      <c r="GF110" s="528"/>
      <c r="GG110" s="528"/>
      <c r="GH110" s="528"/>
      <c r="GI110" s="528"/>
      <c r="GJ110" s="528"/>
      <c r="GK110" s="528"/>
      <c r="GL110" s="528"/>
      <c r="GM110" s="528"/>
      <c r="GN110" s="528"/>
      <c r="GO110" s="528"/>
      <c r="GP110" s="528"/>
      <c r="GQ110" s="528"/>
      <c r="GR110" s="528"/>
      <c r="GS110" s="528"/>
      <c r="GT110" s="528"/>
      <c r="GU110" s="528"/>
      <c r="GV110" s="528"/>
      <c r="GW110" s="528"/>
      <c r="GX110" s="528"/>
      <c r="GY110" s="528"/>
      <c r="GZ110" s="528"/>
      <c r="HA110" s="528"/>
      <c r="HB110" s="528"/>
      <c r="HC110" s="528"/>
      <c r="HD110" s="528"/>
      <c r="HE110" s="528"/>
      <c r="HF110" s="528"/>
      <c r="HG110" s="528"/>
      <c r="HH110" s="528"/>
      <c r="HI110" s="528"/>
      <c r="HJ110" s="528"/>
      <c r="HK110" s="528"/>
      <c r="HL110" s="528"/>
      <c r="HM110" s="528"/>
      <c r="HN110" s="528"/>
      <c r="HO110" s="528"/>
      <c r="HP110" s="528"/>
      <c r="HQ110" s="528"/>
      <c r="HR110" s="528"/>
      <c r="HS110" s="528"/>
      <c r="HT110" s="528"/>
      <c r="HU110" s="528"/>
      <c r="HV110" s="528"/>
      <c r="HW110" s="528"/>
      <c r="HX110" s="528"/>
      <c r="HY110" s="528"/>
      <c r="HZ110" s="528"/>
      <c r="IA110" s="528"/>
      <c r="IB110" s="528"/>
      <c r="IC110" s="528"/>
      <c r="ID110" s="528"/>
      <c r="IE110" s="528"/>
      <c r="IF110" s="528"/>
      <c r="IG110" s="528"/>
      <c r="IH110" s="528"/>
      <c r="II110" s="528"/>
      <c r="IJ110" s="528"/>
      <c r="IK110" s="528"/>
      <c r="IL110" s="528"/>
      <c r="IM110" s="528"/>
      <c r="IN110" s="528"/>
      <c r="IO110" s="528"/>
    </row>
    <row r="111" spans="3:249" ht="16.5" x14ac:dyDescent="0.25">
      <c r="C111" s="438"/>
      <c r="D111" s="569"/>
      <c r="E111" s="668" t="s">
        <v>579</v>
      </c>
      <c r="F111" s="439"/>
      <c r="G111" s="669" t="str">
        <f>+G95</f>
        <v>Ontario - Concrete</v>
      </c>
      <c r="H111" s="669"/>
      <c r="I111" s="670">
        <f>ROUND(+'[2]CMHC '!Q10*1.025*1.025*1.025,-1)</f>
        <v>750</v>
      </c>
      <c r="J111" s="480" t="s">
        <v>580</v>
      </c>
      <c r="K111" s="438"/>
      <c r="L111" s="519"/>
      <c r="M111" s="519"/>
      <c r="N111" s="519"/>
      <c r="O111" s="528"/>
      <c r="P111" s="528"/>
      <c r="Q111" s="528"/>
      <c r="R111" s="528"/>
      <c r="S111" s="528"/>
      <c r="T111" s="528"/>
      <c r="U111" s="528"/>
      <c r="V111" s="528"/>
      <c r="W111" s="528"/>
      <c r="X111" s="528"/>
      <c r="Y111" s="528"/>
      <c r="Z111" s="528"/>
      <c r="AA111" s="528"/>
      <c r="AB111" s="528"/>
      <c r="AC111" s="528"/>
      <c r="AD111" s="528"/>
      <c r="AE111" s="528"/>
      <c r="AF111" s="528"/>
      <c r="AG111" s="528"/>
      <c r="AH111" s="528"/>
      <c r="AI111" s="528"/>
      <c r="AJ111" s="528"/>
      <c r="AK111" s="528"/>
      <c r="AL111" s="528"/>
      <c r="AM111" s="528"/>
      <c r="AN111" s="528"/>
      <c r="AO111" s="528"/>
      <c r="AP111" s="528"/>
      <c r="AQ111" s="528"/>
      <c r="AR111" s="528"/>
      <c r="AS111" s="528"/>
      <c r="AT111" s="528"/>
      <c r="AU111" s="528"/>
      <c r="AV111" s="528"/>
      <c r="AW111" s="528"/>
      <c r="AX111" s="528"/>
      <c r="AY111" s="528"/>
      <c r="AZ111" s="528"/>
      <c r="BA111" s="528"/>
      <c r="BB111" s="528"/>
      <c r="BC111" s="528"/>
      <c r="BD111" s="528"/>
      <c r="BE111" s="528"/>
      <c r="BF111" s="528"/>
      <c r="BG111" s="528"/>
      <c r="BH111" s="528"/>
      <c r="BI111" s="528"/>
      <c r="BJ111" s="528"/>
      <c r="BK111" s="528"/>
      <c r="BL111" s="528"/>
      <c r="BM111" s="528"/>
      <c r="BN111" s="528"/>
      <c r="BO111" s="528"/>
      <c r="BP111" s="528"/>
      <c r="BQ111" s="528"/>
      <c r="BR111" s="528"/>
      <c r="BS111" s="528"/>
      <c r="BT111" s="528"/>
      <c r="BU111" s="528"/>
      <c r="BV111" s="528"/>
      <c r="BW111" s="528"/>
      <c r="BX111" s="528"/>
      <c r="BY111" s="528"/>
      <c r="BZ111" s="528"/>
      <c r="CA111" s="528"/>
      <c r="CB111" s="528"/>
      <c r="CC111" s="528"/>
      <c r="CD111" s="528"/>
      <c r="CE111" s="528"/>
      <c r="CF111" s="528"/>
      <c r="CG111" s="528"/>
      <c r="CH111" s="528"/>
      <c r="CI111" s="528"/>
      <c r="CJ111" s="528"/>
      <c r="CK111" s="528"/>
      <c r="CL111" s="528"/>
      <c r="CM111" s="528"/>
      <c r="CN111" s="528"/>
      <c r="CO111" s="528"/>
      <c r="CP111" s="528"/>
      <c r="CQ111" s="528"/>
      <c r="CR111" s="528"/>
      <c r="CS111" s="528"/>
      <c r="CT111" s="528"/>
      <c r="CU111" s="528"/>
      <c r="CV111" s="528"/>
      <c r="CW111" s="528"/>
      <c r="CX111" s="528"/>
      <c r="CY111" s="528"/>
      <c r="CZ111" s="528"/>
      <c r="DA111" s="528"/>
      <c r="DB111" s="528"/>
      <c r="DC111" s="528"/>
      <c r="DD111" s="528"/>
      <c r="DE111" s="528"/>
      <c r="DF111" s="528"/>
      <c r="DG111" s="528"/>
      <c r="DH111" s="528"/>
      <c r="DI111" s="528"/>
      <c r="DJ111" s="528"/>
      <c r="DK111" s="528"/>
      <c r="DL111" s="528"/>
      <c r="DM111" s="528"/>
      <c r="DN111" s="528"/>
      <c r="DO111" s="528"/>
      <c r="DP111" s="528"/>
      <c r="DQ111" s="528"/>
      <c r="DR111" s="528"/>
      <c r="DS111" s="528"/>
      <c r="DT111" s="528"/>
      <c r="DU111" s="528"/>
      <c r="DV111" s="528"/>
      <c r="DW111" s="528"/>
      <c r="DX111" s="528"/>
      <c r="DY111" s="528"/>
      <c r="DZ111" s="528"/>
      <c r="EA111" s="528"/>
      <c r="EB111" s="528"/>
      <c r="EC111" s="528"/>
      <c r="ED111" s="528"/>
      <c r="EE111" s="528"/>
      <c r="EF111" s="528"/>
      <c r="EG111" s="528"/>
      <c r="EH111" s="528"/>
      <c r="EI111" s="528"/>
      <c r="EJ111" s="528"/>
      <c r="EK111" s="528"/>
      <c r="EL111" s="528"/>
      <c r="EM111" s="528"/>
      <c r="EN111" s="528"/>
      <c r="EO111" s="528"/>
      <c r="EP111" s="528"/>
      <c r="EQ111" s="528"/>
      <c r="ER111" s="528"/>
      <c r="ES111" s="528"/>
      <c r="ET111" s="528"/>
      <c r="EU111" s="528"/>
      <c r="EV111" s="528"/>
      <c r="EW111" s="528"/>
      <c r="EX111" s="528"/>
      <c r="EY111" s="528"/>
      <c r="EZ111" s="528"/>
      <c r="FA111" s="528"/>
      <c r="FB111" s="528"/>
      <c r="FC111" s="528"/>
      <c r="FD111" s="528"/>
      <c r="FE111" s="528"/>
      <c r="FF111" s="528"/>
      <c r="FG111" s="528"/>
      <c r="FH111" s="528"/>
      <c r="FI111" s="528"/>
      <c r="FJ111" s="528"/>
      <c r="FK111" s="528"/>
      <c r="FL111" s="528"/>
      <c r="FM111" s="528"/>
      <c r="FN111" s="528"/>
      <c r="FO111" s="528"/>
      <c r="FP111" s="528"/>
      <c r="FQ111" s="528"/>
      <c r="FR111" s="528"/>
      <c r="FS111" s="528"/>
      <c r="FT111" s="528"/>
      <c r="FU111" s="528"/>
      <c r="FV111" s="528"/>
      <c r="FW111" s="528"/>
      <c r="FX111" s="528"/>
      <c r="FY111" s="528"/>
      <c r="FZ111" s="528"/>
      <c r="GA111" s="528"/>
      <c r="GB111" s="528"/>
      <c r="GC111" s="528"/>
      <c r="GD111" s="528"/>
      <c r="GE111" s="528"/>
      <c r="GF111" s="528"/>
      <c r="GG111" s="528"/>
      <c r="GH111" s="528"/>
      <c r="GI111" s="528"/>
      <c r="GJ111" s="528"/>
      <c r="GK111" s="528"/>
      <c r="GL111" s="528"/>
      <c r="GM111" s="528"/>
      <c r="GN111" s="528"/>
      <c r="GO111" s="528"/>
      <c r="GP111" s="528"/>
      <c r="GQ111" s="528"/>
      <c r="GR111" s="528"/>
      <c r="GS111" s="528"/>
      <c r="GT111" s="528"/>
      <c r="GU111" s="528"/>
      <c r="GV111" s="528"/>
      <c r="GW111" s="528"/>
      <c r="GX111" s="528"/>
      <c r="GY111" s="528"/>
      <c r="GZ111" s="528"/>
      <c r="HA111" s="528"/>
      <c r="HB111" s="528"/>
      <c r="HC111" s="528"/>
      <c r="HD111" s="528"/>
      <c r="HE111" s="528"/>
      <c r="HF111" s="528"/>
      <c r="HG111" s="528"/>
      <c r="HH111" s="528"/>
      <c r="HI111" s="528"/>
      <c r="HJ111" s="528"/>
      <c r="HK111" s="528"/>
      <c r="HL111" s="528"/>
      <c r="HM111" s="528"/>
      <c r="HN111" s="528"/>
      <c r="HO111" s="528"/>
      <c r="HP111" s="528"/>
      <c r="HQ111" s="528"/>
      <c r="HR111" s="528"/>
      <c r="HS111" s="528"/>
      <c r="HT111" s="528"/>
      <c r="HU111" s="528"/>
      <c r="HV111" s="528"/>
      <c r="HW111" s="528"/>
      <c r="HX111" s="528"/>
      <c r="HY111" s="528"/>
      <c r="HZ111" s="528"/>
      <c r="IA111" s="528"/>
      <c r="IB111" s="528"/>
      <c r="IC111" s="528"/>
      <c r="ID111" s="528"/>
      <c r="IE111" s="528"/>
      <c r="IF111" s="528"/>
      <c r="IG111" s="528"/>
      <c r="IH111" s="528"/>
      <c r="II111" s="528"/>
      <c r="IJ111" s="528"/>
      <c r="IK111" s="528"/>
      <c r="IL111" s="528"/>
      <c r="IM111" s="528"/>
      <c r="IN111" s="528"/>
      <c r="IO111" s="528"/>
    </row>
    <row r="112" spans="3:249" ht="18" x14ac:dyDescent="0.25">
      <c r="C112" s="438"/>
      <c r="E112" s="671"/>
      <c r="F112" s="672"/>
      <c r="G112" s="673" t="str">
        <f>+G96</f>
        <v>Ontario - Wood Frame 12 units and more</v>
      </c>
      <c r="H112" s="673"/>
      <c r="I112" s="674">
        <f>ROUND(+'[2]CMHC '!Q9*1.025*1.025*1.025,-1)</f>
        <v>600</v>
      </c>
      <c r="J112" s="480" t="s">
        <v>580</v>
      </c>
      <c r="K112" s="438"/>
      <c r="L112" s="519"/>
      <c r="M112" s="519"/>
      <c r="N112" s="519"/>
      <c r="O112" s="528"/>
      <c r="P112" s="528"/>
      <c r="Q112" s="528"/>
      <c r="R112" s="528"/>
      <c r="S112" s="528"/>
      <c r="T112" s="528"/>
      <c r="U112" s="528"/>
      <c r="V112" s="528"/>
      <c r="W112" s="528"/>
      <c r="X112" s="528"/>
      <c r="Y112" s="528"/>
      <c r="Z112" s="528"/>
      <c r="AA112" s="528"/>
      <c r="AB112" s="528"/>
      <c r="AC112" s="528"/>
      <c r="AD112" s="528"/>
      <c r="AE112" s="528"/>
      <c r="AF112" s="528"/>
      <c r="AG112" s="528"/>
      <c r="AH112" s="528"/>
      <c r="AI112" s="528"/>
      <c r="AJ112" s="528"/>
      <c r="AK112" s="528"/>
      <c r="AL112" s="528"/>
      <c r="AM112" s="528"/>
      <c r="AN112" s="528"/>
      <c r="AO112" s="528"/>
      <c r="AP112" s="528"/>
      <c r="AQ112" s="528"/>
      <c r="AR112" s="528"/>
      <c r="AS112" s="528"/>
      <c r="AT112" s="528"/>
      <c r="AU112" s="528"/>
      <c r="AV112" s="528"/>
      <c r="AW112" s="528"/>
      <c r="AX112" s="528"/>
      <c r="AY112" s="528"/>
      <c r="AZ112" s="528"/>
      <c r="BA112" s="528"/>
      <c r="BB112" s="528"/>
      <c r="BC112" s="528"/>
      <c r="BD112" s="528"/>
      <c r="BE112" s="528"/>
      <c r="BF112" s="528"/>
      <c r="BG112" s="528"/>
      <c r="BH112" s="528"/>
      <c r="BI112" s="528"/>
      <c r="BJ112" s="528"/>
      <c r="BK112" s="528"/>
      <c r="BL112" s="528"/>
      <c r="BM112" s="528"/>
      <c r="BN112" s="528"/>
      <c r="BO112" s="528"/>
      <c r="BP112" s="528"/>
      <c r="BQ112" s="528"/>
      <c r="BR112" s="528"/>
      <c r="BS112" s="528"/>
      <c r="BT112" s="528"/>
      <c r="BU112" s="528"/>
      <c r="BV112" s="528"/>
      <c r="BW112" s="528"/>
      <c r="BX112" s="528"/>
      <c r="BY112" s="528"/>
      <c r="BZ112" s="528"/>
      <c r="CA112" s="528"/>
      <c r="CB112" s="528"/>
      <c r="CC112" s="528"/>
      <c r="CD112" s="528"/>
      <c r="CE112" s="528"/>
      <c r="CF112" s="528"/>
      <c r="CG112" s="528"/>
      <c r="CH112" s="528"/>
      <c r="CI112" s="528"/>
      <c r="CJ112" s="528"/>
      <c r="CK112" s="528"/>
      <c r="CL112" s="528"/>
      <c r="CM112" s="528"/>
      <c r="CN112" s="528"/>
      <c r="CO112" s="528"/>
      <c r="CP112" s="528"/>
      <c r="CQ112" s="528"/>
      <c r="CR112" s="528"/>
      <c r="CS112" s="528"/>
      <c r="CT112" s="528"/>
      <c r="CU112" s="528"/>
      <c r="CV112" s="528"/>
      <c r="CW112" s="528"/>
      <c r="CX112" s="528"/>
      <c r="CY112" s="528"/>
      <c r="CZ112" s="528"/>
      <c r="DA112" s="528"/>
      <c r="DB112" s="528"/>
      <c r="DC112" s="528"/>
      <c r="DD112" s="528"/>
      <c r="DE112" s="528"/>
      <c r="DF112" s="528"/>
      <c r="DG112" s="528"/>
      <c r="DH112" s="528"/>
      <c r="DI112" s="528"/>
      <c r="DJ112" s="528"/>
      <c r="DK112" s="528"/>
      <c r="DL112" s="528"/>
      <c r="DM112" s="528"/>
      <c r="DN112" s="528"/>
      <c r="DO112" s="528"/>
      <c r="DP112" s="528"/>
      <c r="DQ112" s="528"/>
      <c r="DR112" s="528"/>
      <c r="DS112" s="528"/>
      <c r="DT112" s="528"/>
      <c r="DU112" s="528"/>
      <c r="DV112" s="528"/>
      <c r="DW112" s="528"/>
      <c r="DX112" s="528"/>
      <c r="DY112" s="528"/>
      <c r="DZ112" s="528"/>
      <c r="EA112" s="528"/>
      <c r="EB112" s="528"/>
      <c r="EC112" s="528"/>
      <c r="ED112" s="528"/>
      <c r="EE112" s="528"/>
      <c r="EF112" s="528"/>
      <c r="EG112" s="528"/>
      <c r="EH112" s="528"/>
      <c r="EI112" s="528"/>
      <c r="EJ112" s="528"/>
      <c r="EK112" s="528"/>
      <c r="EL112" s="528"/>
      <c r="EM112" s="528"/>
      <c r="EN112" s="528"/>
      <c r="EO112" s="528"/>
      <c r="EP112" s="528"/>
      <c r="EQ112" s="528"/>
      <c r="ER112" s="528"/>
      <c r="ES112" s="528"/>
      <c r="ET112" s="528"/>
      <c r="EU112" s="528"/>
      <c r="EV112" s="528"/>
      <c r="EW112" s="528"/>
      <c r="EX112" s="528"/>
      <c r="EY112" s="528"/>
      <c r="EZ112" s="528"/>
      <c r="FA112" s="528"/>
      <c r="FB112" s="528"/>
      <c r="FC112" s="528"/>
      <c r="FD112" s="528"/>
      <c r="FE112" s="528"/>
      <c r="FF112" s="528"/>
      <c r="FG112" s="528"/>
      <c r="FH112" s="528"/>
      <c r="FI112" s="528"/>
      <c r="FJ112" s="528"/>
      <c r="FK112" s="528"/>
      <c r="FL112" s="528"/>
      <c r="FM112" s="528"/>
      <c r="FN112" s="528"/>
      <c r="FO112" s="528"/>
      <c r="FP112" s="528"/>
      <c r="FQ112" s="528"/>
      <c r="FR112" s="528"/>
      <c r="FS112" s="528"/>
      <c r="FT112" s="528"/>
      <c r="FU112" s="528"/>
      <c r="FV112" s="528"/>
      <c r="FW112" s="528"/>
      <c r="FX112" s="528"/>
      <c r="FY112" s="528"/>
      <c r="FZ112" s="528"/>
      <c r="GA112" s="528"/>
      <c r="GB112" s="528"/>
      <c r="GC112" s="528"/>
      <c r="GD112" s="528"/>
      <c r="GE112" s="528"/>
      <c r="GF112" s="528"/>
      <c r="GG112" s="528"/>
      <c r="GH112" s="528"/>
      <c r="GI112" s="528"/>
      <c r="GJ112" s="528"/>
      <c r="GK112" s="528"/>
      <c r="GL112" s="528"/>
      <c r="GM112" s="528"/>
      <c r="GN112" s="528"/>
      <c r="GO112" s="528"/>
      <c r="GP112" s="528"/>
      <c r="GQ112" s="528"/>
      <c r="GR112" s="528"/>
      <c r="GS112" s="528"/>
      <c r="GT112" s="528"/>
      <c r="GU112" s="528"/>
      <c r="GV112" s="528"/>
      <c r="GW112" s="528"/>
      <c r="GX112" s="528"/>
      <c r="GY112" s="528"/>
      <c r="GZ112" s="528"/>
      <c r="HA112" s="528"/>
      <c r="HB112" s="528"/>
      <c r="HC112" s="528"/>
      <c r="HD112" s="528"/>
      <c r="HE112" s="528"/>
      <c r="HF112" s="528"/>
      <c r="HG112" s="528"/>
      <c r="HH112" s="528"/>
      <c r="HI112" s="528"/>
      <c r="HJ112" s="528"/>
      <c r="HK112" s="528"/>
      <c r="HL112" s="528"/>
      <c r="HM112" s="528"/>
      <c r="HN112" s="528"/>
      <c r="HO112" s="528"/>
      <c r="HP112" s="528"/>
      <c r="HQ112" s="528"/>
      <c r="HR112" s="528"/>
      <c r="HS112" s="528"/>
      <c r="HT112" s="528"/>
      <c r="HU112" s="528"/>
      <c r="HV112" s="528"/>
      <c r="HW112" s="528"/>
      <c r="HX112" s="528"/>
      <c r="HY112" s="528"/>
      <c r="HZ112" s="528"/>
      <c r="IA112" s="528"/>
      <c r="IB112" s="528"/>
      <c r="IC112" s="528"/>
      <c r="ID112" s="528"/>
      <c r="IE112" s="528"/>
      <c r="IF112" s="528"/>
      <c r="IG112" s="528"/>
      <c r="IH112" s="528"/>
      <c r="II112" s="528"/>
      <c r="IJ112" s="528"/>
      <c r="IK112" s="528"/>
      <c r="IL112" s="528"/>
      <c r="IM112" s="528"/>
      <c r="IN112" s="528"/>
      <c r="IO112" s="528"/>
    </row>
    <row r="113" spans="3:249" ht="18" x14ac:dyDescent="0.25">
      <c r="C113" s="438"/>
      <c r="E113" s="566"/>
      <c r="F113" s="439"/>
      <c r="G113" s="480"/>
      <c r="H113" s="480"/>
      <c r="I113" s="670">
        <f>+'[2]Expense Comparison'!H15</f>
        <v>700</v>
      </c>
      <c r="J113" s="676" t="s">
        <v>581</v>
      </c>
      <c r="K113" s="438"/>
      <c r="L113" s="519"/>
      <c r="M113" s="519"/>
      <c r="N113" s="519"/>
      <c r="O113" s="528"/>
      <c r="P113" s="528"/>
      <c r="Q113" s="528"/>
      <c r="R113" s="528"/>
      <c r="S113" s="528"/>
      <c r="T113" s="528"/>
      <c r="U113" s="528"/>
      <c r="V113" s="528"/>
      <c r="W113" s="528"/>
      <c r="X113" s="528"/>
      <c r="Y113" s="528"/>
      <c r="Z113" s="528"/>
      <c r="AA113" s="528"/>
      <c r="AB113" s="528"/>
      <c r="AC113" s="528"/>
      <c r="AD113" s="528"/>
      <c r="AE113" s="528"/>
      <c r="AF113" s="528"/>
      <c r="AG113" s="528"/>
      <c r="AH113" s="528"/>
      <c r="AI113" s="528"/>
      <c r="AJ113" s="528"/>
      <c r="AK113" s="528"/>
      <c r="AL113" s="528"/>
      <c r="AM113" s="528"/>
      <c r="AN113" s="528"/>
      <c r="AO113" s="528"/>
      <c r="AP113" s="528"/>
      <c r="AQ113" s="528"/>
      <c r="AR113" s="528"/>
      <c r="AS113" s="528"/>
      <c r="AT113" s="528"/>
      <c r="AU113" s="528"/>
      <c r="AV113" s="528"/>
      <c r="AW113" s="528"/>
      <c r="AX113" s="528"/>
      <c r="AY113" s="528"/>
      <c r="AZ113" s="528"/>
      <c r="BA113" s="528"/>
      <c r="BB113" s="528"/>
      <c r="BC113" s="528"/>
      <c r="BD113" s="528"/>
      <c r="BE113" s="528"/>
      <c r="BF113" s="528"/>
      <c r="BG113" s="528"/>
      <c r="BH113" s="528"/>
      <c r="BI113" s="528"/>
      <c r="BJ113" s="528"/>
      <c r="BK113" s="528"/>
      <c r="BL113" s="528"/>
      <c r="BM113" s="528"/>
      <c r="BN113" s="528"/>
      <c r="BO113" s="528"/>
      <c r="BP113" s="528"/>
      <c r="BQ113" s="528"/>
      <c r="BR113" s="528"/>
      <c r="BS113" s="528"/>
      <c r="BT113" s="528"/>
      <c r="BU113" s="528"/>
      <c r="BV113" s="528"/>
      <c r="BW113" s="528"/>
      <c r="BX113" s="528"/>
      <c r="BY113" s="528"/>
      <c r="BZ113" s="528"/>
      <c r="CA113" s="528"/>
      <c r="CB113" s="528"/>
      <c r="CC113" s="528"/>
      <c r="CD113" s="528"/>
      <c r="CE113" s="528"/>
      <c r="CF113" s="528"/>
      <c r="CG113" s="528"/>
      <c r="CH113" s="528"/>
      <c r="CI113" s="528"/>
      <c r="CJ113" s="528"/>
      <c r="CK113" s="528"/>
      <c r="CL113" s="528"/>
      <c r="CM113" s="528"/>
      <c r="CN113" s="528"/>
      <c r="CO113" s="528"/>
      <c r="CP113" s="528"/>
      <c r="CQ113" s="528"/>
      <c r="CR113" s="528"/>
      <c r="CS113" s="528"/>
      <c r="CT113" s="528"/>
      <c r="CU113" s="528"/>
      <c r="CV113" s="528"/>
      <c r="CW113" s="528"/>
      <c r="CX113" s="528"/>
      <c r="CY113" s="528"/>
      <c r="CZ113" s="528"/>
      <c r="DA113" s="528"/>
      <c r="DB113" s="528"/>
      <c r="DC113" s="528"/>
      <c r="DD113" s="528"/>
      <c r="DE113" s="528"/>
      <c r="DF113" s="528"/>
      <c r="DG113" s="528"/>
      <c r="DH113" s="528"/>
      <c r="DI113" s="528"/>
      <c r="DJ113" s="528"/>
      <c r="DK113" s="528"/>
      <c r="DL113" s="528"/>
      <c r="DM113" s="528"/>
      <c r="DN113" s="528"/>
      <c r="DO113" s="528"/>
      <c r="DP113" s="528"/>
      <c r="DQ113" s="528"/>
      <c r="DR113" s="528"/>
      <c r="DS113" s="528"/>
      <c r="DT113" s="528"/>
      <c r="DU113" s="528"/>
      <c r="DV113" s="528"/>
      <c r="DW113" s="528"/>
      <c r="DX113" s="528"/>
      <c r="DY113" s="528"/>
      <c r="DZ113" s="528"/>
      <c r="EA113" s="528"/>
      <c r="EB113" s="528"/>
      <c r="EC113" s="528"/>
      <c r="ED113" s="528"/>
      <c r="EE113" s="528"/>
      <c r="EF113" s="528"/>
      <c r="EG113" s="528"/>
      <c r="EH113" s="528"/>
      <c r="EI113" s="528"/>
      <c r="EJ113" s="528"/>
      <c r="EK113" s="528"/>
      <c r="EL113" s="528"/>
      <c r="EM113" s="528"/>
      <c r="EN113" s="528"/>
      <c r="EO113" s="528"/>
      <c r="EP113" s="528"/>
      <c r="EQ113" s="528"/>
      <c r="ER113" s="528"/>
      <c r="ES113" s="528"/>
      <c r="ET113" s="528"/>
      <c r="EU113" s="528"/>
      <c r="EV113" s="528"/>
      <c r="EW113" s="528"/>
      <c r="EX113" s="528"/>
      <c r="EY113" s="528"/>
      <c r="EZ113" s="528"/>
      <c r="FA113" s="528"/>
      <c r="FB113" s="528"/>
      <c r="FC113" s="528"/>
      <c r="FD113" s="528"/>
      <c r="FE113" s="528"/>
      <c r="FF113" s="528"/>
      <c r="FG113" s="528"/>
      <c r="FH113" s="528"/>
      <c r="FI113" s="528"/>
      <c r="FJ113" s="528"/>
      <c r="FK113" s="528"/>
      <c r="FL113" s="528"/>
      <c r="FM113" s="528"/>
      <c r="FN113" s="528"/>
      <c r="FO113" s="528"/>
      <c r="FP113" s="528"/>
      <c r="FQ113" s="528"/>
      <c r="FR113" s="528"/>
      <c r="FS113" s="528"/>
      <c r="FT113" s="528"/>
      <c r="FU113" s="528"/>
      <c r="FV113" s="528"/>
      <c r="FW113" s="528"/>
      <c r="FX113" s="528"/>
      <c r="FY113" s="528"/>
      <c r="FZ113" s="528"/>
      <c r="GA113" s="528"/>
      <c r="GB113" s="528"/>
      <c r="GC113" s="528"/>
      <c r="GD113" s="528"/>
      <c r="GE113" s="528"/>
      <c r="GF113" s="528"/>
      <c r="GG113" s="528"/>
      <c r="GH113" s="528"/>
      <c r="GI113" s="528"/>
      <c r="GJ113" s="528"/>
      <c r="GK113" s="528"/>
      <c r="GL113" s="528"/>
      <c r="GM113" s="528"/>
      <c r="GN113" s="528"/>
      <c r="GO113" s="528"/>
      <c r="GP113" s="528"/>
      <c r="GQ113" s="528"/>
      <c r="GR113" s="528"/>
      <c r="GS113" s="528"/>
      <c r="GT113" s="528"/>
      <c r="GU113" s="528"/>
      <c r="GV113" s="528"/>
      <c r="GW113" s="528"/>
      <c r="GX113" s="528"/>
      <c r="GY113" s="528"/>
      <c r="GZ113" s="528"/>
      <c r="HA113" s="528"/>
      <c r="HB113" s="528"/>
      <c r="HC113" s="528"/>
      <c r="HD113" s="528"/>
      <c r="HE113" s="528"/>
      <c r="HF113" s="528"/>
      <c r="HG113" s="528"/>
      <c r="HH113" s="528"/>
      <c r="HI113" s="528"/>
      <c r="HJ113" s="528"/>
      <c r="HK113" s="528"/>
      <c r="HL113" s="528"/>
      <c r="HM113" s="528"/>
      <c r="HN113" s="528"/>
      <c r="HO113" s="528"/>
      <c r="HP113" s="528"/>
      <c r="HQ113" s="528"/>
      <c r="HR113" s="528"/>
      <c r="HS113" s="528"/>
      <c r="HT113" s="528"/>
      <c r="HU113" s="528"/>
      <c r="HV113" s="528"/>
      <c r="HW113" s="528"/>
      <c r="HX113" s="528"/>
      <c r="HY113" s="528"/>
      <c r="HZ113" s="528"/>
      <c r="IA113" s="528"/>
      <c r="IB113" s="528"/>
      <c r="IC113" s="528"/>
      <c r="ID113" s="528"/>
      <c r="IE113" s="528"/>
      <c r="IF113" s="528"/>
      <c r="IG113" s="528"/>
      <c r="IH113" s="528"/>
      <c r="II113" s="528"/>
      <c r="IJ113" s="528"/>
      <c r="IK113" s="528"/>
      <c r="IL113" s="528"/>
      <c r="IM113" s="528"/>
      <c r="IN113" s="528"/>
      <c r="IO113" s="528"/>
    </row>
    <row r="114" spans="3:249" x14ac:dyDescent="0.25">
      <c r="C114" s="438"/>
      <c r="D114" s="569">
        <v>4</v>
      </c>
      <c r="E114" s="677" t="s">
        <v>597</v>
      </c>
      <c r="F114" s="678"/>
      <c r="G114" s="678"/>
      <c r="H114" s="678"/>
      <c r="I114" s="679"/>
      <c r="J114" s="480"/>
      <c r="K114" s="438"/>
      <c r="L114" s="519"/>
      <c r="M114" s="519"/>
      <c r="N114" s="519"/>
      <c r="O114" s="528"/>
      <c r="P114" s="528"/>
      <c r="Q114" s="528"/>
      <c r="R114" s="528"/>
      <c r="S114" s="528"/>
      <c r="T114" s="528"/>
      <c r="U114" s="528"/>
      <c r="V114" s="528"/>
      <c r="W114" s="528"/>
      <c r="X114" s="528"/>
      <c r="Y114" s="528"/>
      <c r="Z114" s="528"/>
      <c r="AA114" s="528"/>
      <c r="AB114" s="528"/>
      <c r="AC114" s="528"/>
      <c r="AD114" s="528"/>
      <c r="AE114" s="528"/>
      <c r="AF114" s="528"/>
      <c r="AG114" s="528"/>
      <c r="AH114" s="528"/>
      <c r="AI114" s="528"/>
      <c r="AJ114" s="528"/>
      <c r="AK114" s="528"/>
      <c r="AL114" s="528"/>
      <c r="AM114" s="528"/>
      <c r="AN114" s="528"/>
      <c r="AO114" s="528"/>
      <c r="AP114" s="528"/>
      <c r="AQ114" s="528"/>
      <c r="AR114" s="528"/>
      <c r="AS114" s="528"/>
      <c r="AT114" s="528"/>
      <c r="AU114" s="528"/>
      <c r="AV114" s="528"/>
      <c r="AW114" s="528"/>
      <c r="AX114" s="528"/>
      <c r="AY114" s="528"/>
      <c r="AZ114" s="528"/>
      <c r="BA114" s="528"/>
      <c r="BB114" s="528"/>
      <c r="BC114" s="528"/>
      <c r="BD114" s="528"/>
      <c r="BE114" s="528"/>
      <c r="BF114" s="528"/>
      <c r="BG114" s="528"/>
      <c r="BH114" s="528"/>
      <c r="BI114" s="528"/>
      <c r="BJ114" s="528"/>
      <c r="BK114" s="528"/>
      <c r="BL114" s="528"/>
      <c r="BM114" s="528"/>
      <c r="BN114" s="528"/>
      <c r="BO114" s="528"/>
      <c r="BP114" s="528"/>
      <c r="BQ114" s="528"/>
      <c r="BR114" s="528"/>
      <c r="BS114" s="528"/>
      <c r="BT114" s="528"/>
      <c r="BU114" s="528"/>
      <c r="BV114" s="528"/>
      <c r="BW114" s="528"/>
      <c r="BX114" s="528"/>
      <c r="BY114" s="528"/>
      <c r="BZ114" s="528"/>
      <c r="CA114" s="528"/>
      <c r="CB114" s="528"/>
      <c r="CC114" s="528"/>
      <c r="CD114" s="528"/>
      <c r="CE114" s="528"/>
      <c r="CF114" s="528"/>
      <c r="CG114" s="528"/>
      <c r="CH114" s="528"/>
      <c r="CI114" s="528"/>
      <c r="CJ114" s="528"/>
      <c r="CK114" s="528"/>
      <c r="CL114" s="528"/>
      <c r="CM114" s="528"/>
      <c r="CN114" s="528"/>
      <c r="CO114" s="528"/>
      <c r="CP114" s="528"/>
      <c r="CQ114" s="528"/>
      <c r="CR114" s="528"/>
      <c r="CS114" s="528"/>
      <c r="CT114" s="528"/>
      <c r="CU114" s="528"/>
      <c r="CV114" s="528"/>
      <c r="CW114" s="528"/>
      <c r="CX114" s="528"/>
      <c r="CY114" s="528"/>
      <c r="CZ114" s="528"/>
      <c r="DA114" s="528"/>
      <c r="DB114" s="528"/>
      <c r="DC114" s="528"/>
      <c r="DD114" s="528"/>
      <c r="DE114" s="528"/>
      <c r="DF114" s="528"/>
      <c r="DG114" s="528"/>
      <c r="DH114" s="528"/>
      <c r="DI114" s="528"/>
      <c r="DJ114" s="528"/>
      <c r="DK114" s="528"/>
      <c r="DL114" s="528"/>
      <c r="DM114" s="528"/>
      <c r="DN114" s="528"/>
      <c r="DO114" s="528"/>
      <c r="DP114" s="528"/>
      <c r="DQ114" s="528"/>
      <c r="DR114" s="528"/>
      <c r="DS114" s="528"/>
      <c r="DT114" s="528"/>
      <c r="DU114" s="528"/>
      <c r="DV114" s="528"/>
      <c r="DW114" s="528"/>
      <c r="DX114" s="528"/>
      <c r="DY114" s="528"/>
      <c r="DZ114" s="528"/>
      <c r="EA114" s="528"/>
      <c r="EB114" s="528"/>
      <c r="EC114" s="528"/>
      <c r="ED114" s="528"/>
      <c r="EE114" s="528"/>
      <c r="EF114" s="528"/>
      <c r="EG114" s="528"/>
      <c r="EH114" s="528"/>
      <c r="EI114" s="528"/>
      <c r="EJ114" s="528"/>
      <c r="EK114" s="528"/>
      <c r="EL114" s="528"/>
      <c r="EM114" s="528"/>
      <c r="EN114" s="528"/>
      <c r="EO114" s="528"/>
      <c r="EP114" s="528"/>
      <c r="EQ114" s="528"/>
      <c r="ER114" s="528"/>
      <c r="ES114" s="528"/>
      <c r="ET114" s="528"/>
      <c r="EU114" s="528"/>
      <c r="EV114" s="528"/>
      <c r="EW114" s="528"/>
      <c r="EX114" s="528"/>
      <c r="EY114" s="528"/>
      <c r="EZ114" s="528"/>
      <c r="FA114" s="528"/>
      <c r="FB114" s="528"/>
      <c r="FC114" s="528"/>
      <c r="FD114" s="528"/>
      <c r="FE114" s="528"/>
      <c r="FF114" s="528"/>
      <c r="FG114" s="528"/>
      <c r="FH114" s="528"/>
      <c r="FI114" s="528"/>
      <c r="FJ114" s="528"/>
      <c r="FK114" s="528"/>
      <c r="FL114" s="528"/>
      <c r="FM114" s="528"/>
      <c r="FN114" s="528"/>
      <c r="FO114" s="528"/>
      <c r="FP114" s="528"/>
      <c r="FQ114" s="528"/>
      <c r="FR114" s="528"/>
      <c r="FS114" s="528"/>
      <c r="FT114" s="528"/>
      <c r="FU114" s="528"/>
      <c r="FV114" s="528"/>
      <c r="FW114" s="528"/>
      <c r="FX114" s="528"/>
      <c r="FY114" s="528"/>
      <c r="FZ114" s="528"/>
      <c r="GA114" s="528"/>
      <c r="GB114" s="528"/>
      <c r="GC114" s="528"/>
      <c r="GD114" s="528"/>
      <c r="GE114" s="528"/>
      <c r="GF114" s="528"/>
      <c r="GG114" s="528"/>
      <c r="GH114" s="528"/>
      <c r="GI114" s="528"/>
      <c r="GJ114" s="528"/>
      <c r="GK114" s="528"/>
      <c r="GL114" s="528"/>
      <c r="GM114" s="528"/>
      <c r="GN114" s="528"/>
      <c r="GO114" s="528"/>
      <c r="GP114" s="528"/>
      <c r="GQ114" s="528"/>
      <c r="GR114" s="528"/>
      <c r="GS114" s="528"/>
      <c r="GT114" s="528"/>
      <c r="GU114" s="528"/>
      <c r="GV114" s="528"/>
      <c r="GW114" s="528"/>
      <c r="GX114" s="528"/>
      <c r="GY114" s="528"/>
      <c r="GZ114" s="528"/>
      <c r="HA114" s="528"/>
      <c r="HB114" s="528"/>
      <c r="HC114" s="528"/>
      <c r="HD114" s="528"/>
      <c r="HE114" s="528"/>
      <c r="HF114" s="528"/>
      <c r="HG114" s="528"/>
      <c r="HH114" s="528"/>
      <c r="HI114" s="528"/>
      <c r="HJ114" s="528"/>
      <c r="HK114" s="528"/>
      <c r="HL114" s="528"/>
      <c r="HM114" s="528"/>
      <c r="HN114" s="528"/>
      <c r="HO114" s="528"/>
      <c r="HP114" s="528"/>
      <c r="HQ114" s="528"/>
      <c r="HR114" s="528"/>
      <c r="HS114" s="528"/>
      <c r="HT114" s="528"/>
      <c r="HU114" s="528"/>
      <c r="HV114" s="528"/>
      <c r="HW114" s="528"/>
      <c r="HX114" s="528"/>
      <c r="HY114" s="528"/>
      <c r="HZ114" s="528"/>
      <c r="IA114" s="528"/>
      <c r="IB114" s="528"/>
      <c r="IC114" s="528"/>
      <c r="ID114" s="528"/>
      <c r="IE114" s="528"/>
      <c r="IF114" s="528"/>
      <c r="IG114" s="528"/>
      <c r="IH114" s="528"/>
      <c r="II114" s="528"/>
      <c r="IJ114" s="528"/>
      <c r="IK114" s="528"/>
      <c r="IL114" s="528"/>
      <c r="IM114" s="528"/>
      <c r="IN114" s="528"/>
      <c r="IO114" s="528"/>
    </row>
    <row r="115" spans="3:249" x14ac:dyDescent="0.25">
      <c r="C115" s="438"/>
      <c r="E115" s="702" t="s">
        <v>45</v>
      </c>
      <c r="F115" s="703">
        <f>+'[2]Typical Conv.Operating Expenses'!BW99</f>
        <v>300</v>
      </c>
      <c r="G115" s="703">
        <f>+'[2]Typical Conv.Operating Expenses'!BX99</f>
        <v>600</v>
      </c>
      <c r="H115" s="551"/>
      <c r="I115" s="580"/>
      <c r="J115" s="480"/>
      <c r="K115" s="438"/>
      <c r="L115" s="519"/>
      <c r="M115" s="519"/>
      <c r="N115" s="519"/>
      <c r="O115" s="528"/>
      <c r="P115" s="528"/>
      <c r="Q115" s="528"/>
      <c r="R115" s="528"/>
      <c r="S115" s="528"/>
      <c r="T115" s="528"/>
      <c r="U115" s="528"/>
      <c r="V115" s="528"/>
      <c r="W115" s="528"/>
      <c r="X115" s="528"/>
      <c r="Y115" s="528"/>
      <c r="Z115" s="528"/>
      <c r="AA115" s="528"/>
      <c r="AB115" s="528"/>
      <c r="AC115" s="528"/>
      <c r="AD115" s="528"/>
      <c r="AE115" s="528"/>
      <c r="AF115" s="528"/>
      <c r="AG115" s="528"/>
      <c r="AH115" s="528"/>
      <c r="AI115" s="528"/>
      <c r="AJ115" s="528"/>
      <c r="AK115" s="528"/>
      <c r="AL115" s="528"/>
      <c r="AM115" s="528"/>
      <c r="AN115" s="528"/>
      <c r="AO115" s="528"/>
      <c r="AP115" s="528"/>
      <c r="AQ115" s="528"/>
      <c r="AR115" s="528"/>
      <c r="AS115" s="528"/>
      <c r="AT115" s="528"/>
      <c r="AU115" s="528"/>
      <c r="AV115" s="528"/>
      <c r="AW115" s="528"/>
      <c r="AX115" s="528"/>
      <c r="AY115" s="528"/>
      <c r="AZ115" s="528"/>
      <c r="BA115" s="528"/>
      <c r="BB115" s="528"/>
      <c r="BC115" s="528"/>
      <c r="BD115" s="528"/>
      <c r="BE115" s="528"/>
      <c r="BF115" s="528"/>
      <c r="BG115" s="528"/>
      <c r="BH115" s="528"/>
      <c r="BI115" s="528"/>
      <c r="BJ115" s="528"/>
      <c r="BK115" s="528"/>
      <c r="BL115" s="528"/>
      <c r="BM115" s="528"/>
      <c r="BN115" s="528"/>
      <c r="BO115" s="528"/>
      <c r="BP115" s="528"/>
      <c r="BQ115" s="528"/>
      <c r="BR115" s="528"/>
      <c r="BS115" s="528"/>
      <c r="BT115" s="528"/>
      <c r="BU115" s="528"/>
      <c r="BV115" s="528"/>
      <c r="BW115" s="528"/>
      <c r="BX115" s="528"/>
      <c r="BY115" s="528"/>
      <c r="BZ115" s="528"/>
      <c r="CA115" s="528"/>
      <c r="CB115" s="528"/>
      <c r="CC115" s="528"/>
      <c r="CD115" s="528"/>
      <c r="CE115" s="528"/>
      <c r="CF115" s="528"/>
      <c r="CG115" s="528"/>
      <c r="CH115" s="528"/>
      <c r="CI115" s="528"/>
      <c r="CJ115" s="528"/>
      <c r="CK115" s="528"/>
      <c r="CL115" s="528"/>
      <c r="CM115" s="528"/>
      <c r="CN115" s="528"/>
      <c r="CO115" s="528"/>
      <c r="CP115" s="528"/>
      <c r="CQ115" s="528"/>
      <c r="CR115" s="528"/>
      <c r="CS115" s="528"/>
      <c r="CT115" s="528"/>
      <c r="CU115" s="528"/>
      <c r="CV115" s="528"/>
      <c r="CW115" s="528"/>
      <c r="CX115" s="528"/>
      <c r="CY115" s="528"/>
      <c r="CZ115" s="528"/>
      <c r="DA115" s="528"/>
      <c r="DB115" s="528"/>
      <c r="DC115" s="528"/>
      <c r="DD115" s="528"/>
      <c r="DE115" s="528"/>
      <c r="DF115" s="528"/>
      <c r="DG115" s="528"/>
      <c r="DH115" s="528"/>
      <c r="DI115" s="528"/>
      <c r="DJ115" s="528"/>
      <c r="DK115" s="528"/>
      <c r="DL115" s="528"/>
      <c r="DM115" s="528"/>
      <c r="DN115" s="528"/>
      <c r="DO115" s="528"/>
      <c r="DP115" s="528"/>
      <c r="DQ115" s="528"/>
      <c r="DR115" s="528"/>
      <c r="DS115" s="528"/>
      <c r="DT115" s="528"/>
      <c r="DU115" s="528"/>
      <c r="DV115" s="528"/>
      <c r="DW115" s="528"/>
      <c r="DX115" s="528"/>
      <c r="DY115" s="528"/>
      <c r="DZ115" s="528"/>
      <c r="EA115" s="528"/>
      <c r="EB115" s="528"/>
      <c r="EC115" s="528"/>
      <c r="ED115" s="528"/>
      <c r="EE115" s="528"/>
      <c r="EF115" s="528"/>
      <c r="EG115" s="528"/>
      <c r="EH115" s="528"/>
      <c r="EI115" s="528"/>
      <c r="EJ115" s="528"/>
      <c r="EK115" s="528"/>
      <c r="EL115" s="528"/>
      <c r="EM115" s="528"/>
      <c r="EN115" s="528"/>
      <c r="EO115" s="528"/>
      <c r="EP115" s="528"/>
      <c r="EQ115" s="528"/>
      <c r="ER115" s="528"/>
      <c r="ES115" s="528"/>
      <c r="ET115" s="528"/>
      <c r="EU115" s="528"/>
      <c r="EV115" s="528"/>
      <c r="EW115" s="528"/>
      <c r="EX115" s="528"/>
      <c r="EY115" s="528"/>
      <c r="EZ115" s="528"/>
      <c r="FA115" s="528"/>
      <c r="FB115" s="528"/>
      <c r="FC115" s="528"/>
      <c r="FD115" s="528"/>
      <c r="FE115" s="528"/>
      <c r="FF115" s="528"/>
      <c r="FG115" s="528"/>
      <c r="FH115" s="528"/>
      <c r="FI115" s="528"/>
      <c r="FJ115" s="528"/>
      <c r="FK115" s="528"/>
      <c r="FL115" s="528"/>
      <c r="FM115" s="528"/>
      <c r="FN115" s="528"/>
      <c r="FO115" s="528"/>
      <c r="FP115" s="528"/>
      <c r="FQ115" s="528"/>
      <c r="FR115" s="528"/>
      <c r="FS115" s="528"/>
      <c r="FT115" s="528"/>
      <c r="FU115" s="528"/>
      <c r="FV115" s="528"/>
      <c r="FW115" s="528"/>
      <c r="FX115" s="528"/>
      <c r="FY115" s="528"/>
      <c r="FZ115" s="528"/>
      <c r="GA115" s="528"/>
      <c r="GB115" s="528"/>
      <c r="GC115" s="528"/>
      <c r="GD115" s="528"/>
      <c r="GE115" s="528"/>
      <c r="GF115" s="528"/>
      <c r="GG115" s="528"/>
      <c r="GH115" s="528"/>
      <c r="GI115" s="528"/>
      <c r="GJ115" s="528"/>
      <c r="GK115" s="528"/>
      <c r="GL115" s="528"/>
      <c r="GM115" s="528"/>
      <c r="GN115" s="528"/>
      <c r="GO115" s="528"/>
      <c r="GP115" s="528"/>
      <c r="GQ115" s="528"/>
      <c r="GR115" s="528"/>
      <c r="GS115" s="528"/>
      <c r="GT115" s="528"/>
      <c r="GU115" s="528"/>
      <c r="GV115" s="528"/>
      <c r="GW115" s="528"/>
      <c r="GX115" s="528"/>
      <c r="GY115" s="528"/>
      <c r="GZ115" s="528"/>
      <c r="HA115" s="528"/>
      <c r="HB115" s="528"/>
      <c r="HC115" s="528"/>
      <c r="HD115" s="528"/>
      <c r="HE115" s="528"/>
      <c r="HF115" s="528"/>
      <c r="HG115" s="528"/>
      <c r="HH115" s="528"/>
      <c r="HI115" s="528"/>
      <c r="HJ115" s="528"/>
      <c r="HK115" s="528"/>
      <c r="HL115" s="528"/>
      <c r="HM115" s="528"/>
      <c r="HN115" s="528"/>
      <c r="HO115" s="528"/>
      <c r="HP115" s="528"/>
      <c r="HQ115" s="528"/>
      <c r="HR115" s="528"/>
      <c r="HS115" s="528"/>
      <c r="HT115" s="528"/>
      <c r="HU115" s="528"/>
      <c r="HV115" s="528"/>
      <c r="HW115" s="528"/>
      <c r="HX115" s="528"/>
      <c r="HY115" s="528"/>
      <c r="HZ115" s="528"/>
      <c r="IA115" s="528"/>
      <c r="IB115" s="528"/>
      <c r="IC115" s="528"/>
      <c r="ID115" s="528"/>
      <c r="IE115" s="528"/>
      <c r="IF115" s="528"/>
      <c r="IG115" s="528"/>
      <c r="IH115" s="528"/>
      <c r="II115" s="528"/>
      <c r="IJ115" s="528"/>
      <c r="IK115" s="528"/>
      <c r="IL115" s="528"/>
      <c r="IM115" s="528"/>
      <c r="IN115" s="528"/>
      <c r="IO115" s="528"/>
    </row>
    <row r="116" spans="3:249" x14ac:dyDescent="0.25">
      <c r="C116" s="438"/>
      <c r="E116" s="702" t="s">
        <v>3</v>
      </c>
      <c r="F116" s="704">
        <f>+F115*$F$13</f>
        <v>51000</v>
      </c>
      <c r="G116" s="704">
        <f>+G115*$F$13</f>
        <v>102000</v>
      </c>
      <c r="H116" s="551"/>
      <c r="I116" s="580"/>
      <c r="J116" s="480"/>
      <c r="K116" s="438"/>
      <c r="L116" s="519"/>
      <c r="M116" s="519"/>
      <c r="N116" s="519"/>
      <c r="O116" s="528"/>
      <c r="P116" s="528"/>
      <c r="Q116" s="528"/>
      <c r="R116" s="528"/>
      <c r="S116" s="528"/>
      <c r="T116" s="528"/>
      <c r="U116" s="528"/>
      <c r="V116" s="528"/>
      <c r="W116" s="528"/>
      <c r="X116" s="528"/>
      <c r="Y116" s="528"/>
      <c r="Z116" s="528"/>
      <c r="AA116" s="528"/>
      <c r="AB116" s="528"/>
      <c r="AC116" s="528"/>
      <c r="AD116" s="528"/>
      <c r="AE116" s="528"/>
      <c r="AF116" s="528"/>
      <c r="AG116" s="528"/>
      <c r="AH116" s="528"/>
      <c r="AI116" s="528"/>
      <c r="AJ116" s="528"/>
      <c r="AK116" s="528"/>
      <c r="AL116" s="528"/>
      <c r="AM116" s="528"/>
      <c r="AN116" s="528"/>
      <c r="AO116" s="528"/>
      <c r="AP116" s="528"/>
      <c r="AQ116" s="528"/>
      <c r="AR116" s="528"/>
      <c r="AS116" s="528"/>
      <c r="AT116" s="528"/>
      <c r="AU116" s="528"/>
      <c r="AV116" s="528"/>
      <c r="AW116" s="528"/>
      <c r="AX116" s="528"/>
      <c r="AY116" s="528"/>
      <c r="AZ116" s="528"/>
      <c r="BA116" s="528"/>
      <c r="BB116" s="528"/>
      <c r="BC116" s="528"/>
      <c r="BD116" s="528"/>
      <c r="BE116" s="528"/>
      <c r="BF116" s="528"/>
      <c r="BG116" s="528"/>
      <c r="BH116" s="528"/>
      <c r="BI116" s="528"/>
      <c r="BJ116" s="528"/>
      <c r="BK116" s="528"/>
      <c r="BL116" s="528"/>
      <c r="BM116" s="528"/>
      <c r="BN116" s="528"/>
      <c r="BO116" s="528"/>
      <c r="BP116" s="528"/>
      <c r="BQ116" s="528"/>
      <c r="BR116" s="528"/>
      <c r="BS116" s="528"/>
      <c r="BT116" s="528"/>
      <c r="BU116" s="528"/>
      <c r="BV116" s="528"/>
      <c r="BW116" s="528"/>
      <c r="BX116" s="528"/>
      <c r="BY116" s="528"/>
      <c r="BZ116" s="528"/>
      <c r="CA116" s="528"/>
      <c r="CB116" s="528"/>
      <c r="CC116" s="528"/>
      <c r="CD116" s="528"/>
      <c r="CE116" s="528"/>
      <c r="CF116" s="528"/>
      <c r="CG116" s="528"/>
      <c r="CH116" s="528"/>
      <c r="CI116" s="528"/>
      <c r="CJ116" s="528"/>
      <c r="CK116" s="528"/>
      <c r="CL116" s="528"/>
      <c r="CM116" s="528"/>
      <c r="CN116" s="528"/>
      <c r="CO116" s="528"/>
      <c r="CP116" s="528"/>
      <c r="CQ116" s="528"/>
      <c r="CR116" s="528"/>
      <c r="CS116" s="528"/>
      <c r="CT116" s="528"/>
      <c r="CU116" s="528"/>
      <c r="CV116" s="528"/>
      <c r="CW116" s="528"/>
      <c r="CX116" s="528"/>
      <c r="CY116" s="528"/>
      <c r="CZ116" s="528"/>
      <c r="DA116" s="528"/>
      <c r="DB116" s="528"/>
      <c r="DC116" s="528"/>
      <c r="DD116" s="528"/>
      <c r="DE116" s="528"/>
      <c r="DF116" s="528"/>
      <c r="DG116" s="528"/>
      <c r="DH116" s="528"/>
      <c r="DI116" s="528"/>
      <c r="DJ116" s="528"/>
      <c r="DK116" s="528"/>
      <c r="DL116" s="528"/>
      <c r="DM116" s="528"/>
      <c r="DN116" s="528"/>
      <c r="DO116" s="528"/>
      <c r="DP116" s="528"/>
      <c r="DQ116" s="528"/>
      <c r="DR116" s="528"/>
      <c r="DS116" s="528"/>
      <c r="DT116" s="528"/>
      <c r="DU116" s="528"/>
      <c r="DV116" s="528"/>
      <c r="DW116" s="528"/>
      <c r="DX116" s="528"/>
      <c r="DY116" s="528"/>
      <c r="DZ116" s="528"/>
      <c r="EA116" s="528"/>
      <c r="EB116" s="528"/>
      <c r="EC116" s="528"/>
      <c r="ED116" s="528"/>
      <c r="EE116" s="528"/>
      <c r="EF116" s="528"/>
      <c r="EG116" s="528"/>
      <c r="EH116" s="528"/>
      <c r="EI116" s="528"/>
      <c r="EJ116" s="528"/>
      <c r="EK116" s="528"/>
      <c r="EL116" s="528"/>
      <c r="EM116" s="528"/>
      <c r="EN116" s="528"/>
      <c r="EO116" s="528"/>
      <c r="EP116" s="528"/>
      <c r="EQ116" s="528"/>
      <c r="ER116" s="528"/>
      <c r="ES116" s="528"/>
      <c r="ET116" s="528"/>
      <c r="EU116" s="528"/>
      <c r="EV116" s="528"/>
      <c r="EW116" s="528"/>
      <c r="EX116" s="528"/>
      <c r="EY116" s="528"/>
      <c r="EZ116" s="528"/>
      <c r="FA116" s="528"/>
      <c r="FB116" s="528"/>
      <c r="FC116" s="528"/>
      <c r="FD116" s="528"/>
      <c r="FE116" s="528"/>
      <c r="FF116" s="528"/>
      <c r="FG116" s="528"/>
      <c r="FH116" s="528"/>
      <c r="FI116" s="528"/>
      <c r="FJ116" s="528"/>
      <c r="FK116" s="528"/>
      <c r="FL116" s="528"/>
      <c r="FM116" s="528"/>
      <c r="FN116" s="528"/>
      <c r="FO116" s="528"/>
      <c r="FP116" s="528"/>
      <c r="FQ116" s="528"/>
      <c r="FR116" s="528"/>
      <c r="FS116" s="528"/>
      <c r="FT116" s="528"/>
      <c r="FU116" s="528"/>
      <c r="FV116" s="528"/>
      <c r="FW116" s="528"/>
      <c r="FX116" s="528"/>
      <c r="FY116" s="528"/>
      <c r="FZ116" s="528"/>
      <c r="GA116" s="528"/>
      <c r="GB116" s="528"/>
      <c r="GC116" s="528"/>
      <c r="GD116" s="528"/>
      <c r="GE116" s="528"/>
      <c r="GF116" s="528"/>
      <c r="GG116" s="528"/>
      <c r="GH116" s="528"/>
      <c r="GI116" s="528"/>
      <c r="GJ116" s="528"/>
      <c r="GK116" s="528"/>
      <c r="GL116" s="528"/>
      <c r="GM116" s="528"/>
      <c r="GN116" s="528"/>
      <c r="GO116" s="528"/>
      <c r="GP116" s="528"/>
      <c r="GQ116" s="528"/>
      <c r="GR116" s="528"/>
      <c r="GS116" s="528"/>
      <c r="GT116" s="528"/>
      <c r="GU116" s="528"/>
      <c r="GV116" s="528"/>
      <c r="GW116" s="528"/>
      <c r="GX116" s="528"/>
      <c r="GY116" s="528"/>
      <c r="GZ116" s="528"/>
      <c r="HA116" s="528"/>
      <c r="HB116" s="528"/>
      <c r="HC116" s="528"/>
      <c r="HD116" s="528"/>
      <c r="HE116" s="528"/>
      <c r="HF116" s="528"/>
      <c r="HG116" s="528"/>
      <c r="HH116" s="528"/>
      <c r="HI116" s="528"/>
      <c r="HJ116" s="528"/>
      <c r="HK116" s="528"/>
      <c r="HL116" s="528"/>
      <c r="HM116" s="528"/>
      <c r="HN116" s="528"/>
      <c r="HO116" s="528"/>
      <c r="HP116" s="528"/>
      <c r="HQ116" s="528"/>
      <c r="HR116" s="528"/>
      <c r="HS116" s="528"/>
      <c r="HT116" s="528"/>
      <c r="HU116" s="528"/>
      <c r="HV116" s="528"/>
      <c r="HW116" s="528"/>
      <c r="HX116" s="528"/>
      <c r="HY116" s="528"/>
      <c r="HZ116" s="528"/>
      <c r="IA116" s="528"/>
      <c r="IB116" s="528"/>
      <c r="IC116" s="528"/>
      <c r="ID116" s="528"/>
      <c r="IE116" s="528"/>
      <c r="IF116" s="528"/>
      <c r="IG116" s="528"/>
      <c r="IH116" s="528"/>
      <c r="II116" s="528"/>
      <c r="IJ116" s="528"/>
      <c r="IK116" s="528"/>
      <c r="IL116" s="528"/>
      <c r="IM116" s="528"/>
      <c r="IN116" s="528"/>
      <c r="IO116" s="528"/>
    </row>
    <row r="117" spans="3:249" x14ac:dyDescent="0.25">
      <c r="C117" s="438"/>
      <c r="E117" s="585" t="s">
        <v>598</v>
      </c>
      <c r="F117" s="705">
        <v>450</v>
      </c>
      <c r="G117" s="706"/>
      <c r="H117" s="706"/>
      <c r="I117" s="586"/>
      <c r="J117" s="480"/>
      <c r="K117" s="438"/>
      <c r="L117" s="519"/>
      <c r="M117" s="519"/>
      <c r="N117" s="519"/>
      <c r="O117" s="528"/>
      <c r="P117" s="528"/>
      <c r="Q117" s="528"/>
      <c r="R117" s="528"/>
      <c r="S117" s="528"/>
      <c r="T117" s="528"/>
      <c r="U117" s="528"/>
      <c r="V117" s="528"/>
      <c r="W117" s="528"/>
      <c r="X117" s="528"/>
      <c r="Y117" s="528"/>
      <c r="Z117" s="528"/>
      <c r="AA117" s="528"/>
      <c r="AB117" s="528"/>
      <c r="AC117" s="528"/>
      <c r="AD117" s="528"/>
      <c r="AE117" s="528"/>
      <c r="AF117" s="528"/>
      <c r="AG117" s="528"/>
      <c r="AH117" s="528"/>
      <c r="AI117" s="528"/>
      <c r="AJ117" s="528"/>
      <c r="AK117" s="528"/>
      <c r="AL117" s="528"/>
      <c r="AM117" s="528"/>
      <c r="AN117" s="528"/>
      <c r="AO117" s="528"/>
      <c r="AP117" s="528"/>
      <c r="AQ117" s="528"/>
      <c r="AR117" s="528"/>
      <c r="AS117" s="528"/>
      <c r="AT117" s="528"/>
      <c r="AU117" s="528"/>
      <c r="AV117" s="528"/>
      <c r="AW117" s="528"/>
      <c r="AX117" s="528"/>
      <c r="AY117" s="528"/>
      <c r="AZ117" s="528"/>
      <c r="BA117" s="528"/>
      <c r="BB117" s="528"/>
      <c r="BC117" s="528"/>
      <c r="BD117" s="528"/>
      <c r="BE117" s="528"/>
      <c r="BF117" s="528"/>
      <c r="BG117" s="528"/>
      <c r="BH117" s="528"/>
      <c r="BI117" s="528"/>
      <c r="BJ117" s="528"/>
      <c r="BK117" s="528"/>
      <c r="BL117" s="528"/>
      <c r="BM117" s="528"/>
      <c r="BN117" s="528"/>
      <c r="BO117" s="528"/>
      <c r="BP117" s="528"/>
      <c r="BQ117" s="528"/>
      <c r="BR117" s="528"/>
      <c r="BS117" s="528"/>
      <c r="BT117" s="528"/>
      <c r="BU117" s="528"/>
      <c r="BV117" s="528"/>
      <c r="BW117" s="528"/>
      <c r="BX117" s="528"/>
      <c r="BY117" s="528"/>
      <c r="BZ117" s="528"/>
      <c r="CA117" s="528"/>
      <c r="CB117" s="528"/>
      <c r="CC117" s="528"/>
      <c r="CD117" s="528"/>
      <c r="CE117" s="528"/>
      <c r="CF117" s="528"/>
      <c r="CG117" s="528"/>
      <c r="CH117" s="528"/>
      <c r="CI117" s="528"/>
      <c r="CJ117" s="528"/>
      <c r="CK117" s="528"/>
      <c r="CL117" s="528"/>
      <c r="CM117" s="528"/>
      <c r="CN117" s="528"/>
      <c r="CO117" s="528"/>
      <c r="CP117" s="528"/>
      <c r="CQ117" s="528"/>
      <c r="CR117" s="528"/>
      <c r="CS117" s="528"/>
      <c r="CT117" s="528"/>
      <c r="CU117" s="528"/>
      <c r="CV117" s="528"/>
      <c r="CW117" s="528"/>
      <c r="CX117" s="528"/>
      <c r="CY117" s="528"/>
      <c r="CZ117" s="528"/>
      <c r="DA117" s="528"/>
      <c r="DB117" s="528"/>
      <c r="DC117" s="528"/>
      <c r="DD117" s="528"/>
      <c r="DE117" s="528"/>
      <c r="DF117" s="528"/>
      <c r="DG117" s="528"/>
      <c r="DH117" s="528"/>
      <c r="DI117" s="528"/>
      <c r="DJ117" s="528"/>
      <c r="DK117" s="528"/>
      <c r="DL117" s="528"/>
      <c r="DM117" s="528"/>
      <c r="DN117" s="528"/>
      <c r="DO117" s="528"/>
      <c r="DP117" s="528"/>
      <c r="DQ117" s="528"/>
      <c r="DR117" s="528"/>
      <c r="DS117" s="528"/>
      <c r="DT117" s="528"/>
      <c r="DU117" s="528"/>
      <c r="DV117" s="528"/>
      <c r="DW117" s="528"/>
      <c r="DX117" s="528"/>
      <c r="DY117" s="528"/>
      <c r="DZ117" s="528"/>
      <c r="EA117" s="528"/>
      <c r="EB117" s="528"/>
      <c r="EC117" s="528"/>
      <c r="ED117" s="528"/>
      <c r="EE117" s="528"/>
      <c r="EF117" s="528"/>
      <c r="EG117" s="528"/>
      <c r="EH117" s="528"/>
      <c r="EI117" s="528"/>
      <c r="EJ117" s="528"/>
      <c r="EK117" s="528"/>
      <c r="EL117" s="528"/>
      <c r="EM117" s="528"/>
      <c r="EN117" s="528"/>
      <c r="EO117" s="528"/>
      <c r="EP117" s="528"/>
      <c r="EQ117" s="528"/>
      <c r="ER117" s="528"/>
      <c r="ES117" s="528"/>
      <c r="ET117" s="528"/>
      <c r="EU117" s="528"/>
      <c r="EV117" s="528"/>
      <c r="EW117" s="528"/>
      <c r="EX117" s="528"/>
      <c r="EY117" s="528"/>
      <c r="EZ117" s="528"/>
      <c r="FA117" s="528"/>
      <c r="FB117" s="528"/>
      <c r="FC117" s="528"/>
      <c r="FD117" s="528"/>
      <c r="FE117" s="528"/>
      <c r="FF117" s="528"/>
      <c r="FG117" s="528"/>
      <c r="FH117" s="528"/>
      <c r="FI117" s="528"/>
      <c r="FJ117" s="528"/>
      <c r="FK117" s="528"/>
      <c r="FL117" s="528"/>
      <c r="FM117" s="528"/>
      <c r="FN117" s="528"/>
      <c r="FO117" s="528"/>
      <c r="FP117" s="528"/>
      <c r="FQ117" s="528"/>
      <c r="FR117" s="528"/>
      <c r="FS117" s="528"/>
      <c r="FT117" s="528"/>
      <c r="FU117" s="528"/>
      <c r="FV117" s="528"/>
      <c r="FW117" s="528"/>
      <c r="FX117" s="528"/>
      <c r="FY117" s="528"/>
      <c r="FZ117" s="528"/>
      <c r="GA117" s="528"/>
      <c r="GB117" s="528"/>
      <c r="GC117" s="528"/>
      <c r="GD117" s="528"/>
      <c r="GE117" s="528"/>
      <c r="GF117" s="528"/>
      <c r="GG117" s="528"/>
      <c r="GH117" s="528"/>
      <c r="GI117" s="528"/>
      <c r="GJ117" s="528"/>
      <c r="GK117" s="528"/>
      <c r="GL117" s="528"/>
      <c r="GM117" s="528"/>
      <c r="GN117" s="528"/>
      <c r="GO117" s="528"/>
      <c r="GP117" s="528"/>
      <c r="GQ117" s="528"/>
      <c r="GR117" s="528"/>
      <c r="GS117" s="528"/>
      <c r="GT117" s="528"/>
      <c r="GU117" s="528"/>
      <c r="GV117" s="528"/>
      <c r="GW117" s="528"/>
      <c r="GX117" s="528"/>
      <c r="GY117" s="528"/>
      <c r="GZ117" s="528"/>
      <c r="HA117" s="528"/>
      <c r="HB117" s="528"/>
      <c r="HC117" s="528"/>
      <c r="HD117" s="528"/>
      <c r="HE117" s="528"/>
      <c r="HF117" s="528"/>
      <c r="HG117" s="528"/>
      <c r="HH117" s="528"/>
      <c r="HI117" s="528"/>
      <c r="HJ117" s="528"/>
      <c r="HK117" s="528"/>
      <c r="HL117" s="528"/>
      <c r="HM117" s="528"/>
      <c r="HN117" s="528"/>
      <c r="HO117" s="528"/>
      <c r="HP117" s="528"/>
      <c r="HQ117" s="528"/>
      <c r="HR117" s="528"/>
      <c r="HS117" s="528"/>
      <c r="HT117" s="528"/>
      <c r="HU117" s="528"/>
      <c r="HV117" s="528"/>
      <c r="HW117" s="528"/>
      <c r="HX117" s="528"/>
      <c r="HY117" s="528"/>
      <c r="HZ117" s="528"/>
      <c r="IA117" s="528"/>
      <c r="IB117" s="528"/>
      <c r="IC117" s="528"/>
      <c r="ID117" s="528"/>
      <c r="IE117" s="528"/>
      <c r="IF117" s="528"/>
      <c r="IG117" s="528"/>
      <c r="IH117" s="528"/>
      <c r="II117" s="528"/>
      <c r="IJ117" s="528"/>
      <c r="IK117" s="528"/>
      <c r="IL117" s="528"/>
      <c r="IM117" s="528"/>
      <c r="IN117" s="528"/>
      <c r="IO117" s="528"/>
    </row>
    <row r="118" spans="3:249" x14ac:dyDescent="0.25">
      <c r="C118" s="438"/>
      <c r="F118" s="551"/>
      <c r="G118" s="551"/>
      <c r="H118" s="551"/>
      <c r="I118" s="551"/>
      <c r="J118" s="707" t="s">
        <v>599</v>
      </c>
      <c r="K118" s="708"/>
      <c r="L118" s="709"/>
      <c r="M118" s="710"/>
      <c r="N118" s="519"/>
      <c r="O118" s="528"/>
      <c r="P118" s="528"/>
      <c r="Q118" s="528"/>
      <c r="R118" s="528"/>
      <c r="S118" s="528"/>
      <c r="T118" s="528"/>
      <c r="U118" s="528"/>
      <c r="V118" s="528"/>
      <c r="W118" s="528"/>
      <c r="X118" s="528"/>
      <c r="Y118" s="528"/>
      <c r="Z118" s="528"/>
      <c r="AA118" s="528"/>
      <c r="AB118" s="528"/>
      <c r="AC118" s="528"/>
      <c r="AD118" s="528"/>
      <c r="AE118" s="528"/>
      <c r="AF118" s="528"/>
      <c r="AG118" s="528"/>
      <c r="AH118" s="528"/>
      <c r="AI118" s="528"/>
      <c r="AJ118" s="528"/>
      <c r="AK118" s="528"/>
      <c r="AL118" s="528"/>
      <c r="AM118" s="528"/>
      <c r="AN118" s="528"/>
      <c r="AO118" s="528"/>
      <c r="AP118" s="528"/>
      <c r="AQ118" s="528"/>
      <c r="AR118" s="528"/>
      <c r="AS118" s="528"/>
      <c r="AT118" s="528"/>
      <c r="AU118" s="528"/>
      <c r="AV118" s="528"/>
      <c r="AW118" s="528"/>
      <c r="AX118" s="528"/>
      <c r="AY118" s="528"/>
      <c r="AZ118" s="528"/>
      <c r="BA118" s="528"/>
      <c r="BB118" s="528"/>
      <c r="BC118" s="528"/>
      <c r="BD118" s="528"/>
      <c r="BE118" s="528"/>
      <c r="BF118" s="528"/>
      <c r="BG118" s="528"/>
      <c r="BH118" s="528"/>
      <c r="BI118" s="528"/>
      <c r="BJ118" s="528"/>
      <c r="BK118" s="528"/>
      <c r="BL118" s="528"/>
      <c r="BM118" s="528"/>
      <c r="BN118" s="528"/>
      <c r="BO118" s="528"/>
      <c r="BP118" s="528"/>
      <c r="BQ118" s="528"/>
      <c r="BR118" s="528"/>
      <c r="BS118" s="528"/>
      <c r="BT118" s="528"/>
      <c r="BU118" s="528"/>
      <c r="BV118" s="528"/>
      <c r="BW118" s="528"/>
      <c r="BX118" s="528"/>
      <c r="BY118" s="528"/>
      <c r="BZ118" s="528"/>
      <c r="CA118" s="528"/>
      <c r="CB118" s="528"/>
      <c r="CC118" s="528"/>
      <c r="CD118" s="528"/>
      <c r="CE118" s="528"/>
      <c r="CF118" s="528"/>
      <c r="CG118" s="528"/>
      <c r="CH118" s="528"/>
      <c r="CI118" s="528"/>
      <c r="CJ118" s="528"/>
      <c r="CK118" s="528"/>
      <c r="CL118" s="528"/>
      <c r="CM118" s="528"/>
      <c r="CN118" s="528"/>
      <c r="CO118" s="528"/>
      <c r="CP118" s="528"/>
      <c r="CQ118" s="528"/>
      <c r="CR118" s="528"/>
      <c r="CS118" s="528"/>
      <c r="CT118" s="528"/>
      <c r="CU118" s="528"/>
      <c r="CV118" s="528"/>
      <c r="CW118" s="528"/>
      <c r="CX118" s="528"/>
      <c r="CY118" s="528"/>
      <c r="CZ118" s="528"/>
      <c r="DA118" s="528"/>
      <c r="DB118" s="528"/>
      <c r="DC118" s="528"/>
      <c r="DD118" s="528"/>
      <c r="DE118" s="528"/>
      <c r="DF118" s="528"/>
      <c r="DG118" s="528"/>
      <c r="DH118" s="528"/>
      <c r="DI118" s="528"/>
      <c r="DJ118" s="528"/>
      <c r="DK118" s="528"/>
      <c r="DL118" s="528"/>
      <c r="DM118" s="528"/>
      <c r="DN118" s="528"/>
      <c r="DO118" s="528"/>
      <c r="DP118" s="528"/>
      <c r="DQ118" s="528"/>
      <c r="DR118" s="528"/>
      <c r="DS118" s="528"/>
      <c r="DT118" s="528"/>
      <c r="DU118" s="528"/>
      <c r="DV118" s="528"/>
      <c r="DW118" s="528"/>
      <c r="DX118" s="528"/>
      <c r="DY118" s="528"/>
      <c r="DZ118" s="528"/>
      <c r="EA118" s="528"/>
      <c r="EB118" s="528"/>
      <c r="EC118" s="528"/>
      <c r="ED118" s="528"/>
      <c r="EE118" s="528"/>
      <c r="EF118" s="528"/>
      <c r="EG118" s="528"/>
      <c r="EH118" s="528"/>
      <c r="EI118" s="528"/>
      <c r="EJ118" s="528"/>
      <c r="EK118" s="528"/>
      <c r="EL118" s="528"/>
      <c r="EM118" s="528"/>
      <c r="EN118" s="528"/>
      <c r="EO118" s="528"/>
      <c r="EP118" s="528"/>
      <c r="EQ118" s="528"/>
      <c r="ER118" s="528"/>
      <c r="ES118" s="528"/>
      <c r="ET118" s="528"/>
      <c r="EU118" s="528"/>
      <c r="EV118" s="528"/>
      <c r="EW118" s="528"/>
      <c r="EX118" s="528"/>
      <c r="EY118" s="528"/>
      <c r="EZ118" s="528"/>
      <c r="FA118" s="528"/>
      <c r="FB118" s="528"/>
      <c r="FC118" s="528"/>
      <c r="FD118" s="528"/>
      <c r="FE118" s="528"/>
      <c r="FF118" s="528"/>
      <c r="FG118" s="528"/>
      <c r="FH118" s="528"/>
      <c r="FI118" s="528"/>
      <c r="FJ118" s="528"/>
      <c r="FK118" s="528"/>
      <c r="FL118" s="528"/>
      <c r="FM118" s="528"/>
      <c r="FN118" s="528"/>
      <c r="FO118" s="528"/>
      <c r="FP118" s="528"/>
      <c r="FQ118" s="528"/>
      <c r="FR118" s="528"/>
      <c r="FS118" s="528"/>
      <c r="FT118" s="528"/>
      <c r="FU118" s="528"/>
      <c r="FV118" s="528"/>
      <c r="FW118" s="528"/>
      <c r="FX118" s="528"/>
      <c r="FY118" s="528"/>
      <c r="FZ118" s="528"/>
      <c r="GA118" s="528"/>
      <c r="GB118" s="528"/>
      <c r="GC118" s="528"/>
      <c r="GD118" s="528"/>
      <c r="GE118" s="528"/>
      <c r="GF118" s="528"/>
      <c r="GG118" s="528"/>
      <c r="GH118" s="528"/>
      <c r="GI118" s="528"/>
      <c r="GJ118" s="528"/>
      <c r="GK118" s="528"/>
      <c r="GL118" s="528"/>
      <c r="GM118" s="528"/>
      <c r="GN118" s="528"/>
      <c r="GO118" s="528"/>
      <c r="GP118" s="528"/>
      <c r="GQ118" s="528"/>
      <c r="GR118" s="528"/>
      <c r="GS118" s="528"/>
      <c r="GT118" s="528"/>
      <c r="GU118" s="528"/>
      <c r="GV118" s="528"/>
      <c r="GW118" s="528"/>
      <c r="GX118" s="528"/>
      <c r="GY118" s="528"/>
      <c r="GZ118" s="528"/>
      <c r="HA118" s="528"/>
      <c r="HB118" s="528"/>
      <c r="HC118" s="528"/>
      <c r="HD118" s="528"/>
      <c r="HE118" s="528"/>
      <c r="HF118" s="528"/>
      <c r="HG118" s="528"/>
      <c r="HH118" s="528"/>
      <c r="HI118" s="528"/>
      <c r="HJ118" s="528"/>
      <c r="HK118" s="528"/>
      <c r="HL118" s="528"/>
      <c r="HM118" s="528"/>
      <c r="HN118" s="528"/>
      <c r="HO118" s="528"/>
      <c r="HP118" s="528"/>
      <c r="HQ118" s="528"/>
      <c r="HR118" s="528"/>
      <c r="HS118" s="528"/>
      <c r="HT118" s="528"/>
      <c r="HU118" s="528"/>
      <c r="HV118" s="528"/>
      <c r="HW118" s="528"/>
      <c r="HX118" s="528"/>
      <c r="HY118" s="528"/>
      <c r="HZ118" s="528"/>
      <c r="IA118" s="528"/>
      <c r="IB118" s="528"/>
      <c r="IC118" s="528"/>
      <c r="ID118" s="528"/>
      <c r="IE118" s="528"/>
      <c r="IF118" s="528"/>
      <c r="IG118" s="528"/>
      <c r="IH118" s="528"/>
      <c r="II118" s="528"/>
      <c r="IJ118" s="528"/>
      <c r="IK118" s="528"/>
      <c r="IL118" s="528"/>
      <c r="IM118" s="528"/>
      <c r="IN118" s="528"/>
      <c r="IO118" s="528"/>
    </row>
    <row r="119" spans="3:249" x14ac:dyDescent="0.25">
      <c r="C119" s="438"/>
      <c r="D119" s="569">
        <v>5</v>
      </c>
      <c r="E119" s="677" t="s">
        <v>600</v>
      </c>
      <c r="F119" s="678"/>
      <c r="G119" s="678"/>
      <c r="H119" s="678"/>
      <c r="I119" s="678"/>
      <c r="J119" s="711" t="s">
        <v>601</v>
      </c>
      <c r="K119" s="438"/>
      <c r="L119" s="712">
        <f>+'[2]CMHC '!U9</f>
        <v>0.01</v>
      </c>
      <c r="M119" s="713"/>
      <c r="N119" s="519"/>
      <c r="O119" s="528"/>
      <c r="P119" s="528"/>
      <c r="Q119" s="528"/>
      <c r="R119" s="528"/>
      <c r="S119" s="528"/>
      <c r="T119" s="528"/>
      <c r="U119" s="528"/>
      <c r="V119" s="528"/>
      <c r="W119" s="528"/>
      <c r="X119" s="528"/>
      <c r="Y119" s="528"/>
      <c r="Z119" s="528"/>
      <c r="AA119" s="528"/>
      <c r="AB119" s="528"/>
      <c r="AC119" s="528"/>
      <c r="AD119" s="528"/>
      <c r="AE119" s="528"/>
      <c r="AF119" s="528"/>
      <c r="AG119" s="528"/>
      <c r="AH119" s="528"/>
      <c r="AI119" s="528"/>
      <c r="AJ119" s="528"/>
      <c r="AK119" s="528"/>
      <c r="AL119" s="528"/>
      <c r="AM119" s="528"/>
      <c r="AN119" s="528"/>
      <c r="AO119" s="528"/>
      <c r="AP119" s="528"/>
      <c r="AQ119" s="528"/>
      <c r="AR119" s="528"/>
      <c r="AS119" s="528"/>
      <c r="AT119" s="528"/>
      <c r="AU119" s="528"/>
      <c r="AV119" s="528"/>
      <c r="AW119" s="528"/>
      <c r="AX119" s="528"/>
      <c r="AY119" s="528"/>
      <c r="AZ119" s="528"/>
      <c r="BA119" s="528"/>
      <c r="BB119" s="528"/>
      <c r="BC119" s="528"/>
      <c r="BD119" s="528"/>
      <c r="BE119" s="528"/>
      <c r="BF119" s="528"/>
      <c r="BG119" s="528"/>
      <c r="BH119" s="528"/>
      <c r="BI119" s="528"/>
      <c r="BJ119" s="528"/>
      <c r="BK119" s="528"/>
      <c r="BL119" s="528"/>
      <c r="BM119" s="528"/>
      <c r="BN119" s="528"/>
      <c r="BO119" s="528"/>
      <c r="BP119" s="528"/>
      <c r="BQ119" s="528"/>
      <c r="BR119" s="528"/>
      <c r="BS119" s="528"/>
      <c r="BT119" s="528"/>
      <c r="BU119" s="528"/>
      <c r="BV119" s="528"/>
      <c r="BW119" s="528"/>
      <c r="BX119" s="528"/>
      <c r="BY119" s="528"/>
      <c r="BZ119" s="528"/>
      <c r="CA119" s="528"/>
      <c r="CB119" s="528"/>
      <c r="CC119" s="528"/>
      <c r="CD119" s="528"/>
      <c r="CE119" s="528"/>
      <c r="CF119" s="528"/>
      <c r="CG119" s="528"/>
      <c r="CH119" s="528"/>
      <c r="CI119" s="528"/>
      <c r="CJ119" s="528"/>
      <c r="CK119" s="528"/>
      <c r="CL119" s="528"/>
      <c r="CM119" s="528"/>
      <c r="CN119" s="528"/>
      <c r="CO119" s="528"/>
      <c r="CP119" s="528"/>
      <c r="CQ119" s="528"/>
      <c r="CR119" s="528"/>
      <c r="CS119" s="528"/>
      <c r="CT119" s="528"/>
      <c r="CU119" s="528"/>
      <c r="CV119" s="528"/>
      <c r="CW119" s="528"/>
      <c r="CX119" s="528"/>
      <c r="CY119" s="528"/>
      <c r="CZ119" s="528"/>
      <c r="DA119" s="528"/>
      <c r="DB119" s="528"/>
      <c r="DC119" s="528"/>
      <c r="DD119" s="528"/>
      <c r="DE119" s="528"/>
      <c r="DF119" s="528"/>
      <c r="DG119" s="528"/>
      <c r="DH119" s="528"/>
      <c r="DI119" s="528"/>
      <c r="DJ119" s="528"/>
      <c r="DK119" s="528"/>
      <c r="DL119" s="528"/>
      <c r="DM119" s="528"/>
      <c r="DN119" s="528"/>
      <c r="DO119" s="528"/>
      <c r="DP119" s="528"/>
      <c r="DQ119" s="528"/>
      <c r="DR119" s="528"/>
      <c r="DS119" s="528"/>
      <c r="DT119" s="528"/>
      <c r="DU119" s="528"/>
      <c r="DV119" s="528"/>
      <c r="DW119" s="528"/>
      <c r="DX119" s="528"/>
      <c r="DY119" s="528"/>
      <c r="DZ119" s="528"/>
      <c r="EA119" s="528"/>
      <c r="EB119" s="528"/>
      <c r="EC119" s="528"/>
      <c r="ED119" s="528"/>
      <c r="EE119" s="528"/>
      <c r="EF119" s="528"/>
      <c r="EG119" s="528"/>
      <c r="EH119" s="528"/>
      <c r="EI119" s="528"/>
      <c r="EJ119" s="528"/>
      <c r="EK119" s="528"/>
      <c r="EL119" s="528"/>
      <c r="EM119" s="528"/>
      <c r="EN119" s="528"/>
      <c r="EO119" s="528"/>
      <c r="EP119" s="528"/>
      <c r="EQ119" s="528"/>
      <c r="ER119" s="528"/>
      <c r="ES119" s="528"/>
      <c r="ET119" s="528"/>
      <c r="EU119" s="528"/>
      <c r="EV119" s="528"/>
      <c r="EW119" s="528"/>
      <c r="EX119" s="528"/>
      <c r="EY119" s="528"/>
      <c r="EZ119" s="528"/>
      <c r="FA119" s="528"/>
      <c r="FB119" s="528"/>
      <c r="FC119" s="528"/>
      <c r="FD119" s="528"/>
      <c r="FE119" s="528"/>
      <c r="FF119" s="528"/>
      <c r="FG119" s="528"/>
      <c r="FH119" s="528"/>
      <c r="FI119" s="528"/>
      <c r="FJ119" s="528"/>
      <c r="FK119" s="528"/>
      <c r="FL119" s="528"/>
      <c r="FM119" s="528"/>
      <c r="FN119" s="528"/>
      <c r="FO119" s="528"/>
      <c r="FP119" s="528"/>
      <c r="FQ119" s="528"/>
      <c r="FR119" s="528"/>
      <c r="FS119" s="528"/>
      <c r="FT119" s="528"/>
      <c r="FU119" s="528"/>
      <c r="FV119" s="528"/>
      <c r="FW119" s="528"/>
      <c r="FX119" s="528"/>
      <c r="FY119" s="528"/>
      <c r="FZ119" s="528"/>
      <c r="GA119" s="528"/>
      <c r="GB119" s="528"/>
      <c r="GC119" s="528"/>
      <c r="GD119" s="528"/>
      <c r="GE119" s="528"/>
      <c r="GF119" s="528"/>
      <c r="GG119" s="528"/>
      <c r="GH119" s="528"/>
      <c r="GI119" s="528"/>
      <c r="GJ119" s="528"/>
      <c r="GK119" s="528"/>
      <c r="GL119" s="528"/>
      <c r="GM119" s="528"/>
      <c r="GN119" s="528"/>
      <c r="GO119" s="528"/>
      <c r="GP119" s="528"/>
      <c r="GQ119" s="528"/>
      <c r="GR119" s="528"/>
      <c r="GS119" s="528"/>
      <c r="GT119" s="528"/>
      <c r="GU119" s="528"/>
      <c r="GV119" s="528"/>
      <c r="GW119" s="528"/>
      <c r="GX119" s="528"/>
      <c r="GY119" s="528"/>
      <c r="GZ119" s="528"/>
      <c r="HA119" s="528"/>
      <c r="HB119" s="528"/>
      <c r="HC119" s="528"/>
      <c r="HD119" s="528"/>
      <c r="HE119" s="528"/>
      <c r="HF119" s="528"/>
      <c r="HG119" s="528"/>
      <c r="HH119" s="528"/>
      <c r="HI119" s="528"/>
      <c r="HJ119" s="528"/>
      <c r="HK119" s="528"/>
      <c r="HL119" s="528"/>
      <c r="HM119" s="528"/>
      <c r="HN119" s="528"/>
      <c r="HO119" s="528"/>
      <c r="HP119" s="528"/>
      <c r="HQ119" s="528"/>
      <c r="HR119" s="528"/>
      <c r="HS119" s="528"/>
      <c r="HT119" s="528"/>
      <c r="HU119" s="528"/>
      <c r="HV119" s="528"/>
      <c r="HW119" s="528"/>
      <c r="HX119" s="528"/>
      <c r="HY119" s="528"/>
      <c r="HZ119" s="528"/>
      <c r="IA119" s="528"/>
      <c r="IB119" s="528"/>
      <c r="IC119" s="528"/>
      <c r="ID119" s="528"/>
      <c r="IE119" s="528"/>
      <c r="IF119" s="528"/>
      <c r="IG119" s="528"/>
      <c r="IH119" s="528"/>
      <c r="II119" s="528"/>
      <c r="IJ119" s="528"/>
      <c r="IK119" s="528"/>
      <c r="IL119" s="528"/>
      <c r="IM119" s="528"/>
      <c r="IN119" s="528"/>
      <c r="IO119" s="528"/>
    </row>
    <row r="120" spans="3:249" x14ac:dyDescent="0.25">
      <c r="C120" s="438"/>
      <c r="E120" s="702" t="s">
        <v>45</v>
      </c>
      <c r="F120" s="714">
        <v>100</v>
      </c>
      <c r="G120" s="703">
        <f>+'[2]Typical Conv.Operating Expenses'!BX106</f>
        <v>203</v>
      </c>
      <c r="H120" s="551"/>
      <c r="I120" s="551"/>
      <c r="J120" s="715"/>
      <c r="K120" s="438"/>
      <c r="L120" s="716">
        <f>+K28*L119</f>
        <v>63329.340000000004</v>
      </c>
      <c r="M120" s="717" t="s">
        <v>602</v>
      </c>
      <c r="N120" s="519"/>
      <c r="O120" s="528"/>
      <c r="P120" s="528"/>
      <c r="Q120" s="528"/>
      <c r="R120" s="528"/>
      <c r="S120" s="528"/>
      <c r="T120" s="528"/>
      <c r="U120" s="528"/>
      <c r="V120" s="528"/>
      <c r="W120" s="528"/>
      <c r="X120" s="528"/>
      <c r="Y120" s="528"/>
      <c r="Z120" s="528"/>
      <c r="AA120" s="528"/>
      <c r="AB120" s="528"/>
      <c r="AC120" s="528"/>
      <c r="AD120" s="528"/>
      <c r="AE120" s="528"/>
      <c r="AF120" s="528"/>
      <c r="AG120" s="528"/>
      <c r="AH120" s="528"/>
      <c r="AI120" s="528"/>
      <c r="AJ120" s="528"/>
      <c r="AK120" s="528"/>
      <c r="AL120" s="528"/>
      <c r="AM120" s="528"/>
      <c r="AN120" s="528"/>
      <c r="AO120" s="528"/>
      <c r="AP120" s="528"/>
      <c r="AQ120" s="528"/>
      <c r="AR120" s="528"/>
      <c r="AS120" s="528"/>
      <c r="AT120" s="528"/>
      <c r="AU120" s="528"/>
      <c r="AV120" s="528"/>
      <c r="AW120" s="528"/>
      <c r="AX120" s="528"/>
      <c r="AY120" s="528"/>
      <c r="AZ120" s="528"/>
      <c r="BA120" s="528"/>
      <c r="BB120" s="528"/>
      <c r="BC120" s="528"/>
      <c r="BD120" s="528"/>
      <c r="BE120" s="528"/>
      <c r="BF120" s="528"/>
      <c r="BG120" s="528"/>
      <c r="BH120" s="528"/>
      <c r="BI120" s="528"/>
      <c r="BJ120" s="528"/>
      <c r="BK120" s="528"/>
      <c r="BL120" s="528"/>
      <c r="BM120" s="528"/>
      <c r="BN120" s="528"/>
      <c r="BO120" s="528"/>
      <c r="BP120" s="528"/>
      <c r="BQ120" s="528"/>
      <c r="BR120" s="528"/>
      <c r="BS120" s="528"/>
      <c r="BT120" s="528"/>
      <c r="BU120" s="528"/>
      <c r="BV120" s="528"/>
      <c r="BW120" s="528"/>
      <c r="BX120" s="528"/>
      <c r="BY120" s="528"/>
      <c r="BZ120" s="528"/>
      <c r="CA120" s="528"/>
      <c r="CB120" s="528"/>
      <c r="CC120" s="528"/>
      <c r="CD120" s="528"/>
      <c r="CE120" s="528"/>
      <c r="CF120" s="528"/>
      <c r="CG120" s="528"/>
      <c r="CH120" s="528"/>
      <c r="CI120" s="528"/>
      <c r="CJ120" s="528"/>
      <c r="CK120" s="528"/>
      <c r="CL120" s="528"/>
      <c r="CM120" s="528"/>
      <c r="CN120" s="528"/>
      <c r="CO120" s="528"/>
      <c r="CP120" s="528"/>
      <c r="CQ120" s="528"/>
      <c r="CR120" s="528"/>
      <c r="CS120" s="528"/>
      <c r="CT120" s="528"/>
      <c r="CU120" s="528"/>
      <c r="CV120" s="528"/>
      <c r="CW120" s="528"/>
      <c r="CX120" s="528"/>
      <c r="CY120" s="528"/>
      <c r="CZ120" s="528"/>
      <c r="DA120" s="528"/>
      <c r="DB120" s="528"/>
      <c r="DC120" s="528"/>
      <c r="DD120" s="528"/>
      <c r="DE120" s="528"/>
      <c r="DF120" s="528"/>
      <c r="DG120" s="528"/>
      <c r="DH120" s="528"/>
      <c r="DI120" s="528"/>
      <c r="DJ120" s="528"/>
      <c r="DK120" s="528"/>
      <c r="DL120" s="528"/>
      <c r="DM120" s="528"/>
      <c r="DN120" s="528"/>
      <c r="DO120" s="528"/>
      <c r="DP120" s="528"/>
      <c r="DQ120" s="528"/>
      <c r="DR120" s="528"/>
      <c r="DS120" s="528"/>
      <c r="DT120" s="528"/>
      <c r="DU120" s="528"/>
      <c r="DV120" s="528"/>
      <c r="DW120" s="528"/>
      <c r="DX120" s="528"/>
      <c r="DY120" s="528"/>
      <c r="DZ120" s="528"/>
      <c r="EA120" s="528"/>
      <c r="EB120" s="528"/>
      <c r="EC120" s="528"/>
      <c r="ED120" s="528"/>
      <c r="EE120" s="528"/>
      <c r="EF120" s="528"/>
      <c r="EG120" s="528"/>
      <c r="EH120" s="528"/>
      <c r="EI120" s="528"/>
      <c r="EJ120" s="528"/>
      <c r="EK120" s="528"/>
      <c r="EL120" s="528"/>
      <c r="EM120" s="528"/>
      <c r="EN120" s="528"/>
      <c r="EO120" s="528"/>
      <c r="EP120" s="528"/>
      <c r="EQ120" s="528"/>
      <c r="ER120" s="528"/>
      <c r="ES120" s="528"/>
      <c r="ET120" s="528"/>
      <c r="EU120" s="528"/>
      <c r="EV120" s="528"/>
      <c r="EW120" s="528"/>
      <c r="EX120" s="528"/>
      <c r="EY120" s="528"/>
      <c r="EZ120" s="528"/>
      <c r="FA120" s="528"/>
      <c r="FB120" s="528"/>
      <c r="FC120" s="528"/>
      <c r="FD120" s="528"/>
      <c r="FE120" s="528"/>
      <c r="FF120" s="528"/>
      <c r="FG120" s="528"/>
      <c r="FH120" s="528"/>
      <c r="FI120" s="528"/>
      <c r="FJ120" s="528"/>
      <c r="FK120" s="528"/>
      <c r="FL120" s="528"/>
      <c r="FM120" s="528"/>
      <c r="FN120" s="528"/>
      <c r="FO120" s="528"/>
      <c r="FP120" s="528"/>
      <c r="FQ120" s="528"/>
      <c r="FR120" s="528"/>
      <c r="FS120" s="528"/>
      <c r="FT120" s="528"/>
      <c r="FU120" s="528"/>
      <c r="FV120" s="528"/>
      <c r="FW120" s="528"/>
      <c r="FX120" s="528"/>
      <c r="FY120" s="528"/>
      <c r="FZ120" s="528"/>
      <c r="GA120" s="528"/>
      <c r="GB120" s="528"/>
      <c r="GC120" s="528"/>
      <c r="GD120" s="528"/>
      <c r="GE120" s="528"/>
      <c r="GF120" s="528"/>
      <c r="GG120" s="528"/>
      <c r="GH120" s="528"/>
      <c r="GI120" s="528"/>
      <c r="GJ120" s="528"/>
      <c r="GK120" s="528"/>
      <c r="GL120" s="528"/>
      <c r="GM120" s="528"/>
      <c r="GN120" s="528"/>
      <c r="GO120" s="528"/>
      <c r="GP120" s="528"/>
      <c r="GQ120" s="528"/>
      <c r="GR120" s="528"/>
      <c r="GS120" s="528"/>
      <c r="GT120" s="528"/>
      <c r="GU120" s="528"/>
      <c r="GV120" s="528"/>
      <c r="GW120" s="528"/>
      <c r="GX120" s="528"/>
      <c r="GY120" s="528"/>
      <c r="GZ120" s="528"/>
      <c r="HA120" s="528"/>
      <c r="HB120" s="528"/>
      <c r="HC120" s="528"/>
      <c r="HD120" s="528"/>
      <c r="HE120" s="528"/>
      <c r="HF120" s="528"/>
      <c r="HG120" s="528"/>
      <c r="HH120" s="528"/>
      <c r="HI120" s="528"/>
      <c r="HJ120" s="528"/>
      <c r="HK120" s="528"/>
      <c r="HL120" s="528"/>
      <c r="HM120" s="528"/>
      <c r="HN120" s="528"/>
      <c r="HO120" s="528"/>
      <c r="HP120" s="528"/>
      <c r="HQ120" s="528"/>
      <c r="HR120" s="528"/>
      <c r="HS120" s="528"/>
      <c r="HT120" s="528"/>
      <c r="HU120" s="528"/>
      <c r="HV120" s="528"/>
      <c r="HW120" s="528"/>
      <c r="HX120" s="528"/>
      <c r="HY120" s="528"/>
      <c r="HZ120" s="528"/>
      <c r="IA120" s="528"/>
      <c r="IB120" s="528"/>
      <c r="IC120" s="528"/>
      <c r="ID120" s="528"/>
      <c r="IE120" s="528"/>
      <c r="IF120" s="528"/>
      <c r="IG120" s="528"/>
      <c r="IH120" s="528"/>
      <c r="II120" s="528"/>
      <c r="IJ120" s="528"/>
      <c r="IK120" s="528"/>
      <c r="IL120" s="528"/>
      <c r="IM120" s="528"/>
      <c r="IN120" s="528"/>
      <c r="IO120" s="528"/>
    </row>
    <row r="121" spans="3:249" x14ac:dyDescent="0.25">
      <c r="C121" s="438"/>
      <c r="E121" s="702" t="s">
        <v>3</v>
      </c>
      <c r="F121" s="704">
        <f>+F120*$F$13</f>
        <v>17000</v>
      </c>
      <c r="G121" s="704">
        <f>+G120*$F$13</f>
        <v>34510</v>
      </c>
      <c r="H121" s="551"/>
      <c r="I121" s="551"/>
      <c r="J121" s="715"/>
      <c r="K121" s="438"/>
      <c r="L121" s="519"/>
      <c r="M121" s="713"/>
      <c r="N121" s="519"/>
      <c r="O121" s="528"/>
      <c r="P121" s="528"/>
      <c r="Q121" s="528"/>
      <c r="R121" s="528"/>
      <c r="S121" s="528"/>
      <c r="T121" s="528"/>
      <c r="U121" s="528"/>
      <c r="V121" s="528"/>
      <c r="W121" s="528"/>
      <c r="X121" s="528"/>
      <c r="Y121" s="528"/>
      <c r="Z121" s="528"/>
      <c r="AA121" s="528"/>
      <c r="AB121" s="528"/>
      <c r="AC121" s="528"/>
      <c r="AD121" s="528"/>
      <c r="AE121" s="528"/>
      <c r="AF121" s="528"/>
      <c r="AG121" s="528"/>
      <c r="AH121" s="528"/>
      <c r="AI121" s="528"/>
      <c r="AJ121" s="528"/>
      <c r="AK121" s="528"/>
      <c r="AL121" s="528"/>
      <c r="AM121" s="528"/>
      <c r="AN121" s="528"/>
      <c r="AO121" s="528"/>
      <c r="AP121" s="528"/>
      <c r="AQ121" s="528"/>
      <c r="AR121" s="528"/>
      <c r="AS121" s="528"/>
      <c r="AT121" s="528"/>
      <c r="AU121" s="528"/>
      <c r="AV121" s="528"/>
      <c r="AW121" s="528"/>
      <c r="AX121" s="528"/>
      <c r="AY121" s="528"/>
      <c r="AZ121" s="528"/>
      <c r="BA121" s="528"/>
      <c r="BB121" s="528"/>
      <c r="BC121" s="528"/>
      <c r="BD121" s="528"/>
      <c r="BE121" s="528"/>
      <c r="BF121" s="528"/>
      <c r="BG121" s="528"/>
      <c r="BH121" s="528"/>
      <c r="BI121" s="528"/>
      <c r="BJ121" s="528"/>
      <c r="BK121" s="528"/>
      <c r="BL121" s="528"/>
      <c r="BM121" s="528"/>
      <c r="BN121" s="528"/>
      <c r="BO121" s="528"/>
      <c r="BP121" s="528"/>
      <c r="BQ121" s="528"/>
      <c r="BR121" s="528"/>
      <c r="BS121" s="528"/>
      <c r="BT121" s="528"/>
      <c r="BU121" s="528"/>
      <c r="BV121" s="528"/>
      <c r="BW121" s="528"/>
      <c r="BX121" s="528"/>
      <c r="BY121" s="528"/>
      <c r="BZ121" s="528"/>
      <c r="CA121" s="528"/>
      <c r="CB121" s="528"/>
      <c r="CC121" s="528"/>
      <c r="CD121" s="528"/>
      <c r="CE121" s="528"/>
      <c r="CF121" s="528"/>
      <c r="CG121" s="528"/>
      <c r="CH121" s="528"/>
      <c r="CI121" s="528"/>
      <c r="CJ121" s="528"/>
      <c r="CK121" s="528"/>
      <c r="CL121" s="528"/>
      <c r="CM121" s="528"/>
      <c r="CN121" s="528"/>
      <c r="CO121" s="528"/>
      <c r="CP121" s="528"/>
      <c r="CQ121" s="528"/>
      <c r="CR121" s="528"/>
      <c r="CS121" s="528"/>
      <c r="CT121" s="528"/>
      <c r="CU121" s="528"/>
      <c r="CV121" s="528"/>
      <c r="CW121" s="528"/>
      <c r="CX121" s="528"/>
      <c r="CY121" s="528"/>
      <c r="CZ121" s="528"/>
      <c r="DA121" s="528"/>
      <c r="DB121" s="528"/>
      <c r="DC121" s="528"/>
      <c r="DD121" s="528"/>
      <c r="DE121" s="528"/>
      <c r="DF121" s="528"/>
      <c r="DG121" s="528"/>
      <c r="DH121" s="528"/>
      <c r="DI121" s="528"/>
      <c r="DJ121" s="528"/>
      <c r="DK121" s="528"/>
      <c r="DL121" s="528"/>
      <c r="DM121" s="528"/>
      <c r="DN121" s="528"/>
      <c r="DO121" s="528"/>
      <c r="DP121" s="528"/>
      <c r="DQ121" s="528"/>
      <c r="DR121" s="528"/>
      <c r="DS121" s="528"/>
      <c r="DT121" s="528"/>
      <c r="DU121" s="528"/>
      <c r="DV121" s="528"/>
      <c r="DW121" s="528"/>
      <c r="DX121" s="528"/>
      <c r="DY121" s="528"/>
      <c r="DZ121" s="528"/>
      <c r="EA121" s="528"/>
      <c r="EB121" s="528"/>
      <c r="EC121" s="528"/>
      <c r="ED121" s="528"/>
      <c r="EE121" s="528"/>
      <c r="EF121" s="528"/>
      <c r="EG121" s="528"/>
      <c r="EH121" s="528"/>
      <c r="EI121" s="528"/>
      <c r="EJ121" s="528"/>
      <c r="EK121" s="528"/>
      <c r="EL121" s="528"/>
      <c r="EM121" s="528"/>
      <c r="EN121" s="528"/>
      <c r="EO121" s="528"/>
      <c r="EP121" s="528"/>
      <c r="EQ121" s="528"/>
      <c r="ER121" s="528"/>
      <c r="ES121" s="528"/>
      <c r="ET121" s="528"/>
      <c r="EU121" s="528"/>
      <c r="EV121" s="528"/>
      <c r="EW121" s="528"/>
      <c r="EX121" s="528"/>
      <c r="EY121" s="528"/>
      <c r="EZ121" s="528"/>
      <c r="FA121" s="528"/>
      <c r="FB121" s="528"/>
      <c r="FC121" s="528"/>
      <c r="FD121" s="528"/>
      <c r="FE121" s="528"/>
      <c r="FF121" s="528"/>
      <c r="FG121" s="528"/>
      <c r="FH121" s="528"/>
      <c r="FI121" s="528"/>
      <c r="FJ121" s="528"/>
      <c r="FK121" s="528"/>
      <c r="FL121" s="528"/>
      <c r="FM121" s="528"/>
      <c r="FN121" s="528"/>
      <c r="FO121" s="528"/>
      <c r="FP121" s="528"/>
      <c r="FQ121" s="528"/>
      <c r="FR121" s="528"/>
      <c r="FS121" s="528"/>
      <c r="FT121" s="528"/>
      <c r="FU121" s="528"/>
      <c r="FV121" s="528"/>
      <c r="FW121" s="528"/>
      <c r="FX121" s="528"/>
      <c r="FY121" s="528"/>
      <c r="FZ121" s="528"/>
      <c r="GA121" s="528"/>
      <c r="GB121" s="528"/>
      <c r="GC121" s="528"/>
      <c r="GD121" s="528"/>
      <c r="GE121" s="528"/>
      <c r="GF121" s="528"/>
      <c r="GG121" s="528"/>
      <c r="GH121" s="528"/>
      <c r="GI121" s="528"/>
      <c r="GJ121" s="528"/>
      <c r="GK121" s="528"/>
      <c r="GL121" s="528"/>
      <c r="GM121" s="528"/>
      <c r="GN121" s="528"/>
      <c r="GO121" s="528"/>
      <c r="GP121" s="528"/>
      <c r="GQ121" s="528"/>
      <c r="GR121" s="528"/>
      <c r="GS121" s="528"/>
      <c r="GT121" s="528"/>
      <c r="GU121" s="528"/>
      <c r="GV121" s="528"/>
      <c r="GW121" s="528"/>
      <c r="GX121" s="528"/>
      <c r="GY121" s="528"/>
      <c r="GZ121" s="528"/>
      <c r="HA121" s="528"/>
      <c r="HB121" s="528"/>
      <c r="HC121" s="528"/>
      <c r="HD121" s="528"/>
      <c r="HE121" s="528"/>
      <c r="HF121" s="528"/>
      <c r="HG121" s="528"/>
      <c r="HH121" s="528"/>
      <c r="HI121" s="528"/>
      <c r="HJ121" s="528"/>
      <c r="HK121" s="528"/>
      <c r="HL121" s="528"/>
      <c r="HM121" s="528"/>
      <c r="HN121" s="528"/>
      <c r="HO121" s="528"/>
      <c r="HP121" s="528"/>
      <c r="HQ121" s="528"/>
      <c r="HR121" s="528"/>
      <c r="HS121" s="528"/>
      <c r="HT121" s="528"/>
      <c r="HU121" s="528"/>
      <c r="HV121" s="528"/>
      <c r="HW121" s="528"/>
      <c r="HX121" s="528"/>
      <c r="HY121" s="528"/>
      <c r="HZ121" s="528"/>
      <c r="IA121" s="528"/>
      <c r="IB121" s="528"/>
      <c r="IC121" s="528"/>
      <c r="ID121" s="528"/>
      <c r="IE121" s="528"/>
      <c r="IF121" s="528"/>
      <c r="IG121" s="528"/>
      <c r="IH121" s="528"/>
      <c r="II121" s="528"/>
      <c r="IJ121" s="528"/>
      <c r="IK121" s="528"/>
      <c r="IL121" s="528"/>
      <c r="IM121" s="528"/>
      <c r="IN121" s="528"/>
      <c r="IO121" s="528"/>
    </row>
    <row r="122" spans="3:249" x14ac:dyDescent="0.25">
      <c r="C122" s="438"/>
      <c r="E122" s="585" t="s">
        <v>598</v>
      </c>
      <c r="F122" s="705">
        <v>300</v>
      </c>
      <c r="G122" s="706"/>
      <c r="H122" s="706"/>
      <c r="I122" s="706"/>
      <c r="J122" s="715"/>
      <c r="K122" s="438"/>
      <c r="L122" s="718">
        <f>+K35</f>
        <v>51000</v>
      </c>
      <c r="M122" s="710" t="s">
        <v>593</v>
      </c>
      <c r="N122" s="519"/>
      <c r="O122" s="528"/>
      <c r="P122" s="528"/>
      <c r="Q122" s="528"/>
      <c r="R122" s="528"/>
      <c r="S122" s="528"/>
      <c r="T122" s="528"/>
      <c r="U122" s="528"/>
      <c r="V122" s="528"/>
      <c r="W122" s="528"/>
      <c r="X122" s="528"/>
      <c r="Y122" s="528"/>
      <c r="Z122" s="528"/>
      <c r="AA122" s="528"/>
      <c r="AB122" s="528"/>
      <c r="AC122" s="528"/>
      <c r="AD122" s="528"/>
      <c r="AE122" s="528"/>
      <c r="AF122" s="528"/>
      <c r="AG122" s="528"/>
      <c r="AH122" s="528"/>
      <c r="AI122" s="528"/>
      <c r="AJ122" s="528"/>
      <c r="AK122" s="528"/>
      <c r="AL122" s="528"/>
      <c r="AM122" s="528"/>
      <c r="AN122" s="528"/>
      <c r="AO122" s="528"/>
      <c r="AP122" s="528"/>
      <c r="AQ122" s="528"/>
      <c r="AR122" s="528"/>
      <c r="AS122" s="528"/>
      <c r="AT122" s="528"/>
      <c r="AU122" s="528"/>
      <c r="AV122" s="528"/>
      <c r="AW122" s="528"/>
      <c r="AX122" s="528"/>
      <c r="AY122" s="528"/>
      <c r="AZ122" s="528"/>
      <c r="BA122" s="528"/>
      <c r="BB122" s="528"/>
      <c r="BC122" s="528"/>
      <c r="BD122" s="528"/>
      <c r="BE122" s="528"/>
      <c r="BF122" s="528"/>
      <c r="BG122" s="528"/>
      <c r="BH122" s="528"/>
      <c r="BI122" s="528"/>
      <c r="BJ122" s="528"/>
      <c r="BK122" s="528"/>
      <c r="BL122" s="528"/>
      <c r="BM122" s="528"/>
      <c r="BN122" s="528"/>
      <c r="BO122" s="528"/>
      <c r="BP122" s="528"/>
      <c r="BQ122" s="528"/>
      <c r="BR122" s="528"/>
      <c r="BS122" s="528"/>
      <c r="BT122" s="528"/>
      <c r="BU122" s="528"/>
      <c r="BV122" s="528"/>
      <c r="BW122" s="528"/>
      <c r="BX122" s="528"/>
      <c r="BY122" s="528"/>
      <c r="BZ122" s="528"/>
      <c r="CA122" s="528"/>
      <c r="CB122" s="528"/>
      <c r="CC122" s="528"/>
      <c r="CD122" s="528"/>
      <c r="CE122" s="528"/>
      <c r="CF122" s="528"/>
      <c r="CG122" s="528"/>
      <c r="CH122" s="528"/>
      <c r="CI122" s="528"/>
      <c r="CJ122" s="528"/>
      <c r="CK122" s="528"/>
      <c r="CL122" s="528"/>
      <c r="CM122" s="528"/>
      <c r="CN122" s="528"/>
      <c r="CO122" s="528"/>
      <c r="CP122" s="528"/>
      <c r="CQ122" s="528"/>
      <c r="CR122" s="528"/>
      <c r="CS122" s="528"/>
      <c r="CT122" s="528"/>
      <c r="CU122" s="528"/>
      <c r="CV122" s="528"/>
      <c r="CW122" s="528"/>
      <c r="CX122" s="528"/>
      <c r="CY122" s="528"/>
      <c r="CZ122" s="528"/>
      <c r="DA122" s="528"/>
      <c r="DB122" s="528"/>
      <c r="DC122" s="528"/>
      <c r="DD122" s="528"/>
      <c r="DE122" s="528"/>
      <c r="DF122" s="528"/>
      <c r="DG122" s="528"/>
      <c r="DH122" s="528"/>
      <c r="DI122" s="528"/>
      <c r="DJ122" s="528"/>
      <c r="DK122" s="528"/>
      <c r="DL122" s="528"/>
      <c r="DM122" s="528"/>
      <c r="DN122" s="528"/>
      <c r="DO122" s="528"/>
      <c r="DP122" s="528"/>
      <c r="DQ122" s="528"/>
      <c r="DR122" s="528"/>
      <c r="DS122" s="528"/>
      <c r="DT122" s="528"/>
      <c r="DU122" s="528"/>
      <c r="DV122" s="528"/>
      <c r="DW122" s="528"/>
      <c r="DX122" s="528"/>
      <c r="DY122" s="528"/>
      <c r="DZ122" s="528"/>
      <c r="EA122" s="528"/>
      <c r="EB122" s="528"/>
      <c r="EC122" s="528"/>
      <c r="ED122" s="528"/>
      <c r="EE122" s="528"/>
      <c r="EF122" s="528"/>
      <c r="EG122" s="528"/>
      <c r="EH122" s="528"/>
      <c r="EI122" s="528"/>
      <c r="EJ122" s="528"/>
      <c r="EK122" s="528"/>
      <c r="EL122" s="528"/>
      <c r="EM122" s="528"/>
      <c r="EN122" s="528"/>
      <c r="EO122" s="528"/>
      <c r="EP122" s="528"/>
      <c r="EQ122" s="528"/>
      <c r="ER122" s="528"/>
      <c r="ES122" s="528"/>
      <c r="ET122" s="528"/>
      <c r="EU122" s="528"/>
      <c r="EV122" s="528"/>
      <c r="EW122" s="528"/>
      <c r="EX122" s="528"/>
      <c r="EY122" s="528"/>
      <c r="EZ122" s="528"/>
      <c r="FA122" s="528"/>
      <c r="FB122" s="528"/>
      <c r="FC122" s="528"/>
      <c r="FD122" s="528"/>
      <c r="FE122" s="528"/>
      <c r="FF122" s="528"/>
      <c r="FG122" s="528"/>
      <c r="FH122" s="528"/>
      <c r="FI122" s="528"/>
      <c r="FJ122" s="528"/>
      <c r="FK122" s="528"/>
      <c r="FL122" s="528"/>
      <c r="FM122" s="528"/>
      <c r="FN122" s="528"/>
      <c r="FO122" s="528"/>
      <c r="FP122" s="528"/>
      <c r="FQ122" s="528"/>
      <c r="FR122" s="528"/>
      <c r="FS122" s="528"/>
      <c r="FT122" s="528"/>
      <c r="FU122" s="528"/>
      <c r="FV122" s="528"/>
      <c r="FW122" s="528"/>
      <c r="FX122" s="528"/>
      <c r="FY122" s="528"/>
      <c r="FZ122" s="528"/>
      <c r="GA122" s="528"/>
      <c r="GB122" s="528"/>
      <c r="GC122" s="528"/>
      <c r="GD122" s="528"/>
      <c r="GE122" s="528"/>
      <c r="GF122" s="528"/>
      <c r="GG122" s="528"/>
      <c r="GH122" s="528"/>
      <c r="GI122" s="528"/>
      <c r="GJ122" s="528"/>
      <c r="GK122" s="528"/>
      <c r="GL122" s="528"/>
      <c r="GM122" s="528"/>
      <c r="GN122" s="528"/>
      <c r="GO122" s="528"/>
      <c r="GP122" s="528"/>
      <c r="GQ122" s="528"/>
      <c r="GR122" s="528"/>
      <c r="GS122" s="528"/>
      <c r="GT122" s="528"/>
      <c r="GU122" s="528"/>
      <c r="GV122" s="528"/>
      <c r="GW122" s="528"/>
      <c r="GX122" s="528"/>
      <c r="GY122" s="528"/>
      <c r="GZ122" s="528"/>
      <c r="HA122" s="528"/>
      <c r="HB122" s="528"/>
      <c r="HC122" s="528"/>
      <c r="HD122" s="528"/>
      <c r="HE122" s="528"/>
      <c r="HF122" s="528"/>
      <c r="HG122" s="528"/>
      <c r="HH122" s="528"/>
      <c r="HI122" s="528"/>
      <c r="HJ122" s="528"/>
      <c r="HK122" s="528"/>
      <c r="HL122" s="528"/>
      <c r="HM122" s="528"/>
      <c r="HN122" s="528"/>
      <c r="HO122" s="528"/>
      <c r="HP122" s="528"/>
      <c r="HQ122" s="528"/>
      <c r="HR122" s="528"/>
      <c r="HS122" s="528"/>
      <c r="HT122" s="528"/>
      <c r="HU122" s="528"/>
      <c r="HV122" s="528"/>
      <c r="HW122" s="528"/>
      <c r="HX122" s="528"/>
      <c r="HY122" s="528"/>
      <c r="HZ122" s="528"/>
      <c r="IA122" s="528"/>
      <c r="IB122" s="528"/>
      <c r="IC122" s="528"/>
      <c r="ID122" s="528"/>
      <c r="IE122" s="528"/>
      <c r="IF122" s="528"/>
      <c r="IG122" s="528"/>
      <c r="IH122" s="528"/>
      <c r="II122" s="528"/>
      <c r="IJ122" s="528"/>
      <c r="IK122" s="528"/>
      <c r="IL122" s="528"/>
      <c r="IM122" s="528"/>
      <c r="IN122" s="528"/>
      <c r="IO122" s="528"/>
    </row>
    <row r="123" spans="3:249" ht="18" x14ac:dyDescent="0.25">
      <c r="C123" s="438"/>
      <c r="E123" s="566"/>
      <c r="F123" s="439"/>
      <c r="G123" s="480"/>
      <c r="H123" s="480"/>
      <c r="I123" s="480"/>
      <c r="J123" s="715"/>
      <c r="K123" s="438"/>
      <c r="L123" s="719">
        <f>+K36</f>
        <v>42500</v>
      </c>
      <c r="M123" s="713" t="s">
        <v>593</v>
      </c>
      <c r="N123" s="519"/>
      <c r="O123" s="528"/>
      <c r="P123" s="528"/>
      <c r="Q123" s="528"/>
      <c r="R123" s="528"/>
      <c r="S123" s="528"/>
      <c r="T123" s="528"/>
      <c r="U123" s="528"/>
      <c r="V123" s="528"/>
      <c r="W123" s="528"/>
      <c r="X123" s="528"/>
      <c r="Y123" s="528"/>
      <c r="Z123" s="528"/>
      <c r="AA123" s="528"/>
      <c r="AB123" s="528"/>
      <c r="AC123" s="528"/>
      <c r="AD123" s="528"/>
      <c r="AE123" s="528"/>
      <c r="AF123" s="528"/>
      <c r="AG123" s="528"/>
      <c r="AH123" s="528"/>
      <c r="AI123" s="528"/>
      <c r="AJ123" s="528"/>
      <c r="AK123" s="528"/>
      <c r="AL123" s="528"/>
      <c r="AM123" s="528"/>
      <c r="AN123" s="528"/>
      <c r="AO123" s="528"/>
      <c r="AP123" s="528"/>
      <c r="AQ123" s="528"/>
      <c r="AR123" s="528"/>
      <c r="AS123" s="528"/>
      <c r="AT123" s="528"/>
      <c r="AU123" s="528"/>
      <c r="AV123" s="528"/>
      <c r="AW123" s="528"/>
      <c r="AX123" s="528"/>
      <c r="AY123" s="528"/>
      <c r="AZ123" s="528"/>
      <c r="BA123" s="528"/>
      <c r="BB123" s="528"/>
      <c r="BC123" s="528"/>
      <c r="BD123" s="528"/>
      <c r="BE123" s="528"/>
      <c r="BF123" s="528"/>
      <c r="BG123" s="528"/>
      <c r="BH123" s="528"/>
      <c r="BI123" s="528"/>
      <c r="BJ123" s="528"/>
      <c r="BK123" s="528"/>
      <c r="BL123" s="528"/>
      <c r="BM123" s="528"/>
      <c r="BN123" s="528"/>
      <c r="BO123" s="528"/>
      <c r="BP123" s="528"/>
      <c r="BQ123" s="528"/>
      <c r="BR123" s="528"/>
      <c r="BS123" s="528"/>
      <c r="BT123" s="528"/>
      <c r="BU123" s="528"/>
      <c r="BV123" s="528"/>
      <c r="BW123" s="528"/>
      <c r="BX123" s="528"/>
      <c r="BY123" s="528"/>
      <c r="BZ123" s="528"/>
      <c r="CA123" s="528"/>
      <c r="CB123" s="528"/>
      <c r="CC123" s="528"/>
      <c r="CD123" s="528"/>
      <c r="CE123" s="528"/>
      <c r="CF123" s="528"/>
      <c r="CG123" s="528"/>
      <c r="CH123" s="528"/>
      <c r="CI123" s="528"/>
      <c r="CJ123" s="528"/>
      <c r="CK123" s="528"/>
      <c r="CL123" s="528"/>
      <c r="CM123" s="528"/>
      <c r="CN123" s="528"/>
      <c r="CO123" s="528"/>
      <c r="CP123" s="528"/>
      <c r="CQ123" s="528"/>
      <c r="CR123" s="528"/>
      <c r="CS123" s="528"/>
      <c r="CT123" s="528"/>
      <c r="CU123" s="528"/>
      <c r="CV123" s="528"/>
      <c r="CW123" s="528"/>
      <c r="CX123" s="528"/>
      <c r="CY123" s="528"/>
      <c r="CZ123" s="528"/>
      <c r="DA123" s="528"/>
      <c r="DB123" s="528"/>
      <c r="DC123" s="528"/>
      <c r="DD123" s="528"/>
      <c r="DE123" s="528"/>
      <c r="DF123" s="528"/>
      <c r="DG123" s="528"/>
      <c r="DH123" s="528"/>
      <c r="DI123" s="528"/>
      <c r="DJ123" s="528"/>
      <c r="DK123" s="528"/>
      <c r="DL123" s="528"/>
      <c r="DM123" s="528"/>
      <c r="DN123" s="528"/>
      <c r="DO123" s="528"/>
      <c r="DP123" s="528"/>
      <c r="DQ123" s="528"/>
      <c r="DR123" s="528"/>
      <c r="DS123" s="528"/>
      <c r="DT123" s="528"/>
      <c r="DU123" s="528"/>
      <c r="DV123" s="528"/>
      <c r="DW123" s="528"/>
      <c r="DX123" s="528"/>
      <c r="DY123" s="528"/>
      <c r="DZ123" s="528"/>
      <c r="EA123" s="528"/>
      <c r="EB123" s="528"/>
      <c r="EC123" s="528"/>
      <c r="ED123" s="528"/>
      <c r="EE123" s="528"/>
      <c r="EF123" s="528"/>
      <c r="EG123" s="528"/>
      <c r="EH123" s="528"/>
      <c r="EI123" s="528"/>
      <c r="EJ123" s="528"/>
      <c r="EK123" s="528"/>
      <c r="EL123" s="528"/>
      <c r="EM123" s="528"/>
      <c r="EN123" s="528"/>
      <c r="EO123" s="528"/>
      <c r="EP123" s="528"/>
      <c r="EQ123" s="528"/>
      <c r="ER123" s="528"/>
      <c r="ES123" s="528"/>
      <c r="ET123" s="528"/>
      <c r="EU123" s="528"/>
      <c r="EV123" s="528"/>
      <c r="EW123" s="528"/>
      <c r="EX123" s="528"/>
      <c r="EY123" s="528"/>
      <c r="EZ123" s="528"/>
      <c r="FA123" s="528"/>
      <c r="FB123" s="528"/>
      <c r="FC123" s="528"/>
      <c r="FD123" s="528"/>
      <c r="FE123" s="528"/>
      <c r="FF123" s="528"/>
      <c r="FG123" s="528"/>
      <c r="FH123" s="528"/>
      <c r="FI123" s="528"/>
      <c r="FJ123" s="528"/>
      <c r="FK123" s="528"/>
      <c r="FL123" s="528"/>
      <c r="FM123" s="528"/>
      <c r="FN123" s="528"/>
      <c r="FO123" s="528"/>
      <c r="FP123" s="528"/>
      <c r="FQ123" s="528"/>
      <c r="FR123" s="528"/>
      <c r="FS123" s="528"/>
      <c r="FT123" s="528"/>
      <c r="FU123" s="528"/>
      <c r="FV123" s="528"/>
      <c r="FW123" s="528"/>
      <c r="FX123" s="528"/>
      <c r="FY123" s="528"/>
      <c r="FZ123" s="528"/>
      <c r="GA123" s="528"/>
      <c r="GB123" s="528"/>
      <c r="GC123" s="528"/>
      <c r="GD123" s="528"/>
      <c r="GE123" s="528"/>
      <c r="GF123" s="528"/>
      <c r="GG123" s="528"/>
      <c r="GH123" s="528"/>
      <c r="GI123" s="528"/>
      <c r="GJ123" s="528"/>
      <c r="GK123" s="528"/>
      <c r="GL123" s="528"/>
      <c r="GM123" s="528"/>
      <c r="GN123" s="528"/>
      <c r="GO123" s="528"/>
      <c r="GP123" s="528"/>
      <c r="GQ123" s="528"/>
      <c r="GR123" s="528"/>
      <c r="GS123" s="528"/>
      <c r="GT123" s="528"/>
      <c r="GU123" s="528"/>
      <c r="GV123" s="528"/>
      <c r="GW123" s="528"/>
      <c r="GX123" s="528"/>
      <c r="GY123" s="528"/>
      <c r="GZ123" s="528"/>
      <c r="HA123" s="528"/>
      <c r="HB123" s="528"/>
      <c r="HC123" s="528"/>
      <c r="HD123" s="528"/>
      <c r="HE123" s="528"/>
      <c r="HF123" s="528"/>
      <c r="HG123" s="528"/>
      <c r="HH123" s="528"/>
      <c r="HI123" s="528"/>
      <c r="HJ123" s="528"/>
      <c r="HK123" s="528"/>
      <c r="HL123" s="528"/>
      <c r="HM123" s="528"/>
      <c r="HN123" s="528"/>
      <c r="HO123" s="528"/>
      <c r="HP123" s="528"/>
      <c r="HQ123" s="528"/>
      <c r="HR123" s="528"/>
      <c r="HS123" s="528"/>
      <c r="HT123" s="528"/>
      <c r="HU123" s="528"/>
      <c r="HV123" s="528"/>
      <c r="HW123" s="528"/>
      <c r="HX123" s="528"/>
      <c r="HY123" s="528"/>
      <c r="HZ123" s="528"/>
      <c r="IA123" s="528"/>
      <c r="IB123" s="528"/>
      <c r="IC123" s="528"/>
      <c r="ID123" s="528"/>
      <c r="IE123" s="528"/>
      <c r="IF123" s="528"/>
      <c r="IG123" s="528"/>
      <c r="IH123" s="528"/>
      <c r="II123" s="528"/>
      <c r="IJ123" s="528"/>
      <c r="IK123" s="528"/>
      <c r="IL123" s="528"/>
      <c r="IM123" s="528"/>
      <c r="IN123" s="528"/>
      <c r="IO123" s="528"/>
    </row>
    <row r="124" spans="3:249" x14ac:dyDescent="0.25">
      <c r="C124" s="438"/>
      <c r="D124" s="569">
        <v>6</v>
      </c>
      <c r="E124" s="677" t="s">
        <v>603</v>
      </c>
      <c r="F124" s="678"/>
      <c r="G124" s="678"/>
      <c r="H124" s="678"/>
      <c r="I124" s="678"/>
      <c r="J124" s="720"/>
      <c r="K124" s="721"/>
      <c r="L124" s="722">
        <f>SUM(L122:L123)</f>
        <v>93500</v>
      </c>
      <c r="M124" s="717" t="s">
        <v>593</v>
      </c>
      <c r="N124" s="519"/>
      <c r="O124" s="528"/>
      <c r="P124" s="528"/>
      <c r="Q124" s="528"/>
      <c r="R124" s="528"/>
      <c r="S124" s="528"/>
      <c r="T124" s="528"/>
      <c r="U124" s="528"/>
      <c r="V124" s="528"/>
      <c r="W124" s="528"/>
      <c r="X124" s="528"/>
      <c r="Y124" s="528"/>
      <c r="Z124" s="528"/>
      <c r="AA124" s="528"/>
      <c r="AB124" s="528"/>
      <c r="AC124" s="528"/>
      <c r="AD124" s="528"/>
      <c r="AE124" s="528"/>
      <c r="AF124" s="528"/>
      <c r="AG124" s="528"/>
      <c r="AH124" s="528"/>
      <c r="AI124" s="528"/>
      <c r="AJ124" s="528"/>
      <c r="AK124" s="528"/>
      <c r="AL124" s="528"/>
      <c r="AM124" s="528"/>
      <c r="AN124" s="528"/>
      <c r="AO124" s="528"/>
      <c r="AP124" s="528"/>
      <c r="AQ124" s="528"/>
      <c r="AR124" s="528"/>
      <c r="AS124" s="528"/>
      <c r="AT124" s="528"/>
      <c r="AU124" s="528"/>
      <c r="AV124" s="528"/>
      <c r="AW124" s="528"/>
      <c r="AX124" s="528"/>
      <c r="AY124" s="528"/>
      <c r="AZ124" s="528"/>
      <c r="BA124" s="528"/>
      <c r="BB124" s="528"/>
      <c r="BC124" s="528"/>
      <c r="BD124" s="528"/>
      <c r="BE124" s="528"/>
      <c r="BF124" s="528"/>
      <c r="BG124" s="528"/>
      <c r="BH124" s="528"/>
      <c r="BI124" s="528"/>
      <c r="BJ124" s="528"/>
      <c r="BK124" s="528"/>
      <c r="BL124" s="528"/>
      <c r="BM124" s="528"/>
      <c r="BN124" s="528"/>
      <c r="BO124" s="528"/>
      <c r="BP124" s="528"/>
      <c r="BQ124" s="528"/>
      <c r="BR124" s="528"/>
      <c r="BS124" s="528"/>
      <c r="BT124" s="528"/>
      <c r="BU124" s="528"/>
      <c r="BV124" s="528"/>
      <c r="BW124" s="528"/>
      <c r="BX124" s="528"/>
      <c r="BY124" s="528"/>
      <c r="BZ124" s="528"/>
      <c r="CA124" s="528"/>
      <c r="CB124" s="528"/>
      <c r="CC124" s="528"/>
      <c r="CD124" s="528"/>
      <c r="CE124" s="528"/>
      <c r="CF124" s="528"/>
      <c r="CG124" s="528"/>
      <c r="CH124" s="528"/>
      <c r="CI124" s="528"/>
      <c r="CJ124" s="528"/>
      <c r="CK124" s="528"/>
      <c r="CL124" s="528"/>
      <c r="CM124" s="528"/>
      <c r="CN124" s="528"/>
      <c r="CO124" s="528"/>
      <c r="CP124" s="528"/>
      <c r="CQ124" s="528"/>
      <c r="CR124" s="528"/>
      <c r="CS124" s="528"/>
      <c r="CT124" s="528"/>
      <c r="CU124" s="528"/>
      <c r="CV124" s="528"/>
      <c r="CW124" s="528"/>
      <c r="CX124" s="528"/>
      <c r="CY124" s="528"/>
      <c r="CZ124" s="528"/>
      <c r="DA124" s="528"/>
      <c r="DB124" s="528"/>
      <c r="DC124" s="528"/>
      <c r="DD124" s="528"/>
      <c r="DE124" s="528"/>
      <c r="DF124" s="528"/>
      <c r="DG124" s="528"/>
      <c r="DH124" s="528"/>
      <c r="DI124" s="528"/>
      <c r="DJ124" s="528"/>
      <c r="DK124" s="528"/>
      <c r="DL124" s="528"/>
      <c r="DM124" s="528"/>
      <c r="DN124" s="528"/>
      <c r="DO124" s="528"/>
      <c r="DP124" s="528"/>
      <c r="DQ124" s="528"/>
      <c r="DR124" s="528"/>
      <c r="DS124" s="528"/>
      <c r="DT124" s="528"/>
      <c r="DU124" s="528"/>
      <c r="DV124" s="528"/>
      <c r="DW124" s="528"/>
      <c r="DX124" s="528"/>
      <c r="DY124" s="528"/>
      <c r="DZ124" s="528"/>
      <c r="EA124" s="528"/>
      <c r="EB124" s="528"/>
      <c r="EC124" s="528"/>
      <c r="ED124" s="528"/>
      <c r="EE124" s="528"/>
      <c r="EF124" s="528"/>
      <c r="EG124" s="528"/>
      <c r="EH124" s="528"/>
      <c r="EI124" s="528"/>
      <c r="EJ124" s="528"/>
      <c r="EK124" s="528"/>
      <c r="EL124" s="528"/>
      <c r="EM124" s="528"/>
      <c r="EN124" s="528"/>
      <c r="EO124" s="528"/>
      <c r="EP124" s="528"/>
      <c r="EQ124" s="528"/>
      <c r="ER124" s="528"/>
      <c r="ES124" s="528"/>
      <c r="ET124" s="528"/>
      <c r="EU124" s="528"/>
      <c r="EV124" s="528"/>
      <c r="EW124" s="528"/>
      <c r="EX124" s="528"/>
      <c r="EY124" s="528"/>
      <c r="EZ124" s="528"/>
      <c r="FA124" s="528"/>
      <c r="FB124" s="528"/>
      <c r="FC124" s="528"/>
      <c r="FD124" s="528"/>
      <c r="FE124" s="528"/>
      <c r="FF124" s="528"/>
      <c r="FG124" s="528"/>
      <c r="FH124" s="528"/>
      <c r="FI124" s="528"/>
      <c r="FJ124" s="528"/>
      <c r="FK124" s="528"/>
      <c r="FL124" s="528"/>
      <c r="FM124" s="528"/>
      <c r="FN124" s="528"/>
      <c r="FO124" s="528"/>
      <c r="FP124" s="528"/>
      <c r="FQ124" s="528"/>
      <c r="FR124" s="528"/>
      <c r="FS124" s="528"/>
      <c r="FT124" s="528"/>
      <c r="FU124" s="528"/>
      <c r="FV124" s="528"/>
      <c r="FW124" s="528"/>
      <c r="FX124" s="528"/>
      <c r="FY124" s="528"/>
      <c r="FZ124" s="528"/>
      <c r="GA124" s="528"/>
      <c r="GB124" s="528"/>
      <c r="GC124" s="528"/>
      <c r="GD124" s="528"/>
      <c r="GE124" s="528"/>
      <c r="GF124" s="528"/>
      <c r="GG124" s="528"/>
      <c r="GH124" s="528"/>
      <c r="GI124" s="528"/>
      <c r="GJ124" s="528"/>
      <c r="GK124" s="528"/>
      <c r="GL124" s="528"/>
      <c r="GM124" s="528"/>
      <c r="GN124" s="528"/>
      <c r="GO124" s="528"/>
      <c r="GP124" s="528"/>
      <c r="GQ124" s="528"/>
      <c r="GR124" s="528"/>
      <c r="GS124" s="528"/>
      <c r="GT124" s="528"/>
      <c r="GU124" s="528"/>
      <c r="GV124" s="528"/>
      <c r="GW124" s="528"/>
      <c r="GX124" s="528"/>
      <c r="GY124" s="528"/>
      <c r="GZ124" s="528"/>
      <c r="HA124" s="528"/>
      <c r="HB124" s="528"/>
      <c r="HC124" s="528"/>
      <c r="HD124" s="528"/>
      <c r="HE124" s="528"/>
      <c r="HF124" s="528"/>
      <c r="HG124" s="528"/>
      <c r="HH124" s="528"/>
      <c r="HI124" s="528"/>
      <c r="HJ124" s="528"/>
      <c r="HK124" s="528"/>
      <c r="HL124" s="528"/>
      <c r="HM124" s="528"/>
      <c r="HN124" s="528"/>
      <c r="HO124" s="528"/>
      <c r="HP124" s="528"/>
      <c r="HQ124" s="528"/>
      <c r="HR124" s="528"/>
      <c r="HS124" s="528"/>
      <c r="HT124" s="528"/>
      <c r="HU124" s="528"/>
      <c r="HV124" s="528"/>
      <c r="HW124" s="528"/>
      <c r="HX124" s="528"/>
      <c r="HY124" s="528"/>
      <c r="HZ124" s="528"/>
      <c r="IA124" s="528"/>
      <c r="IB124" s="528"/>
      <c r="IC124" s="528"/>
      <c r="ID124" s="528"/>
      <c r="IE124" s="528"/>
      <c r="IF124" s="528"/>
      <c r="IG124" s="528"/>
      <c r="IH124" s="528"/>
      <c r="II124" s="528"/>
      <c r="IJ124" s="528"/>
      <c r="IK124" s="528"/>
      <c r="IL124" s="528"/>
      <c r="IM124" s="528"/>
      <c r="IN124" s="528"/>
      <c r="IO124" s="528"/>
    </row>
    <row r="125" spans="3:249" x14ac:dyDescent="0.25">
      <c r="C125" s="438"/>
      <c r="E125" s="702" t="s">
        <v>45</v>
      </c>
      <c r="F125" s="703">
        <f>+'[2]Typical Conv.Operating Expenses'!BW100</f>
        <v>28.59349593495935</v>
      </c>
      <c r="G125" s="703">
        <f>+'[2]Typical Conv.Operating Expenses'!BX100</f>
        <v>323</v>
      </c>
      <c r="H125" s="551"/>
      <c r="I125" s="580"/>
      <c r="J125" s="480"/>
      <c r="K125" s="438"/>
      <c r="L125" s="519"/>
      <c r="M125" s="519"/>
      <c r="N125" s="519"/>
      <c r="O125" s="528"/>
      <c r="P125" s="528"/>
      <c r="Q125" s="528"/>
      <c r="R125" s="528"/>
      <c r="S125" s="528"/>
      <c r="T125" s="528"/>
      <c r="U125" s="528"/>
      <c r="V125" s="528"/>
      <c r="W125" s="528"/>
      <c r="X125" s="528"/>
      <c r="Y125" s="528"/>
      <c r="Z125" s="528"/>
      <c r="AA125" s="528"/>
      <c r="AB125" s="528"/>
      <c r="AC125" s="528"/>
      <c r="AD125" s="528"/>
      <c r="AE125" s="528"/>
      <c r="AF125" s="528"/>
      <c r="AG125" s="528"/>
      <c r="AH125" s="528"/>
      <c r="AI125" s="528"/>
      <c r="AJ125" s="528"/>
      <c r="AK125" s="528"/>
      <c r="AL125" s="528"/>
      <c r="AM125" s="528"/>
      <c r="AN125" s="528"/>
      <c r="AO125" s="528"/>
      <c r="AP125" s="528"/>
      <c r="AQ125" s="528"/>
      <c r="AR125" s="528"/>
      <c r="AS125" s="528"/>
      <c r="AT125" s="528"/>
      <c r="AU125" s="528"/>
      <c r="AV125" s="528"/>
      <c r="AW125" s="528"/>
      <c r="AX125" s="528"/>
      <c r="AY125" s="528"/>
      <c r="AZ125" s="528"/>
      <c r="BA125" s="528"/>
      <c r="BB125" s="528"/>
      <c r="BC125" s="528"/>
      <c r="BD125" s="528"/>
      <c r="BE125" s="528"/>
      <c r="BF125" s="528"/>
      <c r="BG125" s="528"/>
      <c r="BH125" s="528"/>
      <c r="BI125" s="528"/>
      <c r="BJ125" s="528"/>
      <c r="BK125" s="528"/>
      <c r="BL125" s="528"/>
      <c r="BM125" s="528"/>
      <c r="BN125" s="528"/>
      <c r="BO125" s="528"/>
      <c r="BP125" s="528"/>
      <c r="BQ125" s="528"/>
      <c r="BR125" s="528"/>
      <c r="BS125" s="528"/>
      <c r="BT125" s="528"/>
      <c r="BU125" s="528"/>
      <c r="BV125" s="528"/>
      <c r="BW125" s="528"/>
      <c r="BX125" s="528"/>
      <c r="BY125" s="528"/>
      <c r="BZ125" s="528"/>
      <c r="CA125" s="528"/>
      <c r="CB125" s="528"/>
      <c r="CC125" s="528"/>
      <c r="CD125" s="528"/>
      <c r="CE125" s="528"/>
      <c r="CF125" s="528"/>
      <c r="CG125" s="528"/>
      <c r="CH125" s="528"/>
      <c r="CI125" s="528"/>
      <c r="CJ125" s="528"/>
      <c r="CK125" s="528"/>
      <c r="CL125" s="528"/>
      <c r="CM125" s="528"/>
      <c r="CN125" s="528"/>
      <c r="CO125" s="528"/>
      <c r="CP125" s="528"/>
      <c r="CQ125" s="528"/>
      <c r="CR125" s="528"/>
      <c r="CS125" s="528"/>
      <c r="CT125" s="528"/>
      <c r="CU125" s="528"/>
      <c r="CV125" s="528"/>
      <c r="CW125" s="528"/>
      <c r="CX125" s="528"/>
      <c r="CY125" s="528"/>
      <c r="CZ125" s="528"/>
      <c r="DA125" s="528"/>
      <c r="DB125" s="528"/>
      <c r="DC125" s="528"/>
      <c r="DD125" s="528"/>
      <c r="DE125" s="528"/>
      <c r="DF125" s="528"/>
      <c r="DG125" s="528"/>
      <c r="DH125" s="528"/>
      <c r="DI125" s="528"/>
      <c r="DJ125" s="528"/>
      <c r="DK125" s="528"/>
      <c r="DL125" s="528"/>
      <c r="DM125" s="528"/>
      <c r="DN125" s="528"/>
      <c r="DO125" s="528"/>
      <c r="DP125" s="528"/>
      <c r="DQ125" s="528"/>
      <c r="DR125" s="528"/>
      <c r="DS125" s="528"/>
      <c r="DT125" s="528"/>
      <c r="DU125" s="528"/>
      <c r="DV125" s="528"/>
      <c r="DW125" s="528"/>
      <c r="DX125" s="528"/>
      <c r="DY125" s="528"/>
      <c r="DZ125" s="528"/>
      <c r="EA125" s="528"/>
      <c r="EB125" s="528"/>
      <c r="EC125" s="528"/>
      <c r="ED125" s="528"/>
      <c r="EE125" s="528"/>
      <c r="EF125" s="528"/>
      <c r="EG125" s="528"/>
      <c r="EH125" s="528"/>
      <c r="EI125" s="528"/>
      <c r="EJ125" s="528"/>
      <c r="EK125" s="528"/>
      <c r="EL125" s="528"/>
      <c r="EM125" s="528"/>
      <c r="EN125" s="528"/>
      <c r="EO125" s="528"/>
      <c r="EP125" s="528"/>
      <c r="EQ125" s="528"/>
      <c r="ER125" s="528"/>
      <c r="ES125" s="528"/>
      <c r="ET125" s="528"/>
      <c r="EU125" s="528"/>
      <c r="EV125" s="528"/>
      <c r="EW125" s="528"/>
      <c r="EX125" s="528"/>
      <c r="EY125" s="528"/>
      <c r="EZ125" s="528"/>
      <c r="FA125" s="528"/>
      <c r="FB125" s="528"/>
      <c r="FC125" s="528"/>
      <c r="FD125" s="528"/>
      <c r="FE125" s="528"/>
      <c r="FF125" s="528"/>
      <c r="FG125" s="528"/>
      <c r="FH125" s="528"/>
      <c r="FI125" s="528"/>
      <c r="FJ125" s="528"/>
      <c r="FK125" s="528"/>
      <c r="FL125" s="528"/>
      <c r="FM125" s="528"/>
      <c r="FN125" s="528"/>
      <c r="FO125" s="528"/>
      <c r="FP125" s="528"/>
      <c r="FQ125" s="528"/>
      <c r="FR125" s="528"/>
      <c r="FS125" s="528"/>
      <c r="FT125" s="528"/>
      <c r="FU125" s="528"/>
      <c r="FV125" s="528"/>
      <c r="FW125" s="528"/>
      <c r="FX125" s="528"/>
      <c r="FY125" s="528"/>
      <c r="FZ125" s="528"/>
      <c r="GA125" s="528"/>
      <c r="GB125" s="528"/>
      <c r="GC125" s="528"/>
      <c r="GD125" s="528"/>
      <c r="GE125" s="528"/>
      <c r="GF125" s="528"/>
      <c r="GG125" s="528"/>
      <c r="GH125" s="528"/>
      <c r="GI125" s="528"/>
      <c r="GJ125" s="528"/>
      <c r="GK125" s="528"/>
      <c r="GL125" s="528"/>
      <c r="GM125" s="528"/>
      <c r="GN125" s="528"/>
      <c r="GO125" s="528"/>
      <c r="GP125" s="528"/>
      <c r="GQ125" s="528"/>
      <c r="GR125" s="528"/>
      <c r="GS125" s="528"/>
      <c r="GT125" s="528"/>
      <c r="GU125" s="528"/>
      <c r="GV125" s="528"/>
      <c r="GW125" s="528"/>
      <c r="GX125" s="528"/>
      <c r="GY125" s="528"/>
      <c r="GZ125" s="528"/>
      <c r="HA125" s="528"/>
      <c r="HB125" s="528"/>
      <c r="HC125" s="528"/>
      <c r="HD125" s="528"/>
      <c r="HE125" s="528"/>
      <c r="HF125" s="528"/>
      <c r="HG125" s="528"/>
      <c r="HH125" s="528"/>
      <c r="HI125" s="528"/>
      <c r="HJ125" s="528"/>
      <c r="HK125" s="528"/>
      <c r="HL125" s="528"/>
      <c r="HM125" s="528"/>
      <c r="HN125" s="528"/>
      <c r="HO125" s="528"/>
      <c r="HP125" s="528"/>
      <c r="HQ125" s="528"/>
      <c r="HR125" s="528"/>
      <c r="HS125" s="528"/>
      <c r="HT125" s="528"/>
      <c r="HU125" s="528"/>
      <c r="HV125" s="528"/>
      <c r="HW125" s="528"/>
      <c r="HX125" s="528"/>
      <c r="HY125" s="528"/>
      <c r="HZ125" s="528"/>
      <c r="IA125" s="528"/>
      <c r="IB125" s="528"/>
      <c r="IC125" s="528"/>
      <c r="ID125" s="528"/>
      <c r="IE125" s="528"/>
      <c r="IF125" s="528"/>
      <c r="IG125" s="528"/>
      <c r="IH125" s="528"/>
      <c r="II125" s="528"/>
      <c r="IJ125" s="528"/>
      <c r="IK125" s="528"/>
      <c r="IL125" s="528"/>
      <c r="IM125" s="528"/>
      <c r="IN125" s="528"/>
      <c r="IO125" s="528"/>
    </row>
    <row r="126" spans="3:249" x14ac:dyDescent="0.25">
      <c r="C126" s="438"/>
      <c r="E126" s="702" t="s">
        <v>3</v>
      </c>
      <c r="F126" s="704">
        <f>+F125*$F$13</f>
        <v>4860.8943089430895</v>
      </c>
      <c r="G126" s="704">
        <f>+G125*$F$13</f>
        <v>54910</v>
      </c>
      <c r="H126" s="551"/>
      <c r="I126" s="580"/>
      <c r="J126" s="480"/>
      <c r="K126" s="438"/>
      <c r="L126" s="519"/>
      <c r="M126" s="519"/>
      <c r="N126" s="519"/>
      <c r="O126" s="528"/>
      <c r="P126" s="528"/>
      <c r="Q126" s="528"/>
      <c r="R126" s="528"/>
      <c r="S126" s="528"/>
      <c r="T126" s="528"/>
      <c r="U126" s="528"/>
      <c r="V126" s="528"/>
      <c r="W126" s="528"/>
      <c r="X126" s="528"/>
      <c r="Y126" s="528"/>
      <c r="Z126" s="528"/>
      <c r="AA126" s="528"/>
      <c r="AB126" s="528"/>
      <c r="AC126" s="528"/>
      <c r="AD126" s="528"/>
      <c r="AE126" s="528"/>
      <c r="AF126" s="528"/>
      <c r="AG126" s="528"/>
      <c r="AH126" s="528"/>
      <c r="AI126" s="528"/>
      <c r="AJ126" s="528"/>
      <c r="AK126" s="528"/>
      <c r="AL126" s="528"/>
      <c r="AM126" s="528"/>
      <c r="AN126" s="528"/>
      <c r="AO126" s="528"/>
      <c r="AP126" s="528"/>
      <c r="AQ126" s="528"/>
      <c r="AR126" s="528"/>
      <c r="AS126" s="528"/>
      <c r="AT126" s="528"/>
      <c r="AU126" s="528"/>
      <c r="AV126" s="528"/>
      <c r="AW126" s="528"/>
      <c r="AX126" s="528"/>
      <c r="AY126" s="528"/>
      <c r="AZ126" s="528"/>
      <c r="BA126" s="528"/>
      <c r="BB126" s="528"/>
      <c r="BC126" s="528"/>
      <c r="BD126" s="528"/>
      <c r="BE126" s="528"/>
      <c r="BF126" s="528"/>
      <c r="BG126" s="528"/>
      <c r="BH126" s="528"/>
      <c r="BI126" s="528"/>
      <c r="BJ126" s="528"/>
      <c r="BK126" s="528"/>
      <c r="BL126" s="528"/>
      <c r="BM126" s="528"/>
      <c r="BN126" s="528"/>
      <c r="BO126" s="528"/>
      <c r="BP126" s="528"/>
      <c r="BQ126" s="528"/>
      <c r="BR126" s="528"/>
      <c r="BS126" s="528"/>
      <c r="BT126" s="528"/>
      <c r="BU126" s="528"/>
      <c r="BV126" s="528"/>
      <c r="BW126" s="528"/>
      <c r="BX126" s="528"/>
      <c r="BY126" s="528"/>
      <c r="BZ126" s="528"/>
      <c r="CA126" s="528"/>
      <c r="CB126" s="528"/>
      <c r="CC126" s="528"/>
      <c r="CD126" s="528"/>
      <c r="CE126" s="528"/>
      <c r="CF126" s="528"/>
      <c r="CG126" s="528"/>
      <c r="CH126" s="528"/>
      <c r="CI126" s="528"/>
      <c r="CJ126" s="528"/>
      <c r="CK126" s="528"/>
      <c r="CL126" s="528"/>
      <c r="CM126" s="528"/>
      <c r="CN126" s="528"/>
      <c r="CO126" s="528"/>
      <c r="CP126" s="528"/>
      <c r="CQ126" s="528"/>
      <c r="CR126" s="528"/>
      <c r="CS126" s="528"/>
      <c r="CT126" s="528"/>
      <c r="CU126" s="528"/>
      <c r="CV126" s="528"/>
      <c r="CW126" s="528"/>
      <c r="CX126" s="528"/>
      <c r="CY126" s="528"/>
      <c r="CZ126" s="528"/>
      <c r="DA126" s="528"/>
      <c r="DB126" s="528"/>
      <c r="DC126" s="528"/>
      <c r="DD126" s="528"/>
      <c r="DE126" s="528"/>
      <c r="DF126" s="528"/>
      <c r="DG126" s="528"/>
      <c r="DH126" s="528"/>
      <c r="DI126" s="528"/>
      <c r="DJ126" s="528"/>
      <c r="DK126" s="528"/>
      <c r="DL126" s="528"/>
      <c r="DM126" s="528"/>
      <c r="DN126" s="528"/>
      <c r="DO126" s="528"/>
      <c r="DP126" s="528"/>
      <c r="DQ126" s="528"/>
      <c r="DR126" s="528"/>
      <c r="DS126" s="528"/>
      <c r="DT126" s="528"/>
      <c r="DU126" s="528"/>
      <c r="DV126" s="528"/>
      <c r="DW126" s="528"/>
      <c r="DX126" s="528"/>
      <c r="DY126" s="528"/>
      <c r="DZ126" s="528"/>
      <c r="EA126" s="528"/>
      <c r="EB126" s="528"/>
      <c r="EC126" s="528"/>
      <c r="ED126" s="528"/>
      <c r="EE126" s="528"/>
      <c r="EF126" s="528"/>
      <c r="EG126" s="528"/>
      <c r="EH126" s="528"/>
      <c r="EI126" s="528"/>
      <c r="EJ126" s="528"/>
      <c r="EK126" s="528"/>
      <c r="EL126" s="528"/>
      <c r="EM126" s="528"/>
      <c r="EN126" s="528"/>
      <c r="EO126" s="528"/>
      <c r="EP126" s="528"/>
      <c r="EQ126" s="528"/>
      <c r="ER126" s="528"/>
      <c r="ES126" s="528"/>
      <c r="ET126" s="528"/>
      <c r="EU126" s="528"/>
      <c r="EV126" s="528"/>
      <c r="EW126" s="528"/>
      <c r="EX126" s="528"/>
      <c r="EY126" s="528"/>
      <c r="EZ126" s="528"/>
      <c r="FA126" s="528"/>
      <c r="FB126" s="528"/>
      <c r="FC126" s="528"/>
      <c r="FD126" s="528"/>
      <c r="FE126" s="528"/>
      <c r="FF126" s="528"/>
      <c r="FG126" s="528"/>
      <c r="FH126" s="528"/>
      <c r="FI126" s="528"/>
      <c r="FJ126" s="528"/>
      <c r="FK126" s="528"/>
      <c r="FL126" s="528"/>
      <c r="FM126" s="528"/>
      <c r="FN126" s="528"/>
      <c r="FO126" s="528"/>
      <c r="FP126" s="528"/>
      <c r="FQ126" s="528"/>
      <c r="FR126" s="528"/>
      <c r="FS126" s="528"/>
      <c r="FT126" s="528"/>
      <c r="FU126" s="528"/>
      <c r="FV126" s="528"/>
      <c r="FW126" s="528"/>
      <c r="FX126" s="528"/>
      <c r="FY126" s="528"/>
      <c r="FZ126" s="528"/>
      <c r="GA126" s="528"/>
      <c r="GB126" s="528"/>
      <c r="GC126" s="528"/>
      <c r="GD126" s="528"/>
      <c r="GE126" s="528"/>
      <c r="GF126" s="528"/>
      <c r="GG126" s="528"/>
      <c r="GH126" s="528"/>
      <c r="GI126" s="528"/>
      <c r="GJ126" s="528"/>
      <c r="GK126" s="528"/>
      <c r="GL126" s="528"/>
      <c r="GM126" s="528"/>
      <c r="GN126" s="528"/>
      <c r="GO126" s="528"/>
      <c r="GP126" s="528"/>
      <c r="GQ126" s="528"/>
      <c r="GR126" s="528"/>
      <c r="GS126" s="528"/>
      <c r="GT126" s="528"/>
      <c r="GU126" s="528"/>
      <c r="GV126" s="528"/>
      <c r="GW126" s="528"/>
      <c r="GX126" s="528"/>
      <c r="GY126" s="528"/>
      <c r="GZ126" s="528"/>
      <c r="HA126" s="528"/>
      <c r="HB126" s="528"/>
      <c r="HC126" s="528"/>
      <c r="HD126" s="528"/>
      <c r="HE126" s="528"/>
      <c r="HF126" s="528"/>
      <c r="HG126" s="528"/>
      <c r="HH126" s="528"/>
      <c r="HI126" s="528"/>
      <c r="HJ126" s="528"/>
      <c r="HK126" s="528"/>
      <c r="HL126" s="528"/>
      <c r="HM126" s="528"/>
      <c r="HN126" s="528"/>
      <c r="HO126" s="528"/>
      <c r="HP126" s="528"/>
      <c r="HQ126" s="528"/>
      <c r="HR126" s="528"/>
      <c r="HS126" s="528"/>
      <c r="HT126" s="528"/>
      <c r="HU126" s="528"/>
      <c r="HV126" s="528"/>
      <c r="HW126" s="528"/>
      <c r="HX126" s="528"/>
      <c r="HY126" s="528"/>
      <c r="HZ126" s="528"/>
      <c r="IA126" s="528"/>
      <c r="IB126" s="528"/>
      <c r="IC126" s="528"/>
      <c r="ID126" s="528"/>
      <c r="IE126" s="528"/>
      <c r="IF126" s="528"/>
      <c r="IG126" s="528"/>
      <c r="IH126" s="528"/>
      <c r="II126" s="528"/>
      <c r="IJ126" s="528"/>
      <c r="IK126" s="528"/>
      <c r="IL126" s="528"/>
      <c r="IM126" s="528"/>
      <c r="IN126" s="528"/>
      <c r="IO126" s="528"/>
    </row>
    <row r="127" spans="3:249" x14ac:dyDescent="0.25">
      <c r="C127" s="438"/>
      <c r="E127" s="585" t="s">
        <v>598</v>
      </c>
      <c r="F127" s="705">
        <v>250</v>
      </c>
      <c r="G127" s="706"/>
      <c r="H127" s="706"/>
      <c r="I127" s="586"/>
      <c r="J127" s="480"/>
      <c r="K127" s="438"/>
      <c r="L127" s="519"/>
      <c r="M127" s="519"/>
      <c r="N127" s="519"/>
      <c r="O127" s="528"/>
      <c r="P127" s="528"/>
      <c r="Q127" s="528"/>
      <c r="R127" s="528"/>
      <c r="S127" s="528"/>
      <c r="T127" s="528"/>
      <c r="U127" s="528"/>
      <c r="V127" s="528"/>
      <c r="W127" s="528"/>
      <c r="X127" s="528"/>
      <c r="Y127" s="528"/>
      <c r="Z127" s="528"/>
      <c r="AA127" s="528"/>
      <c r="AB127" s="528"/>
      <c r="AC127" s="528"/>
      <c r="AD127" s="528"/>
      <c r="AE127" s="528"/>
      <c r="AF127" s="528"/>
      <c r="AG127" s="528"/>
      <c r="AH127" s="528"/>
      <c r="AI127" s="528"/>
      <c r="AJ127" s="528"/>
      <c r="AK127" s="528"/>
      <c r="AL127" s="528"/>
      <c r="AM127" s="528"/>
      <c r="AN127" s="528"/>
      <c r="AO127" s="528"/>
      <c r="AP127" s="528"/>
      <c r="AQ127" s="528"/>
      <c r="AR127" s="528"/>
      <c r="AS127" s="528"/>
      <c r="AT127" s="528"/>
      <c r="AU127" s="528"/>
      <c r="AV127" s="528"/>
      <c r="AW127" s="528"/>
      <c r="AX127" s="528"/>
      <c r="AY127" s="528"/>
      <c r="AZ127" s="528"/>
      <c r="BA127" s="528"/>
      <c r="BB127" s="528"/>
      <c r="BC127" s="528"/>
      <c r="BD127" s="528"/>
      <c r="BE127" s="528"/>
      <c r="BF127" s="528"/>
      <c r="BG127" s="528"/>
      <c r="BH127" s="528"/>
      <c r="BI127" s="528"/>
      <c r="BJ127" s="528"/>
      <c r="BK127" s="528"/>
      <c r="BL127" s="528"/>
      <c r="BM127" s="528"/>
      <c r="BN127" s="528"/>
      <c r="BO127" s="528"/>
      <c r="BP127" s="528"/>
      <c r="BQ127" s="528"/>
      <c r="BR127" s="528"/>
      <c r="BS127" s="528"/>
      <c r="BT127" s="528"/>
      <c r="BU127" s="528"/>
      <c r="BV127" s="528"/>
      <c r="BW127" s="528"/>
      <c r="BX127" s="528"/>
      <c r="BY127" s="528"/>
      <c r="BZ127" s="528"/>
      <c r="CA127" s="528"/>
      <c r="CB127" s="528"/>
      <c r="CC127" s="528"/>
      <c r="CD127" s="528"/>
      <c r="CE127" s="528"/>
      <c r="CF127" s="528"/>
      <c r="CG127" s="528"/>
      <c r="CH127" s="528"/>
      <c r="CI127" s="528"/>
      <c r="CJ127" s="528"/>
      <c r="CK127" s="528"/>
      <c r="CL127" s="528"/>
      <c r="CM127" s="528"/>
      <c r="CN127" s="528"/>
      <c r="CO127" s="528"/>
      <c r="CP127" s="528"/>
      <c r="CQ127" s="528"/>
      <c r="CR127" s="528"/>
      <c r="CS127" s="528"/>
      <c r="CT127" s="528"/>
      <c r="CU127" s="528"/>
      <c r="CV127" s="528"/>
      <c r="CW127" s="528"/>
      <c r="CX127" s="528"/>
      <c r="CY127" s="528"/>
      <c r="CZ127" s="528"/>
      <c r="DA127" s="528"/>
      <c r="DB127" s="528"/>
      <c r="DC127" s="528"/>
      <c r="DD127" s="528"/>
      <c r="DE127" s="528"/>
      <c r="DF127" s="528"/>
      <c r="DG127" s="528"/>
      <c r="DH127" s="528"/>
      <c r="DI127" s="528"/>
      <c r="DJ127" s="528"/>
      <c r="DK127" s="528"/>
      <c r="DL127" s="528"/>
      <c r="DM127" s="528"/>
      <c r="DN127" s="528"/>
      <c r="DO127" s="528"/>
      <c r="DP127" s="528"/>
      <c r="DQ127" s="528"/>
      <c r="DR127" s="528"/>
      <c r="DS127" s="528"/>
      <c r="DT127" s="528"/>
      <c r="DU127" s="528"/>
      <c r="DV127" s="528"/>
      <c r="DW127" s="528"/>
      <c r="DX127" s="528"/>
      <c r="DY127" s="528"/>
      <c r="DZ127" s="528"/>
      <c r="EA127" s="528"/>
      <c r="EB127" s="528"/>
      <c r="EC127" s="528"/>
      <c r="ED127" s="528"/>
      <c r="EE127" s="528"/>
      <c r="EF127" s="528"/>
      <c r="EG127" s="528"/>
      <c r="EH127" s="528"/>
      <c r="EI127" s="528"/>
      <c r="EJ127" s="528"/>
      <c r="EK127" s="528"/>
      <c r="EL127" s="528"/>
      <c r="EM127" s="528"/>
      <c r="EN127" s="528"/>
      <c r="EO127" s="528"/>
      <c r="EP127" s="528"/>
      <c r="EQ127" s="528"/>
      <c r="ER127" s="528"/>
      <c r="ES127" s="528"/>
      <c r="ET127" s="528"/>
      <c r="EU127" s="528"/>
      <c r="EV127" s="528"/>
      <c r="EW127" s="528"/>
      <c r="EX127" s="528"/>
      <c r="EY127" s="528"/>
      <c r="EZ127" s="528"/>
      <c r="FA127" s="528"/>
      <c r="FB127" s="528"/>
      <c r="FC127" s="528"/>
      <c r="FD127" s="528"/>
      <c r="FE127" s="528"/>
      <c r="FF127" s="528"/>
      <c r="FG127" s="528"/>
      <c r="FH127" s="528"/>
      <c r="FI127" s="528"/>
      <c r="FJ127" s="528"/>
      <c r="FK127" s="528"/>
      <c r="FL127" s="528"/>
      <c r="FM127" s="528"/>
      <c r="FN127" s="528"/>
      <c r="FO127" s="528"/>
      <c r="FP127" s="528"/>
      <c r="FQ127" s="528"/>
      <c r="FR127" s="528"/>
      <c r="FS127" s="528"/>
      <c r="FT127" s="528"/>
      <c r="FU127" s="528"/>
      <c r="FV127" s="528"/>
      <c r="FW127" s="528"/>
      <c r="FX127" s="528"/>
      <c r="FY127" s="528"/>
      <c r="FZ127" s="528"/>
      <c r="GA127" s="528"/>
      <c r="GB127" s="528"/>
      <c r="GC127" s="528"/>
      <c r="GD127" s="528"/>
      <c r="GE127" s="528"/>
      <c r="GF127" s="528"/>
      <c r="GG127" s="528"/>
      <c r="GH127" s="528"/>
      <c r="GI127" s="528"/>
      <c r="GJ127" s="528"/>
      <c r="GK127" s="528"/>
      <c r="GL127" s="528"/>
      <c r="GM127" s="528"/>
      <c r="GN127" s="528"/>
      <c r="GO127" s="528"/>
      <c r="GP127" s="528"/>
      <c r="GQ127" s="528"/>
      <c r="GR127" s="528"/>
      <c r="GS127" s="528"/>
      <c r="GT127" s="528"/>
      <c r="GU127" s="528"/>
      <c r="GV127" s="528"/>
      <c r="GW127" s="528"/>
      <c r="GX127" s="528"/>
      <c r="GY127" s="528"/>
      <c r="GZ127" s="528"/>
      <c r="HA127" s="528"/>
      <c r="HB127" s="528"/>
      <c r="HC127" s="528"/>
      <c r="HD127" s="528"/>
      <c r="HE127" s="528"/>
      <c r="HF127" s="528"/>
      <c r="HG127" s="528"/>
      <c r="HH127" s="528"/>
      <c r="HI127" s="528"/>
      <c r="HJ127" s="528"/>
      <c r="HK127" s="528"/>
      <c r="HL127" s="528"/>
      <c r="HM127" s="528"/>
      <c r="HN127" s="528"/>
      <c r="HO127" s="528"/>
      <c r="HP127" s="528"/>
      <c r="HQ127" s="528"/>
      <c r="HR127" s="528"/>
      <c r="HS127" s="528"/>
      <c r="HT127" s="528"/>
      <c r="HU127" s="528"/>
      <c r="HV127" s="528"/>
      <c r="HW127" s="528"/>
      <c r="HX127" s="528"/>
      <c r="HY127" s="528"/>
      <c r="HZ127" s="528"/>
      <c r="IA127" s="528"/>
      <c r="IB127" s="528"/>
      <c r="IC127" s="528"/>
      <c r="ID127" s="528"/>
      <c r="IE127" s="528"/>
      <c r="IF127" s="528"/>
      <c r="IG127" s="528"/>
      <c r="IH127" s="528"/>
      <c r="II127" s="528"/>
      <c r="IJ127" s="528"/>
      <c r="IK127" s="528"/>
      <c r="IL127" s="528"/>
      <c r="IM127" s="528"/>
      <c r="IN127" s="528"/>
      <c r="IO127" s="528"/>
    </row>
    <row r="128" spans="3:249" x14ac:dyDescent="0.25">
      <c r="C128" s="438"/>
      <c r="F128" s="551"/>
      <c r="G128" s="551"/>
      <c r="H128" s="551"/>
      <c r="I128" s="551"/>
      <c r="J128" s="480"/>
      <c r="K128" s="438"/>
      <c r="L128" s="519"/>
      <c r="M128" s="519"/>
      <c r="N128" s="519"/>
      <c r="O128" s="528"/>
      <c r="P128" s="528"/>
      <c r="Q128" s="528"/>
      <c r="R128" s="528"/>
      <c r="S128" s="528"/>
      <c r="T128" s="528"/>
      <c r="U128" s="528"/>
      <c r="V128" s="528"/>
      <c r="W128" s="528"/>
      <c r="X128" s="528"/>
      <c r="Y128" s="528"/>
      <c r="Z128" s="528"/>
      <c r="AA128" s="528"/>
      <c r="AB128" s="528"/>
      <c r="AC128" s="528"/>
      <c r="AD128" s="528"/>
      <c r="AE128" s="528"/>
      <c r="AF128" s="528"/>
      <c r="AG128" s="528"/>
      <c r="AH128" s="528"/>
      <c r="AI128" s="528"/>
      <c r="AJ128" s="528"/>
      <c r="AK128" s="528"/>
      <c r="AL128" s="528"/>
      <c r="AM128" s="528"/>
      <c r="AN128" s="528"/>
      <c r="AO128" s="528"/>
      <c r="AP128" s="528"/>
      <c r="AQ128" s="528"/>
      <c r="AR128" s="528"/>
      <c r="AS128" s="528"/>
      <c r="AT128" s="528"/>
      <c r="AU128" s="528"/>
      <c r="AV128" s="528"/>
      <c r="AW128" s="528"/>
      <c r="AX128" s="528"/>
      <c r="AY128" s="528"/>
      <c r="AZ128" s="528"/>
      <c r="BA128" s="528"/>
      <c r="BB128" s="528"/>
      <c r="BC128" s="528"/>
      <c r="BD128" s="528"/>
      <c r="BE128" s="528"/>
      <c r="BF128" s="528"/>
      <c r="BG128" s="528"/>
      <c r="BH128" s="528"/>
      <c r="BI128" s="528"/>
      <c r="BJ128" s="528"/>
      <c r="BK128" s="528"/>
      <c r="BL128" s="528"/>
      <c r="BM128" s="528"/>
      <c r="BN128" s="528"/>
      <c r="BO128" s="528"/>
      <c r="BP128" s="528"/>
      <c r="BQ128" s="528"/>
      <c r="BR128" s="528"/>
      <c r="BS128" s="528"/>
      <c r="BT128" s="528"/>
      <c r="BU128" s="528"/>
      <c r="BV128" s="528"/>
      <c r="BW128" s="528"/>
      <c r="BX128" s="528"/>
      <c r="BY128" s="528"/>
      <c r="BZ128" s="528"/>
      <c r="CA128" s="528"/>
      <c r="CB128" s="528"/>
      <c r="CC128" s="528"/>
      <c r="CD128" s="528"/>
      <c r="CE128" s="528"/>
      <c r="CF128" s="528"/>
      <c r="CG128" s="528"/>
      <c r="CH128" s="528"/>
      <c r="CI128" s="528"/>
      <c r="CJ128" s="528"/>
      <c r="CK128" s="528"/>
      <c r="CL128" s="528"/>
      <c r="CM128" s="528"/>
      <c r="CN128" s="528"/>
      <c r="CO128" s="528"/>
      <c r="CP128" s="528"/>
      <c r="CQ128" s="528"/>
      <c r="CR128" s="528"/>
      <c r="CS128" s="528"/>
      <c r="CT128" s="528"/>
      <c r="CU128" s="528"/>
      <c r="CV128" s="528"/>
      <c r="CW128" s="528"/>
      <c r="CX128" s="528"/>
      <c r="CY128" s="528"/>
      <c r="CZ128" s="528"/>
      <c r="DA128" s="528"/>
      <c r="DB128" s="528"/>
      <c r="DC128" s="528"/>
      <c r="DD128" s="528"/>
      <c r="DE128" s="528"/>
      <c r="DF128" s="528"/>
      <c r="DG128" s="528"/>
      <c r="DH128" s="528"/>
      <c r="DI128" s="528"/>
      <c r="DJ128" s="528"/>
      <c r="DK128" s="528"/>
      <c r="DL128" s="528"/>
      <c r="DM128" s="528"/>
      <c r="DN128" s="528"/>
      <c r="DO128" s="528"/>
      <c r="DP128" s="528"/>
      <c r="DQ128" s="528"/>
      <c r="DR128" s="528"/>
      <c r="DS128" s="528"/>
      <c r="DT128" s="528"/>
      <c r="DU128" s="528"/>
      <c r="DV128" s="528"/>
      <c r="DW128" s="528"/>
      <c r="DX128" s="528"/>
      <c r="DY128" s="528"/>
      <c r="DZ128" s="528"/>
      <c r="EA128" s="528"/>
      <c r="EB128" s="528"/>
      <c r="EC128" s="528"/>
      <c r="ED128" s="528"/>
      <c r="EE128" s="528"/>
      <c r="EF128" s="528"/>
      <c r="EG128" s="528"/>
      <c r="EH128" s="528"/>
      <c r="EI128" s="528"/>
      <c r="EJ128" s="528"/>
      <c r="EK128" s="528"/>
      <c r="EL128" s="528"/>
      <c r="EM128" s="528"/>
      <c r="EN128" s="528"/>
      <c r="EO128" s="528"/>
      <c r="EP128" s="528"/>
      <c r="EQ128" s="528"/>
      <c r="ER128" s="528"/>
      <c r="ES128" s="528"/>
      <c r="ET128" s="528"/>
      <c r="EU128" s="528"/>
      <c r="EV128" s="528"/>
      <c r="EW128" s="528"/>
      <c r="EX128" s="528"/>
      <c r="EY128" s="528"/>
      <c r="EZ128" s="528"/>
      <c r="FA128" s="528"/>
      <c r="FB128" s="528"/>
      <c r="FC128" s="528"/>
      <c r="FD128" s="528"/>
      <c r="FE128" s="528"/>
      <c r="FF128" s="528"/>
      <c r="FG128" s="528"/>
      <c r="FH128" s="528"/>
      <c r="FI128" s="528"/>
      <c r="FJ128" s="528"/>
      <c r="FK128" s="528"/>
      <c r="FL128" s="528"/>
      <c r="FM128" s="528"/>
      <c r="FN128" s="528"/>
      <c r="FO128" s="528"/>
      <c r="FP128" s="528"/>
      <c r="FQ128" s="528"/>
      <c r="FR128" s="528"/>
      <c r="FS128" s="528"/>
      <c r="FT128" s="528"/>
      <c r="FU128" s="528"/>
      <c r="FV128" s="528"/>
      <c r="FW128" s="528"/>
      <c r="FX128" s="528"/>
      <c r="FY128" s="528"/>
      <c r="FZ128" s="528"/>
      <c r="GA128" s="528"/>
      <c r="GB128" s="528"/>
      <c r="GC128" s="528"/>
      <c r="GD128" s="528"/>
      <c r="GE128" s="528"/>
      <c r="GF128" s="528"/>
      <c r="GG128" s="528"/>
      <c r="GH128" s="528"/>
      <c r="GI128" s="528"/>
      <c r="GJ128" s="528"/>
      <c r="GK128" s="528"/>
      <c r="GL128" s="528"/>
      <c r="GM128" s="528"/>
      <c r="GN128" s="528"/>
      <c r="GO128" s="528"/>
      <c r="GP128" s="528"/>
      <c r="GQ128" s="528"/>
      <c r="GR128" s="528"/>
      <c r="GS128" s="528"/>
      <c r="GT128" s="528"/>
      <c r="GU128" s="528"/>
      <c r="GV128" s="528"/>
      <c r="GW128" s="528"/>
      <c r="GX128" s="528"/>
      <c r="GY128" s="528"/>
      <c r="GZ128" s="528"/>
      <c r="HA128" s="528"/>
      <c r="HB128" s="528"/>
      <c r="HC128" s="528"/>
      <c r="HD128" s="528"/>
      <c r="HE128" s="528"/>
      <c r="HF128" s="528"/>
      <c r="HG128" s="528"/>
      <c r="HH128" s="528"/>
      <c r="HI128" s="528"/>
      <c r="HJ128" s="528"/>
      <c r="HK128" s="528"/>
      <c r="HL128" s="528"/>
      <c r="HM128" s="528"/>
      <c r="HN128" s="528"/>
      <c r="HO128" s="528"/>
      <c r="HP128" s="528"/>
      <c r="HQ128" s="528"/>
      <c r="HR128" s="528"/>
      <c r="HS128" s="528"/>
      <c r="HT128" s="528"/>
      <c r="HU128" s="528"/>
      <c r="HV128" s="528"/>
      <c r="HW128" s="528"/>
      <c r="HX128" s="528"/>
      <c r="HY128" s="528"/>
      <c r="HZ128" s="528"/>
      <c r="IA128" s="528"/>
      <c r="IB128" s="528"/>
      <c r="IC128" s="528"/>
      <c r="ID128" s="528"/>
      <c r="IE128" s="528"/>
      <c r="IF128" s="528"/>
      <c r="IG128" s="528"/>
      <c r="IH128" s="528"/>
      <c r="II128" s="528"/>
      <c r="IJ128" s="528"/>
      <c r="IK128" s="528"/>
      <c r="IL128" s="528"/>
      <c r="IM128" s="528"/>
      <c r="IN128" s="528"/>
      <c r="IO128" s="528"/>
    </row>
    <row r="129" spans="1:249" x14ac:dyDescent="0.25">
      <c r="C129" s="438"/>
      <c r="D129" s="569">
        <v>7</v>
      </c>
      <c r="E129" s="677" t="s">
        <v>604</v>
      </c>
      <c r="F129" s="678"/>
      <c r="G129" s="723" t="s">
        <v>605</v>
      </c>
      <c r="H129" s="678" t="s">
        <v>606</v>
      </c>
      <c r="I129" s="679"/>
      <c r="J129" s="480"/>
      <c r="K129" s="438"/>
      <c r="L129" s="519"/>
      <c r="M129" s="519"/>
      <c r="N129" s="519"/>
      <c r="O129" s="528"/>
      <c r="P129" s="528"/>
      <c r="Q129" s="528"/>
      <c r="R129" s="528"/>
      <c r="S129" s="528"/>
      <c r="T129" s="528"/>
      <c r="U129" s="528"/>
      <c r="V129" s="528"/>
      <c r="W129" s="528"/>
      <c r="X129" s="528"/>
      <c r="Y129" s="528"/>
      <c r="Z129" s="528"/>
      <c r="AA129" s="528"/>
      <c r="AB129" s="528"/>
      <c r="AC129" s="528"/>
      <c r="AD129" s="528"/>
      <c r="AE129" s="528"/>
      <c r="AF129" s="528"/>
      <c r="AG129" s="528"/>
      <c r="AH129" s="528"/>
      <c r="AI129" s="528"/>
      <c r="AJ129" s="528"/>
      <c r="AK129" s="528"/>
      <c r="AL129" s="528"/>
      <c r="AM129" s="528"/>
      <c r="AN129" s="528"/>
      <c r="AO129" s="528"/>
      <c r="AP129" s="528"/>
      <c r="AQ129" s="528"/>
      <c r="AR129" s="528"/>
      <c r="AS129" s="528"/>
      <c r="AT129" s="528"/>
      <c r="AU129" s="528"/>
      <c r="AV129" s="528"/>
      <c r="AW129" s="528"/>
      <c r="AX129" s="528"/>
      <c r="AY129" s="528"/>
      <c r="AZ129" s="528"/>
      <c r="BA129" s="528"/>
      <c r="BB129" s="528"/>
      <c r="BC129" s="528"/>
      <c r="BD129" s="528"/>
      <c r="BE129" s="528"/>
      <c r="BF129" s="528"/>
      <c r="BG129" s="528"/>
      <c r="BH129" s="528"/>
      <c r="BI129" s="528"/>
      <c r="BJ129" s="528"/>
      <c r="BK129" s="528"/>
      <c r="BL129" s="528"/>
      <c r="BM129" s="528"/>
      <c r="BN129" s="528"/>
      <c r="BO129" s="528"/>
      <c r="BP129" s="528"/>
      <c r="BQ129" s="528"/>
      <c r="BR129" s="528"/>
      <c r="BS129" s="528"/>
      <c r="BT129" s="528"/>
      <c r="BU129" s="528"/>
      <c r="BV129" s="528"/>
      <c r="BW129" s="528"/>
      <c r="BX129" s="528"/>
      <c r="BY129" s="528"/>
      <c r="BZ129" s="528"/>
      <c r="CA129" s="528"/>
      <c r="CB129" s="528"/>
      <c r="CC129" s="528"/>
      <c r="CD129" s="528"/>
      <c r="CE129" s="528"/>
      <c r="CF129" s="528"/>
      <c r="CG129" s="528"/>
      <c r="CH129" s="528"/>
      <c r="CI129" s="528"/>
      <c r="CJ129" s="528"/>
      <c r="CK129" s="528"/>
      <c r="CL129" s="528"/>
      <c r="CM129" s="528"/>
      <c r="CN129" s="528"/>
      <c r="CO129" s="528"/>
      <c r="CP129" s="528"/>
      <c r="CQ129" s="528"/>
      <c r="CR129" s="528"/>
      <c r="CS129" s="528"/>
      <c r="CT129" s="528"/>
      <c r="CU129" s="528"/>
      <c r="CV129" s="528"/>
      <c r="CW129" s="528"/>
      <c r="CX129" s="528"/>
      <c r="CY129" s="528"/>
      <c r="CZ129" s="528"/>
      <c r="DA129" s="528"/>
      <c r="DB129" s="528"/>
      <c r="DC129" s="528"/>
      <c r="DD129" s="528"/>
      <c r="DE129" s="528"/>
      <c r="DF129" s="528"/>
      <c r="DG129" s="528"/>
      <c r="DH129" s="528"/>
      <c r="DI129" s="528"/>
      <c r="DJ129" s="528"/>
      <c r="DK129" s="528"/>
      <c r="DL129" s="528"/>
      <c r="DM129" s="528"/>
      <c r="DN129" s="528"/>
      <c r="DO129" s="528"/>
      <c r="DP129" s="528"/>
      <c r="DQ129" s="528"/>
      <c r="DR129" s="528"/>
      <c r="DS129" s="528"/>
      <c r="DT129" s="528"/>
      <c r="DU129" s="528"/>
      <c r="DV129" s="528"/>
      <c r="DW129" s="528"/>
      <c r="DX129" s="528"/>
      <c r="DY129" s="528"/>
      <c r="DZ129" s="528"/>
      <c r="EA129" s="528"/>
      <c r="EB129" s="528"/>
      <c r="EC129" s="528"/>
      <c r="ED129" s="528"/>
      <c r="EE129" s="528"/>
      <c r="EF129" s="528"/>
      <c r="EG129" s="528"/>
      <c r="EH129" s="528"/>
      <c r="EI129" s="528"/>
      <c r="EJ129" s="528"/>
      <c r="EK129" s="528"/>
      <c r="EL129" s="528"/>
      <c r="EM129" s="528"/>
      <c r="EN129" s="528"/>
      <c r="EO129" s="528"/>
      <c r="EP129" s="528"/>
      <c r="EQ129" s="528"/>
      <c r="ER129" s="528"/>
      <c r="ES129" s="528"/>
      <c r="ET129" s="528"/>
      <c r="EU129" s="528"/>
      <c r="EV129" s="528"/>
      <c r="EW129" s="528"/>
      <c r="EX129" s="528"/>
      <c r="EY129" s="528"/>
      <c r="EZ129" s="528"/>
      <c r="FA129" s="528"/>
      <c r="FB129" s="528"/>
      <c r="FC129" s="528"/>
      <c r="FD129" s="528"/>
      <c r="FE129" s="528"/>
      <c r="FF129" s="528"/>
      <c r="FG129" s="528"/>
      <c r="FH129" s="528"/>
      <c r="FI129" s="528"/>
      <c r="FJ129" s="528"/>
      <c r="FK129" s="528"/>
      <c r="FL129" s="528"/>
      <c r="FM129" s="528"/>
      <c r="FN129" s="528"/>
      <c r="FO129" s="528"/>
      <c r="FP129" s="528"/>
      <c r="FQ129" s="528"/>
      <c r="FR129" s="528"/>
      <c r="FS129" s="528"/>
      <c r="FT129" s="528"/>
      <c r="FU129" s="528"/>
      <c r="FV129" s="528"/>
      <c r="FW129" s="528"/>
      <c r="FX129" s="528"/>
      <c r="FY129" s="528"/>
      <c r="FZ129" s="528"/>
      <c r="GA129" s="528"/>
      <c r="GB129" s="528"/>
      <c r="GC129" s="528"/>
      <c r="GD129" s="528"/>
      <c r="GE129" s="528"/>
      <c r="GF129" s="528"/>
      <c r="GG129" s="528"/>
      <c r="GH129" s="528"/>
      <c r="GI129" s="528"/>
      <c r="GJ129" s="528"/>
      <c r="GK129" s="528"/>
      <c r="GL129" s="528"/>
      <c r="GM129" s="528"/>
      <c r="GN129" s="528"/>
      <c r="GO129" s="528"/>
      <c r="GP129" s="528"/>
      <c r="GQ129" s="528"/>
      <c r="GR129" s="528"/>
      <c r="GS129" s="528"/>
      <c r="GT129" s="528"/>
      <c r="GU129" s="528"/>
      <c r="GV129" s="528"/>
      <c r="GW129" s="528"/>
      <c r="GX129" s="528"/>
      <c r="GY129" s="528"/>
      <c r="GZ129" s="528"/>
      <c r="HA129" s="528"/>
      <c r="HB129" s="528"/>
      <c r="HC129" s="528"/>
      <c r="HD129" s="528"/>
      <c r="HE129" s="528"/>
      <c r="HF129" s="528"/>
      <c r="HG129" s="528"/>
      <c r="HH129" s="528"/>
      <c r="HI129" s="528"/>
      <c r="HJ129" s="528"/>
      <c r="HK129" s="528"/>
      <c r="HL129" s="528"/>
      <c r="HM129" s="528"/>
      <c r="HN129" s="528"/>
      <c r="HO129" s="528"/>
      <c r="HP129" s="528"/>
      <c r="HQ129" s="528"/>
      <c r="HR129" s="528"/>
      <c r="HS129" s="528"/>
      <c r="HT129" s="528"/>
      <c r="HU129" s="528"/>
      <c r="HV129" s="528"/>
      <c r="HW129" s="528"/>
      <c r="HX129" s="528"/>
      <c r="HY129" s="528"/>
      <c r="HZ129" s="528"/>
      <c r="IA129" s="528"/>
      <c r="IB129" s="528"/>
      <c r="IC129" s="528"/>
      <c r="ID129" s="528"/>
      <c r="IE129" s="528"/>
      <c r="IF129" s="528"/>
      <c r="IG129" s="528"/>
      <c r="IH129" s="528"/>
      <c r="II129" s="528"/>
      <c r="IJ129" s="528"/>
      <c r="IK129" s="528"/>
      <c r="IL129" s="528"/>
      <c r="IM129" s="528"/>
      <c r="IN129" s="528"/>
      <c r="IO129" s="528"/>
    </row>
    <row r="130" spans="1:249" x14ac:dyDescent="0.25">
      <c r="C130" s="438"/>
      <c r="E130" s="724" t="s">
        <v>343</v>
      </c>
      <c r="F130" s="725">
        <f>+H47</f>
        <v>4.4999999999999998E-2</v>
      </c>
      <c r="G130" s="726">
        <f>+I47</f>
        <v>603400</v>
      </c>
      <c r="H130" s="727">
        <v>0.75</v>
      </c>
      <c r="I130" s="728">
        <f>+G130*H130</f>
        <v>452550</v>
      </c>
      <c r="J130" s="729">
        <f>ROUND(+I130,-4)</f>
        <v>450000</v>
      </c>
      <c r="K130" s="730" t="s">
        <v>607</v>
      </c>
      <c r="L130" s="731">
        <f>+H38</f>
        <v>3390</v>
      </c>
      <c r="M130" s="717" t="s">
        <v>378</v>
      </c>
      <c r="N130" s="519"/>
      <c r="O130" s="528"/>
      <c r="P130" s="528"/>
      <c r="Q130" s="528"/>
      <c r="R130" s="528"/>
      <c r="S130" s="528"/>
      <c r="T130" s="528"/>
      <c r="U130" s="528"/>
      <c r="V130" s="528"/>
      <c r="W130" s="528"/>
      <c r="X130" s="528"/>
      <c r="Y130" s="528"/>
      <c r="Z130" s="528"/>
      <c r="AA130" s="528"/>
      <c r="AB130" s="528"/>
      <c r="AC130" s="528"/>
      <c r="AD130" s="528"/>
      <c r="AE130" s="528"/>
      <c r="AF130" s="528"/>
      <c r="AG130" s="528"/>
      <c r="AH130" s="528"/>
      <c r="AI130" s="528"/>
      <c r="AJ130" s="528"/>
      <c r="AK130" s="528"/>
      <c r="AL130" s="528"/>
      <c r="AM130" s="528"/>
      <c r="AN130" s="528"/>
      <c r="AO130" s="528"/>
      <c r="AP130" s="528"/>
      <c r="AQ130" s="528"/>
      <c r="AR130" s="528"/>
      <c r="AS130" s="528"/>
      <c r="AT130" s="528"/>
      <c r="AU130" s="528"/>
      <c r="AV130" s="528"/>
      <c r="AW130" s="528"/>
      <c r="AX130" s="528"/>
      <c r="AY130" s="528"/>
      <c r="AZ130" s="528"/>
      <c r="BA130" s="528"/>
      <c r="BB130" s="528"/>
      <c r="BC130" s="528"/>
      <c r="BD130" s="528"/>
      <c r="BE130" s="528"/>
      <c r="BF130" s="528"/>
      <c r="BG130" s="528"/>
      <c r="BH130" s="528"/>
      <c r="BI130" s="528"/>
      <c r="BJ130" s="528"/>
      <c r="BK130" s="528"/>
      <c r="BL130" s="528"/>
      <c r="BM130" s="528"/>
      <c r="BN130" s="528"/>
      <c r="BO130" s="528"/>
      <c r="BP130" s="528"/>
      <c r="BQ130" s="528"/>
      <c r="BR130" s="528"/>
      <c r="BS130" s="528"/>
      <c r="BT130" s="528"/>
      <c r="BU130" s="528"/>
      <c r="BV130" s="528"/>
      <c r="BW130" s="528"/>
      <c r="BX130" s="528"/>
      <c r="BY130" s="528"/>
      <c r="BZ130" s="528"/>
      <c r="CA130" s="528"/>
      <c r="CB130" s="528"/>
      <c r="CC130" s="528"/>
      <c r="CD130" s="528"/>
      <c r="CE130" s="528"/>
      <c r="CF130" s="528"/>
      <c r="CG130" s="528"/>
      <c r="CH130" s="528"/>
      <c r="CI130" s="528"/>
      <c r="CJ130" s="528"/>
      <c r="CK130" s="528"/>
      <c r="CL130" s="528"/>
      <c r="CM130" s="528"/>
      <c r="CN130" s="528"/>
      <c r="CO130" s="528"/>
      <c r="CP130" s="528"/>
      <c r="CQ130" s="528"/>
      <c r="CR130" s="528"/>
      <c r="CS130" s="528"/>
      <c r="CT130" s="528"/>
      <c r="CU130" s="528"/>
      <c r="CV130" s="528"/>
      <c r="CW130" s="528"/>
      <c r="CX130" s="528"/>
      <c r="CY130" s="528"/>
      <c r="CZ130" s="528"/>
      <c r="DA130" s="528"/>
      <c r="DB130" s="528"/>
      <c r="DC130" s="528"/>
      <c r="DD130" s="528"/>
      <c r="DE130" s="528"/>
      <c r="DF130" s="528"/>
      <c r="DG130" s="528"/>
      <c r="DH130" s="528"/>
      <c r="DI130" s="528"/>
      <c r="DJ130" s="528"/>
      <c r="DK130" s="528"/>
      <c r="DL130" s="528"/>
      <c r="DM130" s="528"/>
      <c r="DN130" s="528"/>
      <c r="DO130" s="528"/>
      <c r="DP130" s="528"/>
      <c r="DQ130" s="528"/>
      <c r="DR130" s="528"/>
      <c r="DS130" s="528"/>
      <c r="DT130" s="528"/>
      <c r="DU130" s="528"/>
      <c r="DV130" s="528"/>
      <c r="DW130" s="528"/>
      <c r="DX130" s="528"/>
      <c r="DY130" s="528"/>
      <c r="DZ130" s="528"/>
      <c r="EA130" s="528"/>
      <c r="EB130" s="528"/>
      <c r="EC130" s="528"/>
      <c r="ED130" s="528"/>
      <c r="EE130" s="528"/>
      <c r="EF130" s="528"/>
      <c r="EG130" s="528"/>
      <c r="EH130" s="528"/>
      <c r="EI130" s="528"/>
      <c r="EJ130" s="528"/>
      <c r="EK130" s="528"/>
      <c r="EL130" s="528"/>
      <c r="EM130" s="528"/>
      <c r="EN130" s="528"/>
      <c r="EO130" s="528"/>
      <c r="EP130" s="528"/>
      <c r="EQ130" s="528"/>
      <c r="ER130" s="528"/>
      <c r="ES130" s="528"/>
      <c r="ET130" s="528"/>
      <c r="EU130" s="528"/>
      <c r="EV130" s="528"/>
      <c r="EW130" s="528"/>
      <c r="EX130" s="528"/>
      <c r="EY130" s="528"/>
      <c r="EZ130" s="528"/>
      <c r="FA130" s="528"/>
      <c r="FB130" s="528"/>
      <c r="FC130" s="528"/>
      <c r="FD130" s="528"/>
      <c r="FE130" s="528"/>
      <c r="FF130" s="528"/>
      <c r="FG130" s="528"/>
      <c r="FH130" s="528"/>
      <c r="FI130" s="528"/>
      <c r="FJ130" s="528"/>
      <c r="FK130" s="528"/>
      <c r="FL130" s="528"/>
      <c r="FM130" s="528"/>
      <c r="FN130" s="528"/>
      <c r="FO130" s="528"/>
      <c r="FP130" s="528"/>
      <c r="FQ130" s="528"/>
      <c r="FR130" s="528"/>
      <c r="FS130" s="528"/>
      <c r="FT130" s="528"/>
      <c r="FU130" s="528"/>
      <c r="FV130" s="528"/>
      <c r="FW130" s="528"/>
      <c r="FX130" s="528"/>
      <c r="FY130" s="528"/>
      <c r="FZ130" s="528"/>
      <c r="GA130" s="528"/>
      <c r="GB130" s="528"/>
      <c r="GC130" s="528"/>
      <c r="GD130" s="528"/>
      <c r="GE130" s="528"/>
      <c r="GF130" s="528"/>
      <c r="GG130" s="528"/>
      <c r="GH130" s="528"/>
      <c r="GI130" s="528"/>
      <c r="GJ130" s="528"/>
      <c r="GK130" s="528"/>
      <c r="GL130" s="528"/>
      <c r="GM130" s="528"/>
      <c r="GN130" s="528"/>
      <c r="GO130" s="528"/>
      <c r="GP130" s="528"/>
      <c r="GQ130" s="528"/>
      <c r="GR130" s="528"/>
      <c r="GS130" s="528"/>
      <c r="GT130" s="528"/>
      <c r="GU130" s="528"/>
      <c r="GV130" s="528"/>
      <c r="GW130" s="528"/>
      <c r="GX130" s="528"/>
      <c r="GY130" s="528"/>
      <c r="GZ130" s="528"/>
      <c r="HA130" s="528"/>
      <c r="HB130" s="528"/>
      <c r="HC130" s="528"/>
      <c r="HD130" s="528"/>
      <c r="HE130" s="528"/>
      <c r="HF130" s="528"/>
      <c r="HG130" s="528"/>
      <c r="HH130" s="528"/>
      <c r="HI130" s="528"/>
      <c r="HJ130" s="528"/>
      <c r="HK130" s="528"/>
      <c r="HL130" s="528"/>
      <c r="HM130" s="528"/>
      <c r="HN130" s="528"/>
      <c r="HO130" s="528"/>
      <c r="HP130" s="528"/>
      <c r="HQ130" s="528"/>
      <c r="HR130" s="528"/>
      <c r="HS130" s="528"/>
      <c r="HT130" s="528"/>
      <c r="HU130" s="528"/>
      <c r="HV130" s="528"/>
      <c r="HW130" s="528"/>
      <c r="HX130" s="528"/>
      <c r="HY130" s="528"/>
      <c r="HZ130" s="528"/>
      <c r="IA130" s="528"/>
      <c r="IB130" s="528"/>
      <c r="IC130" s="528"/>
      <c r="ID130" s="528"/>
      <c r="IE130" s="528"/>
      <c r="IF130" s="528"/>
      <c r="IG130" s="528"/>
      <c r="IH130" s="528"/>
      <c r="II130" s="528"/>
      <c r="IJ130" s="528"/>
      <c r="IK130" s="528"/>
      <c r="IL130" s="528"/>
      <c r="IM130" s="528"/>
      <c r="IN130" s="528"/>
      <c r="IO130" s="528"/>
    </row>
    <row r="131" spans="1:249" ht="18" x14ac:dyDescent="0.25">
      <c r="C131" s="438"/>
      <c r="E131" s="566"/>
      <c r="F131" s="439"/>
      <c r="G131" s="480"/>
      <c r="H131" s="480"/>
      <c r="I131" s="480"/>
      <c r="J131" s="480"/>
      <c r="K131" s="438"/>
      <c r="L131" s="732" t="s">
        <v>574</v>
      </c>
      <c r="M131" s="733" t="s">
        <v>575</v>
      </c>
      <c r="N131" s="519" t="s">
        <v>608</v>
      </c>
      <c r="O131" s="528"/>
      <c r="P131" s="528"/>
      <c r="Q131" s="528"/>
      <c r="R131" s="528"/>
      <c r="S131" s="528"/>
      <c r="T131" s="528"/>
      <c r="U131" s="528"/>
      <c r="V131" s="528"/>
      <c r="W131" s="528"/>
      <c r="X131" s="528"/>
      <c r="Y131" s="528"/>
      <c r="Z131" s="528"/>
      <c r="AA131" s="528"/>
      <c r="AB131" s="528"/>
      <c r="AC131" s="528"/>
      <c r="AD131" s="528"/>
      <c r="AE131" s="528"/>
      <c r="AF131" s="528"/>
      <c r="AG131" s="528"/>
      <c r="AH131" s="528"/>
      <c r="AI131" s="528"/>
      <c r="AJ131" s="528"/>
      <c r="AK131" s="528"/>
      <c r="AL131" s="528"/>
      <c r="AM131" s="528"/>
      <c r="AN131" s="528"/>
      <c r="AO131" s="528"/>
      <c r="AP131" s="528"/>
      <c r="AQ131" s="528"/>
      <c r="AR131" s="528"/>
      <c r="AS131" s="528"/>
      <c r="AT131" s="528"/>
      <c r="AU131" s="528"/>
      <c r="AV131" s="528"/>
      <c r="AW131" s="528"/>
      <c r="AX131" s="528"/>
      <c r="AY131" s="528"/>
      <c r="AZ131" s="528"/>
      <c r="BA131" s="528"/>
      <c r="BB131" s="528"/>
      <c r="BC131" s="528"/>
      <c r="BD131" s="528"/>
      <c r="BE131" s="528"/>
      <c r="BF131" s="528"/>
      <c r="BG131" s="528"/>
      <c r="BH131" s="528"/>
      <c r="BI131" s="528"/>
      <c r="BJ131" s="528"/>
      <c r="BK131" s="528"/>
      <c r="BL131" s="528"/>
      <c r="BM131" s="528"/>
      <c r="BN131" s="528"/>
      <c r="BO131" s="528"/>
      <c r="BP131" s="528"/>
      <c r="BQ131" s="528"/>
      <c r="BR131" s="528"/>
      <c r="BS131" s="528"/>
      <c r="BT131" s="528"/>
      <c r="BU131" s="528"/>
      <c r="BV131" s="528"/>
      <c r="BW131" s="528"/>
      <c r="BX131" s="528"/>
      <c r="BY131" s="528"/>
      <c r="BZ131" s="528"/>
      <c r="CA131" s="528"/>
      <c r="CB131" s="528"/>
      <c r="CC131" s="528"/>
      <c r="CD131" s="528"/>
      <c r="CE131" s="528"/>
      <c r="CF131" s="528"/>
      <c r="CG131" s="528"/>
      <c r="CH131" s="528"/>
      <c r="CI131" s="528"/>
      <c r="CJ131" s="528"/>
      <c r="CK131" s="528"/>
      <c r="CL131" s="528"/>
      <c r="CM131" s="528"/>
      <c r="CN131" s="528"/>
      <c r="CO131" s="528"/>
      <c r="CP131" s="528"/>
      <c r="CQ131" s="528"/>
      <c r="CR131" s="528"/>
      <c r="CS131" s="528"/>
      <c r="CT131" s="528"/>
      <c r="CU131" s="528"/>
      <c r="CV131" s="528"/>
      <c r="CW131" s="528"/>
      <c r="CX131" s="528"/>
      <c r="CY131" s="528"/>
      <c r="CZ131" s="528"/>
      <c r="DA131" s="528"/>
      <c r="DB131" s="528"/>
      <c r="DC131" s="528"/>
      <c r="DD131" s="528"/>
      <c r="DE131" s="528"/>
      <c r="DF131" s="528"/>
      <c r="DG131" s="528"/>
      <c r="DH131" s="528"/>
      <c r="DI131" s="528"/>
      <c r="DJ131" s="528"/>
      <c r="DK131" s="528"/>
      <c r="DL131" s="528"/>
      <c r="DM131" s="528"/>
      <c r="DN131" s="528"/>
      <c r="DO131" s="528"/>
      <c r="DP131" s="528"/>
      <c r="DQ131" s="528"/>
      <c r="DR131" s="528"/>
      <c r="DS131" s="528"/>
      <c r="DT131" s="528"/>
      <c r="DU131" s="528"/>
      <c r="DV131" s="528"/>
      <c r="DW131" s="528"/>
      <c r="DX131" s="528"/>
      <c r="DY131" s="528"/>
      <c r="DZ131" s="528"/>
      <c r="EA131" s="528"/>
      <c r="EB131" s="528"/>
      <c r="EC131" s="528"/>
      <c r="ED131" s="528"/>
      <c r="EE131" s="528"/>
      <c r="EF131" s="528"/>
      <c r="EG131" s="528"/>
      <c r="EH131" s="528"/>
      <c r="EI131" s="528"/>
      <c r="EJ131" s="528"/>
      <c r="EK131" s="528"/>
      <c r="EL131" s="528"/>
      <c r="EM131" s="528"/>
      <c r="EN131" s="528"/>
      <c r="EO131" s="528"/>
      <c r="EP131" s="528"/>
      <c r="EQ131" s="528"/>
      <c r="ER131" s="528"/>
      <c r="ES131" s="528"/>
      <c r="ET131" s="528"/>
      <c r="EU131" s="528"/>
      <c r="EV131" s="528"/>
      <c r="EW131" s="528"/>
      <c r="EX131" s="528"/>
      <c r="EY131" s="528"/>
      <c r="EZ131" s="528"/>
      <c r="FA131" s="528"/>
      <c r="FB131" s="528"/>
      <c r="FC131" s="528"/>
      <c r="FD131" s="528"/>
      <c r="FE131" s="528"/>
      <c r="FF131" s="528"/>
      <c r="FG131" s="528"/>
      <c r="FH131" s="528"/>
      <c r="FI131" s="528"/>
      <c r="FJ131" s="528"/>
      <c r="FK131" s="528"/>
      <c r="FL131" s="528"/>
      <c r="FM131" s="528"/>
      <c r="FN131" s="528"/>
      <c r="FO131" s="528"/>
      <c r="FP131" s="528"/>
      <c r="FQ131" s="528"/>
      <c r="FR131" s="528"/>
      <c r="FS131" s="528"/>
      <c r="FT131" s="528"/>
      <c r="FU131" s="528"/>
      <c r="FV131" s="528"/>
      <c r="FW131" s="528"/>
      <c r="FX131" s="528"/>
      <c r="FY131" s="528"/>
      <c r="FZ131" s="528"/>
      <c r="GA131" s="528"/>
      <c r="GB131" s="528"/>
      <c r="GC131" s="528"/>
      <c r="GD131" s="528"/>
      <c r="GE131" s="528"/>
      <c r="GF131" s="528"/>
      <c r="GG131" s="528"/>
      <c r="GH131" s="528"/>
      <c r="GI131" s="528"/>
      <c r="GJ131" s="528"/>
      <c r="GK131" s="528"/>
      <c r="GL131" s="528"/>
      <c r="GM131" s="528"/>
      <c r="GN131" s="528"/>
      <c r="GO131" s="528"/>
      <c r="GP131" s="528"/>
      <c r="GQ131" s="528"/>
      <c r="GR131" s="528"/>
      <c r="GS131" s="528"/>
      <c r="GT131" s="528"/>
      <c r="GU131" s="528"/>
      <c r="GV131" s="528"/>
      <c r="GW131" s="528"/>
      <c r="GX131" s="528"/>
      <c r="GY131" s="528"/>
      <c r="GZ131" s="528"/>
      <c r="HA131" s="528"/>
      <c r="HB131" s="528"/>
      <c r="HC131" s="528"/>
      <c r="HD131" s="528"/>
      <c r="HE131" s="528"/>
      <c r="HF131" s="528"/>
      <c r="HG131" s="528"/>
      <c r="HH131" s="528"/>
      <c r="HI131" s="528"/>
      <c r="HJ131" s="528"/>
      <c r="HK131" s="528"/>
      <c r="HL131" s="528"/>
      <c r="HM131" s="528"/>
      <c r="HN131" s="528"/>
      <c r="HO131" s="528"/>
      <c r="HP131" s="528"/>
      <c r="HQ131" s="528"/>
      <c r="HR131" s="528"/>
      <c r="HS131" s="528"/>
      <c r="HT131" s="528"/>
      <c r="HU131" s="528"/>
      <c r="HV131" s="528"/>
      <c r="HW131" s="528"/>
      <c r="HX131" s="528"/>
      <c r="HY131" s="528"/>
      <c r="HZ131" s="528"/>
      <c r="IA131" s="528"/>
      <c r="IB131" s="528"/>
      <c r="IC131" s="528"/>
      <c r="ID131" s="528"/>
      <c r="IE131" s="528"/>
      <c r="IF131" s="528"/>
      <c r="IG131" s="528"/>
      <c r="IH131" s="528"/>
      <c r="II131" s="528"/>
      <c r="IJ131" s="528"/>
      <c r="IK131" s="528"/>
      <c r="IL131" s="528"/>
      <c r="IM131" s="528"/>
      <c r="IN131" s="528"/>
      <c r="IO131" s="528"/>
    </row>
    <row r="132" spans="1:249" x14ac:dyDescent="0.25">
      <c r="C132" s="438"/>
      <c r="D132" s="569">
        <v>8</v>
      </c>
      <c r="E132" s="677" t="s">
        <v>609</v>
      </c>
      <c r="F132" s="734" t="s">
        <v>45</v>
      </c>
      <c r="G132" s="734" t="s">
        <v>610</v>
      </c>
      <c r="H132" s="734" t="s">
        <v>611</v>
      </c>
      <c r="I132" s="735"/>
      <c r="J132" s="480"/>
      <c r="K132" s="438"/>
      <c r="L132" s="736">
        <f>+'[2]Typical Conv.Operating Expenses'!BW97</f>
        <v>1517.8861788617887</v>
      </c>
      <c r="M132" s="737">
        <f>+'[2]Typical Conv.Operating Expenses'!BX97</f>
        <v>4549</v>
      </c>
      <c r="N132" s="738" t="e">
        <f>+'[2]Typical Conv.Operating Expenses'!#REF!</f>
        <v>#REF!</v>
      </c>
      <c r="O132" s="443" t="s">
        <v>612</v>
      </c>
      <c r="P132" s="528"/>
      <c r="Q132" s="528"/>
      <c r="R132" s="528"/>
      <c r="S132" s="528"/>
      <c r="T132" s="528"/>
      <c r="U132" s="528"/>
      <c r="V132" s="528"/>
      <c r="W132" s="528"/>
      <c r="X132" s="528"/>
      <c r="Y132" s="528"/>
      <c r="Z132" s="528"/>
      <c r="AA132" s="528"/>
      <c r="AB132" s="528"/>
      <c r="AC132" s="528"/>
      <c r="AD132" s="528"/>
      <c r="AE132" s="528"/>
      <c r="AF132" s="528"/>
      <c r="AG132" s="528"/>
      <c r="AH132" s="528"/>
      <c r="AI132" s="528"/>
      <c r="AJ132" s="528"/>
      <c r="AK132" s="528"/>
      <c r="AL132" s="528"/>
      <c r="AM132" s="528"/>
      <c r="AN132" s="528"/>
      <c r="AO132" s="528"/>
      <c r="AP132" s="528"/>
      <c r="AQ132" s="528"/>
      <c r="AR132" s="528"/>
      <c r="AS132" s="528"/>
      <c r="AT132" s="528"/>
      <c r="AU132" s="528"/>
      <c r="AV132" s="528"/>
      <c r="AW132" s="528"/>
      <c r="AX132" s="528"/>
      <c r="AY132" s="528"/>
      <c r="AZ132" s="528"/>
      <c r="BA132" s="528"/>
      <c r="BB132" s="528"/>
      <c r="BC132" s="528"/>
      <c r="BD132" s="528"/>
      <c r="BE132" s="528"/>
      <c r="BF132" s="528"/>
      <c r="BG132" s="528"/>
      <c r="BH132" s="528"/>
      <c r="BI132" s="528"/>
      <c r="BJ132" s="528"/>
      <c r="BK132" s="528"/>
      <c r="BL132" s="528"/>
      <c r="BM132" s="528"/>
      <c r="BN132" s="528"/>
      <c r="BO132" s="528"/>
      <c r="BP132" s="528"/>
      <c r="BQ132" s="528"/>
      <c r="BR132" s="528"/>
      <c r="BS132" s="528"/>
      <c r="BT132" s="528"/>
      <c r="BU132" s="528"/>
      <c r="BV132" s="528"/>
      <c r="BW132" s="528"/>
      <c r="BX132" s="528"/>
      <c r="BY132" s="528"/>
      <c r="BZ132" s="528"/>
      <c r="CA132" s="528"/>
      <c r="CB132" s="528"/>
      <c r="CC132" s="528"/>
      <c r="CD132" s="528"/>
      <c r="CE132" s="528"/>
      <c r="CF132" s="528"/>
      <c r="CG132" s="528"/>
      <c r="CH132" s="528"/>
      <c r="CI132" s="528"/>
      <c r="CJ132" s="528"/>
      <c r="CK132" s="528"/>
      <c r="CL132" s="528"/>
      <c r="CM132" s="528"/>
      <c r="CN132" s="528"/>
      <c r="CO132" s="528"/>
      <c r="CP132" s="528"/>
      <c r="CQ132" s="528"/>
      <c r="CR132" s="528"/>
      <c r="CS132" s="528"/>
      <c r="CT132" s="528"/>
      <c r="CU132" s="528"/>
      <c r="CV132" s="528"/>
      <c r="CW132" s="528"/>
      <c r="CX132" s="528"/>
      <c r="CY132" s="528"/>
      <c r="CZ132" s="528"/>
      <c r="DA132" s="528"/>
      <c r="DB132" s="528"/>
      <c r="DC132" s="528"/>
      <c r="DD132" s="528"/>
      <c r="DE132" s="528"/>
      <c r="DF132" s="528"/>
      <c r="DG132" s="528"/>
      <c r="DH132" s="528"/>
      <c r="DI132" s="528"/>
      <c r="DJ132" s="528"/>
      <c r="DK132" s="528"/>
      <c r="DL132" s="528"/>
      <c r="DM132" s="528"/>
      <c r="DN132" s="528"/>
      <c r="DO132" s="528"/>
      <c r="DP132" s="528"/>
      <c r="DQ132" s="528"/>
      <c r="DR132" s="528"/>
      <c r="DS132" s="528"/>
      <c r="DT132" s="528"/>
      <c r="DU132" s="528"/>
      <c r="DV132" s="528"/>
      <c r="DW132" s="528"/>
      <c r="DX132" s="528"/>
      <c r="DY132" s="528"/>
      <c r="DZ132" s="528"/>
      <c r="EA132" s="528"/>
      <c r="EB132" s="528"/>
      <c r="EC132" s="528"/>
      <c r="ED132" s="528"/>
      <c r="EE132" s="528"/>
      <c r="EF132" s="528"/>
      <c r="EG132" s="528"/>
      <c r="EH132" s="528"/>
      <c r="EI132" s="528"/>
      <c r="EJ132" s="528"/>
      <c r="EK132" s="528"/>
      <c r="EL132" s="528"/>
      <c r="EM132" s="528"/>
      <c r="EN132" s="528"/>
      <c r="EO132" s="528"/>
      <c r="EP132" s="528"/>
      <c r="EQ132" s="528"/>
      <c r="ER132" s="528"/>
      <c r="ES132" s="528"/>
      <c r="ET132" s="528"/>
      <c r="EU132" s="528"/>
      <c r="EV132" s="528"/>
      <c r="EW132" s="528"/>
      <c r="EX132" s="528"/>
      <c r="EY132" s="528"/>
      <c r="EZ132" s="528"/>
      <c r="FA132" s="528"/>
      <c r="FB132" s="528"/>
      <c r="FC132" s="528"/>
      <c r="FD132" s="528"/>
      <c r="FE132" s="528"/>
      <c r="FF132" s="528"/>
      <c r="FG132" s="528"/>
      <c r="FH132" s="528"/>
      <c r="FI132" s="528"/>
      <c r="FJ132" s="528"/>
      <c r="FK132" s="528"/>
      <c r="FL132" s="528"/>
      <c r="FM132" s="528"/>
      <c r="FN132" s="528"/>
      <c r="FO132" s="528"/>
      <c r="FP132" s="528"/>
      <c r="FQ132" s="528"/>
      <c r="FR132" s="528"/>
      <c r="FS132" s="528"/>
      <c r="FT132" s="528"/>
      <c r="FU132" s="528"/>
      <c r="FV132" s="528"/>
      <c r="FW132" s="528"/>
      <c r="FX132" s="528"/>
      <c r="FY132" s="528"/>
      <c r="FZ132" s="528"/>
      <c r="GA132" s="528"/>
      <c r="GB132" s="528"/>
      <c r="GC132" s="528"/>
      <c r="GD132" s="528"/>
      <c r="GE132" s="528"/>
      <c r="GF132" s="528"/>
      <c r="GG132" s="528"/>
      <c r="GH132" s="528"/>
      <c r="GI132" s="528"/>
      <c r="GJ132" s="528"/>
      <c r="GK132" s="528"/>
      <c r="GL132" s="528"/>
      <c r="GM132" s="528"/>
      <c r="GN132" s="528"/>
      <c r="GO132" s="528"/>
      <c r="GP132" s="528"/>
      <c r="GQ132" s="528"/>
      <c r="GR132" s="528"/>
      <c r="GS132" s="528"/>
      <c r="GT132" s="528"/>
      <c r="GU132" s="528"/>
      <c r="GV132" s="528"/>
      <c r="GW132" s="528"/>
      <c r="GX132" s="528"/>
      <c r="GY132" s="528"/>
      <c r="GZ132" s="528"/>
      <c r="HA132" s="528"/>
      <c r="HB132" s="528"/>
      <c r="HC132" s="528"/>
      <c r="HD132" s="528"/>
      <c r="HE132" s="528"/>
      <c r="HF132" s="528"/>
      <c r="HG132" s="528"/>
      <c r="HH132" s="528"/>
      <c r="HI132" s="528"/>
      <c r="HJ132" s="528"/>
      <c r="HK132" s="528"/>
      <c r="HL132" s="528"/>
      <c r="HM132" s="528"/>
      <c r="HN132" s="528"/>
      <c r="HO132" s="528"/>
      <c r="HP132" s="528"/>
      <c r="HQ132" s="528"/>
      <c r="HR132" s="528"/>
      <c r="HS132" s="528"/>
      <c r="HT132" s="528"/>
      <c r="HU132" s="528"/>
      <c r="HV132" s="528"/>
      <c r="HW132" s="528"/>
      <c r="HX132" s="528"/>
      <c r="HY132" s="528"/>
      <c r="HZ132" s="528"/>
      <c r="IA132" s="528"/>
      <c r="IB132" s="528"/>
      <c r="IC132" s="528"/>
      <c r="ID132" s="528"/>
      <c r="IE132" s="528"/>
      <c r="IF132" s="528"/>
      <c r="IG132" s="528"/>
      <c r="IH132" s="528"/>
      <c r="II132" s="528"/>
      <c r="IJ132" s="528"/>
      <c r="IK132" s="528"/>
      <c r="IL132" s="528"/>
      <c r="IM132" s="528"/>
      <c r="IN132" s="528"/>
      <c r="IO132" s="528"/>
    </row>
    <row r="133" spans="1:249" ht="16.5" x14ac:dyDescent="0.25">
      <c r="C133" s="438"/>
      <c r="E133" s="739" t="s">
        <v>613</v>
      </c>
      <c r="F133" s="740">
        <v>75</v>
      </c>
      <c r="G133" s="741">
        <v>5</v>
      </c>
      <c r="H133" s="742">
        <f>+F133*G133*F$13</f>
        <v>63750</v>
      </c>
      <c r="I133" s="743"/>
      <c r="J133" s="480"/>
      <c r="K133" s="438"/>
      <c r="L133" s="519"/>
      <c r="M133" s="519"/>
      <c r="N133" s="738">
        <v>1800</v>
      </c>
      <c r="O133" s="443" t="s">
        <v>614</v>
      </c>
      <c r="P133" s="528"/>
      <c r="Q133" s="528"/>
      <c r="R133" s="528"/>
      <c r="S133" s="528"/>
      <c r="T133" s="528"/>
      <c r="U133" s="528"/>
      <c r="V133" s="528"/>
      <c r="W133" s="528"/>
      <c r="X133" s="528"/>
      <c r="Y133" s="528"/>
      <c r="Z133" s="528"/>
      <c r="AA133" s="528"/>
      <c r="AB133" s="528"/>
      <c r="AC133" s="528"/>
      <c r="AD133" s="528"/>
      <c r="AE133" s="528"/>
      <c r="AF133" s="528"/>
      <c r="AG133" s="528"/>
      <c r="AH133" s="528"/>
      <c r="AI133" s="528"/>
      <c r="AJ133" s="528"/>
      <c r="AK133" s="528"/>
      <c r="AL133" s="528"/>
      <c r="AM133" s="528"/>
      <c r="AN133" s="528"/>
      <c r="AO133" s="528"/>
      <c r="AP133" s="528"/>
      <c r="AQ133" s="528"/>
      <c r="AR133" s="528"/>
      <c r="AS133" s="528"/>
      <c r="AT133" s="528"/>
      <c r="AU133" s="528"/>
      <c r="AV133" s="528"/>
      <c r="AW133" s="528"/>
      <c r="AX133" s="528"/>
      <c r="AY133" s="528"/>
      <c r="AZ133" s="528"/>
      <c r="BA133" s="528"/>
      <c r="BB133" s="528"/>
      <c r="BC133" s="528"/>
      <c r="BD133" s="528"/>
      <c r="BE133" s="528"/>
      <c r="BF133" s="528"/>
      <c r="BG133" s="528"/>
      <c r="BH133" s="528"/>
      <c r="BI133" s="528"/>
      <c r="BJ133" s="528"/>
      <c r="BK133" s="528"/>
      <c r="BL133" s="528"/>
      <c r="BM133" s="528"/>
      <c r="BN133" s="528"/>
      <c r="BO133" s="528"/>
      <c r="BP133" s="528"/>
      <c r="BQ133" s="528"/>
      <c r="BR133" s="528"/>
      <c r="BS133" s="528"/>
      <c r="BT133" s="528"/>
      <c r="BU133" s="528"/>
      <c r="BV133" s="528"/>
      <c r="BW133" s="528"/>
      <c r="BX133" s="528"/>
      <c r="BY133" s="528"/>
      <c r="BZ133" s="528"/>
      <c r="CA133" s="528"/>
      <c r="CB133" s="528"/>
      <c r="CC133" s="528"/>
      <c r="CD133" s="528"/>
      <c r="CE133" s="528"/>
      <c r="CF133" s="528"/>
      <c r="CG133" s="528"/>
      <c r="CH133" s="528"/>
      <c r="CI133" s="528"/>
      <c r="CJ133" s="528"/>
      <c r="CK133" s="528"/>
      <c r="CL133" s="528"/>
      <c r="CM133" s="528"/>
      <c r="CN133" s="528"/>
      <c r="CO133" s="528"/>
      <c r="CP133" s="528"/>
      <c r="CQ133" s="528"/>
      <c r="CR133" s="528"/>
      <c r="CS133" s="528"/>
      <c r="CT133" s="528"/>
      <c r="CU133" s="528"/>
      <c r="CV133" s="528"/>
      <c r="CW133" s="528"/>
      <c r="CX133" s="528"/>
      <c r="CY133" s="528"/>
      <c r="CZ133" s="528"/>
      <c r="DA133" s="528"/>
      <c r="DB133" s="528"/>
      <c r="DC133" s="528"/>
      <c r="DD133" s="528"/>
      <c r="DE133" s="528"/>
      <c r="DF133" s="528"/>
      <c r="DG133" s="528"/>
      <c r="DH133" s="528"/>
      <c r="DI133" s="528"/>
      <c r="DJ133" s="528"/>
      <c r="DK133" s="528"/>
      <c r="DL133" s="528"/>
      <c r="DM133" s="528"/>
      <c r="DN133" s="528"/>
      <c r="DO133" s="528"/>
      <c r="DP133" s="528"/>
      <c r="DQ133" s="528"/>
      <c r="DR133" s="528"/>
      <c r="DS133" s="528"/>
      <c r="DT133" s="528"/>
      <c r="DU133" s="528"/>
      <c r="DV133" s="528"/>
      <c r="DW133" s="528"/>
      <c r="DX133" s="528"/>
      <c r="DY133" s="528"/>
      <c r="DZ133" s="528"/>
      <c r="EA133" s="528"/>
      <c r="EB133" s="528"/>
      <c r="EC133" s="528"/>
      <c r="ED133" s="528"/>
      <c r="EE133" s="528"/>
      <c r="EF133" s="528"/>
      <c r="EG133" s="528"/>
      <c r="EH133" s="528"/>
      <c r="EI133" s="528"/>
      <c r="EJ133" s="528"/>
      <c r="EK133" s="528"/>
      <c r="EL133" s="528"/>
      <c r="EM133" s="528"/>
      <c r="EN133" s="528"/>
      <c r="EO133" s="528"/>
      <c r="EP133" s="528"/>
      <c r="EQ133" s="528"/>
      <c r="ER133" s="528"/>
      <c r="ES133" s="528"/>
      <c r="ET133" s="528"/>
      <c r="EU133" s="528"/>
      <c r="EV133" s="528"/>
      <c r="EW133" s="528"/>
      <c r="EX133" s="528"/>
      <c r="EY133" s="528"/>
      <c r="EZ133" s="528"/>
      <c r="FA133" s="528"/>
      <c r="FB133" s="528"/>
      <c r="FC133" s="528"/>
      <c r="FD133" s="528"/>
      <c r="FE133" s="528"/>
      <c r="FF133" s="528"/>
      <c r="FG133" s="528"/>
      <c r="FH133" s="528"/>
      <c r="FI133" s="528"/>
      <c r="FJ133" s="528"/>
      <c r="FK133" s="528"/>
      <c r="FL133" s="528"/>
      <c r="FM133" s="528"/>
      <c r="FN133" s="528"/>
      <c r="FO133" s="528"/>
      <c r="FP133" s="528"/>
      <c r="FQ133" s="528"/>
      <c r="FR133" s="528"/>
      <c r="FS133" s="528"/>
      <c r="FT133" s="528"/>
      <c r="FU133" s="528"/>
      <c r="FV133" s="528"/>
      <c r="FW133" s="528"/>
      <c r="FX133" s="528"/>
      <c r="FY133" s="528"/>
      <c r="FZ133" s="528"/>
      <c r="GA133" s="528"/>
      <c r="GB133" s="528"/>
      <c r="GC133" s="528"/>
      <c r="GD133" s="528"/>
      <c r="GE133" s="528"/>
      <c r="GF133" s="528"/>
      <c r="GG133" s="528"/>
      <c r="GH133" s="528"/>
      <c r="GI133" s="528"/>
      <c r="GJ133" s="528"/>
      <c r="GK133" s="528"/>
      <c r="GL133" s="528"/>
      <c r="GM133" s="528"/>
      <c r="GN133" s="528"/>
      <c r="GO133" s="528"/>
      <c r="GP133" s="528"/>
      <c r="GQ133" s="528"/>
      <c r="GR133" s="528"/>
      <c r="GS133" s="528"/>
      <c r="GT133" s="528"/>
      <c r="GU133" s="528"/>
      <c r="GV133" s="528"/>
      <c r="GW133" s="528"/>
      <c r="GX133" s="528"/>
      <c r="GY133" s="528"/>
      <c r="GZ133" s="528"/>
      <c r="HA133" s="528"/>
      <c r="HB133" s="528"/>
      <c r="HC133" s="528"/>
      <c r="HD133" s="528"/>
      <c r="HE133" s="528"/>
      <c r="HF133" s="528"/>
      <c r="HG133" s="528"/>
      <c r="HH133" s="528"/>
      <c r="HI133" s="528"/>
      <c r="HJ133" s="528"/>
      <c r="HK133" s="528"/>
      <c r="HL133" s="528"/>
      <c r="HM133" s="528"/>
      <c r="HN133" s="528"/>
      <c r="HO133" s="528"/>
      <c r="HP133" s="528"/>
      <c r="HQ133" s="528"/>
      <c r="HR133" s="528"/>
      <c r="HS133" s="528"/>
      <c r="HT133" s="528"/>
      <c r="HU133" s="528"/>
      <c r="HV133" s="528"/>
      <c r="HW133" s="528"/>
      <c r="HX133" s="528"/>
      <c r="HY133" s="528"/>
      <c r="HZ133" s="528"/>
      <c r="IA133" s="528"/>
      <c r="IB133" s="528"/>
      <c r="IC133" s="528"/>
      <c r="ID133" s="528"/>
      <c r="IE133" s="528"/>
      <c r="IF133" s="528"/>
      <c r="IG133" s="528"/>
      <c r="IH133" s="528"/>
      <c r="II133" s="528"/>
      <c r="IJ133" s="528"/>
      <c r="IK133" s="528"/>
      <c r="IL133" s="528"/>
      <c r="IM133" s="528"/>
      <c r="IN133" s="528"/>
      <c r="IO133" s="528"/>
    </row>
    <row r="134" spans="1:249" x14ac:dyDescent="0.25">
      <c r="C134" s="438"/>
      <c r="E134" s="576" t="s">
        <v>615</v>
      </c>
      <c r="F134" s="744">
        <v>200</v>
      </c>
      <c r="G134" s="745">
        <v>1</v>
      </c>
      <c r="H134" s="742">
        <f>+F134*G134*F$13</f>
        <v>34000</v>
      </c>
      <c r="I134" s="746"/>
      <c r="J134" s="480"/>
      <c r="K134" s="438"/>
      <c r="L134" s="519"/>
      <c r="M134" s="519"/>
      <c r="N134" s="519"/>
      <c r="O134" s="528"/>
      <c r="P134" s="528"/>
      <c r="Q134" s="528"/>
      <c r="R134" s="528"/>
      <c r="S134" s="528"/>
      <c r="T134" s="528"/>
      <c r="U134" s="528"/>
      <c r="V134" s="528"/>
      <c r="W134" s="528"/>
      <c r="X134" s="528"/>
      <c r="Y134" s="528"/>
      <c r="Z134" s="528"/>
      <c r="AA134" s="528"/>
      <c r="AB134" s="528"/>
      <c r="AC134" s="528"/>
      <c r="AD134" s="528"/>
      <c r="AE134" s="528"/>
      <c r="AF134" s="528"/>
      <c r="AG134" s="528"/>
      <c r="AH134" s="528"/>
      <c r="AI134" s="528"/>
      <c r="AJ134" s="528"/>
      <c r="AK134" s="528"/>
      <c r="AL134" s="528"/>
      <c r="AM134" s="528"/>
      <c r="AN134" s="528"/>
      <c r="AO134" s="528"/>
      <c r="AP134" s="528"/>
      <c r="AQ134" s="528"/>
      <c r="AR134" s="528"/>
      <c r="AS134" s="528"/>
      <c r="AT134" s="528"/>
      <c r="AU134" s="528"/>
      <c r="AV134" s="528"/>
      <c r="AW134" s="528"/>
      <c r="AX134" s="528"/>
      <c r="AY134" s="528"/>
      <c r="AZ134" s="528"/>
      <c r="BA134" s="528"/>
      <c r="BB134" s="528"/>
      <c r="BC134" s="528"/>
      <c r="BD134" s="528"/>
      <c r="BE134" s="528"/>
      <c r="BF134" s="528"/>
      <c r="BG134" s="528"/>
      <c r="BH134" s="528"/>
      <c r="BI134" s="528"/>
      <c r="BJ134" s="528"/>
      <c r="BK134" s="528"/>
      <c r="BL134" s="528"/>
      <c r="BM134" s="528"/>
      <c r="BN134" s="528"/>
      <c r="BO134" s="528"/>
      <c r="BP134" s="528"/>
      <c r="BQ134" s="528"/>
      <c r="BR134" s="528"/>
      <c r="BS134" s="528"/>
      <c r="BT134" s="528"/>
      <c r="BU134" s="528"/>
      <c r="BV134" s="528"/>
      <c r="BW134" s="528"/>
      <c r="BX134" s="528"/>
      <c r="BY134" s="528"/>
      <c r="BZ134" s="528"/>
      <c r="CA134" s="528"/>
      <c r="CB134" s="528"/>
      <c r="CC134" s="528"/>
      <c r="CD134" s="528"/>
      <c r="CE134" s="528"/>
      <c r="CF134" s="528"/>
      <c r="CG134" s="528"/>
      <c r="CH134" s="528"/>
      <c r="CI134" s="528"/>
      <c r="CJ134" s="528"/>
      <c r="CK134" s="528"/>
      <c r="CL134" s="528"/>
      <c r="CM134" s="528"/>
      <c r="CN134" s="528"/>
      <c r="CO134" s="528"/>
      <c r="CP134" s="528"/>
      <c r="CQ134" s="528"/>
      <c r="CR134" s="528"/>
      <c r="CS134" s="528"/>
      <c r="CT134" s="528"/>
      <c r="CU134" s="528"/>
      <c r="CV134" s="528"/>
      <c r="CW134" s="528"/>
      <c r="CX134" s="528"/>
      <c r="CY134" s="528"/>
      <c r="CZ134" s="528"/>
      <c r="DA134" s="528"/>
      <c r="DB134" s="528"/>
      <c r="DC134" s="528"/>
      <c r="DD134" s="528"/>
      <c r="DE134" s="528"/>
      <c r="DF134" s="528"/>
      <c r="DG134" s="528"/>
      <c r="DH134" s="528"/>
      <c r="DI134" s="528"/>
      <c r="DJ134" s="528"/>
      <c r="DK134" s="528"/>
      <c r="DL134" s="528"/>
      <c r="DM134" s="528"/>
      <c r="DN134" s="528"/>
      <c r="DO134" s="528"/>
      <c r="DP134" s="528"/>
      <c r="DQ134" s="528"/>
      <c r="DR134" s="528"/>
      <c r="DS134" s="528"/>
      <c r="DT134" s="528"/>
      <c r="DU134" s="528"/>
      <c r="DV134" s="528"/>
      <c r="DW134" s="528"/>
      <c r="DX134" s="528"/>
      <c r="DY134" s="528"/>
      <c r="DZ134" s="528"/>
      <c r="EA134" s="528"/>
      <c r="EB134" s="528"/>
      <c r="EC134" s="528"/>
      <c r="ED134" s="528"/>
      <c r="EE134" s="528"/>
      <c r="EF134" s="528"/>
      <c r="EG134" s="528"/>
      <c r="EH134" s="528"/>
      <c r="EI134" s="528"/>
      <c r="EJ134" s="528"/>
      <c r="EK134" s="528"/>
      <c r="EL134" s="528"/>
      <c r="EM134" s="528"/>
      <c r="EN134" s="528"/>
      <c r="EO134" s="528"/>
      <c r="EP134" s="528"/>
      <c r="EQ134" s="528"/>
      <c r="ER134" s="528"/>
      <c r="ES134" s="528"/>
      <c r="ET134" s="528"/>
      <c r="EU134" s="528"/>
      <c r="EV134" s="528"/>
      <c r="EW134" s="528"/>
      <c r="EX134" s="528"/>
      <c r="EY134" s="528"/>
      <c r="EZ134" s="528"/>
      <c r="FA134" s="528"/>
      <c r="FB134" s="528"/>
      <c r="FC134" s="528"/>
      <c r="FD134" s="528"/>
      <c r="FE134" s="528"/>
      <c r="FF134" s="528"/>
      <c r="FG134" s="528"/>
      <c r="FH134" s="528"/>
      <c r="FI134" s="528"/>
      <c r="FJ134" s="528"/>
      <c r="FK134" s="528"/>
      <c r="FL134" s="528"/>
      <c r="FM134" s="528"/>
      <c r="FN134" s="528"/>
      <c r="FO134" s="528"/>
      <c r="FP134" s="528"/>
      <c r="FQ134" s="528"/>
      <c r="FR134" s="528"/>
      <c r="FS134" s="528"/>
      <c r="FT134" s="528"/>
      <c r="FU134" s="528"/>
      <c r="FV134" s="528"/>
      <c r="FW134" s="528"/>
      <c r="FX134" s="528"/>
      <c r="FY134" s="528"/>
      <c r="FZ134" s="528"/>
      <c r="GA134" s="528"/>
      <c r="GB134" s="528"/>
      <c r="GC134" s="528"/>
      <c r="GD134" s="528"/>
      <c r="GE134" s="528"/>
      <c r="GF134" s="528"/>
      <c r="GG134" s="528"/>
      <c r="GH134" s="528"/>
      <c r="GI134" s="528"/>
      <c r="GJ134" s="528"/>
      <c r="GK134" s="528"/>
      <c r="GL134" s="528"/>
      <c r="GM134" s="528"/>
      <c r="GN134" s="528"/>
      <c r="GO134" s="528"/>
      <c r="GP134" s="528"/>
      <c r="GQ134" s="528"/>
      <c r="GR134" s="528"/>
      <c r="GS134" s="528"/>
      <c r="GT134" s="528"/>
      <c r="GU134" s="528"/>
      <c r="GV134" s="528"/>
      <c r="GW134" s="528"/>
      <c r="GX134" s="528"/>
      <c r="GY134" s="528"/>
      <c r="GZ134" s="528"/>
      <c r="HA134" s="528"/>
      <c r="HB134" s="528"/>
      <c r="HC134" s="528"/>
      <c r="HD134" s="528"/>
      <c r="HE134" s="528"/>
      <c r="HF134" s="528"/>
      <c r="HG134" s="528"/>
      <c r="HH134" s="528"/>
      <c r="HI134" s="528"/>
      <c r="HJ134" s="528"/>
      <c r="HK134" s="528"/>
      <c r="HL134" s="528"/>
      <c r="HM134" s="528"/>
      <c r="HN134" s="528"/>
      <c r="HO134" s="528"/>
      <c r="HP134" s="528"/>
      <c r="HQ134" s="528"/>
      <c r="HR134" s="528"/>
      <c r="HS134" s="528"/>
      <c r="HT134" s="528"/>
      <c r="HU134" s="528"/>
      <c r="HV134" s="528"/>
      <c r="HW134" s="528"/>
      <c r="HX134" s="528"/>
      <c r="HY134" s="528"/>
      <c r="HZ134" s="528"/>
      <c r="IA134" s="528"/>
      <c r="IB134" s="528"/>
      <c r="IC134" s="528"/>
      <c r="ID134" s="528"/>
      <c r="IE134" s="528"/>
      <c r="IF134" s="528"/>
      <c r="IG134" s="528"/>
      <c r="IH134" s="528"/>
      <c r="II134" s="528"/>
      <c r="IJ134" s="528"/>
      <c r="IK134" s="528"/>
      <c r="IL134" s="528"/>
      <c r="IM134" s="528"/>
      <c r="IN134" s="528"/>
      <c r="IO134" s="528"/>
    </row>
    <row r="135" spans="1:249" x14ac:dyDescent="0.3">
      <c r="C135" s="438"/>
      <c r="E135" s="739" t="s">
        <v>616</v>
      </c>
      <c r="F135" s="744">
        <v>350</v>
      </c>
      <c r="G135" s="745">
        <v>1</v>
      </c>
      <c r="H135" s="747">
        <f>+F135*G135*12</f>
        <v>4200</v>
      </c>
      <c r="I135" s="746"/>
      <c r="J135" s="480"/>
      <c r="K135" s="438"/>
      <c r="L135" s="748" t="s">
        <v>617</v>
      </c>
      <c r="M135" s="749" t="s">
        <v>15</v>
      </c>
      <c r="N135" s="519" t="s">
        <v>618</v>
      </c>
      <c r="O135" s="528"/>
      <c r="P135" s="528"/>
      <c r="Q135" s="528"/>
      <c r="R135" s="528"/>
      <c r="S135" s="528"/>
      <c r="T135" s="528"/>
      <c r="U135" s="528"/>
      <c r="V135" s="528"/>
      <c r="W135" s="528"/>
      <c r="X135" s="528"/>
      <c r="Y135" s="528"/>
      <c r="Z135" s="528"/>
      <c r="AA135" s="528"/>
      <c r="AB135" s="528"/>
      <c r="AC135" s="528"/>
      <c r="AD135" s="528"/>
      <c r="AE135" s="528"/>
      <c r="AF135" s="528"/>
      <c r="AG135" s="528"/>
      <c r="AH135" s="528"/>
      <c r="AI135" s="528"/>
      <c r="AJ135" s="528"/>
      <c r="AK135" s="528"/>
      <c r="AL135" s="528"/>
      <c r="AM135" s="528"/>
      <c r="AN135" s="528"/>
      <c r="AO135" s="528"/>
      <c r="AP135" s="528"/>
      <c r="AQ135" s="528"/>
      <c r="AR135" s="528"/>
      <c r="AS135" s="528"/>
      <c r="AT135" s="528"/>
      <c r="AU135" s="528"/>
      <c r="AV135" s="528"/>
      <c r="AW135" s="528"/>
      <c r="AX135" s="528"/>
      <c r="AY135" s="528"/>
      <c r="AZ135" s="528"/>
      <c r="BA135" s="528"/>
      <c r="BB135" s="528"/>
      <c r="BC135" s="528"/>
      <c r="BD135" s="528"/>
      <c r="BE135" s="528"/>
      <c r="BF135" s="528"/>
      <c r="BG135" s="528"/>
      <c r="BH135" s="528"/>
      <c r="BI135" s="528"/>
      <c r="BJ135" s="528"/>
      <c r="BK135" s="528"/>
      <c r="BL135" s="528"/>
      <c r="BM135" s="528"/>
      <c r="BN135" s="528"/>
      <c r="BO135" s="528"/>
      <c r="BP135" s="528"/>
      <c r="BQ135" s="528"/>
      <c r="BR135" s="528"/>
      <c r="BS135" s="528"/>
      <c r="BT135" s="528"/>
      <c r="BU135" s="528"/>
      <c r="BV135" s="528"/>
      <c r="BW135" s="528"/>
      <c r="BX135" s="528"/>
      <c r="BY135" s="528"/>
      <c r="BZ135" s="528"/>
      <c r="CA135" s="528"/>
      <c r="CB135" s="528"/>
      <c r="CC135" s="528"/>
      <c r="CD135" s="528"/>
      <c r="CE135" s="528"/>
      <c r="CF135" s="528"/>
      <c r="CG135" s="528"/>
      <c r="CH135" s="528"/>
      <c r="CI135" s="528"/>
      <c r="CJ135" s="528"/>
      <c r="CK135" s="528"/>
      <c r="CL135" s="528"/>
      <c r="CM135" s="528"/>
      <c r="CN135" s="528"/>
      <c r="CO135" s="528"/>
      <c r="CP135" s="528"/>
      <c r="CQ135" s="528"/>
      <c r="CR135" s="528"/>
      <c r="CS135" s="528"/>
      <c r="CT135" s="528"/>
      <c r="CU135" s="528"/>
      <c r="CV135" s="528"/>
      <c r="CW135" s="528"/>
      <c r="CX135" s="528"/>
      <c r="CY135" s="528"/>
      <c r="CZ135" s="528"/>
      <c r="DA135" s="528"/>
      <c r="DB135" s="528"/>
      <c r="DC135" s="528"/>
      <c r="DD135" s="528"/>
      <c r="DE135" s="528"/>
      <c r="DF135" s="528"/>
      <c r="DG135" s="528"/>
      <c r="DH135" s="528"/>
      <c r="DI135" s="528"/>
      <c r="DJ135" s="528"/>
      <c r="DK135" s="528"/>
      <c r="DL135" s="528"/>
      <c r="DM135" s="528"/>
      <c r="DN135" s="528"/>
      <c r="DO135" s="528"/>
      <c r="DP135" s="528"/>
      <c r="DQ135" s="528"/>
      <c r="DR135" s="528"/>
      <c r="DS135" s="528"/>
      <c r="DT135" s="528"/>
      <c r="DU135" s="528"/>
      <c r="DV135" s="528"/>
      <c r="DW135" s="528"/>
      <c r="DX135" s="528"/>
      <c r="DY135" s="528"/>
      <c r="DZ135" s="528"/>
      <c r="EA135" s="528"/>
      <c r="EB135" s="528"/>
      <c r="EC135" s="528"/>
      <c r="ED135" s="528"/>
      <c r="EE135" s="528"/>
      <c r="EF135" s="528"/>
      <c r="EG135" s="528"/>
      <c r="EH135" s="528"/>
      <c r="EI135" s="528"/>
      <c r="EJ135" s="528"/>
      <c r="EK135" s="528"/>
      <c r="EL135" s="528"/>
      <c r="EM135" s="528"/>
      <c r="EN135" s="528"/>
      <c r="EO135" s="528"/>
      <c r="EP135" s="528"/>
      <c r="EQ135" s="528"/>
      <c r="ER135" s="528"/>
      <c r="ES135" s="528"/>
      <c r="ET135" s="528"/>
      <c r="EU135" s="528"/>
      <c r="EV135" s="528"/>
      <c r="EW135" s="528"/>
      <c r="EX135" s="528"/>
      <c r="EY135" s="528"/>
      <c r="EZ135" s="528"/>
      <c r="FA135" s="528"/>
      <c r="FB135" s="528"/>
      <c r="FC135" s="528"/>
      <c r="FD135" s="528"/>
      <c r="FE135" s="528"/>
      <c r="FF135" s="528"/>
      <c r="FG135" s="528"/>
      <c r="FH135" s="528"/>
      <c r="FI135" s="528"/>
      <c r="FJ135" s="528"/>
      <c r="FK135" s="528"/>
      <c r="FL135" s="528"/>
      <c r="FM135" s="528"/>
      <c r="FN135" s="528"/>
      <c r="FO135" s="528"/>
      <c r="FP135" s="528"/>
      <c r="FQ135" s="528"/>
      <c r="FR135" s="528"/>
      <c r="FS135" s="528"/>
      <c r="FT135" s="528"/>
      <c r="FU135" s="528"/>
      <c r="FV135" s="528"/>
      <c r="FW135" s="528"/>
      <c r="FX135" s="528"/>
      <c r="FY135" s="528"/>
      <c r="FZ135" s="528"/>
      <c r="GA135" s="528"/>
      <c r="GB135" s="528"/>
      <c r="GC135" s="528"/>
      <c r="GD135" s="528"/>
      <c r="GE135" s="528"/>
      <c r="GF135" s="528"/>
      <c r="GG135" s="528"/>
      <c r="GH135" s="528"/>
      <c r="GI135" s="528"/>
      <c r="GJ135" s="528"/>
      <c r="GK135" s="528"/>
      <c r="GL135" s="528"/>
      <c r="GM135" s="528"/>
      <c r="GN135" s="528"/>
      <c r="GO135" s="528"/>
      <c r="GP135" s="528"/>
      <c r="GQ135" s="528"/>
      <c r="GR135" s="528"/>
      <c r="GS135" s="528"/>
      <c r="GT135" s="528"/>
      <c r="GU135" s="528"/>
      <c r="GV135" s="528"/>
      <c r="GW135" s="528"/>
      <c r="GX135" s="528"/>
      <c r="GY135" s="528"/>
      <c r="GZ135" s="528"/>
      <c r="HA135" s="528"/>
      <c r="HB135" s="528"/>
      <c r="HC135" s="528"/>
      <c r="HD135" s="528"/>
      <c r="HE135" s="528"/>
      <c r="HF135" s="528"/>
      <c r="HG135" s="528"/>
      <c r="HH135" s="528"/>
      <c r="HI135" s="528"/>
      <c r="HJ135" s="528"/>
      <c r="HK135" s="528"/>
      <c r="HL135" s="528"/>
      <c r="HM135" s="528"/>
      <c r="HN135" s="528"/>
      <c r="HO135" s="528"/>
      <c r="HP135" s="528"/>
      <c r="HQ135" s="528"/>
      <c r="HR135" s="528"/>
      <c r="HS135" s="528"/>
      <c r="HT135" s="528"/>
      <c r="HU135" s="528"/>
      <c r="HV135" s="528"/>
      <c r="HW135" s="528"/>
      <c r="HX135" s="528"/>
      <c r="HY135" s="528"/>
      <c r="HZ135" s="528"/>
      <c r="IA135" s="528"/>
      <c r="IB135" s="528"/>
      <c r="IC135" s="528"/>
      <c r="ID135" s="528"/>
      <c r="IE135" s="528"/>
      <c r="IF135" s="528"/>
      <c r="IG135" s="528"/>
      <c r="IH135" s="528"/>
      <c r="II135" s="528"/>
      <c r="IJ135" s="528"/>
      <c r="IK135" s="528"/>
      <c r="IL135" s="528"/>
      <c r="IM135" s="528"/>
      <c r="IN135" s="528"/>
      <c r="IO135" s="528"/>
    </row>
    <row r="136" spans="1:249" x14ac:dyDescent="0.3">
      <c r="C136" s="438"/>
      <c r="E136" s="750"/>
      <c r="F136" s="751"/>
      <c r="G136" s="673"/>
      <c r="H136" s="752">
        <f>SUM(H133:H135)</f>
        <v>101950</v>
      </c>
      <c r="I136" s="753">
        <f>+H136/K28</f>
        <v>1.6098383466494361E-2</v>
      </c>
      <c r="J136" s="480"/>
      <c r="K136" s="438"/>
      <c r="L136" s="754" t="s">
        <v>619</v>
      </c>
      <c r="M136" s="755">
        <v>2800</v>
      </c>
      <c r="N136" s="519"/>
      <c r="O136" s="528"/>
      <c r="P136" s="528"/>
      <c r="Q136" s="528"/>
      <c r="R136" s="528"/>
      <c r="S136" s="528"/>
      <c r="T136" s="528"/>
      <c r="U136" s="528"/>
      <c r="V136" s="528"/>
      <c r="W136" s="528"/>
      <c r="X136" s="528"/>
      <c r="Y136" s="528"/>
      <c r="Z136" s="528"/>
      <c r="AA136" s="528"/>
      <c r="AB136" s="528"/>
      <c r="AC136" s="528"/>
      <c r="AD136" s="528"/>
      <c r="AE136" s="528"/>
      <c r="AF136" s="528"/>
      <c r="AG136" s="528"/>
      <c r="AH136" s="528"/>
      <c r="AI136" s="528"/>
      <c r="AJ136" s="528"/>
      <c r="AK136" s="528"/>
      <c r="AL136" s="528"/>
      <c r="AM136" s="528"/>
      <c r="AN136" s="528"/>
      <c r="AO136" s="528"/>
      <c r="AP136" s="528"/>
      <c r="AQ136" s="528"/>
      <c r="AR136" s="528"/>
      <c r="AS136" s="528"/>
      <c r="AT136" s="528"/>
      <c r="AU136" s="528"/>
      <c r="AV136" s="528"/>
      <c r="AW136" s="528"/>
      <c r="AX136" s="528"/>
      <c r="AY136" s="528"/>
      <c r="AZ136" s="528"/>
      <c r="BA136" s="528"/>
      <c r="BB136" s="528"/>
      <c r="BC136" s="528"/>
      <c r="BD136" s="528"/>
      <c r="BE136" s="528"/>
      <c r="BF136" s="528"/>
      <c r="BG136" s="528"/>
      <c r="BH136" s="528"/>
      <c r="BI136" s="528"/>
      <c r="BJ136" s="528"/>
      <c r="BK136" s="528"/>
      <c r="BL136" s="528"/>
      <c r="BM136" s="528"/>
      <c r="BN136" s="528"/>
      <c r="BO136" s="528"/>
      <c r="BP136" s="528"/>
      <c r="BQ136" s="528"/>
      <c r="BR136" s="528"/>
      <c r="BS136" s="528"/>
      <c r="BT136" s="528"/>
      <c r="BU136" s="528"/>
      <c r="BV136" s="528"/>
      <c r="BW136" s="528"/>
      <c r="BX136" s="528"/>
      <c r="BY136" s="528"/>
      <c r="BZ136" s="528"/>
      <c r="CA136" s="528"/>
      <c r="CB136" s="528"/>
      <c r="CC136" s="528"/>
      <c r="CD136" s="528"/>
      <c r="CE136" s="528"/>
      <c r="CF136" s="528"/>
      <c r="CG136" s="528"/>
      <c r="CH136" s="528"/>
      <c r="CI136" s="528"/>
      <c r="CJ136" s="528"/>
      <c r="CK136" s="528"/>
      <c r="CL136" s="528"/>
      <c r="CM136" s="528"/>
      <c r="CN136" s="528"/>
      <c r="CO136" s="528"/>
      <c r="CP136" s="528"/>
      <c r="CQ136" s="528"/>
      <c r="CR136" s="528"/>
      <c r="CS136" s="528"/>
      <c r="CT136" s="528"/>
      <c r="CU136" s="528"/>
      <c r="CV136" s="528"/>
      <c r="CW136" s="528"/>
      <c r="CX136" s="528"/>
      <c r="CY136" s="528"/>
      <c r="CZ136" s="528"/>
      <c r="DA136" s="528"/>
      <c r="DB136" s="528"/>
      <c r="DC136" s="528"/>
      <c r="DD136" s="528"/>
      <c r="DE136" s="528"/>
      <c r="DF136" s="528"/>
      <c r="DG136" s="528"/>
      <c r="DH136" s="528"/>
      <c r="DI136" s="528"/>
      <c r="DJ136" s="528"/>
      <c r="DK136" s="528"/>
      <c r="DL136" s="528"/>
      <c r="DM136" s="528"/>
      <c r="DN136" s="528"/>
      <c r="DO136" s="528"/>
      <c r="DP136" s="528"/>
      <c r="DQ136" s="528"/>
      <c r="DR136" s="528"/>
      <c r="DS136" s="528"/>
      <c r="DT136" s="528"/>
      <c r="DU136" s="528"/>
      <c r="DV136" s="528"/>
      <c r="DW136" s="528"/>
      <c r="DX136" s="528"/>
      <c r="DY136" s="528"/>
      <c r="DZ136" s="528"/>
      <c r="EA136" s="528"/>
      <c r="EB136" s="528"/>
      <c r="EC136" s="528"/>
      <c r="ED136" s="528"/>
      <c r="EE136" s="528"/>
      <c r="EF136" s="528"/>
      <c r="EG136" s="528"/>
      <c r="EH136" s="528"/>
      <c r="EI136" s="528"/>
      <c r="EJ136" s="528"/>
      <c r="EK136" s="528"/>
      <c r="EL136" s="528"/>
      <c r="EM136" s="528"/>
      <c r="EN136" s="528"/>
      <c r="EO136" s="528"/>
      <c r="EP136" s="528"/>
      <c r="EQ136" s="528"/>
      <c r="ER136" s="528"/>
      <c r="ES136" s="528"/>
      <c r="ET136" s="528"/>
      <c r="EU136" s="528"/>
      <c r="EV136" s="528"/>
      <c r="EW136" s="528"/>
      <c r="EX136" s="528"/>
      <c r="EY136" s="528"/>
      <c r="EZ136" s="528"/>
      <c r="FA136" s="528"/>
      <c r="FB136" s="528"/>
      <c r="FC136" s="528"/>
      <c r="FD136" s="528"/>
      <c r="FE136" s="528"/>
      <c r="FF136" s="528"/>
      <c r="FG136" s="528"/>
      <c r="FH136" s="528"/>
      <c r="FI136" s="528"/>
      <c r="FJ136" s="528"/>
      <c r="FK136" s="528"/>
      <c r="FL136" s="528"/>
      <c r="FM136" s="528"/>
      <c r="FN136" s="528"/>
      <c r="FO136" s="528"/>
      <c r="FP136" s="528"/>
      <c r="FQ136" s="528"/>
      <c r="FR136" s="528"/>
      <c r="FS136" s="528"/>
      <c r="FT136" s="528"/>
      <c r="FU136" s="528"/>
      <c r="FV136" s="528"/>
      <c r="FW136" s="528"/>
      <c r="FX136" s="528"/>
      <c r="FY136" s="528"/>
      <c r="FZ136" s="528"/>
      <c r="GA136" s="528"/>
      <c r="GB136" s="528"/>
      <c r="GC136" s="528"/>
      <c r="GD136" s="528"/>
      <c r="GE136" s="528"/>
      <c r="GF136" s="528"/>
      <c r="GG136" s="528"/>
      <c r="GH136" s="528"/>
      <c r="GI136" s="528"/>
      <c r="GJ136" s="528"/>
      <c r="GK136" s="528"/>
      <c r="GL136" s="528"/>
      <c r="GM136" s="528"/>
      <c r="GN136" s="528"/>
      <c r="GO136" s="528"/>
      <c r="GP136" s="528"/>
      <c r="GQ136" s="528"/>
      <c r="GR136" s="528"/>
      <c r="GS136" s="528"/>
      <c r="GT136" s="528"/>
      <c r="GU136" s="528"/>
      <c r="GV136" s="528"/>
      <c r="GW136" s="528"/>
      <c r="GX136" s="528"/>
      <c r="GY136" s="528"/>
      <c r="GZ136" s="528"/>
      <c r="HA136" s="528"/>
      <c r="HB136" s="528"/>
      <c r="HC136" s="528"/>
      <c r="HD136" s="528"/>
      <c r="HE136" s="528"/>
      <c r="HF136" s="528"/>
      <c r="HG136" s="528"/>
      <c r="HH136" s="528"/>
      <c r="HI136" s="528"/>
      <c r="HJ136" s="528"/>
      <c r="HK136" s="528"/>
      <c r="HL136" s="528"/>
      <c r="HM136" s="528"/>
      <c r="HN136" s="528"/>
      <c r="HO136" s="528"/>
      <c r="HP136" s="528"/>
      <c r="HQ136" s="528"/>
      <c r="HR136" s="528"/>
      <c r="HS136" s="528"/>
      <c r="HT136" s="528"/>
      <c r="HU136" s="528"/>
      <c r="HV136" s="528"/>
      <c r="HW136" s="528"/>
      <c r="HX136" s="528"/>
      <c r="HY136" s="528"/>
      <c r="HZ136" s="528"/>
      <c r="IA136" s="528"/>
      <c r="IB136" s="528"/>
      <c r="IC136" s="528"/>
      <c r="ID136" s="528"/>
      <c r="IE136" s="528"/>
      <c r="IF136" s="528"/>
      <c r="IG136" s="528"/>
      <c r="IH136" s="528"/>
      <c r="II136" s="528"/>
      <c r="IJ136" s="528"/>
      <c r="IK136" s="528"/>
      <c r="IL136" s="528"/>
      <c r="IM136" s="528"/>
      <c r="IN136" s="528"/>
      <c r="IO136" s="528"/>
    </row>
    <row r="137" spans="1:249" ht="18" x14ac:dyDescent="0.3">
      <c r="C137" s="438"/>
      <c r="E137" s="756"/>
      <c r="F137" s="757"/>
      <c r="G137" s="758"/>
      <c r="H137" s="758"/>
      <c r="I137" s="759">
        <v>0.02</v>
      </c>
      <c r="J137" s="480" t="s">
        <v>620</v>
      </c>
      <c r="K137" s="438"/>
      <c r="L137" s="754" t="s">
        <v>621</v>
      </c>
      <c r="M137" s="755">
        <v>3200</v>
      </c>
      <c r="N137" s="519"/>
      <c r="O137" s="528"/>
      <c r="P137" s="528"/>
      <c r="Q137" s="528"/>
      <c r="R137" s="528"/>
      <c r="S137" s="528"/>
      <c r="T137" s="528"/>
      <c r="U137" s="528"/>
      <c r="V137" s="528"/>
      <c r="W137" s="528"/>
      <c r="X137" s="528"/>
      <c r="Y137" s="528"/>
      <c r="Z137" s="528"/>
      <c r="AA137" s="528"/>
      <c r="AB137" s="528"/>
      <c r="AC137" s="528"/>
      <c r="AD137" s="528"/>
      <c r="AE137" s="528"/>
      <c r="AF137" s="528"/>
      <c r="AG137" s="528"/>
      <c r="AH137" s="528"/>
      <c r="AI137" s="528"/>
      <c r="AJ137" s="528"/>
      <c r="AK137" s="528"/>
      <c r="AL137" s="528"/>
      <c r="AM137" s="528"/>
      <c r="AN137" s="528"/>
      <c r="AO137" s="528"/>
      <c r="AP137" s="528"/>
      <c r="AQ137" s="528"/>
      <c r="AR137" s="528"/>
      <c r="AS137" s="528"/>
      <c r="AT137" s="528"/>
      <c r="AU137" s="528"/>
      <c r="AV137" s="528"/>
      <c r="AW137" s="528"/>
      <c r="AX137" s="528"/>
      <c r="AY137" s="528"/>
      <c r="AZ137" s="528"/>
      <c r="BA137" s="528"/>
      <c r="BB137" s="528"/>
      <c r="BC137" s="528"/>
      <c r="BD137" s="528"/>
      <c r="BE137" s="528"/>
      <c r="BF137" s="528"/>
      <c r="BG137" s="528"/>
      <c r="BH137" s="528"/>
      <c r="BI137" s="528"/>
      <c r="BJ137" s="528"/>
      <c r="BK137" s="528"/>
      <c r="BL137" s="528"/>
      <c r="BM137" s="528"/>
      <c r="BN137" s="528"/>
      <c r="BO137" s="528"/>
      <c r="BP137" s="528"/>
      <c r="BQ137" s="528"/>
      <c r="BR137" s="528"/>
      <c r="BS137" s="528"/>
      <c r="BT137" s="528"/>
      <c r="BU137" s="528"/>
      <c r="BV137" s="528"/>
      <c r="BW137" s="528"/>
      <c r="BX137" s="528"/>
      <c r="BY137" s="528"/>
      <c r="BZ137" s="528"/>
      <c r="CA137" s="528"/>
      <c r="CB137" s="528"/>
      <c r="CC137" s="528"/>
      <c r="CD137" s="528"/>
      <c r="CE137" s="528"/>
      <c r="CF137" s="528"/>
      <c r="CG137" s="528"/>
      <c r="CH137" s="528"/>
      <c r="CI137" s="528"/>
      <c r="CJ137" s="528"/>
      <c r="CK137" s="528"/>
      <c r="CL137" s="528"/>
      <c r="CM137" s="528"/>
      <c r="CN137" s="528"/>
      <c r="CO137" s="528"/>
      <c r="CP137" s="528"/>
      <c r="CQ137" s="528"/>
      <c r="CR137" s="528"/>
      <c r="CS137" s="528"/>
      <c r="CT137" s="528"/>
      <c r="CU137" s="528"/>
      <c r="CV137" s="528"/>
      <c r="CW137" s="528"/>
      <c r="CX137" s="528"/>
      <c r="CY137" s="528"/>
      <c r="CZ137" s="528"/>
      <c r="DA137" s="528"/>
      <c r="DB137" s="528"/>
      <c r="DC137" s="528"/>
      <c r="DD137" s="528"/>
      <c r="DE137" s="528"/>
      <c r="DF137" s="528"/>
      <c r="DG137" s="528"/>
      <c r="DH137" s="528"/>
      <c r="DI137" s="528"/>
      <c r="DJ137" s="528"/>
      <c r="DK137" s="528"/>
      <c r="DL137" s="528"/>
      <c r="DM137" s="528"/>
      <c r="DN137" s="528"/>
      <c r="DO137" s="528"/>
      <c r="DP137" s="528"/>
      <c r="DQ137" s="528"/>
      <c r="DR137" s="528"/>
      <c r="DS137" s="528"/>
      <c r="DT137" s="528"/>
      <c r="DU137" s="528"/>
      <c r="DV137" s="528"/>
      <c r="DW137" s="528"/>
      <c r="DX137" s="528"/>
      <c r="DY137" s="528"/>
      <c r="DZ137" s="528"/>
      <c r="EA137" s="528"/>
      <c r="EB137" s="528"/>
      <c r="EC137" s="528"/>
      <c r="ED137" s="528"/>
      <c r="EE137" s="528"/>
      <c r="EF137" s="528"/>
      <c r="EG137" s="528"/>
      <c r="EH137" s="528"/>
      <c r="EI137" s="528"/>
      <c r="EJ137" s="528"/>
      <c r="EK137" s="528"/>
      <c r="EL137" s="528"/>
      <c r="EM137" s="528"/>
      <c r="EN137" s="528"/>
      <c r="EO137" s="528"/>
      <c r="EP137" s="528"/>
      <c r="EQ137" s="528"/>
      <c r="ER137" s="528"/>
      <c r="ES137" s="528"/>
      <c r="ET137" s="528"/>
      <c r="EU137" s="528"/>
      <c r="EV137" s="528"/>
      <c r="EW137" s="528"/>
      <c r="EX137" s="528"/>
      <c r="EY137" s="528"/>
      <c r="EZ137" s="528"/>
      <c r="FA137" s="528"/>
      <c r="FB137" s="528"/>
      <c r="FC137" s="528"/>
      <c r="FD137" s="528"/>
      <c r="FE137" s="528"/>
      <c r="FF137" s="528"/>
      <c r="FG137" s="528"/>
      <c r="FH137" s="528"/>
      <c r="FI137" s="528"/>
      <c r="FJ137" s="528"/>
      <c r="FK137" s="528"/>
      <c r="FL137" s="528"/>
      <c r="FM137" s="528"/>
      <c r="FN137" s="528"/>
      <c r="FO137" s="528"/>
      <c r="FP137" s="528"/>
      <c r="FQ137" s="528"/>
      <c r="FR137" s="528"/>
      <c r="FS137" s="528"/>
      <c r="FT137" s="528"/>
      <c r="FU137" s="528"/>
      <c r="FV137" s="528"/>
      <c r="FW137" s="528"/>
      <c r="FX137" s="528"/>
      <c r="FY137" s="528"/>
      <c r="FZ137" s="528"/>
      <c r="GA137" s="528"/>
      <c r="GB137" s="528"/>
      <c r="GC137" s="528"/>
      <c r="GD137" s="528"/>
      <c r="GE137" s="528"/>
      <c r="GF137" s="528"/>
      <c r="GG137" s="528"/>
      <c r="GH137" s="528"/>
      <c r="GI137" s="528"/>
      <c r="GJ137" s="528"/>
      <c r="GK137" s="528"/>
      <c r="GL137" s="528"/>
      <c r="GM137" s="528"/>
      <c r="GN137" s="528"/>
      <c r="GO137" s="528"/>
      <c r="GP137" s="528"/>
      <c r="GQ137" s="528"/>
      <c r="GR137" s="528"/>
      <c r="GS137" s="528"/>
      <c r="GT137" s="528"/>
      <c r="GU137" s="528"/>
      <c r="GV137" s="528"/>
      <c r="GW137" s="528"/>
      <c r="GX137" s="528"/>
      <c r="GY137" s="528"/>
      <c r="GZ137" s="528"/>
      <c r="HA137" s="528"/>
      <c r="HB137" s="528"/>
      <c r="HC137" s="528"/>
      <c r="HD137" s="528"/>
      <c r="HE137" s="528"/>
      <c r="HF137" s="528"/>
      <c r="HG137" s="528"/>
      <c r="HH137" s="528"/>
      <c r="HI137" s="528"/>
      <c r="HJ137" s="528"/>
      <c r="HK137" s="528"/>
      <c r="HL137" s="528"/>
      <c r="HM137" s="528"/>
      <c r="HN137" s="528"/>
      <c r="HO137" s="528"/>
      <c r="HP137" s="528"/>
      <c r="HQ137" s="528"/>
      <c r="HR137" s="528"/>
      <c r="HS137" s="528"/>
      <c r="HT137" s="528"/>
      <c r="HU137" s="528"/>
      <c r="HV137" s="528"/>
      <c r="HW137" s="528"/>
      <c r="HX137" s="528"/>
      <c r="HY137" s="528"/>
      <c r="HZ137" s="528"/>
      <c r="IA137" s="528"/>
      <c r="IB137" s="528"/>
      <c r="IC137" s="528"/>
      <c r="ID137" s="528"/>
      <c r="IE137" s="528"/>
      <c r="IF137" s="528"/>
      <c r="IG137" s="528"/>
      <c r="IH137" s="528"/>
      <c r="II137" s="528"/>
      <c r="IJ137" s="528"/>
      <c r="IK137" s="528"/>
      <c r="IL137" s="528"/>
      <c r="IM137" s="528"/>
      <c r="IN137" s="528"/>
      <c r="IO137" s="528"/>
    </row>
    <row r="138" spans="1:249" ht="18" x14ac:dyDescent="0.3">
      <c r="C138" s="438"/>
      <c r="E138" s="566"/>
      <c r="F138" s="439"/>
      <c r="G138" s="480"/>
      <c r="H138" s="480"/>
      <c r="I138" s="480"/>
      <c r="J138" s="480"/>
      <c r="K138" s="438"/>
      <c r="L138" s="754" t="s">
        <v>622</v>
      </c>
      <c r="M138" s="755">
        <v>3420</v>
      </c>
      <c r="N138" s="519"/>
      <c r="O138" s="528"/>
      <c r="P138" s="528"/>
      <c r="Q138" s="528"/>
      <c r="R138" s="528"/>
      <c r="S138" s="528"/>
      <c r="T138" s="528"/>
      <c r="U138" s="528"/>
      <c r="V138" s="528"/>
      <c r="W138" s="528"/>
      <c r="X138" s="528"/>
      <c r="Y138" s="528"/>
      <c r="Z138" s="528"/>
      <c r="AA138" s="528"/>
      <c r="AB138" s="528"/>
      <c r="AC138" s="528"/>
      <c r="AD138" s="528"/>
      <c r="AE138" s="528"/>
      <c r="AF138" s="528"/>
      <c r="AG138" s="528"/>
      <c r="AH138" s="528"/>
      <c r="AI138" s="528"/>
      <c r="AJ138" s="528"/>
      <c r="AK138" s="528"/>
      <c r="AL138" s="528"/>
      <c r="AM138" s="528"/>
      <c r="AN138" s="528"/>
      <c r="AO138" s="528"/>
      <c r="AP138" s="528"/>
      <c r="AQ138" s="528"/>
      <c r="AR138" s="528"/>
      <c r="AS138" s="528"/>
      <c r="AT138" s="528"/>
      <c r="AU138" s="528"/>
      <c r="AV138" s="528"/>
      <c r="AW138" s="528"/>
      <c r="AX138" s="528"/>
      <c r="AY138" s="528"/>
      <c r="AZ138" s="528"/>
      <c r="BA138" s="528"/>
      <c r="BB138" s="528"/>
      <c r="BC138" s="528"/>
      <c r="BD138" s="528"/>
      <c r="BE138" s="528"/>
      <c r="BF138" s="528"/>
      <c r="BG138" s="528"/>
      <c r="BH138" s="528"/>
      <c r="BI138" s="528"/>
      <c r="BJ138" s="528"/>
      <c r="BK138" s="528"/>
      <c r="BL138" s="528"/>
      <c r="BM138" s="528"/>
      <c r="BN138" s="528"/>
      <c r="BO138" s="528"/>
      <c r="BP138" s="528"/>
      <c r="BQ138" s="528"/>
      <c r="BR138" s="528"/>
      <c r="BS138" s="528"/>
      <c r="BT138" s="528"/>
      <c r="BU138" s="528"/>
      <c r="BV138" s="528"/>
      <c r="BW138" s="528"/>
      <c r="BX138" s="528"/>
      <c r="BY138" s="528"/>
      <c r="BZ138" s="528"/>
      <c r="CA138" s="528"/>
      <c r="CB138" s="528"/>
      <c r="CC138" s="528"/>
      <c r="CD138" s="528"/>
      <c r="CE138" s="528"/>
      <c r="CF138" s="528"/>
      <c r="CG138" s="528"/>
      <c r="CH138" s="528"/>
      <c r="CI138" s="528"/>
      <c r="CJ138" s="528"/>
      <c r="CK138" s="528"/>
      <c r="CL138" s="528"/>
      <c r="CM138" s="528"/>
      <c r="CN138" s="528"/>
      <c r="CO138" s="528"/>
      <c r="CP138" s="528"/>
      <c r="CQ138" s="528"/>
      <c r="CR138" s="528"/>
      <c r="CS138" s="528"/>
      <c r="CT138" s="528"/>
      <c r="CU138" s="528"/>
      <c r="CV138" s="528"/>
      <c r="CW138" s="528"/>
      <c r="CX138" s="528"/>
      <c r="CY138" s="528"/>
      <c r="CZ138" s="528"/>
      <c r="DA138" s="528"/>
      <c r="DB138" s="528"/>
      <c r="DC138" s="528"/>
      <c r="DD138" s="528"/>
      <c r="DE138" s="528"/>
      <c r="DF138" s="528"/>
      <c r="DG138" s="528"/>
      <c r="DH138" s="528"/>
      <c r="DI138" s="528"/>
      <c r="DJ138" s="528"/>
      <c r="DK138" s="528"/>
      <c r="DL138" s="528"/>
      <c r="DM138" s="528"/>
      <c r="DN138" s="528"/>
      <c r="DO138" s="528"/>
      <c r="DP138" s="528"/>
      <c r="DQ138" s="528"/>
      <c r="DR138" s="528"/>
      <c r="DS138" s="528"/>
      <c r="DT138" s="528"/>
      <c r="DU138" s="528"/>
      <c r="DV138" s="528"/>
      <c r="DW138" s="528"/>
      <c r="DX138" s="528"/>
      <c r="DY138" s="528"/>
      <c r="DZ138" s="528"/>
      <c r="EA138" s="528"/>
      <c r="EB138" s="528"/>
      <c r="EC138" s="528"/>
      <c r="ED138" s="528"/>
      <c r="EE138" s="528"/>
      <c r="EF138" s="528"/>
      <c r="EG138" s="528"/>
      <c r="EH138" s="528"/>
      <c r="EI138" s="528"/>
      <c r="EJ138" s="528"/>
      <c r="EK138" s="528"/>
      <c r="EL138" s="528"/>
      <c r="EM138" s="528"/>
      <c r="EN138" s="528"/>
      <c r="EO138" s="528"/>
      <c r="EP138" s="528"/>
      <c r="EQ138" s="528"/>
      <c r="ER138" s="528"/>
      <c r="ES138" s="528"/>
      <c r="ET138" s="528"/>
      <c r="EU138" s="528"/>
      <c r="EV138" s="528"/>
      <c r="EW138" s="528"/>
      <c r="EX138" s="528"/>
      <c r="EY138" s="528"/>
      <c r="EZ138" s="528"/>
      <c r="FA138" s="528"/>
      <c r="FB138" s="528"/>
      <c r="FC138" s="528"/>
      <c r="FD138" s="528"/>
      <c r="FE138" s="528"/>
      <c r="FF138" s="528"/>
      <c r="FG138" s="528"/>
      <c r="FH138" s="528"/>
      <c r="FI138" s="528"/>
      <c r="FJ138" s="528"/>
      <c r="FK138" s="528"/>
      <c r="FL138" s="528"/>
      <c r="FM138" s="528"/>
      <c r="FN138" s="528"/>
      <c r="FO138" s="528"/>
      <c r="FP138" s="528"/>
      <c r="FQ138" s="528"/>
      <c r="FR138" s="528"/>
      <c r="FS138" s="528"/>
      <c r="FT138" s="528"/>
      <c r="FU138" s="528"/>
      <c r="FV138" s="528"/>
      <c r="FW138" s="528"/>
      <c r="FX138" s="528"/>
      <c r="FY138" s="528"/>
      <c r="FZ138" s="528"/>
      <c r="GA138" s="528"/>
      <c r="GB138" s="528"/>
      <c r="GC138" s="528"/>
      <c r="GD138" s="528"/>
      <c r="GE138" s="528"/>
      <c r="GF138" s="528"/>
      <c r="GG138" s="528"/>
      <c r="GH138" s="528"/>
      <c r="GI138" s="528"/>
      <c r="GJ138" s="528"/>
      <c r="GK138" s="528"/>
      <c r="GL138" s="528"/>
      <c r="GM138" s="528"/>
      <c r="GN138" s="528"/>
      <c r="GO138" s="528"/>
      <c r="GP138" s="528"/>
      <c r="GQ138" s="528"/>
      <c r="GR138" s="528"/>
      <c r="GS138" s="528"/>
      <c r="GT138" s="528"/>
      <c r="GU138" s="528"/>
      <c r="GV138" s="528"/>
      <c r="GW138" s="528"/>
      <c r="GX138" s="528"/>
      <c r="GY138" s="528"/>
      <c r="GZ138" s="528"/>
      <c r="HA138" s="528"/>
      <c r="HB138" s="528"/>
      <c r="HC138" s="528"/>
      <c r="HD138" s="528"/>
      <c r="HE138" s="528"/>
      <c r="HF138" s="528"/>
      <c r="HG138" s="528"/>
      <c r="HH138" s="528"/>
      <c r="HI138" s="528"/>
      <c r="HJ138" s="528"/>
      <c r="HK138" s="528"/>
      <c r="HL138" s="528"/>
      <c r="HM138" s="528"/>
      <c r="HN138" s="528"/>
      <c r="HO138" s="528"/>
      <c r="HP138" s="528"/>
      <c r="HQ138" s="528"/>
      <c r="HR138" s="528"/>
      <c r="HS138" s="528"/>
      <c r="HT138" s="528"/>
      <c r="HU138" s="528"/>
      <c r="HV138" s="528"/>
      <c r="HW138" s="528"/>
      <c r="HX138" s="528"/>
      <c r="HY138" s="528"/>
      <c r="HZ138" s="528"/>
      <c r="IA138" s="528"/>
      <c r="IB138" s="528"/>
      <c r="IC138" s="528"/>
      <c r="ID138" s="528"/>
      <c r="IE138" s="528"/>
      <c r="IF138" s="528"/>
      <c r="IG138" s="528"/>
      <c r="IH138" s="528"/>
      <c r="II138" s="528"/>
      <c r="IJ138" s="528"/>
      <c r="IK138" s="528"/>
      <c r="IL138" s="528"/>
      <c r="IM138" s="528"/>
      <c r="IN138" s="528"/>
      <c r="IO138" s="528"/>
    </row>
    <row r="139" spans="1:249" x14ac:dyDescent="0.3">
      <c r="A139" s="438"/>
      <c r="B139" s="438"/>
      <c r="C139" s="438"/>
      <c r="L139" s="754" t="s">
        <v>623</v>
      </c>
      <c r="M139" s="755">
        <v>3770</v>
      </c>
    </row>
    <row r="140" spans="1:249" x14ac:dyDescent="0.3">
      <c r="A140" s="438"/>
      <c r="B140" s="438"/>
      <c r="C140" s="438"/>
      <c r="L140" s="754" t="s">
        <v>624</v>
      </c>
      <c r="M140" s="755">
        <v>2875</v>
      </c>
    </row>
    <row r="141" spans="1:249" x14ac:dyDescent="0.3">
      <c r="A141" s="438"/>
      <c r="B141" s="438"/>
      <c r="C141" s="438"/>
      <c r="L141" s="754" t="s">
        <v>625</v>
      </c>
      <c r="M141" s="755">
        <v>1775</v>
      </c>
    </row>
    <row r="142" spans="1:249" x14ac:dyDescent="0.3">
      <c r="A142" s="438"/>
      <c r="B142" s="438"/>
      <c r="C142" s="438"/>
      <c r="L142" s="754" t="s">
        <v>626</v>
      </c>
      <c r="M142" s="755">
        <v>2025</v>
      </c>
    </row>
    <row r="143" spans="1:249" x14ac:dyDescent="0.25">
      <c r="A143" s="438"/>
      <c r="B143" s="438"/>
      <c r="C143" s="438"/>
    </row>
    <row r="144" spans="1:249" x14ac:dyDescent="0.25">
      <c r="A144" s="438"/>
      <c r="B144" s="438"/>
      <c r="C144" s="438"/>
      <c r="G144" s="443"/>
      <c r="H144" s="443"/>
      <c r="I144" s="443"/>
      <c r="J144" s="443"/>
    </row>
    <row r="145" spans="1:10" x14ac:dyDescent="0.25">
      <c r="A145" s="438"/>
      <c r="B145" s="438"/>
      <c r="C145" s="438"/>
      <c r="D145" s="443"/>
      <c r="E145" s="443"/>
      <c r="F145" s="443"/>
      <c r="G145" s="443"/>
      <c r="H145" s="443"/>
      <c r="I145" s="443"/>
      <c r="J145" s="443"/>
    </row>
    <row r="146" spans="1:10" x14ac:dyDescent="0.25">
      <c r="A146" s="438"/>
      <c r="B146" s="438"/>
      <c r="C146" s="438"/>
      <c r="D146" s="443"/>
      <c r="E146" s="443"/>
      <c r="F146" s="443"/>
      <c r="G146" s="443"/>
      <c r="H146" s="443"/>
      <c r="I146" s="443"/>
      <c r="J146" s="443"/>
    </row>
    <row r="147" spans="1:10" x14ac:dyDescent="0.25">
      <c r="A147" s="438"/>
      <c r="B147" s="438"/>
      <c r="C147" s="438"/>
      <c r="D147" s="443"/>
      <c r="E147" s="443"/>
      <c r="F147" s="443"/>
      <c r="G147" s="443"/>
      <c r="H147" s="443"/>
      <c r="I147" s="443"/>
      <c r="J147" s="443"/>
    </row>
    <row r="148" spans="1:10" x14ac:dyDescent="0.25">
      <c r="A148" s="438"/>
      <c r="B148" s="438"/>
      <c r="C148" s="438"/>
      <c r="D148" s="443"/>
      <c r="E148" s="443"/>
      <c r="F148" s="443"/>
    </row>
    <row r="149" spans="1:10" x14ac:dyDescent="0.25">
      <c r="A149" s="438"/>
      <c r="B149" s="438"/>
    </row>
    <row r="150" spans="1:10" x14ac:dyDescent="0.25">
      <c r="A150" s="438"/>
      <c r="B150" s="438"/>
    </row>
  </sheetData>
  <mergeCells count="10">
    <mergeCell ref="F86:G86"/>
    <mergeCell ref="H86:I86"/>
    <mergeCell ref="G5:G6"/>
    <mergeCell ref="F68:G68"/>
    <mergeCell ref="H68:I68"/>
    <mergeCell ref="J68:K68"/>
    <mergeCell ref="F74:G74"/>
    <mergeCell ref="H74:I74"/>
    <mergeCell ref="J74:K74"/>
    <mergeCell ref="H75:I75"/>
  </mergeCells>
  <pageMargins left="1" right="0.53408239700374527" top="1" bottom="1" header="0.5" footer="0.5"/>
  <pageSetup paperSize="3" scale="38" orientation="landscape"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4" tint="0.59999389629810485"/>
  </sheetPr>
  <dimension ref="A1:M175"/>
  <sheetViews>
    <sheetView showGridLines="0" view="pageBreakPreview" topLeftCell="A8" zoomScale="106" zoomScaleNormal="130" zoomScaleSheetLayoutView="106" workbookViewId="0">
      <selection activeCell="H2" sqref="H2"/>
    </sheetView>
  </sheetViews>
  <sheetFormatPr defaultColWidth="8.85546875" defaultRowHeight="15" x14ac:dyDescent="0.25"/>
  <cols>
    <col min="1" max="1" width="5.5703125" customWidth="1"/>
    <col min="2" max="2" width="7.85546875" customWidth="1"/>
    <col min="3" max="3" width="8.42578125" bestFit="1" customWidth="1"/>
    <col min="4" max="4" width="9" bestFit="1" customWidth="1"/>
    <col min="5" max="5" width="11.85546875" customWidth="1"/>
    <col min="6" max="6" width="6.85546875" bestFit="1" customWidth="1"/>
    <col min="7" max="9" width="11.140625" bestFit="1" customWidth="1"/>
    <col min="12" max="12" width="9.42578125" bestFit="1" customWidth="1"/>
  </cols>
  <sheetData>
    <row r="1" spans="1:12" ht="8.85" customHeight="1" x14ac:dyDescent="0.25">
      <c r="A1" s="28"/>
      <c r="B1" s="28"/>
      <c r="C1" s="28"/>
      <c r="D1" s="28"/>
      <c r="E1" s="28"/>
      <c r="F1" s="28"/>
      <c r="G1" s="28"/>
      <c r="H1" s="28"/>
      <c r="I1" s="28"/>
      <c r="J1" s="59" t="str">
        <f>"Currently running: "&amp;CHOOSE('12. Sensitivity'!$E$8,'12. Sensitivity'!$B$11,'12. Sensitivity'!$B$12,'12. Sensitivity'!$B$13)</f>
        <v>Currently running: Base Case</v>
      </c>
    </row>
    <row r="2" spans="1:12" ht="69" customHeight="1" x14ac:dyDescent="0.25">
      <c r="A2" s="28"/>
      <c r="B2" s="28"/>
      <c r="C2" s="28"/>
      <c r="D2" s="28"/>
      <c r="E2" s="28"/>
      <c r="F2" s="28"/>
      <c r="G2" s="28"/>
      <c r="H2" s="28"/>
      <c r="I2" s="28"/>
      <c r="J2" s="59"/>
    </row>
    <row r="3" spans="1:12" x14ac:dyDescent="0.25">
      <c r="A3" s="28"/>
      <c r="B3" s="942" t="str">
        <f>'3. Headline #s'!A10</f>
        <v>Apartment Development Model 
Reverse 1B</v>
      </c>
      <c r="C3" s="942"/>
      <c r="D3" s="942"/>
      <c r="E3" s="942"/>
      <c r="F3" s="942"/>
      <c r="G3" s="942"/>
      <c r="H3" s="942"/>
      <c r="I3" s="942"/>
      <c r="J3" s="28"/>
    </row>
    <row r="4" spans="1:12" ht="11.85" customHeight="1" x14ac:dyDescent="0.25">
      <c r="A4" s="28"/>
      <c r="B4" s="942" t="str">
        <f>'3. Headline #s'!A12</f>
        <v>2240 Birchmount Road, Scarborough, ON</v>
      </c>
      <c r="C4" s="942"/>
      <c r="D4" s="942"/>
      <c r="E4" s="942"/>
      <c r="F4" s="942"/>
      <c r="G4" s="942"/>
      <c r="H4" s="942"/>
      <c r="I4" s="942"/>
      <c r="J4" s="28"/>
    </row>
    <row r="5" spans="1:12" x14ac:dyDescent="0.25">
      <c r="A5" s="28"/>
      <c r="B5" s="943" t="s">
        <v>4</v>
      </c>
      <c r="C5" s="943"/>
      <c r="D5" s="943"/>
      <c r="E5" s="943"/>
      <c r="F5" s="943"/>
      <c r="G5" s="943"/>
      <c r="H5" s="943"/>
      <c r="I5" s="943"/>
      <c r="J5" s="28"/>
    </row>
    <row r="6" spans="1:12" ht="3.6" customHeight="1" thickBot="1" x14ac:dyDescent="0.3">
      <c r="A6" s="41"/>
      <c r="B6" s="41"/>
      <c r="C6" s="41"/>
      <c r="D6" s="41"/>
      <c r="E6" s="41"/>
      <c r="F6" s="41"/>
      <c r="G6" s="41"/>
      <c r="H6" s="41"/>
      <c r="I6" s="41"/>
      <c r="J6" s="41"/>
    </row>
    <row r="7" spans="1:12" ht="4.3499999999999996" customHeight="1" x14ac:dyDescent="0.25">
      <c r="A7" s="28"/>
      <c r="B7" s="28"/>
      <c r="C7" s="28"/>
      <c r="D7" s="28"/>
      <c r="E7" s="28"/>
      <c r="F7" s="28"/>
      <c r="G7" s="28"/>
      <c r="H7" s="28"/>
      <c r="I7" s="28"/>
      <c r="J7" s="28"/>
    </row>
    <row r="8" spans="1:12" ht="14.85" customHeight="1" x14ac:dyDescent="0.25">
      <c r="A8" s="42" t="s">
        <v>75</v>
      </c>
      <c r="B8" s="42"/>
      <c r="C8" s="42"/>
      <c r="D8" s="42"/>
      <c r="E8" s="42"/>
      <c r="F8" s="42"/>
      <c r="G8" s="430" t="s">
        <v>379</v>
      </c>
      <c r="H8" s="430" t="s">
        <v>269</v>
      </c>
      <c r="I8" s="430" t="s">
        <v>380</v>
      </c>
      <c r="J8" s="42"/>
    </row>
    <row r="9" spans="1:12" s="29" customFormat="1" ht="12" x14ac:dyDescent="0.2">
      <c r="B9" s="29" t="s">
        <v>829</v>
      </c>
      <c r="G9" s="38">
        <f ca="1">H9</f>
        <v>4899902.7728865594</v>
      </c>
      <c r="H9" s="202">
        <f ca="1">'7. Op Rev and Exp'!H57</f>
        <v>4899902.7728865594</v>
      </c>
      <c r="I9" s="38">
        <f ca="1">H9</f>
        <v>4899902.7728865594</v>
      </c>
    </row>
    <row r="10" spans="1:12" s="29" customFormat="1" ht="12" x14ac:dyDescent="0.2">
      <c r="B10" s="383" t="s">
        <v>19</v>
      </c>
      <c r="C10" s="383"/>
      <c r="D10" s="383"/>
      <c r="E10" s="383"/>
      <c r="F10" s="383"/>
      <c r="G10" s="384">
        <f>'12. Sensitivity'!H13</f>
        <v>4.7500000000000001E-2</v>
      </c>
      <c r="H10" s="384">
        <f>'12. Sensitivity'!H10</f>
        <v>4.4999999999999998E-2</v>
      </c>
      <c r="I10" s="384">
        <f>'12. Sensitivity'!H12</f>
        <v>4.2500000000000003E-2</v>
      </c>
    </row>
    <row r="11" spans="1:12" s="29" customFormat="1" ht="12" x14ac:dyDescent="0.2">
      <c r="B11" s="29" t="s">
        <v>220</v>
      </c>
      <c r="C11" s="237"/>
      <c r="D11" s="214">
        <f ca="1">'7. Op Rev and Exp'!D57</f>
        <v>4.4820546202965863</v>
      </c>
      <c r="E11" s="29" t="s">
        <v>290</v>
      </c>
      <c r="G11" s="38">
        <f ca="1">G9/G10</f>
        <v>103155847.85024336</v>
      </c>
      <c r="H11" s="38">
        <f t="shared" ref="H11:I11" ca="1" si="0">H9/H10</f>
        <v>108886728.28636798</v>
      </c>
      <c r="I11" s="38">
        <f t="shared" ca="1" si="0"/>
        <v>115291829.95027198</v>
      </c>
    </row>
    <row r="12" spans="1:12" s="29" customFormat="1" ht="12" x14ac:dyDescent="0.2">
      <c r="B12" s="37" t="s">
        <v>221</v>
      </c>
      <c r="C12" s="238"/>
      <c r="D12" s="103">
        <f>'11. 10-Yr Cash Flow IRR'!E11</f>
        <v>0.01</v>
      </c>
      <c r="E12" s="37"/>
      <c r="F12" s="37"/>
      <c r="G12" s="140">
        <f ca="1">-'11. 10-Yr Cash Flow IRR'!$E$11*'2. Rev 1B Exec Summary'!G11</f>
        <v>-1031558.4785024336</v>
      </c>
      <c r="H12" s="140">
        <f ca="1">-'11. 10-Yr Cash Flow IRR'!$E$11*'2. Rev 1B Exec Summary'!H11</f>
        <v>-1088867.2828636798</v>
      </c>
      <c r="I12" s="140">
        <f ca="1">-'11. 10-Yr Cash Flow IRR'!$E$11*'2. Rev 1B Exec Summary'!I11</f>
        <v>-1152918.2995027199</v>
      </c>
      <c r="L12" s="38"/>
    </row>
    <row r="13" spans="1:12" s="29" customFormat="1" ht="12" x14ac:dyDescent="0.2">
      <c r="B13" s="29" t="s">
        <v>185</v>
      </c>
      <c r="G13" s="38">
        <f ca="1">SUM(G11:G12)</f>
        <v>102124289.37174092</v>
      </c>
      <c r="H13" s="38">
        <f t="shared" ref="H13:I13" ca="1" si="1">SUM(H11:H12)</f>
        <v>107797861.00350431</v>
      </c>
      <c r="I13" s="38">
        <f t="shared" ca="1" si="1"/>
        <v>114138911.65076926</v>
      </c>
      <c r="L13" s="38"/>
    </row>
    <row r="14" spans="1:12" s="29" customFormat="1" ht="12" x14ac:dyDescent="0.2">
      <c r="B14" s="37" t="s">
        <v>76</v>
      </c>
      <c r="C14" s="37"/>
      <c r="D14" s="37"/>
      <c r="E14" s="37"/>
      <c r="F14" s="37"/>
      <c r="G14" s="140">
        <f ca="1">H14</f>
        <v>-94440550.796996295</v>
      </c>
      <c r="H14" s="140">
        <f ca="1">-G48</f>
        <v>-94440550.796996295</v>
      </c>
      <c r="I14" s="140">
        <f ca="1">H14</f>
        <v>-94440550.796996295</v>
      </c>
    </row>
    <row r="15" spans="1:12" s="29" customFormat="1" ht="12" x14ac:dyDescent="0.2">
      <c r="B15" s="385" t="s">
        <v>157</v>
      </c>
      <c r="C15" s="385"/>
      <c r="D15" s="385"/>
      <c r="E15" s="385"/>
      <c r="F15" s="385"/>
      <c r="G15" s="386">
        <f ca="1">SUM(G13:G14)</f>
        <v>7683738.5747446269</v>
      </c>
      <c r="H15" s="386">
        <f ca="1">SUM(H13:H14)</f>
        <v>13357310.206508011</v>
      </c>
      <c r="I15" s="386">
        <f ca="1">SUM(I13:I14)</f>
        <v>19698360.853772968</v>
      </c>
    </row>
    <row r="16" spans="1:12" s="29" customFormat="1" ht="4.5" customHeight="1" x14ac:dyDescent="0.2"/>
    <row r="17" spans="1:10" s="29" customFormat="1" ht="12" x14ac:dyDescent="0.2">
      <c r="B17" s="31" t="s">
        <v>826</v>
      </c>
      <c r="C17" s="31"/>
      <c r="D17" s="31"/>
      <c r="E17" s="31"/>
      <c r="F17" s="31"/>
      <c r="G17" s="914">
        <f ca="1">-G15/G14</f>
        <v>8.1360586209001759E-2</v>
      </c>
      <c r="H17" s="914">
        <f ca="1">-H15/H14</f>
        <v>0.14143617433172406</v>
      </c>
      <c r="I17" s="914">
        <f ca="1">-I15/I14</f>
        <v>0.20857947870417839</v>
      </c>
    </row>
    <row r="18" spans="1:10" s="29" customFormat="1" ht="12" x14ac:dyDescent="0.2">
      <c r="B18" s="29" t="s">
        <v>824</v>
      </c>
      <c r="G18" s="139"/>
      <c r="H18" s="139">
        <f ca="1">'10. Development Cash Flow'!G105</f>
        <v>0.27897087281228417</v>
      </c>
      <c r="I18" s="139"/>
    </row>
    <row r="19" spans="1:10" s="29" customFormat="1" ht="12" x14ac:dyDescent="0.2">
      <c r="B19" s="29" t="str">
        <f>"IRR "&amp;'11. 10-Yr Cash Flow IRR'!A66&amp;"-Year"</f>
        <v>IRR 10-Year</v>
      </c>
      <c r="H19" s="139">
        <f ca="1">'11. 10-Yr Cash Flow IRR'!B67</f>
        <v>0.20617252519027907</v>
      </c>
    </row>
    <row r="20" spans="1:10" s="29" customFormat="1" ht="3.6" customHeight="1" x14ac:dyDescent="0.2"/>
    <row r="21" spans="1:10" ht="14.85" customHeight="1" x14ac:dyDescent="0.25">
      <c r="A21" s="42" t="s">
        <v>85</v>
      </c>
      <c r="B21" s="42"/>
      <c r="C21" s="42"/>
      <c r="D21" s="42"/>
      <c r="E21" s="42"/>
      <c r="F21" s="42"/>
      <c r="G21" s="42"/>
      <c r="H21" s="42"/>
      <c r="I21" s="42"/>
      <c r="J21" s="42"/>
    </row>
    <row r="22" spans="1:10" s="29" customFormat="1" ht="12" x14ac:dyDescent="0.2">
      <c r="G22" s="44" t="s">
        <v>90</v>
      </c>
      <c r="H22" s="44" t="s">
        <v>91</v>
      </c>
      <c r="I22" s="44" t="s">
        <v>92</v>
      </c>
    </row>
    <row r="23" spans="1:10" s="29" customFormat="1" ht="12" x14ac:dyDescent="0.2">
      <c r="B23" s="29" t="s">
        <v>97</v>
      </c>
      <c r="G23" s="98">
        <f ca="1">'8. Schedule'!D13</f>
        <v>46069</v>
      </c>
      <c r="H23" s="98">
        <f ca="1">'8. Schedule'!E13</f>
        <v>46069</v>
      </c>
      <c r="I23" s="99">
        <f>'8. Schedule'!C13</f>
        <v>0</v>
      </c>
    </row>
    <row r="24" spans="1:10" s="29" customFormat="1" ht="12" x14ac:dyDescent="0.2">
      <c r="B24" s="29" t="s">
        <v>86</v>
      </c>
      <c r="G24" s="98">
        <f ca="1">'8. Schedule'!D15</f>
        <v>46097</v>
      </c>
      <c r="H24" s="98">
        <f ca="1">'8. Schedule'!E15</f>
        <v>46462</v>
      </c>
      <c r="I24" s="99">
        <f>'8. Schedule'!C15</f>
        <v>12</v>
      </c>
    </row>
    <row r="25" spans="1:10" s="29" customFormat="1" ht="12" x14ac:dyDescent="0.2">
      <c r="B25" s="29" t="s">
        <v>87</v>
      </c>
      <c r="G25" s="98">
        <f ca="1">'8. Schedule'!D17</f>
        <v>46493</v>
      </c>
      <c r="H25" s="98">
        <f ca="1">'8. Schedule'!E17</f>
        <v>47042</v>
      </c>
      <c r="I25" s="99">
        <f>'8. Schedule'!C17</f>
        <v>18</v>
      </c>
    </row>
    <row r="26" spans="1:10" s="29" customFormat="1" ht="12" x14ac:dyDescent="0.2">
      <c r="B26" s="29" t="s">
        <v>89</v>
      </c>
      <c r="G26" s="98">
        <f ca="1">'8. Schedule'!D19</f>
        <v>46981</v>
      </c>
      <c r="H26" s="98">
        <f ca="1">'8. Schedule'!E19</f>
        <v>47315</v>
      </c>
      <c r="I26" s="915">
        <f>'8. Schedule'!C19</f>
        <v>11.333333333333334</v>
      </c>
    </row>
    <row r="27" spans="1:10" s="29" customFormat="1" ht="12" x14ac:dyDescent="0.2">
      <c r="B27" s="29" t="s">
        <v>88</v>
      </c>
      <c r="G27" s="98">
        <f ca="1">'8. Schedule'!D21</f>
        <v>47346</v>
      </c>
      <c r="H27" s="98">
        <f ca="1">'8. Schedule'!E21</f>
        <v>47346</v>
      </c>
      <c r="I27" s="99">
        <f>'8. Schedule'!C21</f>
        <v>0</v>
      </c>
    </row>
    <row r="28" spans="1:10" s="29" customFormat="1" ht="3.6" customHeight="1" x14ac:dyDescent="0.2"/>
    <row r="29" spans="1:10" x14ac:dyDescent="0.25">
      <c r="A29" s="42" t="s">
        <v>70</v>
      </c>
      <c r="B29" s="42"/>
      <c r="C29" s="42"/>
      <c r="D29" s="42"/>
      <c r="E29" s="42"/>
      <c r="F29" s="42"/>
      <c r="G29" s="42"/>
      <c r="H29" s="42"/>
      <c r="I29" s="42"/>
      <c r="J29" s="42"/>
    </row>
    <row r="30" spans="1:10" s="29" customFormat="1" ht="12" x14ac:dyDescent="0.2">
      <c r="B30" s="43" t="s">
        <v>34</v>
      </c>
      <c r="D30" s="44"/>
      <c r="E30" s="44" t="s">
        <v>71</v>
      </c>
      <c r="F30" s="44" t="s">
        <v>35</v>
      </c>
      <c r="G30" s="44" t="s">
        <v>72</v>
      </c>
      <c r="H30" s="44" t="s">
        <v>73</v>
      </c>
      <c r="I30" s="44" t="s">
        <v>74</v>
      </c>
    </row>
    <row r="31" spans="1:10" s="29" customFormat="1" ht="12" hidden="1" x14ac:dyDescent="0.2">
      <c r="B31" s="29" t="str">
        <f>'7. Op Rev and Exp'!B16</f>
        <v>1 Bed</v>
      </c>
      <c r="D31" s="45"/>
      <c r="E31" s="113">
        <f>'7. Op Rev and Exp'!D16</f>
        <v>52416</v>
      </c>
      <c r="F31" s="45">
        <f>'7. Op Rev and Exp'!E16</f>
        <v>84</v>
      </c>
      <c r="G31" s="46">
        <f>'7. Op Rev and Exp'!F16</f>
        <v>0.49411764705882355</v>
      </c>
      <c r="H31" s="32">
        <f>'7. Op Rev and Exp'!G16</f>
        <v>2490</v>
      </c>
      <c r="I31" s="47">
        <f>'7. Op Rev and Exp'!I16</f>
        <v>3.9903846153846154</v>
      </c>
    </row>
    <row r="32" spans="1:10" s="29" customFormat="1" ht="12" hidden="1" x14ac:dyDescent="0.2">
      <c r="B32" s="29" t="str">
        <f>'7. Op Rev and Exp'!B17</f>
        <v>2 Bed</v>
      </c>
      <c r="D32" s="45"/>
      <c r="E32" s="307">
        <f>'7. Op Rev and Exp'!D17</f>
        <v>58167.199999999997</v>
      </c>
      <c r="F32" s="45">
        <f>'7. Op Rev and Exp'!E17</f>
        <v>68</v>
      </c>
      <c r="G32" s="46">
        <f>'7. Op Rev and Exp'!F17</f>
        <v>0.4</v>
      </c>
      <c r="H32" s="120">
        <f>'7. Op Rev and Exp'!G17</f>
        <v>3155</v>
      </c>
      <c r="I32" s="47">
        <f>'7. Op Rev and Exp'!I17</f>
        <v>3.6883329436520929</v>
      </c>
    </row>
    <row r="33" spans="1:13" s="29" customFormat="1" ht="12" hidden="1" x14ac:dyDescent="0.2">
      <c r="B33" s="37" t="s">
        <v>264</v>
      </c>
      <c r="C33" s="37"/>
      <c r="D33" s="48"/>
      <c r="E33" s="114">
        <f>'7. Op Rev and Exp'!D19</f>
        <v>0</v>
      </c>
      <c r="F33" s="48">
        <f>+'7. Op Rev and Exp'!E19</f>
        <v>0</v>
      </c>
      <c r="G33" s="46">
        <f>'7. Op Rev and Exp'!F19</f>
        <v>0</v>
      </c>
      <c r="H33" s="36">
        <f>'7. Op Rev and Exp'!G19</f>
        <v>0</v>
      </c>
      <c r="I33" s="50">
        <f>'7. Op Rev and Exp'!I19</f>
        <v>0</v>
      </c>
    </row>
    <row r="34" spans="1:13" s="29" customFormat="1" ht="12" x14ac:dyDescent="0.2">
      <c r="B34" s="37" t="s">
        <v>265</v>
      </c>
      <c r="C34" s="37"/>
      <c r="D34" s="37"/>
      <c r="E34" s="114">
        <f>'7. Op Rev and Exp'!D20</f>
        <v>128853.2</v>
      </c>
      <c r="F34" s="48">
        <f>'7. Op Rev and Exp'!E20</f>
        <v>170</v>
      </c>
      <c r="G34" s="49">
        <f>'7. Op Rev and Exp'!F20</f>
        <v>1</v>
      </c>
      <c r="H34" s="36">
        <f>'7. Op Rev and Exp'!G20</f>
        <v>2881.4705882352941</v>
      </c>
      <c r="I34" s="50">
        <f>+H34/E35</f>
        <v>3.8016129983578208</v>
      </c>
    </row>
    <row r="35" spans="1:13" s="29" customFormat="1" ht="12" x14ac:dyDescent="0.2">
      <c r="B35" s="29" t="s">
        <v>257</v>
      </c>
      <c r="E35" s="113">
        <f>'7. Op Rev and Exp'!D21</f>
        <v>757.96</v>
      </c>
      <c r="H35" s="32">
        <f>'7. Op Rev and Exp'!G21</f>
        <v>2881.4705882352941</v>
      </c>
      <c r="I35" s="47">
        <f>'7. Op Rev and Exp'!I21</f>
        <v>3.8016129983578208</v>
      </c>
    </row>
    <row r="36" spans="1:13" ht="4.3499999999999996" customHeight="1" x14ac:dyDescent="0.25">
      <c r="A36" s="28"/>
      <c r="B36" s="28"/>
      <c r="C36" s="28"/>
      <c r="D36" s="28"/>
      <c r="E36" s="28"/>
      <c r="F36" s="28"/>
      <c r="G36" s="28"/>
      <c r="H36" s="28"/>
      <c r="I36" s="28"/>
      <c r="J36" s="28"/>
    </row>
    <row r="37" spans="1:13" x14ac:dyDescent="0.25">
      <c r="A37" s="42" t="s">
        <v>57</v>
      </c>
      <c r="B37" s="42"/>
      <c r="C37" s="42"/>
      <c r="D37" s="42"/>
      <c r="E37" s="42"/>
      <c r="F37" s="42"/>
      <c r="G37" s="42"/>
      <c r="H37" s="42"/>
      <c r="I37" s="42"/>
      <c r="J37" s="42"/>
    </row>
    <row r="38" spans="1:13" s="25" customFormat="1" ht="11.85" customHeight="1" x14ac:dyDescent="0.25">
      <c r="B38" s="100"/>
      <c r="C38" s="79"/>
      <c r="D38" s="79"/>
      <c r="E38" s="79"/>
      <c r="F38" s="79"/>
      <c r="G38" s="44" t="s">
        <v>14</v>
      </c>
      <c r="H38" s="44" t="s">
        <v>263</v>
      </c>
      <c r="I38" s="44" t="s">
        <v>16</v>
      </c>
      <c r="J38" s="44" t="s">
        <v>46</v>
      </c>
    </row>
    <row r="39" spans="1:13" s="29" customFormat="1" ht="12" x14ac:dyDescent="0.2">
      <c r="B39" s="29" t="s">
        <v>8</v>
      </c>
      <c r="G39" s="32">
        <f>'9. Development Costs'!H16</f>
        <v>10407366.746280003</v>
      </c>
      <c r="H39" s="32">
        <f>'9. Development Costs'!I16</f>
        <v>61219.804389882374</v>
      </c>
      <c r="I39" s="113">
        <f>'9. Development Costs'!J16</f>
        <v>80.769175668745532</v>
      </c>
      <c r="J39" s="117">
        <f t="shared" ref="J39:J47" ca="1" si="2">G39/$G$48</f>
        <v>0.11020019110912484</v>
      </c>
    </row>
    <row r="40" spans="1:13" s="29" customFormat="1" ht="12" x14ac:dyDescent="0.2">
      <c r="B40" s="101" t="s">
        <v>22</v>
      </c>
      <c r="G40" s="32">
        <f>'9. Development Costs'!H22</f>
        <v>65683716</v>
      </c>
      <c r="H40" s="32">
        <f>'9. Development Costs'!I22</f>
        <v>508814.40877976472</v>
      </c>
      <c r="I40" s="113">
        <f>'9. Development Costs'!J22</f>
        <v>509.75618766161801</v>
      </c>
      <c r="J40" s="117">
        <f t="shared" ca="1" si="2"/>
        <v>0.69550331341448601</v>
      </c>
      <c r="L40" s="139"/>
    </row>
    <row r="41" spans="1:13" s="29" customFormat="1" ht="12" x14ac:dyDescent="0.2">
      <c r="B41" s="101" t="s">
        <v>148</v>
      </c>
      <c r="G41" s="32">
        <f>'9. Development Costs'!H41</f>
        <v>2028467.7</v>
      </c>
      <c r="H41" s="32">
        <f>'9. Development Costs'!I41</f>
        <v>11932.16294117647</v>
      </c>
      <c r="I41" s="113">
        <f>'9. Development Costs'!J41</f>
        <v>15.742470501314676</v>
      </c>
      <c r="J41" s="117">
        <f t="shared" ca="1" si="2"/>
        <v>2.1478778796623833E-2</v>
      </c>
      <c r="L41" s="139"/>
    </row>
    <row r="42" spans="1:13" s="29" customFormat="1" ht="12" x14ac:dyDescent="0.2">
      <c r="B42" s="101" t="s">
        <v>149</v>
      </c>
      <c r="G42" s="32">
        <f>'9. Development Costs'!H46</f>
        <v>1692804.5925000003</v>
      </c>
      <c r="H42" s="32">
        <f>'9. Development Costs'!I46</f>
        <v>9957.6740735294134</v>
      </c>
      <c r="I42" s="113">
        <f>'9. Development Costs'!J46</f>
        <v>13.137466454073319</v>
      </c>
      <c r="J42" s="117">
        <f t="shared" ca="1" si="2"/>
        <v>1.7924552305277747E-2</v>
      </c>
      <c r="M42" s="139"/>
    </row>
    <row r="43" spans="1:13" s="29" customFormat="1" ht="12" x14ac:dyDescent="0.2">
      <c r="B43" s="101" t="s">
        <v>150</v>
      </c>
      <c r="G43" s="32">
        <f>'9. Development Costs'!H59</f>
        <v>7449711.2999999998</v>
      </c>
      <c r="H43" s="32">
        <f>'9. Development Costs'!I59</f>
        <v>43821.831176470587</v>
      </c>
      <c r="I43" s="113">
        <f>'9. Development Costs'!J59</f>
        <v>57.815493134823193</v>
      </c>
      <c r="J43" s="117">
        <f t="shared" ca="1" si="2"/>
        <v>7.8882548197049901E-2</v>
      </c>
    </row>
    <row r="44" spans="1:13" s="29" customFormat="1" ht="12" x14ac:dyDescent="0.2">
      <c r="B44" s="101" t="s">
        <v>151</v>
      </c>
      <c r="G44" s="32">
        <f>'9. Development Costs'!H66</f>
        <v>1676350</v>
      </c>
      <c r="H44" s="32">
        <f>'9. Development Costs'!I66</f>
        <v>9860.8823529411766</v>
      </c>
      <c r="I44" s="113">
        <f>'9. Development Costs'!J66</f>
        <v>13.00976615248981</v>
      </c>
      <c r="J44" s="117">
        <f t="shared" ca="1" si="2"/>
        <v>1.7750320025169915E-2</v>
      </c>
    </row>
    <row r="45" spans="1:13" s="29" customFormat="1" ht="12" x14ac:dyDescent="0.2">
      <c r="B45" s="101" t="s">
        <v>152</v>
      </c>
      <c r="G45" s="32">
        <f ca="1">'9. Development Costs'!H80-'9. Development Costs'!H77</f>
        <v>8970071.7457220368</v>
      </c>
      <c r="H45" s="32">
        <f ca="1">'9. Development Costs'!I80</f>
        <v>52765.127916011988</v>
      </c>
      <c r="I45" s="113">
        <f ca="1">'9. Development Costs'!J80</f>
        <v>69.614660293434994</v>
      </c>
      <c r="J45" s="117">
        <f ca="1">G45/$G$48</f>
        <v>9.4981146022788038E-2</v>
      </c>
    </row>
    <row r="46" spans="1:13" s="29" customFormat="1" ht="12" x14ac:dyDescent="0.2">
      <c r="B46" s="101" t="s">
        <v>293</v>
      </c>
      <c r="G46" s="32">
        <f>'9. Development Costs'!H77</f>
        <v>0</v>
      </c>
      <c r="H46" s="32">
        <f>'9. Development Costs'!I77</f>
        <v>0</v>
      </c>
      <c r="I46" s="113">
        <f>'9. Development Costs'!J77</f>
        <v>0</v>
      </c>
      <c r="J46" s="117">
        <f t="shared" ca="1" si="2"/>
        <v>0</v>
      </c>
    </row>
    <row r="47" spans="1:13" s="29" customFormat="1" ht="12" x14ac:dyDescent="0.2">
      <c r="B47" s="112" t="s">
        <v>297</v>
      </c>
      <c r="C47" s="37"/>
      <c r="D47" s="37"/>
      <c r="E47" s="37"/>
      <c r="F47" s="37"/>
      <c r="G47" s="118">
        <f ca="1">'9. Development Costs'!H87</f>
        <v>-3467937.2875057496</v>
      </c>
      <c r="H47" s="118">
        <f ca="1">'9. Development Costs'!I87</f>
        <v>-20399.631102975</v>
      </c>
      <c r="I47" s="118">
        <f ca="1">'9. Development Costs'!J87</f>
        <v>-26.913862344945642</v>
      </c>
      <c r="J47" s="117">
        <f t="shared" ca="1" si="2"/>
        <v>-3.6720849870520322E-2</v>
      </c>
    </row>
    <row r="48" spans="1:13" s="29" customFormat="1" ht="12" x14ac:dyDescent="0.2">
      <c r="B48" s="102" t="s">
        <v>106</v>
      </c>
      <c r="C48" s="51"/>
      <c r="D48" s="51"/>
      <c r="E48" s="51"/>
      <c r="F48" s="51"/>
      <c r="G48" s="52">
        <f ca="1">'9. Development Costs'!H89</f>
        <v>94440550.796996295</v>
      </c>
      <c r="H48" s="52">
        <f ca="1">'9. Development Costs'!I89</f>
        <v>555532.65174703707</v>
      </c>
      <c r="I48" s="52">
        <f ca="1">'9. Development Costs'!J89</f>
        <v>732.93135752155399</v>
      </c>
      <c r="J48" s="116">
        <f ca="1">SUM(J39:J47)</f>
        <v>1</v>
      </c>
    </row>
    <row r="49" spans="1:10" s="29" customFormat="1" ht="12" x14ac:dyDescent="0.2">
      <c r="G49" s="32"/>
      <c r="H49" s="32"/>
      <c r="I49" s="32"/>
    </row>
    <row r="50" spans="1:10" ht="4.3499999999999996" customHeight="1" x14ac:dyDescent="0.25">
      <c r="A50" s="28"/>
      <c r="B50" s="28"/>
      <c r="C50" s="28"/>
      <c r="D50" s="28"/>
      <c r="E50" s="28"/>
      <c r="F50" s="28"/>
      <c r="G50" s="28"/>
      <c r="H50" s="28"/>
      <c r="I50" s="28"/>
      <c r="J50" s="28"/>
    </row>
    <row r="51" spans="1:10" x14ac:dyDescent="0.25">
      <c r="A51" s="42" t="s">
        <v>77</v>
      </c>
      <c r="B51" s="42"/>
      <c r="C51" s="42"/>
      <c r="D51" s="42"/>
      <c r="E51" s="42"/>
      <c r="F51" s="42"/>
      <c r="G51" s="42"/>
      <c r="H51" s="42"/>
      <c r="I51" s="42"/>
      <c r="J51" s="42"/>
    </row>
    <row r="52" spans="1:10" s="29" customFormat="1" ht="12" x14ac:dyDescent="0.2">
      <c r="B52" s="29" t="s">
        <v>78</v>
      </c>
      <c r="G52" s="38">
        <f ca="1">-'10. Development Cash Flow'!C107</f>
        <v>85000761</v>
      </c>
      <c r="H52" s="115">
        <f ca="1">G52/G54</f>
        <v>0.90004516367881526</v>
      </c>
    </row>
    <row r="53" spans="1:10" s="29" customFormat="1" ht="12" x14ac:dyDescent="0.2">
      <c r="B53" s="29" t="s">
        <v>68</v>
      </c>
      <c r="G53" s="203">
        <f ca="1">+G48-G52</f>
        <v>9439789.7969962955</v>
      </c>
      <c r="H53" s="137">
        <f ca="1">G53/G54</f>
        <v>9.9954836321184709E-2</v>
      </c>
      <c r="I53" s="164" t="s">
        <v>298</v>
      </c>
    </row>
    <row r="54" spans="1:10" s="29" customFormat="1" ht="12" x14ac:dyDescent="0.2">
      <c r="B54" s="29" t="s">
        <v>14</v>
      </c>
      <c r="G54" s="38">
        <f ca="1">SUM(G52:G53)</f>
        <v>94440550.796996295</v>
      </c>
      <c r="H54" s="115">
        <f ca="1">SUM(H52:H53)</f>
        <v>1</v>
      </c>
    </row>
    <row r="55" spans="1:10" ht="4.3499999999999996" customHeight="1" x14ac:dyDescent="0.25">
      <c r="A55" s="28"/>
      <c r="B55" s="28"/>
      <c r="C55" s="28"/>
      <c r="D55" s="28"/>
      <c r="E55" s="28"/>
      <c r="F55" s="28"/>
      <c r="G55" s="28"/>
      <c r="H55" s="28"/>
      <c r="I55" s="28"/>
      <c r="J55" s="28"/>
    </row>
    <row r="56" spans="1:10" x14ac:dyDescent="0.25">
      <c r="A56" s="42" t="s">
        <v>266</v>
      </c>
      <c r="B56" s="42"/>
      <c r="C56" s="42"/>
      <c r="D56" s="42"/>
      <c r="E56" s="42"/>
      <c r="F56" s="42"/>
      <c r="G56" s="42"/>
      <c r="H56" s="42"/>
      <c r="I56" s="42"/>
      <c r="J56" s="42"/>
    </row>
    <row r="57" spans="1:10" s="29" customFormat="1" ht="12" x14ac:dyDescent="0.2">
      <c r="B57" s="29" t="s">
        <v>83</v>
      </c>
      <c r="G57" s="265">
        <f ca="1">'11. 10-Yr Cash Flow IRR'!L15</f>
        <v>0.84714675959370944</v>
      </c>
    </row>
    <row r="58" spans="1:10" s="29" customFormat="1" ht="12" x14ac:dyDescent="0.2">
      <c r="B58" s="29" t="s">
        <v>224</v>
      </c>
      <c r="G58" s="47">
        <f ca="1">'11. 10-Yr Cash Flow IRR'!L16</f>
        <v>1.1081060515232477</v>
      </c>
    </row>
    <row r="59" spans="1:10" s="29" customFormat="1" ht="12" x14ac:dyDescent="0.2">
      <c r="B59" s="29" t="s">
        <v>84</v>
      </c>
      <c r="G59" s="38">
        <f ca="1">'11. 10-Yr Cash Flow IRR'!K14</f>
        <v>92243039.030557334</v>
      </c>
    </row>
    <row r="60" spans="1:10" x14ac:dyDescent="0.25">
      <c r="A60" s="28"/>
      <c r="B60" s="29" t="s">
        <v>223</v>
      </c>
      <c r="C60" s="29"/>
      <c r="D60" s="29"/>
      <c r="E60" s="29"/>
      <c r="F60" s="29"/>
      <c r="G60" s="38">
        <f ca="1">'11. 10-Yr Cash Flow IRR'!K16</f>
        <v>4421871.6847100994</v>
      </c>
      <c r="H60" s="28"/>
      <c r="I60" s="28"/>
      <c r="J60" s="28"/>
    </row>
    <row r="61" spans="1:10" x14ac:dyDescent="0.25">
      <c r="A61" s="28"/>
      <c r="B61" s="28"/>
      <c r="C61" s="28"/>
      <c r="D61" s="28"/>
      <c r="E61" s="28"/>
      <c r="F61" s="28"/>
      <c r="G61" s="28"/>
      <c r="H61" s="28"/>
      <c r="I61" s="28"/>
      <c r="J61" s="28"/>
    </row>
    <row r="62" spans="1:10" x14ac:dyDescent="0.25">
      <c r="A62" s="28"/>
      <c r="B62" s="28"/>
      <c r="C62" s="28"/>
      <c r="D62" s="28"/>
      <c r="E62" s="28"/>
      <c r="F62" s="28"/>
      <c r="G62" s="28"/>
      <c r="H62" s="28"/>
      <c r="I62" s="28"/>
      <c r="J62" s="28"/>
    </row>
    <row r="63" spans="1:10" x14ac:dyDescent="0.25">
      <c r="A63" s="28"/>
      <c r="B63" s="28"/>
      <c r="C63" s="28"/>
      <c r="D63" s="28"/>
      <c r="E63" s="28"/>
      <c r="F63" s="28"/>
      <c r="G63" s="28"/>
      <c r="H63" s="28"/>
      <c r="I63" s="28"/>
      <c r="J63" s="28"/>
    </row>
    <row r="64" spans="1:10" x14ac:dyDescent="0.25">
      <c r="A64" s="28"/>
      <c r="B64" s="28"/>
      <c r="C64" s="28"/>
      <c r="D64" s="28"/>
      <c r="E64" s="28"/>
      <c r="F64" s="28"/>
      <c r="G64" s="28"/>
      <c r="H64" s="28"/>
      <c r="I64" s="28"/>
      <c r="J64" s="28"/>
    </row>
    <row r="65" spans="1:10" x14ac:dyDescent="0.25">
      <c r="A65" s="28"/>
      <c r="B65" s="28"/>
      <c r="C65" s="28"/>
      <c r="D65" s="28"/>
      <c r="E65" s="28"/>
      <c r="F65" s="28"/>
      <c r="G65" s="28"/>
      <c r="H65" s="28"/>
      <c r="I65" s="28"/>
      <c r="J65" s="28"/>
    </row>
    <row r="66" spans="1:10" x14ac:dyDescent="0.25">
      <c r="A66" s="28"/>
      <c r="B66" s="28"/>
      <c r="C66" s="28"/>
      <c r="D66" s="28"/>
      <c r="E66" s="28"/>
      <c r="F66" s="28"/>
      <c r="G66" s="28"/>
      <c r="H66" s="28"/>
      <c r="I66" s="28"/>
      <c r="J66" s="28"/>
    </row>
    <row r="67" spans="1:10" x14ac:dyDescent="0.25">
      <c r="A67" s="28"/>
      <c r="B67" s="28"/>
      <c r="C67" s="28"/>
      <c r="D67" s="28"/>
      <c r="E67" s="28"/>
      <c r="F67" s="28"/>
      <c r="G67" s="28"/>
      <c r="H67" s="28"/>
      <c r="I67" s="28"/>
      <c r="J67" s="28"/>
    </row>
    <row r="68" spans="1:10" x14ac:dyDescent="0.25">
      <c r="A68" s="28"/>
      <c r="B68" s="28"/>
      <c r="C68" s="28"/>
      <c r="D68" s="28"/>
      <c r="E68" s="28"/>
      <c r="F68" s="28"/>
      <c r="G68" s="28"/>
      <c r="H68" s="28"/>
      <c r="I68" s="28"/>
      <c r="J68" s="28"/>
    </row>
    <row r="69" spans="1:10" x14ac:dyDescent="0.25">
      <c r="A69" s="28"/>
      <c r="B69" s="28"/>
      <c r="C69" s="28"/>
      <c r="D69" s="28"/>
      <c r="E69" s="28"/>
      <c r="F69" s="28"/>
      <c r="G69" s="28"/>
      <c r="H69" s="28"/>
      <c r="I69" s="28"/>
      <c r="J69" s="28"/>
    </row>
    <row r="70" spans="1:10" x14ac:dyDescent="0.25">
      <c r="A70" s="28"/>
      <c r="B70" s="28"/>
      <c r="C70" s="28"/>
      <c r="D70" s="28"/>
      <c r="E70" s="28"/>
      <c r="F70" s="28"/>
      <c r="G70" s="28"/>
      <c r="H70" s="28"/>
      <c r="I70" s="28"/>
      <c r="J70" s="28"/>
    </row>
    <row r="71" spans="1:10" x14ac:dyDescent="0.25">
      <c r="A71" s="28"/>
      <c r="B71" s="28"/>
      <c r="C71" s="28"/>
      <c r="D71" s="28"/>
      <c r="E71" s="28"/>
      <c r="F71" s="28"/>
      <c r="G71" s="28"/>
      <c r="H71" s="28"/>
      <c r="I71" s="28"/>
      <c r="J71" s="28"/>
    </row>
    <row r="72" spans="1:10" x14ac:dyDescent="0.25">
      <c r="A72" s="28"/>
      <c r="B72" s="28"/>
      <c r="C72" s="28"/>
      <c r="D72" s="28"/>
      <c r="E72" s="28"/>
      <c r="F72" s="28"/>
      <c r="G72" s="28"/>
      <c r="H72" s="28"/>
      <c r="I72" s="28"/>
      <c r="J72" s="28"/>
    </row>
    <row r="73" spans="1:10" x14ac:dyDescent="0.25">
      <c r="A73" s="28"/>
      <c r="B73" s="28"/>
      <c r="C73" s="28"/>
      <c r="D73" s="28"/>
      <c r="E73" s="28"/>
      <c r="F73" s="28"/>
      <c r="G73" s="28"/>
      <c r="H73" s="28"/>
      <c r="I73" s="28"/>
      <c r="J73" s="28"/>
    </row>
    <row r="74" spans="1:10" x14ac:dyDescent="0.25">
      <c r="A74" s="28"/>
      <c r="B74" s="28"/>
      <c r="C74" s="28"/>
      <c r="D74" s="28"/>
      <c r="E74" s="28"/>
      <c r="F74" s="28"/>
      <c r="G74" s="28"/>
      <c r="H74" s="28"/>
      <c r="I74" s="28"/>
      <c r="J74" s="28"/>
    </row>
    <row r="75" spans="1:10" x14ac:dyDescent="0.25">
      <c r="A75" s="28"/>
      <c r="B75" s="28"/>
      <c r="C75" s="28"/>
      <c r="D75" s="28"/>
      <c r="E75" s="28"/>
      <c r="F75" s="28"/>
      <c r="G75" s="28"/>
      <c r="H75" s="28"/>
      <c r="I75" s="28"/>
      <c r="J75" s="28"/>
    </row>
    <row r="76" spans="1:10" x14ac:dyDescent="0.25">
      <c r="A76" s="28"/>
      <c r="B76" s="28"/>
      <c r="C76" s="28"/>
      <c r="D76" s="28"/>
      <c r="E76" s="28"/>
      <c r="F76" s="28"/>
      <c r="G76" s="28"/>
      <c r="H76" s="28"/>
      <c r="I76" s="28"/>
      <c r="J76" s="28"/>
    </row>
    <row r="77" spans="1:10" x14ac:dyDescent="0.25">
      <c r="A77" s="28"/>
      <c r="B77" s="28"/>
      <c r="C77" s="28"/>
      <c r="D77" s="28"/>
      <c r="E77" s="28"/>
      <c r="F77" s="28"/>
      <c r="G77" s="28"/>
      <c r="H77" s="28"/>
      <c r="I77" s="28"/>
      <c r="J77" s="28"/>
    </row>
    <row r="78" spans="1:10" x14ac:dyDescent="0.25">
      <c r="A78" s="28"/>
      <c r="B78" s="28"/>
      <c r="C78" s="28"/>
      <c r="D78" s="28"/>
      <c r="E78" s="28"/>
      <c r="F78" s="28"/>
      <c r="G78" s="28"/>
      <c r="H78" s="28"/>
      <c r="I78" s="28"/>
      <c r="J78" s="28"/>
    </row>
    <row r="79" spans="1:10" x14ac:dyDescent="0.25">
      <c r="A79" s="28"/>
      <c r="B79" s="28"/>
      <c r="C79" s="28"/>
      <c r="D79" s="28"/>
      <c r="E79" s="28"/>
      <c r="F79" s="28"/>
      <c r="G79" s="28"/>
      <c r="H79" s="28"/>
      <c r="I79" s="28"/>
      <c r="J79" s="28"/>
    </row>
    <row r="80" spans="1:10" x14ac:dyDescent="0.25">
      <c r="A80" s="28"/>
      <c r="B80" s="28"/>
      <c r="C80" s="28"/>
      <c r="D80" s="28"/>
      <c r="E80" s="28"/>
      <c r="F80" s="28"/>
      <c r="G80" s="28"/>
      <c r="H80" s="28"/>
      <c r="I80" s="28"/>
      <c r="J80" s="28"/>
    </row>
    <row r="81" spans="1:10" x14ac:dyDescent="0.25">
      <c r="A81" s="28"/>
      <c r="B81" s="28"/>
      <c r="C81" s="28"/>
      <c r="D81" s="28"/>
      <c r="E81" s="28"/>
      <c r="F81" s="28"/>
      <c r="G81" s="28"/>
      <c r="H81" s="28"/>
      <c r="I81" s="28"/>
      <c r="J81" s="28"/>
    </row>
    <row r="82" spans="1:10" x14ac:dyDescent="0.25">
      <c r="A82" s="28"/>
      <c r="B82" s="28"/>
      <c r="C82" s="28"/>
      <c r="D82" s="28"/>
      <c r="E82" s="28"/>
      <c r="F82" s="28"/>
      <c r="G82" s="28"/>
      <c r="H82" s="28"/>
      <c r="I82" s="28"/>
      <c r="J82" s="28"/>
    </row>
    <row r="83" spans="1:10" x14ac:dyDescent="0.25">
      <c r="A83" s="28"/>
      <c r="B83" s="28"/>
      <c r="C83" s="28"/>
      <c r="D83" s="28"/>
      <c r="E83" s="28"/>
      <c r="F83" s="28"/>
      <c r="G83" s="28"/>
      <c r="H83" s="28"/>
      <c r="I83" s="28"/>
      <c r="J83" s="28"/>
    </row>
    <row r="84" spans="1:10" x14ac:dyDescent="0.25">
      <c r="A84" s="28"/>
      <c r="B84" s="28"/>
      <c r="C84" s="28"/>
      <c r="D84" s="28"/>
      <c r="E84" s="28"/>
      <c r="F84" s="28"/>
      <c r="G84" s="28"/>
      <c r="H84" s="28"/>
      <c r="I84" s="28"/>
      <c r="J84" s="28"/>
    </row>
    <row r="85" spans="1:10" x14ac:dyDescent="0.25">
      <c r="A85" s="28"/>
      <c r="B85" s="28"/>
      <c r="C85" s="28"/>
      <c r="D85" s="28"/>
      <c r="E85" s="28"/>
      <c r="F85" s="28"/>
      <c r="G85" s="28"/>
      <c r="H85" s="28"/>
      <c r="I85" s="28"/>
      <c r="J85" s="28"/>
    </row>
    <row r="86" spans="1:10" x14ac:dyDescent="0.25">
      <c r="A86" s="28"/>
      <c r="B86" s="28"/>
      <c r="C86" s="28"/>
      <c r="D86" s="28"/>
      <c r="E86" s="28"/>
      <c r="F86" s="28"/>
      <c r="G86" s="28"/>
      <c r="H86" s="28"/>
      <c r="I86" s="28"/>
      <c r="J86" s="28"/>
    </row>
    <row r="87" spans="1:10" x14ac:dyDescent="0.25">
      <c r="A87" s="28"/>
      <c r="B87" s="28"/>
      <c r="C87" s="28"/>
      <c r="D87" s="28"/>
      <c r="E87" s="28"/>
      <c r="F87" s="28"/>
      <c r="G87" s="28"/>
      <c r="H87" s="28"/>
      <c r="I87" s="28"/>
      <c r="J87" s="28"/>
    </row>
    <row r="88" spans="1:10" x14ac:dyDescent="0.25">
      <c r="A88" s="28"/>
      <c r="B88" s="28"/>
      <c r="C88" s="28"/>
      <c r="D88" s="28"/>
      <c r="E88" s="28"/>
      <c r="F88" s="28"/>
      <c r="G88" s="28"/>
      <c r="H88" s="28"/>
      <c r="I88" s="28"/>
      <c r="J88" s="28"/>
    </row>
    <row r="89" spans="1:10" x14ac:dyDescent="0.25">
      <c r="A89" s="28"/>
      <c r="B89" s="28"/>
      <c r="C89" s="28"/>
      <c r="D89" s="28"/>
      <c r="E89" s="28"/>
      <c r="F89" s="28"/>
      <c r="G89" s="28"/>
      <c r="H89" s="28"/>
      <c r="I89" s="28"/>
      <c r="J89" s="28"/>
    </row>
    <row r="90" spans="1:10" x14ac:dyDescent="0.25">
      <c r="A90" s="28"/>
      <c r="B90" s="28"/>
      <c r="C90" s="28"/>
      <c r="D90" s="28"/>
      <c r="E90" s="28"/>
      <c r="F90" s="28"/>
      <c r="G90" s="28"/>
      <c r="H90" s="28"/>
      <c r="I90" s="28"/>
      <c r="J90" s="28"/>
    </row>
    <row r="91" spans="1:10" x14ac:dyDescent="0.25">
      <c r="A91" s="28"/>
      <c r="B91" s="28"/>
      <c r="C91" s="28"/>
      <c r="D91" s="28"/>
      <c r="E91" s="28"/>
      <c r="F91" s="28"/>
      <c r="G91" s="28"/>
      <c r="H91" s="28"/>
      <c r="I91" s="28"/>
      <c r="J91" s="28"/>
    </row>
    <row r="92" spans="1:10" x14ac:dyDescent="0.25">
      <c r="A92" s="28"/>
      <c r="B92" s="28"/>
      <c r="C92" s="28"/>
      <c r="D92" s="28"/>
      <c r="E92" s="28"/>
      <c r="F92" s="28"/>
      <c r="G92" s="28"/>
      <c r="H92" s="28"/>
      <c r="I92" s="28"/>
      <c r="J92" s="28"/>
    </row>
    <row r="93" spans="1:10" x14ac:dyDescent="0.25">
      <c r="A93" s="28"/>
      <c r="B93" s="28"/>
      <c r="C93" s="28"/>
      <c r="D93" s="28"/>
      <c r="E93" s="28"/>
      <c r="F93" s="28"/>
      <c r="G93" s="28"/>
      <c r="H93" s="28"/>
      <c r="I93" s="28"/>
      <c r="J93" s="28"/>
    </row>
    <row r="94" spans="1:10" x14ac:dyDescent="0.25">
      <c r="A94" s="28"/>
      <c r="B94" s="28"/>
      <c r="C94" s="28"/>
      <c r="D94" s="28"/>
      <c r="E94" s="28"/>
      <c r="F94" s="28"/>
      <c r="G94" s="28"/>
      <c r="H94" s="28"/>
      <c r="I94" s="28"/>
      <c r="J94" s="28"/>
    </row>
    <row r="95" spans="1:10" x14ac:dyDescent="0.25">
      <c r="A95" s="28"/>
      <c r="B95" s="28"/>
      <c r="C95" s="28"/>
      <c r="D95" s="28"/>
      <c r="E95" s="28"/>
      <c r="F95" s="28"/>
      <c r="G95" s="28"/>
      <c r="H95" s="28"/>
      <c r="I95" s="28"/>
      <c r="J95" s="28"/>
    </row>
    <row r="96" spans="1:10" x14ac:dyDescent="0.25">
      <c r="A96" s="28"/>
      <c r="B96" s="28"/>
      <c r="C96" s="28"/>
      <c r="D96" s="28"/>
      <c r="E96" s="28"/>
      <c r="F96" s="28"/>
      <c r="G96" s="28"/>
      <c r="H96" s="28"/>
      <c r="I96" s="28"/>
      <c r="J96" s="28"/>
    </row>
    <row r="97" spans="1:10" x14ac:dyDescent="0.25">
      <c r="A97" s="28"/>
      <c r="B97" s="28"/>
      <c r="C97" s="28"/>
      <c r="D97" s="28"/>
      <c r="E97" s="28"/>
      <c r="F97" s="28"/>
      <c r="G97" s="28"/>
      <c r="H97" s="28"/>
      <c r="I97" s="28"/>
      <c r="J97" s="28"/>
    </row>
    <row r="98" spans="1:10" x14ac:dyDescent="0.25">
      <c r="A98" s="28"/>
      <c r="B98" s="28"/>
      <c r="C98" s="28"/>
      <c r="D98" s="28"/>
      <c r="E98" s="28"/>
      <c r="F98" s="28"/>
      <c r="G98" s="28"/>
      <c r="H98" s="28"/>
      <c r="I98" s="28"/>
      <c r="J98" s="28"/>
    </row>
    <row r="99" spans="1:10" x14ac:dyDescent="0.25">
      <c r="A99" s="28"/>
      <c r="B99" s="28"/>
      <c r="C99" s="28"/>
      <c r="D99" s="28"/>
      <c r="E99" s="28"/>
      <c r="F99" s="28"/>
      <c r="G99" s="28"/>
      <c r="H99" s="28"/>
      <c r="I99" s="28"/>
      <c r="J99" s="28"/>
    </row>
    <row r="100" spans="1:10" x14ac:dyDescent="0.25">
      <c r="A100" s="28"/>
      <c r="B100" s="28"/>
      <c r="C100" s="28"/>
      <c r="D100" s="28"/>
      <c r="E100" s="28"/>
      <c r="F100" s="28"/>
      <c r="G100" s="28"/>
      <c r="H100" s="28"/>
      <c r="I100" s="28"/>
      <c r="J100" s="28"/>
    </row>
    <row r="101" spans="1:10" x14ac:dyDescent="0.25">
      <c r="A101" s="28"/>
      <c r="B101" s="28"/>
      <c r="C101" s="28"/>
      <c r="D101" s="28"/>
      <c r="E101" s="28"/>
      <c r="F101" s="28"/>
      <c r="G101" s="28"/>
      <c r="H101" s="28"/>
      <c r="I101" s="28"/>
      <c r="J101" s="28"/>
    </row>
    <row r="102" spans="1:10" x14ac:dyDescent="0.25">
      <c r="A102" s="28"/>
      <c r="B102" s="28"/>
      <c r="C102" s="28"/>
      <c r="D102" s="28"/>
      <c r="E102" s="28"/>
      <c r="F102" s="28"/>
      <c r="G102" s="28"/>
      <c r="H102" s="28"/>
      <c r="I102" s="28"/>
      <c r="J102" s="28"/>
    </row>
    <row r="103" spans="1:10" x14ac:dyDescent="0.25">
      <c r="A103" s="28"/>
      <c r="B103" s="28"/>
      <c r="C103" s="28"/>
      <c r="D103" s="28"/>
      <c r="E103" s="28"/>
      <c r="F103" s="28"/>
      <c r="G103" s="28"/>
      <c r="H103" s="28"/>
      <c r="I103" s="28"/>
      <c r="J103" s="28"/>
    </row>
    <row r="104" spans="1:10" x14ac:dyDescent="0.25">
      <c r="A104" s="28"/>
      <c r="B104" s="28"/>
      <c r="C104" s="28"/>
      <c r="D104" s="28"/>
      <c r="E104" s="28"/>
      <c r="F104" s="28"/>
      <c r="G104" s="28"/>
      <c r="H104" s="28"/>
      <c r="I104" s="28"/>
      <c r="J104" s="28"/>
    </row>
    <row r="105" spans="1:10" x14ac:dyDescent="0.25">
      <c r="A105" s="28"/>
      <c r="B105" s="28"/>
      <c r="C105" s="28"/>
      <c r="D105" s="28"/>
      <c r="E105" s="28"/>
      <c r="F105" s="28"/>
      <c r="G105" s="28"/>
      <c r="H105" s="28"/>
      <c r="I105" s="28"/>
      <c r="J105" s="28"/>
    </row>
    <row r="106" spans="1:10" x14ac:dyDescent="0.25">
      <c r="A106" s="28"/>
      <c r="B106" s="28"/>
      <c r="C106" s="28"/>
      <c r="D106" s="28"/>
      <c r="E106" s="28"/>
      <c r="F106" s="28"/>
      <c r="G106" s="28"/>
      <c r="H106" s="28"/>
      <c r="I106" s="28"/>
      <c r="J106" s="28"/>
    </row>
    <row r="107" spans="1:10" x14ac:dyDescent="0.25">
      <c r="A107" s="28"/>
      <c r="B107" s="28"/>
      <c r="C107" s="28"/>
      <c r="D107" s="28"/>
      <c r="E107" s="28"/>
      <c r="F107" s="28"/>
      <c r="G107" s="28"/>
      <c r="H107" s="28"/>
      <c r="I107" s="28"/>
      <c r="J107" s="28"/>
    </row>
    <row r="108" spans="1:10" x14ac:dyDescent="0.25">
      <c r="A108" s="28"/>
      <c r="B108" s="28"/>
      <c r="C108" s="28"/>
      <c r="D108" s="28"/>
      <c r="E108" s="28"/>
      <c r="F108" s="28"/>
      <c r="G108" s="28"/>
      <c r="H108" s="28"/>
      <c r="I108" s="28"/>
      <c r="J108" s="28"/>
    </row>
    <row r="109" spans="1:10" x14ac:dyDescent="0.25">
      <c r="A109" s="28"/>
      <c r="B109" s="28"/>
      <c r="C109" s="28"/>
      <c r="D109" s="28"/>
      <c r="E109" s="28"/>
      <c r="F109" s="28"/>
      <c r="G109" s="28"/>
      <c r="H109" s="28"/>
      <c r="I109" s="28"/>
      <c r="J109" s="28"/>
    </row>
    <row r="110" spans="1:10" x14ac:dyDescent="0.25">
      <c r="A110" s="28"/>
      <c r="B110" s="28"/>
      <c r="C110" s="28"/>
      <c r="D110" s="28"/>
      <c r="E110" s="28"/>
      <c r="F110" s="28"/>
      <c r="G110" s="28"/>
      <c r="H110" s="28"/>
      <c r="I110" s="28"/>
      <c r="J110" s="28"/>
    </row>
    <row r="111" spans="1:10" x14ac:dyDescent="0.25">
      <c r="A111" s="28"/>
      <c r="B111" s="28"/>
      <c r="C111" s="28"/>
      <c r="D111" s="28"/>
      <c r="E111" s="28"/>
      <c r="F111" s="28"/>
      <c r="G111" s="28"/>
      <c r="H111" s="28"/>
      <c r="I111" s="28"/>
      <c r="J111" s="28"/>
    </row>
    <row r="112" spans="1:10" x14ac:dyDescent="0.25">
      <c r="A112" s="28"/>
      <c r="B112" s="28"/>
      <c r="C112" s="28"/>
      <c r="D112" s="28"/>
      <c r="E112" s="28"/>
      <c r="F112" s="28"/>
      <c r="G112" s="28"/>
      <c r="H112" s="28"/>
      <c r="I112" s="28"/>
      <c r="J112" s="28"/>
    </row>
    <row r="113" spans="1:10" x14ac:dyDescent="0.25">
      <c r="A113" s="28"/>
      <c r="B113" s="28"/>
      <c r="C113" s="28"/>
      <c r="D113" s="28"/>
      <c r="E113" s="28"/>
      <c r="F113" s="28"/>
      <c r="G113" s="28"/>
      <c r="H113" s="28"/>
      <c r="I113" s="28"/>
      <c r="J113" s="28"/>
    </row>
    <row r="114" spans="1:10" x14ac:dyDescent="0.25">
      <c r="A114" s="28"/>
      <c r="B114" s="28"/>
      <c r="C114" s="28"/>
      <c r="D114" s="28"/>
      <c r="E114" s="28"/>
      <c r="F114" s="28"/>
      <c r="G114" s="28"/>
      <c r="H114" s="28"/>
      <c r="I114" s="28"/>
      <c r="J114" s="28"/>
    </row>
    <row r="115" spans="1:10" x14ac:dyDescent="0.25">
      <c r="A115" s="28"/>
      <c r="B115" s="28"/>
      <c r="C115" s="28"/>
      <c r="D115" s="28"/>
      <c r="E115" s="28"/>
      <c r="F115" s="28"/>
      <c r="G115" s="28"/>
      <c r="H115" s="28"/>
      <c r="I115" s="28"/>
      <c r="J115" s="28"/>
    </row>
    <row r="116" spans="1:10" x14ac:dyDescent="0.25">
      <c r="A116" s="28"/>
      <c r="B116" s="28"/>
      <c r="C116" s="28"/>
      <c r="D116" s="28"/>
      <c r="E116" s="28"/>
      <c r="F116" s="28"/>
      <c r="G116" s="28"/>
      <c r="H116" s="28"/>
      <c r="I116" s="28"/>
      <c r="J116" s="28"/>
    </row>
    <row r="117" spans="1:10" x14ac:dyDescent="0.25">
      <c r="A117" s="28"/>
      <c r="B117" s="28"/>
      <c r="C117" s="28"/>
      <c r="D117" s="28"/>
      <c r="E117" s="28"/>
      <c r="F117" s="28"/>
      <c r="G117" s="28"/>
      <c r="H117" s="28"/>
      <c r="I117" s="28"/>
      <c r="J117" s="28"/>
    </row>
    <row r="118" spans="1:10" x14ac:dyDescent="0.25">
      <c r="A118" s="28"/>
      <c r="B118" s="28"/>
      <c r="C118" s="28"/>
      <c r="D118" s="28"/>
      <c r="E118" s="28"/>
      <c r="F118" s="28"/>
      <c r="G118" s="28"/>
      <c r="H118" s="28"/>
      <c r="I118" s="28"/>
      <c r="J118" s="28"/>
    </row>
    <row r="119" spans="1:10" x14ac:dyDescent="0.25">
      <c r="A119" s="28"/>
      <c r="B119" s="28"/>
      <c r="C119" s="28"/>
      <c r="D119" s="28"/>
      <c r="E119" s="28"/>
      <c r="F119" s="28"/>
      <c r="G119" s="28"/>
      <c r="H119" s="28"/>
      <c r="I119" s="28"/>
      <c r="J119" s="28"/>
    </row>
    <row r="120" spans="1:10" x14ac:dyDescent="0.25">
      <c r="A120" s="28"/>
      <c r="B120" s="28"/>
      <c r="C120" s="28"/>
      <c r="D120" s="28"/>
      <c r="E120" s="28"/>
      <c r="F120" s="28"/>
      <c r="G120" s="28"/>
      <c r="H120" s="28"/>
      <c r="I120" s="28"/>
      <c r="J120" s="28"/>
    </row>
    <row r="121" spans="1:10" x14ac:dyDescent="0.25">
      <c r="A121" s="28"/>
      <c r="B121" s="28"/>
      <c r="C121" s="28"/>
      <c r="D121" s="28"/>
      <c r="E121" s="28"/>
      <c r="F121" s="28"/>
      <c r="G121" s="28"/>
      <c r="H121" s="28"/>
      <c r="I121" s="28"/>
      <c r="J121" s="28"/>
    </row>
    <row r="122" spans="1:10" x14ac:dyDescent="0.25">
      <c r="A122" s="28"/>
      <c r="B122" s="28"/>
      <c r="C122" s="28"/>
      <c r="D122" s="28"/>
      <c r="E122" s="28"/>
      <c r="F122" s="28"/>
      <c r="G122" s="28"/>
      <c r="H122" s="28"/>
      <c r="I122" s="28"/>
      <c r="J122" s="28"/>
    </row>
    <row r="123" spans="1:10" x14ac:dyDescent="0.25">
      <c r="A123" s="28"/>
      <c r="B123" s="28"/>
      <c r="C123" s="28"/>
      <c r="D123" s="28"/>
      <c r="E123" s="28"/>
      <c r="F123" s="28"/>
      <c r="G123" s="28"/>
      <c r="H123" s="28"/>
      <c r="I123" s="28"/>
      <c r="J123" s="28"/>
    </row>
    <row r="124" spans="1:10" x14ac:dyDescent="0.25">
      <c r="A124" s="28"/>
      <c r="B124" s="28"/>
      <c r="C124" s="28"/>
      <c r="D124" s="28"/>
      <c r="E124" s="28"/>
      <c r="F124" s="28"/>
      <c r="G124" s="28"/>
      <c r="H124" s="28"/>
      <c r="I124" s="28"/>
      <c r="J124" s="28"/>
    </row>
    <row r="125" spans="1:10" x14ac:dyDescent="0.25">
      <c r="A125" s="28"/>
      <c r="B125" s="28"/>
      <c r="C125" s="28"/>
      <c r="D125" s="28"/>
      <c r="E125" s="28"/>
      <c r="F125" s="28"/>
      <c r="G125" s="28"/>
      <c r="H125" s="28"/>
      <c r="I125" s="28"/>
      <c r="J125" s="28"/>
    </row>
    <row r="126" spans="1:10" x14ac:dyDescent="0.25">
      <c r="A126" s="28"/>
      <c r="B126" s="28"/>
      <c r="C126" s="28"/>
      <c r="D126" s="28"/>
      <c r="E126" s="28"/>
      <c r="F126" s="28"/>
      <c r="G126" s="28"/>
      <c r="H126" s="28"/>
      <c r="I126" s="28"/>
      <c r="J126" s="28"/>
    </row>
    <row r="127" spans="1:10" x14ac:dyDescent="0.25">
      <c r="A127" s="28"/>
      <c r="B127" s="28"/>
      <c r="C127" s="28"/>
      <c r="D127" s="28"/>
      <c r="E127" s="28"/>
      <c r="F127" s="28"/>
      <c r="G127" s="28"/>
      <c r="H127" s="28"/>
      <c r="I127" s="28"/>
      <c r="J127" s="28"/>
    </row>
    <row r="128" spans="1:10" x14ac:dyDescent="0.25">
      <c r="A128" s="28"/>
      <c r="B128" s="28"/>
      <c r="C128" s="28"/>
      <c r="D128" s="28"/>
      <c r="E128" s="28"/>
      <c r="F128" s="28"/>
      <c r="G128" s="28"/>
      <c r="H128" s="28"/>
      <c r="I128" s="28"/>
      <c r="J128" s="28"/>
    </row>
    <row r="129" spans="1:10" x14ac:dyDescent="0.25">
      <c r="A129" s="28"/>
      <c r="B129" s="28"/>
      <c r="C129" s="28"/>
      <c r="D129" s="28"/>
      <c r="E129" s="28"/>
      <c r="F129" s="28"/>
      <c r="G129" s="28"/>
      <c r="H129" s="28"/>
      <c r="I129" s="28"/>
      <c r="J129" s="28"/>
    </row>
    <row r="130" spans="1:10" x14ac:dyDescent="0.25">
      <c r="A130" s="28"/>
      <c r="B130" s="28"/>
      <c r="C130" s="28"/>
      <c r="D130" s="28"/>
      <c r="E130" s="28"/>
      <c r="F130" s="28"/>
      <c r="G130" s="28"/>
      <c r="H130" s="28"/>
      <c r="I130" s="28"/>
      <c r="J130" s="28"/>
    </row>
    <row r="131" spans="1:10" x14ac:dyDescent="0.25">
      <c r="A131" s="28"/>
      <c r="B131" s="28"/>
      <c r="C131" s="28"/>
      <c r="D131" s="28"/>
      <c r="E131" s="28"/>
      <c r="F131" s="28"/>
      <c r="G131" s="28"/>
      <c r="H131" s="28"/>
      <c r="I131" s="28"/>
      <c r="J131" s="28"/>
    </row>
    <row r="132" spans="1:10" x14ac:dyDescent="0.25">
      <c r="A132" s="28"/>
      <c r="B132" s="28"/>
      <c r="C132" s="28"/>
      <c r="D132" s="28"/>
      <c r="E132" s="28"/>
      <c r="F132" s="28"/>
      <c r="G132" s="28"/>
      <c r="H132" s="28"/>
      <c r="I132" s="28"/>
      <c r="J132" s="28"/>
    </row>
    <row r="133" spans="1:10" x14ac:dyDescent="0.25">
      <c r="A133" s="28"/>
      <c r="B133" s="28"/>
      <c r="C133" s="28"/>
      <c r="D133" s="28"/>
      <c r="E133" s="28"/>
      <c r="F133" s="28"/>
      <c r="G133" s="28"/>
      <c r="H133" s="28"/>
      <c r="I133" s="28"/>
      <c r="J133" s="28"/>
    </row>
    <row r="134" spans="1:10" x14ac:dyDescent="0.25">
      <c r="A134" s="28"/>
      <c r="B134" s="28"/>
      <c r="C134" s="28"/>
      <c r="D134" s="28"/>
      <c r="E134" s="28"/>
      <c r="F134" s="28"/>
      <c r="G134" s="28"/>
      <c r="H134" s="28"/>
      <c r="I134" s="28"/>
      <c r="J134" s="28"/>
    </row>
    <row r="135" spans="1:10" x14ac:dyDescent="0.25">
      <c r="A135" s="28"/>
      <c r="B135" s="28"/>
      <c r="C135" s="28"/>
      <c r="D135" s="28"/>
      <c r="E135" s="28"/>
      <c r="F135" s="28"/>
      <c r="G135" s="28"/>
      <c r="H135" s="28"/>
      <c r="I135" s="28"/>
      <c r="J135" s="28"/>
    </row>
    <row r="136" spans="1:10" x14ac:dyDescent="0.25">
      <c r="A136" s="28"/>
      <c r="B136" s="28"/>
      <c r="C136" s="28"/>
      <c r="D136" s="28"/>
      <c r="E136" s="28"/>
      <c r="F136" s="28"/>
      <c r="G136" s="28"/>
      <c r="H136" s="28"/>
      <c r="I136" s="28"/>
      <c r="J136" s="28"/>
    </row>
    <row r="137" spans="1:10" x14ac:dyDescent="0.25">
      <c r="A137" s="28"/>
      <c r="B137" s="28"/>
      <c r="C137" s="28"/>
      <c r="D137" s="28"/>
      <c r="E137" s="28"/>
      <c r="F137" s="28"/>
      <c r="G137" s="28"/>
      <c r="H137" s="28"/>
      <c r="I137" s="28"/>
      <c r="J137" s="28"/>
    </row>
    <row r="138" spans="1:10" x14ac:dyDescent="0.25">
      <c r="A138" s="28"/>
      <c r="B138" s="28"/>
      <c r="C138" s="28"/>
      <c r="D138" s="28"/>
      <c r="E138" s="28"/>
      <c r="F138" s="28"/>
      <c r="G138" s="28"/>
      <c r="H138" s="28"/>
      <c r="I138" s="28"/>
      <c r="J138" s="28"/>
    </row>
    <row r="139" spans="1:10" x14ac:dyDescent="0.25">
      <c r="A139" s="28"/>
      <c r="B139" s="28"/>
      <c r="C139" s="28"/>
      <c r="D139" s="28"/>
      <c r="E139" s="28"/>
      <c r="F139" s="28"/>
      <c r="G139" s="28"/>
      <c r="H139" s="28"/>
      <c r="I139" s="28"/>
      <c r="J139" s="28"/>
    </row>
    <row r="140" spans="1:10" x14ac:dyDescent="0.25">
      <c r="A140" s="28"/>
      <c r="B140" s="28"/>
      <c r="C140" s="28"/>
      <c r="D140" s="28"/>
      <c r="E140" s="28"/>
      <c r="F140" s="28"/>
      <c r="G140" s="28"/>
      <c r="H140" s="28"/>
      <c r="I140" s="28"/>
      <c r="J140" s="28"/>
    </row>
    <row r="141" spans="1:10" x14ac:dyDescent="0.25">
      <c r="A141" s="28"/>
      <c r="B141" s="28"/>
      <c r="C141" s="28"/>
      <c r="D141" s="28"/>
      <c r="E141" s="28"/>
      <c r="F141" s="28"/>
      <c r="G141" s="28"/>
      <c r="H141" s="28"/>
      <c r="I141" s="28"/>
      <c r="J141" s="28"/>
    </row>
    <row r="142" spans="1:10" x14ac:dyDescent="0.25">
      <c r="A142" s="28"/>
      <c r="B142" s="28"/>
      <c r="C142" s="28"/>
      <c r="D142" s="28"/>
      <c r="E142" s="28"/>
      <c r="F142" s="28"/>
      <c r="G142" s="28"/>
      <c r="H142" s="28"/>
      <c r="I142" s="28"/>
      <c r="J142" s="28"/>
    </row>
    <row r="143" spans="1:10" x14ac:dyDescent="0.25">
      <c r="A143" s="28"/>
      <c r="B143" s="28"/>
      <c r="C143" s="28"/>
      <c r="D143" s="28"/>
      <c r="E143" s="28"/>
      <c r="F143" s="28"/>
      <c r="G143" s="28"/>
      <c r="H143" s="28"/>
      <c r="I143" s="28"/>
      <c r="J143" s="28"/>
    </row>
    <row r="144" spans="1:10" x14ac:dyDescent="0.25">
      <c r="A144" s="28"/>
      <c r="B144" s="28"/>
      <c r="C144" s="28"/>
      <c r="D144" s="28"/>
      <c r="E144" s="28"/>
      <c r="F144" s="28"/>
      <c r="G144" s="28"/>
      <c r="H144" s="28"/>
      <c r="I144" s="28"/>
      <c r="J144" s="28"/>
    </row>
    <row r="145" spans="1:10" x14ac:dyDescent="0.25">
      <c r="A145" s="28"/>
      <c r="B145" s="28"/>
      <c r="C145" s="28"/>
      <c r="D145" s="28"/>
      <c r="E145" s="28"/>
      <c r="F145" s="28"/>
      <c r="G145" s="28"/>
      <c r="H145" s="28"/>
      <c r="I145" s="28"/>
      <c r="J145" s="28"/>
    </row>
    <row r="146" spans="1:10" x14ac:dyDescent="0.25">
      <c r="A146" s="28"/>
      <c r="B146" s="28"/>
      <c r="C146" s="28"/>
      <c r="D146" s="28"/>
      <c r="E146" s="28"/>
      <c r="F146" s="28"/>
      <c r="G146" s="28"/>
      <c r="H146" s="28"/>
      <c r="I146" s="28"/>
      <c r="J146" s="28"/>
    </row>
    <row r="147" spans="1:10" x14ac:dyDescent="0.25">
      <c r="A147" s="28"/>
      <c r="B147" s="28"/>
      <c r="C147" s="28"/>
      <c r="D147" s="28"/>
      <c r="E147" s="28"/>
      <c r="F147" s="28"/>
      <c r="G147" s="28"/>
      <c r="H147" s="28"/>
      <c r="I147" s="28"/>
      <c r="J147" s="28"/>
    </row>
    <row r="148" spans="1:10" x14ac:dyDescent="0.25">
      <c r="A148" s="28"/>
      <c r="B148" s="28"/>
      <c r="C148" s="28"/>
      <c r="D148" s="28"/>
      <c r="E148" s="28"/>
      <c r="F148" s="28"/>
      <c r="G148" s="28"/>
      <c r="H148" s="28"/>
      <c r="I148" s="28"/>
      <c r="J148" s="28"/>
    </row>
    <row r="149" spans="1:10" x14ac:dyDescent="0.25">
      <c r="A149" s="28"/>
      <c r="B149" s="28"/>
      <c r="C149" s="28"/>
      <c r="D149" s="28"/>
      <c r="E149" s="28"/>
      <c r="F149" s="28"/>
      <c r="G149" s="28"/>
      <c r="H149" s="28"/>
      <c r="I149" s="28"/>
      <c r="J149" s="28"/>
    </row>
    <row r="150" spans="1:10" x14ac:dyDescent="0.25">
      <c r="A150" s="28"/>
      <c r="B150" s="28"/>
      <c r="C150" s="28"/>
      <c r="D150" s="28"/>
      <c r="E150" s="28"/>
      <c r="F150" s="28"/>
      <c r="G150" s="28"/>
      <c r="H150" s="28"/>
      <c r="I150" s="28"/>
      <c r="J150" s="28"/>
    </row>
    <row r="151" spans="1:10" x14ac:dyDescent="0.25">
      <c r="A151" s="28"/>
      <c r="B151" s="28"/>
      <c r="C151" s="28"/>
      <c r="D151" s="28"/>
      <c r="E151" s="28"/>
      <c r="F151" s="28"/>
      <c r="G151" s="28"/>
      <c r="H151" s="28"/>
      <c r="I151" s="28"/>
      <c r="J151" s="28"/>
    </row>
    <row r="152" spans="1:10" x14ac:dyDescent="0.25">
      <c r="A152" s="28"/>
      <c r="B152" s="28"/>
      <c r="C152" s="28"/>
      <c r="D152" s="28"/>
      <c r="E152" s="28"/>
      <c r="F152" s="28"/>
      <c r="G152" s="28"/>
      <c r="H152" s="28"/>
      <c r="I152" s="28"/>
      <c r="J152" s="28"/>
    </row>
    <row r="153" spans="1:10" x14ac:dyDescent="0.25">
      <c r="A153" s="28"/>
      <c r="B153" s="28"/>
      <c r="C153" s="28"/>
      <c r="D153" s="28"/>
      <c r="E153" s="28"/>
      <c r="F153" s="28"/>
      <c r="G153" s="28"/>
      <c r="H153" s="28"/>
      <c r="I153" s="28"/>
      <c r="J153" s="28"/>
    </row>
    <row r="154" spans="1:10" x14ac:dyDescent="0.25">
      <c r="A154" s="28"/>
      <c r="B154" s="28"/>
      <c r="C154" s="28"/>
      <c r="D154" s="28"/>
      <c r="E154" s="28"/>
      <c r="F154" s="28"/>
      <c r="G154" s="28"/>
      <c r="H154" s="28"/>
      <c r="I154" s="28"/>
      <c r="J154" s="28"/>
    </row>
    <row r="155" spans="1:10" x14ac:dyDescent="0.25">
      <c r="A155" s="28"/>
      <c r="B155" s="28"/>
      <c r="C155" s="28"/>
      <c r="D155" s="28"/>
      <c r="E155" s="28"/>
      <c r="F155" s="28"/>
      <c r="G155" s="28"/>
      <c r="H155" s="28"/>
      <c r="I155" s="28"/>
      <c r="J155" s="28"/>
    </row>
    <row r="156" spans="1:10" x14ac:dyDescent="0.25">
      <c r="A156" s="28"/>
      <c r="B156" s="28"/>
      <c r="C156" s="28"/>
      <c r="D156" s="28"/>
      <c r="E156" s="28"/>
      <c r="F156" s="28"/>
      <c r="G156" s="28"/>
      <c r="H156" s="28"/>
      <c r="I156" s="28"/>
      <c r="J156" s="28"/>
    </row>
    <row r="157" spans="1:10" x14ac:dyDescent="0.25">
      <c r="A157" s="28"/>
      <c r="B157" s="28"/>
      <c r="C157" s="28"/>
      <c r="D157" s="28"/>
      <c r="E157" s="28"/>
      <c r="F157" s="28"/>
      <c r="G157" s="28"/>
      <c r="H157" s="28"/>
      <c r="I157" s="28"/>
      <c r="J157" s="28"/>
    </row>
    <row r="158" spans="1:10" x14ac:dyDescent="0.25">
      <c r="A158" s="28"/>
      <c r="B158" s="28"/>
      <c r="C158" s="28"/>
      <c r="D158" s="28"/>
      <c r="E158" s="28"/>
      <c r="F158" s="28"/>
      <c r="G158" s="28"/>
      <c r="H158" s="28"/>
      <c r="I158" s="28"/>
      <c r="J158" s="28"/>
    </row>
    <row r="159" spans="1:10" x14ac:dyDescent="0.25">
      <c r="A159" s="28"/>
      <c r="B159" s="28"/>
      <c r="C159" s="28"/>
      <c r="D159" s="28"/>
      <c r="E159" s="28"/>
      <c r="F159" s="28"/>
      <c r="G159" s="28"/>
      <c r="H159" s="28"/>
      <c r="I159" s="28"/>
      <c r="J159" s="28"/>
    </row>
    <row r="160" spans="1:10" x14ac:dyDescent="0.25">
      <c r="A160" s="28"/>
      <c r="B160" s="28"/>
      <c r="C160" s="28"/>
      <c r="D160" s="28"/>
      <c r="E160" s="28"/>
      <c r="F160" s="28"/>
      <c r="G160" s="28"/>
      <c r="H160" s="28"/>
      <c r="I160" s="28"/>
      <c r="J160" s="28"/>
    </row>
    <row r="161" spans="1:10" x14ac:dyDescent="0.25">
      <c r="A161" s="28"/>
      <c r="B161" s="28"/>
      <c r="C161" s="28"/>
      <c r="D161" s="28"/>
      <c r="E161" s="28"/>
      <c r="F161" s="28"/>
      <c r="G161" s="28"/>
      <c r="H161" s="28"/>
      <c r="I161" s="28"/>
      <c r="J161" s="28"/>
    </row>
    <row r="162" spans="1:10" x14ac:dyDescent="0.25">
      <c r="A162" s="28"/>
      <c r="B162" s="28"/>
      <c r="C162" s="28"/>
      <c r="D162" s="28"/>
      <c r="E162" s="28"/>
      <c r="F162" s="28"/>
      <c r="G162" s="28"/>
      <c r="H162" s="28"/>
      <c r="I162" s="28"/>
      <c r="J162" s="28"/>
    </row>
    <row r="163" spans="1:10" x14ac:dyDescent="0.25">
      <c r="A163" s="28"/>
      <c r="B163" s="28"/>
      <c r="C163" s="28"/>
      <c r="D163" s="28"/>
      <c r="E163" s="28"/>
      <c r="F163" s="28"/>
      <c r="G163" s="28"/>
      <c r="H163" s="28"/>
      <c r="I163" s="28"/>
      <c r="J163" s="28"/>
    </row>
    <row r="164" spans="1:10" x14ac:dyDescent="0.25">
      <c r="A164" s="28"/>
      <c r="B164" s="28"/>
      <c r="C164" s="28"/>
      <c r="D164" s="28"/>
      <c r="E164" s="28"/>
      <c r="F164" s="28"/>
      <c r="G164" s="28"/>
      <c r="H164" s="28"/>
      <c r="I164" s="28"/>
      <c r="J164" s="28"/>
    </row>
    <row r="165" spans="1:10" x14ac:dyDescent="0.25">
      <c r="A165" s="28"/>
      <c r="B165" s="28"/>
      <c r="C165" s="28"/>
      <c r="D165" s="28"/>
      <c r="E165" s="28"/>
      <c r="F165" s="28"/>
      <c r="G165" s="28"/>
      <c r="H165" s="28"/>
      <c r="I165" s="28"/>
      <c r="J165" s="28"/>
    </row>
    <row r="166" spans="1:10" x14ac:dyDescent="0.25">
      <c r="A166" s="28"/>
      <c r="B166" s="28"/>
      <c r="C166" s="28"/>
      <c r="D166" s="28"/>
      <c r="E166" s="28"/>
      <c r="F166" s="28"/>
      <c r="G166" s="28"/>
      <c r="H166" s="28"/>
      <c r="I166" s="28"/>
      <c r="J166" s="28"/>
    </row>
    <row r="167" spans="1:10" x14ac:dyDescent="0.25">
      <c r="A167" s="28"/>
      <c r="B167" s="28"/>
      <c r="C167" s="28"/>
      <c r="D167" s="28"/>
      <c r="E167" s="28"/>
      <c r="F167" s="28"/>
      <c r="G167" s="28"/>
      <c r="H167" s="28"/>
      <c r="I167" s="28"/>
      <c r="J167" s="28"/>
    </row>
    <row r="168" spans="1:10" x14ac:dyDescent="0.25">
      <c r="A168" s="28"/>
      <c r="B168" s="28"/>
      <c r="C168" s="28"/>
      <c r="D168" s="28"/>
      <c r="E168" s="28"/>
      <c r="F168" s="28"/>
      <c r="G168" s="28"/>
      <c r="H168" s="28"/>
      <c r="I168" s="28"/>
      <c r="J168" s="28"/>
    </row>
    <row r="169" spans="1:10" x14ac:dyDescent="0.25">
      <c r="A169" s="28"/>
      <c r="B169" s="28"/>
      <c r="C169" s="28"/>
      <c r="D169" s="28"/>
      <c r="E169" s="28"/>
      <c r="F169" s="28"/>
      <c r="G169" s="28"/>
      <c r="H169" s="28"/>
      <c r="I169" s="28"/>
      <c r="J169" s="28"/>
    </row>
    <row r="170" spans="1:10" x14ac:dyDescent="0.25">
      <c r="A170" s="28"/>
      <c r="B170" s="28"/>
      <c r="C170" s="28"/>
      <c r="D170" s="28"/>
      <c r="E170" s="28"/>
      <c r="F170" s="28"/>
      <c r="G170" s="28"/>
      <c r="H170" s="28"/>
      <c r="I170" s="28"/>
      <c r="J170" s="28"/>
    </row>
    <row r="171" spans="1:10" x14ac:dyDescent="0.25">
      <c r="A171" s="28"/>
      <c r="B171" s="28"/>
      <c r="C171" s="28"/>
      <c r="D171" s="28"/>
      <c r="E171" s="28"/>
      <c r="F171" s="28"/>
      <c r="G171" s="28"/>
      <c r="H171" s="28"/>
      <c r="I171" s="28"/>
      <c r="J171" s="28"/>
    </row>
    <row r="172" spans="1:10" x14ac:dyDescent="0.25">
      <c r="A172" s="28"/>
      <c r="B172" s="28"/>
      <c r="C172" s="28"/>
      <c r="D172" s="28"/>
      <c r="E172" s="28"/>
      <c r="F172" s="28"/>
      <c r="G172" s="28"/>
      <c r="H172" s="28"/>
      <c r="I172" s="28"/>
      <c r="J172" s="28"/>
    </row>
    <row r="173" spans="1:10" x14ac:dyDescent="0.25">
      <c r="A173" s="28"/>
      <c r="B173" s="28"/>
      <c r="C173" s="28"/>
      <c r="D173" s="28"/>
      <c r="E173" s="28"/>
      <c r="F173" s="28"/>
      <c r="G173" s="28"/>
      <c r="H173" s="28"/>
      <c r="I173" s="28"/>
      <c r="J173" s="28"/>
    </row>
    <row r="174" spans="1:10" x14ac:dyDescent="0.25">
      <c r="A174" s="28"/>
      <c r="B174" s="28"/>
      <c r="C174" s="28"/>
      <c r="D174" s="28"/>
      <c r="E174" s="28"/>
      <c r="F174" s="28"/>
      <c r="G174" s="28"/>
      <c r="H174" s="28"/>
      <c r="I174" s="28"/>
      <c r="J174" s="28"/>
    </row>
    <row r="175" spans="1:10" x14ac:dyDescent="0.25">
      <c r="A175" s="28"/>
      <c r="B175" s="28"/>
      <c r="C175" s="28"/>
      <c r="D175" s="28"/>
      <c r="E175" s="28"/>
      <c r="F175" s="28"/>
      <c r="G175" s="28"/>
      <c r="H175" s="28"/>
      <c r="I175" s="28"/>
      <c r="J175" s="28"/>
    </row>
  </sheetData>
  <mergeCells count="3">
    <mergeCell ref="B3:I3"/>
    <mergeCell ref="B5:I5"/>
    <mergeCell ref="B4:I4"/>
  </mergeCells>
  <printOptions horizontalCentered="1"/>
  <pageMargins left="0.25" right="0.25" top="0.75" bottom="0.75" header="0.3" footer="0.3"/>
  <pageSetup scale="88" orientation="portrait" r:id="rId1"/>
  <ignoredErrors>
    <ignoredError sqref="G14 I14"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59999389629810485"/>
  </sheetPr>
  <dimension ref="A5:J58"/>
  <sheetViews>
    <sheetView showGridLines="0" view="pageBreakPreview" topLeftCell="A16" zoomScale="90" zoomScaleNormal="90" zoomScaleSheetLayoutView="90" workbookViewId="0">
      <selection activeCell="G39" sqref="G39"/>
    </sheetView>
  </sheetViews>
  <sheetFormatPr defaultColWidth="8.85546875" defaultRowHeight="15" x14ac:dyDescent="0.25"/>
  <cols>
    <col min="2" max="2" width="15.5703125" customWidth="1"/>
    <col min="6" max="6" width="17.85546875" customWidth="1"/>
    <col min="7" max="7" width="15.140625" customWidth="1"/>
    <col min="8" max="8" width="7.140625" customWidth="1"/>
  </cols>
  <sheetData>
    <row r="5" spans="1:10" ht="14.85" customHeight="1" x14ac:dyDescent="0.25">
      <c r="A5" s="921">
        <f ca="1">TODAY()</f>
        <v>46069</v>
      </c>
      <c r="B5" s="921"/>
      <c r="C5" s="921"/>
      <c r="D5" s="921"/>
      <c r="E5" s="921"/>
      <c r="F5" s="921"/>
      <c r="G5" s="921"/>
      <c r="H5" s="921"/>
      <c r="I5" s="921"/>
      <c r="J5" s="921"/>
    </row>
    <row r="9" spans="1:10" ht="1.5" customHeight="1" x14ac:dyDescent="0.25"/>
    <row r="10" spans="1:10" ht="69.75" customHeight="1" x14ac:dyDescent="0.35">
      <c r="A10" s="922" t="s">
        <v>825</v>
      </c>
      <c r="B10" s="922"/>
      <c r="C10" s="922"/>
      <c r="D10" s="922"/>
      <c r="E10" s="922"/>
      <c r="F10" s="922"/>
      <c r="G10" s="922"/>
      <c r="H10" s="922"/>
      <c r="I10" s="922"/>
      <c r="J10" s="922"/>
    </row>
    <row r="12" spans="1:10" ht="14.85" customHeight="1" x14ac:dyDescent="0.25">
      <c r="A12" s="924" t="str">
        <f>'1. 1A Proforma'!F3</f>
        <v>2240 Birchmount Road, Scarborough, ON</v>
      </c>
      <c r="B12" s="924"/>
      <c r="C12" s="924"/>
      <c r="D12" s="924"/>
      <c r="E12" s="924"/>
      <c r="F12" s="924"/>
      <c r="G12" s="924"/>
      <c r="H12" s="924"/>
      <c r="I12" s="924"/>
      <c r="J12" s="924"/>
    </row>
    <row r="14" spans="1:10" x14ac:dyDescent="0.25">
      <c r="A14" s="923" t="str">
        <f>'2. Rev 1B Exec Summary'!F34&amp;" Units"</f>
        <v>170 Units</v>
      </c>
      <c r="B14" s="923"/>
      <c r="C14" s="923"/>
      <c r="D14" s="923"/>
      <c r="E14" s="923"/>
      <c r="F14" s="923"/>
      <c r="G14" s="923"/>
      <c r="H14" s="923"/>
      <c r="I14" s="923"/>
      <c r="J14" s="923"/>
    </row>
    <row r="17" spans="1:10" x14ac:dyDescent="0.25">
      <c r="A17" s="923" t="s">
        <v>0</v>
      </c>
      <c r="B17" s="923"/>
      <c r="C17" s="923"/>
      <c r="D17" s="923"/>
      <c r="E17" s="923"/>
      <c r="F17" s="923"/>
      <c r="G17" s="923"/>
      <c r="H17" s="923"/>
      <c r="I17" s="923"/>
      <c r="J17" s="923"/>
    </row>
    <row r="20" spans="1:10" x14ac:dyDescent="0.25">
      <c r="A20" s="923" t="s">
        <v>1</v>
      </c>
      <c r="B20" s="923"/>
      <c r="C20" s="923"/>
      <c r="D20" s="923"/>
      <c r="E20" s="923"/>
      <c r="F20" s="923"/>
      <c r="G20" s="923"/>
      <c r="H20" s="923"/>
      <c r="I20" s="923"/>
      <c r="J20" s="923"/>
    </row>
    <row r="22" spans="1:10" x14ac:dyDescent="0.25">
      <c r="A22" s="924" t="s">
        <v>232</v>
      </c>
      <c r="B22" s="924"/>
      <c r="C22" s="924"/>
      <c r="D22" s="924"/>
      <c r="E22" s="924"/>
      <c r="F22" s="924"/>
      <c r="G22" s="924"/>
      <c r="H22" s="924"/>
      <c r="I22" s="924"/>
      <c r="J22" s="924"/>
    </row>
    <row r="25" spans="1:10" x14ac:dyDescent="0.25">
      <c r="H25" s="345"/>
    </row>
    <row r="26" spans="1:10" ht="15.75" x14ac:dyDescent="0.25">
      <c r="C26" s="920" t="s">
        <v>289</v>
      </c>
      <c r="D26" s="920"/>
      <c r="E26" s="920"/>
      <c r="F26" s="920"/>
      <c r="G26" s="920"/>
    </row>
    <row r="28" spans="1:10" x14ac:dyDescent="0.25">
      <c r="C28" t="s">
        <v>830</v>
      </c>
      <c r="G28" s="207">
        <f ca="1">'2. Rev 1B Exec Summary'!H9</f>
        <v>4899902.7728865594</v>
      </c>
    </row>
    <row r="29" spans="1:10" x14ac:dyDescent="0.25">
      <c r="C29" s="387" t="s">
        <v>19</v>
      </c>
      <c r="D29" s="387"/>
      <c r="E29" s="387"/>
      <c r="F29" s="387"/>
      <c r="G29" s="388">
        <f>'2. Rev 1B Exec Summary'!H10</f>
        <v>4.4999999999999998E-2</v>
      </c>
    </row>
    <row r="30" spans="1:10" x14ac:dyDescent="0.25">
      <c r="C30" t="s">
        <v>155</v>
      </c>
      <c r="D30" s="217" t="s">
        <v>40</v>
      </c>
      <c r="E30" s="216">
        <f ca="1">'2. Rev 1B Exec Summary'!D11</f>
        <v>4.4820546202965863</v>
      </c>
      <c r="F30" s="215" t="s">
        <v>291</v>
      </c>
      <c r="G30" s="209">
        <f ca="1">'2. Rev 1B Exec Summary'!H11</f>
        <v>108886728.28636798</v>
      </c>
      <c r="J30" s="280"/>
    </row>
    <row r="31" spans="1:10" x14ac:dyDescent="0.25">
      <c r="C31" s="17" t="s">
        <v>2</v>
      </c>
      <c r="D31" s="17"/>
      <c r="E31" s="17"/>
      <c r="F31" s="17"/>
      <c r="G31" s="144">
        <f ca="1">'2. Rev 1B Exec Summary'!H12</f>
        <v>-1088867.2828636798</v>
      </c>
    </row>
    <row r="32" spans="1:10" x14ac:dyDescent="0.25">
      <c r="C32" t="s">
        <v>185</v>
      </c>
      <c r="G32" s="209">
        <f ca="1">'2. Rev 1B Exec Summary'!H13</f>
        <v>107797861.00350431</v>
      </c>
    </row>
    <row r="33" spans="1:10" x14ac:dyDescent="0.25">
      <c r="C33" s="17" t="s">
        <v>3</v>
      </c>
      <c r="D33" s="17"/>
      <c r="E33" s="17"/>
      <c r="F33" s="17"/>
      <c r="G33" s="144">
        <f ca="1">'2. Rev 1B Exec Summary'!H14</f>
        <v>-94440550.796996295</v>
      </c>
      <c r="I33" s="300"/>
    </row>
    <row r="34" spans="1:10" x14ac:dyDescent="0.25">
      <c r="C34" t="s">
        <v>183</v>
      </c>
      <c r="G34" s="209">
        <f ca="1">'2. Rev 1B Exec Summary'!H15</f>
        <v>13357310.206508011</v>
      </c>
      <c r="H34" s="300"/>
      <c r="I34" s="300"/>
      <c r="J34" s="300"/>
    </row>
    <row r="35" spans="1:10" x14ac:dyDescent="0.25">
      <c r="G35" s="210"/>
    </row>
    <row r="36" spans="1:10" x14ac:dyDescent="0.25">
      <c r="C36" t="s">
        <v>186</v>
      </c>
      <c r="G36" s="211">
        <f ca="1">'2. Rev 1B Exec Summary'!H17</f>
        <v>0.14143617433172406</v>
      </c>
    </row>
    <row r="37" spans="1:10" x14ac:dyDescent="0.25">
      <c r="C37" s="309" t="s">
        <v>239</v>
      </c>
      <c r="D37" s="309"/>
      <c r="E37" s="309"/>
      <c r="F37" s="309"/>
      <c r="G37" s="389">
        <f ca="1">G28/(-G33)</f>
        <v>5.1883462469623824E-2</v>
      </c>
    </row>
    <row r="39" spans="1:10" x14ac:dyDescent="0.25">
      <c r="A39" t="s">
        <v>808</v>
      </c>
      <c r="C39" t="s">
        <v>792</v>
      </c>
      <c r="G39" s="211">
        <f ca="1">'2. Rev 1B Exec Summary'!H18</f>
        <v>0.27897087281228417</v>
      </c>
    </row>
    <row r="40" spans="1:10" x14ac:dyDescent="0.25">
      <c r="A40" t="s">
        <v>810</v>
      </c>
      <c r="C40" t="str">
        <f>"Equity IRR "&amp;'11. 10-Yr Cash Flow IRR'!A66&amp;"-Year"</f>
        <v>Equity IRR 10-Year</v>
      </c>
      <c r="G40" s="211">
        <f ca="1">'2. Rev 1B Exec Summary'!H19</f>
        <v>0.20617252519027907</v>
      </c>
    </row>
    <row r="42" spans="1:10" x14ac:dyDescent="0.25">
      <c r="C42" t="s">
        <v>240</v>
      </c>
      <c r="G42" s="19">
        <f ca="1">'9. Development Costs'!I89</f>
        <v>555532.65174703707</v>
      </c>
    </row>
    <row r="43" spans="1:10" x14ac:dyDescent="0.25">
      <c r="C43" s="309" t="s">
        <v>242</v>
      </c>
      <c r="D43" s="309"/>
      <c r="E43" s="309"/>
      <c r="F43" s="309"/>
      <c r="G43" s="390">
        <f ca="1">'9. Development Costs'!J89</f>
        <v>732.93135752155399</v>
      </c>
    </row>
    <row r="44" spans="1:10" x14ac:dyDescent="0.25">
      <c r="C44" t="s">
        <v>241</v>
      </c>
      <c r="G44" s="280">
        <f ca="1">G30/'7. Op Rev and Exp'!E20</f>
        <v>640510.16639039991</v>
      </c>
    </row>
    <row r="45" spans="1:10" x14ac:dyDescent="0.25">
      <c r="C45" s="309" t="s">
        <v>243</v>
      </c>
      <c r="D45" s="309"/>
      <c r="E45" s="309"/>
      <c r="F45" s="309"/>
      <c r="G45" s="391">
        <f ca="1">G30/'9. Development Costs'!I10</f>
        <v>845.04481290622186</v>
      </c>
    </row>
    <row r="46" spans="1:10" x14ac:dyDescent="0.25">
      <c r="G46" s="279"/>
    </row>
    <row r="47" spans="1:10" x14ac:dyDescent="0.25">
      <c r="G47" s="279"/>
    </row>
    <row r="48" spans="1:10" x14ac:dyDescent="0.25">
      <c r="A48" s="293" t="s">
        <v>246</v>
      </c>
    </row>
    <row r="49" spans="1:10" ht="72.75" customHeight="1" x14ac:dyDescent="0.25">
      <c r="A49" s="925" t="s">
        <v>247</v>
      </c>
      <c r="B49" s="925"/>
      <c r="C49" s="925"/>
      <c r="D49" s="925"/>
      <c r="E49" s="925"/>
      <c r="F49" s="925"/>
      <c r="G49" s="925"/>
      <c r="H49" s="925"/>
      <c r="I49" s="925"/>
      <c r="J49" s="925"/>
    </row>
    <row r="50" spans="1:10" x14ac:dyDescent="0.25">
      <c r="A50" s="293" t="s">
        <v>248</v>
      </c>
    </row>
    <row r="51" spans="1:10" x14ac:dyDescent="0.25">
      <c r="A51" s="164" t="s">
        <v>249</v>
      </c>
    </row>
    <row r="52" spans="1:10" x14ac:dyDescent="0.25">
      <c r="A52" s="293" t="s">
        <v>250</v>
      </c>
    </row>
    <row r="53" spans="1:10" ht="27" customHeight="1" x14ac:dyDescent="0.25">
      <c r="A53" s="925" t="s">
        <v>251</v>
      </c>
      <c r="B53" s="925"/>
      <c r="C53" s="925"/>
      <c r="D53" s="925"/>
      <c r="E53" s="925"/>
      <c r="F53" s="925"/>
      <c r="G53" s="925"/>
      <c r="H53" s="925"/>
      <c r="I53" s="925"/>
      <c r="J53" s="925"/>
    </row>
    <row r="54" spans="1:10" x14ac:dyDescent="0.25">
      <c r="A54" s="164" t="s">
        <v>252</v>
      </c>
    </row>
    <row r="55" spans="1:10" ht="33" customHeight="1" x14ac:dyDescent="0.25">
      <c r="A55" s="925" t="s">
        <v>256</v>
      </c>
      <c r="B55" s="925"/>
      <c r="C55" s="925"/>
      <c r="D55" s="925"/>
      <c r="E55" s="925"/>
      <c r="F55" s="925"/>
      <c r="G55" s="925"/>
      <c r="H55" s="925"/>
      <c r="I55" s="925"/>
      <c r="J55" s="925"/>
    </row>
    <row r="56" spans="1:10" x14ac:dyDescent="0.25">
      <c r="A56" s="293" t="s">
        <v>254</v>
      </c>
      <c r="B56" s="293"/>
    </row>
    <row r="57" spans="1:10" ht="57" customHeight="1" x14ac:dyDescent="0.25">
      <c r="A57" s="925" t="s">
        <v>253</v>
      </c>
      <c r="B57" s="925"/>
      <c r="C57" s="925"/>
      <c r="D57" s="925"/>
      <c r="E57" s="925"/>
      <c r="F57" s="925"/>
      <c r="G57" s="925"/>
      <c r="H57" s="925"/>
      <c r="I57" s="925"/>
      <c r="J57" s="925"/>
    </row>
    <row r="58" spans="1:10" x14ac:dyDescent="0.25">
      <c r="A58" s="925" t="s">
        <v>255</v>
      </c>
      <c r="B58" s="925"/>
      <c r="C58" s="925"/>
      <c r="D58" s="925"/>
      <c r="E58" s="925"/>
      <c r="F58" s="925"/>
      <c r="G58" s="925"/>
      <c r="H58" s="925"/>
      <c r="I58" s="925"/>
      <c r="J58" s="925"/>
    </row>
  </sheetData>
  <mergeCells count="13">
    <mergeCell ref="A49:J49"/>
    <mergeCell ref="A53:J53"/>
    <mergeCell ref="A55:J55"/>
    <mergeCell ref="A57:J57"/>
    <mergeCell ref="A58:J58"/>
    <mergeCell ref="C26:G26"/>
    <mergeCell ref="A5:J5"/>
    <mergeCell ref="A10:J10"/>
    <mergeCell ref="A17:J17"/>
    <mergeCell ref="A20:J20"/>
    <mergeCell ref="A22:J22"/>
    <mergeCell ref="A12:J12"/>
    <mergeCell ref="A14:J14"/>
  </mergeCells>
  <pageMargins left="0.7" right="0.7" top="0.75" bottom="0.75" header="0.3" footer="0.3"/>
  <pageSetup scale="85" orientation="portrait" r:id="rId1"/>
  <rowBreaks count="1" manualBreakCount="1">
    <brk id="47" max="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DEFA3-3AC3-4907-A113-080EB43C11AE}">
  <sheetPr>
    <tabColor theme="9" tint="0.59999389629810485"/>
  </sheetPr>
  <dimension ref="A1:F66"/>
  <sheetViews>
    <sheetView topLeftCell="A6" zoomScaleNormal="100" workbookViewId="0">
      <selection activeCell="I29" sqref="I29"/>
    </sheetView>
  </sheetViews>
  <sheetFormatPr defaultColWidth="8.7109375" defaultRowHeight="15" x14ac:dyDescent="0.25"/>
  <cols>
    <col min="1" max="1" width="5" style="762" customWidth="1"/>
    <col min="2" max="2" width="35" style="762" customWidth="1"/>
    <col min="3" max="3" width="12" style="762" customWidth="1"/>
    <col min="4" max="5" width="15" style="762" customWidth="1"/>
    <col min="6" max="6" width="22.42578125" style="762" bestFit="1" customWidth="1"/>
    <col min="7" max="16384" width="8.7109375" style="762"/>
  </cols>
  <sheetData>
    <row r="1" spans="1:6" ht="17.25" customHeight="1" x14ac:dyDescent="0.25">
      <c r="A1" s="944" t="s">
        <v>627</v>
      </c>
      <c r="B1" s="944"/>
      <c r="C1" s="944"/>
      <c r="D1" s="944"/>
      <c r="E1" s="944"/>
      <c r="F1" s="944"/>
    </row>
    <row r="2" spans="1:6" ht="15" customHeight="1" x14ac:dyDescent="0.25">
      <c r="A2" s="945" t="s">
        <v>628</v>
      </c>
      <c r="B2" s="945"/>
      <c r="C2" s="945"/>
      <c r="D2" s="945"/>
      <c r="E2" s="945"/>
      <c r="F2" s="945"/>
    </row>
    <row r="4" spans="1:6" ht="15" customHeight="1" x14ac:dyDescent="0.25">
      <c r="A4" s="763" t="s">
        <v>629</v>
      </c>
      <c r="B4" s="763" t="s">
        <v>630</v>
      </c>
      <c r="C4" s="763" t="s">
        <v>631</v>
      </c>
      <c r="D4" s="763" t="s">
        <v>632</v>
      </c>
      <c r="E4" s="763" t="s">
        <v>633</v>
      </c>
      <c r="F4" s="763" t="s">
        <v>634</v>
      </c>
    </row>
    <row r="5" spans="1:6" ht="15" customHeight="1" x14ac:dyDescent="0.25">
      <c r="A5" s="764" t="s">
        <v>635</v>
      </c>
      <c r="B5" s="765" t="s">
        <v>636</v>
      </c>
      <c r="C5" s="765"/>
      <c r="D5" s="765"/>
      <c r="E5" s="765"/>
      <c r="F5" s="765"/>
    </row>
    <row r="6" spans="1:6" ht="15" customHeight="1" x14ac:dyDescent="0.25">
      <c r="A6" s="764" t="s">
        <v>637</v>
      </c>
      <c r="B6" s="765" t="s">
        <v>638</v>
      </c>
      <c r="C6" s="765"/>
      <c r="D6" s="765"/>
      <c r="E6" s="765"/>
      <c r="F6" s="765"/>
    </row>
    <row r="7" spans="1:6" ht="15" customHeight="1" x14ac:dyDescent="0.25">
      <c r="A7" s="766"/>
      <c r="B7" s="767" t="s">
        <v>639</v>
      </c>
      <c r="C7" s="768">
        <v>84</v>
      </c>
      <c r="D7" s="769">
        <v>624</v>
      </c>
      <c r="E7" s="769">
        <f>C7*D7</f>
        <v>52416</v>
      </c>
      <c r="F7" s="767" t="s">
        <v>640</v>
      </c>
    </row>
    <row r="8" spans="1:6" ht="15" customHeight="1" x14ac:dyDescent="0.25">
      <c r="A8" s="766"/>
      <c r="B8" s="767" t="s">
        <v>641</v>
      </c>
      <c r="C8" s="768">
        <v>68</v>
      </c>
      <c r="D8" s="769">
        <v>855</v>
      </c>
      <c r="E8" s="769">
        <f>C8*D8</f>
        <v>58140</v>
      </c>
      <c r="F8" s="767" t="s">
        <v>642</v>
      </c>
    </row>
    <row r="9" spans="1:6" ht="15" customHeight="1" x14ac:dyDescent="0.25">
      <c r="A9" s="766"/>
      <c r="B9" s="767" t="s">
        <v>643</v>
      </c>
      <c r="C9" s="768">
        <v>18</v>
      </c>
      <c r="D9" s="769">
        <v>1015</v>
      </c>
      <c r="E9" s="769">
        <f>C9*D9</f>
        <v>18270</v>
      </c>
      <c r="F9" s="767" t="s">
        <v>644</v>
      </c>
    </row>
    <row r="10" spans="1:6" ht="15" customHeight="1" x14ac:dyDescent="0.25">
      <c r="A10" s="770"/>
      <c r="B10" s="771" t="s">
        <v>645</v>
      </c>
      <c r="C10" s="772">
        <f>SUM(C7:C9)</f>
        <v>170</v>
      </c>
      <c r="D10" s="773">
        <f>SUMPRODUCT(C7:C9,D7:D9)/C10</f>
        <v>757.8</v>
      </c>
      <c r="E10" s="773">
        <f>SUM(E7:E9)</f>
        <v>128826</v>
      </c>
      <c r="F10" s="771" t="s">
        <v>646</v>
      </c>
    </row>
    <row r="12" spans="1:6" ht="15" customHeight="1" x14ac:dyDescent="0.25">
      <c r="A12" s="764" t="s">
        <v>647</v>
      </c>
      <c r="B12" s="765" t="s">
        <v>648</v>
      </c>
      <c r="C12" s="765"/>
      <c r="D12" s="765"/>
      <c r="E12" s="765"/>
      <c r="F12" s="765"/>
    </row>
    <row r="13" spans="1:6" ht="15" customHeight="1" x14ac:dyDescent="0.25">
      <c r="A13" s="764" t="s">
        <v>649</v>
      </c>
      <c r="B13" s="765" t="s">
        <v>650</v>
      </c>
      <c r="C13" s="765"/>
      <c r="D13" s="765"/>
      <c r="E13" s="765"/>
      <c r="F13" s="765"/>
    </row>
    <row r="14" spans="1:6" ht="15" customHeight="1" x14ac:dyDescent="0.25">
      <c r="A14" s="766"/>
      <c r="B14" s="767" t="s">
        <v>651</v>
      </c>
      <c r="C14" s="768">
        <v>1</v>
      </c>
      <c r="D14" s="769">
        <v>1200</v>
      </c>
      <c r="E14" s="769">
        <v>1200</v>
      </c>
      <c r="F14" s="767" t="s">
        <v>652</v>
      </c>
    </row>
    <row r="15" spans="1:6" ht="15" customHeight="1" x14ac:dyDescent="0.25">
      <c r="A15" s="766"/>
      <c r="B15" s="767" t="s">
        <v>653</v>
      </c>
      <c r="C15" s="768">
        <v>1</v>
      </c>
      <c r="D15" s="769">
        <v>1000</v>
      </c>
      <c r="E15" s="769">
        <v>1000</v>
      </c>
      <c r="F15" s="767" t="s">
        <v>654</v>
      </c>
    </row>
    <row r="16" spans="1:6" ht="15" customHeight="1" x14ac:dyDescent="0.25">
      <c r="A16" s="766"/>
      <c r="B16" s="767" t="s">
        <v>655</v>
      </c>
      <c r="C16" s="768">
        <v>1</v>
      </c>
      <c r="D16" s="769">
        <v>600</v>
      </c>
      <c r="E16" s="769">
        <v>600</v>
      </c>
      <c r="F16" s="767" t="s">
        <v>656</v>
      </c>
    </row>
    <row r="17" spans="1:6" ht="15" customHeight="1" x14ac:dyDescent="0.25">
      <c r="A17" s="766"/>
      <c r="B17" s="767" t="s">
        <v>657</v>
      </c>
      <c r="C17" s="768">
        <v>1</v>
      </c>
      <c r="D17" s="769">
        <v>500</v>
      </c>
      <c r="E17" s="769">
        <v>500</v>
      </c>
      <c r="F17" s="767" t="s">
        <v>658</v>
      </c>
    </row>
    <row r="18" spans="1:6" ht="15" customHeight="1" x14ac:dyDescent="0.25">
      <c r="A18" s="766"/>
      <c r="B18" s="767" t="s">
        <v>659</v>
      </c>
      <c r="C18" s="768">
        <v>1</v>
      </c>
      <c r="D18" s="769">
        <v>403</v>
      </c>
      <c r="E18" s="769">
        <v>403</v>
      </c>
      <c r="F18" s="767" t="s">
        <v>660</v>
      </c>
    </row>
    <row r="19" spans="1:6" ht="15" customHeight="1" x14ac:dyDescent="0.25">
      <c r="A19" s="770"/>
      <c r="B19" s="771" t="s">
        <v>661</v>
      </c>
      <c r="C19" s="770"/>
      <c r="D19" s="774"/>
      <c r="E19" s="773">
        <f>SUM(E14:E18)</f>
        <v>3703</v>
      </c>
      <c r="F19" s="771" t="s">
        <v>662</v>
      </c>
    </row>
    <row r="21" spans="1:6" ht="15" customHeight="1" x14ac:dyDescent="0.25">
      <c r="A21" s="764" t="s">
        <v>663</v>
      </c>
      <c r="B21" s="765" t="s">
        <v>664</v>
      </c>
      <c r="C21" s="765"/>
      <c r="D21" s="765"/>
      <c r="E21" s="765"/>
      <c r="F21" s="765"/>
    </row>
    <row r="22" spans="1:6" ht="15" customHeight="1" x14ac:dyDescent="0.25">
      <c r="A22" s="766"/>
      <c r="B22" s="767" t="s">
        <v>665</v>
      </c>
      <c r="C22" s="768">
        <v>1</v>
      </c>
      <c r="D22" s="769">
        <v>600</v>
      </c>
      <c r="E22" s="769">
        <v>800</v>
      </c>
      <c r="F22" s="767" t="s">
        <v>666</v>
      </c>
    </row>
    <row r="23" spans="1:6" ht="15" customHeight="1" x14ac:dyDescent="0.25">
      <c r="A23" s="766"/>
      <c r="B23" s="767" t="s">
        <v>667</v>
      </c>
      <c r="C23" s="768">
        <v>170</v>
      </c>
      <c r="D23" s="769">
        <v>25</v>
      </c>
      <c r="E23" s="769">
        <f>C23*D23</f>
        <v>4250</v>
      </c>
      <c r="F23" s="767" t="s">
        <v>668</v>
      </c>
    </row>
    <row r="24" spans="1:6" ht="15" customHeight="1" x14ac:dyDescent="0.25">
      <c r="A24" s="766"/>
      <c r="B24" s="767" t="s">
        <v>669</v>
      </c>
      <c r="C24" s="768">
        <v>6</v>
      </c>
      <c r="D24" s="769">
        <v>60</v>
      </c>
      <c r="E24" s="769">
        <f>C24*D24</f>
        <v>360</v>
      </c>
      <c r="F24" s="767" t="s">
        <v>670</v>
      </c>
    </row>
    <row r="25" spans="1:6" ht="15" customHeight="1" x14ac:dyDescent="0.25">
      <c r="A25" s="766"/>
      <c r="B25" s="767" t="s">
        <v>671</v>
      </c>
      <c r="C25" s="768">
        <v>2</v>
      </c>
      <c r="D25" s="769">
        <v>600</v>
      </c>
      <c r="E25" s="769">
        <f>C25*D25</f>
        <v>1200</v>
      </c>
      <c r="F25" s="767" t="s">
        <v>672</v>
      </c>
    </row>
    <row r="26" spans="1:6" ht="15" customHeight="1" x14ac:dyDescent="0.25">
      <c r="A26" s="766"/>
      <c r="B26" s="767" t="s">
        <v>673</v>
      </c>
      <c r="C26" s="768">
        <v>3</v>
      </c>
      <c r="D26" s="769">
        <v>60</v>
      </c>
      <c r="E26" s="769">
        <f>C26*D26</f>
        <v>180</v>
      </c>
      <c r="F26" s="767" t="s">
        <v>674</v>
      </c>
    </row>
    <row r="27" spans="1:6" ht="15" customHeight="1" x14ac:dyDescent="0.25">
      <c r="A27" s="766"/>
      <c r="B27" s="767" t="s">
        <v>675</v>
      </c>
      <c r="C27" s="768">
        <v>3</v>
      </c>
      <c r="D27" s="769">
        <v>150</v>
      </c>
      <c r="E27" s="769">
        <v>300</v>
      </c>
      <c r="F27" s="767" t="s">
        <v>676</v>
      </c>
    </row>
    <row r="28" spans="1:6" ht="15" customHeight="1" x14ac:dyDescent="0.25">
      <c r="A28" s="766"/>
      <c r="B28" s="767" t="s">
        <v>677</v>
      </c>
      <c r="C28" s="768">
        <v>4</v>
      </c>
      <c r="D28" s="769">
        <v>200</v>
      </c>
      <c r="E28" s="769">
        <f>C28*D28</f>
        <v>800</v>
      </c>
      <c r="F28" s="767" t="s">
        <v>678</v>
      </c>
    </row>
    <row r="29" spans="1:6" ht="15" customHeight="1" x14ac:dyDescent="0.25">
      <c r="A29" s="766"/>
      <c r="B29" s="767" t="s">
        <v>679</v>
      </c>
      <c r="C29" s="768">
        <v>2</v>
      </c>
      <c r="D29" s="769">
        <v>200</v>
      </c>
      <c r="E29" s="769">
        <f>C29*D29</f>
        <v>400</v>
      </c>
      <c r="F29" s="767" t="s">
        <v>680</v>
      </c>
    </row>
    <row r="30" spans="1:6" ht="15" customHeight="1" x14ac:dyDescent="0.25">
      <c r="A30" s="766"/>
      <c r="B30" s="767" t="s">
        <v>681</v>
      </c>
      <c r="C30" s="768">
        <v>85</v>
      </c>
      <c r="D30" s="769">
        <v>25</v>
      </c>
      <c r="E30" s="769">
        <f>C30*D30</f>
        <v>2125</v>
      </c>
      <c r="F30" s="767" t="s">
        <v>682</v>
      </c>
    </row>
    <row r="31" spans="1:6" ht="15" customHeight="1" x14ac:dyDescent="0.25">
      <c r="A31" s="766"/>
      <c r="B31" s="767" t="s">
        <v>683</v>
      </c>
      <c r="C31" s="768">
        <v>3</v>
      </c>
      <c r="D31" s="769">
        <v>40</v>
      </c>
      <c r="E31" s="769">
        <f>C31*D31</f>
        <v>120</v>
      </c>
      <c r="F31" s="767" t="s">
        <v>678</v>
      </c>
    </row>
    <row r="32" spans="1:6" ht="15" customHeight="1" x14ac:dyDescent="0.25">
      <c r="A32" s="770"/>
      <c r="B32" s="771" t="s">
        <v>684</v>
      </c>
      <c r="C32" s="770"/>
      <c r="D32" s="774"/>
      <c r="E32" s="773">
        <f>SUM(E22:E31)</f>
        <v>10535</v>
      </c>
      <c r="F32" s="771"/>
    </row>
    <row r="34" spans="1:6" ht="15" customHeight="1" x14ac:dyDescent="0.25">
      <c r="A34" s="764" t="s">
        <v>685</v>
      </c>
      <c r="B34" s="765" t="s">
        <v>686</v>
      </c>
      <c r="C34" s="765"/>
      <c r="D34" s="765"/>
      <c r="E34" s="765"/>
      <c r="F34" s="765"/>
    </row>
    <row r="35" spans="1:6" ht="15" customHeight="1" x14ac:dyDescent="0.25">
      <c r="A35" s="766"/>
      <c r="B35" s="767" t="s">
        <v>687</v>
      </c>
      <c r="C35" s="768">
        <v>1</v>
      </c>
      <c r="D35" s="769">
        <v>4370</v>
      </c>
      <c r="E35" s="769">
        <v>4370</v>
      </c>
      <c r="F35" s="767" t="s">
        <v>688</v>
      </c>
    </row>
    <row r="37" spans="1:6" ht="15" customHeight="1" x14ac:dyDescent="0.25">
      <c r="A37" s="764" t="s">
        <v>689</v>
      </c>
      <c r="B37" s="765" t="s">
        <v>690</v>
      </c>
      <c r="C37" s="765"/>
      <c r="D37" s="765"/>
      <c r="E37" s="765"/>
      <c r="F37" s="765"/>
    </row>
    <row r="38" spans="1:6" ht="15" customHeight="1" x14ac:dyDescent="0.25">
      <c r="A38" s="764" t="s">
        <v>691</v>
      </c>
      <c r="B38" s="765" t="s">
        <v>25</v>
      </c>
      <c r="C38" s="765"/>
      <c r="D38" s="765"/>
      <c r="E38" s="765"/>
      <c r="F38" s="765"/>
    </row>
    <row r="39" spans="1:6" ht="15" customHeight="1" x14ac:dyDescent="0.25">
      <c r="A39" s="766"/>
      <c r="B39" s="767" t="s">
        <v>692</v>
      </c>
      <c r="C39" s="768">
        <v>162</v>
      </c>
      <c r="D39" s="769">
        <v>350</v>
      </c>
      <c r="E39" s="769">
        <f>C39*D39</f>
        <v>56700</v>
      </c>
      <c r="F39" s="767" t="s">
        <v>693</v>
      </c>
    </row>
    <row r="40" spans="1:6" ht="15" customHeight="1" x14ac:dyDescent="0.25">
      <c r="A40" s="766"/>
      <c r="B40" s="767" t="s">
        <v>694</v>
      </c>
      <c r="C40" s="768">
        <v>15</v>
      </c>
      <c r="D40" s="769">
        <v>350</v>
      </c>
      <c r="E40" s="769">
        <f>C40*D40</f>
        <v>5250</v>
      </c>
      <c r="F40" s="767" t="s">
        <v>695</v>
      </c>
    </row>
    <row r="41" spans="1:6" ht="15" customHeight="1" x14ac:dyDescent="0.25">
      <c r="A41" s="766"/>
      <c r="B41" s="767" t="s">
        <v>696</v>
      </c>
      <c r="C41" s="768">
        <v>15</v>
      </c>
      <c r="D41" s="769">
        <v>350</v>
      </c>
      <c r="E41" s="769">
        <f>C41*D41</f>
        <v>5250</v>
      </c>
      <c r="F41" s="767" t="s">
        <v>697</v>
      </c>
    </row>
    <row r="42" spans="1:6" ht="15" customHeight="1" x14ac:dyDescent="0.25">
      <c r="A42" s="770"/>
      <c r="B42" s="771" t="s">
        <v>698</v>
      </c>
      <c r="C42" s="772">
        <f>SUM(C39:C41)</f>
        <v>192</v>
      </c>
      <c r="D42" s="774"/>
      <c r="E42" s="773">
        <f>SUM(E39:E41)</f>
        <v>67200</v>
      </c>
      <c r="F42" s="771"/>
    </row>
    <row r="44" spans="1:6" ht="15" customHeight="1" x14ac:dyDescent="0.25">
      <c r="A44" s="764" t="s">
        <v>699</v>
      </c>
      <c r="B44" s="765" t="s">
        <v>700</v>
      </c>
      <c r="C44" s="765"/>
      <c r="D44" s="765"/>
      <c r="E44" s="765"/>
      <c r="F44" s="765"/>
    </row>
    <row r="45" spans="1:6" ht="15" customHeight="1" x14ac:dyDescent="0.25">
      <c r="A45" s="766"/>
      <c r="B45" s="767" t="s">
        <v>701</v>
      </c>
      <c r="C45" s="768">
        <v>1</v>
      </c>
      <c r="D45" s="769">
        <v>300</v>
      </c>
      <c r="E45" s="769">
        <v>500</v>
      </c>
      <c r="F45" s="767" t="s">
        <v>702</v>
      </c>
    </row>
    <row r="46" spans="1:6" ht="15" customHeight="1" x14ac:dyDescent="0.25">
      <c r="A46" s="766"/>
      <c r="B46" s="767" t="s">
        <v>703</v>
      </c>
      <c r="C46" s="768">
        <v>1</v>
      </c>
      <c r="D46" s="769">
        <v>150</v>
      </c>
      <c r="E46" s="769">
        <v>200</v>
      </c>
      <c r="F46" s="767" t="s">
        <v>704</v>
      </c>
    </row>
    <row r="47" spans="1:6" ht="15" customHeight="1" x14ac:dyDescent="0.25">
      <c r="A47" s="766"/>
      <c r="B47" s="767" t="s">
        <v>705</v>
      </c>
      <c r="C47" s="768">
        <v>1</v>
      </c>
      <c r="D47" s="769">
        <v>100</v>
      </c>
      <c r="E47" s="769">
        <v>150</v>
      </c>
      <c r="F47" s="767" t="s">
        <v>706</v>
      </c>
    </row>
    <row r="48" spans="1:6" ht="15" customHeight="1" x14ac:dyDescent="0.25">
      <c r="A48" s="766"/>
      <c r="B48" s="767" t="s">
        <v>707</v>
      </c>
      <c r="C48" s="768">
        <v>1</v>
      </c>
      <c r="D48" s="769">
        <v>200</v>
      </c>
      <c r="E48" s="769">
        <v>300</v>
      </c>
      <c r="F48" s="767" t="s">
        <v>708</v>
      </c>
    </row>
    <row r="49" spans="1:6" ht="15" customHeight="1" x14ac:dyDescent="0.25">
      <c r="A49" s="766"/>
      <c r="B49" s="767" t="s">
        <v>709</v>
      </c>
      <c r="C49" s="768">
        <v>1</v>
      </c>
      <c r="D49" s="769">
        <v>400</v>
      </c>
      <c r="E49" s="769">
        <v>2000</v>
      </c>
      <c r="F49" s="767" t="s">
        <v>710</v>
      </c>
    </row>
    <row r="50" spans="1:6" ht="15" customHeight="1" x14ac:dyDescent="0.25">
      <c r="A50" s="770"/>
      <c r="B50" s="771" t="s">
        <v>711</v>
      </c>
      <c r="C50" s="770"/>
      <c r="D50" s="774"/>
      <c r="E50" s="773">
        <f>SUM(E45:E49)</f>
        <v>3150</v>
      </c>
      <c r="F50" s="771"/>
    </row>
    <row r="53" spans="1:6" ht="15" customHeight="1" x14ac:dyDescent="0.25">
      <c r="A53" s="764"/>
      <c r="B53" s="765" t="s">
        <v>712</v>
      </c>
      <c r="C53" s="765"/>
      <c r="D53" s="765"/>
      <c r="E53" s="765"/>
      <c r="F53" s="765"/>
    </row>
    <row r="54" spans="1:6" ht="15" customHeight="1" x14ac:dyDescent="0.25">
      <c r="A54" s="766"/>
      <c r="B54" s="767" t="s">
        <v>713</v>
      </c>
      <c r="C54" s="766"/>
      <c r="D54" s="775"/>
      <c r="E54" s="769">
        <f>E10</f>
        <v>128826</v>
      </c>
      <c r="F54" s="767" t="s">
        <v>714</v>
      </c>
    </row>
    <row r="55" spans="1:6" ht="15" customHeight="1" x14ac:dyDescent="0.25">
      <c r="A55" s="766"/>
      <c r="B55" s="767" t="s">
        <v>661</v>
      </c>
      <c r="C55" s="766"/>
      <c r="D55" s="775"/>
      <c r="E55" s="769">
        <f>E19</f>
        <v>3703</v>
      </c>
      <c r="F55" s="767" t="s">
        <v>714</v>
      </c>
    </row>
    <row r="56" spans="1:6" ht="15" customHeight="1" x14ac:dyDescent="0.25">
      <c r="A56" s="766"/>
      <c r="B56" s="767" t="s">
        <v>684</v>
      </c>
      <c r="C56" s="766"/>
      <c r="D56" s="775"/>
      <c r="E56" s="769">
        <f>E32</f>
        <v>10535</v>
      </c>
      <c r="F56" s="767" t="s">
        <v>715</v>
      </c>
    </row>
    <row r="57" spans="1:6" ht="15" customHeight="1" x14ac:dyDescent="0.25">
      <c r="A57" s="766"/>
      <c r="B57" s="767" t="s">
        <v>716</v>
      </c>
      <c r="C57" s="766"/>
      <c r="D57" s="775"/>
      <c r="E57" s="769">
        <f>E35</f>
        <v>4370</v>
      </c>
      <c r="F57" s="767" t="s">
        <v>714</v>
      </c>
    </row>
    <row r="58" spans="1:6" ht="15" customHeight="1" x14ac:dyDescent="0.25">
      <c r="A58" s="766"/>
      <c r="B58" s="767" t="s">
        <v>717</v>
      </c>
      <c r="C58" s="766"/>
      <c r="D58" s="775"/>
      <c r="E58" s="769">
        <f>E42</f>
        <v>67200</v>
      </c>
      <c r="F58" s="767" t="s">
        <v>718</v>
      </c>
    </row>
    <row r="59" spans="1:6" ht="15" customHeight="1" x14ac:dyDescent="0.25">
      <c r="A59" s="766"/>
      <c r="B59" s="767" t="s">
        <v>719</v>
      </c>
      <c r="C59" s="766"/>
      <c r="D59" s="775"/>
      <c r="E59" s="769">
        <f>E50</f>
        <v>3150</v>
      </c>
      <c r="F59" s="767" t="s">
        <v>715</v>
      </c>
    </row>
    <row r="60" spans="1:6" ht="15" customHeight="1" x14ac:dyDescent="0.25">
      <c r="A60" s="770"/>
      <c r="B60" s="771" t="s">
        <v>720</v>
      </c>
      <c r="C60" s="770"/>
      <c r="D60" s="774"/>
      <c r="E60" s="773">
        <f>E54+E55+E56+E57+E59</f>
        <v>150584</v>
      </c>
      <c r="F60" s="771" t="s">
        <v>721</v>
      </c>
    </row>
    <row r="63" spans="1:6" ht="15" customHeight="1" x14ac:dyDescent="0.25">
      <c r="A63" s="764"/>
      <c r="B63" s="765" t="s">
        <v>722</v>
      </c>
      <c r="C63" s="765"/>
      <c r="D63" s="765"/>
      <c r="E63" s="765"/>
      <c r="F63" s="765"/>
    </row>
    <row r="64" spans="1:6" ht="15" customHeight="1" x14ac:dyDescent="0.25">
      <c r="A64" s="766"/>
      <c r="B64" s="767" t="s">
        <v>723</v>
      </c>
      <c r="C64" s="766"/>
      <c r="D64" s="775"/>
      <c r="E64" s="769">
        <v>146346</v>
      </c>
      <c r="F64" s="767" t="s">
        <v>724</v>
      </c>
    </row>
    <row r="65" spans="1:6" ht="15" customHeight="1" x14ac:dyDescent="0.25">
      <c r="A65" s="766"/>
      <c r="B65" s="767" t="s">
        <v>725</v>
      </c>
      <c r="C65" s="766"/>
      <c r="D65" s="775"/>
      <c r="E65" s="769">
        <f>E60</f>
        <v>150584</v>
      </c>
      <c r="F65" s="767" t="s">
        <v>726</v>
      </c>
    </row>
    <row r="66" spans="1:6" ht="15" customHeight="1" x14ac:dyDescent="0.25">
      <c r="A66" s="766"/>
      <c r="B66" s="767" t="s">
        <v>727</v>
      </c>
      <c r="C66" s="766"/>
      <c r="D66" s="775"/>
      <c r="E66" s="769">
        <f>E65-E64</f>
        <v>4238</v>
      </c>
      <c r="F66" s="767" t="s">
        <v>728</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244EE-2176-4D6D-BA2E-77E4BC834E81}">
  <sheetPr>
    <tabColor theme="9" tint="0.59999389629810485"/>
  </sheetPr>
  <dimension ref="B3:S104"/>
  <sheetViews>
    <sheetView showGridLines="0" topLeftCell="A54" workbookViewId="0">
      <selection activeCell="F77" sqref="F77"/>
    </sheetView>
  </sheetViews>
  <sheetFormatPr defaultRowHeight="15" x14ac:dyDescent="0.25"/>
  <cols>
    <col min="1" max="1" width="3.42578125" customWidth="1"/>
    <col min="2" max="2" width="5.140625" customWidth="1"/>
    <col min="3" max="3" width="37.7109375" bestFit="1" customWidth="1"/>
    <col min="4" max="4" width="11.85546875" customWidth="1"/>
    <col min="5" max="5" width="9.85546875" bestFit="1" customWidth="1"/>
    <col min="6" max="6" width="12.85546875" bestFit="1" customWidth="1"/>
    <col min="7" max="7" width="12" customWidth="1"/>
    <col min="8" max="8" width="13.85546875" bestFit="1" customWidth="1"/>
    <col min="9" max="9" width="10.85546875" customWidth="1"/>
    <col min="10" max="10" width="13.85546875" bestFit="1" customWidth="1"/>
    <col min="13" max="13" width="6.5703125" customWidth="1"/>
    <col min="14" max="14" width="10.5703125" bestFit="1" customWidth="1"/>
    <col min="15" max="15" width="13.28515625" bestFit="1" customWidth="1"/>
    <col min="17" max="18" width="14.28515625" bestFit="1" customWidth="1"/>
    <col min="19" max="19" width="11.5703125" bestFit="1" customWidth="1"/>
  </cols>
  <sheetData>
    <row r="3" spans="2:11" ht="23.25" x14ac:dyDescent="0.35">
      <c r="B3" s="922" t="str">
        <f>+'3. Headline #s'!$A$10</f>
        <v>Apartment Development Model 
Reverse 1B</v>
      </c>
      <c r="C3" s="922"/>
      <c r="D3" s="922"/>
      <c r="E3" s="922"/>
      <c r="F3" s="922"/>
      <c r="G3" s="922"/>
      <c r="H3" s="922"/>
      <c r="I3" s="922"/>
      <c r="J3" s="922"/>
      <c r="K3" s="922"/>
    </row>
    <row r="4" spans="2:11" x14ac:dyDescent="0.25">
      <c r="B4" s="924" t="str">
        <f>+'3. Headline #s'!A12</f>
        <v>2240 Birchmount Road, Scarborough, ON</v>
      </c>
      <c r="C4" s="924"/>
      <c r="D4" s="924"/>
      <c r="E4" s="924"/>
      <c r="F4" s="924"/>
      <c r="G4" s="924"/>
      <c r="H4" s="924"/>
      <c r="I4" s="924"/>
      <c r="J4" s="924"/>
      <c r="K4" s="924"/>
    </row>
    <row r="6" spans="2:11" ht="15.75" x14ac:dyDescent="0.25">
      <c r="B6" s="920" t="s">
        <v>347</v>
      </c>
      <c r="C6" s="920"/>
      <c r="D6" s="920"/>
      <c r="E6" s="920"/>
      <c r="F6" s="920"/>
      <c r="G6" s="920"/>
      <c r="H6" s="920"/>
      <c r="I6" s="920"/>
      <c r="J6" s="920"/>
      <c r="K6" s="920"/>
    </row>
    <row r="8" spans="2:11" ht="15.75" x14ac:dyDescent="0.25">
      <c r="B8" s="946" t="s">
        <v>348</v>
      </c>
      <c r="C8" s="946"/>
      <c r="D8" s="946"/>
      <c r="E8" s="946"/>
      <c r="F8" s="946"/>
      <c r="G8" s="946"/>
      <c r="H8" s="946"/>
      <c r="I8" s="946"/>
      <c r="J8" s="946"/>
      <c r="K8" s="946"/>
    </row>
    <row r="10" spans="2:11" x14ac:dyDescent="0.25">
      <c r="C10" s="27" t="s">
        <v>349</v>
      </c>
      <c r="G10" s="902">
        <f ca="1">TODAY()</f>
        <v>46069</v>
      </c>
    </row>
    <row r="11" spans="2:11" x14ac:dyDescent="0.25">
      <c r="E11" s="58" t="s">
        <v>98</v>
      </c>
      <c r="F11" s="58" t="s">
        <v>102</v>
      </c>
    </row>
    <row r="12" spans="2:11" x14ac:dyDescent="0.25">
      <c r="C12" s="26" t="s">
        <v>97</v>
      </c>
      <c r="E12" s="898">
        <v>0</v>
      </c>
      <c r="F12" s="898"/>
    </row>
    <row r="13" spans="2:11" x14ac:dyDescent="0.25">
      <c r="C13" s="26" t="s">
        <v>86</v>
      </c>
      <c r="E13" s="898">
        <v>12</v>
      </c>
      <c r="F13" s="898"/>
    </row>
    <row r="14" spans="2:11" x14ac:dyDescent="0.25">
      <c r="C14" s="26" t="s">
        <v>22</v>
      </c>
      <c r="E14" s="898">
        <v>18</v>
      </c>
      <c r="F14" s="898"/>
    </row>
    <row r="15" spans="2:11" x14ac:dyDescent="0.25">
      <c r="C15" s="26" t="s">
        <v>89</v>
      </c>
      <c r="E15" s="901">
        <f>'7. Op Rev and Exp'!E20/15</f>
        <v>11.333333333333334</v>
      </c>
      <c r="F15" s="898">
        <v>-3</v>
      </c>
    </row>
    <row r="16" spans="2:11" x14ac:dyDescent="0.25">
      <c r="C16" s="26" t="s">
        <v>88</v>
      </c>
      <c r="E16" s="898">
        <v>0</v>
      </c>
      <c r="F16" s="898"/>
    </row>
    <row r="18" spans="2:11" ht="15.75" x14ac:dyDescent="0.25">
      <c r="B18" s="946" t="s">
        <v>739</v>
      </c>
      <c r="C18" s="946"/>
      <c r="D18" s="946"/>
      <c r="E18" s="946"/>
      <c r="F18" s="946"/>
      <c r="G18" s="946"/>
      <c r="H18" s="946"/>
      <c r="I18" s="946"/>
      <c r="J18" s="946"/>
      <c r="K18" s="946"/>
    </row>
    <row r="20" spans="2:11" x14ac:dyDescent="0.25">
      <c r="C20" s="838" t="s">
        <v>713</v>
      </c>
      <c r="D20" s="839"/>
      <c r="E20" s="839"/>
      <c r="F20" s="840">
        <f>'4. Area Schedule'!E54</f>
        <v>128826</v>
      </c>
      <c r="G20" s="839"/>
      <c r="H20" s="839" t="str">
        <f>'4. Area Schedule'!F54</f>
        <v>From proforma</v>
      </c>
      <c r="I20" s="839"/>
      <c r="J20" s="841"/>
    </row>
    <row r="21" spans="2:11" x14ac:dyDescent="0.25">
      <c r="C21" s="831" t="s">
        <v>661</v>
      </c>
      <c r="F21" s="832">
        <f>'4. Area Schedule'!E55</f>
        <v>3703</v>
      </c>
      <c r="H21" t="str">
        <f>'4. Area Schedule'!F55</f>
        <v>From proforma</v>
      </c>
      <c r="J21" s="394"/>
    </row>
    <row r="22" spans="2:11" x14ac:dyDescent="0.25">
      <c r="C22" s="831" t="s">
        <v>684</v>
      </c>
      <c r="F22" s="832">
        <f>'4. Area Schedule'!E56</f>
        <v>10535</v>
      </c>
      <c r="H22" t="str">
        <f>'4. Area Schedule'!F56</f>
        <v>Calculated to match GFA</v>
      </c>
      <c r="J22" s="394"/>
    </row>
    <row r="23" spans="2:11" x14ac:dyDescent="0.25">
      <c r="C23" s="831" t="s">
        <v>716</v>
      </c>
      <c r="F23" s="832">
        <f>'4. Area Schedule'!E57</f>
        <v>4370</v>
      </c>
      <c r="H23" t="str">
        <f>'4. Area Schedule'!F57</f>
        <v>From proforma</v>
      </c>
      <c r="J23" s="394"/>
    </row>
    <row r="24" spans="2:11" x14ac:dyDescent="0.25">
      <c r="C24" s="831" t="s">
        <v>717</v>
      </c>
      <c r="F24" s="832">
        <f>'4. Area Schedule'!E58</f>
        <v>67200</v>
      </c>
      <c r="H24" t="str">
        <f>'4. Area Schedule'!F58</f>
        <v>Not included in GFA</v>
      </c>
      <c r="J24" s="394"/>
    </row>
    <row r="25" spans="2:11" x14ac:dyDescent="0.25">
      <c r="C25" s="831" t="s">
        <v>719</v>
      </c>
      <c r="F25" s="832">
        <f>'4. Area Schedule'!E59</f>
        <v>3150</v>
      </c>
      <c r="H25" t="str">
        <f>'4. Area Schedule'!F59</f>
        <v>Calculated to match GFA</v>
      </c>
      <c r="J25" s="394"/>
    </row>
    <row r="26" spans="2:11" x14ac:dyDescent="0.25">
      <c r="C26" s="834" t="s">
        <v>720</v>
      </c>
      <c r="D26" s="835"/>
      <c r="E26" s="835"/>
      <c r="F26" s="836">
        <f>SUM(F20:F25)-F24</f>
        <v>150584</v>
      </c>
      <c r="G26" s="835"/>
      <c r="H26" s="835" t="str">
        <f>'4. Area Schedule'!F60</f>
        <v>Calculated total</v>
      </c>
      <c r="I26" s="835"/>
      <c r="J26" s="837"/>
    </row>
    <row r="28" spans="2:11" x14ac:dyDescent="0.25">
      <c r="C28" s="842" t="s">
        <v>744</v>
      </c>
      <c r="D28" s="313"/>
      <c r="E28" s="313"/>
      <c r="F28" s="313">
        <f>'7. Op Rev and Exp'!E20</f>
        <v>170</v>
      </c>
      <c r="G28" s="313"/>
      <c r="H28" s="313"/>
      <c r="I28" s="313"/>
      <c r="J28" s="824"/>
    </row>
    <row r="29" spans="2:11" x14ac:dyDescent="0.25">
      <c r="C29" s="843" t="s">
        <v>743</v>
      </c>
      <c r="D29" s="17"/>
      <c r="E29" s="17"/>
      <c r="F29" s="916" t="str">
        <f>'13. Altus Cost Guide 25'!A7</f>
        <v>13-39 Storeys</v>
      </c>
      <c r="G29" s="17"/>
      <c r="H29" s="916" t="s">
        <v>745</v>
      </c>
      <c r="I29" s="17"/>
      <c r="J29" s="833"/>
    </row>
    <row r="32" spans="2:11" ht="15.75" x14ac:dyDescent="0.25">
      <c r="B32" s="946" t="s">
        <v>350</v>
      </c>
      <c r="C32" s="946"/>
      <c r="D32" s="946"/>
      <c r="E32" s="946"/>
      <c r="F32" s="946"/>
      <c r="G32" s="946"/>
      <c r="H32" s="946"/>
      <c r="I32" s="946"/>
      <c r="J32" s="946"/>
      <c r="K32" s="946"/>
    </row>
    <row r="33" spans="2:19" ht="15.75" thickBot="1" x14ac:dyDescent="0.3"/>
    <row r="34" spans="2:19" x14ac:dyDescent="0.25">
      <c r="D34" s="860" t="s">
        <v>766</v>
      </c>
      <c r="E34" s="823" t="s">
        <v>353</v>
      </c>
      <c r="F34" s="860" t="s">
        <v>356</v>
      </c>
      <c r="G34" s="864" t="s">
        <v>774</v>
      </c>
      <c r="H34" s="878" t="s">
        <v>769</v>
      </c>
      <c r="I34" s="880" t="s">
        <v>771</v>
      </c>
      <c r="J34" s="866" t="s">
        <v>774</v>
      </c>
    </row>
    <row r="35" spans="2:19" x14ac:dyDescent="0.25">
      <c r="D35" s="861" t="s">
        <v>773</v>
      </c>
      <c r="E35" s="314" t="s">
        <v>352</v>
      </c>
      <c r="F35" s="877" t="s">
        <v>352</v>
      </c>
      <c r="G35" s="865">
        <f>'7. Op Rev and Exp'!D20</f>
        <v>128853.2</v>
      </c>
      <c r="H35" s="879" t="s">
        <v>770</v>
      </c>
      <c r="I35" s="874" t="s">
        <v>772</v>
      </c>
      <c r="J35" s="867">
        <f>+G35</f>
        <v>128853.2</v>
      </c>
    </row>
    <row r="36" spans="2:19" x14ac:dyDescent="0.25">
      <c r="C36" t="s">
        <v>23</v>
      </c>
      <c r="D36" s="876">
        <f>'7. Op Rev and Exp'!D56</f>
        <v>4.4999999999999998E-2</v>
      </c>
      <c r="E36" s="825">
        <v>1</v>
      </c>
      <c r="F36" s="862">
        <f>+'7. Op Rev and Exp'!H56</f>
        <v>102606396.00000001</v>
      </c>
      <c r="G36" s="13">
        <f>+F36/$G$35</f>
        <v>796.30460089466169</v>
      </c>
      <c r="H36" s="868">
        <f ca="1">+'3. Headline #s'!G30</f>
        <v>108886728.28636798</v>
      </c>
      <c r="I36" s="403">
        <v>1</v>
      </c>
      <c r="J36" s="869">
        <f ca="1">+H36/$J$35</f>
        <v>845.04481290622186</v>
      </c>
      <c r="M36" s="19"/>
    </row>
    <row r="37" spans="2:19" x14ac:dyDescent="0.25">
      <c r="C37" t="s">
        <v>793</v>
      </c>
      <c r="D37" s="875"/>
      <c r="E37" s="903">
        <v>0.08</v>
      </c>
      <c r="F37" s="862">
        <f>+F36*E37</f>
        <v>8208511.6800000016</v>
      </c>
      <c r="G37" s="13">
        <f t="shared" ref="G37:G38" si="0">+F37/$G$35</f>
        <v>63.704368071572937</v>
      </c>
      <c r="H37" s="868">
        <f ca="1">+'3. Headline #s'!G34-'3. Headline #s'!G31</f>
        <v>14446177.489371691</v>
      </c>
      <c r="I37" s="402">
        <f ca="1">+H37/H36</f>
        <v>0.13267160944884659</v>
      </c>
      <c r="J37" s="869">
        <f t="shared" ref="J37:J38" ca="1" si="1">+H37/$J$35</f>
        <v>112.11345538466792</v>
      </c>
      <c r="M37" s="19"/>
    </row>
    <row r="38" spans="2:19" ht="15.75" thickBot="1" x14ac:dyDescent="0.3">
      <c r="C38" t="s">
        <v>354</v>
      </c>
      <c r="D38" s="861"/>
      <c r="E38" s="827">
        <f>+E36-E37</f>
        <v>0.92</v>
      </c>
      <c r="F38" s="863">
        <f>+F36*E38</f>
        <v>94397884.320000023</v>
      </c>
      <c r="G38" s="14">
        <f t="shared" si="0"/>
        <v>732.60023282308885</v>
      </c>
      <c r="H38" s="870">
        <f ca="1">-'3. Headline #s'!G33</f>
        <v>94440550.796996295</v>
      </c>
      <c r="I38" s="881">
        <f ca="1">+H38/H36</f>
        <v>0.86732839055115341</v>
      </c>
      <c r="J38" s="871">
        <f t="shared" ca="1" si="1"/>
        <v>732.93135752155399</v>
      </c>
      <c r="M38" s="19"/>
    </row>
    <row r="39" spans="2:19" x14ac:dyDescent="0.25">
      <c r="E39" s="423"/>
      <c r="F39" s="19"/>
      <c r="G39" s="437" t="s">
        <v>775</v>
      </c>
      <c r="H39" s="19"/>
      <c r="I39" s="300"/>
      <c r="J39" s="437" t="s">
        <v>775</v>
      </c>
      <c r="M39" s="19"/>
    </row>
    <row r="40" spans="2:19" x14ac:dyDescent="0.25">
      <c r="C40" t="s">
        <v>776</v>
      </c>
      <c r="E40" s="423"/>
      <c r="F40" s="19"/>
      <c r="H40" s="19"/>
      <c r="I40" s="300"/>
      <c r="M40" s="19"/>
    </row>
    <row r="41" spans="2:19" x14ac:dyDescent="0.25">
      <c r="E41" t="s">
        <v>72</v>
      </c>
      <c r="G41" s="437" t="s">
        <v>740</v>
      </c>
    </row>
    <row r="42" spans="2:19" x14ac:dyDescent="0.25">
      <c r="E42" t="s">
        <v>355</v>
      </c>
      <c r="F42" s="437" t="s">
        <v>357</v>
      </c>
      <c r="G42" s="58" t="s">
        <v>777</v>
      </c>
    </row>
    <row r="43" spans="2:19" x14ac:dyDescent="0.25">
      <c r="B43" t="s">
        <v>813</v>
      </c>
      <c r="C43" s="27" t="s">
        <v>8</v>
      </c>
    </row>
    <row r="44" spans="2:19" x14ac:dyDescent="0.25">
      <c r="C44" t="s">
        <v>351</v>
      </c>
      <c r="E44" s="904">
        <f>+E37+0.025</f>
        <v>0.10500000000000001</v>
      </c>
      <c r="F44" s="19">
        <f>+F38*E44</f>
        <v>9911777.8536000028</v>
      </c>
      <c r="G44" s="13">
        <f t="shared" ref="G44:G45" si="2">+F44/$G$35</f>
        <v>76.923024446424321</v>
      </c>
    </row>
    <row r="45" spans="2:19" x14ac:dyDescent="0.25">
      <c r="C45" t="s">
        <v>758</v>
      </c>
      <c r="D45" s="318">
        <v>0.05</v>
      </c>
      <c r="F45" s="19">
        <f>F44*D45</f>
        <v>495588.89268000016</v>
      </c>
      <c r="G45" s="13">
        <f t="shared" si="2"/>
        <v>3.8461512223212164</v>
      </c>
      <c r="M45" s="923" t="s">
        <v>778</v>
      </c>
      <c r="N45" s="923"/>
      <c r="O45" s="923"/>
      <c r="P45" s="923"/>
      <c r="Q45" s="923"/>
      <c r="R45" s="923"/>
      <c r="S45" s="923"/>
    </row>
    <row r="46" spans="2:19" x14ac:dyDescent="0.25">
      <c r="E46" s="318"/>
      <c r="F46" s="19"/>
      <c r="G46" s="13"/>
      <c r="K46" s="823"/>
      <c r="L46" s="313"/>
      <c r="M46" s="313"/>
      <c r="N46" s="313"/>
      <c r="O46" s="947" t="s">
        <v>742</v>
      </c>
      <c r="P46" s="949"/>
      <c r="Q46" s="947" t="s">
        <v>3</v>
      </c>
      <c r="R46" s="948"/>
      <c r="S46" s="949"/>
    </row>
    <row r="47" spans="2:19" x14ac:dyDescent="0.25">
      <c r="B47" t="s">
        <v>814</v>
      </c>
      <c r="C47" s="27" t="s">
        <v>22</v>
      </c>
      <c r="E47" s="318"/>
      <c r="K47" s="392"/>
      <c r="N47" s="437" t="s">
        <v>747</v>
      </c>
      <c r="O47" s="846" t="s">
        <v>574</v>
      </c>
      <c r="P47" s="847" t="s">
        <v>575</v>
      </c>
      <c r="Q47" s="846" t="s">
        <v>574</v>
      </c>
      <c r="R47" s="437" t="s">
        <v>575</v>
      </c>
      <c r="S47" s="847" t="s">
        <v>748</v>
      </c>
    </row>
    <row r="48" spans="2:19" x14ac:dyDescent="0.25">
      <c r="C48" t="s">
        <v>358</v>
      </c>
      <c r="E48" s="423">
        <f>F48/F38</f>
        <v>0.68217418710046773</v>
      </c>
      <c r="F48" s="13">
        <f>S50</f>
        <v>64395800</v>
      </c>
      <c r="G48" s="13">
        <f t="shared" ref="G48:G57" si="3">+F48/$G$35</f>
        <v>499.76096829570395</v>
      </c>
      <c r="K48" s="392"/>
      <c r="M48" s="58" t="s">
        <v>741</v>
      </c>
      <c r="N48" s="832">
        <f>F26</f>
        <v>150584</v>
      </c>
      <c r="O48" s="846" t="str">
        <f>'13. Altus Cost Guide 25'!H7</f>
        <v>$310</v>
      </c>
      <c r="P48" s="847" t="str">
        <f>'13. Altus Cost Guide 25'!I7</f>
        <v>$340</v>
      </c>
      <c r="Q48" s="829">
        <f>O48*N48</f>
        <v>46681040</v>
      </c>
      <c r="R48" s="23">
        <f>P48*N48</f>
        <v>51198560</v>
      </c>
      <c r="S48" s="826">
        <f>(Q48+R48)/2</f>
        <v>48939800</v>
      </c>
    </row>
    <row r="49" spans="2:19" x14ac:dyDescent="0.25">
      <c r="C49" t="s">
        <v>755</v>
      </c>
      <c r="D49" s="318">
        <v>0.02</v>
      </c>
      <c r="F49" s="13">
        <f>F48*D49</f>
        <v>1287916</v>
      </c>
      <c r="G49" s="13">
        <f t="shared" si="3"/>
        <v>9.99521936591408</v>
      </c>
      <c r="K49" s="392"/>
      <c r="M49" s="58" t="s">
        <v>746</v>
      </c>
      <c r="N49" s="832">
        <f>F24</f>
        <v>67200</v>
      </c>
      <c r="O49" s="872" t="str">
        <f>'13. Altus Cost Guide 25'!F38</f>
        <v>$175</v>
      </c>
      <c r="P49" s="873" t="str">
        <f>'13. Altus Cost Guide 25'!G38</f>
        <v>$285</v>
      </c>
      <c r="Q49" s="830">
        <f>O49*N49</f>
        <v>11760000</v>
      </c>
      <c r="R49" s="20">
        <f>P49*N49</f>
        <v>19152000</v>
      </c>
      <c r="S49" s="828">
        <f t="shared" ref="S49:S50" si="4">(Q49+R49)/2</f>
        <v>15456000</v>
      </c>
    </row>
    <row r="50" spans="2:19" x14ac:dyDescent="0.25">
      <c r="E50" s="318"/>
      <c r="K50" s="850"/>
      <c r="L50" s="844"/>
      <c r="M50" s="844" t="s">
        <v>14</v>
      </c>
      <c r="N50" s="844"/>
      <c r="O50" s="844"/>
      <c r="P50" s="844"/>
      <c r="Q50" s="845">
        <f>Q48+Q49</f>
        <v>58441040</v>
      </c>
      <c r="R50" s="845">
        <f>R48+R49</f>
        <v>70350560</v>
      </c>
      <c r="S50" s="851">
        <f t="shared" si="4"/>
        <v>64395800</v>
      </c>
    </row>
    <row r="51" spans="2:19" x14ac:dyDescent="0.25">
      <c r="B51" t="s">
        <v>815</v>
      </c>
      <c r="C51" s="27" t="s">
        <v>756</v>
      </c>
      <c r="D51" s="318">
        <v>0.03</v>
      </c>
      <c r="E51" s="300">
        <f>F51/F38</f>
        <v>2.0465225613014032E-2</v>
      </c>
      <c r="F51" s="13">
        <f>F48*D51</f>
        <v>1931874</v>
      </c>
      <c r="G51" s="13">
        <f t="shared" si="3"/>
        <v>14.992829048871119</v>
      </c>
      <c r="K51" s="392"/>
      <c r="M51" s="58" t="s">
        <v>749</v>
      </c>
      <c r="S51" s="826">
        <f>F48</f>
        <v>64395800</v>
      </c>
    </row>
    <row r="52" spans="2:19" x14ac:dyDescent="0.25">
      <c r="C52" t="s">
        <v>757</v>
      </c>
      <c r="D52" s="318">
        <v>0.05</v>
      </c>
      <c r="F52" s="13">
        <f>F51*D52</f>
        <v>96593.700000000012</v>
      </c>
      <c r="G52" s="13">
        <f t="shared" si="3"/>
        <v>0.74964145244355607</v>
      </c>
      <c r="K52" s="314"/>
      <c r="L52" s="17"/>
      <c r="M52" s="852" t="s">
        <v>750</v>
      </c>
      <c r="N52" s="17"/>
      <c r="O52" s="17"/>
      <c r="P52" s="17"/>
      <c r="Q52" s="17"/>
      <c r="R52" s="17"/>
      <c r="S52" s="828">
        <f>S51-S50</f>
        <v>0</v>
      </c>
    </row>
    <row r="53" spans="2:19" x14ac:dyDescent="0.25">
      <c r="E53" s="318"/>
      <c r="S53" s="917">
        <f>S52/S50</f>
        <v>0</v>
      </c>
    </row>
    <row r="54" spans="2:19" x14ac:dyDescent="0.25">
      <c r="B54" t="s">
        <v>816</v>
      </c>
      <c r="C54" s="27" t="s">
        <v>759</v>
      </c>
      <c r="D54" s="318">
        <v>2.5000000000000001E-2</v>
      </c>
      <c r="E54" s="300">
        <f>F54/F38</f>
        <v>1.7932653943403546E-2</v>
      </c>
      <c r="F54" s="13">
        <f>SUM(F48:F52)*D54</f>
        <v>1692804.5925000003</v>
      </c>
      <c r="G54" s="13">
        <f t="shared" si="3"/>
        <v>13.137466454073319</v>
      </c>
    </row>
    <row r="55" spans="2:19" x14ac:dyDescent="0.25">
      <c r="E55" s="318"/>
      <c r="M55" s="950" t="s">
        <v>785</v>
      </c>
      <c r="N55" s="950"/>
      <c r="O55" s="950"/>
      <c r="P55" s="950"/>
      <c r="Q55" s="950"/>
      <c r="R55" s="950"/>
      <c r="S55" s="950"/>
    </row>
    <row r="56" spans="2:19" x14ac:dyDescent="0.25">
      <c r="B56" t="s">
        <v>817</v>
      </c>
      <c r="C56" s="27" t="s">
        <v>150</v>
      </c>
      <c r="E56" s="423">
        <f>F56/F38</f>
        <v>7.6189271102935233E-2</v>
      </c>
      <c r="F56" s="13">
        <f>S60</f>
        <v>7192106</v>
      </c>
      <c r="G56" s="13">
        <f t="shared" si="3"/>
        <v>55.816277748631776</v>
      </c>
      <c r="K56" s="850"/>
      <c r="L56" s="844"/>
      <c r="M56" s="844"/>
      <c r="N56" s="844"/>
      <c r="O56" s="844"/>
      <c r="P56" s="844"/>
      <c r="Q56" s="848" t="s">
        <v>751</v>
      </c>
      <c r="R56" s="848" t="s">
        <v>752</v>
      </c>
      <c r="S56" s="849" t="s">
        <v>268</v>
      </c>
    </row>
    <row r="57" spans="2:19" x14ac:dyDescent="0.25">
      <c r="C57" t="s">
        <v>376</v>
      </c>
      <c r="D57" s="318">
        <v>0.05</v>
      </c>
      <c r="F57" s="13">
        <f>F56*D57</f>
        <v>359605.30000000005</v>
      </c>
      <c r="G57" s="13">
        <f t="shared" si="3"/>
        <v>2.7908138874315891</v>
      </c>
      <c r="K57" s="392"/>
      <c r="M57" t="str">
        <f>'7. Op Rev and Exp'!B16</f>
        <v>1 Bed</v>
      </c>
      <c r="N57" s="23"/>
      <c r="O57" s="23"/>
      <c r="Q57" s="856">
        <f>'7. Op Rev and Exp'!E16</f>
        <v>84</v>
      </c>
      <c r="R57" s="23">
        <v>34849</v>
      </c>
      <c r="S57" s="857">
        <f>Q57*R57</f>
        <v>2927316</v>
      </c>
    </row>
    <row r="58" spans="2:19" x14ac:dyDescent="0.25">
      <c r="C58" t="s">
        <v>377</v>
      </c>
      <c r="D58" s="905">
        <v>600</v>
      </c>
      <c r="E58" s="318" t="s">
        <v>378</v>
      </c>
      <c r="F58" s="326">
        <f>-D58*F28</f>
        <v>-102000</v>
      </c>
      <c r="G58" s="13"/>
      <c r="K58" s="392"/>
      <c r="M58" t="str">
        <f>'7. Op Rev and Exp'!B17</f>
        <v>2 Bed</v>
      </c>
      <c r="N58" s="23"/>
      <c r="O58" s="23"/>
      <c r="Q58" s="856">
        <f>'7. Op Rev and Exp'!E17</f>
        <v>68</v>
      </c>
      <c r="R58" s="23">
        <v>50248</v>
      </c>
      <c r="S58" s="857">
        <f t="shared" ref="S58:S59" si="5">Q58*R58</f>
        <v>3416864</v>
      </c>
    </row>
    <row r="59" spans="2:19" x14ac:dyDescent="0.25">
      <c r="E59" s="318"/>
      <c r="K59" s="314"/>
      <c r="L59" s="17"/>
      <c r="M59" s="17" t="str">
        <f>'7. Op Rev and Exp'!B18</f>
        <v>3 Bed</v>
      </c>
      <c r="N59" s="20"/>
      <c r="O59" s="20"/>
      <c r="P59" s="17"/>
      <c r="Q59" s="858">
        <f>'7. Op Rev and Exp'!E18</f>
        <v>18</v>
      </c>
      <c r="R59" s="20">
        <v>47107</v>
      </c>
      <c r="S59" s="859">
        <f t="shared" si="5"/>
        <v>847926</v>
      </c>
    </row>
    <row r="60" spans="2:19" x14ac:dyDescent="0.25">
      <c r="B60" t="s">
        <v>818</v>
      </c>
      <c r="C60" s="27" t="s">
        <v>151</v>
      </c>
      <c r="E60" s="318"/>
      <c r="K60" s="850"/>
      <c r="L60" s="844"/>
      <c r="M60" s="844" t="s">
        <v>14</v>
      </c>
      <c r="N60" s="853"/>
      <c r="O60" s="853"/>
      <c r="P60" s="844"/>
      <c r="Q60" s="854">
        <f>SUM(Q57:Q59)</f>
        <v>170</v>
      </c>
      <c r="R60" s="853"/>
      <c r="S60" s="855">
        <f>SUM(S57:S59)</f>
        <v>7192106</v>
      </c>
    </row>
    <row r="61" spans="2:19" x14ac:dyDescent="0.25">
      <c r="C61" t="s">
        <v>359</v>
      </c>
      <c r="D61" s="906">
        <v>1.5</v>
      </c>
      <c r="E61" s="318" t="s">
        <v>361</v>
      </c>
      <c r="F61" s="19">
        <f>('7. Op Rev and Exp'!H32+'7. Op Rev and Exp'!H29)/12*D61</f>
        <v>838175</v>
      </c>
      <c r="G61" s="13">
        <f t="shared" ref="G61:G63" si="6">+F61/$G$35</f>
        <v>6.504883076244905</v>
      </c>
      <c r="K61" s="392"/>
      <c r="M61" s="58" t="s">
        <v>753</v>
      </c>
      <c r="S61" s="826">
        <f>F56</f>
        <v>7192106</v>
      </c>
    </row>
    <row r="62" spans="2:19" x14ac:dyDescent="0.25">
      <c r="C62" t="s">
        <v>360</v>
      </c>
      <c r="D62" s="906">
        <v>1.5</v>
      </c>
      <c r="E62" s="318" t="s">
        <v>362</v>
      </c>
      <c r="F62" s="19">
        <f>F61</f>
        <v>838175</v>
      </c>
      <c r="G62" s="13">
        <f t="shared" si="6"/>
        <v>6.504883076244905</v>
      </c>
      <c r="K62" s="314"/>
      <c r="L62" s="17"/>
      <c r="M62" s="852" t="s">
        <v>750</v>
      </c>
      <c r="N62" s="17"/>
      <c r="O62" s="17"/>
      <c r="P62" s="17"/>
      <c r="Q62" s="17"/>
      <c r="R62" s="17"/>
      <c r="S62" s="828">
        <f>S61-S60</f>
        <v>0</v>
      </c>
    </row>
    <row r="63" spans="2:19" x14ac:dyDescent="0.25">
      <c r="C63" t="s">
        <v>363</v>
      </c>
      <c r="E63" s="318">
        <f>+F63/F38</f>
        <v>1.7758342912827685E-2</v>
      </c>
      <c r="F63" s="13">
        <f>+F61+F62</f>
        <v>1676350</v>
      </c>
      <c r="G63" s="13">
        <f t="shared" si="6"/>
        <v>13.00976615248981</v>
      </c>
      <c r="S63" s="918">
        <f>S62/S60</f>
        <v>0</v>
      </c>
    </row>
    <row r="64" spans="2:19" x14ac:dyDescent="0.25">
      <c r="E64" s="318"/>
      <c r="F64" s="13"/>
      <c r="G64" s="13"/>
      <c r="M64" t="s">
        <v>786</v>
      </c>
      <c r="S64" s="300"/>
    </row>
    <row r="65" spans="2:19" ht="15.75" thickBot="1" x14ac:dyDescent="0.3">
      <c r="E65" s="318"/>
      <c r="M65" t="s">
        <v>783</v>
      </c>
      <c r="S65" s="281"/>
    </row>
    <row r="66" spans="2:19" x14ac:dyDescent="0.25">
      <c r="C66" s="910" t="s">
        <v>822</v>
      </c>
      <c r="D66" s="287"/>
      <c r="E66" s="424"/>
      <c r="F66" s="287" t="s">
        <v>267</v>
      </c>
      <c r="G66" s="287"/>
      <c r="H66" s="287"/>
      <c r="I66" s="287"/>
      <c r="J66" s="287"/>
      <c r="K66" s="288"/>
      <c r="M66" t="s">
        <v>784</v>
      </c>
    </row>
    <row r="67" spans="2:19" x14ac:dyDescent="0.25">
      <c r="C67" s="289" t="s">
        <v>364</v>
      </c>
      <c r="E67" s="318">
        <f>1-E70-E69</f>
        <v>0.1</v>
      </c>
      <c r="F67" s="23">
        <f>+$F$38*E67</f>
        <v>9439788.4320000019</v>
      </c>
      <c r="K67" s="290"/>
    </row>
    <row r="68" spans="2:19" x14ac:dyDescent="0.25">
      <c r="C68" s="289"/>
      <c r="E68" s="318"/>
      <c r="F68" s="23"/>
      <c r="G68" t="s">
        <v>368</v>
      </c>
      <c r="I68" s="58" t="s">
        <v>524</v>
      </c>
      <c r="J68" s="58" t="s">
        <v>525</v>
      </c>
      <c r="K68" s="290"/>
    </row>
    <row r="69" spans="2:19" x14ac:dyDescent="0.25">
      <c r="C69" s="289" t="s">
        <v>365</v>
      </c>
      <c r="E69" s="904">
        <v>0.15</v>
      </c>
      <c r="F69" s="23">
        <f t="shared" ref="F69:F70" si="7">+$F$38*E69</f>
        <v>14159682.648000004</v>
      </c>
      <c r="G69" s="436">
        <f>I69+J69</f>
        <v>7.9500000000000001E-2</v>
      </c>
      <c r="I69" s="907">
        <v>4.4499999999999998E-2</v>
      </c>
      <c r="J69" s="907">
        <v>3.5000000000000003E-2</v>
      </c>
      <c r="K69" s="290"/>
    </row>
    <row r="70" spans="2:19" x14ac:dyDescent="0.25">
      <c r="C70" s="289" t="s">
        <v>366</v>
      </c>
      <c r="E70" s="904">
        <v>0.75</v>
      </c>
      <c r="F70" s="23">
        <f t="shared" si="7"/>
        <v>70798413.24000001</v>
      </c>
      <c r="G70" s="436">
        <f>I70+J70</f>
        <v>5.45E-2</v>
      </c>
      <c r="I70" s="907">
        <v>4.4499999999999998E-2</v>
      </c>
      <c r="J70" s="907">
        <v>0.01</v>
      </c>
      <c r="K70" s="290"/>
    </row>
    <row r="71" spans="2:19" ht="15.75" thickBot="1" x14ac:dyDescent="0.3">
      <c r="C71" s="291" t="s">
        <v>367</v>
      </c>
      <c r="D71" s="1"/>
      <c r="E71" s="425">
        <f>+E69+E70</f>
        <v>0.9</v>
      </c>
      <c r="F71" s="426">
        <f>+F69+F70</f>
        <v>84958095.888000011</v>
      </c>
      <c r="G71" s="429">
        <f>+'6. Debt Stack &amp; Financing'!D20</f>
        <v>5.8666666666666666E-2</v>
      </c>
      <c r="H71" s="1"/>
      <c r="I71" s="1"/>
      <c r="J71" s="427"/>
      <c r="K71" s="292"/>
    </row>
    <row r="72" spans="2:19" x14ac:dyDescent="0.25">
      <c r="E72" s="318"/>
    </row>
    <row r="73" spans="2:19" x14ac:dyDescent="0.25">
      <c r="B73" t="s">
        <v>819</v>
      </c>
      <c r="C73" s="27" t="s">
        <v>823</v>
      </c>
      <c r="E73" s="318"/>
      <c r="F73" s="19">
        <f ca="1">+'9. Development Costs'!H78</f>
        <v>7695700.3074020371</v>
      </c>
    </row>
    <row r="74" spans="2:19" x14ac:dyDescent="0.25">
      <c r="C74" t="s">
        <v>369</v>
      </c>
      <c r="D74" s="908">
        <v>0.01</v>
      </c>
      <c r="E74" s="318" t="s">
        <v>371</v>
      </c>
      <c r="F74" s="19">
        <f>+F71*D74</f>
        <v>849580.95888000017</v>
      </c>
    </row>
    <row r="75" spans="2:19" x14ac:dyDescent="0.25">
      <c r="C75" t="s">
        <v>370</v>
      </c>
      <c r="D75" s="908">
        <v>5.0000000000000001E-3</v>
      </c>
      <c r="E75" s="318" t="s">
        <v>371</v>
      </c>
      <c r="F75" s="19">
        <f>+F71*D75</f>
        <v>424790.47944000008</v>
      </c>
    </row>
    <row r="76" spans="2:19" x14ac:dyDescent="0.25">
      <c r="C76" t="s">
        <v>372</v>
      </c>
      <c r="E76" s="318">
        <f ca="1">+F76/$F$38</f>
        <v>9.5024076125629367E-2</v>
      </c>
      <c r="F76" s="13">
        <f ca="1">SUM(F73:F75)</f>
        <v>8970071.7457220368</v>
      </c>
      <c r="G76" s="13">
        <f t="shared" ref="G76:G78" ca="1" si="8">+F76/$G$35</f>
        <v>69.61466029343498</v>
      </c>
    </row>
    <row r="77" spans="2:19" x14ac:dyDescent="0.25">
      <c r="C77" t="s">
        <v>12</v>
      </c>
      <c r="E77" s="318">
        <f t="shared" ref="E77:E78" si="9">+F77/$F$38</f>
        <v>0</v>
      </c>
      <c r="F77" s="19">
        <f>+'9. Development Costs'!H77</f>
        <v>0</v>
      </c>
      <c r="G77" s="13">
        <f t="shared" si="8"/>
        <v>0</v>
      </c>
      <c r="H77" t="s">
        <v>381</v>
      </c>
    </row>
    <row r="78" spans="2:19" x14ac:dyDescent="0.25">
      <c r="C78" t="s">
        <v>373</v>
      </c>
      <c r="E78" s="318">
        <f t="shared" ca="1" si="9"/>
        <v>9.5024076125629367E-2</v>
      </c>
      <c r="F78" s="13">
        <f ca="1">+F76+F77</f>
        <v>8970071.7457220368</v>
      </c>
      <c r="G78" s="13">
        <f t="shared" ca="1" si="8"/>
        <v>69.61466029343498</v>
      </c>
    </row>
    <row r="79" spans="2:19" x14ac:dyDescent="0.25">
      <c r="E79" s="318"/>
    </row>
    <row r="80" spans="2:19" x14ac:dyDescent="0.25">
      <c r="E80" s="318"/>
    </row>
    <row r="81" spans="2:11" x14ac:dyDescent="0.25">
      <c r="C81" t="s">
        <v>354</v>
      </c>
      <c r="E81" s="318"/>
      <c r="F81" s="13">
        <f ca="1">SUM(F44:F58)+F63+F78</f>
        <v>97908488.084502041</v>
      </c>
      <c r="G81" s="13">
        <f t="shared" ref="G81:G83" ca="1" si="10">+F81/$G$35</f>
        <v>759.84521986649963</v>
      </c>
    </row>
    <row r="82" spans="2:11" x14ac:dyDescent="0.25">
      <c r="B82" t="s">
        <v>820</v>
      </c>
      <c r="C82" s="27" t="s">
        <v>375</v>
      </c>
      <c r="E82" s="318"/>
      <c r="F82" s="19">
        <f ca="1">+'9. Development Costs'!H87</f>
        <v>-3467937.2875057496</v>
      </c>
      <c r="G82" s="13">
        <f t="shared" ca="1" si="10"/>
        <v>-26.913862344945642</v>
      </c>
    </row>
    <row r="83" spans="2:11" x14ac:dyDescent="0.25">
      <c r="B83" t="s">
        <v>821</v>
      </c>
      <c r="C83" s="395" t="s">
        <v>779</v>
      </c>
      <c r="D83" s="893"/>
      <c r="E83" s="911"/>
      <c r="F83" s="912">
        <f ca="1">+F81+F82</f>
        <v>94440550.796996295</v>
      </c>
      <c r="G83" s="913">
        <f t="shared" ca="1" si="10"/>
        <v>732.93135752155399</v>
      </c>
    </row>
    <row r="84" spans="2:11" x14ac:dyDescent="0.25">
      <c r="C84" s="392" t="s">
        <v>760</v>
      </c>
      <c r="E84" s="318"/>
      <c r="F84" s="13">
        <f>F38</f>
        <v>94397884.320000023</v>
      </c>
      <c r="G84" s="394"/>
    </row>
    <row r="85" spans="2:11" x14ac:dyDescent="0.25">
      <c r="C85" s="314" t="s">
        <v>750</v>
      </c>
      <c r="D85" s="17"/>
      <c r="E85" s="17"/>
      <c r="F85" s="14">
        <f ca="1">F83-F84</f>
        <v>42666.476996272802</v>
      </c>
      <c r="G85" s="833"/>
    </row>
    <row r="86" spans="2:11" x14ac:dyDescent="0.25">
      <c r="D86" s="884" t="s">
        <v>761</v>
      </c>
      <c r="E86" s="884"/>
      <c r="F86" s="885">
        <f ca="1">F85/F83</f>
        <v>4.5178132313084538E-4</v>
      </c>
      <c r="G86" s="884"/>
    </row>
    <row r="88" spans="2:11" ht="15.75" x14ac:dyDescent="0.25">
      <c r="B88" s="946" t="s">
        <v>812</v>
      </c>
      <c r="C88" s="946"/>
      <c r="D88" s="946"/>
      <c r="E88" s="946"/>
      <c r="F88" s="946"/>
      <c r="G88" s="946"/>
      <c r="H88" s="946"/>
      <c r="I88" s="946"/>
      <c r="J88" s="946"/>
      <c r="K88" s="946"/>
    </row>
    <row r="89" spans="2:11" x14ac:dyDescent="0.25">
      <c r="B89">
        <v>1</v>
      </c>
      <c r="C89" t="s">
        <v>787</v>
      </c>
    </row>
    <row r="90" spans="2:11" x14ac:dyDescent="0.25">
      <c r="C90" t="s">
        <v>788</v>
      </c>
    </row>
    <row r="92" spans="2:11" x14ac:dyDescent="0.25">
      <c r="B92">
        <v>2</v>
      </c>
      <c r="C92" t="s">
        <v>780</v>
      </c>
      <c r="D92" s="883">
        <f>E44</f>
        <v>0.10500000000000001</v>
      </c>
      <c r="E92" t="s">
        <v>781</v>
      </c>
    </row>
    <row r="93" spans="2:11" x14ac:dyDescent="0.25">
      <c r="D93" s="882" t="s">
        <v>789</v>
      </c>
      <c r="E93" t="s">
        <v>782</v>
      </c>
    </row>
    <row r="95" spans="2:11" x14ac:dyDescent="0.25">
      <c r="C95" s="909" t="s">
        <v>809</v>
      </c>
    </row>
    <row r="96" spans="2:11" x14ac:dyDescent="0.25">
      <c r="B96">
        <v>3</v>
      </c>
      <c r="C96" t="s">
        <v>762</v>
      </c>
      <c r="F96" s="281">
        <f ca="1">'3. Headline #s'!G39</f>
        <v>0.27897087281228417</v>
      </c>
      <c r="H96" t="s">
        <v>790</v>
      </c>
    </row>
    <row r="97" spans="2:8" x14ac:dyDescent="0.25">
      <c r="B97">
        <v>4</v>
      </c>
      <c r="C97" t="s">
        <v>763</v>
      </c>
      <c r="F97" s="281">
        <f ca="1">'3. Headline #s'!G36</f>
        <v>0.14143617433172406</v>
      </c>
      <c r="H97" t="s">
        <v>764</v>
      </c>
    </row>
    <row r="99" spans="2:8" x14ac:dyDescent="0.25">
      <c r="C99" s="909" t="s">
        <v>810</v>
      </c>
    </row>
    <row r="100" spans="2:8" x14ac:dyDescent="0.25">
      <c r="B100">
        <v>5</v>
      </c>
      <c r="C100" t="s">
        <v>765</v>
      </c>
      <c r="F100" s="428">
        <f ca="1">'3. Headline #s'!G37</f>
        <v>5.1883462469623824E-2</v>
      </c>
    </row>
    <row r="101" spans="2:8" x14ac:dyDescent="0.25">
      <c r="B101">
        <v>5.0999999999999996</v>
      </c>
      <c r="C101" t="s">
        <v>791</v>
      </c>
      <c r="F101" s="436">
        <f>'3. Headline #s'!G29</f>
        <v>4.4999999999999998E-2</v>
      </c>
    </row>
    <row r="102" spans="2:8" x14ac:dyDescent="0.25">
      <c r="C102" t="s">
        <v>767</v>
      </c>
      <c r="F102" s="312">
        <f ca="1">(F100-F101)*100</f>
        <v>0.68834624696238256</v>
      </c>
      <c r="H102" t="s">
        <v>768</v>
      </c>
    </row>
    <row r="104" spans="2:8" x14ac:dyDescent="0.25">
      <c r="B104">
        <v>6</v>
      </c>
      <c r="C104" t="s">
        <v>811</v>
      </c>
      <c r="F104" s="281">
        <f ca="1">'3. Headline #s'!G40</f>
        <v>0.20617252519027907</v>
      </c>
    </row>
  </sheetData>
  <mergeCells count="11">
    <mergeCell ref="B88:K88"/>
    <mergeCell ref="Q46:S46"/>
    <mergeCell ref="M45:S45"/>
    <mergeCell ref="M55:S55"/>
    <mergeCell ref="B32:K32"/>
    <mergeCell ref="O46:P46"/>
    <mergeCell ref="B3:K3"/>
    <mergeCell ref="B4:K4"/>
    <mergeCell ref="B6:K6"/>
    <mergeCell ref="B8:K8"/>
    <mergeCell ref="B18:K18"/>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2E2C-F7E6-4CF5-BBD1-17F01FEF9937}">
  <sheetPr>
    <tabColor theme="9" tint="0.59999389629810485"/>
    <pageSetUpPr fitToPage="1"/>
  </sheetPr>
  <dimension ref="B1:I45"/>
  <sheetViews>
    <sheetView showGridLines="0" workbookViewId="0">
      <selection activeCell="J19" sqref="J19"/>
    </sheetView>
  </sheetViews>
  <sheetFormatPr defaultRowHeight="15" x14ac:dyDescent="0.25"/>
  <cols>
    <col min="2" max="2" width="27.5703125" customWidth="1"/>
    <col min="3" max="3" width="6.140625" bestFit="1" customWidth="1"/>
    <col min="4" max="4" width="12.5703125" bestFit="1" customWidth="1"/>
    <col min="5" max="5" width="7.42578125" bestFit="1" customWidth="1"/>
    <col min="6" max="6" width="14.42578125" bestFit="1" customWidth="1"/>
    <col min="7" max="7" width="12.42578125" customWidth="1"/>
    <col min="9" max="9" width="14.85546875" bestFit="1" customWidth="1"/>
  </cols>
  <sheetData>
    <row r="1" spans="2:9" x14ac:dyDescent="0.25">
      <c r="I1" s="58" t="str">
        <f>'2. Rev 1B Exec Summary'!J1</f>
        <v>Currently running: Base Case</v>
      </c>
    </row>
    <row r="4" spans="2:9" x14ac:dyDescent="0.25">
      <c r="B4" s="951" t="str">
        <f>'2. Rev 1B Exec Summary'!B3:I3</f>
        <v>Apartment Development Model 
Reverse 1B</v>
      </c>
      <c r="C4" s="951"/>
      <c r="D4" s="951"/>
      <c r="E4" s="951"/>
      <c r="F4" s="951"/>
      <c r="G4" s="951"/>
      <c r="H4" s="951"/>
      <c r="I4" s="951"/>
    </row>
    <row r="5" spans="2:9" x14ac:dyDescent="0.25">
      <c r="B5" s="951" t="str">
        <f>'2. Rev 1B Exec Summary'!B4:I4</f>
        <v>2240 Birchmount Road, Scarborough, ON</v>
      </c>
      <c r="C5" s="951"/>
      <c r="D5" s="951"/>
      <c r="E5" s="951"/>
      <c r="F5" s="951"/>
      <c r="G5" s="951"/>
      <c r="H5" s="951"/>
      <c r="I5" s="951"/>
    </row>
    <row r="8" spans="2:9" x14ac:dyDescent="0.25">
      <c r="B8" s="42" t="s">
        <v>827</v>
      </c>
      <c r="C8" s="42"/>
      <c r="D8" s="42"/>
      <c r="E8" s="42"/>
      <c r="F8" s="42"/>
      <c r="G8" s="42"/>
      <c r="H8" s="42"/>
      <c r="I8" s="42"/>
    </row>
    <row r="9" spans="2:9" ht="8.4499999999999993" customHeight="1" x14ac:dyDescent="0.25"/>
    <row r="10" spans="2:9" ht="7.9" customHeight="1" x14ac:dyDescent="0.25"/>
    <row r="11" spans="2:9" x14ac:dyDescent="0.25">
      <c r="B11" s="952" t="s">
        <v>308</v>
      </c>
      <c r="C11" s="952"/>
      <c r="D11" s="952"/>
      <c r="E11" s="952"/>
      <c r="F11" s="952"/>
    </row>
    <row r="12" spans="2:9" x14ac:dyDescent="0.25">
      <c r="B12" s="392"/>
      <c r="C12" s="392"/>
      <c r="D12" s="393"/>
      <c r="E12" s="393" t="s">
        <v>300</v>
      </c>
      <c r="F12" s="394" t="s">
        <v>301</v>
      </c>
    </row>
    <row r="13" spans="2:9" x14ac:dyDescent="0.25">
      <c r="B13" s="392" t="s">
        <v>304</v>
      </c>
      <c r="C13" s="392"/>
      <c r="D13" s="402">
        <f ca="1">+'10. Development Cash Flow'!D108</f>
        <v>9.9954838255867484E-2</v>
      </c>
      <c r="E13" s="393"/>
      <c r="F13" s="394"/>
    </row>
    <row r="14" spans="2:9" x14ac:dyDescent="0.25">
      <c r="B14" s="392" t="s">
        <v>302</v>
      </c>
      <c r="C14" s="392"/>
      <c r="D14" s="403">
        <f ca="1">1-D13</f>
        <v>0.90004516174413252</v>
      </c>
      <c r="E14" s="393"/>
      <c r="F14" s="394"/>
    </row>
    <row r="15" spans="2:9" x14ac:dyDescent="0.25">
      <c r="B15" s="392"/>
      <c r="C15" s="392"/>
      <c r="D15" s="393"/>
      <c r="E15" s="393"/>
      <c r="F15" s="394"/>
    </row>
    <row r="16" spans="2:9" x14ac:dyDescent="0.25">
      <c r="B16" s="412" t="s">
        <v>302</v>
      </c>
      <c r="C16" s="412"/>
      <c r="D16" s="413">
        <f>+'5. Key Assumptions'!E71</f>
        <v>0.9</v>
      </c>
      <c r="E16" s="414"/>
      <c r="F16" s="415"/>
    </row>
    <row r="17" spans="2:8" x14ac:dyDescent="0.25">
      <c r="B17" s="404" t="s">
        <v>303</v>
      </c>
      <c r="C17" s="404"/>
      <c r="D17" s="405">
        <f>+'5. Key Assumptions'!E69</f>
        <v>0.15</v>
      </c>
      <c r="E17" s="406">
        <f>'5. Key Assumptions'!G69</f>
        <v>7.9500000000000001E-2</v>
      </c>
      <c r="F17" s="407">
        <f>+D17*E17</f>
        <v>1.1925E-2</v>
      </c>
    </row>
    <row r="18" spans="2:8" x14ac:dyDescent="0.25">
      <c r="B18" s="408" t="s">
        <v>305</v>
      </c>
      <c r="C18" s="408"/>
      <c r="D18" s="409">
        <f>+D16-D17</f>
        <v>0.75</v>
      </c>
      <c r="E18" s="410">
        <f>'5. Key Assumptions'!G70</f>
        <v>5.45E-2</v>
      </c>
      <c r="F18" s="411">
        <f>+D18*E18</f>
        <v>4.0875000000000002E-2</v>
      </c>
      <c r="H18" s="19"/>
    </row>
    <row r="19" spans="2:8" x14ac:dyDescent="0.25">
      <c r="B19" s="395" t="s">
        <v>302</v>
      </c>
      <c r="C19" s="893"/>
      <c r="D19" s="396">
        <f>D17+D18</f>
        <v>0.9</v>
      </c>
      <c r="E19" s="397"/>
      <c r="F19" s="398">
        <f>+F17+F18</f>
        <v>5.28E-2</v>
      </c>
      <c r="H19" s="13"/>
    </row>
    <row r="20" spans="2:8" x14ac:dyDescent="0.25">
      <c r="B20" s="399" t="s">
        <v>307</v>
      </c>
      <c r="C20" s="894"/>
      <c r="D20" s="400">
        <f>+F19/D19</f>
        <v>5.8666666666666666E-2</v>
      </c>
      <c r="E20" s="397"/>
      <c r="F20" s="401"/>
      <c r="H20" s="428"/>
    </row>
    <row r="23" spans="2:8" x14ac:dyDescent="0.25">
      <c r="B23" t="s">
        <v>794</v>
      </c>
    </row>
    <row r="24" spans="2:8" x14ac:dyDescent="0.25">
      <c r="B24" t="s">
        <v>306</v>
      </c>
    </row>
    <row r="27" spans="2:8" x14ac:dyDescent="0.25">
      <c r="B27" s="952" t="s">
        <v>795</v>
      </c>
      <c r="C27" s="952"/>
      <c r="D27" s="952"/>
      <c r="E27" s="952"/>
      <c r="F27" s="952"/>
    </row>
    <row r="28" spans="2:8" x14ac:dyDescent="0.25">
      <c r="B28" s="392"/>
      <c r="F28" s="394"/>
    </row>
    <row r="29" spans="2:8" x14ac:dyDescent="0.25">
      <c r="B29" s="392" t="s">
        <v>797</v>
      </c>
      <c r="F29" s="394"/>
    </row>
    <row r="30" spans="2:8" x14ac:dyDescent="0.25">
      <c r="B30" s="392"/>
      <c r="F30" s="394"/>
    </row>
    <row r="31" spans="2:8" x14ac:dyDescent="0.25">
      <c r="B31" s="392" t="s">
        <v>798</v>
      </c>
      <c r="D31" s="896">
        <v>0.95</v>
      </c>
      <c r="F31" s="394"/>
    </row>
    <row r="32" spans="2:8" x14ac:dyDescent="0.25">
      <c r="B32" s="392" t="s">
        <v>799</v>
      </c>
      <c r="D32" s="897">
        <v>1.1000000000000001</v>
      </c>
      <c r="F32" s="394"/>
    </row>
    <row r="33" spans="2:6" x14ac:dyDescent="0.25">
      <c r="B33" s="392" t="s">
        <v>800</v>
      </c>
      <c r="D33" s="898">
        <v>40</v>
      </c>
      <c r="E33" t="s">
        <v>801</v>
      </c>
      <c r="F33" s="394"/>
    </row>
    <row r="34" spans="2:6" x14ac:dyDescent="0.25">
      <c r="B34" s="392" t="s">
        <v>802</v>
      </c>
      <c r="D34" s="899">
        <v>3.6999999999999998E-2</v>
      </c>
      <c r="F34" s="394"/>
    </row>
    <row r="35" spans="2:6" x14ac:dyDescent="0.25">
      <c r="B35" s="392" t="s">
        <v>796</v>
      </c>
      <c r="D35" s="900">
        <v>5.1799999999999999E-2</v>
      </c>
      <c r="F35" s="394"/>
    </row>
    <row r="36" spans="2:6" x14ac:dyDescent="0.25">
      <c r="B36" s="392"/>
      <c r="D36" s="886"/>
      <c r="F36" s="394"/>
    </row>
    <row r="37" spans="2:6" x14ac:dyDescent="0.25">
      <c r="B37" s="392" t="s">
        <v>805</v>
      </c>
      <c r="C37" s="886">
        <f>'11. 10-Yr Cash Flow IRR'!K10</f>
        <v>4.4999999999999998E-2</v>
      </c>
      <c r="D37" s="23">
        <f ca="1">'11. 10-Yr Cash Flow IRR'!K11</f>
        <v>108886728.28636798</v>
      </c>
      <c r="F37" s="394"/>
    </row>
    <row r="38" spans="2:6" x14ac:dyDescent="0.25">
      <c r="B38" s="392" t="s">
        <v>807</v>
      </c>
      <c r="D38" s="23">
        <f ca="1">'11. 10-Yr Cash Flow IRR'!K14</f>
        <v>92243039.030557334</v>
      </c>
      <c r="F38" s="394"/>
    </row>
    <row r="39" spans="2:6" x14ac:dyDescent="0.25">
      <c r="B39" s="392" t="s">
        <v>806</v>
      </c>
      <c r="D39" s="895">
        <f ca="1">D38/D37</f>
        <v>0.84714675959370944</v>
      </c>
      <c r="F39" s="394"/>
    </row>
    <row r="40" spans="2:6" x14ac:dyDescent="0.25">
      <c r="B40" s="392" t="s">
        <v>803</v>
      </c>
      <c r="D40" s="23">
        <f ca="1">D38*D35</f>
        <v>4778189.4217828698</v>
      </c>
      <c r="F40" s="394"/>
    </row>
    <row r="41" spans="2:6" x14ac:dyDescent="0.25">
      <c r="B41" s="392"/>
      <c r="D41" s="886"/>
      <c r="F41" s="394"/>
    </row>
    <row r="42" spans="2:6" x14ac:dyDescent="0.25">
      <c r="B42" s="392" t="s">
        <v>206</v>
      </c>
      <c r="D42" s="23">
        <f ca="1">'11. 10-Yr Cash Flow IRR'!K9</f>
        <v>4899902.7728865594</v>
      </c>
      <c r="F42" s="394"/>
    </row>
    <row r="43" spans="2:6" x14ac:dyDescent="0.25">
      <c r="B43" s="392" t="s">
        <v>20</v>
      </c>
      <c r="D43" s="23">
        <f ca="1">'11. 10-Yr Cash Flow IRR'!K16</f>
        <v>4421871.6847100994</v>
      </c>
      <c r="F43" s="394"/>
    </row>
    <row r="44" spans="2:6" x14ac:dyDescent="0.25">
      <c r="B44" s="392" t="s">
        <v>799</v>
      </c>
      <c r="D44" s="888">
        <f ca="1">D42/D43</f>
        <v>1.1081060515232477</v>
      </c>
      <c r="F44" s="394"/>
    </row>
    <row r="45" spans="2:6" x14ac:dyDescent="0.25">
      <c r="B45" s="314"/>
      <c r="C45" s="17"/>
      <c r="D45" s="17"/>
      <c r="E45" s="17"/>
      <c r="F45" s="833"/>
    </row>
  </sheetData>
  <mergeCells count="4">
    <mergeCell ref="B4:I4"/>
    <mergeCell ref="B5:I5"/>
    <mergeCell ref="B11:F11"/>
    <mergeCell ref="B27:F27"/>
  </mergeCells>
  <pageMargins left="0.7" right="0.7" top="0.75" bottom="0.75" header="0.3" footer="0.3"/>
  <pageSetup scale="74"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9" tint="0.59999389629810485"/>
    <pageSetUpPr fitToPage="1"/>
  </sheetPr>
  <dimension ref="A1:V60"/>
  <sheetViews>
    <sheetView showGridLines="0" topLeftCell="A4" zoomScale="110" zoomScaleNormal="110" zoomScaleSheetLayoutView="89" workbookViewId="0">
      <selection activeCell="L50" sqref="L50"/>
    </sheetView>
  </sheetViews>
  <sheetFormatPr defaultColWidth="8.85546875" defaultRowHeight="15" x14ac:dyDescent="0.25"/>
  <cols>
    <col min="1" max="1" width="6.5703125" customWidth="1"/>
    <col min="2" max="2" width="29.85546875" customWidth="1"/>
    <col min="3" max="3" width="9" customWidth="1"/>
    <col min="4" max="4" width="12" bestFit="1" customWidth="1"/>
    <col min="5" max="5" width="9.42578125" customWidth="1"/>
    <col min="6" max="6" width="14.140625" bestFit="1" customWidth="1"/>
    <col min="7" max="7" width="11" bestFit="1" customWidth="1"/>
    <col min="8" max="8" width="12.85546875" bestFit="1" customWidth="1"/>
    <col min="9" max="9" width="7.42578125" customWidth="1"/>
    <col min="12" max="12" width="18.28515625" bestFit="1" customWidth="1"/>
    <col min="13" max="14" width="11" bestFit="1" customWidth="1"/>
    <col min="15" max="15" width="11.42578125" bestFit="1" customWidth="1"/>
    <col min="16" max="16" width="12.42578125" bestFit="1" customWidth="1"/>
    <col min="21" max="21" width="12.42578125" bestFit="1" customWidth="1"/>
  </cols>
  <sheetData>
    <row r="1" spans="1:22" ht="12" customHeight="1" x14ac:dyDescent="0.25">
      <c r="I1" s="59" t="str">
        <f>"Currently running: "&amp;CHOOSE('12. Sensitivity'!$E$8,'12. Sensitivity'!$B$11,'12. Sensitivity'!$B$12,'12. Sensitivity'!$B$13)</f>
        <v>Currently running: Base Case</v>
      </c>
    </row>
    <row r="2" spans="1:22" ht="96.6" customHeight="1" x14ac:dyDescent="0.25">
      <c r="I2" s="59"/>
    </row>
    <row r="3" spans="1:22" ht="15.75" x14ac:dyDescent="0.25">
      <c r="B3" s="953" t="str">
        <f>'3. Headline #s'!A10</f>
        <v>Apartment Development Model 
Reverse 1B</v>
      </c>
      <c r="C3" s="953"/>
      <c r="D3" s="953"/>
      <c r="E3" s="953"/>
      <c r="F3" s="953"/>
      <c r="G3" s="953"/>
      <c r="H3" s="953"/>
    </row>
    <row r="4" spans="1:22" x14ac:dyDescent="0.25">
      <c r="B4" s="951" t="str">
        <f>'3. Headline #s'!A12</f>
        <v>2240 Birchmount Road, Scarborough, ON</v>
      </c>
      <c r="C4" s="951"/>
      <c r="D4" s="951"/>
      <c r="E4" s="951"/>
      <c r="F4" s="951"/>
      <c r="G4" s="951"/>
      <c r="H4" s="951"/>
    </row>
    <row r="5" spans="1:22" x14ac:dyDescent="0.25">
      <c r="B5" s="923" t="s">
        <v>5</v>
      </c>
      <c r="C5" s="923"/>
      <c r="D5" s="923"/>
      <c r="E5" s="923"/>
      <c r="F5" s="923"/>
      <c r="G5" s="923"/>
      <c r="H5" s="923"/>
    </row>
    <row r="6" spans="1:22" ht="3.6" customHeight="1" thickBot="1" x14ac:dyDescent="0.3">
      <c r="A6" s="1"/>
      <c r="B6" s="1"/>
      <c r="C6" s="1"/>
      <c r="D6" s="1"/>
      <c r="E6" s="1"/>
      <c r="F6" s="1"/>
      <c r="G6" s="1"/>
      <c r="H6" s="1"/>
      <c r="I6" s="1"/>
    </row>
    <row r="7" spans="1:22" ht="4.3499999999999996" customHeight="1" x14ac:dyDescent="0.25"/>
    <row r="8" spans="1:22" s="28" customFormat="1" ht="12.75" x14ac:dyDescent="0.2">
      <c r="A8" s="173"/>
      <c r="B8" s="173" t="s">
        <v>25</v>
      </c>
      <c r="C8" s="173"/>
      <c r="D8" s="173"/>
      <c r="E8" s="173"/>
      <c r="F8" s="173"/>
      <c r="G8" s="173"/>
      <c r="H8" s="173"/>
      <c r="I8" s="173"/>
    </row>
    <row r="9" spans="1:22" s="28" customFormat="1" ht="12.75" x14ac:dyDescent="0.2">
      <c r="B9" s="28" t="s">
        <v>26</v>
      </c>
      <c r="D9" s="420">
        <f>C24</f>
        <v>162</v>
      </c>
    </row>
    <row r="10" spans="1:22" s="28" customFormat="1" ht="12.75" x14ac:dyDescent="0.2">
      <c r="B10" s="28" t="s">
        <v>27</v>
      </c>
      <c r="D10" s="796">
        <f>C25</f>
        <v>15</v>
      </c>
    </row>
    <row r="11" spans="1:22" s="28" customFormat="1" ht="12.75" x14ac:dyDescent="0.2">
      <c r="B11" s="66" t="s">
        <v>38</v>
      </c>
      <c r="C11" s="66"/>
      <c r="D11" s="797">
        <f>C26</f>
        <v>15</v>
      </c>
    </row>
    <row r="12" spans="1:22" s="28" customFormat="1" ht="12.75" x14ac:dyDescent="0.2">
      <c r="B12" s="28" t="s">
        <v>14</v>
      </c>
      <c r="D12" s="28">
        <f>SUM(D9:D11)</f>
        <v>192</v>
      </c>
      <c r="F12" s="174" t="s">
        <v>39</v>
      </c>
      <c r="G12" s="175">
        <f>(D9+D10)/E20</f>
        <v>1.0411764705882354</v>
      </c>
      <c r="H12" s="28" t="s">
        <v>736</v>
      </c>
    </row>
    <row r="13" spans="1:22" s="28" customFormat="1" ht="4.3499999999999996" customHeight="1" x14ac:dyDescent="0.2"/>
    <row r="14" spans="1:22" s="28" customFormat="1" ht="12.75" x14ac:dyDescent="0.2">
      <c r="A14" s="173"/>
      <c r="B14" s="173" t="s">
        <v>41</v>
      </c>
      <c r="C14" s="173"/>
      <c r="D14" s="173"/>
      <c r="E14" s="173"/>
      <c r="F14" s="173"/>
      <c r="G14" s="173"/>
      <c r="H14" s="173"/>
      <c r="I14" s="173"/>
    </row>
    <row r="15" spans="1:22" s="28" customFormat="1" ht="12.75" x14ac:dyDescent="0.2">
      <c r="B15" s="176" t="s">
        <v>285</v>
      </c>
      <c r="C15" s="177" t="s">
        <v>277</v>
      </c>
      <c r="D15" s="177" t="s">
        <v>278</v>
      </c>
      <c r="E15" s="177" t="s">
        <v>35</v>
      </c>
      <c r="F15" s="177" t="s">
        <v>36</v>
      </c>
      <c r="G15" s="177" t="s">
        <v>44</v>
      </c>
      <c r="H15" s="177" t="s">
        <v>43</v>
      </c>
      <c r="I15" s="177" t="s">
        <v>37</v>
      </c>
      <c r="L15" s="182"/>
      <c r="R15" s="70"/>
      <c r="U15" s="182"/>
      <c r="V15" s="182"/>
    </row>
    <row r="16" spans="1:22" s="28" customFormat="1" ht="12.75" x14ac:dyDescent="0.2">
      <c r="B16" s="60" t="str">
        <f>'1. 1A Proforma'!D7</f>
        <v>1 Bed</v>
      </c>
      <c r="C16" s="61">
        <f>'1. 1A Proforma'!E7</f>
        <v>624</v>
      </c>
      <c r="D16" s="61">
        <f>+C16*E16</f>
        <v>52416</v>
      </c>
      <c r="E16" s="421">
        <f>'1. 1A Proforma'!F7</f>
        <v>84</v>
      </c>
      <c r="F16" s="62">
        <f>E16/$E$20</f>
        <v>0.49411764705882355</v>
      </c>
      <c r="G16" s="61">
        <f>'1. 1A Proforma'!I7</f>
        <v>2490</v>
      </c>
      <c r="H16" s="212">
        <f>+G16*E16*12</f>
        <v>2509920</v>
      </c>
      <c r="I16" s="64">
        <f>H16/D16/12</f>
        <v>3.9903846153846154</v>
      </c>
      <c r="L16" s="175"/>
      <c r="M16" s="283"/>
      <c r="N16" s="175"/>
      <c r="R16" s="70"/>
      <c r="U16" s="182"/>
      <c r="V16" s="182"/>
    </row>
    <row r="17" spans="1:22" s="28" customFormat="1" ht="12.75" x14ac:dyDescent="0.2">
      <c r="B17" s="60" t="str">
        <f>'1. 1A Proforma'!D8</f>
        <v>2 Bed</v>
      </c>
      <c r="C17" s="61">
        <f>'1. 1A Proforma'!E8</f>
        <v>855.4</v>
      </c>
      <c r="D17" s="303">
        <f>+C17*E17</f>
        <v>58167.199999999997</v>
      </c>
      <c r="E17" s="421">
        <f>'1. 1A Proforma'!F8</f>
        <v>68</v>
      </c>
      <c r="F17" s="304">
        <f>E17/$E$20</f>
        <v>0.4</v>
      </c>
      <c r="G17" s="61">
        <f>'1. 1A Proforma'!I8</f>
        <v>3155</v>
      </c>
      <c r="H17" s="212">
        <f>+G17*E17*12</f>
        <v>2574480</v>
      </c>
      <c r="I17" s="64">
        <f>H17/D17/12</f>
        <v>3.6883329436520929</v>
      </c>
      <c r="L17" s="175"/>
      <c r="M17" s="175"/>
      <c r="N17" s="175"/>
      <c r="O17" s="63"/>
      <c r="R17" s="70"/>
      <c r="U17" s="182"/>
      <c r="V17" s="182"/>
    </row>
    <row r="18" spans="1:22" s="28" customFormat="1" ht="12.75" x14ac:dyDescent="0.2">
      <c r="B18" s="60" t="str">
        <f>'1. 1A Proforma'!D9</f>
        <v>3 Bed</v>
      </c>
      <c r="C18" s="61">
        <f>'1. 1A Proforma'!E9</f>
        <v>1015</v>
      </c>
      <c r="D18" s="303">
        <f>+C18*E18</f>
        <v>18270</v>
      </c>
      <c r="E18" s="421">
        <f>'1. 1A Proforma'!F9</f>
        <v>18</v>
      </c>
      <c r="F18" s="304">
        <f>E18/$E$20</f>
        <v>0.10588235294117647</v>
      </c>
      <c r="G18" s="61">
        <f>'1. 1A Proforma'!I9</f>
        <v>3675</v>
      </c>
      <c r="H18" s="212">
        <f>+G18*E18*12</f>
        <v>793800</v>
      </c>
      <c r="I18" s="64">
        <f>H18/D18/12</f>
        <v>3.6206896551724141</v>
      </c>
      <c r="L18" s="175"/>
      <c r="M18" s="175"/>
      <c r="N18" s="175"/>
      <c r="O18" s="63"/>
      <c r="R18" s="70"/>
      <c r="U18" s="182"/>
      <c r="V18" s="182"/>
    </row>
    <row r="19" spans="1:22" s="28" customFormat="1" ht="12.75" x14ac:dyDescent="0.2">
      <c r="B19" s="65"/>
      <c r="C19" s="67"/>
      <c r="D19" s="68"/>
      <c r="E19" s="67"/>
      <c r="F19" s="304"/>
      <c r="G19" s="68"/>
      <c r="H19" s="212"/>
      <c r="I19" s="64"/>
      <c r="L19" s="315" t="s">
        <v>831</v>
      </c>
      <c r="M19" s="317">
        <f>'14. Sensitivity 2'!D6</f>
        <v>1</v>
      </c>
      <c r="N19" s="175"/>
      <c r="O19" s="322"/>
      <c r="R19" s="321"/>
      <c r="T19" s="175"/>
      <c r="U19" s="63"/>
    </row>
    <row r="20" spans="1:22" s="28" customFormat="1" ht="12.75" x14ac:dyDescent="0.2">
      <c r="B20" s="786" t="s">
        <v>14</v>
      </c>
      <c r="C20" s="323">
        <f>+D20/E20</f>
        <v>757.96</v>
      </c>
      <c r="D20" s="179">
        <f>SUM(D16:D19)</f>
        <v>128853.2</v>
      </c>
      <c r="E20" s="180">
        <f>SUM(E16:E19)</f>
        <v>170</v>
      </c>
      <c r="F20" s="181">
        <f>SUM(F16:F19)</f>
        <v>1</v>
      </c>
      <c r="G20" s="179">
        <f>+H20/12/E20</f>
        <v>2881.4705882352941</v>
      </c>
      <c r="H20" s="785">
        <f>SUM(H16:H19)*M19</f>
        <v>5878200</v>
      </c>
      <c r="I20" s="305">
        <f>H20/D20/12</f>
        <v>3.8016129983578213</v>
      </c>
      <c r="L20" s="182">
        <f>H20</f>
        <v>5878200</v>
      </c>
      <c r="M20" s="175"/>
      <c r="N20" s="175"/>
      <c r="U20" s="182"/>
    </row>
    <row r="21" spans="1:22" s="28" customFormat="1" ht="12.75" x14ac:dyDescent="0.2">
      <c r="B21" s="28" t="s">
        <v>257</v>
      </c>
      <c r="D21" s="302">
        <f>(D16+D17+D19+D18)/E20</f>
        <v>757.96</v>
      </c>
      <c r="F21" s="63"/>
      <c r="G21" s="63">
        <f>(H16+H17+H18+H19)/(E16+E17+E18+E19)/12</f>
        <v>2881.4705882352941</v>
      </c>
      <c r="H21" s="63"/>
      <c r="I21" s="306">
        <f>G21/D21</f>
        <v>3.8016129983578208</v>
      </c>
      <c r="L21" s="175">
        <f>H20-L20</f>
        <v>0</v>
      </c>
      <c r="M21" s="175"/>
      <c r="N21" s="175"/>
      <c r="U21" s="63"/>
    </row>
    <row r="22" spans="1:22" s="28" customFormat="1" ht="4.3499999999999996" customHeight="1" x14ac:dyDescent="0.2">
      <c r="L22" s="175"/>
      <c r="M22" s="175"/>
      <c r="N22" s="175"/>
    </row>
    <row r="23" spans="1:22" s="28" customFormat="1" ht="24" x14ac:dyDescent="0.2">
      <c r="A23" s="79"/>
      <c r="B23" s="780" t="s">
        <v>28</v>
      </c>
      <c r="C23" s="781" t="s">
        <v>730</v>
      </c>
      <c r="D23" s="781" t="s">
        <v>323</v>
      </c>
      <c r="E23" s="782" t="s">
        <v>733</v>
      </c>
      <c r="F23" s="782" t="s">
        <v>732</v>
      </c>
      <c r="G23" s="783" t="s">
        <v>315</v>
      </c>
      <c r="H23" s="783" t="s">
        <v>43</v>
      </c>
      <c r="I23" s="780"/>
      <c r="L23" s="175"/>
      <c r="M23" s="175"/>
      <c r="N23" s="175"/>
    </row>
    <row r="24" spans="1:22" s="28" customFormat="1" ht="12.75" x14ac:dyDescent="0.2">
      <c r="B24" s="778" t="s">
        <v>506</v>
      </c>
      <c r="C24" s="63">
        <f>'1. 1A Proforma'!F18</f>
        <v>162</v>
      </c>
      <c r="D24" s="792">
        <f>'1. 1A Proforma'!G18</f>
        <v>200</v>
      </c>
      <c r="E24" s="212">
        <f>H24/$E$20</f>
        <v>2287.0588235294117</v>
      </c>
      <c r="F24" s="212">
        <f>G24/$E$20</f>
        <v>190.58823529411765</v>
      </c>
      <c r="G24" s="779">
        <f>D24*C24</f>
        <v>32400</v>
      </c>
      <c r="H24" s="63">
        <f>G24*12</f>
        <v>388800</v>
      </c>
    </row>
    <row r="25" spans="1:22" s="28" customFormat="1" ht="12.75" x14ac:dyDescent="0.2">
      <c r="B25" s="778" t="s">
        <v>527</v>
      </c>
      <c r="C25" s="63">
        <f>'1. 1A Proforma'!F19</f>
        <v>15</v>
      </c>
      <c r="D25" s="792">
        <f>'1. 1A Proforma'!G19</f>
        <v>0</v>
      </c>
      <c r="E25" s="212">
        <f t="shared" ref="E25:E28" si="0">H25/$E$20</f>
        <v>0</v>
      </c>
      <c r="F25" s="212">
        <f t="shared" ref="F25:F28" si="1">G25/$E$20</f>
        <v>0</v>
      </c>
      <c r="G25" s="779">
        <f t="shared" ref="G25:G28" si="2">D25*C25</f>
        <v>0</v>
      </c>
      <c r="H25" s="63">
        <f t="shared" ref="H25:H28" si="3">G25*12</f>
        <v>0</v>
      </c>
    </row>
    <row r="26" spans="1:22" s="28" customFormat="1" ht="12.75" x14ac:dyDescent="0.2">
      <c r="B26" s="778" t="s">
        <v>528</v>
      </c>
      <c r="C26" s="63">
        <f>'1. 1A Proforma'!F20</f>
        <v>15</v>
      </c>
      <c r="D26" s="792">
        <f>'1. 1A Proforma'!G20</f>
        <v>0</v>
      </c>
      <c r="E26" s="212">
        <f t="shared" si="0"/>
        <v>0</v>
      </c>
      <c r="F26" s="212">
        <f t="shared" si="1"/>
        <v>0</v>
      </c>
      <c r="G26" s="779">
        <f t="shared" si="2"/>
        <v>0</v>
      </c>
      <c r="H26" s="63">
        <f t="shared" si="3"/>
        <v>0</v>
      </c>
    </row>
    <row r="27" spans="1:22" s="28" customFormat="1" ht="12.75" x14ac:dyDescent="0.2">
      <c r="B27" s="778" t="s">
        <v>234</v>
      </c>
      <c r="C27" s="63">
        <f>'1. 1A Proforma'!F21</f>
        <v>100</v>
      </c>
      <c r="D27" s="792">
        <f>'1. 1A Proforma'!G21</f>
        <v>40</v>
      </c>
      <c r="E27" s="212">
        <f t="shared" si="0"/>
        <v>282.35294117647061</v>
      </c>
      <c r="F27" s="212">
        <f t="shared" si="1"/>
        <v>23.529411764705884</v>
      </c>
      <c r="G27" s="779">
        <f t="shared" si="2"/>
        <v>4000</v>
      </c>
      <c r="H27" s="63">
        <f t="shared" si="3"/>
        <v>48000</v>
      </c>
    </row>
    <row r="28" spans="1:22" s="28" customFormat="1" ht="12.75" x14ac:dyDescent="0.2">
      <c r="B28" s="778" t="s">
        <v>529</v>
      </c>
      <c r="C28" s="63">
        <f>'1. 1A Proforma'!F22</f>
        <v>170</v>
      </c>
      <c r="D28" s="792">
        <f>'1. 1A Proforma'!G22</f>
        <v>20</v>
      </c>
      <c r="E28" s="212">
        <f t="shared" si="0"/>
        <v>240</v>
      </c>
      <c r="F28" s="212">
        <f t="shared" si="1"/>
        <v>20</v>
      </c>
      <c r="G28" s="779">
        <f t="shared" si="2"/>
        <v>3400</v>
      </c>
      <c r="H28" s="63">
        <f t="shared" si="3"/>
        <v>40800</v>
      </c>
    </row>
    <row r="29" spans="1:22" s="28" customFormat="1" ht="12.75" x14ac:dyDescent="0.2">
      <c r="B29" s="778" t="s">
        <v>734</v>
      </c>
      <c r="C29" s="791">
        <f>'1. 1A Proforma'!F26</f>
        <v>4370</v>
      </c>
      <c r="D29" s="792">
        <f>'1. 1A Proforma'!G26</f>
        <v>40</v>
      </c>
      <c r="G29" s="182">
        <f>H29/12</f>
        <v>14566.666666666666</v>
      </c>
      <c r="H29" s="182">
        <f>C29*D29</f>
        <v>174800</v>
      </c>
    </row>
    <row r="30" spans="1:22" s="28" customFormat="1" ht="12.75" x14ac:dyDescent="0.2">
      <c r="B30" s="787" t="s">
        <v>42</v>
      </c>
      <c r="C30" s="786"/>
      <c r="D30" s="786"/>
      <c r="E30" s="786"/>
      <c r="F30" s="793"/>
      <c r="G30" s="788">
        <f>SUM(G24:G29)</f>
        <v>54366.666666666664</v>
      </c>
      <c r="H30" s="788">
        <f>SUM(H24:H29)</f>
        <v>652400</v>
      </c>
      <c r="I30" s="178"/>
      <c r="K30" s="63"/>
    </row>
    <row r="31" spans="1:22" s="28" customFormat="1" ht="12.75" x14ac:dyDescent="0.2">
      <c r="B31" s="784"/>
      <c r="C31" s="187"/>
      <c r="D31" s="187"/>
      <c r="E31" s="187"/>
      <c r="F31" s="794"/>
      <c r="G31" s="789"/>
      <c r="H31" s="789"/>
      <c r="K31" s="63"/>
    </row>
    <row r="32" spans="1:22" s="28" customFormat="1" ht="12.75" x14ac:dyDescent="0.2">
      <c r="B32" s="187" t="s">
        <v>754</v>
      </c>
      <c r="F32" s="182"/>
      <c r="G32" s="789">
        <f>H32/12</f>
        <v>544216.66666666663</v>
      </c>
      <c r="H32" s="789">
        <f>H30+H20</f>
        <v>6530600</v>
      </c>
    </row>
    <row r="33" spans="1:13" s="28" customFormat="1" ht="12.75" x14ac:dyDescent="0.2">
      <c r="B33" s="778" t="s">
        <v>735</v>
      </c>
      <c r="C33" s="795">
        <f>'1. 1A Proforma'!F24</f>
        <v>0.03</v>
      </c>
      <c r="G33" s="790">
        <f>H33/12</f>
        <v>16326.5</v>
      </c>
      <c r="H33" s="790">
        <f>H32*C33</f>
        <v>195918</v>
      </c>
    </row>
    <row r="34" spans="1:13" s="28" customFormat="1" ht="12.75" x14ac:dyDescent="0.2">
      <c r="B34" s="187" t="s">
        <v>29</v>
      </c>
      <c r="C34" s="187"/>
      <c r="D34" s="187"/>
      <c r="E34" s="187"/>
      <c r="F34" s="187"/>
      <c r="G34" s="789">
        <f>G32-G33</f>
        <v>527890.16666666663</v>
      </c>
      <c r="H34" s="789">
        <f>H32-H33</f>
        <v>6334682</v>
      </c>
    </row>
    <row r="35" spans="1:13" s="28" customFormat="1" ht="4.3499999999999996" customHeight="1" x14ac:dyDescent="0.2"/>
    <row r="36" spans="1:13" s="28" customFormat="1" ht="4.3499999999999996" customHeight="1" x14ac:dyDescent="0.2"/>
    <row r="37" spans="1:13" s="28" customFormat="1" ht="12.75" x14ac:dyDescent="0.2">
      <c r="A37" s="173"/>
      <c r="B37" s="173" t="s">
        <v>30</v>
      </c>
      <c r="C37" s="173"/>
      <c r="D37" s="173"/>
      <c r="E37" s="173"/>
      <c r="F37" s="173"/>
      <c r="G37" s="173"/>
      <c r="H37" s="173"/>
      <c r="I37" s="173"/>
    </row>
    <row r="38" spans="1:13" s="79" customFormat="1" ht="18.75" customHeight="1" x14ac:dyDescent="0.2">
      <c r="D38" s="350"/>
      <c r="E38" s="782" t="s">
        <v>731</v>
      </c>
      <c r="F38" s="782" t="s">
        <v>325</v>
      </c>
      <c r="G38" s="821" t="s">
        <v>315</v>
      </c>
      <c r="H38" s="821" t="s">
        <v>316</v>
      </c>
      <c r="I38" s="782" t="s">
        <v>46</v>
      </c>
    </row>
    <row r="39" spans="1:13" s="79" customFormat="1" ht="12.75" x14ac:dyDescent="0.2">
      <c r="B39" s="69" t="s">
        <v>534</v>
      </c>
      <c r="C39" s="798">
        <f>'1. 1A Proforma'!F31</f>
        <v>170</v>
      </c>
      <c r="D39" s="803" t="str">
        <f>'1. 1A Proforma'!G31</f>
        <v>units @</v>
      </c>
      <c r="E39" s="802">
        <f>'1. 1A Proforma'!H31</f>
        <v>1130</v>
      </c>
      <c r="F39" s="801">
        <f>G39/C39</f>
        <v>94.166666666666671</v>
      </c>
      <c r="G39" s="801">
        <f>H39/12</f>
        <v>16008.333333333334</v>
      </c>
      <c r="H39" s="800">
        <f>E39*C39*M39</f>
        <v>192100</v>
      </c>
      <c r="I39" s="811">
        <f>H39/$H$34</f>
        <v>3.0325121292592114E-2</v>
      </c>
      <c r="L39" s="315" t="s">
        <v>832</v>
      </c>
      <c r="M39" s="316">
        <f>+'14. Sensitivity 2'!$D$8</f>
        <v>1</v>
      </c>
    </row>
    <row r="40" spans="1:13" s="79" customFormat="1" ht="12.75" x14ac:dyDescent="0.2">
      <c r="B40" s="69" t="s">
        <v>331</v>
      </c>
      <c r="C40" s="798">
        <f>'1. 1A Proforma'!F32</f>
        <v>170</v>
      </c>
      <c r="D40" s="803" t="str">
        <f>'1. 1A Proforma'!G32</f>
        <v>units @</v>
      </c>
      <c r="E40" s="802">
        <f>'1. 1A Proforma'!H32</f>
        <v>1050</v>
      </c>
      <c r="F40" s="801">
        <f t="shared" ref="F40:F44" si="4">G40/C40</f>
        <v>87.5</v>
      </c>
      <c r="G40" s="801">
        <f t="shared" ref="G40:G45" si="5">H40/12</f>
        <v>14875</v>
      </c>
      <c r="H40" s="800">
        <f t="shared" ref="H40:H44" si="6">E40*C40*M40</f>
        <v>178500</v>
      </c>
      <c r="I40" s="811">
        <f t="shared" ref="I40:I48" si="7">H40/$H$34</f>
        <v>2.817821005063869E-2</v>
      </c>
      <c r="L40" s="315" t="s">
        <v>832</v>
      </c>
      <c r="M40" s="316">
        <f>+M39</f>
        <v>1</v>
      </c>
    </row>
    <row r="41" spans="1:13" s="79" customFormat="1" ht="12.75" x14ac:dyDescent="0.2">
      <c r="B41" s="69" t="s">
        <v>332</v>
      </c>
      <c r="C41" s="798">
        <f>'1. 1A Proforma'!F33</f>
        <v>170</v>
      </c>
      <c r="D41" s="803" t="str">
        <f>'1. 1A Proforma'!G33</f>
        <v>units @</v>
      </c>
      <c r="E41" s="802">
        <f>'1. 1A Proforma'!H33</f>
        <v>1200</v>
      </c>
      <c r="F41" s="801">
        <f t="shared" si="4"/>
        <v>100</v>
      </c>
      <c r="G41" s="801">
        <f t="shared" si="5"/>
        <v>17000</v>
      </c>
      <c r="H41" s="800">
        <f t="shared" si="6"/>
        <v>204000</v>
      </c>
      <c r="I41" s="811">
        <f t="shared" si="7"/>
        <v>3.2203668629301359E-2</v>
      </c>
      <c r="L41" s="315" t="s">
        <v>832</v>
      </c>
      <c r="M41" s="316">
        <f t="shared" ref="M41:M47" si="8">+M40</f>
        <v>1</v>
      </c>
    </row>
    <row r="42" spans="1:13" s="79" customFormat="1" ht="12.75" x14ac:dyDescent="0.2">
      <c r="B42" s="69" t="s">
        <v>333</v>
      </c>
      <c r="C42" s="798">
        <f>'1. 1A Proforma'!F34</f>
        <v>170</v>
      </c>
      <c r="D42" s="803" t="str">
        <f>'1. 1A Proforma'!G34</f>
        <v>units @</v>
      </c>
      <c r="E42" s="802">
        <f>'1. 1A Proforma'!H34</f>
        <v>450</v>
      </c>
      <c r="F42" s="801">
        <f t="shared" si="4"/>
        <v>37.5</v>
      </c>
      <c r="G42" s="801">
        <f t="shared" si="5"/>
        <v>6375</v>
      </c>
      <c r="H42" s="800">
        <f t="shared" si="6"/>
        <v>76500</v>
      </c>
      <c r="I42" s="811">
        <f t="shared" si="7"/>
        <v>1.207637573598801E-2</v>
      </c>
      <c r="L42" s="315" t="s">
        <v>832</v>
      </c>
      <c r="M42" s="316">
        <f t="shared" si="8"/>
        <v>1</v>
      </c>
    </row>
    <row r="43" spans="1:13" s="79" customFormat="1" ht="12.75" x14ac:dyDescent="0.2">
      <c r="B43" s="69" t="s">
        <v>11</v>
      </c>
      <c r="C43" s="798">
        <f>'1. 1A Proforma'!F35</f>
        <v>170</v>
      </c>
      <c r="D43" s="803" t="str">
        <f>'1. 1A Proforma'!G35</f>
        <v>units @</v>
      </c>
      <c r="E43" s="802">
        <f>'1. 1A Proforma'!H35</f>
        <v>300</v>
      </c>
      <c r="F43" s="801">
        <f t="shared" si="4"/>
        <v>25</v>
      </c>
      <c r="G43" s="801">
        <f t="shared" si="5"/>
        <v>4250</v>
      </c>
      <c r="H43" s="800">
        <f t="shared" si="6"/>
        <v>51000</v>
      </c>
      <c r="I43" s="811">
        <f t="shared" si="7"/>
        <v>8.0509171573253397E-3</v>
      </c>
      <c r="L43" s="315" t="s">
        <v>832</v>
      </c>
      <c r="M43" s="316">
        <f t="shared" si="8"/>
        <v>1</v>
      </c>
    </row>
    <row r="44" spans="1:13" s="79" customFormat="1" ht="12.75" x14ac:dyDescent="0.2">
      <c r="B44" s="69" t="s">
        <v>535</v>
      </c>
      <c r="C44" s="798">
        <f>'1. 1A Proforma'!F36</f>
        <v>170</v>
      </c>
      <c r="D44" s="803" t="str">
        <f>'1. 1A Proforma'!G36</f>
        <v>units @</v>
      </c>
      <c r="E44" s="802">
        <f>'1. 1A Proforma'!H36</f>
        <v>250</v>
      </c>
      <c r="F44" s="801">
        <f t="shared" si="4"/>
        <v>20.833333333333332</v>
      </c>
      <c r="G44" s="801">
        <f t="shared" si="5"/>
        <v>3541.6666666666665</v>
      </c>
      <c r="H44" s="800">
        <f t="shared" si="6"/>
        <v>42500</v>
      </c>
      <c r="I44" s="811">
        <f t="shared" si="7"/>
        <v>6.7090976311044498E-3</v>
      </c>
      <c r="L44" s="315" t="s">
        <v>832</v>
      </c>
      <c r="M44" s="316">
        <f t="shared" si="8"/>
        <v>1</v>
      </c>
    </row>
    <row r="45" spans="1:13" s="79" customFormat="1" ht="12.75" x14ac:dyDescent="0.2">
      <c r="B45" s="69" t="s">
        <v>334</v>
      </c>
      <c r="C45" s="798" t="str">
        <f>'1. 1A Proforma'!F37</f>
        <v>% of Gross Revenue</v>
      </c>
      <c r="D45" s="805">
        <f>'1. 1A Proforma'!G37</f>
        <v>4.2500000000000003E-2</v>
      </c>
      <c r="E45" s="802">
        <f>H45/C44</f>
        <v>1583.6705000000002</v>
      </c>
      <c r="F45" s="801">
        <f>G45/C44</f>
        <v>131.9725416666667</v>
      </c>
      <c r="G45" s="801">
        <f t="shared" si="5"/>
        <v>22435.332083333338</v>
      </c>
      <c r="H45" s="800">
        <f>H34*D45*M45</f>
        <v>269223.98500000004</v>
      </c>
      <c r="I45" s="811">
        <f t="shared" si="7"/>
        <v>4.250000000000001E-2</v>
      </c>
      <c r="L45" s="315" t="s">
        <v>832</v>
      </c>
      <c r="M45" s="316">
        <f t="shared" si="8"/>
        <v>1</v>
      </c>
    </row>
    <row r="46" spans="1:13" s="79" customFormat="1" ht="12.75" x14ac:dyDescent="0.2">
      <c r="B46" s="69" t="s">
        <v>737</v>
      </c>
      <c r="C46" s="799">
        <f>'1. 1A Proforma'!F38</f>
        <v>7.5408699999999999E-3</v>
      </c>
      <c r="D46" s="804">
        <f>'1. 1A Proforma'!G38</f>
        <v>450000</v>
      </c>
      <c r="E46" s="81">
        <f>H46/$E$20</f>
        <v>3393.3914999999997</v>
      </c>
      <c r="F46" s="801">
        <f>G46/$E$20</f>
        <v>282.78262499999994</v>
      </c>
      <c r="G46" s="801">
        <f>H46/12</f>
        <v>48073.046249999992</v>
      </c>
      <c r="H46" s="800">
        <f>C46*D46*E20*M46</f>
        <v>576876.55499999993</v>
      </c>
      <c r="I46" s="811">
        <f t="shared" si="7"/>
        <v>9.1066379496239899E-2</v>
      </c>
      <c r="L46" s="315" t="s">
        <v>832</v>
      </c>
      <c r="M46" s="316">
        <f t="shared" si="8"/>
        <v>1</v>
      </c>
    </row>
    <row r="47" spans="1:13" s="79" customFormat="1" ht="12.75" x14ac:dyDescent="0.2">
      <c r="B47" s="71" t="s">
        <v>536</v>
      </c>
      <c r="C47" s="806" t="str">
        <f>'1. 1A Proforma'!F39</f>
        <v>% of Gross Revenue</v>
      </c>
      <c r="D47" s="807">
        <f>'1. 1A Proforma'!G39</f>
        <v>0.02</v>
      </c>
      <c r="E47" s="809">
        <f>H47/$E$20</f>
        <v>745.25670588235289</v>
      </c>
      <c r="F47" s="810">
        <f>G47/$E$20</f>
        <v>62.104725490196081</v>
      </c>
      <c r="G47" s="810">
        <f>H47/12</f>
        <v>10557.803333333333</v>
      </c>
      <c r="H47" s="808">
        <f>D47*H34*M47</f>
        <v>126693.64</v>
      </c>
      <c r="I47" s="812">
        <f t="shared" si="7"/>
        <v>0.02</v>
      </c>
      <c r="L47" s="315" t="s">
        <v>832</v>
      </c>
      <c r="M47" s="316">
        <f t="shared" si="8"/>
        <v>1</v>
      </c>
    </row>
    <row r="48" spans="1:13" s="28" customFormat="1" ht="12.75" x14ac:dyDescent="0.2">
      <c r="B48" s="28" t="s">
        <v>33</v>
      </c>
      <c r="E48" s="63">
        <f>SUM(E39:E47)</f>
        <v>10102.318705882353</v>
      </c>
      <c r="F48" s="63">
        <f>SUM(F39:F47)</f>
        <v>841.85989215686266</v>
      </c>
      <c r="G48" s="182">
        <f>H48/12</f>
        <v>143116.18166666667</v>
      </c>
      <c r="H48" s="63">
        <f>SUM(H39:H47)</f>
        <v>1717394.18</v>
      </c>
      <c r="I48" s="811">
        <f t="shared" si="7"/>
        <v>0.27110976999318986</v>
      </c>
    </row>
    <row r="49" spans="1:12" s="28" customFormat="1" ht="12.75" x14ac:dyDescent="0.2">
      <c r="B49" s="28" t="s">
        <v>93</v>
      </c>
      <c r="D49" s="63"/>
      <c r="E49" s="70"/>
      <c r="F49" s="183"/>
      <c r="G49" s="63"/>
      <c r="H49" s="919">
        <f>'12. Sensitivity'!H30</f>
        <v>0</v>
      </c>
      <c r="L49" s="182">
        <v>1717394.18</v>
      </c>
    </row>
    <row r="50" spans="1:12" s="28" customFormat="1" ht="12.75" x14ac:dyDescent="0.2">
      <c r="B50" s="187" t="s">
        <v>30</v>
      </c>
      <c r="C50" s="187"/>
      <c r="D50" s="789"/>
      <c r="E50" s="813"/>
      <c r="F50" s="814"/>
      <c r="G50" s="789"/>
      <c r="H50" s="789">
        <f>(1+H49)*H48</f>
        <v>1717394.18</v>
      </c>
      <c r="L50" s="63">
        <f>H48-L49</f>
        <v>0</v>
      </c>
    </row>
    <row r="51" spans="1:12" s="28" customFormat="1" ht="12.75" x14ac:dyDescent="0.2">
      <c r="B51" s="28" t="s">
        <v>32</v>
      </c>
      <c r="H51" s="70">
        <f>H50/H34</f>
        <v>0.27110976999318986</v>
      </c>
    </row>
    <row r="52" spans="1:12" s="28" customFormat="1" ht="4.3499999999999996" customHeight="1" x14ac:dyDescent="0.2"/>
    <row r="53" spans="1:12" s="28" customFormat="1" ht="12.75" x14ac:dyDescent="0.2">
      <c r="A53" s="42"/>
      <c r="B53" s="42" t="s">
        <v>178</v>
      </c>
      <c r="C53" s="42"/>
      <c r="D53" s="42"/>
      <c r="E53" s="42"/>
      <c r="F53" s="42"/>
      <c r="G53" s="184"/>
      <c r="H53" s="42"/>
      <c r="I53" s="42"/>
    </row>
    <row r="54" spans="1:12" s="79" customFormat="1" ht="4.3499999999999996" customHeight="1" x14ac:dyDescent="0.2">
      <c r="A54" s="185"/>
      <c r="B54" s="185"/>
      <c r="C54" s="185"/>
      <c r="D54" s="185"/>
      <c r="E54" s="185"/>
      <c r="F54" s="185"/>
      <c r="G54" s="186"/>
      <c r="H54" s="186"/>
      <c r="I54" s="185"/>
    </row>
    <row r="55" spans="1:12" s="28" customFormat="1" ht="12.75" x14ac:dyDescent="0.2">
      <c r="B55" s="187" t="s">
        <v>179</v>
      </c>
      <c r="C55" s="189" t="s">
        <v>40</v>
      </c>
      <c r="D55" s="815">
        <f>I20</f>
        <v>3.8016129983578213</v>
      </c>
      <c r="E55" s="816" t="s">
        <v>738</v>
      </c>
      <c r="F55" s="816"/>
      <c r="G55" s="187"/>
      <c r="H55" s="191">
        <f>H34-H50</f>
        <v>4617287.82</v>
      </c>
    </row>
    <row r="56" spans="1:12" s="28" customFormat="1" ht="12.75" x14ac:dyDescent="0.2">
      <c r="B56" s="193" t="s">
        <v>180</v>
      </c>
      <c r="C56" s="194" t="s">
        <v>40</v>
      </c>
      <c r="D56" s="195">
        <f>'12. Sensitivity'!H10</f>
        <v>4.4999999999999998E-2</v>
      </c>
      <c r="E56" s="66" t="s">
        <v>47</v>
      </c>
      <c r="F56" s="196">
        <f>H56/E20</f>
        <v>603567.03529411776</v>
      </c>
      <c r="G56" s="197" t="s">
        <v>14</v>
      </c>
      <c r="H56" s="198">
        <f>H55/D56</f>
        <v>102606396.00000001</v>
      </c>
    </row>
    <row r="57" spans="1:12" s="28" customFormat="1" ht="12.75" x14ac:dyDescent="0.2">
      <c r="B57" s="28" t="s">
        <v>181</v>
      </c>
      <c r="C57" s="174" t="s">
        <v>40</v>
      </c>
      <c r="D57" s="175">
        <f ca="1">(MAX('10. Development Cash Flow'!I23:CZ23)*12)/D20/12</f>
        <v>4.4820546202965863</v>
      </c>
      <c r="E57" s="213" t="s">
        <v>290</v>
      </c>
      <c r="H57" s="192">
        <f ca="1">MAX('10. Development Cash Flow'!I26:CZ26)*12</f>
        <v>4899902.7728865594</v>
      </c>
      <c r="K57" s="277"/>
    </row>
    <row r="58" spans="1:12" s="28" customFormat="1" ht="12.75" x14ac:dyDescent="0.2">
      <c r="B58" s="193" t="s">
        <v>182</v>
      </c>
      <c r="C58" s="194" t="s">
        <v>40</v>
      </c>
      <c r="D58" s="195">
        <f>'12. Sensitivity'!H10</f>
        <v>4.4999999999999998E-2</v>
      </c>
      <c r="E58" s="66" t="s">
        <v>47</v>
      </c>
      <c r="F58" s="196">
        <f ca="1">H58/E20</f>
        <v>640510.16639039991</v>
      </c>
      <c r="G58" s="197" t="s">
        <v>14</v>
      </c>
      <c r="H58" s="198">
        <f ca="1">H57/D58</f>
        <v>108886728.28636798</v>
      </c>
    </row>
    <row r="59" spans="1:12" s="28" customFormat="1" ht="12.75" x14ac:dyDescent="0.2">
      <c r="H59" s="192"/>
    </row>
    <row r="60" spans="1:12" s="28" customFormat="1" ht="12.75" x14ac:dyDescent="0.2">
      <c r="B60" s="187"/>
      <c r="C60" s="174"/>
      <c r="D60" s="188"/>
      <c r="F60" s="190"/>
      <c r="G60" s="189"/>
      <c r="H60" s="191"/>
    </row>
  </sheetData>
  <mergeCells count="3">
    <mergeCell ref="B3:H3"/>
    <mergeCell ref="B4:H4"/>
    <mergeCell ref="B5:H5"/>
  </mergeCells>
  <pageMargins left="0.25" right="0.25" top="0.75" bottom="0.75" header="0.3" footer="0.3"/>
  <pageSetup scale="9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theme="9" tint="0.59999389629810485"/>
    <pageSetUpPr fitToPage="1"/>
  </sheetPr>
  <dimension ref="A1:BP60"/>
  <sheetViews>
    <sheetView showGridLines="0" zoomScaleNormal="100" zoomScaleSheetLayoutView="85" workbookViewId="0">
      <selection activeCell="AM31" sqref="AM31"/>
    </sheetView>
  </sheetViews>
  <sheetFormatPr defaultColWidth="8.85546875" defaultRowHeight="15" x14ac:dyDescent="0.25"/>
  <cols>
    <col min="1" max="1" width="2.5703125" customWidth="1"/>
    <col min="2" max="2" width="16.85546875" bestFit="1" customWidth="1"/>
    <col min="3" max="3" width="7.85546875" bestFit="1" customWidth="1"/>
    <col min="4" max="5" width="10.42578125" customWidth="1"/>
    <col min="6" max="6" width="17.85546875" bestFit="1" customWidth="1"/>
    <col min="7" max="7" width="4.5703125" bestFit="1" customWidth="1"/>
    <col min="8" max="68" width="1.85546875" customWidth="1"/>
  </cols>
  <sheetData>
    <row r="1" spans="1:68" ht="12" customHeight="1" x14ac:dyDescent="0.25">
      <c r="BP1" s="59" t="str">
        <f>"Currently running: "&amp;CHOOSE('12. Sensitivity'!$E$8,'12. Sensitivity'!$B$11,'12. Sensitivity'!$B$12,'12. Sensitivity'!$B$13)</f>
        <v>Currently running: Base Case</v>
      </c>
    </row>
    <row r="2" spans="1:68" ht="75" customHeight="1" x14ac:dyDescent="0.25">
      <c r="BP2" s="59"/>
    </row>
    <row r="3" spans="1:68" ht="18.75" x14ac:dyDescent="0.3">
      <c r="B3" s="954" t="str">
        <f>'3. Headline #s'!A10</f>
        <v>Apartment Development Model 
Reverse 1B</v>
      </c>
      <c r="C3" s="954"/>
      <c r="D3" s="954"/>
      <c r="E3" s="954"/>
      <c r="F3" s="954"/>
      <c r="G3" s="954"/>
      <c r="H3" s="954"/>
      <c r="I3" s="954"/>
      <c r="J3" s="954"/>
      <c r="K3" s="954"/>
      <c r="L3" s="954"/>
      <c r="M3" s="954"/>
      <c r="N3" s="954"/>
      <c r="O3" s="954"/>
      <c r="P3" s="954"/>
      <c r="Q3" s="954"/>
      <c r="R3" s="954"/>
      <c r="S3" s="954"/>
      <c r="T3" s="954"/>
      <c r="U3" s="954"/>
      <c r="V3" s="954"/>
      <c r="W3" s="954"/>
      <c r="X3" s="954"/>
      <c r="Y3" s="954"/>
      <c r="Z3" s="954"/>
      <c r="AA3" s="954"/>
      <c r="AB3" s="954"/>
      <c r="AC3" s="954"/>
      <c r="AD3" s="954"/>
      <c r="AE3" s="954"/>
      <c r="AF3" s="954"/>
      <c r="AG3" s="954"/>
      <c r="AH3" s="954"/>
      <c r="AI3" s="954"/>
      <c r="AJ3" s="954"/>
      <c r="AK3" s="954"/>
      <c r="AL3" s="954"/>
      <c r="AM3" s="954"/>
      <c r="AN3" s="954"/>
      <c r="AO3" s="954"/>
      <c r="AP3" s="954"/>
      <c r="AQ3" s="954"/>
      <c r="AR3" s="954"/>
      <c r="AS3" s="954"/>
      <c r="AT3" s="954"/>
      <c r="AU3" s="954"/>
      <c r="AV3" s="954"/>
      <c r="AW3" s="954"/>
      <c r="AX3" s="954"/>
      <c r="AY3" s="954"/>
      <c r="AZ3" s="954"/>
      <c r="BA3" s="954"/>
      <c r="BB3" s="954"/>
      <c r="BC3" s="954"/>
      <c r="BD3" s="954"/>
      <c r="BE3" s="954"/>
      <c r="BF3" s="954"/>
      <c r="BG3" s="954"/>
      <c r="BH3" s="954"/>
      <c r="BI3" s="954"/>
      <c r="BJ3" s="954"/>
      <c r="BK3" s="954"/>
      <c r="BL3" s="954"/>
      <c r="BM3" s="954"/>
      <c r="BN3" s="954"/>
      <c r="BO3" s="954"/>
      <c r="BP3" s="954"/>
    </row>
    <row r="4" spans="1:68" x14ac:dyDescent="0.25">
      <c r="B4" s="951" t="str">
        <f>'3. Headline #s'!A12</f>
        <v>2240 Birchmount Road, Scarborough, ON</v>
      </c>
      <c r="C4" s="951"/>
      <c r="D4" s="951"/>
      <c r="E4" s="951"/>
      <c r="F4" s="951"/>
      <c r="G4" s="951"/>
      <c r="H4" s="951"/>
      <c r="I4" s="951"/>
      <c r="J4" s="951"/>
      <c r="K4" s="951"/>
      <c r="L4" s="951"/>
      <c r="M4" s="951"/>
      <c r="N4" s="951"/>
      <c r="O4" s="951"/>
      <c r="P4" s="951"/>
      <c r="Q4" s="951"/>
      <c r="R4" s="951"/>
      <c r="S4" s="951"/>
      <c r="T4" s="951"/>
      <c r="U4" s="951"/>
      <c r="V4" s="951"/>
      <c r="W4" s="951"/>
      <c r="X4" s="951"/>
      <c r="Y4" s="951"/>
      <c r="Z4" s="951"/>
      <c r="AA4" s="951"/>
      <c r="AB4" s="951"/>
      <c r="AC4" s="951"/>
      <c r="AD4" s="951"/>
      <c r="AE4" s="951"/>
      <c r="AF4" s="951"/>
      <c r="AG4" s="951"/>
      <c r="AH4" s="951"/>
      <c r="AI4" s="951"/>
      <c r="AJ4" s="951"/>
      <c r="AK4" s="951"/>
      <c r="AL4" s="951"/>
      <c r="AM4" s="951"/>
      <c r="AN4" s="951"/>
      <c r="AO4" s="951"/>
      <c r="AP4" s="951"/>
      <c r="AQ4" s="951"/>
      <c r="AR4" s="951"/>
      <c r="AS4" s="951"/>
      <c r="AT4" s="951"/>
      <c r="AU4" s="951"/>
      <c r="AV4" s="951"/>
      <c r="AW4" s="951"/>
      <c r="AX4" s="951"/>
      <c r="AY4" s="951"/>
      <c r="AZ4" s="951"/>
      <c r="BA4" s="951"/>
      <c r="BB4" s="951"/>
      <c r="BC4" s="951"/>
      <c r="BD4" s="951"/>
      <c r="BE4" s="951"/>
      <c r="BF4" s="951"/>
      <c r="BG4" s="951"/>
      <c r="BH4" s="951"/>
      <c r="BI4" s="951"/>
      <c r="BJ4" s="951"/>
      <c r="BK4" s="951"/>
      <c r="BL4" s="951"/>
      <c r="BM4" s="951"/>
      <c r="BN4" s="951"/>
      <c r="BO4" s="951"/>
      <c r="BP4" s="951"/>
    </row>
    <row r="5" spans="1:68" x14ac:dyDescent="0.25">
      <c r="B5" s="923" t="s">
        <v>103</v>
      </c>
      <c r="C5" s="923"/>
      <c r="D5" s="923"/>
      <c r="E5" s="923"/>
      <c r="F5" s="923"/>
      <c r="G5" s="923"/>
      <c r="H5" s="923"/>
      <c r="I5" s="923"/>
      <c r="J5" s="923"/>
      <c r="K5" s="923"/>
      <c r="L5" s="923"/>
      <c r="M5" s="923"/>
      <c r="N5" s="923"/>
      <c r="O5" s="923"/>
      <c r="P5" s="923"/>
      <c r="Q5" s="923"/>
      <c r="R5" s="923"/>
      <c r="S5" s="923"/>
      <c r="T5" s="923"/>
      <c r="U5" s="923"/>
      <c r="V5" s="923"/>
      <c r="W5" s="923"/>
      <c r="X5" s="923"/>
      <c r="Y5" s="923"/>
      <c r="Z5" s="923"/>
      <c r="AA5" s="923"/>
      <c r="AB5" s="923"/>
      <c r="AC5" s="923"/>
      <c r="AD5" s="923"/>
      <c r="AE5" s="923"/>
      <c r="AF5" s="923"/>
      <c r="AG5" s="923"/>
      <c r="AH5" s="923"/>
      <c r="AI5" s="923"/>
      <c r="AJ5" s="923"/>
      <c r="AK5" s="923"/>
      <c r="AL5" s="923"/>
      <c r="AM5" s="923"/>
      <c r="AN5" s="923"/>
      <c r="AO5" s="923"/>
      <c r="AP5" s="923"/>
      <c r="AQ5" s="923"/>
      <c r="AR5" s="923"/>
      <c r="AS5" s="923"/>
      <c r="AT5" s="923"/>
      <c r="AU5" s="923"/>
      <c r="AV5" s="923"/>
      <c r="AW5" s="923"/>
      <c r="AX5" s="923"/>
      <c r="AY5" s="923"/>
      <c r="AZ5" s="923"/>
      <c r="BA5" s="923"/>
      <c r="BB5" s="923"/>
      <c r="BC5" s="923"/>
      <c r="BD5" s="923"/>
      <c r="BE5" s="923"/>
      <c r="BF5" s="923"/>
      <c r="BG5" s="923"/>
      <c r="BH5" s="923"/>
      <c r="BI5" s="923"/>
      <c r="BJ5" s="923"/>
      <c r="BK5" s="923"/>
      <c r="BL5" s="923"/>
      <c r="BM5" s="923"/>
      <c r="BN5" s="923"/>
      <c r="BO5" s="923"/>
      <c r="BP5" s="923"/>
    </row>
    <row r="6" spans="1:68" ht="3.6" customHeight="1" thickBot="1" x14ac:dyDescent="0.3">
      <c r="A6" s="1"/>
      <c r="B6" s="1"/>
      <c r="C6" s="1"/>
      <c r="D6" s="1"/>
      <c r="E6" s="1"/>
      <c r="F6" s="1"/>
      <c r="G6" s="1"/>
      <c r="H6" s="1"/>
      <c r="BE6" s="1"/>
      <c r="BF6" s="1"/>
      <c r="BG6" s="1"/>
      <c r="BH6" s="1"/>
      <c r="BI6" s="1"/>
      <c r="BJ6" s="1"/>
      <c r="BK6" s="1"/>
      <c r="BL6" s="1"/>
      <c r="BM6" s="1"/>
      <c r="BN6" s="1"/>
      <c r="BO6" s="1"/>
      <c r="BP6" s="1"/>
    </row>
    <row r="7" spans="1:68" ht="14.1" customHeight="1" x14ac:dyDescent="0.25">
      <c r="A7" s="286"/>
      <c r="B7" s="287"/>
      <c r="C7" s="287"/>
      <c r="D7" s="287"/>
      <c r="E7" s="287"/>
      <c r="F7" s="287"/>
      <c r="G7" s="287"/>
      <c r="H7" s="287"/>
      <c r="I7" s="286"/>
      <c r="J7" s="287"/>
      <c r="K7" s="287"/>
      <c r="L7" s="287"/>
      <c r="M7" s="287"/>
      <c r="N7" s="287"/>
      <c r="O7" s="287"/>
      <c r="P7" s="287"/>
      <c r="Q7" s="287"/>
      <c r="R7" s="287"/>
      <c r="S7" s="287"/>
      <c r="T7" s="287"/>
      <c r="U7" s="287"/>
      <c r="V7" s="287"/>
      <c r="W7" s="287"/>
      <c r="X7" s="287"/>
      <c r="Y7" s="287"/>
      <c r="Z7" s="287"/>
      <c r="AA7" s="287"/>
      <c r="AB7" s="287"/>
      <c r="AC7" s="287"/>
      <c r="AD7" s="287"/>
      <c r="AE7" s="287"/>
      <c r="AF7" s="287"/>
      <c r="AG7" s="287"/>
      <c r="AH7" s="287"/>
      <c r="AI7" s="287"/>
      <c r="AJ7" s="287"/>
      <c r="AK7" s="287"/>
      <c r="AL7" s="287"/>
      <c r="AM7" s="287"/>
      <c r="AN7" s="287"/>
      <c r="AO7" s="287"/>
      <c r="AP7" s="287"/>
      <c r="AQ7" s="287"/>
      <c r="AR7" s="287"/>
      <c r="AS7" s="287"/>
      <c r="AT7" s="287"/>
      <c r="AU7" s="287"/>
      <c r="AV7" s="286"/>
      <c r="AW7" s="287"/>
      <c r="AX7" s="287"/>
      <c r="AY7" s="287"/>
      <c r="AZ7" s="287"/>
      <c r="BA7" s="287"/>
      <c r="BB7" s="287"/>
      <c r="BC7" s="287"/>
      <c r="BD7" s="288"/>
      <c r="BE7" s="287"/>
      <c r="BF7" s="287"/>
      <c r="BG7" s="287"/>
      <c r="BH7" s="287"/>
      <c r="BI7" s="287"/>
      <c r="BJ7" s="287"/>
      <c r="BK7" s="287"/>
      <c r="BL7" s="287"/>
      <c r="BM7" s="287"/>
      <c r="BN7" s="287"/>
      <c r="BO7" s="287"/>
      <c r="BP7" s="288"/>
    </row>
    <row r="8" spans="1:68" ht="14.1" customHeight="1" x14ac:dyDescent="0.25">
      <c r="A8" s="289"/>
      <c r="B8" t="s">
        <v>104</v>
      </c>
      <c r="D8" s="95">
        <f ca="1">'5. Key Assumptions'!G10</f>
        <v>46069</v>
      </c>
      <c r="I8" s="289"/>
      <c r="AV8" s="289"/>
      <c r="BD8" s="290"/>
      <c r="BP8" s="290"/>
    </row>
    <row r="9" spans="1:68" ht="14.1" customHeight="1" x14ac:dyDescent="0.25">
      <c r="A9" s="289"/>
      <c r="D9" s="95"/>
      <c r="I9" s="289"/>
      <c r="AV9" s="289"/>
      <c r="BD9" s="290"/>
      <c r="BP9" s="290"/>
    </row>
    <row r="10" spans="1:68" ht="14.1" customHeight="1" x14ac:dyDescent="0.25">
      <c r="A10" s="289"/>
      <c r="I10" s="337">
        <f ca="1">D8</f>
        <v>46069</v>
      </c>
      <c r="J10" s="338">
        <f ca="1">EDATE(I10,1)</f>
        <v>46097</v>
      </c>
      <c r="K10" s="338">
        <f t="shared" ref="K10:BP10" ca="1" si="0">EDATE(J10,1)</f>
        <v>46128</v>
      </c>
      <c r="L10" s="338">
        <f t="shared" ca="1" si="0"/>
        <v>46158</v>
      </c>
      <c r="M10" s="338">
        <f t="shared" ca="1" si="0"/>
        <v>46189</v>
      </c>
      <c r="N10" s="338">
        <f t="shared" ca="1" si="0"/>
        <v>46219</v>
      </c>
      <c r="O10" s="338">
        <f t="shared" ca="1" si="0"/>
        <v>46250</v>
      </c>
      <c r="P10" s="338">
        <f t="shared" ca="1" si="0"/>
        <v>46281</v>
      </c>
      <c r="Q10" s="338">
        <f t="shared" ca="1" si="0"/>
        <v>46311</v>
      </c>
      <c r="R10" s="338">
        <f t="shared" ca="1" si="0"/>
        <v>46342</v>
      </c>
      <c r="S10" s="338">
        <f t="shared" ca="1" si="0"/>
        <v>46372</v>
      </c>
      <c r="T10" s="338">
        <f t="shared" ca="1" si="0"/>
        <v>46403</v>
      </c>
      <c r="U10" s="338">
        <f t="shared" ca="1" si="0"/>
        <v>46434</v>
      </c>
      <c r="V10" s="338">
        <f t="shared" ca="1" si="0"/>
        <v>46462</v>
      </c>
      <c r="W10" s="338">
        <f t="shared" ca="1" si="0"/>
        <v>46493</v>
      </c>
      <c r="X10" s="338">
        <f t="shared" ca="1" si="0"/>
        <v>46523</v>
      </c>
      <c r="Y10" s="338">
        <f t="shared" ca="1" si="0"/>
        <v>46554</v>
      </c>
      <c r="Z10" s="338">
        <f t="shared" ca="1" si="0"/>
        <v>46584</v>
      </c>
      <c r="AA10" s="338">
        <f t="shared" ca="1" si="0"/>
        <v>46615</v>
      </c>
      <c r="AB10" s="338">
        <f t="shared" ca="1" si="0"/>
        <v>46646</v>
      </c>
      <c r="AC10" s="338">
        <f t="shared" ca="1" si="0"/>
        <v>46676</v>
      </c>
      <c r="AD10" s="338">
        <f t="shared" ca="1" si="0"/>
        <v>46707</v>
      </c>
      <c r="AE10" s="338">
        <f t="shared" ca="1" si="0"/>
        <v>46737</v>
      </c>
      <c r="AF10" s="338">
        <f t="shared" ca="1" si="0"/>
        <v>46768</v>
      </c>
      <c r="AG10" s="338">
        <f t="shared" ca="1" si="0"/>
        <v>46799</v>
      </c>
      <c r="AH10" s="338">
        <f t="shared" ca="1" si="0"/>
        <v>46828</v>
      </c>
      <c r="AI10" s="338">
        <f t="shared" ca="1" si="0"/>
        <v>46859</v>
      </c>
      <c r="AJ10" s="338">
        <f t="shared" ca="1" si="0"/>
        <v>46889</v>
      </c>
      <c r="AK10" s="338">
        <f t="shared" ca="1" si="0"/>
        <v>46920</v>
      </c>
      <c r="AL10" s="338">
        <f t="shared" ca="1" si="0"/>
        <v>46950</v>
      </c>
      <c r="AM10" s="338">
        <f t="shared" ca="1" si="0"/>
        <v>46981</v>
      </c>
      <c r="AN10" s="338">
        <f t="shared" ca="1" si="0"/>
        <v>47012</v>
      </c>
      <c r="AO10" s="338">
        <f t="shared" ca="1" si="0"/>
        <v>47042</v>
      </c>
      <c r="AP10" s="338">
        <f t="shared" ca="1" si="0"/>
        <v>47073</v>
      </c>
      <c r="AQ10" s="338">
        <f t="shared" ca="1" si="0"/>
        <v>47103</v>
      </c>
      <c r="AR10" s="338">
        <f t="shared" ca="1" si="0"/>
        <v>47134</v>
      </c>
      <c r="AS10" s="338">
        <f t="shared" ca="1" si="0"/>
        <v>47165</v>
      </c>
      <c r="AT10" s="338">
        <f t="shared" ca="1" si="0"/>
        <v>47193</v>
      </c>
      <c r="AU10" s="338">
        <f t="shared" ca="1" si="0"/>
        <v>47224</v>
      </c>
      <c r="AV10" s="418">
        <f t="shared" ca="1" si="0"/>
        <v>47254</v>
      </c>
      <c r="AW10" s="338">
        <f t="shared" ca="1" si="0"/>
        <v>47285</v>
      </c>
      <c r="AX10" s="338">
        <f t="shared" ca="1" si="0"/>
        <v>47315</v>
      </c>
      <c r="AY10" s="338">
        <f t="shared" ca="1" si="0"/>
        <v>47346</v>
      </c>
      <c r="AZ10" s="338">
        <f t="shared" ca="1" si="0"/>
        <v>47377</v>
      </c>
      <c r="BA10" s="338">
        <f t="shared" ca="1" si="0"/>
        <v>47407</v>
      </c>
      <c r="BB10" s="338">
        <f t="shared" ca="1" si="0"/>
        <v>47438</v>
      </c>
      <c r="BC10" s="338">
        <f t="shared" ca="1" si="0"/>
        <v>47468</v>
      </c>
      <c r="BD10" s="339">
        <f t="shared" ca="1" si="0"/>
        <v>47499</v>
      </c>
      <c r="BE10" s="338">
        <f t="shared" ca="1" si="0"/>
        <v>47530</v>
      </c>
      <c r="BF10" s="338">
        <f t="shared" ca="1" si="0"/>
        <v>47558</v>
      </c>
      <c r="BG10" s="338">
        <f t="shared" ca="1" si="0"/>
        <v>47589</v>
      </c>
      <c r="BH10" s="338">
        <f t="shared" ca="1" si="0"/>
        <v>47619</v>
      </c>
      <c r="BI10" s="338">
        <f t="shared" ca="1" si="0"/>
        <v>47650</v>
      </c>
      <c r="BJ10" s="338">
        <f t="shared" ca="1" si="0"/>
        <v>47680</v>
      </c>
      <c r="BK10" s="338">
        <f t="shared" ca="1" si="0"/>
        <v>47711</v>
      </c>
      <c r="BL10" s="338">
        <f t="shared" ca="1" si="0"/>
        <v>47742</v>
      </c>
      <c r="BM10" s="338">
        <f t="shared" ca="1" si="0"/>
        <v>47772</v>
      </c>
      <c r="BN10" s="338">
        <f t="shared" ca="1" si="0"/>
        <v>47803</v>
      </c>
      <c r="BO10" s="338">
        <f t="shared" ca="1" si="0"/>
        <v>47833</v>
      </c>
      <c r="BP10" s="339">
        <f t="shared" ca="1" si="0"/>
        <v>47864</v>
      </c>
    </row>
    <row r="11" spans="1:68" ht="14.1" customHeight="1" x14ac:dyDescent="0.25">
      <c r="A11" s="330"/>
      <c r="B11" s="17"/>
      <c r="C11" s="96" t="s">
        <v>98</v>
      </c>
      <c r="D11" s="96" t="s">
        <v>99</v>
      </c>
      <c r="E11" s="96" t="s">
        <v>100</v>
      </c>
      <c r="F11" s="106" t="s">
        <v>101</v>
      </c>
      <c r="G11" s="96" t="s">
        <v>102</v>
      </c>
      <c r="H11" s="17"/>
      <c r="I11" s="957" t="str">
        <f ca="1">"Q"&amp;ROUNDUP(MONTH(I10)/3,0)&amp;" "&amp;YEAR(I10)</f>
        <v>Q1 2026</v>
      </c>
      <c r="J11" s="958"/>
      <c r="K11" s="958"/>
      <c r="L11" s="955" t="str">
        <f t="shared" ref="L11" ca="1" si="1">"Q"&amp;ROUNDUP(MONTH(L10)/3,0)&amp;" "&amp;YEAR(L10)</f>
        <v>Q2 2026</v>
      </c>
      <c r="M11" s="956"/>
      <c r="N11" s="956"/>
      <c r="O11" s="955" t="str">
        <f t="shared" ref="O11" ca="1" si="2">"Q"&amp;ROUNDUP(MONTH(O10)/3,0)&amp;" "&amp;YEAR(O10)</f>
        <v>Q3 2026</v>
      </c>
      <c r="P11" s="956"/>
      <c r="Q11" s="956"/>
      <c r="R11" s="955" t="str">
        <f t="shared" ref="R11" ca="1" si="3">"Q"&amp;ROUNDUP(MONTH(R10)/3,0)&amp;" "&amp;YEAR(R10)</f>
        <v>Q4 2026</v>
      </c>
      <c r="S11" s="956"/>
      <c r="T11" s="956"/>
      <c r="U11" s="955" t="str">
        <f t="shared" ref="U11" ca="1" si="4">"Q"&amp;ROUNDUP(MONTH(U10)/3,0)&amp;" "&amp;YEAR(U10)</f>
        <v>Q1 2027</v>
      </c>
      <c r="V11" s="956"/>
      <c r="W11" s="956"/>
      <c r="X11" s="955" t="str">
        <f t="shared" ref="X11" ca="1" si="5">"Q"&amp;ROUNDUP(MONTH(X10)/3,0)&amp;" "&amp;YEAR(X10)</f>
        <v>Q2 2027</v>
      </c>
      <c r="Y11" s="956"/>
      <c r="Z11" s="956"/>
      <c r="AA11" s="955" t="str">
        <f t="shared" ref="AA11" ca="1" si="6">"Q"&amp;ROUNDUP(MONTH(AA10)/3,0)&amp;" "&amp;YEAR(AA10)</f>
        <v>Q3 2027</v>
      </c>
      <c r="AB11" s="956"/>
      <c r="AC11" s="956"/>
      <c r="AD11" s="955" t="str">
        <f t="shared" ref="AD11" ca="1" si="7">"Q"&amp;ROUNDUP(MONTH(AD10)/3,0)&amp;" "&amp;YEAR(AD10)</f>
        <v>Q4 2027</v>
      </c>
      <c r="AE11" s="956"/>
      <c r="AF11" s="956"/>
      <c r="AG11" s="955" t="str">
        <f t="shared" ref="AG11" ca="1" si="8">"Q"&amp;ROUNDUP(MONTH(AG10)/3,0)&amp;" "&amp;YEAR(AG10)</f>
        <v>Q1 2028</v>
      </c>
      <c r="AH11" s="956"/>
      <c r="AI11" s="956"/>
      <c r="AJ11" s="955" t="str">
        <f t="shared" ref="AJ11" ca="1" si="9">"Q"&amp;ROUNDUP(MONTH(AJ10)/3,0)&amp;" "&amp;YEAR(AJ10)</f>
        <v>Q2 2028</v>
      </c>
      <c r="AK11" s="956"/>
      <c r="AL11" s="956"/>
      <c r="AM11" s="960" t="str">
        <f t="shared" ref="AM11" ca="1" si="10">"Q"&amp;ROUNDUP(MONTH(AM10)/3,0)&amp;" "&amp;YEAR(AM10)</f>
        <v>Q3 2028</v>
      </c>
      <c r="AN11" s="958"/>
      <c r="AO11" s="958"/>
      <c r="AP11" s="955" t="str">
        <f t="shared" ref="AP11" ca="1" si="11">"Q"&amp;ROUNDUP(MONTH(AP10)/3,0)&amp;" "&amp;YEAR(AP10)</f>
        <v>Q4 2028</v>
      </c>
      <c r="AQ11" s="956"/>
      <c r="AR11" s="956"/>
      <c r="AS11" s="960" t="str">
        <f t="shared" ref="AS11" ca="1" si="12">"Q"&amp;ROUNDUP(MONTH(AS10)/3,0)&amp;" "&amp;YEAR(AS10)</f>
        <v>Q1 2029</v>
      </c>
      <c r="AT11" s="958"/>
      <c r="AU11" s="958"/>
      <c r="AV11" s="961" t="str">
        <f t="shared" ref="AV11" ca="1" si="13">"Q"&amp;ROUNDUP(MONTH(AV10)/3,0)&amp;" "&amp;YEAR(AV10)</f>
        <v>Q2 2029</v>
      </c>
      <c r="AW11" s="956"/>
      <c r="AX11" s="956"/>
      <c r="AY11" s="955" t="str">
        <f t="shared" ref="AY11" ca="1" si="14">"Q"&amp;ROUNDUP(MONTH(AY10)/3,0)&amp;" "&amp;YEAR(AY10)</f>
        <v>Q3 2029</v>
      </c>
      <c r="AZ11" s="956"/>
      <c r="BA11" s="956"/>
      <c r="BB11" s="955" t="str">
        <f t="shared" ref="BB11" ca="1" si="15">"Q"&amp;ROUNDUP(MONTH(BB10)/3,0)&amp;" "&amp;YEAR(BB10)</f>
        <v>Q4 2029</v>
      </c>
      <c r="BC11" s="956"/>
      <c r="BD11" s="959"/>
      <c r="BE11" s="956" t="str">
        <f t="shared" ref="BE11" ca="1" si="16">"Q"&amp;ROUNDUP(MONTH(BE10)/3,0)&amp;" "&amp;YEAR(BE10)</f>
        <v>Q1 2030</v>
      </c>
      <c r="BF11" s="956"/>
      <c r="BG11" s="956"/>
      <c r="BH11" s="955" t="str">
        <f t="shared" ref="BH11" ca="1" si="17">"Q"&amp;ROUNDUP(MONTH(BH10)/3,0)&amp;" "&amp;YEAR(BH10)</f>
        <v>Q2 2030</v>
      </c>
      <c r="BI11" s="956"/>
      <c r="BJ11" s="956"/>
      <c r="BK11" s="955" t="str">
        <f t="shared" ref="BK11" ca="1" si="18">"Q"&amp;ROUNDUP(MONTH(BK10)/3,0)&amp;" "&amp;YEAR(BK10)</f>
        <v>Q3 2030</v>
      </c>
      <c r="BL11" s="956"/>
      <c r="BM11" s="956"/>
      <c r="BN11" s="955" t="str">
        <f t="shared" ref="BN11" ca="1" si="19">"Q"&amp;ROUNDUP(MONTH(BN10)/3,0)&amp;" "&amp;YEAR(BN10)</f>
        <v>Q4 2030</v>
      </c>
      <c r="BO11" s="956"/>
      <c r="BP11" s="959"/>
    </row>
    <row r="12" spans="1:68" ht="14.1" customHeight="1" x14ac:dyDescent="0.25">
      <c r="A12" s="289"/>
      <c r="B12" s="25"/>
      <c r="H12" s="26"/>
      <c r="I12" s="340"/>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340"/>
      <c r="AW12" s="26"/>
      <c r="AX12" s="26"/>
      <c r="AY12" s="26"/>
      <c r="AZ12" s="26"/>
      <c r="BA12" s="26"/>
      <c r="BB12" s="26"/>
      <c r="BC12" s="26"/>
      <c r="BD12" s="331"/>
      <c r="BE12" s="26"/>
      <c r="BF12" s="26"/>
      <c r="BG12" s="26"/>
      <c r="BH12" s="26"/>
      <c r="BI12" s="26"/>
      <c r="BJ12" s="26"/>
      <c r="BK12" s="26"/>
      <c r="BL12" s="26"/>
      <c r="BM12" s="26"/>
      <c r="BN12" s="26"/>
      <c r="BO12" s="26"/>
      <c r="BP12" s="331"/>
    </row>
    <row r="13" spans="1:68" ht="14.1" customHeight="1" x14ac:dyDescent="0.25">
      <c r="A13" s="289"/>
      <c r="B13" s="26" t="s">
        <v>97</v>
      </c>
      <c r="C13" s="104">
        <f>+'5. Key Assumptions'!E12</f>
        <v>0</v>
      </c>
      <c r="D13" s="97">
        <f ca="1">D8</f>
        <v>46069</v>
      </c>
      <c r="E13" s="97">
        <f ca="1">EDATE(D13,C13)</f>
        <v>46069</v>
      </c>
      <c r="F13" s="25" t="str">
        <f>B8</f>
        <v>Project Start Date</v>
      </c>
      <c r="G13" s="94">
        <f>+'5. Key Assumptions'!F12</f>
        <v>0</v>
      </c>
      <c r="H13" s="25"/>
      <c r="I13" s="341">
        <f ca="1">IF(AND(I$10&gt;=$D13,I$10&lt;=$E13),1,"")</f>
        <v>1</v>
      </c>
      <c r="J13" s="25" t="str">
        <f t="shared" ref="J13:BP20" ca="1" si="20">IF(AND(J$10&gt;=$D13,J$10&lt;=$E13),1,"")</f>
        <v/>
      </c>
      <c r="K13" s="25" t="str">
        <f t="shared" ca="1" si="20"/>
        <v/>
      </c>
      <c r="L13" s="25" t="str">
        <f t="shared" ca="1" si="20"/>
        <v/>
      </c>
      <c r="M13" s="25" t="str">
        <f t="shared" ca="1" si="20"/>
        <v/>
      </c>
      <c r="N13" s="25" t="str">
        <f t="shared" ca="1" si="20"/>
        <v/>
      </c>
      <c r="O13" s="25" t="str">
        <f t="shared" ca="1" si="20"/>
        <v/>
      </c>
      <c r="P13" s="25" t="str">
        <f t="shared" ca="1" si="20"/>
        <v/>
      </c>
      <c r="Q13" s="25" t="str">
        <f t="shared" ca="1" si="20"/>
        <v/>
      </c>
      <c r="R13" s="25" t="str">
        <f t="shared" ca="1" si="20"/>
        <v/>
      </c>
      <c r="S13" s="25" t="str">
        <f t="shared" ca="1" si="20"/>
        <v/>
      </c>
      <c r="T13" s="25" t="str">
        <f t="shared" ca="1" si="20"/>
        <v/>
      </c>
      <c r="U13" s="25" t="str">
        <f t="shared" ca="1" si="20"/>
        <v/>
      </c>
      <c r="V13" s="25" t="str">
        <f t="shared" ca="1" si="20"/>
        <v/>
      </c>
      <c r="W13" s="25" t="str">
        <f t="shared" ca="1" si="20"/>
        <v/>
      </c>
      <c r="X13" s="25" t="str">
        <f t="shared" ca="1" si="20"/>
        <v/>
      </c>
      <c r="Y13" s="25" t="str">
        <f t="shared" ca="1" si="20"/>
        <v/>
      </c>
      <c r="Z13" s="25" t="str">
        <f t="shared" ca="1" si="20"/>
        <v/>
      </c>
      <c r="AA13" s="25" t="str">
        <f t="shared" ca="1" si="20"/>
        <v/>
      </c>
      <c r="AB13" s="25" t="str">
        <f t="shared" ca="1" si="20"/>
        <v/>
      </c>
      <c r="AC13" s="25" t="str">
        <f t="shared" ca="1" si="20"/>
        <v/>
      </c>
      <c r="AD13" s="25" t="str">
        <f t="shared" ca="1" si="20"/>
        <v/>
      </c>
      <c r="AE13" s="25" t="str">
        <f t="shared" ca="1" si="20"/>
        <v/>
      </c>
      <c r="AF13" s="25" t="str">
        <f t="shared" ca="1" si="20"/>
        <v/>
      </c>
      <c r="AG13" s="25" t="str">
        <f t="shared" ca="1" si="20"/>
        <v/>
      </c>
      <c r="AH13" s="25" t="str">
        <f t="shared" ca="1" si="20"/>
        <v/>
      </c>
      <c r="AI13" s="25" t="str">
        <f t="shared" ca="1" si="20"/>
        <v/>
      </c>
      <c r="AJ13" s="25" t="str">
        <f t="shared" ca="1" si="20"/>
        <v/>
      </c>
      <c r="AK13" s="25" t="str">
        <f t="shared" ca="1" si="20"/>
        <v/>
      </c>
      <c r="AL13" s="25" t="str">
        <f t="shared" ca="1" si="20"/>
        <v/>
      </c>
      <c r="AM13" s="25" t="str">
        <f t="shared" ca="1" si="20"/>
        <v/>
      </c>
      <c r="AN13" s="25" t="str">
        <f t="shared" ca="1" si="20"/>
        <v/>
      </c>
      <c r="AO13" s="25" t="str">
        <f t="shared" ca="1" si="20"/>
        <v/>
      </c>
      <c r="AP13" s="25" t="str">
        <f t="shared" ca="1" si="20"/>
        <v/>
      </c>
      <c r="AQ13" s="25" t="str">
        <f t="shared" ca="1" si="20"/>
        <v/>
      </c>
      <c r="AR13" s="25" t="str">
        <f t="shared" ca="1" si="20"/>
        <v/>
      </c>
      <c r="AS13" s="25" t="str">
        <f t="shared" ca="1" si="20"/>
        <v/>
      </c>
      <c r="AT13" s="25" t="str">
        <f t="shared" ca="1" si="20"/>
        <v/>
      </c>
      <c r="AU13" s="25" t="str">
        <f t="shared" ca="1" si="20"/>
        <v/>
      </c>
      <c r="AV13" s="341" t="str">
        <f t="shared" ca="1" si="20"/>
        <v/>
      </c>
      <c r="AW13" s="25" t="str">
        <f t="shared" ca="1" si="20"/>
        <v/>
      </c>
      <c r="AX13" s="25" t="str">
        <f t="shared" ca="1" si="20"/>
        <v/>
      </c>
      <c r="AY13" s="25" t="str">
        <f t="shared" ca="1" si="20"/>
        <v/>
      </c>
      <c r="AZ13" s="25" t="str">
        <f t="shared" ca="1" si="20"/>
        <v/>
      </c>
      <c r="BA13" s="25" t="str">
        <f t="shared" ca="1" si="20"/>
        <v/>
      </c>
      <c r="BB13" s="25" t="str">
        <f t="shared" ca="1" si="20"/>
        <v/>
      </c>
      <c r="BC13" s="25" t="str">
        <f t="shared" ca="1" si="20"/>
        <v/>
      </c>
      <c r="BD13" s="332" t="str">
        <f t="shared" ca="1" si="20"/>
        <v/>
      </c>
      <c r="BE13" s="25" t="str">
        <f t="shared" ca="1" si="20"/>
        <v/>
      </c>
      <c r="BF13" s="25" t="str">
        <f t="shared" ca="1" si="20"/>
        <v/>
      </c>
      <c r="BG13" s="25" t="str">
        <f t="shared" ca="1" si="20"/>
        <v/>
      </c>
      <c r="BH13" s="25" t="str">
        <f t="shared" ca="1" si="20"/>
        <v/>
      </c>
      <c r="BI13" s="25" t="str">
        <f t="shared" ca="1" si="20"/>
        <v/>
      </c>
      <c r="BJ13" s="25" t="str">
        <f t="shared" ca="1" si="20"/>
        <v/>
      </c>
      <c r="BK13" s="25" t="str">
        <f t="shared" ca="1" si="20"/>
        <v/>
      </c>
      <c r="BL13" s="25" t="str">
        <f t="shared" ca="1" si="20"/>
        <v/>
      </c>
      <c r="BM13" s="25" t="str">
        <f t="shared" ca="1" si="20"/>
        <v/>
      </c>
      <c r="BN13" s="25" t="str">
        <f t="shared" ca="1" si="20"/>
        <v/>
      </c>
      <c r="BO13" s="25" t="str">
        <f t="shared" ca="1" si="20"/>
        <v/>
      </c>
      <c r="BP13" s="332" t="str">
        <f t="shared" ca="1" si="20"/>
        <v/>
      </c>
    </row>
    <row r="14" spans="1:68" ht="14.1" customHeight="1" x14ac:dyDescent="0.25">
      <c r="A14" s="289"/>
      <c r="B14" s="26"/>
      <c r="C14" s="104"/>
      <c r="D14" s="97"/>
      <c r="E14" s="97"/>
      <c r="F14" s="25"/>
      <c r="G14" s="25"/>
      <c r="H14" s="25"/>
      <c r="I14" s="341"/>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341"/>
      <c r="AW14" s="25"/>
      <c r="AX14" s="25"/>
      <c r="AY14" s="25"/>
      <c r="AZ14" s="25"/>
      <c r="BA14" s="25"/>
      <c r="BB14" s="25"/>
      <c r="BC14" s="25"/>
      <c r="BD14" s="332"/>
      <c r="BE14" s="25"/>
      <c r="BF14" s="25"/>
      <c r="BG14" s="25"/>
      <c r="BH14" s="25"/>
      <c r="BI14" s="25"/>
      <c r="BJ14" s="25"/>
      <c r="BK14" s="25"/>
      <c r="BL14" s="25"/>
      <c r="BM14" s="25"/>
      <c r="BN14" s="25"/>
      <c r="BO14" s="25"/>
      <c r="BP14" s="332"/>
    </row>
    <row r="15" spans="1:68" ht="14.1" customHeight="1" x14ac:dyDescent="0.25">
      <c r="A15" s="289"/>
      <c r="B15" s="26" t="s">
        <v>86</v>
      </c>
      <c r="C15" s="104">
        <f>+'5. Key Assumptions'!E13</f>
        <v>12</v>
      </c>
      <c r="D15" s="97">
        <f ca="1">EDATE(E13,G15+1)</f>
        <v>46097</v>
      </c>
      <c r="E15" s="97">
        <f ca="1">EDATE(D15,C15)</f>
        <v>46462</v>
      </c>
      <c r="F15" s="25" t="str">
        <f>B13</f>
        <v>Land Purchase</v>
      </c>
      <c r="G15" s="94">
        <f>+'5. Key Assumptions'!F13</f>
        <v>0</v>
      </c>
      <c r="H15" s="25"/>
      <c r="I15" s="341" t="str">
        <f ca="1">IF(AND(I$10&gt;=$D15,I$10&lt;=$E15),1,"")</f>
        <v/>
      </c>
      <c r="J15" s="25">
        <f t="shared" ca="1" si="20"/>
        <v>1</v>
      </c>
      <c r="K15" s="25">
        <f t="shared" ca="1" si="20"/>
        <v>1</v>
      </c>
      <c r="L15" s="25">
        <f t="shared" ca="1" si="20"/>
        <v>1</v>
      </c>
      <c r="M15" s="25">
        <f t="shared" ca="1" si="20"/>
        <v>1</v>
      </c>
      <c r="N15" s="25">
        <f t="shared" ca="1" si="20"/>
        <v>1</v>
      </c>
      <c r="O15" s="25">
        <f t="shared" ca="1" si="20"/>
        <v>1</v>
      </c>
      <c r="P15" s="25">
        <f t="shared" ca="1" si="20"/>
        <v>1</v>
      </c>
      <c r="Q15" s="25">
        <f t="shared" ca="1" si="20"/>
        <v>1</v>
      </c>
      <c r="R15" s="25">
        <f t="shared" ca="1" si="20"/>
        <v>1</v>
      </c>
      <c r="S15" s="25">
        <f t="shared" ca="1" si="20"/>
        <v>1</v>
      </c>
      <c r="T15" s="25">
        <f t="shared" ca="1" si="20"/>
        <v>1</v>
      </c>
      <c r="U15" s="25">
        <f t="shared" ca="1" si="20"/>
        <v>1</v>
      </c>
      <c r="V15" s="25">
        <f t="shared" ca="1" si="20"/>
        <v>1</v>
      </c>
      <c r="W15" s="25" t="str">
        <f t="shared" ca="1" si="20"/>
        <v/>
      </c>
      <c r="X15" s="25" t="str">
        <f t="shared" ca="1" si="20"/>
        <v/>
      </c>
      <c r="Y15" s="25" t="str">
        <f t="shared" ca="1" si="20"/>
        <v/>
      </c>
      <c r="Z15" s="25" t="str">
        <f t="shared" ca="1" si="20"/>
        <v/>
      </c>
      <c r="AA15" s="25" t="str">
        <f t="shared" ca="1" si="20"/>
        <v/>
      </c>
      <c r="AB15" s="25" t="str">
        <f t="shared" ca="1" si="20"/>
        <v/>
      </c>
      <c r="AC15" s="25" t="str">
        <f t="shared" ca="1" si="20"/>
        <v/>
      </c>
      <c r="AD15" s="25" t="str">
        <f t="shared" ca="1" si="20"/>
        <v/>
      </c>
      <c r="AE15" s="25" t="str">
        <f t="shared" ca="1" si="20"/>
        <v/>
      </c>
      <c r="AF15" s="25" t="str">
        <f t="shared" ca="1" si="20"/>
        <v/>
      </c>
      <c r="AG15" s="25" t="str">
        <f t="shared" ca="1" si="20"/>
        <v/>
      </c>
      <c r="AH15" s="25" t="str">
        <f t="shared" ca="1" si="20"/>
        <v/>
      </c>
      <c r="AI15" s="25" t="str">
        <f t="shared" ca="1" si="20"/>
        <v/>
      </c>
      <c r="AJ15" s="25" t="str">
        <f t="shared" ca="1" si="20"/>
        <v/>
      </c>
      <c r="AK15" s="25" t="str">
        <f t="shared" ca="1" si="20"/>
        <v/>
      </c>
      <c r="AL15" s="25" t="str">
        <f t="shared" ca="1" si="20"/>
        <v/>
      </c>
      <c r="AM15" s="25" t="str">
        <f t="shared" ca="1" si="20"/>
        <v/>
      </c>
      <c r="AN15" s="25" t="str">
        <f t="shared" ca="1" si="20"/>
        <v/>
      </c>
      <c r="AO15" s="25" t="str">
        <f t="shared" ca="1" si="20"/>
        <v/>
      </c>
      <c r="AP15" s="25" t="str">
        <f t="shared" ca="1" si="20"/>
        <v/>
      </c>
      <c r="AQ15" s="25" t="str">
        <f t="shared" ca="1" si="20"/>
        <v/>
      </c>
      <c r="AR15" s="25" t="str">
        <f t="shared" ca="1" si="20"/>
        <v/>
      </c>
      <c r="AS15" s="25" t="str">
        <f t="shared" ca="1" si="20"/>
        <v/>
      </c>
      <c r="AT15" s="25" t="str">
        <f t="shared" ca="1" si="20"/>
        <v/>
      </c>
      <c r="AU15" s="25" t="str">
        <f t="shared" ca="1" si="20"/>
        <v/>
      </c>
      <c r="AV15" s="341" t="str">
        <f t="shared" ca="1" si="20"/>
        <v/>
      </c>
      <c r="AW15" s="25" t="str">
        <f t="shared" ca="1" si="20"/>
        <v/>
      </c>
      <c r="AX15" s="25" t="str">
        <f t="shared" ca="1" si="20"/>
        <v/>
      </c>
      <c r="AY15" s="25" t="str">
        <f t="shared" ca="1" si="20"/>
        <v/>
      </c>
      <c r="AZ15" s="25" t="str">
        <f t="shared" ca="1" si="20"/>
        <v/>
      </c>
      <c r="BA15" s="25" t="str">
        <f t="shared" ca="1" si="20"/>
        <v/>
      </c>
      <c r="BB15" s="25" t="str">
        <f t="shared" ca="1" si="20"/>
        <v/>
      </c>
      <c r="BC15" s="25" t="str">
        <f t="shared" ca="1" si="20"/>
        <v/>
      </c>
      <c r="BD15" s="332" t="str">
        <f t="shared" ca="1" si="20"/>
        <v/>
      </c>
      <c r="BE15" s="25" t="str">
        <f t="shared" ca="1" si="20"/>
        <v/>
      </c>
      <c r="BF15" s="25" t="str">
        <f t="shared" ca="1" si="20"/>
        <v/>
      </c>
      <c r="BG15" s="25" t="str">
        <f t="shared" ca="1" si="20"/>
        <v/>
      </c>
      <c r="BH15" s="25" t="str">
        <f t="shared" ca="1" si="20"/>
        <v/>
      </c>
      <c r="BI15" s="25" t="str">
        <f t="shared" ca="1" si="20"/>
        <v/>
      </c>
      <c r="BJ15" s="25" t="str">
        <f t="shared" ca="1" si="20"/>
        <v/>
      </c>
      <c r="BK15" s="25" t="str">
        <f t="shared" ca="1" si="20"/>
        <v/>
      </c>
      <c r="BL15" s="25" t="str">
        <f t="shared" ca="1" si="20"/>
        <v/>
      </c>
      <c r="BM15" s="25" t="str">
        <f t="shared" ca="1" si="20"/>
        <v/>
      </c>
      <c r="BN15" s="25" t="str">
        <f t="shared" ca="1" si="20"/>
        <v/>
      </c>
      <c r="BO15" s="25" t="str">
        <f t="shared" ca="1" si="20"/>
        <v/>
      </c>
      <c r="BP15" s="332" t="str">
        <f t="shared" ca="1" si="20"/>
        <v/>
      </c>
    </row>
    <row r="16" spans="1:68" ht="14.1" customHeight="1" x14ac:dyDescent="0.25">
      <c r="A16" s="289"/>
      <c r="B16" s="26"/>
      <c r="C16" s="104"/>
      <c r="D16" s="97"/>
      <c r="E16" s="97"/>
      <c r="F16" s="25"/>
      <c r="G16" s="25"/>
      <c r="H16" s="25"/>
      <c r="I16" s="341"/>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341"/>
      <c r="AW16" s="25"/>
      <c r="AX16" s="25"/>
      <c r="AY16" s="25"/>
      <c r="AZ16" s="25"/>
      <c r="BA16" s="25"/>
      <c r="BB16" s="25"/>
      <c r="BC16" s="25"/>
      <c r="BD16" s="332"/>
      <c r="BE16" s="25"/>
      <c r="BF16" s="25"/>
      <c r="BG16" s="25"/>
      <c r="BH16" s="25"/>
      <c r="BI16" s="25"/>
      <c r="BJ16" s="25"/>
      <c r="BK16" s="25"/>
      <c r="BL16" s="25"/>
      <c r="BM16" s="25"/>
      <c r="BN16" s="25"/>
      <c r="BO16" s="25"/>
      <c r="BP16" s="332"/>
    </row>
    <row r="17" spans="1:68" ht="14.1" customHeight="1" x14ac:dyDescent="0.25">
      <c r="A17" s="289"/>
      <c r="B17" s="26" t="s">
        <v>22</v>
      </c>
      <c r="C17" s="105">
        <f>+'12. Sensitivity'!H20</f>
        <v>18</v>
      </c>
      <c r="D17" s="97">
        <f t="shared" ref="D17:D21" ca="1" si="21">EDATE(E15,G17+1)</f>
        <v>46493</v>
      </c>
      <c r="E17" s="97">
        <f t="shared" ref="E17:E21" ca="1" si="22">EDATE(D17,C17)</f>
        <v>47042</v>
      </c>
      <c r="F17" s="25" t="str">
        <f>B15</f>
        <v>Pre-Development</v>
      </c>
      <c r="G17" s="94">
        <f>+'5. Key Assumptions'!F14</f>
        <v>0</v>
      </c>
      <c r="H17" s="25"/>
      <c r="I17" s="341" t="str">
        <f ca="1">IF(AND(I$10&gt;=$D17,I$10&lt;=$E17),1,"")</f>
        <v/>
      </c>
      <c r="J17" s="25" t="str">
        <f t="shared" ca="1" si="20"/>
        <v/>
      </c>
      <c r="K17" s="25" t="str">
        <f t="shared" ca="1" si="20"/>
        <v/>
      </c>
      <c r="L17" s="25" t="str">
        <f t="shared" ca="1" si="20"/>
        <v/>
      </c>
      <c r="M17" s="25" t="str">
        <f t="shared" ca="1" si="20"/>
        <v/>
      </c>
      <c r="N17" s="25" t="str">
        <f t="shared" ca="1" si="20"/>
        <v/>
      </c>
      <c r="O17" s="25" t="str">
        <f t="shared" ca="1" si="20"/>
        <v/>
      </c>
      <c r="P17" s="25" t="str">
        <f t="shared" ca="1" si="20"/>
        <v/>
      </c>
      <c r="Q17" s="25" t="str">
        <f t="shared" ca="1" si="20"/>
        <v/>
      </c>
      <c r="R17" s="25" t="str">
        <f t="shared" ca="1" si="20"/>
        <v/>
      </c>
      <c r="S17" s="25" t="str">
        <f t="shared" ca="1" si="20"/>
        <v/>
      </c>
      <c r="T17" s="25" t="str">
        <f t="shared" ca="1" si="20"/>
        <v/>
      </c>
      <c r="U17" s="25" t="str">
        <f t="shared" ca="1" si="20"/>
        <v/>
      </c>
      <c r="V17" s="25" t="str">
        <f t="shared" ca="1" si="20"/>
        <v/>
      </c>
      <c r="W17" s="25">
        <f t="shared" ca="1" si="20"/>
        <v>1</v>
      </c>
      <c r="X17" s="25">
        <f t="shared" ca="1" si="20"/>
        <v>1</v>
      </c>
      <c r="Y17" s="25">
        <f t="shared" ca="1" si="20"/>
        <v>1</v>
      </c>
      <c r="Z17" s="25">
        <f t="shared" ca="1" si="20"/>
        <v>1</v>
      </c>
      <c r="AA17" s="25">
        <f t="shared" ca="1" si="20"/>
        <v>1</v>
      </c>
      <c r="AB17" s="25">
        <f t="shared" ca="1" si="20"/>
        <v>1</v>
      </c>
      <c r="AC17" s="25">
        <f t="shared" ca="1" si="20"/>
        <v>1</v>
      </c>
      <c r="AD17" s="25">
        <f t="shared" ca="1" si="20"/>
        <v>1</v>
      </c>
      <c r="AE17" s="25">
        <f t="shared" ca="1" si="20"/>
        <v>1</v>
      </c>
      <c r="AF17" s="25">
        <f t="shared" ca="1" si="20"/>
        <v>1</v>
      </c>
      <c r="AG17" s="25">
        <f t="shared" ca="1" si="20"/>
        <v>1</v>
      </c>
      <c r="AH17" s="25">
        <f t="shared" ca="1" si="20"/>
        <v>1</v>
      </c>
      <c r="AI17" s="25">
        <f t="shared" ca="1" si="20"/>
        <v>1</v>
      </c>
      <c r="AJ17" s="25">
        <f t="shared" ca="1" si="20"/>
        <v>1</v>
      </c>
      <c r="AK17" s="25">
        <f t="shared" ca="1" si="20"/>
        <v>1</v>
      </c>
      <c r="AL17" s="25">
        <f t="shared" ca="1" si="20"/>
        <v>1</v>
      </c>
      <c r="AM17" s="25">
        <f t="shared" ca="1" si="20"/>
        <v>1</v>
      </c>
      <c r="AN17" s="25">
        <f t="shared" ca="1" si="20"/>
        <v>1</v>
      </c>
      <c r="AO17" s="25">
        <f t="shared" ca="1" si="20"/>
        <v>1</v>
      </c>
      <c r="AP17" s="25" t="str">
        <f t="shared" ca="1" si="20"/>
        <v/>
      </c>
      <c r="AQ17" s="25" t="str">
        <f t="shared" ca="1" si="20"/>
        <v/>
      </c>
      <c r="AR17" s="25" t="str">
        <f t="shared" ca="1" si="20"/>
        <v/>
      </c>
      <c r="AS17" s="25" t="str">
        <f t="shared" ca="1" si="20"/>
        <v/>
      </c>
      <c r="AT17" s="25" t="str">
        <f t="shared" ca="1" si="20"/>
        <v/>
      </c>
      <c r="AU17" s="25" t="str">
        <f t="shared" ca="1" si="20"/>
        <v/>
      </c>
      <c r="AV17" s="341" t="str">
        <f t="shared" ca="1" si="20"/>
        <v/>
      </c>
      <c r="AW17" s="25" t="str">
        <f t="shared" ca="1" si="20"/>
        <v/>
      </c>
      <c r="AX17" s="25" t="str">
        <f t="shared" ca="1" si="20"/>
        <v/>
      </c>
      <c r="AY17" s="25" t="str">
        <f t="shared" ca="1" si="20"/>
        <v/>
      </c>
      <c r="AZ17" s="25" t="str">
        <f t="shared" ca="1" si="20"/>
        <v/>
      </c>
      <c r="BA17" s="25" t="str">
        <f t="shared" ca="1" si="20"/>
        <v/>
      </c>
      <c r="BB17" s="25" t="str">
        <f t="shared" ca="1" si="20"/>
        <v/>
      </c>
      <c r="BC17" s="25" t="str">
        <f t="shared" ca="1" si="20"/>
        <v/>
      </c>
      <c r="BD17" s="332" t="str">
        <f t="shared" ca="1" si="20"/>
        <v/>
      </c>
      <c r="BE17" s="25" t="str">
        <f t="shared" ca="1" si="20"/>
        <v/>
      </c>
      <c r="BF17" s="25" t="str">
        <f t="shared" ca="1" si="20"/>
        <v/>
      </c>
      <c r="BG17" s="25" t="str">
        <f t="shared" ca="1" si="20"/>
        <v/>
      </c>
      <c r="BH17" s="25" t="str">
        <f t="shared" ca="1" si="20"/>
        <v/>
      </c>
      <c r="BI17" s="25" t="str">
        <f t="shared" ca="1" si="20"/>
        <v/>
      </c>
      <c r="BJ17" s="25" t="str">
        <f t="shared" ca="1" si="20"/>
        <v/>
      </c>
      <c r="BK17" s="25" t="str">
        <f t="shared" ca="1" si="20"/>
        <v/>
      </c>
      <c r="BL17" s="25" t="str">
        <f t="shared" ca="1" si="20"/>
        <v/>
      </c>
      <c r="BM17" s="25" t="str">
        <f t="shared" ca="1" si="20"/>
        <v/>
      </c>
      <c r="BN17" s="25" t="str">
        <f t="shared" ca="1" si="20"/>
        <v/>
      </c>
      <c r="BO17" s="25" t="str">
        <f t="shared" ca="1" si="20"/>
        <v/>
      </c>
      <c r="BP17" s="332" t="str">
        <f t="shared" ca="1" si="20"/>
        <v/>
      </c>
    </row>
    <row r="18" spans="1:68" ht="14.1" customHeight="1" x14ac:dyDescent="0.25">
      <c r="A18" s="289"/>
      <c r="B18" s="26"/>
      <c r="C18" s="104"/>
      <c r="D18" s="97"/>
      <c r="E18" s="97"/>
      <c r="F18" s="25"/>
      <c r="G18" s="25"/>
      <c r="H18" s="25"/>
      <c r="I18" s="341"/>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341"/>
      <c r="AW18" s="25"/>
      <c r="AX18" s="25"/>
      <c r="AY18" s="25"/>
      <c r="AZ18" s="25"/>
      <c r="BA18" s="25"/>
      <c r="BB18" s="25"/>
      <c r="BC18" s="25"/>
      <c r="BD18" s="332"/>
      <c r="BE18" s="25"/>
      <c r="BF18" s="25"/>
      <c r="BG18" s="25"/>
      <c r="BH18" s="25"/>
      <c r="BI18" s="25"/>
      <c r="BJ18" s="25"/>
      <c r="BK18" s="25"/>
      <c r="BL18" s="25"/>
      <c r="BM18" s="25"/>
      <c r="BN18" s="25"/>
      <c r="BO18" s="25"/>
      <c r="BP18" s="332"/>
    </row>
    <row r="19" spans="1:68" ht="14.1" customHeight="1" x14ac:dyDescent="0.25">
      <c r="A19" s="289"/>
      <c r="B19" s="26" t="s">
        <v>89</v>
      </c>
      <c r="C19" s="105">
        <f>+'12. Sensitivity'!H25</f>
        <v>11.333333333333334</v>
      </c>
      <c r="D19" s="97">
        <f t="shared" ca="1" si="21"/>
        <v>46981</v>
      </c>
      <c r="E19" s="97">
        <f t="shared" ca="1" si="22"/>
        <v>47315</v>
      </c>
      <c r="F19" s="25" t="str">
        <f>B17</f>
        <v>Construction</v>
      </c>
      <c r="G19" s="94">
        <f>+'5. Key Assumptions'!F15</f>
        <v>-3</v>
      </c>
      <c r="H19" s="78"/>
      <c r="I19" s="341" t="str">
        <f ca="1">IF(AND(I$10&gt;=$D19,I$10&lt;=$E19),1,"")</f>
        <v/>
      </c>
      <c r="J19" s="25" t="str">
        <f t="shared" ca="1" si="20"/>
        <v/>
      </c>
      <c r="K19" s="25" t="str">
        <f t="shared" ca="1" si="20"/>
        <v/>
      </c>
      <c r="L19" s="25" t="str">
        <f t="shared" ca="1" si="20"/>
        <v/>
      </c>
      <c r="M19" s="25" t="str">
        <f t="shared" ca="1" si="20"/>
        <v/>
      </c>
      <c r="N19" s="25" t="str">
        <f t="shared" ca="1" si="20"/>
        <v/>
      </c>
      <c r="O19" s="25" t="str">
        <f t="shared" ca="1" si="20"/>
        <v/>
      </c>
      <c r="P19" s="25" t="str">
        <f t="shared" ca="1" si="20"/>
        <v/>
      </c>
      <c r="Q19" s="25" t="str">
        <f t="shared" ca="1" si="20"/>
        <v/>
      </c>
      <c r="R19" s="25" t="str">
        <f t="shared" ca="1" si="20"/>
        <v/>
      </c>
      <c r="S19" s="25" t="str">
        <f t="shared" ca="1" si="20"/>
        <v/>
      </c>
      <c r="T19" s="25" t="str">
        <f t="shared" ca="1" si="20"/>
        <v/>
      </c>
      <c r="U19" s="25" t="str">
        <f t="shared" ca="1" si="20"/>
        <v/>
      </c>
      <c r="V19" s="25" t="str">
        <f t="shared" ca="1" si="20"/>
        <v/>
      </c>
      <c r="W19" s="25" t="str">
        <f t="shared" ca="1" si="20"/>
        <v/>
      </c>
      <c r="X19" s="25" t="str">
        <f t="shared" ca="1" si="20"/>
        <v/>
      </c>
      <c r="Y19" s="25" t="str">
        <f t="shared" ca="1" si="20"/>
        <v/>
      </c>
      <c r="Z19" s="25" t="str">
        <f t="shared" ca="1" si="20"/>
        <v/>
      </c>
      <c r="AA19" s="25" t="str">
        <f t="shared" ca="1" si="20"/>
        <v/>
      </c>
      <c r="AB19" s="25" t="str">
        <f t="shared" ca="1" si="20"/>
        <v/>
      </c>
      <c r="AC19" s="25" t="str">
        <f t="shared" ca="1" si="20"/>
        <v/>
      </c>
      <c r="AD19" s="25" t="str">
        <f t="shared" ca="1" si="20"/>
        <v/>
      </c>
      <c r="AE19" s="25" t="str">
        <f t="shared" ca="1" si="20"/>
        <v/>
      </c>
      <c r="AF19" s="25" t="str">
        <f t="shared" ca="1" si="20"/>
        <v/>
      </c>
      <c r="AG19" s="25" t="str">
        <f t="shared" ca="1" si="20"/>
        <v/>
      </c>
      <c r="AH19" s="25" t="str">
        <f t="shared" ca="1" si="20"/>
        <v/>
      </c>
      <c r="AI19" s="25" t="str">
        <f t="shared" ca="1" si="20"/>
        <v/>
      </c>
      <c r="AJ19" s="25" t="str">
        <f t="shared" ca="1" si="20"/>
        <v/>
      </c>
      <c r="AK19" s="25" t="str">
        <f t="shared" ca="1" si="20"/>
        <v/>
      </c>
      <c r="AL19" s="25" t="str">
        <f t="shared" ca="1" si="20"/>
        <v/>
      </c>
      <c r="AM19" s="25">
        <f t="shared" ca="1" si="20"/>
        <v>1</v>
      </c>
      <c r="AN19" s="25">
        <f t="shared" ca="1" si="20"/>
        <v>1</v>
      </c>
      <c r="AO19" s="25">
        <f t="shared" ca="1" si="20"/>
        <v>1</v>
      </c>
      <c r="AP19" s="25">
        <f t="shared" ca="1" si="20"/>
        <v>1</v>
      </c>
      <c r="AQ19" s="25">
        <f t="shared" ca="1" si="20"/>
        <v>1</v>
      </c>
      <c r="AR19" s="25">
        <f t="shared" ca="1" si="20"/>
        <v>1</v>
      </c>
      <c r="AS19" s="25">
        <f t="shared" ca="1" si="20"/>
        <v>1</v>
      </c>
      <c r="AT19" s="25">
        <f t="shared" ca="1" si="20"/>
        <v>1</v>
      </c>
      <c r="AU19" s="25">
        <f t="shared" ca="1" si="20"/>
        <v>1</v>
      </c>
      <c r="AV19" s="341">
        <f t="shared" ca="1" si="20"/>
        <v>1</v>
      </c>
      <c r="AW19" s="25">
        <f t="shared" ca="1" si="20"/>
        <v>1</v>
      </c>
      <c r="AX19" s="25">
        <f t="shared" ca="1" si="20"/>
        <v>1</v>
      </c>
      <c r="AY19" s="25" t="str">
        <f t="shared" ca="1" si="20"/>
        <v/>
      </c>
      <c r="AZ19" s="25" t="str">
        <f t="shared" ca="1" si="20"/>
        <v/>
      </c>
      <c r="BA19" s="25" t="str">
        <f t="shared" ca="1" si="20"/>
        <v/>
      </c>
      <c r="BB19" s="25" t="str">
        <f t="shared" ca="1" si="20"/>
        <v/>
      </c>
      <c r="BC19" s="25" t="str">
        <f t="shared" ca="1" si="20"/>
        <v/>
      </c>
      <c r="BD19" s="332" t="str">
        <f t="shared" ca="1" si="20"/>
        <v/>
      </c>
      <c r="BE19" s="25" t="str">
        <f t="shared" ca="1" si="20"/>
        <v/>
      </c>
      <c r="BF19" s="25" t="str">
        <f t="shared" ca="1" si="20"/>
        <v/>
      </c>
      <c r="BG19" s="25" t="str">
        <f t="shared" ca="1" si="20"/>
        <v/>
      </c>
      <c r="BH19" s="25" t="str">
        <f t="shared" ca="1" si="20"/>
        <v/>
      </c>
      <c r="BI19" s="25" t="str">
        <f t="shared" ca="1" si="20"/>
        <v/>
      </c>
      <c r="BJ19" s="25" t="str">
        <f t="shared" ca="1" si="20"/>
        <v/>
      </c>
      <c r="BK19" s="25" t="str">
        <f t="shared" ca="1" si="20"/>
        <v/>
      </c>
      <c r="BL19" s="25" t="str">
        <f t="shared" ca="1" si="20"/>
        <v/>
      </c>
      <c r="BM19" s="25" t="str">
        <f t="shared" ca="1" si="20"/>
        <v/>
      </c>
      <c r="BN19" s="25" t="str">
        <f t="shared" ca="1" si="20"/>
        <v/>
      </c>
      <c r="BO19" s="25" t="str">
        <f t="shared" ca="1" si="20"/>
        <v/>
      </c>
      <c r="BP19" s="332" t="str">
        <f t="shared" ca="1" si="20"/>
        <v/>
      </c>
    </row>
    <row r="20" spans="1:68" ht="14.1" customHeight="1" x14ac:dyDescent="0.25">
      <c r="A20" s="289"/>
      <c r="B20" s="26"/>
      <c r="C20" s="104"/>
      <c r="D20" s="97"/>
      <c r="E20" s="97"/>
      <c r="F20" s="25"/>
      <c r="G20" s="78"/>
      <c r="H20" s="78"/>
      <c r="I20" s="341" t="str">
        <f ca="1">IF(AND(I$10&gt;=$D20,I$10&lt;=$E20),1,"")</f>
        <v/>
      </c>
      <c r="J20" s="25" t="str">
        <f t="shared" ca="1" si="20"/>
        <v/>
      </c>
      <c r="K20" s="25" t="str">
        <f t="shared" ca="1" si="20"/>
        <v/>
      </c>
      <c r="L20" s="25" t="str">
        <f t="shared" ca="1" si="20"/>
        <v/>
      </c>
      <c r="M20" s="25" t="str">
        <f t="shared" ca="1" si="20"/>
        <v/>
      </c>
      <c r="N20" s="25" t="str">
        <f t="shared" ca="1" si="20"/>
        <v/>
      </c>
      <c r="O20" s="25" t="str">
        <f t="shared" ca="1" si="20"/>
        <v/>
      </c>
      <c r="P20" s="25" t="str">
        <f t="shared" ca="1" si="20"/>
        <v/>
      </c>
      <c r="Q20" s="25" t="str">
        <f t="shared" ca="1" si="20"/>
        <v/>
      </c>
      <c r="R20" s="25" t="str">
        <f t="shared" ca="1" si="20"/>
        <v/>
      </c>
      <c r="S20" s="25" t="str">
        <f t="shared" ca="1" si="20"/>
        <v/>
      </c>
      <c r="T20" s="25" t="str">
        <f t="shared" ca="1" si="20"/>
        <v/>
      </c>
      <c r="U20" s="25" t="str">
        <f t="shared" ca="1" si="20"/>
        <v/>
      </c>
      <c r="V20" s="25" t="str">
        <f t="shared" ca="1" si="20"/>
        <v/>
      </c>
      <c r="W20" s="25" t="str">
        <f t="shared" ca="1" si="20"/>
        <v/>
      </c>
      <c r="X20" s="25" t="str">
        <f t="shared" ca="1" si="20"/>
        <v/>
      </c>
      <c r="Y20" s="25" t="str">
        <f t="shared" ca="1" si="20"/>
        <v/>
      </c>
      <c r="Z20" s="25" t="str">
        <f t="shared" ca="1" si="20"/>
        <v/>
      </c>
      <c r="AA20" s="25" t="str">
        <f t="shared" ca="1" si="20"/>
        <v/>
      </c>
      <c r="AB20" s="25" t="str">
        <f t="shared" ca="1" si="20"/>
        <v/>
      </c>
      <c r="AC20" s="25" t="str">
        <f t="shared" ref="AC20:BP20" ca="1" si="23">IF(AND(AC$10&gt;=$D20,AC$10&lt;=$E20),1,"")</f>
        <v/>
      </c>
      <c r="AD20" s="25" t="str">
        <f t="shared" ca="1" si="23"/>
        <v/>
      </c>
      <c r="AE20" s="25" t="str">
        <f t="shared" ca="1" si="23"/>
        <v/>
      </c>
      <c r="AF20" s="25" t="str">
        <f t="shared" ca="1" si="23"/>
        <v/>
      </c>
      <c r="AG20" s="25" t="str">
        <f t="shared" ca="1" si="23"/>
        <v/>
      </c>
      <c r="AH20" s="25" t="str">
        <f t="shared" ca="1" si="23"/>
        <v/>
      </c>
      <c r="AI20" s="25" t="str">
        <f t="shared" ca="1" si="23"/>
        <v/>
      </c>
      <c r="AJ20" s="25" t="str">
        <f t="shared" ca="1" si="23"/>
        <v/>
      </c>
      <c r="AK20" s="25" t="str">
        <f t="shared" ca="1" si="23"/>
        <v/>
      </c>
      <c r="AL20" s="25" t="str">
        <f t="shared" ca="1" si="23"/>
        <v/>
      </c>
      <c r="AM20" s="25" t="str">
        <f t="shared" ca="1" si="23"/>
        <v/>
      </c>
      <c r="AN20" s="25" t="str">
        <f t="shared" ca="1" si="23"/>
        <v/>
      </c>
      <c r="AO20" s="25" t="str">
        <f t="shared" ca="1" si="23"/>
        <v/>
      </c>
      <c r="AP20" s="25" t="str">
        <f t="shared" ca="1" si="23"/>
        <v/>
      </c>
      <c r="AQ20" s="25" t="str">
        <f t="shared" ca="1" si="23"/>
        <v/>
      </c>
      <c r="AR20" s="25" t="str">
        <f t="shared" ca="1" si="23"/>
        <v/>
      </c>
      <c r="AS20" s="25" t="str">
        <f t="shared" ca="1" si="23"/>
        <v/>
      </c>
      <c r="AT20" s="25" t="str">
        <f t="shared" ca="1" si="23"/>
        <v/>
      </c>
      <c r="AU20" s="25" t="str">
        <f t="shared" ca="1" si="23"/>
        <v/>
      </c>
      <c r="AV20" s="341" t="str">
        <f t="shared" ca="1" si="23"/>
        <v/>
      </c>
      <c r="AW20" s="25" t="str">
        <f t="shared" ca="1" si="23"/>
        <v/>
      </c>
      <c r="AX20" s="25" t="str">
        <f t="shared" ca="1" si="23"/>
        <v/>
      </c>
      <c r="AY20" s="25" t="str">
        <f t="shared" ca="1" si="23"/>
        <v/>
      </c>
      <c r="AZ20" s="25" t="str">
        <f t="shared" ca="1" si="23"/>
        <v/>
      </c>
      <c r="BA20" s="25" t="str">
        <f t="shared" ca="1" si="23"/>
        <v/>
      </c>
      <c r="BB20" s="25" t="str">
        <f t="shared" ca="1" si="23"/>
        <v/>
      </c>
      <c r="BC20" s="25" t="str">
        <f t="shared" ca="1" si="23"/>
        <v/>
      </c>
      <c r="BD20" s="332" t="str">
        <f t="shared" ca="1" si="23"/>
        <v/>
      </c>
      <c r="BE20" s="25" t="str">
        <f t="shared" ca="1" si="23"/>
        <v/>
      </c>
      <c r="BF20" s="25" t="str">
        <f t="shared" ca="1" si="23"/>
        <v/>
      </c>
      <c r="BG20" s="25" t="str">
        <f t="shared" ca="1" si="23"/>
        <v/>
      </c>
      <c r="BH20" s="25" t="str">
        <f t="shared" ca="1" si="23"/>
        <v/>
      </c>
      <c r="BI20" s="25" t="str">
        <f t="shared" ca="1" si="23"/>
        <v/>
      </c>
      <c r="BJ20" s="25" t="str">
        <f t="shared" ca="1" si="23"/>
        <v/>
      </c>
      <c r="BK20" s="25" t="str">
        <f t="shared" ca="1" si="23"/>
        <v/>
      </c>
      <c r="BL20" s="25" t="str">
        <f t="shared" ca="1" si="23"/>
        <v/>
      </c>
      <c r="BM20" s="25" t="str">
        <f t="shared" ca="1" si="23"/>
        <v/>
      </c>
      <c r="BN20" s="25" t="str">
        <f t="shared" ca="1" si="23"/>
        <v/>
      </c>
      <c r="BO20" s="25" t="str">
        <f t="shared" ca="1" si="23"/>
        <v/>
      </c>
      <c r="BP20" s="332" t="str">
        <f t="shared" ca="1" si="23"/>
        <v/>
      </c>
    </row>
    <row r="21" spans="1:68" ht="14.1" customHeight="1" x14ac:dyDescent="0.25">
      <c r="A21" s="289"/>
      <c r="B21" s="26" t="s">
        <v>88</v>
      </c>
      <c r="C21" s="104">
        <f>+'5. Key Assumptions'!E16</f>
        <v>0</v>
      </c>
      <c r="D21" s="97">
        <f t="shared" ca="1" si="21"/>
        <v>47346</v>
      </c>
      <c r="E21" s="97">
        <f t="shared" ca="1" si="22"/>
        <v>47346</v>
      </c>
      <c r="F21" s="25" t="str">
        <f>B19</f>
        <v>Lease-up</v>
      </c>
      <c r="G21" s="94">
        <f>+'5. Key Assumptions'!F16</f>
        <v>0</v>
      </c>
      <c r="H21" s="25"/>
      <c r="I21" s="341" t="str">
        <f ca="1">IF(AND(I$10&gt;=$D21,I$10&lt;=$E21),1,"")</f>
        <v/>
      </c>
      <c r="J21" s="25" t="str">
        <f t="shared" ref="J21:BP21" ca="1" si="24">IF(AND(J$10&gt;=$D21,J$10&lt;=$E21),1,"")</f>
        <v/>
      </c>
      <c r="K21" s="25" t="str">
        <f t="shared" ca="1" si="24"/>
        <v/>
      </c>
      <c r="L21" s="25" t="str">
        <f t="shared" ca="1" si="24"/>
        <v/>
      </c>
      <c r="M21" s="25" t="str">
        <f t="shared" ca="1" si="24"/>
        <v/>
      </c>
      <c r="N21" s="25" t="str">
        <f t="shared" ca="1" si="24"/>
        <v/>
      </c>
      <c r="O21" s="25" t="str">
        <f t="shared" ca="1" si="24"/>
        <v/>
      </c>
      <c r="P21" s="25" t="str">
        <f t="shared" ca="1" si="24"/>
        <v/>
      </c>
      <c r="Q21" s="25" t="str">
        <f t="shared" ca="1" si="24"/>
        <v/>
      </c>
      <c r="R21" s="25" t="str">
        <f t="shared" ca="1" si="24"/>
        <v/>
      </c>
      <c r="S21" s="25" t="str">
        <f t="shared" ca="1" si="24"/>
        <v/>
      </c>
      <c r="T21" s="25" t="str">
        <f t="shared" ca="1" si="24"/>
        <v/>
      </c>
      <c r="U21" s="25" t="str">
        <f t="shared" ca="1" si="24"/>
        <v/>
      </c>
      <c r="V21" s="25" t="str">
        <f t="shared" ca="1" si="24"/>
        <v/>
      </c>
      <c r="W21" s="25" t="str">
        <f t="shared" ca="1" si="24"/>
        <v/>
      </c>
      <c r="X21" s="25" t="str">
        <f t="shared" ca="1" si="24"/>
        <v/>
      </c>
      <c r="Y21" s="25" t="str">
        <f t="shared" ca="1" si="24"/>
        <v/>
      </c>
      <c r="Z21" s="25" t="str">
        <f t="shared" ca="1" si="24"/>
        <v/>
      </c>
      <c r="AA21" s="25" t="str">
        <f t="shared" ca="1" si="24"/>
        <v/>
      </c>
      <c r="AB21" s="25" t="str">
        <f t="shared" ca="1" si="24"/>
        <v/>
      </c>
      <c r="AC21" s="25" t="str">
        <f t="shared" ca="1" si="24"/>
        <v/>
      </c>
      <c r="AD21" s="25" t="str">
        <f t="shared" ca="1" si="24"/>
        <v/>
      </c>
      <c r="AE21" s="25" t="str">
        <f t="shared" ca="1" si="24"/>
        <v/>
      </c>
      <c r="AF21" s="25" t="str">
        <f t="shared" ca="1" si="24"/>
        <v/>
      </c>
      <c r="AG21" s="25" t="str">
        <f t="shared" ca="1" si="24"/>
        <v/>
      </c>
      <c r="AH21" s="25" t="str">
        <f t="shared" ca="1" si="24"/>
        <v/>
      </c>
      <c r="AI21" s="25" t="str">
        <f t="shared" ca="1" si="24"/>
        <v/>
      </c>
      <c r="AJ21" s="25" t="str">
        <f t="shared" ca="1" si="24"/>
        <v/>
      </c>
      <c r="AK21" s="25" t="str">
        <f t="shared" ca="1" si="24"/>
        <v/>
      </c>
      <c r="AL21" s="25" t="str">
        <f t="shared" ca="1" si="24"/>
        <v/>
      </c>
      <c r="AM21" s="25" t="str">
        <f t="shared" ca="1" si="24"/>
        <v/>
      </c>
      <c r="AN21" s="25" t="str">
        <f t="shared" ca="1" si="24"/>
        <v/>
      </c>
      <c r="AO21" s="25" t="str">
        <f t="shared" ca="1" si="24"/>
        <v/>
      </c>
      <c r="AP21" s="25" t="str">
        <f t="shared" ca="1" si="24"/>
        <v/>
      </c>
      <c r="AQ21" s="25" t="str">
        <f t="shared" ca="1" si="24"/>
        <v/>
      </c>
      <c r="AR21" s="25" t="str">
        <f t="shared" ca="1" si="24"/>
        <v/>
      </c>
      <c r="AS21" s="25" t="str">
        <f t="shared" ca="1" si="24"/>
        <v/>
      </c>
      <c r="AT21" s="25" t="str">
        <f t="shared" ca="1" si="24"/>
        <v/>
      </c>
      <c r="AU21" s="25" t="str">
        <f t="shared" ca="1" si="24"/>
        <v/>
      </c>
      <c r="AV21" s="341" t="str">
        <f t="shared" ca="1" si="24"/>
        <v/>
      </c>
      <c r="AW21" s="25" t="str">
        <f t="shared" ca="1" si="24"/>
        <v/>
      </c>
      <c r="AX21" s="25" t="str">
        <f t="shared" ca="1" si="24"/>
        <v/>
      </c>
      <c r="AY21" s="25">
        <f t="shared" ca="1" si="24"/>
        <v>1</v>
      </c>
      <c r="AZ21" s="25" t="str">
        <f t="shared" ca="1" si="24"/>
        <v/>
      </c>
      <c r="BA21" s="25" t="str">
        <f t="shared" ca="1" si="24"/>
        <v/>
      </c>
      <c r="BB21" s="25" t="str">
        <f t="shared" ca="1" si="24"/>
        <v/>
      </c>
      <c r="BC21" s="25" t="str">
        <f t="shared" ca="1" si="24"/>
        <v/>
      </c>
      <c r="BD21" s="332" t="str">
        <f t="shared" ca="1" si="24"/>
        <v/>
      </c>
      <c r="BE21" s="25" t="str">
        <f t="shared" ca="1" si="24"/>
        <v/>
      </c>
      <c r="BF21" s="25" t="str">
        <f t="shared" ca="1" si="24"/>
        <v/>
      </c>
      <c r="BG21" s="25" t="str">
        <f t="shared" ca="1" si="24"/>
        <v/>
      </c>
      <c r="BH21" s="25" t="str">
        <f t="shared" ca="1" si="24"/>
        <v/>
      </c>
      <c r="BI21" s="25" t="str">
        <f t="shared" ca="1" si="24"/>
        <v/>
      </c>
      <c r="BJ21" s="25" t="str">
        <f t="shared" ca="1" si="24"/>
        <v/>
      </c>
      <c r="BK21" s="25" t="str">
        <f t="shared" ca="1" si="24"/>
        <v/>
      </c>
      <c r="BL21" s="25" t="str">
        <f t="shared" ca="1" si="24"/>
        <v/>
      </c>
      <c r="BM21" s="25" t="str">
        <f t="shared" ca="1" si="24"/>
        <v/>
      </c>
      <c r="BN21" s="25" t="str">
        <f t="shared" ca="1" si="24"/>
        <v/>
      </c>
      <c r="BO21" s="25" t="str">
        <f t="shared" ca="1" si="24"/>
        <v/>
      </c>
      <c r="BP21" s="332" t="str">
        <f t="shared" ca="1" si="24"/>
        <v/>
      </c>
    </row>
    <row r="22" spans="1:68" ht="14.1" customHeight="1" thickBot="1" x14ac:dyDescent="0.3">
      <c r="A22" s="291"/>
      <c r="B22" s="333"/>
      <c r="C22" s="334"/>
      <c r="D22" s="335"/>
      <c r="E22" s="335"/>
      <c r="F22" s="333"/>
      <c r="G22" s="333"/>
      <c r="H22" s="333"/>
      <c r="I22" s="342"/>
      <c r="J22" s="333"/>
      <c r="K22" s="333"/>
      <c r="L22" s="333"/>
      <c r="M22" s="333"/>
      <c r="N22" s="333"/>
      <c r="O22" s="333"/>
      <c r="P22" s="333"/>
      <c r="Q22" s="333"/>
      <c r="R22" s="333"/>
      <c r="S22" s="333"/>
      <c r="T22" s="333"/>
      <c r="U22" s="333"/>
      <c r="V22" s="333"/>
      <c r="W22" s="333"/>
      <c r="X22" s="333"/>
      <c r="Y22" s="333"/>
      <c r="Z22" s="333"/>
      <c r="AA22" s="333"/>
      <c r="AB22" s="333"/>
      <c r="AC22" s="333"/>
      <c r="AD22" s="333"/>
      <c r="AE22" s="333"/>
      <c r="AF22" s="333"/>
      <c r="AG22" s="333"/>
      <c r="AH22" s="333"/>
      <c r="AI22" s="333"/>
      <c r="AJ22" s="333"/>
      <c r="AK22" s="333"/>
      <c r="AL22" s="333"/>
      <c r="AM22" s="333"/>
      <c r="AN22" s="333"/>
      <c r="AO22" s="333"/>
      <c r="AP22" s="333"/>
      <c r="AQ22" s="333"/>
      <c r="AR22" s="333"/>
      <c r="AS22" s="333"/>
      <c r="AT22" s="333"/>
      <c r="AU22" s="333"/>
      <c r="AV22" s="342"/>
      <c r="AW22" s="333"/>
      <c r="AX22" s="333"/>
      <c r="AY22" s="333"/>
      <c r="AZ22" s="333"/>
      <c r="BA22" s="333"/>
      <c r="BB22" s="333"/>
      <c r="BC22" s="333"/>
      <c r="BD22" s="336"/>
      <c r="BE22" s="333"/>
      <c r="BF22" s="333"/>
      <c r="BG22" s="333"/>
      <c r="BH22" s="333"/>
      <c r="BI22" s="333"/>
      <c r="BJ22" s="333"/>
      <c r="BK22" s="333"/>
      <c r="BL22" s="333"/>
      <c r="BM22" s="333"/>
      <c r="BN22" s="333"/>
      <c r="BO22" s="333"/>
      <c r="BP22" s="336"/>
    </row>
    <row r="23" spans="1:68" ht="14.1" customHeight="1" x14ac:dyDescent="0.25">
      <c r="B23" s="93"/>
      <c r="C23" s="25"/>
      <c r="D23" s="72"/>
      <c r="E23" s="74"/>
      <c r="F23" s="72"/>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row>
    <row r="24" spans="1:68" ht="14.1" customHeight="1" x14ac:dyDescent="0.25">
      <c r="B24" s="93"/>
      <c r="C24" s="25"/>
      <c r="D24" s="72"/>
      <c r="E24" s="74"/>
      <c r="F24" s="72"/>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row>
    <row r="25" spans="1:68" ht="14.1" customHeight="1" x14ac:dyDescent="0.25">
      <c r="B25" s="93"/>
      <c r="C25" s="25"/>
      <c r="D25" s="72"/>
      <c r="E25" s="74"/>
      <c r="F25" s="72"/>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row>
    <row r="26" spans="1:68" ht="14.1" customHeight="1" x14ac:dyDescent="0.25">
      <c r="B26" s="93"/>
      <c r="C26" s="25"/>
      <c r="D26" s="72"/>
      <c r="E26" s="74"/>
      <c r="F26" s="72"/>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row>
    <row r="27" spans="1:68" ht="14.1" customHeight="1" x14ac:dyDescent="0.25">
      <c r="B27" s="25"/>
      <c r="C27" s="25"/>
      <c r="D27" s="25"/>
      <c r="E27" s="74"/>
      <c r="F27" s="72"/>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row>
    <row r="28" spans="1:68" x14ac:dyDescent="0.25">
      <c r="B28" s="25"/>
      <c r="C28" s="25"/>
      <c r="D28" s="25"/>
      <c r="E28" s="82"/>
      <c r="F28" s="25"/>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row>
    <row r="29" spans="1:68" x14ac:dyDescent="0.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row>
    <row r="30" spans="1:68" x14ac:dyDescent="0.25">
      <c r="B30" s="73"/>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row>
    <row r="31" spans="1:68" x14ac:dyDescent="0.25">
      <c r="B31" s="84"/>
      <c r="C31" s="25"/>
      <c r="D31" s="25"/>
      <c r="E31" s="85"/>
      <c r="F31" s="72"/>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row>
    <row r="32" spans="1:68" x14ac:dyDescent="0.25">
      <c r="B32" s="84"/>
      <c r="C32" s="25"/>
      <c r="D32" s="25"/>
      <c r="E32" s="25"/>
      <c r="F32" s="25"/>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row>
    <row r="33" spans="2:68" x14ac:dyDescent="0.25">
      <c r="B33" s="84"/>
      <c r="C33" s="25"/>
      <c r="D33" s="25"/>
      <c r="E33" s="86"/>
      <c r="F33" s="72"/>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row>
    <row r="34" spans="2:68" x14ac:dyDescent="0.25">
      <c r="B34" s="84"/>
      <c r="C34" s="25"/>
      <c r="D34" s="25"/>
      <c r="E34" s="25"/>
      <c r="F34" s="25"/>
      <c r="G34" s="83"/>
      <c r="H34" s="83"/>
      <c r="I34" s="83"/>
      <c r="J34" s="83"/>
      <c r="K34" s="83"/>
      <c r="L34" s="83"/>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row>
    <row r="35" spans="2:68" x14ac:dyDescent="0.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row>
    <row r="36" spans="2:68" x14ac:dyDescent="0.25">
      <c r="B36" s="25"/>
      <c r="C36" s="25"/>
      <c r="D36" s="25"/>
      <c r="E36" s="25"/>
      <c r="F36" s="25"/>
      <c r="G36" s="83"/>
      <c r="H36" s="83"/>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row>
    <row r="37" spans="2:68" x14ac:dyDescent="0.25">
      <c r="B37" s="25"/>
      <c r="C37" s="25"/>
      <c r="D37" s="25"/>
      <c r="E37" s="25"/>
      <c r="F37" s="25"/>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row>
    <row r="38" spans="2:68" x14ac:dyDescent="0.25">
      <c r="B38" s="25"/>
      <c r="C38" s="25"/>
      <c r="D38" s="25"/>
      <c r="E38" s="25"/>
      <c r="F38" s="25"/>
      <c r="G38" s="83"/>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row>
    <row r="39" spans="2:68" ht="4.3499999999999996" customHeight="1" x14ac:dyDescent="0.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row>
    <row r="40" spans="2:68" x14ac:dyDescent="0.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row>
    <row r="41" spans="2:68" s="25" customFormat="1" x14ac:dyDescent="0.25">
      <c r="E41" s="73"/>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c r="BE41" s="75"/>
      <c r="BF41" s="75"/>
      <c r="BG41" s="75"/>
      <c r="BH41" s="75"/>
      <c r="BI41" s="75"/>
      <c r="BJ41" s="75"/>
      <c r="BK41" s="75"/>
      <c r="BL41" s="75"/>
      <c r="BM41" s="75"/>
      <c r="BN41" s="75"/>
      <c r="BO41" s="75"/>
      <c r="BP41" s="75"/>
    </row>
    <row r="42" spans="2:68" s="28" customFormat="1" ht="12.75" x14ac:dyDescent="0.2">
      <c r="B42" s="80"/>
      <c r="C42" s="79"/>
      <c r="D42" s="79"/>
      <c r="E42" s="87"/>
      <c r="F42" s="88"/>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1"/>
      <c r="BP42" s="81"/>
    </row>
    <row r="43" spans="2:68" s="28" customFormat="1" ht="12.75" x14ac:dyDescent="0.2">
      <c r="B43" s="80"/>
      <c r="C43" s="79"/>
      <c r="D43" s="79"/>
      <c r="E43" s="87"/>
      <c r="F43" s="88"/>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c r="BN43" s="81"/>
      <c r="BO43" s="81"/>
      <c r="BP43" s="81"/>
    </row>
    <row r="44" spans="2:68" s="28" customFormat="1" ht="12.75" x14ac:dyDescent="0.2">
      <c r="B44" s="80"/>
      <c r="C44" s="79"/>
      <c r="D44" s="79"/>
      <c r="E44" s="87"/>
      <c r="F44" s="88"/>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c r="AY44" s="81"/>
      <c r="AZ44" s="81"/>
      <c r="BA44" s="81"/>
      <c r="BB44" s="81"/>
      <c r="BC44" s="81"/>
      <c r="BD44" s="81"/>
      <c r="BE44" s="81"/>
      <c r="BF44" s="81"/>
      <c r="BG44" s="81"/>
      <c r="BH44" s="81"/>
      <c r="BI44" s="81"/>
      <c r="BJ44" s="81"/>
      <c r="BK44" s="81"/>
      <c r="BL44" s="81"/>
      <c r="BM44" s="81"/>
      <c r="BN44" s="81"/>
      <c r="BO44" s="81"/>
      <c r="BP44" s="81"/>
    </row>
    <row r="45" spans="2:68" s="28" customFormat="1" ht="12.75" x14ac:dyDescent="0.2">
      <c r="B45" s="80"/>
      <c r="C45" s="79"/>
      <c r="D45" s="79"/>
      <c r="E45" s="87"/>
      <c r="F45" s="88"/>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c r="AZ45" s="81"/>
      <c r="BA45" s="81"/>
      <c r="BB45" s="81"/>
      <c r="BC45" s="81"/>
      <c r="BD45" s="81"/>
      <c r="BE45" s="81"/>
      <c r="BF45" s="81"/>
      <c r="BG45" s="81"/>
      <c r="BH45" s="81"/>
      <c r="BI45" s="81"/>
      <c r="BJ45" s="81"/>
      <c r="BK45" s="81"/>
      <c r="BL45" s="81"/>
      <c r="BM45" s="81"/>
      <c r="BN45" s="81"/>
      <c r="BO45" s="81"/>
      <c r="BP45" s="81"/>
    </row>
    <row r="46" spans="2:68" s="28" customFormat="1" ht="12.75" x14ac:dyDescent="0.2">
      <c r="B46" s="80"/>
      <c r="C46" s="79"/>
      <c r="D46" s="79"/>
      <c r="E46" s="87"/>
      <c r="F46" s="88"/>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c r="AW46" s="81"/>
      <c r="AX46" s="81"/>
      <c r="AY46" s="81"/>
      <c r="AZ46" s="81"/>
      <c r="BA46" s="81"/>
      <c r="BB46" s="81"/>
      <c r="BC46" s="81"/>
      <c r="BD46" s="81"/>
      <c r="BE46" s="81"/>
      <c r="BF46" s="81"/>
      <c r="BG46" s="81"/>
      <c r="BH46" s="81"/>
      <c r="BI46" s="81"/>
      <c r="BJ46" s="81"/>
      <c r="BK46" s="81"/>
      <c r="BL46" s="81"/>
      <c r="BM46" s="81"/>
      <c r="BN46" s="81"/>
      <c r="BO46" s="81"/>
      <c r="BP46" s="81"/>
    </row>
    <row r="47" spans="2:68" s="28" customFormat="1" ht="12.75" x14ac:dyDescent="0.2">
      <c r="B47" s="80"/>
      <c r="C47" s="79"/>
      <c r="D47" s="79"/>
      <c r="E47" s="87"/>
      <c r="F47" s="88"/>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c r="AZ47" s="81"/>
      <c r="BA47" s="81"/>
      <c r="BB47" s="81"/>
      <c r="BC47" s="81"/>
      <c r="BD47" s="81"/>
      <c r="BE47" s="81"/>
      <c r="BF47" s="81"/>
      <c r="BG47" s="81"/>
      <c r="BH47" s="81"/>
      <c r="BI47" s="81"/>
      <c r="BJ47" s="81"/>
      <c r="BK47" s="81"/>
      <c r="BL47" s="81"/>
      <c r="BM47" s="81"/>
      <c r="BN47" s="81"/>
      <c r="BO47" s="81"/>
      <c r="BP47" s="81"/>
    </row>
    <row r="48" spans="2:68" s="28" customFormat="1" ht="12.75" x14ac:dyDescent="0.2">
      <c r="B48" s="80"/>
      <c r="C48" s="79"/>
      <c r="D48" s="79"/>
      <c r="E48" s="87"/>
      <c r="F48" s="88"/>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81"/>
      <c r="BH48" s="81"/>
      <c r="BI48" s="81"/>
      <c r="BJ48" s="81"/>
      <c r="BK48" s="81"/>
      <c r="BL48" s="81"/>
      <c r="BM48" s="81"/>
      <c r="BN48" s="81"/>
      <c r="BO48" s="81"/>
      <c r="BP48" s="81"/>
    </row>
    <row r="49" spans="2:68" s="28" customFormat="1" ht="12.75" x14ac:dyDescent="0.2">
      <c r="B49" s="80"/>
      <c r="C49" s="79"/>
      <c r="D49" s="79"/>
      <c r="E49" s="87"/>
      <c r="F49" s="88"/>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row>
    <row r="50" spans="2:68" s="28" customFormat="1" ht="12.75" x14ac:dyDescent="0.2">
      <c r="B50" s="80"/>
      <c r="C50" s="79"/>
      <c r="D50" s="89"/>
      <c r="E50" s="87"/>
      <c r="F50" s="88"/>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row>
    <row r="51" spans="2:68" s="28" customFormat="1" ht="12.75" x14ac:dyDescent="0.2">
      <c r="B51" s="80"/>
      <c r="C51" s="79"/>
      <c r="D51" s="89"/>
      <c r="E51" s="87"/>
      <c r="F51" s="88"/>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row>
    <row r="52" spans="2:68" x14ac:dyDescent="0.25">
      <c r="B52" s="25"/>
      <c r="C52" s="25"/>
      <c r="D52" s="25"/>
      <c r="E52" s="83"/>
      <c r="F52" s="90"/>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row>
    <row r="53" spans="2:68" x14ac:dyDescent="0.25">
      <c r="B53" s="25"/>
      <c r="C53" s="25"/>
      <c r="D53" s="25"/>
      <c r="E53" s="83"/>
      <c r="F53" s="90"/>
      <c r="G53" s="83"/>
      <c r="H53" s="83"/>
      <c r="I53" s="83"/>
      <c r="J53" s="83"/>
      <c r="K53" s="83"/>
      <c r="L53" s="83"/>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row>
    <row r="54" spans="2:68" x14ac:dyDescent="0.25">
      <c r="B54" s="25"/>
      <c r="C54" s="25"/>
      <c r="D54" s="25"/>
      <c r="E54" s="83"/>
      <c r="F54" s="90"/>
      <c r="G54" s="83"/>
      <c r="H54" s="83"/>
      <c r="I54" s="83"/>
      <c r="J54" s="83"/>
      <c r="K54" s="83"/>
      <c r="L54" s="83"/>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row>
    <row r="55" spans="2:68" x14ac:dyDescent="0.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row>
    <row r="56" spans="2:68" ht="4.3499999999999996" customHeight="1" x14ac:dyDescent="0.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row>
    <row r="57" spans="2:68" x14ac:dyDescent="0.25">
      <c r="B57" s="26"/>
      <c r="C57" s="26"/>
      <c r="D57" s="26"/>
      <c r="E57" s="26"/>
      <c r="F57" s="2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c r="BK57" s="76"/>
      <c r="BL57" s="76"/>
      <c r="BM57" s="76"/>
      <c r="BN57" s="76"/>
      <c r="BO57" s="76"/>
      <c r="BP57" s="76"/>
    </row>
    <row r="58" spans="2:68" s="25" customFormat="1" ht="4.3499999999999996" customHeight="1" x14ac:dyDescent="0.25">
      <c r="B58" s="26"/>
      <c r="C58" s="26"/>
      <c r="D58" s="26"/>
      <c r="E58" s="26"/>
      <c r="F58" s="2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c r="BK58" s="76"/>
      <c r="BL58" s="76"/>
      <c r="BM58" s="76"/>
      <c r="BN58" s="76"/>
      <c r="BO58" s="76"/>
      <c r="BP58" s="76"/>
    </row>
    <row r="59" spans="2:68" x14ac:dyDescent="0.25">
      <c r="B59" s="26"/>
      <c r="C59" s="77"/>
      <c r="D59" s="91"/>
      <c r="E59" s="25"/>
      <c r="F59" s="92"/>
      <c r="G59" s="92"/>
      <c r="H59" s="92"/>
      <c r="I59" s="92"/>
      <c r="J59" s="92"/>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c r="BP59" s="92"/>
    </row>
    <row r="60" spans="2:68" x14ac:dyDescent="0.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row>
  </sheetData>
  <mergeCells count="23">
    <mergeCell ref="BN11:BP11"/>
    <mergeCell ref="AM11:AO11"/>
    <mergeCell ref="AP11:AR11"/>
    <mergeCell ref="AS11:AU11"/>
    <mergeCell ref="AV11:AX11"/>
    <mergeCell ref="AY11:BA11"/>
    <mergeCell ref="BB11:BD11"/>
    <mergeCell ref="B3:BP3"/>
    <mergeCell ref="B4:BP4"/>
    <mergeCell ref="B5:BP5"/>
    <mergeCell ref="X11:Z11"/>
    <mergeCell ref="AA11:AC11"/>
    <mergeCell ref="AD11:AF11"/>
    <mergeCell ref="AG11:AI11"/>
    <mergeCell ref="AJ11:AL11"/>
    <mergeCell ref="I11:K11"/>
    <mergeCell ref="L11:N11"/>
    <mergeCell ref="O11:Q11"/>
    <mergeCell ref="R11:T11"/>
    <mergeCell ref="U11:W11"/>
    <mergeCell ref="BE11:BG11"/>
    <mergeCell ref="BH11:BJ11"/>
    <mergeCell ref="BK11:BM11"/>
  </mergeCells>
  <conditionalFormatting sqref="I13:BP22">
    <cfRule type="cellIs" dxfId="0" priority="1" operator="equal">
      <formula>1</formula>
    </cfRule>
  </conditionalFormatting>
  <pageMargins left="0.25" right="0.25" top="0.75" bottom="0.75" header="0.3" footer="0.3"/>
  <pageSetup paperSize="3" scale="77"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9" tint="0.59999389629810485"/>
  </sheetPr>
  <dimension ref="A1:Q96"/>
  <sheetViews>
    <sheetView showGridLines="0" zoomScale="110" zoomScaleNormal="110" zoomScaleSheetLayoutView="100" workbookViewId="0">
      <selection activeCell="H77" sqref="H77"/>
    </sheetView>
  </sheetViews>
  <sheetFormatPr defaultRowHeight="15" x14ac:dyDescent="0.25"/>
  <cols>
    <col min="2" max="2" width="8.85546875" customWidth="1"/>
    <col min="5" max="5" width="7.85546875" customWidth="1"/>
    <col min="6" max="6" width="7.42578125" customWidth="1"/>
    <col min="7" max="7" width="8" customWidth="1"/>
    <col min="8" max="8" width="14.5703125" customWidth="1"/>
    <col min="9" max="9" width="11.140625" bestFit="1" customWidth="1"/>
    <col min="11" max="12" width="12.5703125" bestFit="1" customWidth="1"/>
    <col min="13" max="13" width="10.5703125" bestFit="1" customWidth="1"/>
  </cols>
  <sheetData>
    <row r="1" spans="1:13" ht="12" customHeight="1" x14ac:dyDescent="0.25">
      <c r="J1" s="59" t="str">
        <f>"Currently running: "&amp;CHOOSE('12. Sensitivity'!$E$8,'12. Sensitivity'!$B$11,'12. Sensitivity'!$B$12,'12. Sensitivity'!$B$13)</f>
        <v>Currently running: Base Case</v>
      </c>
    </row>
    <row r="2" spans="1:13" ht="52.35" customHeight="1" x14ac:dyDescent="0.25">
      <c r="J2" s="59"/>
    </row>
    <row r="3" spans="1:13" ht="15.75" x14ac:dyDescent="0.25">
      <c r="B3" s="953" t="str">
        <f>'3. Headline #s'!A10</f>
        <v>Apartment Development Model 
Reverse 1B</v>
      </c>
      <c r="C3" s="953"/>
      <c r="D3" s="953"/>
      <c r="E3" s="953"/>
      <c r="F3" s="953"/>
      <c r="G3" s="953"/>
      <c r="H3" s="953"/>
      <c r="I3" s="953"/>
    </row>
    <row r="4" spans="1:13" x14ac:dyDescent="0.25">
      <c r="B4" s="951" t="str">
        <f>'3. Headline #s'!A12</f>
        <v>2240 Birchmount Road, Scarborough, ON</v>
      </c>
      <c r="C4" s="951"/>
      <c r="D4" s="951"/>
      <c r="E4" s="951"/>
      <c r="F4" s="951"/>
      <c r="G4" s="951"/>
      <c r="H4" s="951"/>
      <c r="I4" s="951"/>
    </row>
    <row r="5" spans="1:13" x14ac:dyDescent="0.25">
      <c r="B5" s="923" t="s">
        <v>21</v>
      </c>
      <c r="C5" s="923"/>
      <c r="D5" s="923"/>
      <c r="E5" s="923"/>
      <c r="F5" s="923"/>
      <c r="G5" s="923"/>
      <c r="H5" s="923"/>
      <c r="I5" s="923"/>
    </row>
    <row r="6" spans="1:13" ht="3.6" customHeight="1" thickBot="1" x14ac:dyDescent="0.3">
      <c r="A6" s="1"/>
      <c r="B6" s="1"/>
      <c r="C6" s="1"/>
      <c r="D6" s="1"/>
      <c r="E6" s="1"/>
      <c r="F6" s="1"/>
      <c r="G6" s="1"/>
      <c r="H6" s="1"/>
      <c r="I6" s="1"/>
      <c r="J6" s="1"/>
    </row>
    <row r="7" spans="1:13" ht="4.3499999999999996" customHeight="1" x14ac:dyDescent="0.25"/>
    <row r="8" spans="1:13" ht="14.1" customHeight="1" x14ac:dyDescent="0.25"/>
    <row r="9" spans="1:13" x14ac:dyDescent="0.25">
      <c r="B9" t="s">
        <v>6</v>
      </c>
      <c r="I9" s="19">
        <f>'7. Op Rev and Exp'!E20</f>
        <v>170</v>
      </c>
      <c r="J9" t="s">
        <v>244</v>
      </c>
    </row>
    <row r="10" spans="1:13" x14ac:dyDescent="0.25">
      <c r="B10" t="s">
        <v>7</v>
      </c>
      <c r="I10" s="19">
        <f>'7. Op Rev and Exp'!D20</f>
        <v>128853.2</v>
      </c>
      <c r="J10" t="s">
        <v>279</v>
      </c>
    </row>
    <row r="11" spans="1:13" ht="4.3499999999999996" customHeight="1" x14ac:dyDescent="0.25"/>
    <row r="12" spans="1:13" x14ac:dyDescent="0.25">
      <c r="B12" s="2"/>
      <c r="G12" s="2"/>
      <c r="H12" s="9" t="s">
        <v>14</v>
      </c>
      <c r="I12" s="9" t="s">
        <v>15</v>
      </c>
      <c r="J12" s="9" t="s">
        <v>16</v>
      </c>
    </row>
    <row r="13" spans="1:13" x14ac:dyDescent="0.25">
      <c r="A13" s="7"/>
      <c r="B13" s="8" t="s">
        <v>110</v>
      </c>
      <c r="C13" s="6"/>
      <c r="D13" s="6"/>
      <c r="E13" s="6"/>
      <c r="F13" s="6"/>
      <c r="G13" s="6"/>
      <c r="H13" s="6"/>
      <c r="I13" s="6"/>
      <c r="J13" s="6"/>
      <c r="M13" t="s">
        <v>294</v>
      </c>
    </row>
    <row r="14" spans="1:13" x14ac:dyDescent="0.25">
      <c r="B14" s="3" t="s">
        <v>8</v>
      </c>
      <c r="F14" s="300"/>
      <c r="H14" s="294">
        <f>+'5. Key Assumptions'!F44</f>
        <v>9911777.8536000028</v>
      </c>
      <c r="I14" s="19">
        <f>H14/$I$9</f>
        <v>58304.575609411782</v>
      </c>
      <c r="J14" s="18">
        <f>H14/$I$10</f>
        <v>76.923024446424321</v>
      </c>
    </row>
    <row r="15" spans="1:13" x14ac:dyDescent="0.25">
      <c r="B15" s="3" t="s">
        <v>280</v>
      </c>
      <c r="G15" s="324">
        <f>+H15/H14</f>
        <v>0.05</v>
      </c>
      <c r="H15" s="295">
        <f>+'5. Key Assumptions'!F45</f>
        <v>495588.89268000016</v>
      </c>
      <c r="I15" s="20">
        <f>H15/$I$9</f>
        <v>2915.2287804705893</v>
      </c>
      <c r="J15" s="22">
        <f>H15/$I$10</f>
        <v>3.8461512223212164</v>
      </c>
    </row>
    <row r="16" spans="1:13" x14ac:dyDescent="0.25">
      <c r="B16" s="10" t="s">
        <v>111</v>
      </c>
      <c r="G16" s="300">
        <f ca="1">H16/$H$89</f>
        <v>0.11020019110912484</v>
      </c>
      <c r="H16" s="13">
        <f>SUM(H14:H15)</f>
        <v>10407366.746280003</v>
      </c>
      <c r="I16" s="13">
        <f t="shared" ref="I16:J16" si="0">SUM(I14:I15)</f>
        <v>61219.804389882374</v>
      </c>
      <c r="J16" s="21">
        <f t="shared" si="0"/>
        <v>80.769175668745532</v>
      </c>
    </row>
    <row r="17" spans="1:17" ht="4.3499999999999996" customHeight="1" x14ac:dyDescent="0.25">
      <c r="B17" s="3"/>
      <c r="H17" s="12"/>
      <c r="I17" s="19"/>
      <c r="J17" s="18"/>
    </row>
    <row r="18" spans="1:17" x14ac:dyDescent="0.25">
      <c r="A18" s="7"/>
      <c r="B18" s="8" t="s">
        <v>112</v>
      </c>
      <c r="C18" s="6"/>
      <c r="D18" s="6"/>
      <c r="E18" s="6"/>
      <c r="F18" s="6"/>
      <c r="G18" s="6"/>
      <c r="H18" s="6"/>
      <c r="I18" s="6"/>
      <c r="J18" s="6"/>
    </row>
    <row r="19" spans="1:17" x14ac:dyDescent="0.25">
      <c r="B19" s="3" t="s">
        <v>113</v>
      </c>
      <c r="H19" s="12">
        <f>+'5. Key Assumptions'!F48*M19</f>
        <v>64395800</v>
      </c>
      <c r="I19" s="19">
        <f t="shared" ref="I19:I21" si="1">H19/$I$9</f>
        <v>378798.82352941175</v>
      </c>
      <c r="J19" s="18">
        <f t="shared" ref="J19:J21" si="2">H19/$I$10</f>
        <v>499.76096829570395</v>
      </c>
      <c r="L19" s="309" t="s">
        <v>273</v>
      </c>
      <c r="M19" s="319">
        <f>+'14. Sensitivity 2'!D10</f>
        <v>1</v>
      </c>
      <c r="N19" s="276"/>
    </row>
    <row r="20" spans="1:17" x14ac:dyDescent="0.25">
      <c r="B20" s="3" t="s">
        <v>9</v>
      </c>
      <c r="H20" s="12">
        <v>0</v>
      </c>
      <c r="I20" s="19">
        <f t="shared" si="1"/>
        <v>0</v>
      </c>
      <c r="J20" s="18">
        <f t="shared" si="2"/>
        <v>0</v>
      </c>
    </row>
    <row r="21" spans="1:17" x14ac:dyDescent="0.25">
      <c r="B21" s="3" t="s">
        <v>130</v>
      </c>
      <c r="G21" s="5">
        <f>+H21/H19</f>
        <v>0.02</v>
      </c>
      <c r="H21" s="14">
        <f>+'5. Key Assumptions'!F49</f>
        <v>1287916</v>
      </c>
      <c r="I21" s="20">
        <f t="shared" si="1"/>
        <v>7575.9764705882353</v>
      </c>
      <c r="J21" s="22">
        <f t="shared" si="2"/>
        <v>9.99521936591408</v>
      </c>
      <c r="K21" s="300">
        <f>+H21/H19</f>
        <v>0.02</v>
      </c>
      <c r="L21" s="13">
        <f>+H19</f>
        <v>64395800</v>
      </c>
      <c r="M21" s="13">
        <f>+H21</f>
        <v>1287916</v>
      </c>
      <c r="N21" s="300">
        <f>+M21/L21</f>
        <v>0.02</v>
      </c>
      <c r="Q21" s="311"/>
    </row>
    <row r="22" spans="1:17" x14ac:dyDescent="0.25">
      <c r="B22" s="10" t="s">
        <v>141</v>
      </c>
      <c r="G22" s="300">
        <f ca="1">H22/$H$89</f>
        <v>0.69550331341448601</v>
      </c>
      <c r="H22" s="13">
        <f>SUM(H19:H21)</f>
        <v>65683716</v>
      </c>
      <c r="I22" s="13">
        <f>SUM(I14:I21)</f>
        <v>508814.40877976472</v>
      </c>
      <c r="J22" s="21">
        <f>SUM(J19:J21)</f>
        <v>509.75618766161801</v>
      </c>
    </row>
    <row r="23" spans="1:17" ht="4.3499999999999996" customHeight="1" x14ac:dyDescent="0.25"/>
    <row r="24" spans="1:17" x14ac:dyDescent="0.25">
      <c r="A24" s="7"/>
      <c r="B24" s="8" t="s">
        <v>114</v>
      </c>
      <c r="C24" s="8"/>
      <c r="D24" s="8"/>
      <c r="E24" s="8"/>
      <c r="F24" s="8"/>
      <c r="G24" s="8"/>
      <c r="H24" s="8"/>
      <c r="I24" s="8"/>
      <c r="J24" s="8"/>
    </row>
    <row r="25" spans="1:17" x14ac:dyDescent="0.25">
      <c r="B25" s="4" t="s">
        <v>115</v>
      </c>
      <c r="H25" s="274">
        <f>+'5. Key Assumptions'!F51</f>
        <v>1931874</v>
      </c>
      <c r="I25" s="23">
        <f t="shared" ref="I25:I40" si="3">H25/$I$9</f>
        <v>11363.964705882352</v>
      </c>
      <c r="J25" s="24">
        <f t="shared" ref="J25:J40" si="4">H25/$I$10</f>
        <v>14.992829048871119</v>
      </c>
    </row>
    <row r="26" spans="1:17" x14ac:dyDescent="0.25">
      <c r="B26" s="4" t="s">
        <v>116</v>
      </c>
      <c r="H26" s="274"/>
      <c r="I26" s="23">
        <f t="shared" si="3"/>
        <v>0</v>
      </c>
      <c r="J26" s="24">
        <f t="shared" si="4"/>
        <v>0</v>
      </c>
      <c r="N26" s="276"/>
    </row>
    <row r="27" spans="1:17" x14ac:dyDescent="0.25">
      <c r="B27" s="4" t="s">
        <v>117</v>
      </c>
      <c r="H27" s="274"/>
      <c r="I27" s="23">
        <f t="shared" si="3"/>
        <v>0</v>
      </c>
      <c r="J27" s="24">
        <f t="shared" si="4"/>
        <v>0</v>
      </c>
      <c r="N27" s="276"/>
    </row>
    <row r="28" spans="1:17" x14ac:dyDescent="0.25">
      <c r="B28" s="4" t="s">
        <v>118</v>
      </c>
      <c r="H28" s="274"/>
      <c r="I28" s="23">
        <f t="shared" si="3"/>
        <v>0</v>
      </c>
      <c r="J28" s="24">
        <f t="shared" si="4"/>
        <v>0</v>
      </c>
    </row>
    <row r="29" spans="1:17" x14ac:dyDescent="0.25">
      <c r="B29" s="4" t="s">
        <v>237</v>
      </c>
      <c r="H29" s="274"/>
      <c r="I29" s="23">
        <f t="shared" si="3"/>
        <v>0</v>
      </c>
      <c r="J29" s="24">
        <f t="shared" si="4"/>
        <v>0</v>
      </c>
    </row>
    <row r="30" spans="1:17" x14ac:dyDescent="0.25">
      <c r="B30" s="4" t="s">
        <v>119</v>
      </c>
      <c r="H30" s="274"/>
      <c r="I30" s="23">
        <f t="shared" si="3"/>
        <v>0</v>
      </c>
      <c r="J30" s="24">
        <f t="shared" si="4"/>
        <v>0</v>
      </c>
    </row>
    <row r="31" spans="1:17" x14ac:dyDescent="0.25">
      <c r="B31" s="4" t="s">
        <v>238</v>
      </c>
      <c r="H31" s="274"/>
      <c r="I31" s="23">
        <f t="shared" si="3"/>
        <v>0</v>
      </c>
      <c r="J31" s="24">
        <f t="shared" si="4"/>
        <v>0</v>
      </c>
    </row>
    <row r="32" spans="1:17" x14ac:dyDescent="0.25">
      <c r="B32" s="4" t="s">
        <v>120</v>
      </c>
      <c r="H32" s="274"/>
      <c r="I32" s="23">
        <f t="shared" si="3"/>
        <v>0</v>
      </c>
      <c r="J32" s="24">
        <f t="shared" si="4"/>
        <v>0</v>
      </c>
    </row>
    <row r="33" spans="1:14" x14ac:dyDescent="0.25">
      <c r="B33" s="4"/>
      <c r="H33" s="296"/>
      <c r="I33" s="23">
        <f t="shared" si="3"/>
        <v>0</v>
      </c>
      <c r="J33" s="24">
        <f t="shared" si="4"/>
        <v>0</v>
      </c>
    </row>
    <row r="34" spans="1:14" x14ac:dyDescent="0.25">
      <c r="B34" s="4"/>
      <c r="H34" s="296"/>
      <c r="I34" s="23">
        <f t="shared" si="3"/>
        <v>0</v>
      </c>
      <c r="J34" s="24">
        <f t="shared" si="4"/>
        <v>0</v>
      </c>
    </row>
    <row r="35" spans="1:14" x14ac:dyDescent="0.25">
      <c r="B35" s="4" t="s">
        <v>282</v>
      </c>
      <c r="H35" s="296"/>
      <c r="I35" s="23">
        <f t="shared" si="3"/>
        <v>0</v>
      </c>
      <c r="J35" s="24">
        <f t="shared" si="4"/>
        <v>0</v>
      </c>
    </row>
    <row r="36" spans="1:14" x14ac:dyDescent="0.25">
      <c r="B36" s="4" t="s">
        <v>121</v>
      </c>
      <c r="H36" s="274">
        <v>0</v>
      </c>
      <c r="I36" s="23">
        <f t="shared" si="3"/>
        <v>0</v>
      </c>
      <c r="J36" s="24">
        <f t="shared" si="4"/>
        <v>0</v>
      </c>
    </row>
    <row r="37" spans="1:14" x14ac:dyDescent="0.25">
      <c r="B37" s="4" t="s">
        <v>122</v>
      </c>
      <c r="H37" s="274">
        <v>0</v>
      </c>
      <c r="I37" s="23">
        <f t="shared" si="3"/>
        <v>0</v>
      </c>
      <c r="J37" s="24">
        <f t="shared" si="4"/>
        <v>0</v>
      </c>
    </row>
    <row r="38" spans="1:14" x14ac:dyDescent="0.25">
      <c r="B38" s="4" t="s">
        <v>123</v>
      </c>
      <c r="H38" s="274">
        <v>0</v>
      </c>
      <c r="I38" s="23">
        <f t="shared" si="3"/>
        <v>0</v>
      </c>
      <c r="J38" s="24">
        <f t="shared" si="4"/>
        <v>0</v>
      </c>
    </row>
    <row r="39" spans="1:14" x14ac:dyDescent="0.25">
      <c r="B39" s="4" t="s">
        <v>124</v>
      </c>
      <c r="H39" s="274">
        <v>0</v>
      </c>
      <c r="I39" s="23">
        <f t="shared" si="3"/>
        <v>0</v>
      </c>
      <c r="J39" s="24">
        <f t="shared" si="4"/>
        <v>0</v>
      </c>
    </row>
    <row r="40" spans="1:14" x14ac:dyDescent="0.25">
      <c r="B40" s="4" t="s">
        <v>125</v>
      </c>
      <c r="G40" s="5">
        <v>0.1</v>
      </c>
      <c r="H40" s="274">
        <f>+'5. Key Assumptions'!F52</f>
        <v>96593.700000000012</v>
      </c>
      <c r="I40" s="20">
        <f t="shared" si="3"/>
        <v>568.19823529411769</v>
      </c>
      <c r="J40" s="22">
        <f t="shared" si="4"/>
        <v>0.74964145244355607</v>
      </c>
      <c r="L40" s="13"/>
    </row>
    <row r="41" spans="1:14" x14ac:dyDescent="0.25">
      <c r="B41" s="11" t="s">
        <v>126</v>
      </c>
      <c r="G41" s="300">
        <f ca="1">H41/$H$89</f>
        <v>2.1478778796623833E-2</v>
      </c>
      <c r="H41" s="298">
        <f>SUM(H25:H40)</f>
        <v>2028467.7</v>
      </c>
      <c r="I41" s="13">
        <f>SUM(I25:I40)</f>
        <v>11932.16294117647</v>
      </c>
      <c r="J41" s="21">
        <f>SUM(J25:J40)</f>
        <v>15.742470501314676</v>
      </c>
      <c r="K41" s="300">
        <f>+H41/H22</f>
        <v>3.0882352941176468E-2</v>
      </c>
      <c r="L41" s="351">
        <f>+H41-H40</f>
        <v>1931874</v>
      </c>
      <c r="M41" s="13">
        <f>+H40</f>
        <v>96593.700000000012</v>
      </c>
      <c r="N41" s="300">
        <f>+M41/L41</f>
        <v>0.05</v>
      </c>
    </row>
    <row r="42" spans="1:14" ht="4.3499999999999996" customHeight="1" x14ac:dyDescent="0.25">
      <c r="B42" s="11"/>
      <c r="H42" s="13"/>
      <c r="I42" s="13"/>
      <c r="J42" s="21"/>
    </row>
    <row r="43" spans="1:14" x14ac:dyDescent="0.25">
      <c r="A43" s="7"/>
      <c r="B43" s="8" t="s">
        <v>132</v>
      </c>
      <c r="C43" s="6"/>
      <c r="D43" s="6"/>
      <c r="E43" s="6"/>
      <c r="F43" s="6"/>
      <c r="G43" s="6"/>
      <c r="H43" s="6"/>
      <c r="I43" s="6"/>
      <c r="J43" s="6"/>
    </row>
    <row r="44" spans="1:14" x14ac:dyDescent="0.25">
      <c r="B44" s="4"/>
      <c r="C44" s="110"/>
      <c r="G44" s="16"/>
      <c r="H44" s="297"/>
      <c r="I44" s="23"/>
      <c r="J44" s="24"/>
    </row>
    <row r="45" spans="1:14" x14ac:dyDescent="0.25">
      <c r="B45" s="4" t="s">
        <v>262</v>
      </c>
      <c r="C45" s="110"/>
      <c r="G45" s="16"/>
      <c r="H45" s="297">
        <f>+'5. Key Assumptions'!F54</f>
        <v>1692804.5925000003</v>
      </c>
      <c r="I45" s="23">
        <f t="shared" ref="I45" si="5">H45/$I$9</f>
        <v>9957.6740735294134</v>
      </c>
      <c r="J45" s="23">
        <f t="shared" ref="J45" si="6">H45/$I$10</f>
        <v>13.137466454073319</v>
      </c>
    </row>
    <row r="46" spans="1:14" x14ac:dyDescent="0.25">
      <c r="B46" s="11" t="s">
        <v>286</v>
      </c>
      <c r="G46" s="300">
        <f ca="1">H46/$H$89</f>
        <v>1.7924552305277747E-2</v>
      </c>
      <c r="H46" s="111">
        <f>SUM(H44:H45)</f>
        <v>1692804.5925000003</v>
      </c>
      <c r="I46" s="111">
        <f>SUM(I44:I45)</f>
        <v>9957.6740735294134</v>
      </c>
      <c r="J46" s="111">
        <f>SUM(J44:J45)</f>
        <v>13.137466454073319</v>
      </c>
    </row>
    <row r="47" spans="1:14" ht="4.3499999999999996" customHeight="1" x14ac:dyDescent="0.25">
      <c r="B47" s="3"/>
      <c r="H47" s="13"/>
      <c r="I47" s="13"/>
      <c r="J47" s="21"/>
    </row>
    <row r="48" spans="1:14" x14ac:dyDescent="0.25">
      <c r="A48" s="7"/>
      <c r="B48" s="8" t="s">
        <v>127</v>
      </c>
      <c r="C48" s="8"/>
      <c r="D48" s="8"/>
      <c r="E48" s="8"/>
      <c r="F48" s="8"/>
      <c r="G48" s="8"/>
      <c r="H48" s="8"/>
      <c r="I48" s="8"/>
      <c r="J48" s="8"/>
    </row>
    <row r="49" spans="1:14" hidden="1" x14ac:dyDescent="0.25">
      <c r="B49" s="4" t="s">
        <v>283</v>
      </c>
      <c r="H49" s="274">
        <v>0</v>
      </c>
      <c r="I49" s="23">
        <f t="shared" ref="I49:I58" si="7">H49/$I$9</f>
        <v>0</v>
      </c>
      <c r="J49" s="24">
        <f t="shared" ref="J49:J58" si="8">H49/$I$10</f>
        <v>0</v>
      </c>
    </row>
    <row r="50" spans="1:14" hidden="1" x14ac:dyDescent="0.25">
      <c r="B50" s="4" t="s">
        <v>129</v>
      </c>
      <c r="H50" s="274">
        <v>0</v>
      </c>
      <c r="I50" s="23">
        <f t="shared" si="7"/>
        <v>0</v>
      </c>
      <c r="J50" s="24">
        <f t="shared" si="8"/>
        <v>0</v>
      </c>
    </row>
    <row r="51" spans="1:14" x14ac:dyDescent="0.25">
      <c r="B51" s="4" t="s">
        <v>128</v>
      </c>
      <c r="H51" s="274"/>
      <c r="I51" s="23">
        <f t="shared" si="7"/>
        <v>0</v>
      </c>
      <c r="J51" s="24">
        <f t="shared" si="8"/>
        <v>0</v>
      </c>
    </row>
    <row r="52" spans="1:14" x14ac:dyDescent="0.25">
      <c r="B52" s="4" t="s">
        <v>235</v>
      </c>
      <c r="H52" s="274"/>
      <c r="I52" s="23">
        <f t="shared" si="7"/>
        <v>0</v>
      </c>
      <c r="J52" s="24">
        <f t="shared" si="8"/>
        <v>0</v>
      </c>
      <c r="N52" s="276"/>
    </row>
    <row r="53" spans="1:14" x14ac:dyDescent="0.25">
      <c r="B53" s="4" t="s">
        <v>10</v>
      </c>
      <c r="H53" s="274">
        <v>0</v>
      </c>
      <c r="I53" s="23">
        <f t="shared" si="7"/>
        <v>0</v>
      </c>
      <c r="J53" s="24">
        <f t="shared" si="8"/>
        <v>0</v>
      </c>
    </row>
    <row r="54" spans="1:14" x14ac:dyDescent="0.25">
      <c r="B54" s="4" t="s">
        <v>236</v>
      </c>
      <c r="H54" s="274">
        <f>+'5. Key Assumptions'!F56</f>
        <v>7192106</v>
      </c>
      <c r="I54" s="23">
        <f t="shared" si="7"/>
        <v>42306.50588235294</v>
      </c>
      <c r="J54" s="24">
        <f t="shared" si="8"/>
        <v>55.816277748631776</v>
      </c>
    </row>
    <row r="55" spans="1:14" x14ac:dyDescent="0.25">
      <c r="B55" s="325" t="s">
        <v>284</v>
      </c>
      <c r="C55" s="276"/>
      <c r="D55" s="276"/>
      <c r="E55" s="276"/>
      <c r="F55" s="276">
        <f>+'5. Key Assumptions'!D58</f>
        <v>600</v>
      </c>
      <c r="G55" s="276"/>
      <c r="H55" s="326">
        <f>-F55*I9</f>
        <v>-102000</v>
      </c>
      <c r="I55" s="326">
        <f t="shared" si="7"/>
        <v>-600</v>
      </c>
      <c r="J55" s="327">
        <f t="shared" si="8"/>
        <v>-0.79159850124017095</v>
      </c>
    </row>
    <row r="56" spans="1:14" hidden="1" x14ac:dyDescent="0.25">
      <c r="B56" s="4" t="s">
        <v>142</v>
      </c>
      <c r="H56" s="274">
        <v>0</v>
      </c>
      <c r="I56" s="23">
        <f t="shared" si="7"/>
        <v>0</v>
      </c>
      <c r="J56" s="24">
        <f t="shared" si="8"/>
        <v>0</v>
      </c>
    </row>
    <row r="57" spans="1:14" hidden="1" x14ac:dyDescent="0.25">
      <c r="B57" s="4" t="s">
        <v>134</v>
      </c>
      <c r="H57" s="274">
        <v>0</v>
      </c>
      <c r="I57" s="23">
        <f t="shared" si="7"/>
        <v>0</v>
      </c>
      <c r="J57" s="24">
        <f t="shared" si="8"/>
        <v>0</v>
      </c>
    </row>
    <row r="58" spans="1:14" x14ac:dyDescent="0.25">
      <c r="B58" s="4" t="s">
        <v>131</v>
      </c>
      <c r="G58" s="5">
        <v>0.1</v>
      </c>
      <c r="H58" s="274">
        <f>+'5. Key Assumptions'!F57</f>
        <v>359605.30000000005</v>
      </c>
      <c r="I58" s="20">
        <f t="shared" si="7"/>
        <v>2115.3252941176474</v>
      </c>
      <c r="J58" s="22">
        <f t="shared" si="8"/>
        <v>2.7908138874315891</v>
      </c>
    </row>
    <row r="59" spans="1:14" x14ac:dyDescent="0.25">
      <c r="B59" s="11" t="s">
        <v>145</v>
      </c>
      <c r="G59" s="300">
        <f ca="1">H59/$H$89</f>
        <v>7.8882548197049901E-2</v>
      </c>
      <c r="H59" s="13">
        <f>SUM(H49:H58)</f>
        <v>7449711.2999999998</v>
      </c>
      <c r="I59" s="13">
        <f>SUM(I49:I58)</f>
        <v>43821.831176470587</v>
      </c>
      <c r="J59" s="21">
        <f>SUM(J49:J58)</f>
        <v>57.815493134823193</v>
      </c>
      <c r="L59" s="13">
        <f>+H59-H58</f>
        <v>7090106</v>
      </c>
      <c r="M59" s="13">
        <f>+H58</f>
        <v>359605.30000000005</v>
      </c>
      <c r="N59" s="300">
        <f>+M59/L59</f>
        <v>5.0719312235952475E-2</v>
      </c>
    </row>
    <row r="60" spans="1:14" ht="4.3499999999999996" customHeight="1" x14ac:dyDescent="0.25">
      <c r="B60" s="11"/>
      <c r="H60" s="13"/>
      <c r="I60" s="13"/>
      <c r="J60" s="21"/>
    </row>
    <row r="61" spans="1:14" x14ac:dyDescent="0.25">
      <c r="A61" s="7"/>
      <c r="B61" s="8" t="s">
        <v>144</v>
      </c>
      <c r="C61" s="8"/>
      <c r="D61" s="8"/>
      <c r="E61" s="8"/>
      <c r="F61" s="8"/>
      <c r="G61" s="8"/>
      <c r="H61" s="8"/>
      <c r="I61" s="8"/>
      <c r="J61" s="8"/>
    </row>
    <row r="62" spans="1:14" x14ac:dyDescent="0.25">
      <c r="B62" s="4" t="s">
        <v>259</v>
      </c>
      <c r="H62" s="296">
        <v>0</v>
      </c>
      <c r="I62" s="23">
        <f>H62/I9</f>
        <v>0</v>
      </c>
      <c r="J62" s="24">
        <f>H62/I10</f>
        <v>0</v>
      </c>
    </row>
    <row r="63" spans="1:14" x14ac:dyDescent="0.25">
      <c r="B63" s="4" t="s">
        <v>281</v>
      </c>
      <c r="H63" s="296">
        <f>+'5. Key Assumptions'!F61</f>
        <v>838175</v>
      </c>
      <c r="I63" s="301">
        <f>H63/I9</f>
        <v>4930.4411764705883</v>
      </c>
      <c r="J63" s="24">
        <f>H63/I10</f>
        <v>6.504883076244905</v>
      </c>
    </row>
    <row r="64" spans="1:14" x14ac:dyDescent="0.25">
      <c r="B64" s="4" t="s">
        <v>260</v>
      </c>
      <c r="H64" s="296">
        <v>0</v>
      </c>
      <c r="I64" s="301">
        <f>H64/I9</f>
        <v>0</v>
      </c>
      <c r="J64" s="24">
        <f>H64/I10</f>
        <v>0</v>
      </c>
    </row>
    <row r="65" spans="1:14" x14ac:dyDescent="0.25">
      <c r="B65" s="4" t="s">
        <v>11</v>
      </c>
      <c r="H65" s="296">
        <f>+'5. Key Assumptions'!F62</f>
        <v>838175</v>
      </c>
      <c r="I65" s="23">
        <f>H65/$I$9</f>
        <v>4930.4411764705883</v>
      </c>
      <c r="J65" s="24">
        <f>H65/$I$10</f>
        <v>6.504883076244905</v>
      </c>
      <c r="N65" s="276"/>
    </row>
    <row r="66" spans="1:14" x14ac:dyDescent="0.25">
      <c r="B66" s="11" t="s">
        <v>146</v>
      </c>
      <c r="G66" s="281">
        <f ca="1">H66/$H$89</f>
        <v>1.7750320025169915E-2</v>
      </c>
      <c r="H66" s="298">
        <f>SUM(H62:H65)</f>
        <v>1676350</v>
      </c>
      <c r="I66" s="298">
        <f>SUM(I62:I65)</f>
        <v>9860.8823529411766</v>
      </c>
      <c r="J66" s="299">
        <f>SUM(J62:J65)</f>
        <v>13.00976615248981</v>
      </c>
    </row>
    <row r="67" spans="1:14" ht="4.3499999999999996" customHeight="1" x14ac:dyDescent="0.25">
      <c r="B67" s="11"/>
      <c r="H67" s="13"/>
      <c r="I67" s="13"/>
      <c r="J67" s="21"/>
    </row>
    <row r="68" spans="1:14" x14ac:dyDescent="0.25">
      <c r="A68" s="7"/>
      <c r="B68" s="8" t="s">
        <v>139</v>
      </c>
      <c r="C68" s="8"/>
      <c r="D68" s="8"/>
      <c r="E68" s="8"/>
      <c r="F68" s="8"/>
      <c r="G68" s="8"/>
      <c r="H68" s="8"/>
      <c r="I68" s="8"/>
      <c r="J68" s="8"/>
    </row>
    <row r="69" spans="1:14" x14ac:dyDescent="0.25">
      <c r="B69" s="4" t="s">
        <v>133</v>
      </c>
      <c r="H69" s="296"/>
      <c r="I69" s="23">
        <f t="shared" ref="I69:I79" si="9">H69/$I$9</f>
        <v>0</v>
      </c>
      <c r="J69" s="24">
        <f t="shared" ref="J69" si="10">H69/$I$10</f>
        <v>0</v>
      </c>
    </row>
    <row r="70" spans="1:14" x14ac:dyDescent="0.25">
      <c r="B70" s="4" t="s">
        <v>135</v>
      </c>
      <c r="H70" s="296"/>
      <c r="I70" s="23">
        <f t="shared" si="9"/>
        <v>0</v>
      </c>
      <c r="J70" s="24">
        <f t="shared" ref="J70:J79" si="11">H70/$I$10</f>
        <v>0</v>
      </c>
    </row>
    <row r="71" spans="1:14" hidden="1" x14ac:dyDescent="0.25">
      <c r="B71" s="4" t="s">
        <v>13</v>
      </c>
      <c r="F71" t="s">
        <v>147</v>
      </c>
      <c r="G71" s="53"/>
      <c r="H71" s="274">
        <v>0</v>
      </c>
      <c r="I71" s="23">
        <f t="shared" si="9"/>
        <v>0</v>
      </c>
      <c r="J71" s="24">
        <f t="shared" si="11"/>
        <v>0</v>
      </c>
      <c r="N71" s="276"/>
    </row>
    <row r="72" spans="1:14" hidden="1" x14ac:dyDescent="0.25">
      <c r="B72" s="4" t="s">
        <v>136</v>
      </c>
      <c r="H72" s="274">
        <v>0</v>
      </c>
      <c r="I72" s="23">
        <f t="shared" si="9"/>
        <v>0</v>
      </c>
      <c r="J72" s="24">
        <f t="shared" si="11"/>
        <v>0</v>
      </c>
    </row>
    <row r="73" spans="1:14" hidden="1" x14ac:dyDescent="0.25">
      <c r="B73" s="4" t="s">
        <v>31</v>
      </c>
      <c r="H73" s="274">
        <v>0</v>
      </c>
      <c r="I73" s="23">
        <f t="shared" si="9"/>
        <v>0</v>
      </c>
      <c r="J73" s="24">
        <f t="shared" si="11"/>
        <v>0</v>
      </c>
    </row>
    <row r="74" spans="1:14" hidden="1" x14ac:dyDescent="0.25">
      <c r="B74" s="4" t="s">
        <v>137</v>
      </c>
      <c r="H74" s="274">
        <v>0</v>
      </c>
      <c r="I74" s="23">
        <f t="shared" si="9"/>
        <v>0</v>
      </c>
      <c r="J74" s="24">
        <f t="shared" si="11"/>
        <v>0</v>
      </c>
    </row>
    <row r="75" spans="1:14" x14ac:dyDescent="0.25">
      <c r="B75" s="4" t="s">
        <v>138</v>
      </c>
      <c r="H75" s="296">
        <f>+'5. Key Assumptions'!F74</f>
        <v>849580.95888000017</v>
      </c>
      <c r="I75" s="23">
        <f t="shared" si="9"/>
        <v>4997.5350522352946</v>
      </c>
      <c r="J75" s="24">
        <f t="shared" si="11"/>
        <v>6.5934020954077992</v>
      </c>
      <c r="M75" s="13"/>
    </row>
    <row r="76" spans="1:14" hidden="1" x14ac:dyDescent="0.25">
      <c r="B76" s="4" t="s">
        <v>245</v>
      </c>
      <c r="H76" s="274">
        <v>0</v>
      </c>
      <c r="I76" s="23">
        <f t="shared" si="9"/>
        <v>0</v>
      </c>
      <c r="J76" s="24">
        <f t="shared" si="11"/>
        <v>0</v>
      </c>
    </row>
    <row r="77" spans="1:14" x14ac:dyDescent="0.25">
      <c r="B77" s="4" t="s">
        <v>12</v>
      </c>
      <c r="H77" s="274">
        <v>0</v>
      </c>
      <c r="I77" s="23">
        <f t="shared" si="9"/>
        <v>0</v>
      </c>
      <c r="J77" s="24">
        <f t="shared" si="11"/>
        <v>0</v>
      </c>
      <c r="L77" t="s">
        <v>837</v>
      </c>
      <c r="N77" s="276"/>
    </row>
    <row r="78" spans="1:14" x14ac:dyDescent="0.25">
      <c r="B78" s="4" t="s">
        <v>176</v>
      </c>
      <c r="F78" t="s">
        <v>40</v>
      </c>
      <c r="G78" s="428">
        <f>'12. Sensitivity'!H15</f>
        <v>5.8666666666666666E-2</v>
      </c>
      <c r="H78" s="172">
        <f ca="1">-'10. Development Cash Flow'!E93</f>
        <v>7695700.3074020371</v>
      </c>
      <c r="I78" s="23">
        <f t="shared" ca="1" si="9"/>
        <v>45268.825337659044</v>
      </c>
      <c r="J78" s="24">
        <f t="shared" ca="1" si="11"/>
        <v>59.724557150323292</v>
      </c>
    </row>
    <row r="79" spans="1:14" x14ac:dyDescent="0.25">
      <c r="B79" s="4" t="s">
        <v>374</v>
      </c>
      <c r="G79" s="5">
        <f ca="1">+H79/(H80-H79)</f>
        <v>4.9710532187645824E-2</v>
      </c>
      <c r="H79" s="14">
        <f>+'5. Key Assumptions'!F75</f>
        <v>424790.47944000008</v>
      </c>
      <c r="I79" s="20">
        <f t="shared" si="9"/>
        <v>2498.7675261176473</v>
      </c>
      <c r="J79" s="22">
        <f t="shared" si="11"/>
        <v>3.2967010477038996</v>
      </c>
      <c r="K79" s="13"/>
    </row>
    <row r="80" spans="1:14" x14ac:dyDescent="0.25">
      <c r="B80" s="11" t="s">
        <v>140</v>
      </c>
      <c r="G80" s="300">
        <f ca="1">H80/$H$89</f>
        <v>9.4981146022788038E-2</v>
      </c>
      <c r="H80" s="13">
        <f ca="1">SUM(H69:H79)</f>
        <v>8970071.7457220368</v>
      </c>
      <c r="I80" s="13">
        <f ca="1">SUM(I69:I79)</f>
        <v>52765.127916011988</v>
      </c>
      <c r="J80" s="21">
        <f ca="1">SUM(J69:J79)</f>
        <v>69.614660293434994</v>
      </c>
      <c r="K80" s="311"/>
      <c r="L80" s="13">
        <f ca="1">+H80-H79</f>
        <v>8545281.2662820369</v>
      </c>
      <c r="M80" s="13">
        <f>+H79</f>
        <v>424790.47944000008</v>
      </c>
      <c r="N80" s="300">
        <f ca="1">+M80/L80</f>
        <v>4.9710532187645824E-2</v>
      </c>
    </row>
    <row r="81" spans="1:14" ht="4.3499999999999996" customHeight="1" x14ac:dyDescent="0.25">
      <c r="B81" s="11"/>
      <c r="H81" s="13"/>
      <c r="I81" s="13"/>
      <c r="J81" s="21"/>
    </row>
    <row r="82" spans="1:14" x14ac:dyDescent="0.25">
      <c r="A82" s="7"/>
      <c r="B82" s="8" t="s">
        <v>163</v>
      </c>
      <c r="C82" s="6"/>
      <c r="D82" s="6"/>
      <c r="E82" s="6"/>
      <c r="F82" s="6"/>
      <c r="G82" s="6"/>
      <c r="H82" s="6"/>
      <c r="I82" s="6"/>
      <c r="J82" s="6"/>
    </row>
    <row r="83" spans="1:14" x14ac:dyDescent="0.25">
      <c r="B83" s="10" t="s">
        <v>295</v>
      </c>
      <c r="C83" s="27"/>
      <c r="D83" s="27"/>
      <c r="E83" s="27"/>
      <c r="F83" s="27"/>
      <c r="G83" s="27"/>
      <c r="H83" s="356">
        <f ca="1">-'10. Development Cash Flow'!E22</f>
        <v>-515585.73930000002</v>
      </c>
      <c r="I83" s="356">
        <f ca="1">H83/$I$9</f>
        <v>-3032.8572899999999</v>
      </c>
      <c r="J83" s="356">
        <f ca="1">H83/$I$10</f>
        <v>-4.0013421420655444</v>
      </c>
    </row>
    <row r="84" spans="1:14" x14ac:dyDescent="0.25">
      <c r="B84" s="3" t="s">
        <v>41</v>
      </c>
      <c r="H84" s="143">
        <f ca="1">-'10. Development Cash Flow'!E23</f>
        <v>-4175747.2724999995</v>
      </c>
      <c r="I84" s="143">
        <f ca="1">H84/$I$9</f>
        <v>-24563.219249999998</v>
      </c>
      <c r="J84" s="143">
        <f ca="1">H84/$I$10</f>
        <v>-32.407012573222858</v>
      </c>
    </row>
    <row r="85" spans="1:14" x14ac:dyDescent="0.25">
      <c r="B85" s="3" t="s">
        <v>160</v>
      </c>
      <c r="G85" s="16"/>
      <c r="H85" s="143">
        <f ca="1">-'10. Development Cash Flow'!E24</f>
        <v>125272.418175</v>
      </c>
      <c r="I85" s="143">
        <f t="shared" ref="I85:I86" ca="1" si="12">H85/$I$9</f>
        <v>736.89657750000003</v>
      </c>
      <c r="J85" s="143">
        <f t="shared" ref="J85:J86" ca="1" si="13">H85/$I$10</f>
        <v>0.9722103771966859</v>
      </c>
    </row>
    <row r="86" spans="1:14" x14ac:dyDescent="0.25">
      <c r="B86" s="3" t="s">
        <v>30</v>
      </c>
      <c r="G86" s="16"/>
      <c r="H86" s="144">
        <f ca="1">-'10. Development Cash Flow'!E25</f>
        <v>1098123.3061192499</v>
      </c>
      <c r="I86" s="144">
        <f t="shared" ca="1" si="12"/>
        <v>6459.548859524999</v>
      </c>
      <c r="J86" s="144">
        <f t="shared" ca="1" si="13"/>
        <v>8.5222819931460752</v>
      </c>
    </row>
    <row r="87" spans="1:14" x14ac:dyDescent="0.25">
      <c r="B87" s="10" t="s">
        <v>296</v>
      </c>
      <c r="G87" s="422">
        <f ca="1">+H87/H89</f>
        <v>-3.6720849870520322E-2</v>
      </c>
      <c r="H87" s="143">
        <f ca="1">SUM(H83:H86)</f>
        <v>-3467937.2875057496</v>
      </c>
      <c r="I87" s="143">
        <f ca="1">SUM(I83:I86)</f>
        <v>-20399.631102975</v>
      </c>
      <c r="J87" s="143">
        <f ca="1">SUM(J83:J86)</f>
        <v>-26.913862344945642</v>
      </c>
    </row>
    <row r="88" spans="1:14" ht="8.1" customHeight="1" x14ac:dyDescent="0.25">
      <c r="B88" s="10"/>
      <c r="H88" s="143"/>
      <c r="I88" s="143"/>
      <c r="J88" s="143"/>
    </row>
    <row r="89" spans="1:14" x14ac:dyDescent="0.25">
      <c r="A89" s="6"/>
      <c r="B89" s="6" t="s">
        <v>143</v>
      </c>
      <c r="C89" s="6"/>
      <c r="D89" s="6"/>
      <c r="E89" s="6"/>
      <c r="F89" s="6"/>
      <c r="G89" s="6"/>
      <c r="H89" s="15">
        <f ca="1">SUM(H16,H22,H41,H59,H46,H66,H80,H87)</f>
        <v>94440550.796996295</v>
      </c>
      <c r="I89" s="15">
        <f ca="1">H89/I9</f>
        <v>555532.65174703707</v>
      </c>
      <c r="J89" s="15">
        <f ca="1">H89/I10</f>
        <v>732.93135752155399</v>
      </c>
      <c r="L89" s="13">
        <f ca="1">+H89-H16</f>
        <v>84033184.050716296</v>
      </c>
      <c r="M89" s="13">
        <f>SUM(M21:M87)</f>
        <v>2168905.4794399999</v>
      </c>
      <c r="N89" s="300">
        <f ca="1">+M89/L89</f>
        <v>2.5810107089730253E-2</v>
      </c>
    </row>
    <row r="90" spans="1:14" x14ac:dyDescent="0.25">
      <c r="L90" s="13"/>
    </row>
    <row r="91" spans="1:14" x14ac:dyDescent="0.25">
      <c r="H91" s="419"/>
    </row>
    <row r="92" spans="1:14" x14ac:dyDescent="0.25">
      <c r="H92" s="19"/>
    </row>
    <row r="93" spans="1:14" x14ac:dyDescent="0.25">
      <c r="H93" s="19"/>
    </row>
    <row r="94" spans="1:14" x14ac:dyDescent="0.25">
      <c r="H94" s="343"/>
    </row>
    <row r="95" spans="1:14" x14ac:dyDescent="0.25">
      <c r="H95" s="343"/>
    </row>
    <row r="96" spans="1:14" x14ac:dyDescent="0.25">
      <c r="H96" s="343"/>
    </row>
  </sheetData>
  <mergeCells count="3">
    <mergeCell ref="B3:I3"/>
    <mergeCell ref="B4:I4"/>
    <mergeCell ref="B5:I5"/>
  </mergeCells>
  <printOptions horizontalCentered="1"/>
  <pageMargins left="0.25" right="0.25" top="0.75" bottom="0.75" header="0.3" footer="0.3"/>
  <pageSetup paperSize="17" scale="91" orientation="landscape" r:id="rId1"/>
  <rowBreaks count="1" manualBreakCount="1">
    <brk id="47" max="16383"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9" tint="0.59999389629810485"/>
    <pageSetUpPr fitToPage="1"/>
  </sheetPr>
  <dimension ref="A2:CZ122"/>
  <sheetViews>
    <sheetView showGridLines="0" topLeftCell="A5" zoomScaleNormal="100" zoomScaleSheetLayoutView="115" workbookViewId="0">
      <pane xSplit="2" ySplit="5" topLeftCell="C37" activePane="bottomRight" state="frozen"/>
      <selection activeCell="A5" sqref="A5"/>
      <selection pane="topRight" activeCell="C5" sqref="C5"/>
      <selection pane="bottomLeft" activeCell="A10" sqref="A10"/>
      <selection pane="bottomRight" activeCell="C92" sqref="C92"/>
    </sheetView>
  </sheetViews>
  <sheetFormatPr defaultColWidth="8.85546875" defaultRowHeight="12" x14ac:dyDescent="0.2"/>
  <cols>
    <col min="1" max="1" width="4.85546875" style="29" customWidth="1"/>
    <col min="2" max="2" width="34" style="29" customWidth="1"/>
    <col min="3" max="3" width="10.140625" style="29" customWidth="1"/>
    <col min="4" max="4" width="21.140625" style="29" customWidth="1"/>
    <col min="5" max="5" width="13.42578125" style="29" customWidth="1"/>
    <col min="6" max="6" width="7.85546875" style="29" customWidth="1"/>
    <col min="7" max="7" width="8.85546875" style="45" customWidth="1"/>
    <col min="8" max="8" width="8.85546875" style="29" customWidth="1"/>
    <col min="9" max="9" width="11.140625" style="29" customWidth="1"/>
    <col min="10" max="10" width="9.85546875" style="29" bestFit="1" customWidth="1"/>
    <col min="11" max="17" width="8.85546875" style="29" customWidth="1"/>
    <col min="18" max="18" width="9.140625" style="29" customWidth="1"/>
    <col min="19" max="29" width="8.85546875" style="29" customWidth="1"/>
    <col min="30" max="30" width="9.5703125" style="29" customWidth="1"/>
    <col min="31" max="51" width="8.85546875" style="29" customWidth="1"/>
    <col min="52" max="52" width="10.7109375" style="29" bestFit="1" customWidth="1"/>
    <col min="53" max="53" width="8.85546875" style="29" customWidth="1"/>
    <col min="54" max="54" width="12.140625" style="29" customWidth="1"/>
    <col min="55" max="57" width="8.85546875" style="29" customWidth="1"/>
    <col min="58" max="58" width="7.85546875" style="29" customWidth="1"/>
    <col min="59" max="59" width="8.85546875" style="29" customWidth="1"/>
    <col min="60" max="60" width="9.85546875" style="29" customWidth="1"/>
    <col min="61" max="61" width="10.5703125" style="29" customWidth="1"/>
    <col min="62" max="62" width="8.85546875" style="29" customWidth="1"/>
    <col min="63" max="66" width="8.85546875" style="29"/>
    <col min="67" max="67" width="9.85546875" style="29" bestFit="1" customWidth="1"/>
    <col min="68" max="72" width="8.85546875" style="29"/>
    <col min="73" max="73" width="9.42578125" style="29" bestFit="1" customWidth="1"/>
    <col min="74" max="74" width="10.85546875" style="29" bestFit="1" customWidth="1"/>
    <col min="75" max="78" width="8.85546875" style="29"/>
    <col min="79" max="79" width="9.140625" style="29" bestFit="1" customWidth="1"/>
    <col min="80" max="16384" width="8.85546875" style="29"/>
  </cols>
  <sheetData>
    <row r="2" spans="2:104" ht="15" x14ac:dyDescent="0.25">
      <c r="B2" s="27" t="str">
        <f>'3. Headline #s'!A10</f>
        <v>Apartment Development Model 
Reverse 1B</v>
      </c>
    </row>
    <row r="3" spans="2:104" x14ac:dyDescent="0.2">
      <c r="B3" s="31" t="str">
        <f>'3. Headline #s'!A12</f>
        <v>2240 Birchmount Road, Scarborough, ON</v>
      </c>
    </row>
    <row r="4" spans="2:104" ht="57.6" customHeight="1" x14ac:dyDescent="0.2">
      <c r="B4" s="31"/>
    </row>
    <row r="5" spans="2:104" x14ac:dyDescent="0.2">
      <c r="B5" s="31" t="s">
        <v>65</v>
      </c>
      <c r="I5" s="230">
        <f ca="1">YEAR(I7)</f>
        <v>2026</v>
      </c>
      <c r="J5" s="230">
        <f t="shared" ref="J5:BU5" ca="1" si="0">YEAR(J7)</f>
        <v>2026</v>
      </c>
      <c r="K5" s="230">
        <f t="shared" ca="1" si="0"/>
        <v>2026</v>
      </c>
      <c r="L5" s="230">
        <f t="shared" ca="1" si="0"/>
        <v>2026</v>
      </c>
      <c r="M5" s="230">
        <f t="shared" ca="1" si="0"/>
        <v>2026</v>
      </c>
      <c r="N5" s="230">
        <f t="shared" ca="1" si="0"/>
        <v>2026</v>
      </c>
      <c r="O5" s="230">
        <f t="shared" ca="1" si="0"/>
        <v>2026</v>
      </c>
      <c r="P5" s="230">
        <f t="shared" ca="1" si="0"/>
        <v>2026</v>
      </c>
      <c r="Q5" s="230">
        <f t="shared" ca="1" si="0"/>
        <v>2026</v>
      </c>
      <c r="R5" s="230">
        <f t="shared" ca="1" si="0"/>
        <v>2026</v>
      </c>
      <c r="S5" s="230">
        <f t="shared" ca="1" si="0"/>
        <v>2026</v>
      </c>
      <c r="T5" s="230">
        <f t="shared" ca="1" si="0"/>
        <v>2027</v>
      </c>
      <c r="U5" s="230">
        <f t="shared" ca="1" si="0"/>
        <v>2027</v>
      </c>
      <c r="V5" s="230">
        <f t="shared" ca="1" si="0"/>
        <v>2027</v>
      </c>
      <c r="W5" s="230">
        <f t="shared" ca="1" si="0"/>
        <v>2027</v>
      </c>
      <c r="X5" s="230">
        <f t="shared" ca="1" si="0"/>
        <v>2027</v>
      </c>
      <c r="Y5" s="230">
        <f t="shared" ca="1" si="0"/>
        <v>2027</v>
      </c>
      <c r="Z5" s="230">
        <f t="shared" ca="1" si="0"/>
        <v>2027</v>
      </c>
      <c r="AA5" s="230">
        <f t="shared" ca="1" si="0"/>
        <v>2027</v>
      </c>
      <c r="AB5" s="230">
        <f t="shared" ca="1" si="0"/>
        <v>2027</v>
      </c>
      <c r="AC5" s="230">
        <f t="shared" ca="1" si="0"/>
        <v>2027</v>
      </c>
      <c r="AD5" s="230">
        <f t="shared" ca="1" si="0"/>
        <v>2027</v>
      </c>
      <c r="AE5" s="230">
        <f t="shared" ca="1" si="0"/>
        <v>2027</v>
      </c>
      <c r="AF5" s="230">
        <f t="shared" ca="1" si="0"/>
        <v>2028</v>
      </c>
      <c r="AG5" s="230">
        <f t="shared" ca="1" si="0"/>
        <v>2028</v>
      </c>
      <c r="AH5" s="230">
        <f t="shared" ca="1" si="0"/>
        <v>2028</v>
      </c>
      <c r="AI5" s="230">
        <f t="shared" ca="1" si="0"/>
        <v>2028</v>
      </c>
      <c r="AJ5" s="230">
        <f t="shared" ca="1" si="0"/>
        <v>2028</v>
      </c>
      <c r="AK5" s="230">
        <f t="shared" ca="1" si="0"/>
        <v>2028</v>
      </c>
      <c r="AL5" s="230">
        <f t="shared" ca="1" si="0"/>
        <v>2028</v>
      </c>
      <c r="AM5" s="230">
        <f t="shared" ca="1" si="0"/>
        <v>2028</v>
      </c>
      <c r="AN5" s="230">
        <f t="shared" ca="1" si="0"/>
        <v>2028</v>
      </c>
      <c r="AO5" s="230">
        <f t="shared" ca="1" si="0"/>
        <v>2028</v>
      </c>
      <c r="AP5" s="230">
        <f t="shared" ca="1" si="0"/>
        <v>2028</v>
      </c>
      <c r="AQ5" s="230">
        <f t="shared" ca="1" si="0"/>
        <v>2028</v>
      </c>
      <c r="AR5" s="230">
        <f t="shared" ca="1" si="0"/>
        <v>2029</v>
      </c>
      <c r="AS5" s="230">
        <f t="shared" ca="1" si="0"/>
        <v>2029</v>
      </c>
      <c r="AT5" s="230">
        <f t="shared" ca="1" si="0"/>
        <v>2029</v>
      </c>
      <c r="AU5" s="230">
        <f t="shared" ca="1" si="0"/>
        <v>2029</v>
      </c>
      <c r="AV5" s="230">
        <f t="shared" ca="1" si="0"/>
        <v>2029</v>
      </c>
      <c r="AW5" s="230">
        <f t="shared" ca="1" si="0"/>
        <v>2029</v>
      </c>
      <c r="AX5" s="230">
        <f t="shared" ca="1" si="0"/>
        <v>2029</v>
      </c>
      <c r="AY5" s="230">
        <f t="shared" ca="1" si="0"/>
        <v>2029</v>
      </c>
      <c r="AZ5" s="230">
        <f t="shared" ca="1" si="0"/>
        <v>2029</v>
      </c>
      <c r="BA5" s="230">
        <f t="shared" ca="1" si="0"/>
        <v>2029</v>
      </c>
      <c r="BB5" s="230">
        <f t="shared" ca="1" si="0"/>
        <v>2029</v>
      </c>
      <c r="BC5" s="230">
        <f t="shared" ca="1" si="0"/>
        <v>2029</v>
      </c>
      <c r="BD5" s="230">
        <f t="shared" ca="1" si="0"/>
        <v>2030</v>
      </c>
      <c r="BE5" s="230">
        <f t="shared" ca="1" si="0"/>
        <v>2030</v>
      </c>
      <c r="BF5" s="230">
        <f t="shared" ca="1" si="0"/>
        <v>2030</v>
      </c>
      <c r="BG5" s="230">
        <f t="shared" ca="1" si="0"/>
        <v>2030</v>
      </c>
      <c r="BH5" s="230">
        <f t="shared" ca="1" si="0"/>
        <v>2030</v>
      </c>
      <c r="BI5" s="230">
        <f t="shared" ca="1" si="0"/>
        <v>2030</v>
      </c>
      <c r="BJ5" s="230">
        <f t="shared" ca="1" si="0"/>
        <v>2030</v>
      </c>
      <c r="BK5" s="230">
        <f t="shared" ca="1" si="0"/>
        <v>2030</v>
      </c>
      <c r="BL5" s="230">
        <f t="shared" ca="1" si="0"/>
        <v>2030</v>
      </c>
      <c r="BM5" s="230">
        <f t="shared" ca="1" si="0"/>
        <v>2030</v>
      </c>
      <c r="BN5" s="230">
        <f t="shared" ca="1" si="0"/>
        <v>2030</v>
      </c>
      <c r="BO5" s="230">
        <f t="shared" ca="1" si="0"/>
        <v>2030</v>
      </c>
      <c r="BP5" s="230">
        <f t="shared" ca="1" si="0"/>
        <v>2031</v>
      </c>
      <c r="BQ5" s="230">
        <f t="shared" ca="1" si="0"/>
        <v>2031</v>
      </c>
      <c r="BR5" s="230">
        <f t="shared" ca="1" si="0"/>
        <v>2031</v>
      </c>
      <c r="BS5" s="230">
        <f t="shared" ca="1" si="0"/>
        <v>2031</v>
      </c>
      <c r="BT5" s="230">
        <f t="shared" ca="1" si="0"/>
        <v>2031</v>
      </c>
      <c r="BU5" s="230">
        <f t="shared" ca="1" si="0"/>
        <v>2031</v>
      </c>
      <c r="BV5" s="230">
        <f t="shared" ref="BV5:CZ5" ca="1" si="1">YEAR(BV7)</f>
        <v>2031</v>
      </c>
      <c r="BW5" s="230">
        <f t="shared" ca="1" si="1"/>
        <v>2031</v>
      </c>
      <c r="BX5" s="230">
        <f t="shared" ca="1" si="1"/>
        <v>2031</v>
      </c>
      <c r="BY5" s="230">
        <f t="shared" ca="1" si="1"/>
        <v>2031</v>
      </c>
      <c r="BZ5" s="230">
        <f t="shared" ca="1" si="1"/>
        <v>2031</v>
      </c>
      <c r="CA5" s="230">
        <f t="shared" ca="1" si="1"/>
        <v>2031</v>
      </c>
      <c r="CB5" s="230">
        <f t="shared" ca="1" si="1"/>
        <v>2032</v>
      </c>
      <c r="CC5" s="230">
        <f t="shared" ca="1" si="1"/>
        <v>2032</v>
      </c>
      <c r="CD5" s="230">
        <f t="shared" ca="1" si="1"/>
        <v>2032</v>
      </c>
      <c r="CE5" s="230">
        <f t="shared" ca="1" si="1"/>
        <v>2032</v>
      </c>
      <c r="CF5" s="230">
        <f t="shared" ca="1" si="1"/>
        <v>2032</v>
      </c>
      <c r="CG5" s="230">
        <f t="shared" ca="1" si="1"/>
        <v>2032</v>
      </c>
      <c r="CH5" s="230">
        <f t="shared" ca="1" si="1"/>
        <v>2032</v>
      </c>
      <c r="CI5" s="230">
        <f t="shared" ca="1" si="1"/>
        <v>2032</v>
      </c>
      <c r="CJ5" s="230">
        <f t="shared" ca="1" si="1"/>
        <v>2032</v>
      </c>
      <c r="CK5" s="230">
        <f t="shared" ca="1" si="1"/>
        <v>2032</v>
      </c>
      <c r="CL5" s="230">
        <f t="shared" ca="1" si="1"/>
        <v>2032</v>
      </c>
      <c r="CM5" s="230">
        <f t="shared" ca="1" si="1"/>
        <v>2032</v>
      </c>
      <c r="CN5" s="230">
        <f t="shared" ca="1" si="1"/>
        <v>2033</v>
      </c>
      <c r="CO5" s="230">
        <f t="shared" ca="1" si="1"/>
        <v>2033</v>
      </c>
      <c r="CP5" s="230">
        <f t="shared" ca="1" si="1"/>
        <v>2033</v>
      </c>
      <c r="CQ5" s="230">
        <f t="shared" ca="1" si="1"/>
        <v>2033</v>
      </c>
      <c r="CR5" s="230">
        <f t="shared" ca="1" si="1"/>
        <v>2033</v>
      </c>
      <c r="CS5" s="230">
        <f t="shared" ca="1" si="1"/>
        <v>2033</v>
      </c>
      <c r="CT5" s="230">
        <f t="shared" ca="1" si="1"/>
        <v>2033</v>
      </c>
      <c r="CU5" s="230">
        <f t="shared" ca="1" si="1"/>
        <v>2033</v>
      </c>
      <c r="CV5" s="230">
        <f t="shared" ca="1" si="1"/>
        <v>2033</v>
      </c>
      <c r="CW5" s="230">
        <f t="shared" ca="1" si="1"/>
        <v>2033</v>
      </c>
      <c r="CX5" s="230">
        <f t="shared" ca="1" si="1"/>
        <v>2033</v>
      </c>
      <c r="CY5" s="230">
        <f t="shared" ca="1" si="1"/>
        <v>2033</v>
      </c>
      <c r="CZ5" s="230">
        <f t="shared" ca="1" si="1"/>
        <v>2034</v>
      </c>
    </row>
    <row r="6" spans="2:104" x14ac:dyDescent="0.2">
      <c r="I6" s="141">
        <v>1</v>
      </c>
      <c r="J6" s="141">
        <v>2</v>
      </c>
      <c r="K6" s="141">
        <v>3</v>
      </c>
      <c r="L6" s="141">
        <v>4</v>
      </c>
      <c r="M6" s="141">
        <v>5</v>
      </c>
      <c r="N6" s="141">
        <v>6</v>
      </c>
      <c r="O6" s="141">
        <v>7</v>
      </c>
      <c r="P6" s="141">
        <v>8</v>
      </c>
      <c r="Q6" s="141">
        <v>9</v>
      </c>
      <c r="R6" s="141">
        <v>10</v>
      </c>
      <c r="S6" s="141">
        <v>11</v>
      </c>
      <c r="T6" s="141">
        <v>12</v>
      </c>
      <c r="U6" s="141">
        <v>13</v>
      </c>
      <c r="V6" s="141">
        <v>14</v>
      </c>
      <c r="W6" s="141">
        <v>15</v>
      </c>
      <c r="X6" s="141">
        <v>16</v>
      </c>
      <c r="Y6" s="141">
        <v>17</v>
      </c>
      <c r="Z6" s="141">
        <v>18</v>
      </c>
      <c r="AA6" s="141">
        <v>19</v>
      </c>
      <c r="AB6" s="141">
        <v>20</v>
      </c>
      <c r="AC6" s="141">
        <v>21</v>
      </c>
      <c r="AD6" s="141">
        <v>22</v>
      </c>
      <c r="AE6" s="141">
        <v>23</v>
      </c>
      <c r="AF6" s="141">
        <v>24</v>
      </c>
      <c r="AG6" s="141">
        <v>25</v>
      </c>
      <c r="AH6" s="141">
        <v>26</v>
      </c>
      <c r="AI6" s="141">
        <v>27</v>
      </c>
      <c r="AJ6" s="141">
        <v>28</v>
      </c>
      <c r="AK6" s="141">
        <v>29</v>
      </c>
      <c r="AL6" s="141">
        <v>30</v>
      </c>
      <c r="AM6" s="141">
        <v>31</v>
      </c>
      <c r="AN6" s="141">
        <v>32</v>
      </c>
      <c r="AO6" s="141">
        <v>33</v>
      </c>
      <c r="AP6" s="141">
        <v>34</v>
      </c>
      <c r="AQ6" s="141">
        <v>35</v>
      </c>
      <c r="AR6" s="141">
        <v>36</v>
      </c>
      <c r="AS6" s="141">
        <v>37</v>
      </c>
      <c r="AT6" s="141">
        <v>38</v>
      </c>
      <c r="AU6" s="141">
        <v>39</v>
      </c>
      <c r="AV6" s="141">
        <v>40</v>
      </c>
      <c r="AW6" s="141">
        <v>41</v>
      </c>
      <c r="AX6" s="141">
        <v>42</v>
      </c>
      <c r="AY6" s="141">
        <v>43</v>
      </c>
      <c r="AZ6" s="141">
        <v>44</v>
      </c>
      <c r="BA6" s="141">
        <v>45</v>
      </c>
      <c r="BB6" s="141">
        <v>46</v>
      </c>
      <c r="BC6" s="141">
        <v>47</v>
      </c>
      <c r="BD6" s="141">
        <v>48</v>
      </c>
      <c r="BE6" s="141">
        <v>49</v>
      </c>
      <c r="BF6" s="141">
        <v>50</v>
      </c>
      <c r="BG6" s="141">
        <v>51</v>
      </c>
      <c r="BH6" s="141">
        <v>52</v>
      </c>
      <c r="BI6" s="141">
        <v>53</v>
      </c>
      <c r="BJ6" s="141">
        <v>54</v>
      </c>
      <c r="BK6" s="141">
        <v>55</v>
      </c>
      <c r="BL6" s="141">
        <v>56</v>
      </c>
      <c r="BM6" s="141">
        <v>57</v>
      </c>
      <c r="BN6" s="141">
        <v>58</v>
      </c>
      <c r="BO6" s="141">
        <v>59</v>
      </c>
      <c r="BP6" s="141">
        <v>60</v>
      </c>
      <c r="BQ6" s="141">
        <v>61</v>
      </c>
      <c r="BR6" s="141">
        <v>62</v>
      </c>
      <c r="BS6" s="141">
        <v>63</v>
      </c>
      <c r="BT6" s="141">
        <v>64</v>
      </c>
      <c r="BU6" s="141">
        <v>65</v>
      </c>
      <c r="BV6" s="141">
        <v>66</v>
      </c>
      <c r="BW6" s="141">
        <v>67</v>
      </c>
      <c r="BX6" s="141">
        <v>68</v>
      </c>
      <c r="BY6" s="141">
        <v>69</v>
      </c>
      <c r="BZ6" s="141">
        <v>70</v>
      </c>
      <c r="CA6" s="141">
        <v>71</v>
      </c>
      <c r="CB6" s="141">
        <v>72</v>
      </c>
      <c r="CC6" s="141">
        <v>73</v>
      </c>
      <c r="CD6" s="141">
        <v>74</v>
      </c>
      <c r="CE6" s="141">
        <v>75</v>
      </c>
      <c r="CF6" s="141">
        <v>76</v>
      </c>
      <c r="CG6" s="141">
        <v>77</v>
      </c>
      <c r="CH6" s="141">
        <v>78</v>
      </c>
      <c r="CI6" s="141">
        <v>79</v>
      </c>
      <c r="CJ6" s="141">
        <v>80</v>
      </c>
      <c r="CK6" s="141">
        <v>81</v>
      </c>
      <c r="CL6" s="141">
        <v>82</v>
      </c>
      <c r="CM6" s="141">
        <v>83</v>
      </c>
      <c r="CN6" s="141">
        <v>84</v>
      </c>
      <c r="CO6" s="141">
        <v>85</v>
      </c>
      <c r="CP6" s="141">
        <v>86</v>
      </c>
      <c r="CQ6" s="141">
        <v>87</v>
      </c>
      <c r="CR6" s="141">
        <v>88</v>
      </c>
      <c r="CS6" s="141">
        <v>89</v>
      </c>
      <c r="CT6" s="141">
        <v>90</v>
      </c>
      <c r="CU6" s="141">
        <v>91</v>
      </c>
      <c r="CV6" s="141">
        <v>92</v>
      </c>
      <c r="CW6" s="141">
        <v>93</v>
      </c>
      <c r="CX6" s="141">
        <v>94</v>
      </c>
      <c r="CY6" s="141">
        <v>95</v>
      </c>
      <c r="CZ6" s="141">
        <v>96</v>
      </c>
    </row>
    <row r="7" spans="2:104" x14ac:dyDescent="0.2">
      <c r="B7" s="135" t="s">
        <v>61</v>
      </c>
      <c r="C7" s="39" t="s">
        <v>58</v>
      </c>
      <c r="D7" s="39" t="s">
        <v>60</v>
      </c>
      <c r="E7" s="39" t="s">
        <v>59</v>
      </c>
      <c r="F7" s="39" t="s">
        <v>108</v>
      </c>
      <c r="G7" s="39" t="s">
        <v>109</v>
      </c>
      <c r="H7" s="121" t="s">
        <v>92</v>
      </c>
      <c r="I7" s="30">
        <f ca="1">'8. Schedule'!D8</f>
        <v>46069</v>
      </c>
      <c r="J7" s="30">
        <f ca="1">EDATE(I7,1)</f>
        <v>46097</v>
      </c>
      <c r="K7" s="30">
        <f t="shared" ref="K7:BV7" ca="1" si="2">EDATE(J7,1)</f>
        <v>46128</v>
      </c>
      <c r="L7" s="30">
        <f t="shared" ca="1" si="2"/>
        <v>46158</v>
      </c>
      <c r="M7" s="30">
        <f t="shared" ca="1" si="2"/>
        <v>46189</v>
      </c>
      <c r="N7" s="30">
        <f t="shared" ca="1" si="2"/>
        <v>46219</v>
      </c>
      <c r="O7" s="30">
        <f t="shared" ca="1" si="2"/>
        <v>46250</v>
      </c>
      <c r="P7" s="30">
        <f t="shared" ca="1" si="2"/>
        <v>46281</v>
      </c>
      <c r="Q7" s="30">
        <f t="shared" ca="1" si="2"/>
        <v>46311</v>
      </c>
      <c r="R7" s="30">
        <f t="shared" ca="1" si="2"/>
        <v>46342</v>
      </c>
      <c r="S7" s="30">
        <f t="shared" ca="1" si="2"/>
        <v>46372</v>
      </c>
      <c r="T7" s="30">
        <f t="shared" ca="1" si="2"/>
        <v>46403</v>
      </c>
      <c r="U7" s="30">
        <f t="shared" ca="1" si="2"/>
        <v>46434</v>
      </c>
      <c r="V7" s="30">
        <f t="shared" ca="1" si="2"/>
        <v>46462</v>
      </c>
      <c r="W7" s="30">
        <f t="shared" ca="1" si="2"/>
        <v>46493</v>
      </c>
      <c r="X7" s="30">
        <f t="shared" ca="1" si="2"/>
        <v>46523</v>
      </c>
      <c r="Y7" s="30">
        <f t="shared" ca="1" si="2"/>
        <v>46554</v>
      </c>
      <c r="Z7" s="30">
        <f t="shared" ca="1" si="2"/>
        <v>46584</v>
      </c>
      <c r="AA7" s="30">
        <f t="shared" ca="1" si="2"/>
        <v>46615</v>
      </c>
      <c r="AB7" s="30">
        <f t="shared" ca="1" si="2"/>
        <v>46646</v>
      </c>
      <c r="AC7" s="30">
        <f t="shared" ca="1" si="2"/>
        <v>46676</v>
      </c>
      <c r="AD7" s="30">
        <f t="shared" ca="1" si="2"/>
        <v>46707</v>
      </c>
      <c r="AE7" s="30">
        <f t="shared" ca="1" si="2"/>
        <v>46737</v>
      </c>
      <c r="AF7" s="30">
        <f t="shared" ca="1" si="2"/>
        <v>46768</v>
      </c>
      <c r="AG7" s="30">
        <f t="shared" ca="1" si="2"/>
        <v>46799</v>
      </c>
      <c r="AH7" s="30">
        <f t="shared" ca="1" si="2"/>
        <v>46828</v>
      </c>
      <c r="AI7" s="30">
        <f t="shared" ca="1" si="2"/>
        <v>46859</v>
      </c>
      <c r="AJ7" s="30">
        <f t="shared" ca="1" si="2"/>
        <v>46889</v>
      </c>
      <c r="AK7" s="30">
        <f t="shared" ca="1" si="2"/>
        <v>46920</v>
      </c>
      <c r="AL7" s="30">
        <f t="shared" ca="1" si="2"/>
        <v>46950</v>
      </c>
      <c r="AM7" s="30">
        <f t="shared" ca="1" si="2"/>
        <v>46981</v>
      </c>
      <c r="AN7" s="30">
        <f t="shared" ca="1" si="2"/>
        <v>47012</v>
      </c>
      <c r="AO7" s="30">
        <f t="shared" ca="1" si="2"/>
        <v>47042</v>
      </c>
      <c r="AP7" s="30">
        <f t="shared" ca="1" si="2"/>
        <v>47073</v>
      </c>
      <c r="AQ7" s="30">
        <f t="shared" ca="1" si="2"/>
        <v>47103</v>
      </c>
      <c r="AR7" s="30">
        <f t="shared" ca="1" si="2"/>
        <v>47134</v>
      </c>
      <c r="AS7" s="30">
        <f t="shared" ca="1" si="2"/>
        <v>47165</v>
      </c>
      <c r="AT7" s="30">
        <f t="shared" ca="1" si="2"/>
        <v>47193</v>
      </c>
      <c r="AU7" s="366">
        <f t="shared" ca="1" si="2"/>
        <v>47224</v>
      </c>
      <c r="AV7" s="30">
        <f t="shared" ca="1" si="2"/>
        <v>47254</v>
      </c>
      <c r="AW7" s="30">
        <f t="shared" ca="1" si="2"/>
        <v>47285</v>
      </c>
      <c r="AX7" s="30">
        <f t="shared" ca="1" si="2"/>
        <v>47315</v>
      </c>
      <c r="AY7" s="30">
        <f t="shared" ca="1" si="2"/>
        <v>47346</v>
      </c>
      <c r="AZ7" s="30">
        <f t="shared" ca="1" si="2"/>
        <v>47377</v>
      </c>
      <c r="BA7" s="366">
        <f t="shared" ca="1" si="2"/>
        <v>47407</v>
      </c>
      <c r="BB7" s="30">
        <f t="shared" ca="1" si="2"/>
        <v>47438</v>
      </c>
      <c r="BC7" s="30">
        <f t="shared" ca="1" si="2"/>
        <v>47468</v>
      </c>
      <c r="BD7" s="30">
        <f t="shared" ca="1" si="2"/>
        <v>47499</v>
      </c>
      <c r="BE7" s="30">
        <f t="shared" ca="1" si="2"/>
        <v>47530</v>
      </c>
      <c r="BF7" s="30">
        <f t="shared" ca="1" si="2"/>
        <v>47558</v>
      </c>
      <c r="BG7" s="30">
        <f t="shared" ca="1" si="2"/>
        <v>47589</v>
      </c>
      <c r="BH7" s="30">
        <f t="shared" ca="1" si="2"/>
        <v>47619</v>
      </c>
      <c r="BI7" s="30">
        <f t="shared" ca="1" si="2"/>
        <v>47650</v>
      </c>
      <c r="BJ7" s="30">
        <f t="shared" ca="1" si="2"/>
        <v>47680</v>
      </c>
      <c r="BK7" s="30">
        <f t="shared" ca="1" si="2"/>
        <v>47711</v>
      </c>
      <c r="BL7" s="30">
        <f t="shared" ca="1" si="2"/>
        <v>47742</v>
      </c>
      <c r="BM7" s="30">
        <f t="shared" ca="1" si="2"/>
        <v>47772</v>
      </c>
      <c r="BN7" s="30">
        <f t="shared" ca="1" si="2"/>
        <v>47803</v>
      </c>
      <c r="BO7" s="30">
        <f t="shared" ca="1" si="2"/>
        <v>47833</v>
      </c>
      <c r="BP7" s="30">
        <f t="shared" ca="1" si="2"/>
        <v>47864</v>
      </c>
      <c r="BQ7" s="30">
        <f t="shared" ca="1" si="2"/>
        <v>47895</v>
      </c>
      <c r="BR7" s="30">
        <f t="shared" ca="1" si="2"/>
        <v>47923</v>
      </c>
      <c r="BS7" s="30">
        <f t="shared" ca="1" si="2"/>
        <v>47954</v>
      </c>
      <c r="BT7" s="30">
        <f t="shared" ca="1" si="2"/>
        <v>47984</v>
      </c>
      <c r="BU7" s="30">
        <f t="shared" ca="1" si="2"/>
        <v>48015</v>
      </c>
      <c r="BV7" s="30">
        <f t="shared" ca="1" si="2"/>
        <v>48045</v>
      </c>
      <c r="BW7" s="30">
        <f t="shared" ref="BW7:CZ7" ca="1" si="3">EDATE(BV7,1)</f>
        <v>48076</v>
      </c>
      <c r="BX7" s="30">
        <f t="shared" ca="1" si="3"/>
        <v>48107</v>
      </c>
      <c r="BY7" s="30">
        <f t="shared" ca="1" si="3"/>
        <v>48137</v>
      </c>
      <c r="BZ7" s="30">
        <f t="shared" ca="1" si="3"/>
        <v>48168</v>
      </c>
      <c r="CA7" s="30">
        <f t="shared" ca="1" si="3"/>
        <v>48198</v>
      </c>
      <c r="CB7" s="30">
        <f t="shared" ca="1" si="3"/>
        <v>48229</v>
      </c>
      <c r="CC7" s="30">
        <f t="shared" ca="1" si="3"/>
        <v>48260</v>
      </c>
      <c r="CD7" s="30">
        <f t="shared" ca="1" si="3"/>
        <v>48289</v>
      </c>
      <c r="CE7" s="30">
        <f t="shared" ca="1" si="3"/>
        <v>48320</v>
      </c>
      <c r="CF7" s="30">
        <f t="shared" ca="1" si="3"/>
        <v>48350</v>
      </c>
      <c r="CG7" s="30">
        <f t="shared" ca="1" si="3"/>
        <v>48381</v>
      </c>
      <c r="CH7" s="30">
        <f t="shared" ca="1" si="3"/>
        <v>48411</v>
      </c>
      <c r="CI7" s="30">
        <f t="shared" ca="1" si="3"/>
        <v>48442</v>
      </c>
      <c r="CJ7" s="30">
        <f t="shared" ca="1" si="3"/>
        <v>48473</v>
      </c>
      <c r="CK7" s="30">
        <f t="shared" ca="1" si="3"/>
        <v>48503</v>
      </c>
      <c r="CL7" s="30">
        <f t="shared" ca="1" si="3"/>
        <v>48534</v>
      </c>
      <c r="CM7" s="30">
        <f t="shared" ca="1" si="3"/>
        <v>48564</v>
      </c>
      <c r="CN7" s="30">
        <f t="shared" ca="1" si="3"/>
        <v>48595</v>
      </c>
      <c r="CO7" s="30">
        <f t="shared" ca="1" si="3"/>
        <v>48626</v>
      </c>
      <c r="CP7" s="30">
        <f t="shared" ca="1" si="3"/>
        <v>48654</v>
      </c>
      <c r="CQ7" s="30">
        <f t="shared" ca="1" si="3"/>
        <v>48685</v>
      </c>
      <c r="CR7" s="30">
        <f t="shared" ca="1" si="3"/>
        <v>48715</v>
      </c>
      <c r="CS7" s="30">
        <f t="shared" ca="1" si="3"/>
        <v>48746</v>
      </c>
      <c r="CT7" s="30">
        <f t="shared" ca="1" si="3"/>
        <v>48776</v>
      </c>
      <c r="CU7" s="30">
        <f t="shared" ca="1" si="3"/>
        <v>48807</v>
      </c>
      <c r="CV7" s="30">
        <f t="shared" ca="1" si="3"/>
        <v>48838</v>
      </c>
      <c r="CW7" s="30">
        <f t="shared" ca="1" si="3"/>
        <v>48868</v>
      </c>
      <c r="CX7" s="30">
        <f t="shared" ca="1" si="3"/>
        <v>48899</v>
      </c>
      <c r="CY7" s="30">
        <f t="shared" ca="1" si="3"/>
        <v>48929</v>
      </c>
      <c r="CZ7" s="30">
        <f t="shared" ca="1" si="3"/>
        <v>48960</v>
      </c>
    </row>
    <row r="8" spans="2:104" x14ac:dyDescent="0.2">
      <c r="B8" s="126" t="s">
        <v>158</v>
      </c>
      <c r="C8" s="34"/>
      <c r="D8" s="34"/>
      <c r="E8" s="35"/>
      <c r="F8" s="35"/>
      <c r="G8" s="107"/>
      <c r="H8" s="122"/>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row>
    <row r="9" spans="2:104" hidden="1" x14ac:dyDescent="0.2">
      <c r="B9" s="119" t="s">
        <v>48</v>
      </c>
      <c r="C9" s="29">
        <f>'9. Development Costs'!$I$9</f>
        <v>170</v>
      </c>
      <c r="D9" s="118">
        <f ca="1">ROUND(C9-E9,0)</f>
        <v>0</v>
      </c>
      <c r="E9" s="32">
        <f t="shared" ref="E9:E15" ca="1" si="4">SUM(I9:CZ9)</f>
        <v>170</v>
      </c>
      <c r="F9" s="98"/>
      <c r="G9" s="98"/>
      <c r="H9" s="123"/>
      <c r="I9" s="268">
        <f ca="1">IF(I7='8. Schedule'!$E$17,'10. Development Cash Flow'!$C$9,0)</f>
        <v>0</v>
      </c>
      <c r="J9" s="268">
        <f ca="1">IF(J7='8. Schedule'!$E$17,'10. Development Cash Flow'!$C$9,0)</f>
        <v>0</v>
      </c>
      <c r="K9" s="268">
        <f ca="1">IF(K7='8. Schedule'!$E$17,'10. Development Cash Flow'!$C$9,0)</f>
        <v>0</v>
      </c>
      <c r="L9" s="268">
        <f ca="1">IF(L7='8. Schedule'!$E$17,'10. Development Cash Flow'!$C$9,0)</f>
        <v>0</v>
      </c>
      <c r="M9" s="268">
        <f ca="1">IF(M7='8. Schedule'!$E$17,'10. Development Cash Flow'!$C$9,0)</f>
        <v>0</v>
      </c>
      <c r="N9" s="268">
        <f ca="1">IF(N7='8. Schedule'!$E$17,'10. Development Cash Flow'!$C$9,0)</f>
        <v>0</v>
      </c>
      <c r="O9" s="268">
        <f ca="1">IF(O7='8. Schedule'!$E$17,'10. Development Cash Flow'!$C$9,0)</f>
        <v>0</v>
      </c>
      <c r="P9" s="268">
        <f ca="1">IF(P7='8. Schedule'!$E$17,'10. Development Cash Flow'!$C$9,0)</f>
        <v>0</v>
      </c>
      <c r="Q9" s="268">
        <f ca="1">IF(Q7='8. Schedule'!$E$17,'10. Development Cash Flow'!$C$9,0)</f>
        <v>0</v>
      </c>
      <c r="R9" s="268">
        <f ca="1">IF(R7='8. Schedule'!$E$17,'10. Development Cash Flow'!$C$9,0)</f>
        <v>0</v>
      </c>
      <c r="S9" s="268">
        <f ca="1">IF(S7='8. Schedule'!$E$17,'10. Development Cash Flow'!$C$9,0)</f>
        <v>0</v>
      </c>
      <c r="T9" s="268">
        <f ca="1">IF(T7='8. Schedule'!$E$17,'10. Development Cash Flow'!$C$9,0)</f>
        <v>0</v>
      </c>
      <c r="U9" s="268">
        <f ca="1">IF(U7='8. Schedule'!$E$17,'10. Development Cash Flow'!$C$9,0)</f>
        <v>0</v>
      </c>
      <c r="V9" s="268">
        <f ca="1">IF(V7='8. Schedule'!$E$17,'10. Development Cash Flow'!$C$9,0)</f>
        <v>0</v>
      </c>
      <c r="W9" s="268">
        <f ca="1">IF(W7='8. Schedule'!$E$17,'10. Development Cash Flow'!$C$9,0)</f>
        <v>0</v>
      </c>
      <c r="X9" s="268">
        <f ca="1">IF(X7='8. Schedule'!$E$17,'10. Development Cash Flow'!$C$9,0)</f>
        <v>0</v>
      </c>
      <c r="Y9" s="268">
        <f ca="1">IF(Y7='8. Schedule'!$E$17,'10. Development Cash Flow'!$C$9,0)</f>
        <v>0</v>
      </c>
      <c r="Z9" s="268">
        <f ca="1">IF(Z7='8. Schedule'!$E$17,'10. Development Cash Flow'!$C$9,0)</f>
        <v>0</v>
      </c>
      <c r="AA9" s="268">
        <f ca="1">IF(AA7='8. Schedule'!$E$17,'10. Development Cash Flow'!$C$9,0)</f>
        <v>0</v>
      </c>
      <c r="AB9" s="268">
        <f ca="1">IF(AB7='8. Schedule'!$E$17,'10. Development Cash Flow'!$C$9,0)</f>
        <v>0</v>
      </c>
      <c r="AC9" s="268">
        <f ca="1">IF(AC7='8. Schedule'!$E$17,'10. Development Cash Flow'!$C$9,0)</f>
        <v>0</v>
      </c>
      <c r="AD9" s="268">
        <f ca="1">IF(AD7='8. Schedule'!$E$17,'10. Development Cash Flow'!$C$9,0)</f>
        <v>0</v>
      </c>
      <c r="AE9" s="268">
        <f ca="1">IF(AE7='8. Schedule'!$E$17,'10. Development Cash Flow'!$C$9,0)</f>
        <v>0</v>
      </c>
      <c r="AF9" s="268">
        <f ca="1">IF(AF7='8. Schedule'!$E$17,'10. Development Cash Flow'!$C$9,0)</f>
        <v>0</v>
      </c>
      <c r="AG9" s="268">
        <f ca="1">IF(AG7='8. Schedule'!$E$17,'10. Development Cash Flow'!$C$9,0)</f>
        <v>0</v>
      </c>
      <c r="AH9" s="268">
        <f ca="1">IF(AH7='8. Schedule'!$E$17,'10. Development Cash Flow'!$C$9,0)</f>
        <v>0</v>
      </c>
      <c r="AI9" s="268">
        <f ca="1">IF(AI7='8. Schedule'!$E$17,'10. Development Cash Flow'!$C$9,0)</f>
        <v>0</v>
      </c>
      <c r="AJ9" s="268">
        <f ca="1">IF(AJ7='8. Schedule'!$E$17,'10. Development Cash Flow'!$C$9,0)</f>
        <v>0</v>
      </c>
      <c r="AK9" s="268">
        <f ca="1">IF(AK7='8. Schedule'!$E$17,'10. Development Cash Flow'!$C$9,0)</f>
        <v>0</v>
      </c>
      <c r="AL9" s="268">
        <f ca="1">IF(AL7='8. Schedule'!$E$17,'10. Development Cash Flow'!$C$9,0)</f>
        <v>0</v>
      </c>
      <c r="AM9" s="268">
        <f ca="1">IF(AM7='8. Schedule'!$E$17,'10. Development Cash Flow'!$C$9,0)</f>
        <v>0</v>
      </c>
      <c r="AN9" s="268">
        <f ca="1">IF(AN7='8. Schedule'!$E$17,'10. Development Cash Flow'!$C$9,0)</f>
        <v>0</v>
      </c>
      <c r="AO9" s="268">
        <f ca="1">IF(AO7='8. Schedule'!$E$17,'10. Development Cash Flow'!$C$9,0)</f>
        <v>170</v>
      </c>
      <c r="AP9" s="268">
        <f ca="1">IF(AP7='8. Schedule'!$E$17,'10. Development Cash Flow'!$C$9,0)</f>
        <v>0</v>
      </c>
      <c r="AQ9" s="268">
        <f ca="1">IF(AQ7='8. Schedule'!$E$17,'10. Development Cash Flow'!$C$9,0)</f>
        <v>0</v>
      </c>
      <c r="AR9" s="268">
        <f ca="1">IF(AR7='8. Schedule'!$E$17,'10. Development Cash Flow'!$C$9,0)</f>
        <v>0</v>
      </c>
      <c r="AS9" s="268">
        <f ca="1">IF(AS7='8. Schedule'!$E$17,'10. Development Cash Flow'!$C$9,0)</f>
        <v>0</v>
      </c>
      <c r="AT9" s="268">
        <f ca="1">IF(AT7='8. Schedule'!$E$17,'10. Development Cash Flow'!$C$9,0)</f>
        <v>0</v>
      </c>
      <c r="AU9" s="268">
        <f ca="1">IF(AU7='8. Schedule'!$E$17,'10. Development Cash Flow'!$C$9,0)</f>
        <v>0</v>
      </c>
      <c r="AV9" s="268">
        <f ca="1">IF(AV7='8. Schedule'!$E$17,'10. Development Cash Flow'!$C$9,0)</f>
        <v>0</v>
      </c>
      <c r="AW9" s="268">
        <f ca="1">IF(AW7='8. Schedule'!$E$17,'10. Development Cash Flow'!$C$9,0)</f>
        <v>0</v>
      </c>
      <c r="AX9" s="268">
        <f ca="1">IF(AX7='8. Schedule'!$E$17,'10. Development Cash Flow'!$C$9,0)</f>
        <v>0</v>
      </c>
      <c r="AY9" s="268">
        <f ca="1">IF(AY7='8. Schedule'!$E$17,'10. Development Cash Flow'!$C$9,0)</f>
        <v>0</v>
      </c>
      <c r="AZ9" s="268">
        <f ca="1">IF(AZ7='8. Schedule'!$E$17,'10. Development Cash Flow'!$C$9,0)</f>
        <v>0</v>
      </c>
      <c r="BA9" s="268">
        <f ca="1">IF(BA7='8. Schedule'!$E$17,'10. Development Cash Flow'!$C$9,0)</f>
        <v>0</v>
      </c>
      <c r="BB9" s="268">
        <f ca="1">IF(BB7='8. Schedule'!$E$17,'10. Development Cash Flow'!$C$9,0)</f>
        <v>0</v>
      </c>
      <c r="BC9" s="268">
        <f ca="1">IF(BC7='8. Schedule'!$E$17,'10. Development Cash Flow'!$C$9,0)</f>
        <v>0</v>
      </c>
      <c r="BD9" s="268">
        <f ca="1">IF(BD7='8. Schedule'!$E$17,'10. Development Cash Flow'!$C$9,0)</f>
        <v>0</v>
      </c>
      <c r="BE9" s="268">
        <f ca="1">IF(BE7='8. Schedule'!$E$17,'10. Development Cash Flow'!$C$9,0)</f>
        <v>0</v>
      </c>
      <c r="BF9" s="268">
        <f ca="1">IF(BF7='8. Schedule'!$E$17,'10. Development Cash Flow'!$C$9,0)</f>
        <v>0</v>
      </c>
      <c r="BG9" s="268">
        <f ca="1">IF(BG7='8. Schedule'!$E$17,'10. Development Cash Flow'!$C$9,0)</f>
        <v>0</v>
      </c>
      <c r="BH9" s="268">
        <f ca="1">IF(BH7='8. Schedule'!$E$17,'10. Development Cash Flow'!$C$9,0)</f>
        <v>0</v>
      </c>
      <c r="BI9" s="268">
        <f ca="1">IF(BI7='8. Schedule'!$E$17,'10. Development Cash Flow'!$C$9,0)</f>
        <v>0</v>
      </c>
      <c r="BJ9" s="268">
        <f ca="1">IF(BJ7='8. Schedule'!$E$17,'10. Development Cash Flow'!$C$9,0)</f>
        <v>0</v>
      </c>
      <c r="BK9" s="268">
        <f ca="1">IF(BK7='8. Schedule'!$E$17,'10. Development Cash Flow'!$C$9,0)</f>
        <v>0</v>
      </c>
      <c r="BL9" s="268">
        <f ca="1">IF(BL7='8. Schedule'!$E$17,'10. Development Cash Flow'!$C$9,0)</f>
        <v>0</v>
      </c>
      <c r="BM9" s="268">
        <f ca="1">IF(BM7='8. Schedule'!$E$17,'10. Development Cash Flow'!$C$9,0)</f>
        <v>0</v>
      </c>
      <c r="BN9" s="268">
        <f ca="1">IF(BN7='8. Schedule'!$E$17,'10. Development Cash Flow'!$C$9,0)</f>
        <v>0</v>
      </c>
      <c r="BO9" s="268">
        <f ca="1">IF(BO7='8. Schedule'!$E$17,'10. Development Cash Flow'!$C$9,0)</f>
        <v>0</v>
      </c>
      <c r="BP9" s="268">
        <f ca="1">IF(BP7='8. Schedule'!$E$17,'10. Development Cash Flow'!$C$9,0)</f>
        <v>0</v>
      </c>
      <c r="BQ9" s="268">
        <f ca="1">IF(BQ7='8. Schedule'!$E$17,'10. Development Cash Flow'!$C$9,0)</f>
        <v>0</v>
      </c>
      <c r="BR9" s="268">
        <f ca="1">IF(BR7='8. Schedule'!$E$17,'10. Development Cash Flow'!$C$9,0)</f>
        <v>0</v>
      </c>
      <c r="BS9" s="268">
        <f ca="1">IF(BS7='8. Schedule'!$E$17,'10. Development Cash Flow'!$C$9,0)</f>
        <v>0</v>
      </c>
      <c r="BT9" s="268">
        <f ca="1">IF(BT7='8. Schedule'!$E$17,'10. Development Cash Flow'!$C$9,0)</f>
        <v>0</v>
      </c>
      <c r="BU9" s="268">
        <f ca="1">IF(BU7='8. Schedule'!$E$17,'10. Development Cash Flow'!$C$9,0)</f>
        <v>0</v>
      </c>
      <c r="BV9" s="268">
        <f ca="1">IF(BV7='8. Schedule'!$E$17,'10. Development Cash Flow'!$C$9,0)</f>
        <v>0</v>
      </c>
      <c r="BW9" s="268">
        <f ca="1">IF(BW7='8. Schedule'!$E$17,'10. Development Cash Flow'!$C$9,0)</f>
        <v>0</v>
      </c>
      <c r="BX9" s="268">
        <f ca="1">IF(BX7='8. Schedule'!$E$17,'10. Development Cash Flow'!$C$9,0)</f>
        <v>0</v>
      </c>
      <c r="BY9" s="268">
        <f ca="1">IF(BY7='8. Schedule'!$E$17,'10. Development Cash Flow'!$C$9,0)</f>
        <v>0</v>
      </c>
      <c r="BZ9" s="268">
        <f ca="1">IF(BZ7='8. Schedule'!$E$17,'10. Development Cash Flow'!$C$9,0)</f>
        <v>0</v>
      </c>
      <c r="CA9" s="268">
        <f ca="1">IF(CA7='8. Schedule'!$E$17,'10. Development Cash Flow'!$C$9,0)</f>
        <v>0</v>
      </c>
      <c r="CB9" s="268">
        <f ca="1">IF(CB7='8. Schedule'!$E$17,'10. Development Cash Flow'!$C$9,0)</f>
        <v>0</v>
      </c>
      <c r="CC9" s="268">
        <f ca="1">IF(CC7='8. Schedule'!$E$17,'10. Development Cash Flow'!$C$9,0)</f>
        <v>0</v>
      </c>
      <c r="CD9" s="268">
        <f ca="1">IF(CD7='8. Schedule'!$E$17,'10. Development Cash Flow'!$C$9,0)</f>
        <v>0</v>
      </c>
      <c r="CE9" s="268">
        <f ca="1">IF(CE7='8. Schedule'!$E$17,'10. Development Cash Flow'!$C$9,0)</f>
        <v>0</v>
      </c>
      <c r="CF9" s="268">
        <f ca="1">IF(CF7='8. Schedule'!$E$17,'10. Development Cash Flow'!$C$9,0)</f>
        <v>0</v>
      </c>
      <c r="CG9" s="268">
        <f ca="1">IF(CG7='8. Schedule'!$E$17,'10. Development Cash Flow'!$C$9,0)</f>
        <v>0</v>
      </c>
      <c r="CH9" s="268">
        <f ca="1">IF(CH7='8. Schedule'!$E$17,'10. Development Cash Flow'!$C$9,0)</f>
        <v>0</v>
      </c>
      <c r="CI9" s="268">
        <f ca="1">IF(CI7='8. Schedule'!$E$17,'10. Development Cash Flow'!$C$9,0)</f>
        <v>0</v>
      </c>
      <c r="CJ9" s="268">
        <f ca="1">IF(CJ7='8. Schedule'!$E$17,'10. Development Cash Flow'!$C$9,0)</f>
        <v>0</v>
      </c>
      <c r="CK9" s="268">
        <f ca="1">IF(CK7='8. Schedule'!$E$17,'10. Development Cash Flow'!$C$9,0)</f>
        <v>0</v>
      </c>
      <c r="CL9" s="268">
        <f ca="1">IF(CL7='8. Schedule'!$E$17,'10. Development Cash Flow'!$C$9,0)</f>
        <v>0</v>
      </c>
      <c r="CM9" s="268">
        <f ca="1">IF(CM7='8. Schedule'!$E$17,'10. Development Cash Flow'!$C$9,0)</f>
        <v>0</v>
      </c>
      <c r="CN9" s="268">
        <f ca="1">IF(CN7='8. Schedule'!$E$17,'10. Development Cash Flow'!$C$9,0)</f>
        <v>0</v>
      </c>
      <c r="CO9" s="268">
        <f ca="1">IF(CO7='8. Schedule'!$E$17,'10. Development Cash Flow'!$C$9,0)</f>
        <v>0</v>
      </c>
      <c r="CP9" s="268">
        <f ca="1">IF(CP7='8. Schedule'!$E$17,'10. Development Cash Flow'!$C$9,0)</f>
        <v>0</v>
      </c>
      <c r="CQ9" s="268">
        <f ca="1">IF(CQ7='8. Schedule'!$E$17,'10. Development Cash Flow'!$C$9,0)</f>
        <v>0</v>
      </c>
      <c r="CR9" s="268">
        <f ca="1">IF(CR7='8. Schedule'!$E$17,'10. Development Cash Flow'!$C$9,0)</f>
        <v>0</v>
      </c>
      <c r="CS9" s="268">
        <f ca="1">IF(CS7='8. Schedule'!$E$17,'10. Development Cash Flow'!$C$9,0)</f>
        <v>0</v>
      </c>
      <c r="CT9" s="268">
        <f ca="1">IF(CT7='8. Schedule'!$E$17,'10. Development Cash Flow'!$C$9,0)</f>
        <v>0</v>
      </c>
      <c r="CU9" s="268">
        <f ca="1">IF(CU7='8. Schedule'!$E$17,'10. Development Cash Flow'!$C$9,0)</f>
        <v>0</v>
      </c>
      <c r="CV9" s="268">
        <f ca="1">IF(CV7='8. Schedule'!$E$17,'10. Development Cash Flow'!$C$9,0)</f>
        <v>0</v>
      </c>
      <c r="CW9" s="268">
        <f ca="1">IF(CW7='8. Schedule'!$E$17,'10. Development Cash Flow'!$C$9,0)</f>
        <v>0</v>
      </c>
      <c r="CX9" s="268">
        <f ca="1">IF(CX7='8. Schedule'!$E$17,'10. Development Cash Flow'!$C$9,0)</f>
        <v>0</v>
      </c>
      <c r="CY9" s="268">
        <f ca="1">IF(CY7='8. Schedule'!$E$17,'10. Development Cash Flow'!$C$9,0)</f>
        <v>0</v>
      </c>
      <c r="CZ9" s="268">
        <f ca="1">IF(CZ7='8. Schedule'!$E$17,'10. Development Cash Flow'!$C$9,0)</f>
        <v>0</v>
      </c>
    </row>
    <row r="10" spans="2:104" x14ac:dyDescent="0.2">
      <c r="B10" s="357" t="s">
        <v>49</v>
      </c>
      <c r="C10" s="29">
        <f>'9. Development Costs'!$I$9</f>
        <v>170</v>
      </c>
      <c r="D10" s="118">
        <f ca="1">ROUND(C10-E10,0)</f>
        <v>0</v>
      </c>
      <c r="E10" s="32">
        <f ca="1">MAX(I10:CZ10)</f>
        <v>170</v>
      </c>
      <c r="F10" s="32"/>
      <c r="H10" s="123"/>
      <c r="I10" s="120">
        <f ca="1">I9</f>
        <v>0</v>
      </c>
      <c r="J10" s="38">
        <f ca="1">I10+J9</f>
        <v>0</v>
      </c>
      <c r="K10" s="38">
        <f t="shared" ref="K10:BV10" ca="1" si="5">J10+K9</f>
        <v>0</v>
      </c>
      <c r="L10" s="38">
        <f t="shared" ca="1" si="5"/>
        <v>0</v>
      </c>
      <c r="M10" s="38">
        <f t="shared" ca="1" si="5"/>
        <v>0</v>
      </c>
      <c r="N10" s="38">
        <f t="shared" ca="1" si="5"/>
        <v>0</v>
      </c>
      <c r="O10" s="38">
        <f t="shared" ca="1" si="5"/>
        <v>0</v>
      </c>
      <c r="P10" s="38">
        <f t="shared" ca="1" si="5"/>
        <v>0</v>
      </c>
      <c r="Q10" s="38">
        <f t="shared" ca="1" si="5"/>
        <v>0</v>
      </c>
      <c r="R10" s="38">
        <f t="shared" ca="1" si="5"/>
        <v>0</v>
      </c>
      <c r="S10" s="38">
        <f t="shared" ca="1" si="5"/>
        <v>0</v>
      </c>
      <c r="T10" s="38">
        <f t="shared" ca="1" si="5"/>
        <v>0</v>
      </c>
      <c r="U10" s="38">
        <f t="shared" ca="1" si="5"/>
        <v>0</v>
      </c>
      <c r="V10" s="38">
        <f t="shared" ca="1" si="5"/>
        <v>0</v>
      </c>
      <c r="W10" s="38">
        <f t="shared" ca="1" si="5"/>
        <v>0</v>
      </c>
      <c r="X10" s="38">
        <f t="shared" ca="1" si="5"/>
        <v>0</v>
      </c>
      <c r="Y10" s="38">
        <f t="shared" ca="1" si="5"/>
        <v>0</v>
      </c>
      <c r="Z10" s="38">
        <f t="shared" ca="1" si="5"/>
        <v>0</v>
      </c>
      <c r="AA10" s="38">
        <f t="shared" ca="1" si="5"/>
        <v>0</v>
      </c>
      <c r="AB10" s="38">
        <f t="shared" ca="1" si="5"/>
        <v>0</v>
      </c>
      <c r="AC10" s="38">
        <f t="shared" ca="1" si="5"/>
        <v>0</v>
      </c>
      <c r="AD10" s="38">
        <f t="shared" ca="1" si="5"/>
        <v>0</v>
      </c>
      <c r="AE10" s="38">
        <f t="shared" ca="1" si="5"/>
        <v>0</v>
      </c>
      <c r="AF10" s="38">
        <f t="shared" ca="1" si="5"/>
        <v>0</v>
      </c>
      <c r="AG10" s="38">
        <f t="shared" ca="1" si="5"/>
        <v>0</v>
      </c>
      <c r="AH10" s="38">
        <f t="shared" ca="1" si="5"/>
        <v>0</v>
      </c>
      <c r="AI10" s="38">
        <f t="shared" ca="1" si="5"/>
        <v>0</v>
      </c>
      <c r="AJ10" s="38">
        <f t="shared" ca="1" si="5"/>
        <v>0</v>
      </c>
      <c r="AK10" s="38">
        <f t="shared" ca="1" si="5"/>
        <v>0</v>
      </c>
      <c r="AL10" s="38">
        <f t="shared" ca="1" si="5"/>
        <v>0</v>
      </c>
      <c r="AM10" s="38">
        <f t="shared" ca="1" si="5"/>
        <v>0</v>
      </c>
      <c r="AN10" s="38">
        <f t="shared" ca="1" si="5"/>
        <v>0</v>
      </c>
      <c r="AO10" s="38">
        <f t="shared" ca="1" si="5"/>
        <v>170</v>
      </c>
      <c r="AP10" s="38">
        <f t="shared" ca="1" si="5"/>
        <v>170</v>
      </c>
      <c r="AQ10" s="38">
        <f t="shared" ca="1" si="5"/>
        <v>170</v>
      </c>
      <c r="AR10" s="38">
        <f t="shared" ca="1" si="5"/>
        <v>170</v>
      </c>
      <c r="AS10" s="38">
        <f t="shared" ca="1" si="5"/>
        <v>170</v>
      </c>
      <c r="AT10" s="38">
        <f t="shared" ca="1" si="5"/>
        <v>170</v>
      </c>
      <c r="AU10" s="38">
        <f t="shared" ca="1" si="5"/>
        <v>170</v>
      </c>
      <c r="AV10" s="38">
        <f t="shared" ca="1" si="5"/>
        <v>170</v>
      </c>
      <c r="AW10" s="38">
        <f t="shared" ca="1" si="5"/>
        <v>170</v>
      </c>
      <c r="AX10" s="38">
        <f t="shared" ca="1" si="5"/>
        <v>170</v>
      </c>
      <c r="AY10" s="38">
        <f t="shared" ca="1" si="5"/>
        <v>170</v>
      </c>
      <c r="AZ10" s="38">
        <f t="shared" ca="1" si="5"/>
        <v>170</v>
      </c>
      <c r="BA10" s="38">
        <f t="shared" ca="1" si="5"/>
        <v>170</v>
      </c>
      <c r="BB10" s="38">
        <f t="shared" ca="1" si="5"/>
        <v>170</v>
      </c>
      <c r="BC10" s="38">
        <f t="shared" ca="1" si="5"/>
        <v>170</v>
      </c>
      <c r="BD10" s="38">
        <f t="shared" ca="1" si="5"/>
        <v>170</v>
      </c>
      <c r="BE10" s="38">
        <f t="shared" ca="1" si="5"/>
        <v>170</v>
      </c>
      <c r="BF10" s="38">
        <f t="shared" ca="1" si="5"/>
        <v>170</v>
      </c>
      <c r="BG10" s="365">
        <f t="shared" ca="1" si="5"/>
        <v>170</v>
      </c>
      <c r="BH10" s="38">
        <f t="shared" ca="1" si="5"/>
        <v>170</v>
      </c>
      <c r="BI10" s="38">
        <f t="shared" ca="1" si="5"/>
        <v>170</v>
      </c>
      <c r="BJ10" s="38">
        <f t="shared" ca="1" si="5"/>
        <v>170</v>
      </c>
      <c r="BK10" s="38">
        <f t="shared" ca="1" si="5"/>
        <v>170</v>
      </c>
      <c r="BL10" s="38">
        <f t="shared" ca="1" si="5"/>
        <v>170</v>
      </c>
      <c r="BM10" s="38">
        <f t="shared" ca="1" si="5"/>
        <v>170</v>
      </c>
      <c r="BN10" s="38">
        <f t="shared" ca="1" si="5"/>
        <v>170</v>
      </c>
      <c r="BO10" s="38">
        <f t="shared" ca="1" si="5"/>
        <v>170</v>
      </c>
      <c r="BP10" s="38">
        <f t="shared" ca="1" si="5"/>
        <v>170</v>
      </c>
      <c r="BQ10" s="38">
        <f t="shared" ca="1" si="5"/>
        <v>170</v>
      </c>
      <c r="BR10" s="38">
        <f t="shared" ca="1" si="5"/>
        <v>170</v>
      </c>
      <c r="BS10" s="38">
        <f t="shared" ca="1" si="5"/>
        <v>170</v>
      </c>
      <c r="BT10" s="38">
        <f t="shared" ca="1" si="5"/>
        <v>170</v>
      </c>
      <c r="BU10" s="38">
        <f t="shared" ca="1" si="5"/>
        <v>170</v>
      </c>
      <c r="BV10" s="38">
        <f t="shared" ca="1" si="5"/>
        <v>170</v>
      </c>
      <c r="BW10" s="38">
        <f t="shared" ref="BW10:CZ10" ca="1" si="6">BV10+BW9</f>
        <v>170</v>
      </c>
      <c r="BX10" s="38">
        <f t="shared" ca="1" si="6"/>
        <v>170</v>
      </c>
      <c r="BY10" s="38">
        <f t="shared" ca="1" si="6"/>
        <v>170</v>
      </c>
      <c r="BZ10" s="38">
        <f t="shared" ca="1" si="6"/>
        <v>170</v>
      </c>
      <c r="CA10" s="38">
        <f t="shared" ca="1" si="6"/>
        <v>170</v>
      </c>
      <c r="CB10" s="38">
        <f t="shared" ca="1" si="6"/>
        <v>170</v>
      </c>
      <c r="CC10" s="38">
        <f t="shared" ca="1" si="6"/>
        <v>170</v>
      </c>
      <c r="CD10" s="38">
        <f t="shared" ca="1" si="6"/>
        <v>170</v>
      </c>
      <c r="CE10" s="38">
        <f t="shared" ca="1" si="6"/>
        <v>170</v>
      </c>
      <c r="CF10" s="38">
        <f t="shared" ca="1" si="6"/>
        <v>170</v>
      </c>
      <c r="CG10" s="38">
        <f t="shared" ca="1" si="6"/>
        <v>170</v>
      </c>
      <c r="CH10" s="38">
        <f t="shared" ca="1" si="6"/>
        <v>170</v>
      </c>
      <c r="CI10" s="38">
        <f t="shared" ca="1" si="6"/>
        <v>170</v>
      </c>
      <c r="CJ10" s="38">
        <f t="shared" ca="1" si="6"/>
        <v>170</v>
      </c>
      <c r="CK10" s="38">
        <f t="shared" ca="1" si="6"/>
        <v>170</v>
      </c>
      <c r="CL10" s="38">
        <f t="shared" ca="1" si="6"/>
        <v>170</v>
      </c>
      <c r="CM10" s="38">
        <f t="shared" ca="1" si="6"/>
        <v>170</v>
      </c>
      <c r="CN10" s="38">
        <f t="shared" ca="1" si="6"/>
        <v>170</v>
      </c>
      <c r="CO10" s="38">
        <f t="shared" ca="1" si="6"/>
        <v>170</v>
      </c>
      <c r="CP10" s="38">
        <f t="shared" ca="1" si="6"/>
        <v>170</v>
      </c>
      <c r="CQ10" s="38">
        <f t="shared" ca="1" si="6"/>
        <v>170</v>
      </c>
      <c r="CR10" s="38">
        <f t="shared" ca="1" si="6"/>
        <v>170</v>
      </c>
      <c r="CS10" s="38">
        <f t="shared" ca="1" si="6"/>
        <v>170</v>
      </c>
      <c r="CT10" s="38">
        <f t="shared" ca="1" si="6"/>
        <v>170</v>
      </c>
      <c r="CU10" s="38">
        <f t="shared" ca="1" si="6"/>
        <v>170</v>
      </c>
      <c r="CV10" s="38">
        <f t="shared" ca="1" si="6"/>
        <v>170</v>
      </c>
      <c r="CW10" s="38">
        <f t="shared" ca="1" si="6"/>
        <v>170</v>
      </c>
      <c r="CX10" s="38">
        <f t="shared" ca="1" si="6"/>
        <v>170</v>
      </c>
      <c r="CY10" s="38">
        <f t="shared" ca="1" si="6"/>
        <v>170</v>
      </c>
      <c r="CZ10" s="38">
        <f t="shared" ca="1" si="6"/>
        <v>170</v>
      </c>
    </row>
    <row r="11" spans="2:104" x14ac:dyDescent="0.2">
      <c r="B11" s="136" t="s">
        <v>50</v>
      </c>
      <c r="C11" s="37"/>
      <c r="D11" s="37"/>
      <c r="E11" s="137">
        <f ca="1">MAX(I11:CZ11)</f>
        <v>1</v>
      </c>
      <c r="F11" s="36"/>
      <c r="G11" s="48"/>
      <c r="H11" s="124"/>
      <c r="I11" s="137">
        <f ca="1">I10/'9. Development Costs'!$I$9</f>
        <v>0</v>
      </c>
      <c r="J11" s="137">
        <f ca="1">J10/'9. Development Costs'!$I$9</f>
        <v>0</v>
      </c>
      <c r="K11" s="137">
        <f ca="1">K10/'9. Development Costs'!$I$9</f>
        <v>0</v>
      </c>
      <c r="L11" s="137">
        <f ca="1">L10/'9. Development Costs'!$I$9</f>
        <v>0</v>
      </c>
      <c r="M11" s="137">
        <f ca="1">M10/'9. Development Costs'!$I$9</f>
        <v>0</v>
      </c>
      <c r="N11" s="137">
        <f ca="1">N10/'9. Development Costs'!$I$9</f>
        <v>0</v>
      </c>
      <c r="O11" s="137">
        <f ca="1">O10/'9. Development Costs'!$I$9</f>
        <v>0</v>
      </c>
      <c r="P11" s="137">
        <f ca="1">P10/'9. Development Costs'!$I$9</f>
        <v>0</v>
      </c>
      <c r="Q11" s="137">
        <f ca="1">Q10/'9. Development Costs'!$I$9</f>
        <v>0</v>
      </c>
      <c r="R11" s="137">
        <f ca="1">R10/'9. Development Costs'!$I$9</f>
        <v>0</v>
      </c>
      <c r="S11" s="137">
        <f ca="1">S10/'9. Development Costs'!$I$9</f>
        <v>0</v>
      </c>
      <c r="T11" s="137">
        <f ca="1">T10/'9. Development Costs'!$I$9</f>
        <v>0</v>
      </c>
      <c r="U11" s="137">
        <f ca="1">U10/'9. Development Costs'!$I$9</f>
        <v>0</v>
      </c>
      <c r="V11" s="137">
        <f ca="1">V10/'9. Development Costs'!$I$9</f>
        <v>0</v>
      </c>
      <c r="W11" s="137">
        <f ca="1">W10/'9. Development Costs'!$I$9</f>
        <v>0</v>
      </c>
      <c r="X11" s="137">
        <f ca="1">X10/'9. Development Costs'!$I$9</f>
        <v>0</v>
      </c>
      <c r="Y11" s="137">
        <f ca="1">Y10/'9. Development Costs'!$I$9</f>
        <v>0</v>
      </c>
      <c r="Z11" s="137">
        <f ca="1">Z10/'9. Development Costs'!$I$9</f>
        <v>0</v>
      </c>
      <c r="AA11" s="137">
        <f ca="1">AA10/'9. Development Costs'!$I$9</f>
        <v>0</v>
      </c>
      <c r="AB11" s="137">
        <f ca="1">AB10/'9. Development Costs'!$I$9</f>
        <v>0</v>
      </c>
      <c r="AC11" s="137">
        <f ca="1">AC10/'9. Development Costs'!$I$9</f>
        <v>0</v>
      </c>
      <c r="AD11" s="137">
        <f ca="1">AD10/'9. Development Costs'!$I$9</f>
        <v>0</v>
      </c>
      <c r="AE11" s="137">
        <f ca="1">AE10/'9. Development Costs'!$I$9</f>
        <v>0</v>
      </c>
      <c r="AF11" s="137">
        <f ca="1">AF10/'9. Development Costs'!$I$9</f>
        <v>0</v>
      </c>
      <c r="AG11" s="137">
        <f ca="1">AG10/'9. Development Costs'!$I$9</f>
        <v>0</v>
      </c>
      <c r="AH11" s="137">
        <f ca="1">AH10/'9. Development Costs'!$I$9</f>
        <v>0</v>
      </c>
      <c r="AI11" s="137">
        <f ca="1">AI10/'9. Development Costs'!$I$9</f>
        <v>0</v>
      </c>
      <c r="AJ11" s="137">
        <f ca="1">AJ10/'9. Development Costs'!$I$9</f>
        <v>0</v>
      </c>
      <c r="AK11" s="137">
        <f ca="1">AK10/'9. Development Costs'!$I$9</f>
        <v>0</v>
      </c>
      <c r="AL11" s="137">
        <f ca="1">AL10/'9. Development Costs'!$I$9</f>
        <v>0</v>
      </c>
      <c r="AM11" s="137">
        <f ca="1">AM10/'9. Development Costs'!$I$9</f>
        <v>0</v>
      </c>
      <c r="AN11" s="137">
        <f ca="1">AN10/'9. Development Costs'!$I$9</f>
        <v>0</v>
      </c>
      <c r="AO11" s="137">
        <f ca="1">AO10/'9. Development Costs'!$I$9</f>
        <v>1</v>
      </c>
      <c r="AP11" s="137">
        <f ca="1">AP10/'9. Development Costs'!$I$9</f>
        <v>1</v>
      </c>
      <c r="AQ11" s="137">
        <f ca="1">AQ10/'9. Development Costs'!$I$9</f>
        <v>1</v>
      </c>
      <c r="AR11" s="137">
        <f ca="1">AR10/'9. Development Costs'!$I$9</f>
        <v>1</v>
      </c>
      <c r="AS11" s="137">
        <f ca="1">AS10/'9. Development Costs'!$I$9</f>
        <v>1</v>
      </c>
      <c r="AT11" s="137">
        <f ca="1">AT10/'9. Development Costs'!$I$9</f>
        <v>1</v>
      </c>
      <c r="AU11" s="137">
        <f ca="1">AU10/'9. Development Costs'!$I$9</f>
        <v>1</v>
      </c>
      <c r="AV11" s="137">
        <f ca="1">AV10/'9. Development Costs'!$I$9</f>
        <v>1</v>
      </c>
      <c r="AW11" s="137">
        <f ca="1">AW10/'9. Development Costs'!$I$9</f>
        <v>1</v>
      </c>
      <c r="AX11" s="137">
        <f ca="1">AX10/'9. Development Costs'!$I$9</f>
        <v>1</v>
      </c>
      <c r="AY11" s="137">
        <f ca="1">AY10/'9. Development Costs'!$I$9</f>
        <v>1</v>
      </c>
      <c r="AZ11" s="137">
        <f ca="1">AZ10/'9. Development Costs'!$I$9</f>
        <v>1</v>
      </c>
      <c r="BA11" s="137">
        <f ca="1">BA10/'9. Development Costs'!$I$9</f>
        <v>1</v>
      </c>
      <c r="BB11" s="137">
        <f ca="1">BB10/'9. Development Costs'!$I$9</f>
        <v>1</v>
      </c>
      <c r="BC11" s="137">
        <f ca="1">BC10/'9. Development Costs'!$I$9</f>
        <v>1</v>
      </c>
      <c r="BD11" s="137">
        <f ca="1">BD10/'9. Development Costs'!$I$9</f>
        <v>1</v>
      </c>
      <c r="BE11" s="137">
        <f ca="1">BE10/'9. Development Costs'!$I$9</f>
        <v>1</v>
      </c>
      <c r="BF11" s="137">
        <f ca="1">BF10/'9. Development Costs'!$I$9</f>
        <v>1</v>
      </c>
      <c r="BG11" s="137">
        <f ca="1">BG10/'9. Development Costs'!$I$9</f>
        <v>1</v>
      </c>
      <c r="BH11" s="137">
        <f ca="1">BH10/'9. Development Costs'!$I$9</f>
        <v>1</v>
      </c>
      <c r="BI11" s="137">
        <f ca="1">BI10/'9. Development Costs'!$I$9</f>
        <v>1</v>
      </c>
      <c r="BJ11" s="137">
        <f ca="1">BJ10/'9. Development Costs'!$I$9</f>
        <v>1</v>
      </c>
      <c r="BK11" s="137">
        <f ca="1">BK10/'9. Development Costs'!$I$9</f>
        <v>1</v>
      </c>
      <c r="BL11" s="137">
        <f ca="1">BL10/'9. Development Costs'!$I$9</f>
        <v>1</v>
      </c>
      <c r="BM11" s="137">
        <f ca="1">BM10/'9. Development Costs'!$I$9</f>
        <v>1</v>
      </c>
      <c r="BN11" s="137">
        <f ca="1">BN10/'9. Development Costs'!$I$9</f>
        <v>1</v>
      </c>
      <c r="BO11" s="137">
        <f ca="1">BO10/'9. Development Costs'!$I$9</f>
        <v>1</v>
      </c>
      <c r="BP11" s="137">
        <f ca="1">BP10/'9. Development Costs'!$I$9</f>
        <v>1</v>
      </c>
      <c r="BQ11" s="137">
        <f ca="1">BQ10/'9. Development Costs'!$I$9</f>
        <v>1</v>
      </c>
      <c r="BR11" s="137">
        <f ca="1">BR10/'9. Development Costs'!$I$9</f>
        <v>1</v>
      </c>
      <c r="BS11" s="137">
        <f ca="1">BS10/'9. Development Costs'!$I$9</f>
        <v>1</v>
      </c>
      <c r="BT11" s="137">
        <f ca="1">BT10/'9. Development Costs'!$I$9</f>
        <v>1</v>
      </c>
      <c r="BU11" s="137">
        <f ca="1">BU10/'9. Development Costs'!$I$9</f>
        <v>1</v>
      </c>
      <c r="BV11" s="137">
        <f ca="1">BV10/'9. Development Costs'!$I$9</f>
        <v>1</v>
      </c>
      <c r="BW11" s="137">
        <f ca="1">BW10/'9. Development Costs'!$I$9</f>
        <v>1</v>
      </c>
      <c r="BX11" s="137">
        <f ca="1">BX10/'9. Development Costs'!$I$9</f>
        <v>1</v>
      </c>
      <c r="BY11" s="137">
        <f ca="1">BY10/'9. Development Costs'!$I$9</f>
        <v>1</v>
      </c>
      <c r="BZ11" s="137">
        <f ca="1">BZ10/'9. Development Costs'!$I$9</f>
        <v>1</v>
      </c>
      <c r="CA11" s="137">
        <f ca="1">CA10/'9. Development Costs'!$I$9</f>
        <v>1</v>
      </c>
      <c r="CB11" s="137">
        <f ca="1">CB10/'9. Development Costs'!$I$9</f>
        <v>1</v>
      </c>
      <c r="CC11" s="137">
        <f ca="1">CC10/'9. Development Costs'!$I$9</f>
        <v>1</v>
      </c>
      <c r="CD11" s="137">
        <f ca="1">CD10/'9. Development Costs'!$I$9</f>
        <v>1</v>
      </c>
      <c r="CE11" s="137">
        <f ca="1">CE10/'9. Development Costs'!$I$9</f>
        <v>1</v>
      </c>
      <c r="CF11" s="137">
        <f ca="1">CF10/'9. Development Costs'!$I$9</f>
        <v>1</v>
      </c>
      <c r="CG11" s="137">
        <f ca="1">CG10/'9. Development Costs'!$I$9</f>
        <v>1</v>
      </c>
      <c r="CH11" s="137">
        <f ca="1">CH10/'9. Development Costs'!$I$9</f>
        <v>1</v>
      </c>
      <c r="CI11" s="137">
        <f ca="1">CI10/'9. Development Costs'!$I$9</f>
        <v>1</v>
      </c>
      <c r="CJ11" s="137">
        <f ca="1">CJ10/'9. Development Costs'!$I$9</f>
        <v>1</v>
      </c>
      <c r="CK11" s="137">
        <f ca="1">CK10/'9. Development Costs'!$I$9</f>
        <v>1</v>
      </c>
      <c r="CL11" s="137">
        <f ca="1">CL10/'9. Development Costs'!$I$9</f>
        <v>1</v>
      </c>
      <c r="CM11" s="137">
        <f ca="1">CM10/'9. Development Costs'!$I$9</f>
        <v>1</v>
      </c>
      <c r="CN11" s="137">
        <f ca="1">CN10/'9. Development Costs'!$I$9</f>
        <v>1</v>
      </c>
      <c r="CO11" s="137">
        <f ca="1">CO10/'9. Development Costs'!$I$9</f>
        <v>1</v>
      </c>
      <c r="CP11" s="137">
        <f ca="1">CP10/'9. Development Costs'!$I$9</f>
        <v>1</v>
      </c>
      <c r="CQ11" s="137">
        <f ca="1">CQ10/'9. Development Costs'!$I$9</f>
        <v>1</v>
      </c>
      <c r="CR11" s="137">
        <f ca="1">CR10/'9. Development Costs'!$I$9</f>
        <v>1</v>
      </c>
      <c r="CS11" s="137">
        <f ca="1">CS10/'9. Development Costs'!$I$9</f>
        <v>1</v>
      </c>
      <c r="CT11" s="137">
        <f ca="1">CT10/'9. Development Costs'!$I$9</f>
        <v>1</v>
      </c>
      <c r="CU11" s="137">
        <f ca="1">CU10/'9. Development Costs'!$I$9</f>
        <v>1</v>
      </c>
      <c r="CV11" s="137">
        <f ca="1">CV10/'9. Development Costs'!$I$9</f>
        <v>1</v>
      </c>
      <c r="CW11" s="137">
        <f ca="1">CW10/'9. Development Costs'!$I$9</f>
        <v>1</v>
      </c>
      <c r="CX11" s="137">
        <f ca="1">CX10/'9. Development Costs'!$I$9</f>
        <v>1</v>
      </c>
      <c r="CY11" s="137">
        <f ca="1">CY10/'9. Development Costs'!$I$9</f>
        <v>1</v>
      </c>
      <c r="CZ11" s="137">
        <f ca="1">CZ10/'9. Development Costs'!$I$9</f>
        <v>1</v>
      </c>
    </row>
    <row r="12" spans="2:104" x14ac:dyDescent="0.2">
      <c r="B12" s="119" t="s">
        <v>51</v>
      </c>
      <c r="C12" s="29">
        <f>'9. Development Costs'!$I$9</f>
        <v>170</v>
      </c>
      <c r="D12" s="118">
        <f ca="1">ROUND(C12-E12,0)</f>
        <v>0</v>
      </c>
      <c r="E12" s="32">
        <f t="shared" ca="1" si="4"/>
        <v>170</v>
      </c>
      <c r="F12" s="98">
        <f ca="1">'8. Schedule'!D19</f>
        <v>46981</v>
      </c>
      <c r="G12" s="98">
        <f ca="1">'8. Schedule'!E19</f>
        <v>47315</v>
      </c>
      <c r="H12" s="125">
        <f ca="1">DATEDIF(F12,G12,"m")+1</f>
        <v>12</v>
      </c>
      <c r="I12" s="269">
        <f t="shared" ref="I12:AB12" ca="1" si="7">IF(AND(I$7&lt;=$G12,I$7&gt;=$F12,$H12&lt;&gt;0,$H12&lt;&gt;""),$C12/$H12,0)</f>
        <v>0</v>
      </c>
      <c r="J12" s="269">
        <f t="shared" ca="1" si="7"/>
        <v>0</v>
      </c>
      <c r="K12" s="269">
        <f t="shared" ca="1" si="7"/>
        <v>0</v>
      </c>
      <c r="L12" s="269">
        <f t="shared" ca="1" si="7"/>
        <v>0</v>
      </c>
      <c r="M12" s="269">
        <f t="shared" ca="1" si="7"/>
        <v>0</v>
      </c>
      <c r="N12" s="269">
        <f t="shared" ca="1" si="7"/>
        <v>0</v>
      </c>
      <c r="O12" s="269">
        <f t="shared" ca="1" si="7"/>
        <v>0</v>
      </c>
      <c r="P12" s="269">
        <f t="shared" ca="1" si="7"/>
        <v>0</v>
      </c>
      <c r="Q12" s="269">
        <f t="shared" ca="1" si="7"/>
        <v>0</v>
      </c>
      <c r="R12" s="269">
        <f t="shared" ca="1" si="7"/>
        <v>0</v>
      </c>
      <c r="S12" s="269">
        <f t="shared" ca="1" si="7"/>
        <v>0</v>
      </c>
      <c r="T12" s="269">
        <f t="shared" ca="1" si="7"/>
        <v>0</v>
      </c>
      <c r="U12" s="269">
        <f t="shared" ca="1" si="7"/>
        <v>0</v>
      </c>
      <c r="V12" s="269">
        <f t="shared" ca="1" si="7"/>
        <v>0</v>
      </c>
      <c r="W12" s="269">
        <f t="shared" ca="1" si="7"/>
        <v>0</v>
      </c>
      <c r="X12" s="269">
        <f t="shared" ca="1" si="7"/>
        <v>0</v>
      </c>
      <c r="Y12" s="269">
        <f t="shared" ca="1" si="7"/>
        <v>0</v>
      </c>
      <c r="Z12" s="269">
        <f t="shared" ca="1" si="7"/>
        <v>0</v>
      </c>
      <c r="AA12" s="269">
        <f t="shared" ca="1" si="7"/>
        <v>0</v>
      </c>
      <c r="AB12" s="269">
        <f t="shared" ca="1" si="7"/>
        <v>0</v>
      </c>
      <c r="AC12" s="269">
        <f t="shared" ref="AC12:CM12" ca="1" si="8">IF(AND(AC$7&lt;=$G12,AC$7&gt;=$F12,$H12&lt;&gt;0,$H12&lt;&gt;""),$C12/$H12,0)</f>
        <v>0</v>
      </c>
      <c r="AD12" s="269">
        <f t="shared" ca="1" si="8"/>
        <v>0</v>
      </c>
      <c r="AE12" s="269">
        <f t="shared" ca="1" si="8"/>
        <v>0</v>
      </c>
      <c r="AF12" s="269">
        <f t="shared" ca="1" si="8"/>
        <v>0</v>
      </c>
      <c r="AG12" s="269">
        <f t="shared" ca="1" si="8"/>
        <v>0</v>
      </c>
      <c r="AH12" s="269">
        <f t="shared" ca="1" si="8"/>
        <v>0</v>
      </c>
      <c r="AI12" s="269">
        <f t="shared" ca="1" si="8"/>
        <v>0</v>
      </c>
      <c r="AJ12" s="269">
        <f t="shared" ca="1" si="8"/>
        <v>0</v>
      </c>
      <c r="AK12" s="269">
        <f t="shared" ca="1" si="8"/>
        <v>0</v>
      </c>
      <c r="AL12" s="269">
        <f t="shared" ca="1" si="8"/>
        <v>0</v>
      </c>
      <c r="AM12" s="269">
        <f t="shared" ca="1" si="8"/>
        <v>14.166666666666666</v>
      </c>
      <c r="AN12" s="269">
        <f t="shared" ca="1" si="8"/>
        <v>14.166666666666666</v>
      </c>
      <c r="AO12" s="269">
        <f t="shared" ca="1" si="8"/>
        <v>14.166666666666666</v>
      </c>
      <c r="AP12" s="269">
        <f t="shared" ca="1" si="8"/>
        <v>14.166666666666666</v>
      </c>
      <c r="AQ12" s="269">
        <f t="shared" ca="1" si="8"/>
        <v>14.166666666666666</v>
      </c>
      <c r="AR12" s="269">
        <f t="shared" ca="1" si="8"/>
        <v>14.166666666666666</v>
      </c>
      <c r="AS12" s="269">
        <f t="shared" ca="1" si="8"/>
        <v>14.166666666666666</v>
      </c>
      <c r="AT12" s="269">
        <f t="shared" ca="1" si="8"/>
        <v>14.166666666666666</v>
      </c>
      <c r="AU12" s="269">
        <f t="shared" ca="1" si="8"/>
        <v>14.166666666666666</v>
      </c>
      <c r="AV12" s="269">
        <f t="shared" ca="1" si="8"/>
        <v>14.166666666666666</v>
      </c>
      <c r="AW12" s="269">
        <f t="shared" ca="1" si="8"/>
        <v>14.166666666666666</v>
      </c>
      <c r="AX12" s="269">
        <f t="shared" ca="1" si="8"/>
        <v>14.166666666666666</v>
      </c>
      <c r="AY12" s="269">
        <f t="shared" ca="1" si="8"/>
        <v>0</v>
      </c>
      <c r="AZ12" s="269">
        <f t="shared" ca="1" si="8"/>
        <v>0</v>
      </c>
      <c r="BA12" s="269">
        <f t="shared" ca="1" si="8"/>
        <v>0</v>
      </c>
      <c r="BB12" s="269">
        <f t="shared" ca="1" si="8"/>
        <v>0</v>
      </c>
      <c r="BC12" s="269">
        <f t="shared" ca="1" si="8"/>
        <v>0</v>
      </c>
      <c r="BD12" s="269">
        <f t="shared" ca="1" si="8"/>
        <v>0</v>
      </c>
      <c r="BE12" s="269">
        <f t="shared" ca="1" si="8"/>
        <v>0</v>
      </c>
      <c r="BF12" s="269">
        <f t="shared" ca="1" si="8"/>
        <v>0</v>
      </c>
      <c r="BG12" s="269">
        <f t="shared" ca="1" si="8"/>
        <v>0</v>
      </c>
      <c r="BH12" s="269">
        <f t="shared" ca="1" si="8"/>
        <v>0</v>
      </c>
      <c r="BI12" s="269">
        <f t="shared" ca="1" si="8"/>
        <v>0</v>
      </c>
      <c r="BJ12" s="269">
        <f t="shared" ca="1" si="8"/>
        <v>0</v>
      </c>
      <c r="BK12" s="269">
        <f t="shared" ca="1" si="8"/>
        <v>0</v>
      </c>
      <c r="BL12" s="269">
        <f t="shared" ca="1" si="8"/>
        <v>0</v>
      </c>
      <c r="BM12" s="269">
        <f t="shared" ca="1" si="8"/>
        <v>0</v>
      </c>
      <c r="BN12" s="269">
        <f t="shared" ca="1" si="8"/>
        <v>0</v>
      </c>
      <c r="BO12" s="269">
        <f t="shared" ca="1" si="8"/>
        <v>0</v>
      </c>
      <c r="BP12" s="269">
        <f t="shared" ca="1" si="8"/>
        <v>0</v>
      </c>
      <c r="BQ12" s="269">
        <f t="shared" ca="1" si="8"/>
        <v>0</v>
      </c>
      <c r="BR12" s="269">
        <f t="shared" ca="1" si="8"/>
        <v>0</v>
      </c>
      <c r="BS12" s="269">
        <f t="shared" ca="1" si="8"/>
        <v>0</v>
      </c>
      <c r="BT12" s="269">
        <f t="shared" ca="1" si="8"/>
        <v>0</v>
      </c>
      <c r="BU12" s="269">
        <f t="shared" ca="1" si="8"/>
        <v>0</v>
      </c>
      <c r="BV12" s="269">
        <f t="shared" ca="1" si="8"/>
        <v>0</v>
      </c>
      <c r="BW12" s="269">
        <f t="shared" ca="1" si="8"/>
        <v>0</v>
      </c>
      <c r="BX12" s="269">
        <f t="shared" ca="1" si="8"/>
        <v>0</v>
      </c>
      <c r="BY12" s="269">
        <f t="shared" ca="1" si="8"/>
        <v>0</v>
      </c>
      <c r="BZ12" s="269">
        <f t="shared" ca="1" si="8"/>
        <v>0</v>
      </c>
      <c r="CA12" s="269">
        <f t="shared" ca="1" si="8"/>
        <v>0</v>
      </c>
      <c r="CB12" s="269">
        <f t="shared" ca="1" si="8"/>
        <v>0</v>
      </c>
      <c r="CC12" s="269">
        <f t="shared" ca="1" si="8"/>
        <v>0</v>
      </c>
      <c r="CD12" s="269">
        <f t="shared" ca="1" si="8"/>
        <v>0</v>
      </c>
      <c r="CE12" s="269">
        <f t="shared" ca="1" si="8"/>
        <v>0</v>
      </c>
      <c r="CF12" s="269">
        <f t="shared" ca="1" si="8"/>
        <v>0</v>
      </c>
      <c r="CG12" s="269">
        <f t="shared" ca="1" si="8"/>
        <v>0</v>
      </c>
      <c r="CH12" s="269">
        <f t="shared" ca="1" si="8"/>
        <v>0</v>
      </c>
      <c r="CI12" s="269">
        <f t="shared" ca="1" si="8"/>
        <v>0</v>
      </c>
      <c r="CJ12" s="269">
        <f t="shared" ca="1" si="8"/>
        <v>0</v>
      </c>
      <c r="CK12" s="269">
        <f t="shared" ca="1" si="8"/>
        <v>0</v>
      </c>
      <c r="CL12" s="269">
        <f t="shared" ca="1" si="8"/>
        <v>0</v>
      </c>
      <c r="CM12" s="269">
        <f t="shared" ca="1" si="8"/>
        <v>0</v>
      </c>
      <c r="CN12" s="269">
        <f t="shared" ref="CN12:CZ12" ca="1" si="9">IF(AND(CN$7&lt;=$G12,CN$7&gt;=$F12,$H12&lt;&gt;0,$H12&lt;&gt;""),$C12/$H12,0)</f>
        <v>0</v>
      </c>
      <c r="CO12" s="269">
        <f t="shared" ca="1" si="9"/>
        <v>0</v>
      </c>
      <c r="CP12" s="269">
        <f t="shared" ca="1" si="9"/>
        <v>0</v>
      </c>
      <c r="CQ12" s="269">
        <f t="shared" ca="1" si="9"/>
        <v>0</v>
      </c>
      <c r="CR12" s="269">
        <f t="shared" ca="1" si="9"/>
        <v>0</v>
      </c>
      <c r="CS12" s="269">
        <f t="shared" ca="1" si="9"/>
        <v>0</v>
      </c>
      <c r="CT12" s="269">
        <f t="shared" ca="1" si="9"/>
        <v>0</v>
      </c>
      <c r="CU12" s="269">
        <f t="shared" ca="1" si="9"/>
        <v>0</v>
      </c>
      <c r="CV12" s="269">
        <f t="shared" ca="1" si="9"/>
        <v>0</v>
      </c>
      <c r="CW12" s="269">
        <f t="shared" ca="1" si="9"/>
        <v>0</v>
      </c>
      <c r="CX12" s="269">
        <f t="shared" ca="1" si="9"/>
        <v>0</v>
      </c>
      <c r="CY12" s="269">
        <f t="shared" ca="1" si="9"/>
        <v>0</v>
      </c>
      <c r="CZ12" s="269">
        <f t="shared" ca="1" si="9"/>
        <v>0</v>
      </c>
    </row>
    <row r="13" spans="2:104" x14ac:dyDescent="0.2">
      <c r="B13" s="119" t="s">
        <v>52</v>
      </c>
      <c r="C13" s="29">
        <f>'9. Development Costs'!$I$9</f>
        <v>170</v>
      </c>
      <c r="D13" s="118">
        <f ca="1">ROUND(C13-E13,0)</f>
        <v>0</v>
      </c>
      <c r="E13" s="32">
        <f ca="1">MAX(I13:CZ13)</f>
        <v>170</v>
      </c>
      <c r="F13" s="32"/>
      <c r="H13" s="123"/>
      <c r="I13" s="120">
        <f ca="1">I12</f>
        <v>0</v>
      </c>
      <c r="J13" s="38">
        <f ca="1">I13+J12</f>
        <v>0</v>
      </c>
      <c r="K13" s="38">
        <f t="shared" ref="K13:BV13" ca="1" si="10">J13+K12</f>
        <v>0</v>
      </c>
      <c r="L13" s="38">
        <f t="shared" ca="1" si="10"/>
        <v>0</v>
      </c>
      <c r="M13" s="38">
        <f t="shared" ca="1" si="10"/>
        <v>0</v>
      </c>
      <c r="N13" s="38">
        <f t="shared" ca="1" si="10"/>
        <v>0</v>
      </c>
      <c r="O13" s="38">
        <f t="shared" ca="1" si="10"/>
        <v>0</v>
      </c>
      <c r="P13" s="38">
        <f t="shared" ca="1" si="10"/>
        <v>0</v>
      </c>
      <c r="Q13" s="38">
        <f t="shared" ca="1" si="10"/>
        <v>0</v>
      </c>
      <c r="R13" s="38">
        <f t="shared" ca="1" si="10"/>
        <v>0</v>
      </c>
      <c r="S13" s="38">
        <f t="shared" ca="1" si="10"/>
        <v>0</v>
      </c>
      <c r="T13" s="38">
        <f t="shared" ca="1" si="10"/>
        <v>0</v>
      </c>
      <c r="U13" s="38">
        <f t="shared" ca="1" si="10"/>
        <v>0</v>
      </c>
      <c r="V13" s="38">
        <f t="shared" ca="1" si="10"/>
        <v>0</v>
      </c>
      <c r="W13" s="38">
        <f t="shared" ca="1" si="10"/>
        <v>0</v>
      </c>
      <c r="X13" s="38">
        <f t="shared" ca="1" si="10"/>
        <v>0</v>
      </c>
      <c r="Y13" s="38">
        <f t="shared" ca="1" si="10"/>
        <v>0</v>
      </c>
      <c r="Z13" s="38">
        <f t="shared" ca="1" si="10"/>
        <v>0</v>
      </c>
      <c r="AA13" s="38">
        <f t="shared" ca="1" si="10"/>
        <v>0</v>
      </c>
      <c r="AB13" s="38">
        <f t="shared" ca="1" si="10"/>
        <v>0</v>
      </c>
      <c r="AC13" s="38">
        <f t="shared" ca="1" si="10"/>
        <v>0</v>
      </c>
      <c r="AD13" s="38">
        <f t="shared" ca="1" si="10"/>
        <v>0</v>
      </c>
      <c r="AE13" s="38">
        <f t="shared" ca="1" si="10"/>
        <v>0</v>
      </c>
      <c r="AF13" s="38">
        <f t="shared" ca="1" si="10"/>
        <v>0</v>
      </c>
      <c r="AG13" s="38">
        <f t="shared" ca="1" si="10"/>
        <v>0</v>
      </c>
      <c r="AH13" s="38">
        <f t="shared" ca="1" si="10"/>
        <v>0</v>
      </c>
      <c r="AI13" s="38">
        <f t="shared" ca="1" si="10"/>
        <v>0</v>
      </c>
      <c r="AJ13" s="38">
        <f t="shared" ca="1" si="10"/>
        <v>0</v>
      </c>
      <c r="AK13" s="38">
        <f t="shared" ca="1" si="10"/>
        <v>0</v>
      </c>
      <c r="AL13" s="38">
        <f t="shared" ca="1" si="10"/>
        <v>0</v>
      </c>
      <c r="AM13" s="38">
        <f t="shared" ca="1" si="10"/>
        <v>14.166666666666666</v>
      </c>
      <c r="AN13" s="38">
        <f t="shared" ca="1" si="10"/>
        <v>28.333333333333332</v>
      </c>
      <c r="AO13" s="38">
        <f t="shared" ca="1" si="10"/>
        <v>42.5</v>
      </c>
      <c r="AP13" s="38">
        <f t="shared" ca="1" si="10"/>
        <v>56.666666666666664</v>
      </c>
      <c r="AQ13" s="38">
        <f t="shared" ca="1" si="10"/>
        <v>70.833333333333329</v>
      </c>
      <c r="AR13" s="38">
        <f t="shared" ca="1" si="10"/>
        <v>85</v>
      </c>
      <c r="AS13" s="38">
        <f t="shared" ca="1" si="10"/>
        <v>99.166666666666671</v>
      </c>
      <c r="AT13" s="38">
        <f t="shared" ca="1" si="10"/>
        <v>113.33333333333334</v>
      </c>
      <c r="AU13" s="38">
        <f t="shared" ca="1" si="10"/>
        <v>127.50000000000001</v>
      </c>
      <c r="AV13" s="38">
        <f t="shared" ca="1" si="10"/>
        <v>141.66666666666669</v>
      </c>
      <c r="AW13" s="38">
        <f t="shared" ca="1" si="10"/>
        <v>155.83333333333334</v>
      </c>
      <c r="AX13" s="38">
        <f t="shared" ca="1" si="10"/>
        <v>170</v>
      </c>
      <c r="AY13" s="38">
        <f t="shared" ca="1" si="10"/>
        <v>170</v>
      </c>
      <c r="AZ13" s="38">
        <f t="shared" ca="1" si="10"/>
        <v>170</v>
      </c>
      <c r="BA13" s="38">
        <f t="shared" ca="1" si="10"/>
        <v>170</v>
      </c>
      <c r="BB13" s="38">
        <f t="shared" ca="1" si="10"/>
        <v>170</v>
      </c>
      <c r="BC13" s="38">
        <f t="shared" ca="1" si="10"/>
        <v>170</v>
      </c>
      <c r="BD13" s="38">
        <f t="shared" ca="1" si="10"/>
        <v>170</v>
      </c>
      <c r="BE13" s="38">
        <f t="shared" ca="1" si="10"/>
        <v>170</v>
      </c>
      <c r="BF13" s="38">
        <f t="shared" ca="1" si="10"/>
        <v>170</v>
      </c>
      <c r="BG13" s="38">
        <f t="shared" ca="1" si="10"/>
        <v>170</v>
      </c>
      <c r="BH13" s="38">
        <f t="shared" ca="1" si="10"/>
        <v>170</v>
      </c>
      <c r="BI13" s="38">
        <f t="shared" ca="1" si="10"/>
        <v>170</v>
      </c>
      <c r="BJ13" s="38">
        <f t="shared" ca="1" si="10"/>
        <v>170</v>
      </c>
      <c r="BK13" s="38">
        <f t="shared" ca="1" si="10"/>
        <v>170</v>
      </c>
      <c r="BL13" s="38">
        <f t="shared" ca="1" si="10"/>
        <v>170</v>
      </c>
      <c r="BM13" s="38">
        <f t="shared" ca="1" si="10"/>
        <v>170</v>
      </c>
      <c r="BN13" s="38">
        <f t="shared" ca="1" si="10"/>
        <v>170</v>
      </c>
      <c r="BO13" s="38">
        <f t="shared" ca="1" si="10"/>
        <v>170</v>
      </c>
      <c r="BP13" s="38">
        <f t="shared" ca="1" si="10"/>
        <v>170</v>
      </c>
      <c r="BQ13" s="38">
        <f t="shared" ca="1" si="10"/>
        <v>170</v>
      </c>
      <c r="BR13" s="38">
        <f t="shared" ca="1" si="10"/>
        <v>170</v>
      </c>
      <c r="BS13" s="38">
        <f t="shared" ca="1" si="10"/>
        <v>170</v>
      </c>
      <c r="BT13" s="38">
        <f t="shared" ca="1" si="10"/>
        <v>170</v>
      </c>
      <c r="BU13" s="38">
        <f t="shared" ca="1" si="10"/>
        <v>170</v>
      </c>
      <c r="BV13" s="38">
        <f t="shared" ca="1" si="10"/>
        <v>170</v>
      </c>
      <c r="BW13" s="38">
        <f t="shared" ref="BW13:CZ13" ca="1" si="11">BV13+BW12</f>
        <v>170</v>
      </c>
      <c r="BX13" s="38">
        <f t="shared" ca="1" si="11"/>
        <v>170</v>
      </c>
      <c r="BY13" s="38">
        <f t="shared" ca="1" si="11"/>
        <v>170</v>
      </c>
      <c r="BZ13" s="38">
        <f t="shared" ca="1" si="11"/>
        <v>170</v>
      </c>
      <c r="CA13" s="38">
        <f t="shared" ca="1" si="11"/>
        <v>170</v>
      </c>
      <c r="CB13" s="38">
        <f t="shared" ca="1" si="11"/>
        <v>170</v>
      </c>
      <c r="CC13" s="38">
        <f t="shared" ca="1" si="11"/>
        <v>170</v>
      </c>
      <c r="CD13" s="38">
        <f t="shared" ca="1" si="11"/>
        <v>170</v>
      </c>
      <c r="CE13" s="38">
        <f t="shared" ca="1" si="11"/>
        <v>170</v>
      </c>
      <c r="CF13" s="38">
        <f t="shared" ca="1" si="11"/>
        <v>170</v>
      </c>
      <c r="CG13" s="38">
        <f t="shared" ca="1" si="11"/>
        <v>170</v>
      </c>
      <c r="CH13" s="38">
        <f t="shared" ca="1" si="11"/>
        <v>170</v>
      </c>
      <c r="CI13" s="38">
        <f t="shared" ca="1" si="11"/>
        <v>170</v>
      </c>
      <c r="CJ13" s="38">
        <f t="shared" ca="1" si="11"/>
        <v>170</v>
      </c>
      <c r="CK13" s="38">
        <f t="shared" ca="1" si="11"/>
        <v>170</v>
      </c>
      <c r="CL13" s="38">
        <f t="shared" ca="1" si="11"/>
        <v>170</v>
      </c>
      <c r="CM13" s="38">
        <f t="shared" ca="1" si="11"/>
        <v>170</v>
      </c>
      <c r="CN13" s="38">
        <f t="shared" ca="1" si="11"/>
        <v>170</v>
      </c>
      <c r="CO13" s="38">
        <f t="shared" ca="1" si="11"/>
        <v>170</v>
      </c>
      <c r="CP13" s="38">
        <f t="shared" ca="1" si="11"/>
        <v>170</v>
      </c>
      <c r="CQ13" s="38">
        <f t="shared" ca="1" si="11"/>
        <v>170</v>
      </c>
      <c r="CR13" s="38">
        <f t="shared" ca="1" si="11"/>
        <v>170</v>
      </c>
      <c r="CS13" s="38">
        <f t="shared" ca="1" si="11"/>
        <v>170</v>
      </c>
      <c r="CT13" s="38">
        <f t="shared" ca="1" si="11"/>
        <v>170</v>
      </c>
      <c r="CU13" s="38">
        <f t="shared" ca="1" si="11"/>
        <v>170</v>
      </c>
      <c r="CV13" s="38">
        <f t="shared" ca="1" si="11"/>
        <v>170</v>
      </c>
      <c r="CW13" s="38">
        <f t="shared" ca="1" si="11"/>
        <v>170</v>
      </c>
      <c r="CX13" s="38">
        <f t="shared" ca="1" si="11"/>
        <v>170</v>
      </c>
      <c r="CY13" s="38">
        <f t="shared" ca="1" si="11"/>
        <v>170</v>
      </c>
      <c r="CZ13" s="38">
        <f t="shared" ca="1" si="11"/>
        <v>170</v>
      </c>
    </row>
    <row r="14" spans="2:104" x14ac:dyDescent="0.2">
      <c r="B14" s="136" t="s">
        <v>53</v>
      </c>
      <c r="C14" s="37"/>
      <c r="D14" s="37"/>
      <c r="E14" s="137">
        <f ca="1">MAX(I14:CZ14)</f>
        <v>1</v>
      </c>
      <c r="F14" s="36"/>
      <c r="G14" s="48"/>
      <c r="H14" s="124"/>
      <c r="I14" s="137">
        <f ca="1">I13/'9. Development Costs'!$I$9</f>
        <v>0</v>
      </c>
      <c r="J14" s="137">
        <f ca="1">J13/'9. Development Costs'!$I$9</f>
        <v>0</v>
      </c>
      <c r="K14" s="137">
        <f ca="1">K13/'9. Development Costs'!$I$9</f>
        <v>0</v>
      </c>
      <c r="L14" s="137">
        <f ca="1">L13/'9. Development Costs'!$I$9</f>
        <v>0</v>
      </c>
      <c r="M14" s="137">
        <f ca="1">M13/'9. Development Costs'!$I$9</f>
        <v>0</v>
      </c>
      <c r="N14" s="137">
        <f ca="1">N13/'9. Development Costs'!$I$9</f>
        <v>0</v>
      </c>
      <c r="O14" s="137">
        <f ca="1">O13/'9. Development Costs'!$I$9</f>
        <v>0</v>
      </c>
      <c r="P14" s="137">
        <f ca="1">P13/'9. Development Costs'!$I$9</f>
        <v>0</v>
      </c>
      <c r="Q14" s="137">
        <f ca="1">Q13/'9. Development Costs'!$I$9</f>
        <v>0</v>
      </c>
      <c r="R14" s="137">
        <f ca="1">R13/'9. Development Costs'!$I$9</f>
        <v>0</v>
      </c>
      <c r="S14" s="137">
        <f ca="1">S13/'9. Development Costs'!$I$9</f>
        <v>0</v>
      </c>
      <c r="T14" s="137">
        <f ca="1">T13/'9. Development Costs'!$I$9</f>
        <v>0</v>
      </c>
      <c r="U14" s="137">
        <f ca="1">U13/'9. Development Costs'!$I$9</f>
        <v>0</v>
      </c>
      <c r="V14" s="137">
        <f ca="1">V13/'9. Development Costs'!$I$9</f>
        <v>0</v>
      </c>
      <c r="W14" s="137">
        <f ca="1">W13/'9. Development Costs'!$I$9</f>
        <v>0</v>
      </c>
      <c r="X14" s="137">
        <f ca="1">X13/'9. Development Costs'!$I$9</f>
        <v>0</v>
      </c>
      <c r="Y14" s="137">
        <f ca="1">Y13/'9. Development Costs'!$I$9</f>
        <v>0</v>
      </c>
      <c r="Z14" s="137">
        <f ca="1">Z13/'9. Development Costs'!$I$9</f>
        <v>0</v>
      </c>
      <c r="AA14" s="137">
        <f ca="1">AA13/'9. Development Costs'!$I$9</f>
        <v>0</v>
      </c>
      <c r="AB14" s="137">
        <f ca="1">AB13/'9. Development Costs'!$I$9</f>
        <v>0</v>
      </c>
      <c r="AC14" s="137">
        <f ca="1">AC13/'9. Development Costs'!$I$9</f>
        <v>0</v>
      </c>
      <c r="AD14" s="137">
        <f ca="1">AD13/'9. Development Costs'!$I$9</f>
        <v>0</v>
      </c>
      <c r="AE14" s="137">
        <f ca="1">AE13/'9. Development Costs'!$I$9</f>
        <v>0</v>
      </c>
      <c r="AF14" s="137">
        <f ca="1">AF13/'9. Development Costs'!$I$9</f>
        <v>0</v>
      </c>
      <c r="AG14" s="137">
        <f ca="1">AG13/'9. Development Costs'!$I$9</f>
        <v>0</v>
      </c>
      <c r="AH14" s="137">
        <f ca="1">AH13/'9. Development Costs'!$I$9</f>
        <v>0</v>
      </c>
      <c r="AI14" s="137">
        <f ca="1">AI13/'9. Development Costs'!$I$9</f>
        <v>0</v>
      </c>
      <c r="AJ14" s="137">
        <f ca="1">AJ13/'9. Development Costs'!$I$9</f>
        <v>0</v>
      </c>
      <c r="AK14" s="137">
        <f ca="1">AK13/'9. Development Costs'!$I$9</f>
        <v>0</v>
      </c>
      <c r="AL14" s="137">
        <f ca="1">AL13/'9. Development Costs'!$I$9</f>
        <v>0</v>
      </c>
      <c r="AM14" s="137">
        <f ca="1">AM13/'9. Development Costs'!$I$9</f>
        <v>8.3333333333333329E-2</v>
      </c>
      <c r="AN14" s="137">
        <f ca="1">AN13/'9. Development Costs'!$I$9</f>
        <v>0.16666666666666666</v>
      </c>
      <c r="AO14" s="137">
        <f ca="1">AO13/'9. Development Costs'!$I$9</f>
        <v>0.25</v>
      </c>
      <c r="AP14" s="137">
        <f ca="1">AP13/'9. Development Costs'!$I$9</f>
        <v>0.33333333333333331</v>
      </c>
      <c r="AQ14" s="137">
        <f ca="1">AQ13/'9. Development Costs'!$I$9</f>
        <v>0.41666666666666663</v>
      </c>
      <c r="AR14" s="137">
        <f ca="1">AR13/'9. Development Costs'!$I$9</f>
        <v>0.5</v>
      </c>
      <c r="AS14" s="137">
        <f ca="1">AS13/'9. Development Costs'!$I$9</f>
        <v>0.58333333333333337</v>
      </c>
      <c r="AT14" s="137">
        <f ca="1">AT13/'9. Development Costs'!$I$9</f>
        <v>0.66666666666666674</v>
      </c>
      <c r="AU14" s="137">
        <f ca="1">AU13/'9. Development Costs'!$I$9</f>
        <v>0.75000000000000011</v>
      </c>
      <c r="AV14" s="137">
        <f ca="1">AV13/'9. Development Costs'!$I$9</f>
        <v>0.83333333333333348</v>
      </c>
      <c r="AW14" s="137">
        <f ca="1">AW13/'9. Development Costs'!$I$9</f>
        <v>0.91666666666666674</v>
      </c>
      <c r="AX14" s="137">
        <f ca="1">AX13/'9. Development Costs'!$I$9</f>
        <v>1</v>
      </c>
      <c r="AY14" s="137">
        <f ca="1">AY13/'9. Development Costs'!$I$9</f>
        <v>1</v>
      </c>
      <c r="AZ14" s="137">
        <f ca="1">AZ13/'9. Development Costs'!$I$9</f>
        <v>1</v>
      </c>
      <c r="BA14" s="137">
        <f ca="1">BA13/'9. Development Costs'!$I$9</f>
        <v>1</v>
      </c>
      <c r="BB14" s="137">
        <f ca="1">BB13/'9. Development Costs'!$I$9</f>
        <v>1</v>
      </c>
      <c r="BC14" s="137">
        <f ca="1">BC13/'9. Development Costs'!$I$9</f>
        <v>1</v>
      </c>
      <c r="BD14" s="137">
        <f ca="1">BD13/'9. Development Costs'!$I$9</f>
        <v>1</v>
      </c>
      <c r="BE14" s="137">
        <f ca="1">BE13/'9. Development Costs'!$I$9</f>
        <v>1</v>
      </c>
      <c r="BF14" s="137">
        <f ca="1">BF13/'9. Development Costs'!$I$9</f>
        <v>1</v>
      </c>
      <c r="BG14" s="137">
        <f ca="1">BG13/'9. Development Costs'!$I$9</f>
        <v>1</v>
      </c>
      <c r="BH14" s="137">
        <f ca="1">BH13/'9. Development Costs'!$I$9</f>
        <v>1</v>
      </c>
      <c r="BI14" s="137">
        <f ca="1">BI13/'9. Development Costs'!$I$9</f>
        <v>1</v>
      </c>
      <c r="BJ14" s="137">
        <f ca="1">BJ13/'9. Development Costs'!$I$9</f>
        <v>1</v>
      </c>
      <c r="BK14" s="137">
        <f ca="1">BK13/'9. Development Costs'!$I$9</f>
        <v>1</v>
      </c>
      <c r="BL14" s="137">
        <f ca="1">BL13/'9. Development Costs'!$I$9</f>
        <v>1</v>
      </c>
      <c r="BM14" s="137">
        <f ca="1">BM13/'9. Development Costs'!$I$9</f>
        <v>1</v>
      </c>
      <c r="BN14" s="137">
        <f ca="1">BN13/'9. Development Costs'!$I$9</f>
        <v>1</v>
      </c>
      <c r="BO14" s="137">
        <f ca="1">BO13/'9. Development Costs'!$I$9</f>
        <v>1</v>
      </c>
      <c r="BP14" s="137">
        <f ca="1">BP13/'9. Development Costs'!$I$9</f>
        <v>1</v>
      </c>
      <c r="BQ14" s="137">
        <f ca="1">BQ13/'9. Development Costs'!$I$9</f>
        <v>1</v>
      </c>
      <c r="BR14" s="137">
        <f ca="1">BR13/'9. Development Costs'!$I$9</f>
        <v>1</v>
      </c>
      <c r="BS14" s="137">
        <f ca="1">BS13/'9. Development Costs'!$I$9</f>
        <v>1</v>
      </c>
      <c r="BT14" s="137">
        <f ca="1">BT13/'9. Development Costs'!$I$9</f>
        <v>1</v>
      </c>
      <c r="BU14" s="137">
        <f ca="1">BU13/'9. Development Costs'!$I$9</f>
        <v>1</v>
      </c>
      <c r="BV14" s="137">
        <f ca="1">BV13/'9. Development Costs'!$I$9</f>
        <v>1</v>
      </c>
      <c r="BW14" s="137">
        <f ca="1">BW13/'9. Development Costs'!$I$9</f>
        <v>1</v>
      </c>
      <c r="BX14" s="137">
        <f ca="1">BX13/'9. Development Costs'!$I$9</f>
        <v>1</v>
      </c>
      <c r="BY14" s="137">
        <f ca="1">BY13/'9. Development Costs'!$I$9</f>
        <v>1</v>
      </c>
      <c r="BZ14" s="137">
        <f ca="1">BZ13/'9. Development Costs'!$I$9</f>
        <v>1</v>
      </c>
      <c r="CA14" s="137">
        <f ca="1">CA13/'9. Development Costs'!$I$9</f>
        <v>1</v>
      </c>
      <c r="CB14" s="137">
        <f ca="1">CB13/'9. Development Costs'!$I$9</f>
        <v>1</v>
      </c>
      <c r="CC14" s="137">
        <f ca="1">CC13/'9. Development Costs'!$I$9</f>
        <v>1</v>
      </c>
      <c r="CD14" s="137">
        <f ca="1">CD13/'9. Development Costs'!$I$9</f>
        <v>1</v>
      </c>
      <c r="CE14" s="137">
        <f ca="1">CE13/'9. Development Costs'!$I$9</f>
        <v>1</v>
      </c>
      <c r="CF14" s="137">
        <f ca="1">CF13/'9. Development Costs'!$I$9</f>
        <v>1</v>
      </c>
      <c r="CG14" s="137">
        <f ca="1">CG13/'9. Development Costs'!$I$9</f>
        <v>1</v>
      </c>
      <c r="CH14" s="137">
        <f ca="1">CH13/'9. Development Costs'!$I$9</f>
        <v>1</v>
      </c>
      <c r="CI14" s="137">
        <f ca="1">CI13/'9. Development Costs'!$I$9</f>
        <v>1</v>
      </c>
      <c r="CJ14" s="137">
        <f ca="1">CJ13/'9. Development Costs'!$I$9</f>
        <v>1</v>
      </c>
      <c r="CK14" s="137">
        <f ca="1">CK13/'9. Development Costs'!$I$9</f>
        <v>1</v>
      </c>
      <c r="CL14" s="137">
        <f ca="1">CL13/'9. Development Costs'!$I$9</f>
        <v>1</v>
      </c>
      <c r="CM14" s="137">
        <f ca="1">CM13/'9. Development Costs'!$I$9</f>
        <v>1</v>
      </c>
      <c r="CN14" s="137">
        <f ca="1">CN13/'9. Development Costs'!$I$9</f>
        <v>1</v>
      </c>
      <c r="CO14" s="137">
        <f ca="1">CO13/'9. Development Costs'!$I$9</f>
        <v>1</v>
      </c>
      <c r="CP14" s="137">
        <f ca="1">CP13/'9. Development Costs'!$I$9</f>
        <v>1</v>
      </c>
      <c r="CQ14" s="137">
        <f ca="1">CQ13/'9. Development Costs'!$I$9</f>
        <v>1</v>
      </c>
      <c r="CR14" s="137">
        <f ca="1">CR13/'9. Development Costs'!$I$9</f>
        <v>1</v>
      </c>
      <c r="CS14" s="137">
        <f ca="1">CS13/'9. Development Costs'!$I$9</f>
        <v>1</v>
      </c>
      <c r="CT14" s="137">
        <f ca="1">CT13/'9. Development Costs'!$I$9</f>
        <v>1</v>
      </c>
      <c r="CU14" s="137">
        <f ca="1">CU13/'9. Development Costs'!$I$9</f>
        <v>1</v>
      </c>
      <c r="CV14" s="137">
        <f ca="1">CV13/'9. Development Costs'!$I$9</f>
        <v>1</v>
      </c>
      <c r="CW14" s="137">
        <f ca="1">CW13/'9. Development Costs'!$I$9</f>
        <v>1</v>
      </c>
      <c r="CX14" s="137">
        <f ca="1">CX13/'9. Development Costs'!$I$9</f>
        <v>1</v>
      </c>
      <c r="CY14" s="137">
        <f ca="1">CY13/'9. Development Costs'!$I$9</f>
        <v>1</v>
      </c>
      <c r="CZ14" s="137">
        <f ca="1">CZ13/'9. Development Costs'!$I$9</f>
        <v>1</v>
      </c>
    </row>
    <row r="15" spans="2:104" x14ac:dyDescent="0.2">
      <c r="B15" s="119" t="s">
        <v>54</v>
      </c>
      <c r="C15" s="29">
        <f>'9. Development Costs'!$I$9</f>
        <v>170</v>
      </c>
      <c r="D15" s="118">
        <f ca="1">ROUND(C15-E15,0)</f>
        <v>0</v>
      </c>
      <c r="E15" s="32">
        <f t="shared" ca="1" si="4"/>
        <v>170</v>
      </c>
      <c r="F15" s="32"/>
      <c r="H15" s="123"/>
      <c r="I15" s="270">
        <v>0</v>
      </c>
      <c r="J15" s="271">
        <f ca="1">IF(I$7&gt;=$F$9,MIN(J10,J13)-I16,0)</f>
        <v>0</v>
      </c>
      <c r="K15" s="271">
        <f t="shared" ref="K15:BV15" ca="1" si="12">IF(J$7&gt;=$F$9,MIN(K10,K13)-J16,0)</f>
        <v>0</v>
      </c>
      <c r="L15" s="271">
        <f t="shared" ca="1" si="12"/>
        <v>0</v>
      </c>
      <c r="M15" s="271">
        <f t="shared" ca="1" si="12"/>
        <v>0</v>
      </c>
      <c r="N15" s="271">
        <f t="shared" ca="1" si="12"/>
        <v>0</v>
      </c>
      <c r="O15" s="271">
        <f t="shared" ca="1" si="12"/>
        <v>0</v>
      </c>
      <c r="P15" s="271">
        <f t="shared" ca="1" si="12"/>
        <v>0</v>
      </c>
      <c r="Q15" s="271">
        <f t="shared" ca="1" si="12"/>
        <v>0</v>
      </c>
      <c r="R15" s="271">
        <f t="shared" ca="1" si="12"/>
        <v>0</v>
      </c>
      <c r="S15" s="271">
        <f t="shared" ca="1" si="12"/>
        <v>0</v>
      </c>
      <c r="T15" s="271">
        <f t="shared" ca="1" si="12"/>
        <v>0</v>
      </c>
      <c r="U15" s="271">
        <f t="shared" ca="1" si="12"/>
        <v>0</v>
      </c>
      <c r="V15" s="271">
        <f t="shared" ca="1" si="12"/>
        <v>0</v>
      </c>
      <c r="W15" s="271">
        <f t="shared" ca="1" si="12"/>
        <v>0</v>
      </c>
      <c r="X15" s="271">
        <f t="shared" ca="1" si="12"/>
        <v>0</v>
      </c>
      <c r="Y15" s="271">
        <f t="shared" ca="1" si="12"/>
        <v>0</v>
      </c>
      <c r="Z15" s="271">
        <f t="shared" ca="1" si="12"/>
        <v>0</v>
      </c>
      <c r="AA15" s="271">
        <f t="shared" ca="1" si="12"/>
        <v>0</v>
      </c>
      <c r="AB15" s="271">
        <f t="shared" ca="1" si="12"/>
        <v>0</v>
      </c>
      <c r="AC15" s="271">
        <f t="shared" ca="1" si="12"/>
        <v>0</v>
      </c>
      <c r="AD15" s="271">
        <f t="shared" ca="1" si="12"/>
        <v>0</v>
      </c>
      <c r="AE15" s="271">
        <f t="shared" ca="1" si="12"/>
        <v>0</v>
      </c>
      <c r="AF15" s="271">
        <f t="shared" ca="1" si="12"/>
        <v>0</v>
      </c>
      <c r="AG15" s="271">
        <f t="shared" ca="1" si="12"/>
        <v>0</v>
      </c>
      <c r="AH15" s="271">
        <f t="shared" ca="1" si="12"/>
        <v>0</v>
      </c>
      <c r="AI15" s="271">
        <f t="shared" ca="1" si="12"/>
        <v>0</v>
      </c>
      <c r="AJ15" s="271">
        <f t="shared" ca="1" si="12"/>
        <v>0</v>
      </c>
      <c r="AK15" s="271">
        <f t="shared" ca="1" si="12"/>
        <v>0</v>
      </c>
      <c r="AL15" s="271">
        <f t="shared" ca="1" si="12"/>
        <v>0</v>
      </c>
      <c r="AM15" s="271">
        <f t="shared" ca="1" si="12"/>
        <v>0</v>
      </c>
      <c r="AN15" s="271">
        <f t="shared" ca="1" si="12"/>
        <v>0</v>
      </c>
      <c r="AO15" s="271">
        <f t="shared" ca="1" si="12"/>
        <v>42.5</v>
      </c>
      <c r="AP15" s="271">
        <f t="shared" ca="1" si="12"/>
        <v>14.166666666666664</v>
      </c>
      <c r="AQ15" s="271">
        <f t="shared" ca="1" si="12"/>
        <v>14.166666666666664</v>
      </c>
      <c r="AR15" s="271">
        <f t="shared" ca="1" si="12"/>
        <v>14.166666666666671</v>
      </c>
      <c r="AS15" s="271">
        <f t="shared" ca="1" si="12"/>
        <v>14.166666666666671</v>
      </c>
      <c r="AT15" s="271">
        <f t="shared" ca="1" si="12"/>
        <v>14.166666666666671</v>
      </c>
      <c r="AU15" s="271">
        <f t="shared" ca="1" si="12"/>
        <v>14.166666666666671</v>
      </c>
      <c r="AV15" s="271">
        <f t="shared" ca="1" si="12"/>
        <v>14.166666666666671</v>
      </c>
      <c r="AW15" s="271">
        <f t="shared" ca="1" si="12"/>
        <v>14.166666666666657</v>
      </c>
      <c r="AX15" s="271">
        <f t="shared" ca="1" si="12"/>
        <v>14.166666666666657</v>
      </c>
      <c r="AY15" s="271">
        <f t="shared" ca="1" si="12"/>
        <v>0</v>
      </c>
      <c r="AZ15" s="271">
        <f t="shared" ca="1" si="12"/>
        <v>0</v>
      </c>
      <c r="BA15" s="271">
        <f t="shared" ca="1" si="12"/>
        <v>0</v>
      </c>
      <c r="BB15" s="271">
        <f t="shared" ca="1" si="12"/>
        <v>0</v>
      </c>
      <c r="BC15" s="271">
        <f t="shared" ca="1" si="12"/>
        <v>0</v>
      </c>
      <c r="BD15" s="271">
        <f t="shared" ca="1" si="12"/>
        <v>0</v>
      </c>
      <c r="BE15" s="271">
        <f t="shared" ca="1" si="12"/>
        <v>0</v>
      </c>
      <c r="BF15" s="271">
        <f t="shared" ca="1" si="12"/>
        <v>0</v>
      </c>
      <c r="BG15" s="271">
        <f t="shared" ca="1" si="12"/>
        <v>0</v>
      </c>
      <c r="BH15" s="271">
        <f t="shared" ca="1" si="12"/>
        <v>0</v>
      </c>
      <c r="BI15" s="271">
        <f t="shared" ca="1" si="12"/>
        <v>0</v>
      </c>
      <c r="BJ15" s="271">
        <f t="shared" ca="1" si="12"/>
        <v>0</v>
      </c>
      <c r="BK15" s="271">
        <f t="shared" ca="1" si="12"/>
        <v>0</v>
      </c>
      <c r="BL15" s="271">
        <f t="shared" ca="1" si="12"/>
        <v>0</v>
      </c>
      <c r="BM15" s="271">
        <f t="shared" ca="1" si="12"/>
        <v>0</v>
      </c>
      <c r="BN15" s="271">
        <f t="shared" ca="1" si="12"/>
        <v>0</v>
      </c>
      <c r="BO15" s="271">
        <f t="shared" ca="1" si="12"/>
        <v>0</v>
      </c>
      <c r="BP15" s="271">
        <f t="shared" ca="1" si="12"/>
        <v>0</v>
      </c>
      <c r="BQ15" s="271">
        <f t="shared" ca="1" si="12"/>
        <v>0</v>
      </c>
      <c r="BR15" s="271">
        <f t="shared" ca="1" si="12"/>
        <v>0</v>
      </c>
      <c r="BS15" s="271">
        <f t="shared" ca="1" si="12"/>
        <v>0</v>
      </c>
      <c r="BT15" s="271">
        <f t="shared" ca="1" si="12"/>
        <v>0</v>
      </c>
      <c r="BU15" s="271">
        <f t="shared" ca="1" si="12"/>
        <v>0</v>
      </c>
      <c r="BV15" s="271">
        <f t="shared" ca="1" si="12"/>
        <v>0</v>
      </c>
      <c r="BW15" s="271">
        <f t="shared" ref="BW15:CZ15" ca="1" si="13">IF(BV$7&gt;=$F$9,MIN(BW10,BW13)-BV16,0)</f>
        <v>0</v>
      </c>
      <c r="BX15" s="271">
        <f t="shared" ca="1" si="13"/>
        <v>0</v>
      </c>
      <c r="BY15" s="271">
        <f t="shared" ca="1" si="13"/>
        <v>0</v>
      </c>
      <c r="BZ15" s="271">
        <f t="shared" ca="1" si="13"/>
        <v>0</v>
      </c>
      <c r="CA15" s="271">
        <f t="shared" ca="1" si="13"/>
        <v>0</v>
      </c>
      <c r="CB15" s="271">
        <f t="shared" ca="1" si="13"/>
        <v>0</v>
      </c>
      <c r="CC15" s="271">
        <f t="shared" ca="1" si="13"/>
        <v>0</v>
      </c>
      <c r="CD15" s="271">
        <f t="shared" ca="1" si="13"/>
        <v>0</v>
      </c>
      <c r="CE15" s="271">
        <f t="shared" ca="1" si="13"/>
        <v>0</v>
      </c>
      <c r="CF15" s="271">
        <f t="shared" ca="1" si="13"/>
        <v>0</v>
      </c>
      <c r="CG15" s="271">
        <f t="shared" ca="1" si="13"/>
        <v>0</v>
      </c>
      <c r="CH15" s="271">
        <f t="shared" ca="1" si="13"/>
        <v>0</v>
      </c>
      <c r="CI15" s="271">
        <f t="shared" ca="1" si="13"/>
        <v>0</v>
      </c>
      <c r="CJ15" s="271">
        <f t="shared" ca="1" si="13"/>
        <v>0</v>
      </c>
      <c r="CK15" s="271">
        <f t="shared" ca="1" si="13"/>
        <v>0</v>
      </c>
      <c r="CL15" s="271">
        <f t="shared" ca="1" si="13"/>
        <v>0</v>
      </c>
      <c r="CM15" s="271">
        <f t="shared" ca="1" si="13"/>
        <v>0</v>
      </c>
      <c r="CN15" s="271">
        <f t="shared" ca="1" si="13"/>
        <v>0</v>
      </c>
      <c r="CO15" s="271">
        <f t="shared" ca="1" si="13"/>
        <v>0</v>
      </c>
      <c r="CP15" s="271">
        <f t="shared" ca="1" si="13"/>
        <v>0</v>
      </c>
      <c r="CQ15" s="271">
        <f t="shared" ca="1" si="13"/>
        <v>0</v>
      </c>
      <c r="CR15" s="271">
        <f t="shared" ca="1" si="13"/>
        <v>0</v>
      </c>
      <c r="CS15" s="271">
        <f t="shared" ca="1" si="13"/>
        <v>0</v>
      </c>
      <c r="CT15" s="271">
        <f t="shared" ca="1" si="13"/>
        <v>0</v>
      </c>
      <c r="CU15" s="271">
        <f t="shared" ca="1" si="13"/>
        <v>0</v>
      </c>
      <c r="CV15" s="271">
        <f t="shared" ca="1" si="13"/>
        <v>0</v>
      </c>
      <c r="CW15" s="271">
        <f t="shared" ca="1" si="13"/>
        <v>0</v>
      </c>
      <c r="CX15" s="271">
        <f t="shared" ca="1" si="13"/>
        <v>0</v>
      </c>
      <c r="CY15" s="271">
        <f t="shared" ca="1" si="13"/>
        <v>0</v>
      </c>
      <c r="CZ15" s="271">
        <f t="shared" ca="1" si="13"/>
        <v>0</v>
      </c>
    </row>
    <row r="16" spans="2:104" x14ac:dyDescent="0.2">
      <c r="B16" s="357" t="s">
        <v>55</v>
      </c>
      <c r="C16" s="29">
        <f>'9. Development Costs'!$I$9</f>
        <v>170</v>
      </c>
      <c r="D16" s="118">
        <f ca="1">ROUND(C16-E16,0)</f>
        <v>0</v>
      </c>
      <c r="E16" s="32">
        <f ca="1">MAX(I16:CZ16)</f>
        <v>170</v>
      </c>
      <c r="F16" s="32"/>
      <c r="H16" s="123"/>
      <c r="I16" s="120">
        <f>I15</f>
        <v>0</v>
      </c>
      <c r="J16" s="38">
        <f ca="1">I16+J15</f>
        <v>0</v>
      </c>
      <c r="K16" s="38">
        <f t="shared" ref="K16:BV16" ca="1" si="14">J16+K15</f>
        <v>0</v>
      </c>
      <c r="L16" s="32">
        <f t="shared" ca="1" si="14"/>
        <v>0</v>
      </c>
      <c r="M16" s="32">
        <f t="shared" ca="1" si="14"/>
        <v>0</v>
      </c>
      <c r="N16" s="32">
        <f t="shared" ca="1" si="14"/>
        <v>0</v>
      </c>
      <c r="O16" s="32">
        <f t="shared" ca="1" si="14"/>
        <v>0</v>
      </c>
      <c r="P16" s="32">
        <f t="shared" ca="1" si="14"/>
        <v>0</v>
      </c>
      <c r="Q16" s="32">
        <f t="shared" ca="1" si="14"/>
        <v>0</v>
      </c>
      <c r="R16" s="38">
        <f t="shared" ca="1" si="14"/>
        <v>0</v>
      </c>
      <c r="S16" s="38">
        <f t="shared" ca="1" si="14"/>
        <v>0</v>
      </c>
      <c r="T16" s="38">
        <f t="shared" ca="1" si="14"/>
        <v>0</v>
      </c>
      <c r="U16" s="38">
        <f t="shared" ca="1" si="14"/>
        <v>0</v>
      </c>
      <c r="V16" s="38">
        <f t="shared" ca="1" si="14"/>
        <v>0</v>
      </c>
      <c r="W16" s="38">
        <f t="shared" ca="1" si="14"/>
        <v>0</v>
      </c>
      <c r="X16" s="38">
        <f t="shared" ca="1" si="14"/>
        <v>0</v>
      </c>
      <c r="Y16" s="38">
        <f t="shared" ca="1" si="14"/>
        <v>0</v>
      </c>
      <c r="Z16" s="38">
        <f t="shared" ca="1" si="14"/>
        <v>0</v>
      </c>
      <c r="AA16" s="38">
        <f t="shared" ca="1" si="14"/>
        <v>0</v>
      </c>
      <c r="AB16" s="38">
        <f t="shared" ca="1" si="14"/>
        <v>0</v>
      </c>
      <c r="AC16" s="38">
        <f t="shared" ca="1" si="14"/>
        <v>0</v>
      </c>
      <c r="AD16" s="38">
        <f t="shared" ca="1" si="14"/>
        <v>0</v>
      </c>
      <c r="AE16" s="38">
        <f t="shared" ca="1" si="14"/>
        <v>0</v>
      </c>
      <c r="AF16" s="38">
        <f t="shared" ca="1" si="14"/>
        <v>0</v>
      </c>
      <c r="AG16" s="38">
        <f t="shared" ca="1" si="14"/>
        <v>0</v>
      </c>
      <c r="AH16" s="38">
        <f t="shared" ca="1" si="14"/>
        <v>0</v>
      </c>
      <c r="AI16" s="38">
        <f t="shared" ca="1" si="14"/>
        <v>0</v>
      </c>
      <c r="AJ16" s="38">
        <f t="shared" ca="1" si="14"/>
        <v>0</v>
      </c>
      <c r="AK16" s="38">
        <f t="shared" ca="1" si="14"/>
        <v>0</v>
      </c>
      <c r="AL16" s="38">
        <f t="shared" ca="1" si="14"/>
        <v>0</v>
      </c>
      <c r="AM16" s="38">
        <f t="shared" ca="1" si="14"/>
        <v>0</v>
      </c>
      <c r="AN16" s="38">
        <f t="shared" ca="1" si="14"/>
        <v>0</v>
      </c>
      <c r="AO16" s="38">
        <f t="shared" ca="1" si="14"/>
        <v>42.5</v>
      </c>
      <c r="AP16" s="38">
        <f t="shared" ca="1" si="14"/>
        <v>56.666666666666664</v>
      </c>
      <c r="AQ16" s="38">
        <f t="shared" ca="1" si="14"/>
        <v>70.833333333333329</v>
      </c>
      <c r="AR16" s="38">
        <f t="shared" ca="1" si="14"/>
        <v>85</v>
      </c>
      <c r="AS16" s="38">
        <f t="shared" ca="1" si="14"/>
        <v>99.166666666666671</v>
      </c>
      <c r="AT16" s="38">
        <f t="shared" ca="1" si="14"/>
        <v>113.33333333333334</v>
      </c>
      <c r="AU16" s="38">
        <f t="shared" ca="1" si="14"/>
        <v>127.50000000000001</v>
      </c>
      <c r="AV16" s="38">
        <f t="shared" ca="1" si="14"/>
        <v>141.66666666666669</v>
      </c>
      <c r="AW16" s="38">
        <f t="shared" ca="1" si="14"/>
        <v>155.83333333333334</v>
      </c>
      <c r="AX16" s="38">
        <f t="shared" ca="1" si="14"/>
        <v>170</v>
      </c>
      <c r="AY16" s="38">
        <f t="shared" ca="1" si="14"/>
        <v>170</v>
      </c>
      <c r="AZ16" s="38">
        <f t="shared" ca="1" si="14"/>
        <v>170</v>
      </c>
      <c r="BA16" s="38">
        <f t="shared" ca="1" si="14"/>
        <v>170</v>
      </c>
      <c r="BB16" s="38">
        <f t="shared" ca="1" si="14"/>
        <v>170</v>
      </c>
      <c r="BC16" s="38">
        <f t="shared" ca="1" si="14"/>
        <v>170</v>
      </c>
      <c r="BD16" s="38">
        <f t="shared" ca="1" si="14"/>
        <v>170</v>
      </c>
      <c r="BE16" s="38">
        <f t="shared" ca="1" si="14"/>
        <v>170</v>
      </c>
      <c r="BF16" s="38">
        <f t="shared" ca="1" si="14"/>
        <v>170</v>
      </c>
      <c r="BG16" s="365">
        <f t="shared" ca="1" si="14"/>
        <v>170</v>
      </c>
      <c r="BH16" s="38">
        <f t="shared" ca="1" si="14"/>
        <v>170</v>
      </c>
      <c r="BI16" s="38">
        <f t="shared" ca="1" si="14"/>
        <v>170</v>
      </c>
      <c r="BJ16" s="38">
        <f t="shared" ca="1" si="14"/>
        <v>170</v>
      </c>
      <c r="BK16" s="38">
        <f t="shared" ca="1" si="14"/>
        <v>170</v>
      </c>
      <c r="BL16" s="38">
        <f t="shared" ca="1" si="14"/>
        <v>170</v>
      </c>
      <c r="BM16" s="38">
        <f t="shared" ca="1" si="14"/>
        <v>170</v>
      </c>
      <c r="BN16" s="38">
        <f t="shared" ca="1" si="14"/>
        <v>170</v>
      </c>
      <c r="BO16" s="38">
        <f t="shared" ca="1" si="14"/>
        <v>170</v>
      </c>
      <c r="BP16" s="38">
        <f t="shared" ca="1" si="14"/>
        <v>170</v>
      </c>
      <c r="BQ16" s="38">
        <f t="shared" ca="1" si="14"/>
        <v>170</v>
      </c>
      <c r="BR16" s="38">
        <f t="shared" ca="1" si="14"/>
        <v>170</v>
      </c>
      <c r="BS16" s="38">
        <f t="shared" ca="1" si="14"/>
        <v>170</v>
      </c>
      <c r="BT16" s="38">
        <f t="shared" ca="1" si="14"/>
        <v>170</v>
      </c>
      <c r="BU16" s="38">
        <f t="shared" ca="1" si="14"/>
        <v>170</v>
      </c>
      <c r="BV16" s="38">
        <f t="shared" ca="1" si="14"/>
        <v>170</v>
      </c>
      <c r="BW16" s="38">
        <f t="shared" ref="BW16:CZ16" ca="1" si="15">BV16+BW15</f>
        <v>170</v>
      </c>
      <c r="BX16" s="38">
        <f t="shared" ca="1" si="15"/>
        <v>170</v>
      </c>
      <c r="BY16" s="38">
        <f t="shared" ca="1" si="15"/>
        <v>170</v>
      </c>
      <c r="BZ16" s="38">
        <f t="shared" ca="1" si="15"/>
        <v>170</v>
      </c>
      <c r="CA16" s="38">
        <f t="shared" ca="1" si="15"/>
        <v>170</v>
      </c>
      <c r="CB16" s="38">
        <f t="shared" ca="1" si="15"/>
        <v>170</v>
      </c>
      <c r="CC16" s="38">
        <f t="shared" ca="1" si="15"/>
        <v>170</v>
      </c>
      <c r="CD16" s="38">
        <f t="shared" ca="1" si="15"/>
        <v>170</v>
      </c>
      <c r="CE16" s="38">
        <f t="shared" ca="1" si="15"/>
        <v>170</v>
      </c>
      <c r="CF16" s="38">
        <f t="shared" ca="1" si="15"/>
        <v>170</v>
      </c>
      <c r="CG16" s="38">
        <f t="shared" ca="1" si="15"/>
        <v>170</v>
      </c>
      <c r="CH16" s="38">
        <f t="shared" ca="1" si="15"/>
        <v>170</v>
      </c>
      <c r="CI16" s="38">
        <f t="shared" ca="1" si="15"/>
        <v>170</v>
      </c>
      <c r="CJ16" s="38">
        <f t="shared" ca="1" si="15"/>
        <v>170</v>
      </c>
      <c r="CK16" s="38">
        <f t="shared" ca="1" si="15"/>
        <v>170</v>
      </c>
      <c r="CL16" s="38">
        <f t="shared" ca="1" si="15"/>
        <v>170</v>
      </c>
      <c r="CM16" s="38">
        <f t="shared" ca="1" si="15"/>
        <v>170</v>
      </c>
      <c r="CN16" s="38">
        <f t="shared" ca="1" si="15"/>
        <v>170</v>
      </c>
      <c r="CO16" s="38">
        <f t="shared" ca="1" si="15"/>
        <v>170</v>
      </c>
      <c r="CP16" s="38">
        <f t="shared" ca="1" si="15"/>
        <v>170</v>
      </c>
      <c r="CQ16" s="38">
        <f t="shared" ca="1" si="15"/>
        <v>170</v>
      </c>
      <c r="CR16" s="38">
        <f t="shared" ca="1" si="15"/>
        <v>170</v>
      </c>
      <c r="CS16" s="38">
        <f t="shared" ca="1" si="15"/>
        <v>170</v>
      </c>
      <c r="CT16" s="38">
        <f t="shared" ca="1" si="15"/>
        <v>170</v>
      </c>
      <c r="CU16" s="38">
        <f t="shared" ca="1" si="15"/>
        <v>170</v>
      </c>
      <c r="CV16" s="38">
        <f t="shared" ca="1" si="15"/>
        <v>170</v>
      </c>
      <c r="CW16" s="38">
        <f t="shared" ca="1" si="15"/>
        <v>170</v>
      </c>
      <c r="CX16" s="38">
        <f t="shared" ca="1" si="15"/>
        <v>170</v>
      </c>
      <c r="CY16" s="38">
        <f t="shared" ca="1" si="15"/>
        <v>170</v>
      </c>
      <c r="CZ16" s="38">
        <f t="shared" ca="1" si="15"/>
        <v>170</v>
      </c>
    </row>
    <row r="17" spans="2:104" x14ac:dyDescent="0.2">
      <c r="B17" s="119" t="s">
        <v>56</v>
      </c>
      <c r="E17" s="138">
        <f ca="1">MAX(I17:CZ17)</f>
        <v>1</v>
      </c>
      <c r="F17" s="32"/>
      <c r="H17" s="123"/>
      <c r="I17" s="138">
        <f>I16/'9. Development Costs'!$I$9</f>
        <v>0</v>
      </c>
      <c r="J17" s="138">
        <f ca="1">J16/'9. Development Costs'!$I$9</f>
        <v>0</v>
      </c>
      <c r="K17" s="138">
        <f ca="1">K16/'9. Development Costs'!$I$9</f>
        <v>0</v>
      </c>
      <c r="L17" s="138">
        <f ca="1">L16/'9. Development Costs'!$I$9</f>
        <v>0</v>
      </c>
      <c r="M17" s="138">
        <f ca="1">M16/'9. Development Costs'!$I$9</f>
        <v>0</v>
      </c>
      <c r="N17" s="138">
        <f ca="1">N16/'9. Development Costs'!$I$9</f>
        <v>0</v>
      </c>
      <c r="O17" s="138">
        <f ca="1">O16/'9. Development Costs'!$I$9</f>
        <v>0</v>
      </c>
      <c r="P17" s="138">
        <f ca="1">P16/'9. Development Costs'!$I$9</f>
        <v>0</v>
      </c>
      <c r="Q17" s="138">
        <f ca="1">Q16/'9. Development Costs'!$I$9</f>
        <v>0</v>
      </c>
      <c r="R17" s="138">
        <f ca="1">R16/'9. Development Costs'!$I$9</f>
        <v>0</v>
      </c>
      <c r="S17" s="138">
        <f ca="1">S16/'9. Development Costs'!$I$9</f>
        <v>0</v>
      </c>
      <c r="T17" s="138">
        <f ca="1">T16/'9. Development Costs'!$I$9</f>
        <v>0</v>
      </c>
      <c r="U17" s="138">
        <f ca="1">U16/'9. Development Costs'!$I$9</f>
        <v>0</v>
      </c>
      <c r="V17" s="138">
        <f ca="1">V16/'9. Development Costs'!$I$9</f>
        <v>0</v>
      </c>
      <c r="W17" s="138">
        <f ca="1">W16/'9. Development Costs'!$I$9</f>
        <v>0</v>
      </c>
      <c r="X17" s="138">
        <f ca="1">X16/'9. Development Costs'!$I$9</f>
        <v>0</v>
      </c>
      <c r="Y17" s="138">
        <f ca="1">Y16/'9. Development Costs'!$I$9</f>
        <v>0</v>
      </c>
      <c r="Z17" s="138">
        <f ca="1">Z16/'9. Development Costs'!$I$9</f>
        <v>0</v>
      </c>
      <c r="AA17" s="138">
        <f ca="1">AA16/'9. Development Costs'!$I$9</f>
        <v>0</v>
      </c>
      <c r="AB17" s="138">
        <f ca="1">AB16/'9. Development Costs'!$I$9</f>
        <v>0</v>
      </c>
      <c r="AC17" s="138">
        <f ca="1">AC16/'9. Development Costs'!$I$9</f>
        <v>0</v>
      </c>
      <c r="AD17" s="138">
        <f ca="1">AD16/'9. Development Costs'!$I$9</f>
        <v>0</v>
      </c>
      <c r="AE17" s="138">
        <f ca="1">AE16/'9. Development Costs'!$I$9</f>
        <v>0</v>
      </c>
      <c r="AF17" s="138">
        <f ca="1">AF16/'9. Development Costs'!$I$9</f>
        <v>0</v>
      </c>
      <c r="AG17" s="138">
        <f ca="1">AG16/'9. Development Costs'!$I$9</f>
        <v>0</v>
      </c>
      <c r="AH17" s="138">
        <f ca="1">AH16/'9. Development Costs'!$I$9</f>
        <v>0</v>
      </c>
      <c r="AI17" s="138">
        <f ca="1">AI16/'9. Development Costs'!$I$9</f>
        <v>0</v>
      </c>
      <c r="AJ17" s="138">
        <f ca="1">AJ16/'9. Development Costs'!$I$9</f>
        <v>0</v>
      </c>
      <c r="AK17" s="138">
        <f ca="1">AK16/'9. Development Costs'!$I$9</f>
        <v>0</v>
      </c>
      <c r="AL17" s="138">
        <f ca="1">AL16/'9. Development Costs'!$I$9</f>
        <v>0</v>
      </c>
      <c r="AM17" s="138">
        <f ca="1">AM16/'9. Development Costs'!$I$9</f>
        <v>0</v>
      </c>
      <c r="AN17" s="138">
        <f ca="1">AN16/'9. Development Costs'!$I$9</f>
        <v>0</v>
      </c>
      <c r="AO17" s="138">
        <f ca="1">AO16/'9. Development Costs'!$I$9</f>
        <v>0.25</v>
      </c>
      <c r="AP17" s="138">
        <f ca="1">AP16/'9. Development Costs'!$I$9</f>
        <v>0.33333333333333331</v>
      </c>
      <c r="AQ17" s="138">
        <f ca="1">AQ16/'9. Development Costs'!$I$9</f>
        <v>0.41666666666666663</v>
      </c>
      <c r="AR17" s="138">
        <f ca="1">AR16/'9. Development Costs'!$I$9</f>
        <v>0.5</v>
      </c>
      <c r="AS17" s="138">
        <f ca="1">AS16/'9. Development Costs'!$I$9</f>
        <v>0.58333333333333337</v>
      </c>
      <c r="AT17" s="138">
        <f ca="1">AT16/'9. Development Costs'!$I$9</f>
        <v>0.66666666666666674</v>
      </c>
      <c r="AU17" s="138">
        <f ca="1">AU16/'9. Development Costs'!$I$9</f>
        <v>0.75000000000000011</v>
      </c>
      <c r="AV17" s="138">
        <f ca="1">AV16/'9. Development Costs'!$I$9</f>
        <v>0.83333333333333348</v>
      </c>
      <c r="AW17" s="138">
        <f ca="1">AW16/'9. Development Costs'!$I$9</f>
        <v>0.91666666666666674</v>
      </c>
      <c r="AX17" s="138">
        <f ca="1">AX16/'9. Development Costs'!$I$9</f>
        <v>1</v>
      </c>
      <c r="AY17" s="138">
        <f ca="1">AY16/'9. Development Costs'!$I$9</f>
        <v>1</v>
      </c>
      <c r="AZ17" s="138">
        <f ca="1">AZ16/'9. Development Costs'!$I$9</f>
        <v>1</v>
      </c>
      <c r="BA17" s="138">
        <f ca="1">BA16/'9. Development Costs'!$I$9</f>
        <v>1</v>
      </c>
      <c r="BB17" s="138">
        <f ca="1">BB16/'9. Development Costs'!$I$9</f>
        <v>1</v>
      </c>
      <c r="BC17" s="138">
        <f ca="1">BC16/'9. Development Costs'!$I$9</f>
        <v>1</v>
      </c>
      <c r="BD17" s="138">
        <f ca="1">BD16/'9. Development Costs'!$I$9</f>
        <v>1</v>
      </c>
      <c r="BE17" s="138">
        <f ca="1">BE16/'9. Development Costs'!$I$9</f>
        <v>1</v>
      </c>
      <c r="BF17" s="138">
        <f ca="1">BF16/'9. Development Costs'!$I$9</f>
        <v>1</v>
      </c>
      <c r="BG17" s="138">
        <f ca="1">BG16/'9. Development Costs'!$I$9</f>
        <v>1</v>
      </c>
      <c r="BH17" s="138">
        <f ca="1">BH16/'9. Development Costs'!$I$9</f>
        <v>1</v>
      </c>
      <c r="BI17" s="138">
        <f ca="1">BI16/'9. Development Costs'!$I$9</f>
        <v>1</v>
      </c>
      <c r="BJ17" s="138">
        <f ca="1">BJ16/'9. Development Costs'!$I$9</f>
        <v>1</v>
      </c>
      <c r="BK17" s="138">
        <f ca="1">BK16/'9. Development Costs'!$I$9</f>
        <v>1</v>
      </c>
      <c r="BL17" s="138">
        <f ca="1">BL16/'9. Development Costs'!$I$9</f>
        <v>1</v>
      </c>
      <c r="BM17" s="138">
        <f ca="1">BM16/'9. Development Costs'!$I$9</f>
        <v>1</v>
      </c>
      <c r="BN17" s="138">
        <f ca="1">BN16/'9. Development Costs'!$I$9</f>
        <v>1</v>
      </c>
      <c r="BO17" s="138">
        <f ca="1">BO16/'9. Development Costs'!$I$9</f>
        <v>1</v>
      </c>
      <c r="BP17" s="138">
        <f ca="1">BP16/'9. Development Costs'!$I$9</f>
        <v>1</v>
      </c>
      <c r="BQ17" s="138">
        <f ca="1">BQ16/'9. Development Costs'!$I$9</f>
        <v>1</v>
      </c>
      <c r="BR17" s="138">
        <f ca="1">BR16/'9. Development Costs'!$I$9</f>
        <v>1</v>
      </c>
      <c r="BS17" s="138">
        <f ca="1">BS16/'9. Development Costs'!$I$9</f>
        <v>1</v>
      </c>
      <c r="BT17" s="138">
        <f ca="1">BT16/'9. Development Costs'!$I$9</f>
        <v>1</v>
      </c>
      <c r="BU17" s="138">
        <f ca="1">BU16/'9. Development Costs'!$I$9</f>
        <v>1</v>
      </c>
      <c r="BV17" s="138">
        <f ca="1">BV16/'9. Development Costs'!$I$9</f>
        <v>1</v>
      </c>
      <c r="BW17" s="138">
        <f ca="1">BW16/'9. Development Costs'!$I$9</f>
        <v>1</v>
      </c>
      <c r="BX17" s="138">
        <f ca="1">BX16/'9. Development Costs'!$I$9</f>
        <v>1</v>
      </c>
      <c r="BY17" s="138">
        <f ca="1">BY16/'9. Development Costs'!$I$9</f>
        <v>1</v>
      </c>
      <c r="BZ17" s="138">
        <f ca="1">BZ16/'9. Development Costs'!$I$9</f>
        <v>1</v>
      </c>
      <c r="CA17" s="138">
        <f ca="1">CA16/'9. Development Costs'!$I$9</f>
        <v>1</v>
      </c>
      <c r="CB17" s="138">
        <f ca="1">CB16/'9. Development Costs'!$I$9</f>
        <v>1</v>
      </c>
      <c r="CC17" s="138">
        <f ca="1">CC16/'9. Development Costs'!$I$9</f>
        <v>1</v>
      </c>
      <c r="CD17" s="138">
        <f ca="1">CD16/'9. Development Costs'!$I$9</f>
        <v>1</v>
      </c>
      <c r="CE17" s="138">
        <f ca="1">CE16/'9. Development Costs'!$I$9</f>
        <v>1</v>
      </c>
      <c r="CF17" s="138">
        <f ca="1">CF16/'9. Development Costs'!$I$9</f>
        <v>1</v>
      </c>
      <c r="CG17" s="138">
        <f ca="1">CG16/'9. Development Costs'!$I$9</f>
        <v>1</v>
      </c>
      <c r="CH17" s="138">
        <f ca="1">CH16/'9. Development Costs'!$I$9</f>
        <v>1</v>
      </c>
      <c r="CI17" s="138">
        <f ca="1">CI16/'9. Development Costs'!$I$9</f>
        <v>1</v>
      </c>
      <c r="CJ17" s="138">
        <f ca="1">CJ16/'9. Development Costs'!$I$9</f>
        <v>1</v>
      </c>
      <c r="CK17" s="138">
        <f ca="1">CK16/'9. Development Costs'!$I$9</f>
        <v>1</v>
      </c>
      <c r="CL17" s="138">
        <f ca="1">CL16/'9. Development Costs'!$I$9</f>
        <v>1</v>
      </c>
      <c r="CM17" s="138">
        <f ca="1">CM16/'9. Development Costs'!$I$9</f>
        <v>1</v>
      </c>
      <c r="CN17" s="138">
        <f ca="1">CN16/'9. Development Costs'!$I$9</f>
        <v>1</v>
      </c>
      <c r="CO17" s="138">
        <f ca="1">CO16/'9. Development Costs'!$I$9</f>
        <v>1</v>
      </c>
      <c r="CP17" s="138">
        <f ca="1">CP16/'9. Development Costs'!$I$9</f>
        <v>1</v>
      </c>
      <c r="CQ17" s="138">
        <f ca="1">CQ16/'9. Development Costs'!$I$9</f>
        <v>1</v>
      </c>
      <c r="CR17" s="138">
        <f ca="1">CR16/'9. Development Costs'!$I$9</f>
        <v>1</v>
      </c>
      <c r="CS17" s="138">
        <f ca="1">CS16/'9. Development Costs'!$I$9</f>
        <v>1</v>
      </c>
      <c r="CT17" s="138">
        <f ca="1">CT16/'9. Development Costs'!$I$9</f>
        <v>1</v>
      </c>
      <c r="CU17" s="138">
        <f ca="1">CU16/'9. Development Costs'!$I$9</f>
        <v>1</v>
      </c>
      <c r="CV17" s="138">
        <f ca="1">CV16/'9. Development Costs'!$I$9</f>
        <v>1</v>
      </c>
      <c r="CW17" s="138">
        <f ca="1">CW16/'9. Development Costs'!$I$9</f>
        <v>1</v>
      </c>
      <c r="CX17" s="138">
        <f ca="1">CX16/'9. Development Costs'!$I$9</f>
        <v>1</v>
      </c>
      <c r="CY17" s="138">
        <f ca="1">CY16/'9. Development Costs'!$I$9</f>
        <v>1</v>
      </c>
      <c r="CZ17" s="138">
        <f ca="1">CZ16/'9. Development Costs'!$I$9</f>
        <v>1</v>
      </c>
    </row>
    <row r="18" spans="2:104" x14ac:dyDescent="0.2">
      <c r="B18" s="123"/>
      <c r="E18" s="32"/>
      <c r="F18" s="32"/>
      <c r="H18" s="123"/>
    </row>
    <row r="19" spans="2:104" x14ac:dyDescent="0.2">
      <c r="B19" s="126" t="s">
        <v>159</v>
      </c>
      <c r="C19" s="33"/>
      <c r="D19" s="33"/>
      <c r="E19" s="33"/>
      <c r="F19" s="33"/>
      <c r="G19" s="108"/>
      <c r="H19" s="126"/>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row>
    <row r="20" spans="2:104" s="40" customFormat="1" x14ac:dyDescent="0.2">
      <c r="B20" s="149" t="s">
        <v>192</v>
      </c>
      <c r="C20" s="150"/>
      <c r="D20" s="150"/>
      <c r="E20" s="150"/>
      <c r="F20" s="150"/>
      <c r="G20" s="151"/>
      <c r="H20" s="152"/>
      <c r="I20" s="153">
        <f ca="1">(1+'11. 10-Yr Cash Flow IRR'!$E$9)^(YEAR(I7)-YEAR('8. Schedule'!$D$8))</f>
        <v>1</v>
      </c>
      <c r="J20" s="153">
        <f ca="1">(1+'11. 10-Yr Cash Flow IRR'!$E$9)^(YEAR(J7)-YEAR('8. Schedule'!$D$8))</f>
        <v>1</v>
      </c>
      <c r="K20" s="153">
        <f ca="1">(1+'11. 10-Yr Cash Flow IRR'!$E$9)^(YEAR(K7)-YEAR('8. Schedule'!$D$8))</f>
        <v>1</v>
      </c>
      <c r="L20" s="153">
        <f ca="1">(1+'11. 10-Yr Cash Flow IRR'!$E$9)^(YEAR(L7)-YEAR('8. Schedule'!$D$8))</f>
        <v>1</v>
      </c>
      <c r="M20" s="153">
        <f ca="1">(1+'11. 10-Yr Cash Flow IRR'!$E$9)^(YEAR(M7)-YEAR('8. Schedule'!$D$8))</f>
        <v>1</v>
      </c>
      <c r="N20" s="153">
        <f ca="1">(1+'11. 10-Yr Cash Flow IRR'!$E$9)^(YEAR(N7)-YEAR('8. Schedule'!$D$8))</f>
        <v>1</v>
      </c>
      <c r="O20" s="153">
        <f ca="1">(1+'11. 10-Yr Cash Flow IRR'!$E$9)^(YEAR(O7)-YEAR('8. Schedule'!$D$8))</f>
        <v>1</v>
      </c>
      <c r="P20" s="153">
        <f ca="1">(1+'11. 10-Yr Cash Flow IRR'!$E$9)^(YEAR(P7)-YEAR('8. Schedule'!$D$8))</f>
        <v>1</v>
      </c>
      <c r="Q20" s="153">
        <f ca="1">(1+'11. 10-Yr Cash Flow IRR'!$E$9)^(YEAR(Q7)-YEAR('8. Schedule'!$D$8))</f>
        <v>1</v>
      </c>
      <c r="R20" s="153">
        <f ca="1">(1+'11. 10-Yr Cash Flow IRR'!$E$9)^(YEAR(R7)-YEAR('8. Schedule'!$D$8))</f>
        <v>1</v>
      </c>
      <c r="S20" s="153">
        <f ca="1">(1+'11. 10-Yr Cash Flow IRR'!$E$9)^(YEAR(S7)-YEAR('8. Schedule'!$D$8))</f>
        <v>1</v>
      </c>
      <c r="T20" s="153">
        <f ca="1">(1+'11. 10-Yr Cash Flow IRR'!$E$9)^(YEAR(T7)-YEAR('8. Schedule'!$D$8))</f>
        <v>1.02</v>
      </c>
      <c r="U20" s="153">
        <f ca="1">(1+'11. 10-Yr Cash Flow IRR'!$E$9)^(YEAR(U7)-YEAR('8. Schedule'!$D$8))</f>
        <v>1.02</v>
      </c>
      <c r="V20" s="153">
        <f ca="1">(1+'11. 10-Yr Cash Flow IRR'!$E$9)^(YEAR(V7)-YEAR('8. Schedule'!$D$8))</f>
        <v>1.02</v>
      </c>
      <c r="W20" s="153">
        <f ca="1">(1+'11. 10-Yr Cash Flow IRR'!$E$9)^(YEAR(W7)-YEAR('8. Schedule'!$D$8))</f>
        <v>1.02</v>
      </c>
      <c r="X20" s="153">
        <f ca="1">(1+'11. 10-Yr Cash Flow IRR'!$E$9)^(YEAR(X7)-YEAR('8. Schedule'!$D$8))</f>
        <v>1.02</v>
      </c>
      <c r="Y20" s="153">
        <f ca="1">(1+'11. 10-Yr Cash Flow IRR'!$E$9)^(YEAR(Y7)-YEAR('8. Schedule'!$D$8))</f>
        <v>1.02</v>
      </c>
      <c r="Z20" s="153">
        <f ca="1">(1+'11. 10-Yr Cash Flow IRR'!$E$9)^(YEAR(Z7)-YEAR('8. Schedule'!$D$8))</f>
        <v>1.02</v>
      </c>
      <c r="AA20" s="153">
        <f ca="1">(1+'11. 10-Yr Cash Flow IRR'!$E$9)^(YEAR(AA7)-YEAR('8. Schedule'!$D$8))</f>
        <v>1.02</v>
      </c>
      <c r="AB20" s="153">
        <f ca="1">(1+'11. 10-Yr Cash Flow IRR'!$E$9)^(YEAR(AB7)-YEAR('8. Schedule'!$D$8))</f>
        <v>1.02</v>
      </c>
      <c r="AC20" s="153">
        <f ca="1">(1+'11. 10-Yr Cash Flow IRR'!$E$9)^(YEAR(AC7)-YEAR('8. Schedule'!$D$8))</f>
        <v>1.02</v>
      </c>
      <c r="AD20" s="153">
        <f ca="1">(1+'11. 10-Yr Cash Flow IRR'!$E$9)^(YEAR(AD7)-YEAR('8. Schedule'!$D$8))</f>
        <v>1.02</v>
      </c>
      <c r="AE20" s="153">
        <f ca="1">(1+'11. 10-Yr Cash Flow IRR'!$E$9)^(YEAR(AE7)-YEAR('8. Schedule'!$D$8))</f>
        <v>1.02</v>
      </c>
      <c r="AF20" s="153">
        <f ca="1">(1+'11. 10-Yr Cash Flow IRR'!$E$9)^(YEAR(AF7)-YEAR('8. Schedule'!$D$8))</f>
        <v>1.0404</v>
      </c>
      <c r="AG20" s="153">
        <f ca="1">(1+'11. 10-Yr Cash Flow IRR'!$E$9)^(YEAR(AG7)-YEAR('8. Schedule'!$D$8))</f>
        <v>1.0404</v>
      </c>
      <c r="AH20" s="153">
        <f ca="1">(1+'11. 10-Yr Cash Flow IRR'!$E$9)^(YEAR(AH7)-YEAR('8. Schedule'!$D$8))</f>
        <v>1.0404</v>
      </c>
      <c r="AI20" s="153">
        <f ca="1">(1+'11. 10-Yr Cash Flow IRR'!$E$9)^(YEAR(AI7)-YEAR('8. Schedule'!$D$8))</f>
        <v>1.0404</v>
      </c>
      <c r="AJ20" s="153">
        <f ca="1">(1+'11. 10-Yr Cash Flow IRR'!$E$9)^(YEAR(AJ7)-YEAR('8. Schedule'!$D$8))</f>
        <v>1.0404</v>
      </c>
      <c r="AK20" s="153">
        <f ca="1">(1+'11. 10-Yr Cash Flow IRR'!$E$9)^(YEAR(AK7)-YEAR('8. Schedule'!$D$8))</f>
        <v>1.0404</v>
      </c>
      <c r="AL20" s="153">
        <f ca="1">(1+'11. 10-Yr Cash Flow IRR'!$E$9)^(YEAR(AL7)-YEAR('8. Schedule'!$D$8))</f>
        <v>1.0404</v>
      </c>
      <c r="AM20" s="153">
        <f ca="1">(1+'11. 10-Yr Cash Flow IRR'!$E$9)^(YEAR(AM7)-YEAR('8. Schedule'!$D$8))</f>
        <v>1.0404</v>
      </c>
      <c r="AN20" s="153">
        <f ca="1">(1+'11. 10-Yr Cash Flow IRR'!$E$9)^(YEAR(AN7)-YEAR('8. Schedule'!$D$8))</f>
        <v>1.0404</v>
      </c>
      <c r="AO20" s="153">
        <f ca="1">(1+'11. 10-Yr Cash Flow IRR'!$E$9)^(YEAR(AO7)-YEAR('8. Schedule'!$D$8))</f>
        <v>1.0404</v>
      </c>
      <c r="AP20" s="153">
        <f ca="1">(1+'11. 10-Yr Cash Flow IRR'!$E$9)^(YEAR(AP7)-YEAR('8. Schedule'!$D$8))</f>
        <v>1.0404</v>
      </c>
      <c r="AQ20" s="153">
        <f ca="1">(1+'11. 10-Yr Cash Flow IRR'!$E$9)^(YEAR(AQ7)-YEAR('8. Schedule'!$D$8))</f>
        <v>1.0404</v>
      </c>
      <c r="AR20" s="153">
        <f ca="1">(1+'11. 10-Yr Cash Flow IRR'!$E$9)^(YEAR(AR7)-YEAR('8. Schedule'!$D$8))</f>
        <v>1.0612079999999999</v>
      </c>
      <c r="AS20" s="153">
        <f ca="1">(1+'11. 10-Yr Cash Flow IRR'!$E$9)^(YEAR(AS7)-YEAR('8. Schedule'!$D$8))</f>
        <v>1.0612079999999999</v>
      </c>
      <c r="AT20" s="153">
        <f ca="1">(1+'11. 10-Yr Cash Flow IRR'!$E$9)^(YEAR(AT7)-YEAR('8. Schedule'!$D$8))</f>
        <v>1.0612079999999999</v>
      </c>
      <c r="AU20" s="153">
        <f ca="1">(1+'11. 10-Yr Cash Flow IRR'!$E$9)^(YEAR(AU7)-YEAR('8. Schedule'!$D$8))</f>
        <v>1.0612079999999999</v>
      </c>
      <c r="AV20" s="153">
        <f ca="1">(1+'11. 10-Yr Cash Flow IRR'!$E$9)^(YEAR(AV7)-YEAR('8. Schedule'!$D$8))</f>
        <v>1.0612079999999999</v>
      </c>
      <c r="AW20" s="153">
        <f ca="1">(1+'11. 10-Yr Cash Flow IRR'!$E$9)^(YEAR(AW7)-YEAR('8. Schedule'!$D$8))</f>
        <v>1.0612079999999999</v>
      </c>
      <c r="AX20" s="153">
        <f ca="1">(1+'11. 10-Yr Cash Flow IRR'!$E$9)^(YEAR(AX7)-YEAR('8. Schedule'!$D$8))</f>
        <v>1.0612079999999999</v>
      </c>
      <c r="AY20" s="153">
        <f ca="1">(1+'11. 10-Yr Cash Flow IRR'!$E$9)^(YEAR(AY7)-YEAR('8. Schedule'!$D$8))</f>
        <v>1.0612079999999999</v>
      </c>
      <c r="AZ20" s="153">
        <f ca="1">(1+'11. 10-Yr Cash Flow IRR'!$E$9)^(YEAR(AZ7)-YEAR('8. Schedule'!$D$8))</f>
        <v>1.0612079999999999</v>
      </c>
      <c r="BA20" s="153">
        <f ca="1">(1+'11. 10-Yr Cash Flow IRR'!$E$9)^(YEAR(BA7)-YEAR('8. Schedule'!$D$8))</f>
        <v>1.0612079999999999</v>
      </c>
      <c r="BB20" s="153">
        <f ca="1">(1+'11. 10-Yr Cash Flow IRR'!$E$9)^(YEAR(BB7)-YEAR('8. Schedule'!$D$8))</f>
        <v>1.0612079999999999</v>
      </c>
      <c r="BC20" s="153">
        <f ca="1">(1+'11. 10-Yr Cash Flow IRR'!$E$9)^(YEAR(BC7)-YEAR('8. Schedule'!$D$8))</f>
        <v>1.0612079999999999</v>
      </c>
      <c r="BD20" s="153">
        <f ca="1">(1+'11. 10-Yr Cash Flow IRR'!$E$9)^(YEAR(BD7)-YEAR('8. Schedule'!$D$8))</f>
        <v>1.08243216</v>
      </c>
      <c r="BE20" s="153">
        <f ca="1">(1+'11. 10-Yr Cash Flow IRR'!$E$9)^(YEAR(BE7)-YEAR('8. Schedule'!$D$8))</f>
        <v>1.08243216</v>
      </c>
      <c r="BF20" s="153">
        <f ca="1">(1+'11. 10-Yr Cash Flow IRR'!$E$9)^(YEAR(BF7)-YEAR('8. Schedule'!$D$8))</f>
        <v>1.08243216</v>
      </c>
      <c r="BG20" s="153">
        <f ca="1">(1+'11. 10-Yr Cash Flow IRR'!$E$9)^(YEAR(BG7)-YEAR('8. Schedule'!$D$8))</f>
        <v>1.08243216</v>
      </c>
      <c r="BH20" s="153">
        <f ca="1">(1+'11. 10-Yr Cash Flow IRR'!$E$9)^(YEAR(BH7)-YEAR('8. Schedule'!$D$8))</f>
        <v>1.08243216</v>
      </c>
      <c r="BI20" s="153">
        <f ca="1">(1+'11. 10-Yr Cash Flow IRR'!$E$9)^(YEAR(BI7)-YEAR('8. Schedule'!$D$8))</f>
        <v>1.08243216</v>
      </c>
      <c r="BJ20" s="153">
        <f ca="1">(1+'11. 10-Yr Cash Flow IRR'!$E$9)^(YEAR(BJ7)-YEAR('8. Schedule'!$D$8))</f>
        <v>1.08243216</v>
      </c>
      <c r="BK20" s="153">
        <f ca="1">(1+'11. 10-Yr Cash Flow IRR'!$E$9)^(YEAR(BK7)-YEAR('8. Schedule'!$D$8))</f>
        <v>1.08243216</v>
      </c>
      <c r="BL20" s="153">
        <f ca="1">(1+'11. 10-Yr Cash Flow IRR'!$E$9)^(YEAR(BL7)-YEAR('8. Schedule'!$D$8))</f>
        <v>1.08243216</v>
      </c>
      <c r="BM20" s="153">
        <f ca="1">(1+'11. 10-Yr Cash Flow IRR'!$E$9)^(YEAR(BM7)-YEAR('8. Schedule'!$D$8))</f>
        <v>1.08243216</v>
      </c>
      <c r="BN20" s="153">
        <f ca="1">(1+'11. 10-Yr Cash Flow IRR'!$E$9)^(YEAR(BN7)-YEAR('8. Schedule'!$D$8))</f>
        <v>1.08243216</v>
      </c>
      <c r="BO20" s="153">
        <f ca="1">(1+'11. 10-Yr Cash Flow IRR'!$E$9)^(YEAR(BO7)-YEAR('8. Schedule'!$D$8))</f>
        <v>1.08243216</v>
      </c>
      <c r="BP20" s="153">
        <f ca="1">(1+'11. 10-Yr Cash Flow IRR'!$E$9)^(YEAR(BP7)-YEAR('8. Schedule'!$D$8))</f>
        <v>1.1040808032</v>
      </c>
      <c r="BQ20" s="153">
        <f ca="1">(1+'11. 10-Yr Cash Flow IRR'!$E$9)^(YEAR(BQ7)-YEAR('8. Schedule'!$D$8))</f>
        <v>1.1040808032</v>
      </c>
      <c r="BR20" s="153">
        <f ca="1">(1+'11. 10-Yr Cash Flow IRR'!$E$9)^(YEAR(BR7)-YEAR('8. Schedule'!$D$8))</f>
        <v>1.1040808032</v>
      </c>
      <c r="BS20" s="153">
        <f ca="1">(1+'11. 10-Yr Cash Flow IRR'!$E$9)^(YEAR(BS7)-YEAR('8. Schedule'!$D$8))</f>
        <v>1.1040808032</v>
      </c>
      <c r="BT20" s="153">
        <f ca="1">(1+'11. 10-Yr Cash Flow IRR'!$E$9)^(YEAR(BT7)-YEAR('8. Schedule'!$D$8))</f>
        <v>1.1040808032</v>
      </c>
      <c r="BU20" s="153">
        <f ca="1">(1+'11. 10-Yr Cash Flow IRR'!$E$9)^(YEAR(BU7)-YEAR('8. Schedule'!$D$8))</f>
        <v>1.1040808032</v>
      </c>
      <c r="BV20" s="153">
        <f ca="1">(1+'11. 10-Yr Cash Flow IRR'!$E$9)^(YEAR(BV7)-YEAR('8. Schedule'!$D$8))</f>
        <v>1.1040808032</v>
      </c>
      <c r="BW20" s="153">
        <f ca="1">(1+'11. 10-Yr Cash Flow IRR'!$E$9)^(YEAR(BW7)-YEAR('8. Schedule'!$D$8))</f>
        <v>1.1040808032</v>
      </c>
      <c r="BX20" s="153">
        <f ca="1">(1+'11. 10-Yr Cash Flow IRR'!$E$9)^(YEAR(BX7)-YEAR('8. Schedule'!$D$8))</f>
        <v>1.1040808032</v>
      </c>
      <c r="BY20" s="153">
        <f ca="1">(1+'11. 10-Yr Cash Flow IRR'!$E$9)^(YEAR(BY7)-YEAR('8. Schedule'!$D$8))</f>
        <v>1.1040808032</v>
      </c>
      <c r="BZ20" s="153">
        <f ca="1">(1+'11. 10-Yr Cash Flow IRR'!$E$9)^(YEAR(BZ7)-YEAR('8. Schedule'!$D$8))</f>
        <v>1.1040808032</v>
      </c>
      <c r="CA20" s="153">
        <f ca="1">(1+'11. 10-Yr Cash Flow IRR'!$E$9)^(YEAR(CA7)-YEAR('8. Schedule'!$D$8))</f>
        <v>1.1040808032</v>
      </c>
      <c r="CB20" s="153">
        <f ca="1">(1+'11. 10-Yr Cash Flow IRR'!$E$9)^(YEAR(CB7)-YEAR('8. Schedule'!$D$8))</f>
        <v>1.1261624192640001</v>
      </c>
      <c r="CC20" s="153">
        <f ca="1">(1+'11. 10-Yr Cash Flow IRR'!$E$9)^(YEAR(CC7)-YEAR('8. Schedule'!$D$8))</f>
        <v>1.1261624192640001</v>
      </c>
      <c r="CD20" s="153">
        <f ca="1">(1+'11. 10-Yr Cash Flow IRR'!$E$9)^(YEAR(CD7)-YEAR('8. Schedule'!$D$8))</f>
        <v>1.1261624192640001</v>
      </c>
      <c r="CE20" s="153">
        <f ca="1">(1+'11. 10-Yr Cash Flow IRR'!$E$9)^(YEAR(CE7)-YEAR('8. Schedule'!$D$8))</f>
        <v>1.1261624192640001</v>
      </c>
      <c r="CF20" s="153">
        <f ca="1">(1+'11. 10-Yr Cash Flow IRR'!$E$9)^(YEAR(CF7)-YEAR('8. Schedule'!$D$8))</f>
        <v>1.1261624192640001</v>
      </c>
      <c r="CG20" s="153">
        <f ca="1">(1+'11. 10-Yr Cash Flow IRR'!$E$9)^(YEAR(CG7)-YEAR('8. Schedule'!$D$8))</f>
        <v>1.1261624192640001</v>
      </c>
      <c r="CH20" s="153">
        <f ca="1">(1+'11. 10-Yr Cash Flow IRR'!$E$9)^(YEAR(CH7)-YEAR('8. Schedule'!$D$8))</f>
        <v>1.1261624192640001</v>
      </c>
      <c r="CI20" s="153">
        <f ca="1">(1+'11. 10-Yr Cash Flow IRR'!$E$9)^(YEAR(CI7)-YEAR('8. Schedule'!$D$8))</f>
        <v>1.1261624192640001</v>
      </c>
      <c r="CJ20" s="153">
        <f ca="1">(1+'11. 10-Yr Cash Flow IRR'!$E$9)^(YEAR(CJ7)-YEAR('8. Schedule'!$D$8))</f>
        <v>1.1261624192640001</v>
      </c>
      <c r="CK20" s="153">
        <f ca="1">(1+'11. 10-Yr Cash Flow IRR'!$E$9)^(YEAR(CK7)-YEAR('8. Schedule'!$D$8))</f>
        <v>1.1261624192640001</v>
      </c>
      <c r="CL20" s="153">
        <f ca="1">(1+'11. 10-Yr Cash Flow IRR'!$E$9)^(YEAR(CL7)-YEAR('8. Schedule'!$D$8))</f>
        <v>1.1261624192640001</v>
      </c>
      <c r="CM20" s="153">
        <f ca="1">(1+'11. 10-Yr Cash Flow IRR'!$E$9)^(YEAR(CM7)-YEAR('8. Schedule'!$D$8))</f>
        <v>1.1261624192640001</v>
      </c>
      <c r="CN20" s="153">
        <f ca="1">(1+'11. 10-Yr Cash Flow IRR'!$E$9)^(YEAR(CN7)-YEAR('8. Schedule'!$D$8))</f>
        <v>1.1486856676492798</v>
      </c>
      <c r="CO20" s="153">
        <f ca="1">(1+'11. 10-Yr Cash Flow IRR'!$E$9)^(YEAR(CO7)-YEAR('8. Schedule'!$D$8))</f>
        <v>1.1486856676492798</v>
      </c>
      <c r="CP20" s="153">
        <f ca="1">(1+'11. 10-Yr Cash Flow IRR'!$E$9)^(YEAR(CP7)-YEAR('8. Schedule'!$D$8))</f>
        <v>1.1486856676492798</v>
      </c>
      <c r="CQ20" s="153">
        <f ca="1">(1+'11. 10-Yr Cash Flow IRR'!$E$9)^(YEAR(CQ7)-YEAR('8. Schedule'!$D$8))</f>
        <v>1.1486856676492798</v>
      </c>
      <c r="CR20" s="153">
        <f ca="1">(1+'11. 10-Yr Cash Flow IRR'!$E$9)^(YEAR(CR7)-YEAR('8. Schedule'!$D$8))</f>
        <v>1.1486856676492798</v>
      </c>
      <c r="CS20" s="153">
        <f ca="1">(1+'11. 10-Yr Cash Flow IRR'!$E$9)^(YEAR(CS7)-YEAR('8. Schedule'!$D$8))</f>
        <v>1.1486856676492798</v>
      </c>
      <c r="CT20" s="153">
        <f ca="1">(1+'11. 10-Yr Cash Flow IRR'!$E$9)^(YEAR(CT7)-YEAR('8. Schedule'!$D$8))</f>
        <v>1.1486856676492798</v>
      </c>
      <c r="CU20" s="153">
        <f ca="1">(1+'11. 10-Yr Cash Flow IRR'!$E$9)^(YEAR(CU7)-YEAR('8. Schedule'!$D$8))</f>
        <v>1.1486856676492798</v>
      </c>
      <c r="CV20" s="153">
        <f ca="1">(1+'11. 10-Yr Cash Flow IRR'!$E$9)^(YEAR(CV7)-YEAR('8. Schedule'!$D$8))</f>
        <v>1.1486856676492798</v>
      </c>
      <c r="CW20" s="153">
        <f ca="1">(1+'11. 10-Yr Cash Flow IRR'!$E$9)^(YEAR(CW7)-YEAR('8. Schedule'!$D$8))</f>
        <v>1.1486856676492798</v>
      </c>
      <c r="CX20" s="153">
        <f ca="1">(1+'11. 10-Yr Cash Flow IRR'!$E$9)^(YEAR(CX7)-YEAR('8. Schedule'!$D$8))</f>
        <v>1.1486856676492798</v>
      </c>
      <c r="CY20" s="153">
        <f ca="1">(1+'11. 10-Yr Cash Flow IRR'!$E$9)^(YEAR(CY7)-YEAR('8. Schedule'!$D$8))</f>
        <v>1.1486856676492798</v>
      </c>
      <c r="CZ20" s="153">
        <f ca="1">(1+'11. 10-Yr Cash Flow IRR'!$E$9)^(YEAR(CZ7)-YEAR('8. Schedule'!$D$8))</f>
        <v>1.1716593810022655</v>
      </c>
    </row>
    <row r="21" spans="2:104" s="40" customFormat="1" x14ac:dyDescent="0.2">
      <c r="B21" s="149" t="s">
        <v>193</v>
      </c>
      <c r="C21" s="150"/>
      <c r="D21" s="150"/>
      <c r="E21" s="150"/>
      <c r="F21" s="150"/>
      <c r="G21" s="151"/>
      <c r="H21" s="152"/>
      <c r="I21" s="153">
        <f ca="1">(1+'11. 10-Yr Cash Flow IRR'!$E$10)^(YEAR(I7)-YEAR('8. Schedule'!$D$8))</f>
        <v>1</v>
      </c>
      <c r="J21" s="153">
        <f ca="1">(1+'11. 10-Yr Cash Flow IRR'!$E$9)^(YEAR(J7)-YEAR('8. Schedule'!$D$8))</f>
        <v>1</v>
      </c>
      <c r="K21" s="153">
        <f ca="1">(1+'11. 10-Yr Cash Flow IRR'!$E$9)^(YEAR(K7)-YEAR('8. Schedule'!$D$8))</f>
        <v>1</v>
      </c>
      <c r="L21" s="153">
        <f ca="1">(1+'11. 10-Yr Cash Flow IRR'!$E$9)^(YEAR(L7)-YEAR('8. Schedule'!$D$8))</f>
        <v>1</v>
      </c>
      <c r="M21" s="153">
        <f ca="1">(1+'11. 10-Yr Cash Flow IRR'!$E$9)^(YEAR(M7)-YEAR('8. Schedule'!$D$8))</f>
        <v>1</v>
      </c>
      <c r="N21" s="153">
        <f ca="1">(1+'11. 10-Yr Cash Flow IRR'!$E$9)^(YEAR(N7)-YEAR('8. Schedule'!$D$8))</f>
        <v>1</v>
      </c>
      <c r="O21" s="153">
        <f ca="1">(1+'11. 10-Yr Cash Flow IRR'!$E$9)^(YEAR(O7)-YEAR('8. Schedule'!$D$8))</f>
        <v>1</v>
      </c>
      <c r="P21" s="153">
        <f ca="1">(1+'11. 10-Yr Cash Flow IRR'!$E$9)^(YEAR(P7)-YEAR('8. Schedule'!$D$8))</f>
        <v>1</v>
      </c>
      <c r="Q21" s="153">
        <f ca="1">(1+'11. 10-Yr Cash Flow IRR'!$E$9)^(YEAR(Q7)-YEAR('8. Schedule'!$D$8))</f>
        <v>1</v>
      </c>
      <c r="R21" s="153">
        <f ca="1">(1+'11. 10-Yr Cash Flow IRR'!$E$9)^(YEAR(R7)-YEAR('8. Schedule'!$D$8))</f>
        <v>1</v>
      </c>
      <c r="S21" s="153">
        <f ca="1">(1+'11. 10-Yr Cash Flow IRR'!$E$9)^(YEAR(S7)-YEAR('8. Schedule'!$D$8))</f>
        <v>1</v>
      </c>
      <c r="T21" s="153">
        <f ca="1">(1+'11. 10-Yr Cash Flow IRR'!$E$9)^(YEAR(T7)-YEAR('8. Schedule'!$D$8))</f>
        <v>1.02</v>
      </c>
      <c r="U21" s="153">
        <f ca="1">(1+'11. 10-Yr Cash Flow IRR'!$E$9)^(YEAR(U7)-YEAR('8. Schedule'!$D$8))</f>
        <v>1.02</v>
      </c>
      <c r="V21" s="153">
        <f ca="1">(1+'11. 10-Yr Cash Flow IRR'!$E$9)^(YEAR(V7)-YEAR('8. Schedule'!$D$8))</f>
        <v>1.02</v>
      </c>
      <c r="W21" s="153">
        <f ca="1">(1+'11. 10-Yr Cash Flow IRR'!$E$9)^(YEAR(W7)-YEAR('8. Schedule'!$D$8))</f>
        <v>1.02</v>
      </c>
      <c r="X21" s="153">
        <f ca="1">(1+'11. 10-Yr Cash Flow IRR'!$E$9)^(YEAR(X7)-YEAR('8. Schedule'!$D$8))</f>
        <v>1.02</v>
      </c>
      <c r="Y21" s="153">
        <f ca="1">(1+'11. 10-Yr Cash Flow IRR'!$E$9)^(YEAR(Y7)-YEAR('8. Schedule'!$D$8))</f>
        <v>1.02</v>
      </c>
      <c r="Z21" s="153">
        <f ca="1">(1+'11. 10-Yr Cash Flow IRR'!$E$9)^(YEAR(Z7)-YEAR('8. Schedule'!$D$8))</f>
        <v>1.02</v>
      </c>
      <c r="AA21" s="153">
        <f ca="1">(1+'11. 10-Yr Cash Flow IRR'!$E$9)^(YEAR(AA7)-YEAR('8. Schedule'!$D$8))</f>
        <v>1.02</v>
      </c>
      <c r="AB21" s="153">
        <f ca="1">(1+'11. 10-Yr Cash Flow IRR'!$E$9)^(YEAR(AB7)-YEAR('8. Schedule'!$D$8))</f>
        <v>1.02</v>
      </c>
      <c r="AC21" s="153">
        <f ca="1">(1+'11. 10-Yr Cash Flow IRR'!$E$9)^(YEAR(AC7)-YEAR('8. Schedule'!$D$8))</f>
        <v>1.02</v>
      </c>
      <c r="AD21" s="153">
        <f ca="1">(1+'11. 10-Yr Cash Flow IRR'!$E$9)^(YEAR(AD7)-YEAR('8. Schedule'!$D$8))</f>
        <v>1.02</v>
      </c>
      <c r="AE21" s="153">
        <f ca="1">(1+'11. 10-Yr Cash Flow IRR'!$E$9)^(YEAR(AE7)-YEAR('8. Schedule'!$D$8))</f>
        <v>1.02</v>
      </c>
      <c r="AF21" s="153">
        <f ca="1">(1+'11. 10-Yr Cash Flow IRR'!$E$9)^(YEAR(AF7)-YEAR('8. Schedule'!$D$8))</f>
        <v>1.0404</v>
      </c>
      <c r="AG21" s="153">
        <f ca="1">(1+'11. 10-Yr Cash Flow IRR'!$E$9)^(YEAR(AG7)-YEAR('8. Schedule'!$D$8))</f>
        <v>1.0404</v>
      </c>
      <c r="AH21" s="153">
        <f ca="1">(1+'11. 10-Yr Cash Flow IRR'!$E$9)^(YEAR(AH7)-YEAR('8. Schedule'!$D$8))</f>
        <v>1.0404</v>
      </c>
      <c r="AI21" s="153">
        <f ca="1">(1+'11. 10-Yr Cash Flow IRR'!$E$9)^(YEAR(AI7)-YEAR('8. Schedule'!$D$8))</f>
        <v>1.0404</v>
      </c>
      <c r="AJ21" s="153">
        <f ca="1">(1+'11. 10-Yr Cash Flow IRR'!$E$9)^(YEAR(AJ7)-YEAR('8. Schedule'!$D$8))</f>
        <v>1.0404</v>
      </c>
      <c r="AK21" s="153">
        <f ca="1">(1+'11. 10-Yr Cash Flow IRR'!$E$9)^(YEAR(AK7)-YEAR('8. Schedule'!$D$8))</f>
        <v>1.0404</v>
      </c>
      <c r="AL21" s="153">
        <f ca="1">(1+'11. 10-Yr Cash Flow IRR'!$E$9)^(YEAR(AL7)-YEAR('8. Schedule'!$D$8))</f>
        <v>1.0404</v>
      </c>
      <c r="AM21" s="153">
        <f ca="1">(1+'11. 10-Yr Cash Flow IRR'!$E$9)^(YEAR(AM7)-YEAR('8. Schedule'!$D$8))</f>
        <v>1.0404</v>
      </c>
      <c r="AN21" s="153">
        <f ca="1">(1+'11. 10-Yr Cash Flow IRR'!$E$9)^(YEAR(AN7)-YEAR('8. Schedule'!$D$8))</f>
        <v>1.0404</v>
      </c>
      <c r="AO21" s="153">
        <f ca="1">(1+'11. 10-Yr Cash Flow IRR'!$E$9)^(YEAR(AO7)-YEAR('8. Schedule'!$D$8))</f>
        <v>1.0404</v>
      </c>
      <c r="AP21" s="153">
        <f ca="1">(1+'11. 10-Yr Cash Flow IRR'!$E$9)^(YEAR(AP7)-YEAR('8. Schedule'!$D$8))</f>
        <v>1.0404</v>
      </c>
      <c r="AQ21" s="153">
        <f ca="1">(1+'11. 10-Yr Cash Flow IRR'!$E$9)^(YEAR(AQ7)-YEAR('8. Schedule'!$D$8))</f>
        <v>1.0404</v>
      </c>
      <c r="AR21" s="153">
        <f ca="1">(1+'11. 10-Yr Cash Flow IRR'!$E$9)^(YEAR(AR7)-YEAR('8. Schedule'!$D$8))</f>
        <v>1.0612079999999999</v>
      </c>
      <c r="AS21" s="153">
        <f ca="1">(1+'11. 10-Yr Cash Flow IRR'!$E$9)^(YEAR(AS7)-YEAR('8. Schedule'!$D$8))</f>
        <v>1.0612079999999999</v>
      </c>
      <c r="AT21" s="153">
        <f ca="1">(1+'11. 10-Yr Cash Flow IRR'!$E$9)^(YEAR(AT7)-YEAR('8. Schedule'!$D$8))</f>
        <v>1.0612079999999999</v>
      </c>
      <c r="AU21" s="153">
        <f ca="1">(1+'11. 10-Yr Cash Flow IRR'!$E$9)^(YEAR(AU7)-YEAR('8. Schedule'!$D$8))</f>
        <v>1.0612079999999999</v>
      </c>
      <c r="AV21" s="153">
        <f ca="1">(1+'11. 10-Yr Cash Flow IRR'!$E$9)^(YEAR(AV7)-YEAR('8. Schedule'!$D$8))</f>
        <v>1.0612079999999999</v>
      </c>
      <c r="AW21" s="153">
        <f ca="1">(1+'11. 10-Yr Cash Flow IRR'!$E$9)^(YEAR(AW7)-YEAR('8. Schedule'!$D$8))</f>
        <v>1.0612079999999999</v>
      </c>
      <c r="AX21" s="153">
        <f ca="1">(1+'11. 10-Yr Cash Flow IRR'!$E$9)^(YEAR(AX7)-YEAR('8. Schedule'!$D$8))</f>
        <v>1.0612079999999999</v>
      </c>
      <c r="AY21" s="153">
        <f ca="1">(1+'11. 10-Yr Cash Flow IRR'!$E$9)^(YEAR(AY7)-YEAR('8. Schedule'!$D$8))</f>
        <v>1.0612079999999999</v>
      </c>
      <c r="AZ21" s="153">
        <f ca="1">(1+'11. 10-Yr Cash Flow IRR'!$E$9)^(YEAR(AZ7)-YEAR('8. Schedule'!$D$8))</f>
        <v>1.0612079999999999</v>
      </c>
      <c r="BA21" s="153">
        <f ca="1">(1+'11. 10-Yr Cash Flow IRR'!$E$9)^(YEAR(BA7)-YEAR('8. Schedule'!$D$8))</f>
        <v>1.0612079999999999</v>
      </c>
      <c r="BB21" s="153">
        <f ca="1">(1+'11. 10-Yr Cash Flow IRR'!$E$9)^(YEAR(BB7)-YEAR('8. Schedule'!$D$8))</f>
        <v>1.0612079999999999</v>
      </c>
      <c r="BC21" s="153">
        <f ca="1">(1+'11. 10-Yr Cash Flow IRR'!$E$9)^(YEAR(BC7)-YEAR('8. Schedule'!$D$8))</f>
        <v>1.0612079999999999</v>
      </c>
      <c r="BD21" s="153">
        <f ca="1">(1+'11. 10-Yr Cash Flow IRR'!$E$9)^(YEAR(BD7)-YEAR('8. Schedule'!$D$8))</f>
        <v>1.08243216</v>
      </c>
      <c r="BE21" s="153">
        <f ca="1">(1+'11. 10-Yr Cash Flow IRR'!$E$9)^(YEAR(BE7)-YEAR('8. Schedule'!$D$8))</f>
        <v>1.08243216</v>
      </c>
      <c r="BF21" s="153">
        <f ca="1">(1+'11. 10-Yr Cash Flow IRR'!$E$9)^(YEAR(BF7)-YEAR('8. Schedule'!$D$8))</f>
        <v>1.08243216</v>
      </c>
      <c r="BG21" s="153">
        <f ca="1">(1+'11. 10-Yr Cash Flow IRR'!$E$9)^(YEAR(BG7)-YEAR('8. Schedule'!$D$8))</f>
        <v>1.08243216</v>
      </c>
      <c r="BH21" s="153">
        <f ca="1">(1+'11. 10-Yr Cash Flow IRR'!$E$9)^(YEAR(BH7)-YEAR('8. Schedule'!$D$8))</f>
        <v>1.08243216</v>
      </c>
      <c r="BI21" s="153">
        <f ca="1">(1+'11. 10-Yr Cash Flow IRR'!$E$9)^(YEAR(BI7)-YEAR('8. Schedule'!$D$8))</f>
        <v>1.08243216</v>
      </c>
      <c r="BJ21" s="153">
        <f ca="1">(1+'11. 10-Yr Cash Flow IRR'!$E$9)^(YEAR(BJ7)-YEAR('8. Schedule'!$D$8))</f>
        <v>1.08243216</v>
      </c>
      <c r="BK21" s="153">
        <f ca="1">(1+'11. 10-Yr Cash Flow IRR'!$E$9)^(YEAR(BK7)-YEAR('8. Schedule'!$D$8))</f>
        <v>1.08243216</v>
      </c>
      <c r="BL21" s="153">
        <f ca="1">(1+'11. 10-Yr Cash Flow IRR'!$E$9)^(YEAR(BL7)-YEAR('8. Schedule'!$D$8))</f>
        <v>1.08243216</v>
      </c>
      <c r="BM21" s="153">
        <f ca="1">(1+'11. 10-Yr Cash Flow IRR'!$E$9)^(YEAR(BM7)-YEAR('8. Schedule'!$D$8))</f>
        <v>1.08243216</v>
      </c>
      <c r="BN21" s="153">
        <f ca="1">(1+'11. 10-Yr Cash Flow IRR'!$E$9)^(YEAR(BN7)-YEAR('8. Schedule'!$D$8))</f>
        <v>1.08243216</v>
      </c>
      <c r="BO21" s="153">
        <f ca="1">(1+'11. 10-Yr Cash Flow IRR'!$E$9)^(YEAR(BO7)-YEAR('8. Schedule'!$D$8))</f>
        <v>1.08243216</v>
      </c>
      <c r="BP21" s="153">
        <f ca="1">(1+'11. 10-Yr Cash Flow IRR'!$E$9)^(YEAR(BP7)-YEAR('8. Schedule'!$D$8))</f>
        <v>1.1040808032</v>
      </c>
      <c r="BQ21" s="153">
        <f ca="1">(1+'11. 10-Yr Cash Flow IRR'!$E$9)^(YEAR(BQ7)-YEAR('8. Schedule'!$D$8))</f>
        <v>1.1040808032</v>
      </c>
      <c r="BR21" s="153">
        <f ca="1">(1+'11. 10-Yr Cash Flow IRR'!$E$9)^(YEAR(BR7)-YEAR('8. Schedule'!$D$8))</f>
        <v>1.1040808032</v>
      </c>
      <c r="BS21" s="153">
        <f ca="1">(1+'11. 10-Yr Cash Flow IRR'!$E$9)^(YEAR(BS7)-YEAR('8. Schedule'!$D$8))</f>
        <v>1.1040808032</v>
      </c>
      <c r="BT21" s="153">
        <f ca="1">(1+'11. 10-Yr Cash Flow IRR'!$E$9)^(YEAR(BT7)-YEAR('8. Schedule'!$D$8))</f>
        <v>1.1040808032</v>
      </c>
      <c r="BU21" s="153">
        <f ca="1">(1+'11. 10-Yr Cash Flow IRR'!$E$9)^(YEAR(BU7)-YEAR('8. Schedule'!$D$8))</f>
        <v>1.1040808032</v>
      </c>
      <c r="BV21" s="153">
        <f ca="1">(1+'11. 10-Yr Cash Flow IRR'!$E$9)^(YEAR(BV7)-YEAR('8. Schedule'!$D$8))</f>
        <v>1.1040808032</v>
      </c>
      <c r="BW21" s="153">
        <f ca="1">(1+'11. 10-Yr Cash Flow IRR'!$E$9)^(YEAR(BW7)-YEAR('8. Schedule'!$D$8))</f>
        <v>1.1040808032</v>
      </c>
      <c r="BX21" s="153">
        <f ca="1">(1+'11. 10-Yr Cash Flow IRR'!$E$9)^(YEAR(BX7)-YEAR('8. Schedule'!$D$8))</f>
        <v>1.1040808032</v>
      </c>
      <c r="BY21" s="153">
        <f ca="1">(1+'11. 10-Yr Cash Flow IRR'!$E$9)^(YEAR(BY7)-YEAR('8. Schedule'!$D$8))</f>
        <v>1.1040808032</v>
      </c>
      <c r="BZ21" s="153">
        <f ca="1">(1+'11. 10-Yr Cash Flow IRR'!$E$9)^(YEAR(BZ7)-YEAR('8. Schedule'!$D$8))</f>
        <v>1.1040808032</v>
      </c>
      <c r="CA21" s="153">
        <f ca="1">(1+'11. 10-Yr Cash Flow IRR'!$E$9)^(YEAR(CA7)-YEAR('8. Schedule'!$D$8))</f>
        <v>1.1040808032</v>
      </c>
      <c r="CB21" s="153">
        <f ca="1">(1+'11. 10-Yr Cash Flow IRR'!$E$9)^(YEAR(CB7)-YEAR('8. Schedule'!$D$8))</f>
        <v>1.1261624192640001</v>
      </c>
      <c r="CC21" s="153">
        <f ca="1">(1+'11. 10-Yr Cash Flow IRR'!$E$9)^(YEAR(CC7)-YEAR('8. Schedule'!$D$8))</f>
        <v>1.1261624192640001</v>
      </c>
      <c r="CD21" s="153">
        <f ca="1">(1+'11. 10-Yr Cash Flow IRR'!$E$9)^(YEAR(CD7)-YEAR('8. Schedule'!$D$8))</f>
        <v>1.1261624192640001</v>
      </c>
      <c r="CE21" s="153">
        <f ca="1">(1+'11. 10-Yr Cash Flow IRR'!$E$9)^(YEAR(CE7)-YEAR('8. Schedule'!$D$8))</f>
        <v>1.1261624192640001</v>
      </c>
      <c r="CF21" s="153">
        <f ca="1">(1+'11. 10-Yr Cash Flow IRR'!$E$9)^(YEAR(CF7)-YEAR('8. Schedule'!$D$8))</f>
        <v>1.1261624192640001</v>
      </c>
      <c r="CG21" s="153">
        <f ca="1">(1+'11. 10-Yr Cash Flow IRR'!$E$9)^(YEAR(CG7)-YEAR('8. Schedule'!$D$8))</f>
        <v>1.1261624192640001</v>
      </c>
      <c r="CH21" s="153">
        <f ca="1">(1+'11. 10-Yr Cash Flow IRR'!$E$9)^(YEAR(CH7)-YEAR('8. Schedule'!$D$8))</f>
        <v>1.1261624192640001</v>
      </c>
      <c r="CI21" s="153">
        <f ca="1">(1+'11. 10-Yr Cash Flow IRR'!$E$9)^(YEAR(CI7)-YEAR('8. Schedule'!$D$8))</f>
        <v>1.1261624192640001</v>
      </c>
      <c r="CJ21" s="153">
        <f ca="1">(1+'11. 10-Yr Cash Flow IRR'!$E$9)^(YEAR(CJ7)-YEAR('8. Schedule'!$D$8))</f>
        <v>1.1261624192640001</v>
      </c>
      <c r="CK21" s="153">
        <f ca="1">(1+'11. 10-Yr Cash Flow IRR'!$E$9)^(YEAR(CK7)-YEAR('8. Schedule'!$D$8))</f>
        <v>1.1261624192640001</v>
      </c>
      <c r="CL21" s="153">
        <f ca="1">(1+'11. 10-Yr Cash Flow IRR'!$E$9)^(YEAR(CL7)-YEAR('8. Schedule'!$D$8))</f>
        <v>1.1261624192640001</v>
      </c>
      <c r="CM21" s="153">
        <f ca="1">(1+'11. 10-Yr Cash Flow IRR'!$E$9)^(YEAR(CM7)-YEAR('8. Schedule'!$D$8))</f>
        <v>1.1261624192640001</v>
      </c>
      <c r="CN21" s="153">
        <f ca="1">(1+'11. 10-Yr Cash Flow IRR'!$E$9)^(YEAR(CN7)-YEAR('8. Schedule'!$D$8))</f>
        <v>1.1486856676492798</v>
      </c>
      <c r="CO21" s="153">
        <f ca="1">(1+'11. 10-Yr Cash Flow IRR'!$E$9)^(YEAR(CO7)-YEAR('8. Schedule'!$D$8))</f>
        <v>1.1486856676492798</v>
      </c>
      <c r="CP21" s="153">
        <f ca="1">(1+'11. 10-Yr Cash Flow IRR'!$E$9)^(YEAR(CP7)-YEAR('8. Schedule'!$D$8))</f>
        <v>1.1486856676492798</v>
      </c>
      <c r="CQ21" s="153">
        <f ca="1">(1+'11. 10-Yr Cash Flow IRR'!$E$9)^(YEAR(CQ7)-YEAR('8. Schedule'!$D$8))</f>
        <v>1.1486856676492798</v>
      </c>
      <c r="CR21" s="153">
        <f ca="1">(1+'11. 10-Yr Cash Flow IRR'!$E$9)^(YEAR(CR7)-YEAR('8. Schedule'!$D$8))</f>
        <v>1.1486856676492798</v>
      </c>
      <c r="CS21" s="153">
        <f ca="1">(1+'11. 10-Yr Cash Flow IRR'!$E$9)^(YEAR(CS7)-YEAR('8. Schedule'!$D$8))</f>
        <v>1.1486856676492798</v>
      </c>
      <c r="CT21" s="153">
        <f ca="1">(1+'11. 10-Yr Cash Flow IRR'!$E$9)^(YEAR(CT7)-YEAR('8. Schedule'!$D$8))</f>
        <v>1.1486856676492798</v>
      </c>
      <c r="CU21" s="153">
        <f ca="1">(1+'11. 10-Yr Cash Flow IRR'!$E$9)^(YEAR(CU7)-YEAR('8. Schedule'!$D$8))</f>
        <v>1.1486856676492798</v>
      </c>
      <c r="CV21" s="153">
        <f ca="1">(1+'11. 10-Yr Cash Flow IRR'!$E$9)^(YEAR(CV7)-YEAR('8. Schedule'!$D$8))</f>
        <v>1.1486856676492798</v>
      </c>
      <c r="CW21" s="153">
        <f ca="1">(1+'11. 10-Yr Cash Flow IRR'!$E$9)^(YEAR(CW7)-YEAR('8. Schedule'!$D$8))</f>
        <v>1.1486856676492798</v>
      </c>
      <c r="CX21" s="153">
        <f ca="1">(1+'11. 10-Yr Cash Flow IRR'!$E$9)^(YEAR(CX7)-YEAR('8. Schedule'!$D$8))</f>
        <v>1.1486856676492798</v>
      </c>
      <c r="CY21" s="153">
        <f ca="1">(1+'11. 10-Yr Cash Flow IRR'!$E$9)^(YEAR(CY7)-YEAR('8. Schedule'!$D$8))</f>
        <v>1.1486856676492798</v>
      </c>
      <c r="CZ21" s="153">
        <f ca="1">(1+'11. 10-Yr Cash Flow IRR'!$E$9)^(YEAR(CZ7)-YEAR('8. Schedule'!$D$8))</f>
        <v>1.1716593810022655</v>
      </c>
    </row>
    <row r="22" spans="2:104" s="40" customFormat="1" x14ac:dyDescent="0.2">
      <c r="B22" s="360" t="s">
        <v>295</v>
      </c>
      <c r="C22" s="361">
        <f ca="1">-'9. Development Costs'!H83</f>
        <v>515585.73930000002</v>
      </c>
      <c r="D22" s="362"/>
      <c r="E22" s="361">
        <f t="shared" ref="E22:E25" ca="1" si="16">SUM(I22:CZ22)</f>
        <v>515585.73930000002</v>
      </c>
      <c r="F22" s="352"/>
      <c r="G22" s="353"/>
      <c r="H22" s="354"/>
      <c r="I22" s="355">
        <f ca="1">+'7. Op Rev and Exp'!$H$20/'7. Op Rev and Exp'!$E$20/12*I12*I20</f>
        <v>0</v>
      </c>
      <c r="J22" s="355">
        <f ca="1">+'7. Op Rev and Exp'!$H$20/'7. Op Rev and Exp'!$E$20/12*J12*J20</f>
        <v>0</v>
      </c>
      <c r="K22" s="355">
        <f ca="1">+'7. Op Rev and Exp'!$H$20/'7. Op Rev and Exp'!$E$20/12*K12*K20</f>
        <v>0</v>
      </c>
      <c r="L22" s="355">
        <f ca="1">+'7. Op Rev and Exp'!$H$20/'7. Op Rev and Exp'!$E$20/12*L12*L20</f>
        <v>0</v>
      </c>
      <c r="M22" s="355">
        <f ca="1">+'7. Op Rev and Exp'!$H$20/'7. Op Rev and Exp'!$E$20/12*M12*M20</f>
        <v>0</v>
      </c>
      <c r="N22" s="355">
        <f ca="1">+'7. Op Rev and Exp'!$H$20/'7. Op Rev and Exp'!$E$20/12*N12*N20</f>
        <v>0</v>
      </c>
      <c r="O22" s="355">
        <f ca="1">+'7. Op Rev and Exp'!$H$20/'7. Op Rev and Exp'!$E$20/12*O12*O20</f>
        <v>0</v>
      </c>
      <c r="P22" s="355">
        <f ca="1">+'7. Op Rev and Exp'!$H$20/'7. Op Rev and Exp'!$E$20/12*P12*P20</f>
        <v>0</v>
      </c>
      <c r="Q22" s="355">
        <f ca="1">+'7. Op Rev and Exp'!$H$20/'7. Op Rev and Exp'!$E$20/12*Q12*Q20</f>
        <v>0</v>
      </c>
      <c r="R22" s="355">
        <f ca="1">+'7. Op Rev and Exp'!$H$20/'7. Op Rev and Exp'!$E$20/12*R12*R20</f>
        <v>0</v>
      </c>
      <c r="S22" s="355">
        <f ca="1">+'7. Op Rev and Exp'!$H$20/'7. Op Rev and Exp'!$E$20/12*S12*S20</f>
        <v>0</v>
      </c>
      <c r="T22" s="355">
        <f ca="1">+'7. Op Rev and Exp'!$H$20/'7. Op Rev and Exp'!$E$20/12*T12*T20</f>
        <v>0</v>
      </c>
      <c r="U22" s="355">
        <f ca="1">+'7. Op Rev and Exp'!$H$20/'7. Op Rev and Exp'!$E$20/12*U12*U20</f>
        <v>0</v>
      </c>
      <c r="V22" s="355">
        <f ca="1">+'7. Op Rev and Exp'!$H$20/'7. Op Rev and Exp'!$E$20/12*V12*V20</f>
        <v>0</v>
      </c>
      <c r="W22" s="355">
        <f ca="1">+'7. Op Rev and Exp'!$H$20/'7. Op Rev and Exp'!$E$20/12*W12*W20</f>
        <v>0</v>
      </c>
      <c r="X22" s="355">
        <f ca="1">+'7. Op Rev and Exp'!$H$20/'7. Op Rev and Exp'!$E$20/12*X12*X20</f>
        <v>0</v>
      </c>
      <c r="Y22" s="355">
        <f ca="1">+'7. Op Rev and Exp'!$H$20/'7. Op Rev and Exp'!$E$20/12*Y12*Y20</f>
        <v>0</v>
      </c>
      <c r="Z22" s="355">
        <f ca="1">+'7. Op Rev and Exp'!$H$20/'7. Op Rev and Exp'!$E$20/12*Z12*Z20</f>
        <v>0</v>
      </c>
      <c r="AA22" s="355">
        <f ca="1">+'7. Op Rev and Exp'!$H$20/'7. Op Rev and Exp'!$E$20/12*AA12*AA20</f>
        <v>0</v>
      </c>
      <c r="AB22" s="355">
        <f ca="1">+'7. Op Rev and Exp'!$H$20/'7. Op Rev and Exp'!$E$20/12*AB12*AB20</f>
        <v>0</v>
      </c>
      <c r="AC22" s="355">
        <f ca="1">+'7. Op Rev and Exp'!$H$20/'7. Op Rev and Exp'!$E$20/12*AC12*AC20</f>
        <v>0</v>
      </c>
      <c r="AD22" s="355">
        <f ca="1">+'7. Op Rev and Exp'!$H$20/'7. Op Rev and Exp'!$E$20/12*AD12*AD20</f>
        <v>0</v>
      </c>
      <c r="AE22" s="355">
        <f ca="1">+'7. Op Rev and Exp'!$H$20/'7. Op Rev and Exp'!$E$20/12*AE12*AE20</f>
        <v>0</v>
      </c>
      <c r="AF22" s="355">
        <f ca="1">+'7. Op Rev and Exp'!$H$20/'7. Op Rev and Exp'!$E$20/12*AF12*AF20</f>
        <v>0</v>
      </c>
      <c r="AG22" s="355">
        <f ca="1">+'7. Op Rev and Exp'!$H$20/'7. Op Rev and Exp'!$E$20/12*AG12*AG20</f>
        <v>0</v>
      </c>
      <c r="AH22" s="355">
        <f ca="1">+'7. Op Rev and Exp'!$H$20/'7. Op Rev and Exp'!$E$20/12*AH12*AH20</f>
        <v>0</v>
      </c>
      <c r="AI22" s="355">
        <f ca="1">+'7. Op Rev and Exp'!$H$20/'7. Op Rev and Exp'!$E$20/12*AI12*AI20</f>
        <v>0</v>
      </c>
      <c r="AJ22" s="355">
        <f ca="1">+'7. Op Rev and Exp'!$H$20/'7. Op Rev and Exp'!$E$20/12*AJ12*AJ20</f>
        <v>0</v>
      </c>
      <c r="AK22" s="355">
        <f ca="1">+'7. Op Rev and Exp'!$H$20/'7. Op Rev and Exp'!$E$20/12*AK12*AK20</f>
        <v>0</v>
      </c>
      <c r="AL22" s="355">
        <f ca="1">+'7. Op Rev and Exp'!$H$20/'7. Op Rev and Exp'!$E$20/12*AL12*AL20</f>
        <v>0</v>
      </c>
      <c r="AM22" s="355">
        <f ca="1">+'7. Op Rev and Exp'!$H$20/'7. Op Rev and Exp'!$E$20/12*AM12*AM20</f>
        <v>42469.994999999995</v>
      </c>
      <c r="AN22" s="355">
        <f ca="1">+'7. Op Rev and Exp'!$H$20/'7. Op Rev and Exp'!$E$20/12*AN12*AN20</f>
        <v>42469.994999999995</v>
      </c>
      <c r="AO22" s="355">
        <f ca="1">+'7. Op Rev and Exp'!$H$20/'7. Op Rev and Exp'!$E$20/12*AO12*AO20</f>
        <v>42469.994999999995</v>
      </c>
      <c r="AP22" s="355">
        <f ca="1">+'7. Op Rev and Exp'!$H$20/'7. Op Rev and Exp'!$E$20/12*AP12*AP20</f>
        <v>42469.994999999995</v>
      </c>
      <c r="AQ22" s="355">
        <f ca="1">+'7. Op Rev and Exp'!$H$20/'7. Op Rev and Exp'!$E$20/12*AQ12*AQ20</f>
        <v>42469.994999999995</v>
      </c>
      <c r="AR22" s="355">
        <f ca="1">+'7. Op Rev and Exp'!$H$20/'7. Op Rev and Exp'!$E$20/12*AR12*AR20</f>
        <v>43319.394899999992</v>
      </c>
      <c r="AS22" s="355">
        <f ca="1">+'7. Op Rev and Exp'!$H$20/'7. Op Rev and Exp'!$E$20/12*AS12*AS20</f>
        <v>43319.394899999992</v>
      </c>
      <c r="AT22" s="355">
        <f ca="1">+'7. Op Rev and Exp'!$H$20/'7. Op Rev and Exp'!$E$20/12*AT12*AT20</f>
        <v>43319.394899999992</v>
      </c>
      <c r="AU22" s="355">
        <f ca="1">+'7. Op Rev and Exp'!$H$20/'7. Op Rev and Exp'!$E$20/12*AU12*AU20</f>
        <v>43319.394899999992</v>
      </c>
      <c r="AV22" s="355">
        <f ca="1">+'7. Op Rev and Exp'!$H$20/'7. Op Rev and Exp'!$E$20/12*AV12*AV20</f>
        <v>43319.394899999992</v>
      </c>
      <c r="AW22" s="355">
        <f ca="1">+'7. Op Rev and Exp'!$H$20/'7. Op Rev and Exp'!$E$20/12*AW12*AW20</f>
        <v>43319.394899999992</v>
      </c>
      <c r="AX22" s="355">
        <f ca="1">+'7. Op Rev and Exp'!$H$20/'7. Op Rev and Exp'!$E$20/12*AX12*AX20</f>
        <v>43319.394899999992</v>
      </c>
      <c r="AY22" s="355">
        <f ca="1">+'7. Op Rev and Exp'!$H$20/'7. Op Rev and Exp'!$E$20/12*AY12*AY20</f>
        <v>0</v>
      </c>
      <c r="AZ22" s="355">
        <f ca="1">+'7. Op Rev and Exp'!$H$20/'7. Op Rev and Exp'!$E$20/12*AZ12*AZ20</f>
        <v>0</v>
      </c>
      <c r="BA22" s="355">
        <f ca="1">+'7. Op Rev and Exp'!$H$20/'7. Op Rev and Exp'!$E$20/12*BA12*BA20</f>
        <v>0</v>
      </c>
      <c r="BB22" s="355">
        <f ca="1">+'7. Op Rev and Exp'!$H$20/'7. Op Rev and Exp'!$E$20/12*BB12*BB20</f>
        <v>0</v>
      </c>
      <c r="BC22" s="355">
        <f ca="1">+'7. Op Rev and Exp'!$H$20/'7. Op Rev and Exp'!$E$20/12*BC12*BC20</f>
        <v>0</v>
      </c>
      <c r="BD22" s="355">
        <f ca="1">+'7. Op Rev and Exp'!$H$20/'7. Op Rev and Exp'!$E$20/12*BD12*BD20</f>
        <v>0</v>
      </c>
      <c r="BE22" s="355">
        <f ca="1">+'7. Op Rev and Exp'!$H$20/'7. Op Rev and Exp'!$E$20/12*BE12*BE20</f>
        <v>0</v>
      </c>
      <c r="BF22" s="355">
        <f ca="1">+'7. Op Rev and Exp'!$H$20/'7. Op Rev and Exp'!$E$20/12*BF12*BF20</f>
        <v>0</v>
      </c>
      <c r="BG22" s="355">
        <f ca="1">+'7. Op Rev and Exp'!$H$20/'7. Op Rev and Exp'!$E$20/12*BG12*BG20</f>
        <v>0</v>
      </c>
      <c r="BH22" s="355">
        <f ca="1">+'7. Op Rev and Exp'!$H$20/'7. Op Rev and Exp'!$E$20/12*BH12*BH20</f>
        <v>0</v>
      </c>
      <c r="BI22" s="355">
        <f ca="1">+'7. Op Rev and Exp'!$H$20/'7. Op Rev and Exp'!$E$20/12*BI12*BI20</f>
        <v>0</v>
      </c>
      <c r="BJ22" s="355">
        <f ca="1">+'7. Op Rev and Exp'!$H$20/'7. Op Rev and Exp'!$E$20/12*BJ12*BJ20</f>
        <v>0</v>
      </c>
      <c r="BK22" s="355">
        <f ca="1">+'7. Op Rev and Exp'!$H$20/'7. Op Rev and Exp'!$E$20/12*BK12*BK20</f>
        <v>0</v>
      </c>
      <c r="BL22" s="355">
        <f ca="1">+'7. Op Rev and Exp'!$H$20/'7. Op Rev and Exp'!$E$20/12*BL12*BL20</f>
        <v>0</v>
      </c>
      <c r="BM22" s="355">
        <f ca="1">+'7. Op Rev and Exp'!$H$20/'7. Op Rev and Exp'!$E$20/12*BM12*BM20</f>
        <v>0</v>
      </c>
      <c r="BN22" s="355">
        <f ca="1">+'7. Op Rev and Exp'!$H$20/'7. Op Rev and Exp'!$E$20/12*BN12*BN20</f>
        <v>0</v>
      </c>
      <c r="BO22" s="355">
        <f ca="1">+'7. Op Rev and Exp'!$H$20/'7. Op Rev and Exp'!$E$20/12*BO12*BO20</f>
        <v>0</v>
      </c>
      <c r="BP22" s="355">
        <f ca="1">+'7. Op Rev and Exp'!$H$20/'7. Op Rev and Exp'!$E$20/12*BP12*BP20</f>
        <v>0</v>
      </c>
      <c r="BQ22" s="355">
        <f ca="1">+'7. Op Rev and Exp'!$H$20/'7. Op Rev and Exp'!$E$20/12*BQ12*BQ20</f>
        <v>0</v>
      </c>
      <c r="BR22" s="355">
        <f ca="1">+'7. Op Rev and Exp'!$H$20/'7. Op Rev and Exp'!$E$20/12*BR12*BR20</f>
        <v>0</v>
      </c>
      <c r="BS22" s="355">
        <f ca="1">+'7. Op Rev and Exp'!$H$20/'7. Op Rev and Exp'!$E$20/12*BS12*BS20</f>
        <v>0</v>
      </c>
      <c r="BT22" s="355">
        <f ca="1">+'7. Op Rev and Exp'!$H$20/'7. Op Rev and Exp'!$E$20/12*BT12*BT20</f>
        <v>0</v>
      </c>
      <c r="BU22" s="355">
        <f ca="1">+'7. Op Rev and Exp'!$H$20/'7. Op Rev and Exp'!$E$20/12*BU12*BU20</f>
        <v>0</v>
      </c>
      <c r="BV22" s="355">
        <f ca="1">+'7. Op Rev and Exp'!$H$20/'7. Op Rev and Exp'!$E$20/12*BV12*BV20</f>
        <v>0</v>
      </c>
      <c r="BW22" s="355">
        <f ca="1">+'7. Op Rev and Exp'!$H$20/'7. Op Rev and Exp'!$E$20/12*BW12*BW20</f>
        <v>0</v>
      </c>
      <c r="BX22" s="355">
        <f ca="1">+'7. Op Rev and Exp'!$H$20/'7. Op Rev and Exp'!$E$20/12*BX12*BX20</f>
        <v>0</v>
      </c>
      <c r="BY22" s="355">
        <f ca="1">+'7. Op Rev and Exp'!$H$20/'7. Op Rev and Exp'!$E$20/12*BY12*BY20</f>
        <v>0</v>
      </c>
      <c r="BZ22" s="355">
        <f ca="1">+'7. Op Rev and Exp'!$H$20/'7. Op Rev and Exp'!$E$20/12*BZ12*BZ20</f>
        <v>0</v>
      </c>
      <c r="CA22" s="355">
        <f ca="1">+'7. Op Rev and Exp'!$H$20/'7. Op Rev and Exp'!$E$20/12*CA12*CA20</f>
        <v>0</v>
      </c>
      <c r="CB22" s="355">
        <f ca="1">+'7. Op Rev and Exp'!$H$20/'7. Op Rev and Exp'!$E$20/12*CB12*CB20</f>
        <v>0</v>
      </c>
      <c r="CC22" s="355">
        <f ca="1">+'7. Op Rev and Exp'!$H$20/'7. Op Rev and Exp'!$E$20/12*CC12*CC20</f>
        <v>0</v>
      </c>
      <c r="CD22" s="355">
        <f ca="1">+'7. Op Rev and Exp'!$H$20/'7. Op Rev and Exp'!$E$20/12*CD12*CD20</f>
        <v>0</v>
      </c>
      <c r="CE22" s="355">
        <f ca="1">+'7. Op Rev and Exp'!$H$20/'7. Op Rev and Exp'!$E$20/12*CE12*CE20</f>
        <v>0</v>
      </c>
      <c r="CF22" s="355">
        <f ca="1">+'7. Op Rev and Exp'!$H$20/'7. Op Rev and Exp'!$E$20/12*CF12*CF20</f>
        <v>0</v>
      </c>
      <c r="CG22" s="355">
        <f ca="1">+'7. Op Rev and Exp'!$H$20/'7. Op Rev and Exp'!$E$20/12*CG12*CG20</f>
        <v>0</v>
      </c>
      <c r="CH22" s="355">
        <f ca="1">+'7. Op Rev and Exp'!$H$20/'7. Op Rev and Exp'!$E$20/12*CH12*CH20</f>
        <v>0</v>
      </c>
      <c r="CI22" s="355">
        <f ca="1">+'7. Op Rev and Exp'!$H$20/'7. Op Rev and Exp'!$E$20/12*CI12*CI20</f>
        <v>0</v>
      </c>
      <c r="CJ22" s="355">
        <f ca="1">+'7. Op Rev and Exp'!$H$20/'7. Op Rev and Exp'!$E$20/12*CJ12*CJ20</f>
        <v>0</v>
      </c>
      <c r="CK22" s="355">
        <f ca="1">+'7. Op Rev and Exp'!$H$20/'7. Op Rev and Exp'!$E$20/12*CK12*CK20</f>
        <v>0</v>
      </c>
      <c r="CL22" s="355">
        <f ca="1">+'7. Op Rev and Exp'!$H$20/'7. Op Rev and Exp'!$E$20/12*CL12*CL20</f>
        <v>0</v>
      </c>
      <c r="CM22" s="355">
        <f ca="1">+'7. Op Rev and Exp'!$H$20/'7. Op Rev and Exp'!$E$20/12*CM12*CM20</f>
        <v>0</v>
      </c>
      <c r="CN22" s="355">
        <f ca="1">+'7. Op Rev and Exp'!$H$20/'7. Op Rev and Exp'!$E$20/12*CN12*CN20</f>
        <v>0</v>
      </c>
      <c r="CO22" s="355">
        <f ca="1">+'7. Op Rev and Exp'!$H$20/'7. Op Rev and Exp'!$E$20/12*CO12*CO20</f>
        <v>0</v>
      </c>
      <c r="CP22" s="355">
        <f ca="1">+'7. Op Rev and Exp'!$H$20/'7. Op Rev and Exp'!$E$20/12*CP12*CP20</f>
        <v>0</v>
      </c>
      <c r="CQ22" s="355">
        <f ca="1">+'7. Op Rev and Exp'!$H$20/'7. Op Rev and Exp'!$E$20/12*CQ12*CQ20</f>
        <v>0</v>
      </c>
      <c r="CR22" s="355">
        <f ca="1">+'7. Op Rev and Exp'!$H$20/'7. Op Rev and Exp'!$E$20/12*CR12*CR20</f>
        <v>0</v>
      </c>
      <c r="CS22" s="355">
        <f ca="1">+'7. Op Rev and Exp'!$H$20/'7. Op Rev and Exp'!$E$20/12*CS12*CS20</f>
        <v>0</v>
      </c>
      <c r="CT22" s="355">
        <f ca="1">+'7. Op Rev and Exp'!$H$20/'7. Op Rev and Exp'!$E$20/12*CT12*CT20</f>
        <v>0</v>
      </c>
      <c r="CU22" s="355">
        <f ca="1">+'7. Op Rev and Exp'!$H$20/'7. Op Rev and Exp'!$E$20/12*CU12*CU20</f>
        <v>0</v>
      </c>
      <c r="CV22" s="355">
        <f ca="1">+'7. Op Rev and Exp'!$H$20/'7. Op Rev and Exp'!$E$20/12*CV12*CV20</f>
        <v>0</v>
      </c>
      <c r="CW22" s="355">
        <f ca="1">+'7. Op Rev and Exp'!$H$20/'7. Op Rev and Exp'!$E$20/12*CW12*CW20</f>
        <v>0</v>
      </c>
      <c r="CX22" s="355">
        <f ca="1">+'7. Op Rev and Exp'!$H$20/'7. Op Rev and Exp'!$E$20/12*CX12*CX20</f>
        <v>0</v>
      </c>
      <c r="CY22" s="355">
        <f ca="1">+'7. Op Rev and Exp'!$H$20/'7. Op Rev and Exp'!$E$20/12*CY12*CY20</f>
        <v>0</v>
      </c>
      <c r="CZ22" s="355">
        <f ca="1">+'7. Op Rev and Exp'!$H$20/'7. Op Rev and Exp'!$E$20/12*CZ12*CZ20</f>
        <v>0</v>
      </c>
    </row>
    <row r="23" spans="2:104" x14ac:dyDescent="0.2">
      <c r="B23" s="119" t="s">
        <v>41</v>
      </c>
      <c r="C23" s="118">
        <f ca="1">-'9. Development Costs'!H84</f>
        <v>4175747.2724999995</v>
      </c>
      <c r="D23" s="118">
        <f ca="1">ROUND(C23-E23,0)</f>
        <v>0</v>
      </c>
      <c r="E23" s="118">
        <f t="shared" ca="1" si="16"/>
        <v>4175747.2724999995</v>
      </c>
      <c r="H23" s="123"/>
      <c r="I23" s="118">
        <f ca="1">IF(I110="PUD",'7. Op Rev and Exp'!$H$32/12*I$17*I$20,0)</f>
        <v>0</v>
      </c>
      <c r="J23" s="118">
        <f ca="1">IF(J110="PUD",'7. Op Rev and Exp'!$H$32/12*J$17*J$20,0)</f>
        <v>0</v>
      </c>
      <c r="K23" s="118">
        <f ca="1">IF(K110="PUD",'7. Op Rev and Exp'!$H$32/12*K$17*K$20,0)</f>
        <v>0</v>
      </c>
      <c r="L23" s="118">
        <f ca="1">IF(L110="PUD",'7. Op Rev and Exp'!$H$32/12*L$17*L$20,0)</f>
        <v>0</v>
      </c>
      <c r="M23" s="118">
        <f ca="1">IF(M110="PUD",'7. Op Rev and Exp'!$H$32/12*M$17*M$20,0)</f>
        <v>0</v>
      </c>
      <c r="N23" s="118">
        <f ca="1">IF(N110="PUD",'7. Op Rev and Exp'!$H$32/12*N$17*N$20,0)</f>
        <v>0</v>
      </c>
      <c r="O23" s="118">
        <f ca="1">IF(O110="PUD",'7. Op Rev and Exp'!$H$32/12*O$17*O$20,0)</f>
        <v>0</v>
      </c>
      <c r="P23" s="118">
        <f ca="1">IF(P110="PUD",'7. Op Rev and Exp'!$H$32/12*P$17*P$20,0)</f>
        <v>0</v>
      </c>
      <c r="Q23" s="118">
        <f ca="1">IF(Q110="PUD",'7. Op Rev and Exp'!$H$32/12*Q$17*Q$20,0)</f>
        <v>0</v>
      </c>
      <c r="R23" s="118">
        <f ca="1">IF(R110="PUD",'7. Op Rev and Exp'!$H$32/12*R$17*R$20,0)</f>
        <v>0</v>
      </c>
      <c r="S23" s="118">
        <f ca="1">IF(S110="PUD",'7. Op Rev and Exp'!$H$32/12*S$17*S$20,0)</f>
        <v>0</v>
      </c>
      <c r="T23" s="118">
        <f ca="1">IF(T110="PUD",'7. Op Rev and Exp'!$H$32/12*T$17*T$20,0)</f>
        <v>0</v>
      </c>
      <c r="U23" s="118">
        <f ca="1">IF(U110="PUD",'7. Op Rev and Exp'!$H$32/12*U$17*U$20,0)</f>
        <v>0</v>
      </c>
      <c r="V23" s="118">
        <f ca="1">IF(V110="PUD",'7. Op Rev and Exp'!$H$32/12*V$17*V$20,0)</f>
        <v>0</v>
      </c>
      <c r="W23" s="118">
        <f ca="1">IF(W110="PUD",'7. Op Rev and Exp'!$H$32/12*W$17*W$20,0)</f>
        <v>0</v>
      </c>
      <c r="X23" s="118">
        <f ca="1">IF(X110="PUD",'7. Op Rev and Exp'!$H$32/12*X$17*X$20,0)</f>
        <v>0</v>
      </c>
      <c r="Y23" s="118">
        <f ca="1">IF(Y110="PUD",'7. Op Rev and Exp'!$H$32/12*Y$17*Y$20,0)</f>
        <v>0</v>
      </c>
      <c r="Z23" s="118">
        <f ca="1">IF(Z110="PUD",'7. Op Rev and Exp'!$H$32/12*Z$17*Z$20,0)</f>
        <v>0</v>
      </c>
      <c r="AA23" s="118">
        <f ca="1">IF(AA110="PUD",'7. Op Rev and Exp'!$H$32/12*AA$17*AA$20,0)</f>
        <v>0</v>
      </c>
      <c r="AB23" s="118">
        <f ca="1">IF(AB110="PUD",'7. Op Rev and Exp'!$H$32/12*AB$17*AB$20,0)</f>
        <v>0</v>
      </c>
      <c r="AC23" s="118">
        <f ca="1">IF(AC110="PUD",'7. Op Rev and Exp'!$H$32/12*AC$17*AC$20,0)</f>
        <v>0</v>
      </c>
      <c r="AD23" s="118">
        <f ca="1">IF(AD110="PUD",'7. Op Rev and Exp'!$H$32/12*AD$17*AD$20,0)</f>
        <v>0</v>
      </c>
      <c r="AE23" s="118">
        <f ca="1">IF(AE110="PUD",'7. Op Rev and Exp'!$H$32/12*AE$17*AE$20,0)</f>
        <v>0</v>
      </c>
      <c r="AF23" s="118">
        <f ca="1">IF(AF110="PUD",'7. Op Rev and Exp'!$H$32/12*AF$17*AF$20,0)</f>
        <v>0</v>
      </c>
      <c r="AG23" s="118">
        <f ca="1">IF(AG110="PUD",'7. Op Rev and Exp'!$H$32/12*AG$17*AG$20,0)</f>
        <v>0</v>
      </c>
      <c r="AH23" s="118">
        <f ca="1">IF(AH110="PUD",'7. Op Rev and Exp'!$H$32/12*AH$17*AH$20,0)</f>
        <v>0</v>
      </c>
      <c r="AI23" s="118">
        <f ca="1">IF(AI110="PUD",'7. Op Rev and Exp'!$H$32/12*AI$17*AI$20,0)</f>
        <v>0</v>
      </c>
      <c r="AJ23" s="118">
        <f ca="1">IF(AJ110="PUD",'7. Op Rev and Exp'!$H$32/12*AJ$17*AJ$20,0)</f>
        <v>0</v>
      </c>
      <c r="AK23" s="118">
        <f ca="1">IF(AK110="PUD",'7. Op Rev and Exp'!$H$32/12*AK$17*AK$20,0)</f>
        <v>0</v>
      </c>
      <c r="AL23" s="118">
        <f ca="1">IF(AL110="PUD",'7. Op Rev and Exp'!$H$32/12*AL$17*AL$20,0)</f>
        <v>0</v>
      </c>
      <c r="AM23" s="118">
        <f ca="1">IF(AM110="PUD",'7. Op Rev and Exp'!$H$32/12*AM$17*AM$20,0)</f>
        <v>0</v>
      </c>
      <c r="AN23" s="118">
        <f ca="1">IF(AN110="PUD",'7. Op Rev and Exp'!$H$32/12*AN$17*AN$20,0)</f>
        <v>0</v>
      </c>
      <c r="AO23" s="118">
        <f ca="1">IF(AO110="PUD",'7. Op Rev and Exp'!$H$32/12*AO$17*AO$20,0)</f>
        <v>141550.75499999998</v>
      </c>
      <c r="AP23" s="118">
        <f ca="1">IF(AP110="PUD",'7. Op Rev and Exp'!$H$32/12*AP$17*AP$20,0)</f>
        <v>188734.33999999997</v>
      </c>
      <c r="AQ23" s="118">
        <f ca="1">IF(AQ110="PUD",'7. Op Rev and Exp'!$H$32/12*AQ$17*AQ$20,0)</f>
        <v>235917.92499999996</v>
      </c>
      <c r="AR23" s="118">
        <f ca="1">IF(AR110="PUD",'7. Op Rev and Exp'!$H$32/12*AR$17*AR$20,0)</f>
        <v>288763.54019999999</v>
      </c>
      <c r="AS23" s="118">
        <f ca="1">IF(AS110="PUD",'7. Op Rev and Exp'!$H$32/12*AS$17*AS$20,0)</f>
        <v>336890.79690000002</v>
      </c>
      <c r="AT23" s="118">
        <f ca="1">IF(AT110="PUD",'7. Op Rev and Exp'!$H$32/12*AT$17*AT$20,0)</f>
        <v>385018.05359999998</v>
      </c>
      <c r="AU23" s="118">
        <f ca="1">IF(AU110="PUD",'7. Op Rev and Exp'!$H$32/12*AU$17*AU$20,0)</f>
        <v>433145.31030000001</v>
      </c>
      <c r="AV23" s="118">
        <f ca="1">IF(AV110="PUD",'7. Op Rev and Exp'!$H$32/12*AV$17*AV$20,0)</f>
        <v>481272.56700000004</v>
      </c>
      <c r="AW23" s="118">
        <f ca="1">IF(AW110="PUD",'7. Op Rev and Exp'!$H$32/12*AW$17*AW$20,0)</f>
        <v>529399.82369999995</v>
      </c>
      <c r="AX23" s="118">
        <f ca="1">IF(AX110="PUD",'7. Op Rev and Exp'!$H$32/12*AX$17*AX$20,0)</f>
        <v>577527.08039999998</v>
      </c>
      <c r="AY23" s="118">
        <f ca="1">IF(AY110="PUD",'7. Op Rev and Exp'!$H$32/12*AY$17*AY$20,0)</f>
        <v>577527.08039999998</v>
      </c>
      <c r="AZ23" s="118">
        <f ca="1">IF(AZ110="PUD",'7. Op Rev and Exp'!$H$32/12*AZ$17*AZ$20,0)</f>
        <v>0</v>
      </c>
      <c r="BA23" s="118">
        <f ca="1">IF(BA110="PUD",'7. Op Rev and Exp'!$H$32/12*BA$17*BA$20,0)</f>
        <v>0</v>
      </c>
      <c r="BB23" s="118">
        <f ca="1">IF(BB110="PUD",'7. Op Rev and Exp'!$H$32/12*BB$17*BB$20,0)</f>
        <v>0</v>
      </c>
      <c r="BC23" s="118">
        <f ca="1">IF(BC110="PUD",'7. Op Rev and Exp'!$H$32/12*BC$17*BC$20,0)</f>
        <v>0</v>
      </c>
      <c r="BD23" s="118">
        <f ca="1">IF(BD110="PUD",'7. Op Rev and Exp'!$H$32/12*BD$17*BD$20,0)</f>
        <v>0</v>
      </c>
      <c r="BE23" s="118">
        <f ca="1">IF(BE110="PUD",'7. Op Rev and Exp'!$H$32/12*BE$17*BE$20,0)</f>
        <v>0</v>
      </c>
      <c r="BF23" s="118">
        <f ca="1">IF(BF110="PUD",'7. Op Rev and Exp'!$H$32/12*BF$17*BF$20,0)</f>
        <v>0</v>
      </c>
      <c r="BG23" s="118">
        <f ca="1">IF(BG110="PUD",'7. Op Rev and Exp'!$H$32/12*BG$17*BG$20,0)</f>
        <v>0</v>
      </c>
      <c r="BH23" s="118">
        <f ca="1">IF(BH110="PUD",'7. Op Rev and Exp'!$H$32/12*BH$17*BH$20,0)</f>
        <v>0</v>
      </c>
      <c r="BI23" s="118">
        <f ca="1">IF(BI110="PUD",'7. Op Rev and Exp'!$H$32/12*BI$17*BI$20,0)</f>
        <v>0</v>
      </c>
      <c r="BJ23" s="118">
        <f ca="1">IF(BJ110="PUD",'7. Op Rev and Exp'!$H$32/12*BJ$17*BJ$20,0)</f>
        <v>0</v>
      </c>
      <c r="BK23" s="118">
        <f ca="1">IF(BK110="PUD",'7. Op Rev and Exp'!$H$32/12*BK$17*BK$20,0)</f>
        <v>0</v>
      </c>
      <c r="BL23" s="118">
        <f ca="1">IF(BL110="PUD",'7. Op Rev and Exp'!$H$32/12*BL$17*BL$20,0)</f>
        <v>0</v>
      </c>
      <c r="BM23" s="118">
        <f ca="1">IF(BM110="PUD",'7. Op Rev and Exp'!$H$32/12*BM$17*BM$20,0)</f>
        <v>0</v>
      </c>
      <c r="BN23" s="118">
        <f ca="1">IF(BN110="PUD",'7. Op Rev and Exp'!$H$32/12*BN$17*BN$20,0)</f>
        <v>0</v>
      </c>
      <c r="BO23" s="118">
        <f ca="1">IF(BO110="PUD",'7. Op Rev and Exp'!$H$32/12*BO$17*BO$20,0)</f>
        <v>0</v>
      </c>
      <c r="BP23" s="118">
        <f ca="1">IF(BP110="PUD",'7. Op Rev and Exp'!$H$32/12*BP$17*BP$20,0)</f>
        <v>0</v>
      </c>
      <c r="BQ23" s="118">
        <f ca="1">IF(BQ110="PUD",'7. Op Rev and Exp'!$H$32/12*BQ$17*BQ$20,0)</f>
        <v>0</v>
      </c>
      <c r="BR23" s="118">
        <f ca="1">IF(BR110="PUD",'7. Op Rev and Exp'!$H$32/12*BR$17*BR$20,0)</f>
        <v>0</v>
      </c>
      <c r="BS23" s="118">
        <f ca="1">IF(BS110="PUD",'7. Op Rev and Exp'!$H$32/12*BS$17*BS$20,0)</f>
        <v>0</v>
      </c>
      <c r="BT23" s="118">
        <f ca="1">IF(BT110="PUD",'7. Op Rev and Exp'!$H$32/12*BT$17*BT$20,0)</f>
        <v>0</v>
      </c>
      <c r="BU23" s="118">
        <f ca="1">IF(BU110="PUD",'7. Op Rev and Exp'!$H$32/12*BU$17*BU$20,0)</f>
        <v>0</v>
      </c>
      <c r="BV23" s="118">
        <f ca="1">IF(BV110="PUD",'7. Op Rev and Exp'!$H$32/12*BV$17*BV$20,0)</f>
        <v>0</v>
      </c>
      <c r="BW23" s="118">
        <f ca="1">IF(BW110="PUD",'7. Op Rev and Exp'!$H$32/12*BW$17*BW$20,0)</f>
        <v>0</v>
      </c>
      <c r="BX23" s="118">
        <f ca="1">IF(BX110="PUD",'7. Op Rev and Exp'!$H$32/12*BX$17*BX$20,0)</f>
        <v>0</v>
      </c>
      <c r="BY23" s="118">
        <f ca="1">IF(BY110="PUD",'7. Op Rev and Exp'!$H$32/12*BY$17*BY$20,0)</f>
        <v>0</v>
      </c>
      <c r="BZ23" s="118">
        <f ca="1">IF(BZ110="PUD",'7. Op Rev and Exp'!$H$32/12*BZ$17*BZ$20,0)</f>
        <v>0</v>
      </c>
      <c r="CA23" s="118">
        <f ca="1">IF(CA110="PUD",'7. Op Rev and Exp'!$H$32/12*CA$17*CA$20,0)</f>
        <v>0</v>
      </c>
      <c r="CB23" s="118">
        <f ca="1">IF(CB110="PUD",'7. Op Rev and Exp'!$H$32/12*CB$17*CB$20,0)</f>
        <v>0</v>
      </c>
      <c r="CC23" s="118">
        <f ca="1">IF(CC110="PUD",'7. Op Rev and Exp'!$H$32/12*CC$17*CC$20,0)</f>
        <v>0</v>
      </c>
      <c r="CD23" s="118">
        <f ca="1">IF(CD110="PUD",'7. Op Rev and Exp'!$H$32/12*CD$17*CD$20,0)</f>
        <v>0</v>
      </c>
      <c r="CE23" s="118">
        <f ca="1">IF(CE110="PUD",'7. Op Rev and Exp'!$H$32/12*CE$17*CE$20,0)</f>
        <v>0</v>
      </c>
      <c r="CF23" s="118">
        <f ca="1">IF(CF110="PUD",'7. Op Rev and Exp'!$H$32/12*CF$17*CF$20,0)</f>
        <v>0</v>
      </c>
      <c r="CG23" s="118">
        <f ca="1">IF(CG110="PUD",'7. Op Rev and Exp'!$H$32/12*CG$17*CG$20,0)</f>
        <v>0</v>
      </c>
      <c r="CH23" s="118">
        <f ca="1">IF(CH110="PUD",'7. Op Rev and Exp'!$H$32/12*CH$17*CH$20,0)</f>
        <v>0</v>
      </c>
      <c r="CI23" s="118">
        <f ca="1">IF(CI110="PUD",'7. Op Rev and Exp'!$H$32/12*CI$17*CI$20,0)</f>
        <v>0</v>
      </c>
      <c r="CJ23" s="118">
        <f ca="1">IF(CJ110="PUD",'7. Op Rev and Exp'!$H$32/12*CJ$17*CJ$20,0)</f>
        <v>0</v>
      </c>
      <c r="CK23" s="118">
        <f ca="1">IF(CK110="PUD",'7. Op Rev and Exp'!$H$32/12*CK$17*CK$20,0)</f>
        <v>0</v>
      </c>
      <c r="CL23" s="118">
        <f ca="1">IF(CL110="PUD",'7. Op Rev and Exp'!$H$32/12*CL$17*CL$20,0)</f>
        <v>0</v>
      </c>
      <c r="CM23" s="118">
        <f ca="1">IF(CM110="PUD",'7. Op Rev and Exp'!$H$32/12*CM$17*CM$20,0)</f>
        <v>0</v>
      </c>
      <c r="CN23" s="118">
        <f ca="1">IF(CN110="PUD",'7. Op Rev and Exp'!$H$32/12*CN$17*CN$20,0)</f>
        <v>0</v>
      </c>
      <c r="CO23" s="118">
        <f ca="1">IF(CO110="PUD",'7. Op Rev and Exp'!$H$32/12*CO$17*CO$20,0)</f>
        <v>0</v>
      </c>
      <c r="CP23" s="118">
        <f ca="1">IF(CP110="PUD",'7. Op Rev and Exp'!$H$32/12*CP$17*CP$20,0)</f>
        <v>0</v>
      </c>
      <c r="CQ23" s="118">
        <f ca="1">IF(CQ110="PUD",'7. Op Rev and Exp'!$H$32/12*CQ$17*CQ$20,0)</f>
        <v>0</v>
      </c>
      <c r="CR23" s="118">
        <f ca="1">IF(CR110="PUD",'7. Op Rev and Exp'!$H$32/12*CR$17*CR$20,0)</f>
        <v>0</v>
      </c>
      <c r="CS23" s="118">
        <f ca="1">IF(CS110="PUD",'7. Op Rev and Exp'!$H$32/12*CS$17*CS$20,0)</f>
        <v>0</v>
      </c>
      <c r="CT23" s="118">
        <f ca="1">IF(CT110="PUD",'7. Op Rev and Exp'!$H$32/12*CT$17*CT$20,0)</f>
        <v>0</v>
      </c>
      <c r="CU23" s="118">
        <f ca="1">IF(CU110="PUD",'7. Op Rev and Exp'!$H$32/12*CU$17*CU$20,0)</f>
        <v>0</v>
      </c>
      <c r="CV23" s="118">
        <f ca="1">IF(CV110="PUD",'7. Op Rev and Exp'!$H$32/12*CV$17*CV$20,0)</f>
        <v>0</v>
      </c>
      <c r="CW23" s="118">
        <f ca="1">IF(CW110="PUD",'7. Op Rev and Exp'!$H$32/12*CW$17*CW$20,0)</f>
        <v>0</v>
      </c>
      <c r="CX23" s="118">
        <f ca="1">IF(CX110="PUD",'7. Op Rev and Exp'!$H$32/12*CX$17*CX$20,0)</f>
        <v>0</v>
      </c>
      <c r="CY23" s="118">
        <f ca="1">IF(CY110="PUD",'7. Op Rev and Exp'!$H$32/12*CY$17*CY$20,0)</f>
        <v>0</v>
      </c>
      <c r="CZ23" s="118">
        <f ca="1">IF(CZ110="PUD",'7. Op Rev and Exp'!$H$32/12*CZ$17*CZ$20,0)</f>
        <v>0</v>
      </c>
    </row>
    <row r="24" spans="2:104" x14ac:dyDescent="0.2">
      <c r="B24" s="119" t="s">
        <v>160</v>
      </c>
      <c r="C24" s="118">
        <f ca="1">-'9. Development Costs'!H85</f>
        <v>-125272.418175</v>
      </c>
      <c r="D24" s="118">
        <f ca="1">ROUND(C24-E24,0)</f>
        <v>0</v>
      </c>
      <c r="E24" s="118">
        <f t="shared" ca="1" si="16"/>
        <v>-125272.418175</v>
      </c>
      <c r="H24" s="123"/>
      <c r="I24" s="118">
        <f ca="1">IF(I110="PUD",-'7. Op Rev and Exp'!$H$33/12*I$17*I$20,0)</f>
        <v>0</v>
      </c>
      <c r="J24" s="118">
        <f ca="1">IF(J110="PUD",-'7. Op Rev and Exp'!$H$33/12*J$17*J$20,0)</f>
        <v>0</v>
      </c>
      <c r="K24" s="118">
        <f ca="1">IF(K110="PUD",-'7. Op Rev and Exp'!$H$33/12*K$17*K$20,0)</f>
        <v>0</v>
      </c>
      <c r="L24" s="118">
        <f ca="1">IF(L110="PUD",-'7. Op Rev and Exp'!$H$33/12*L$17*L$20,0)</f>
        <v>0</v>
      </c>
      <c r="M24" s="118">
        <f ca="1">IF(M110="PUD",-'7. Op Rev and Exp'!$H$33/12*M$17*M$20,0)</f>
        <v>0</v>
      </c>
      <c r="N24" s="118">
        <f ca="1">IF(N110="PUD",-'7. Op Rev and Exp'!$H$33/12*N$17*N$20,0)</f>
        <v>0</v>
      </c>
      <c r="O24" s="118">
        <f ca="1">IF(O110="PUD",-'7. Op Rev and Exp'!$H$33/12*O$17*O$20,0)</f>
        <v>0</v>
      </c>
      <c r="P24" s="118">
        <f ca="1">IF(P110="PUD",-'7. Op Rev and Exp'!$H$33/12*P$17*P$20,0)</f>
        <v>0</v>
      </c>
      <c r="Q24" s="118">
        <f ca="1">IF(Q110="PUD",-'7. Op Rev and Exp'!$H$33/12*Q$17*Q$20,0)</f>
        <v>0</v>
      </c>
      <c r="R24" s="118">
        <f ca="1">IF(R110="PUD",-'7. Op Rev and Exp'!$H$33/12*R$17*R$20,0)</f>
        <v>0</v>
      </c>
      <c r="S24" s="118">
        <f ca="1">IF(S110="PUD",-'7. Op Rev and Exp'!$H$33/12*S$17*S$20,0)</f>
        <v>0</v>
      </c>
      <c r="T24" s="118">
        <f ca="1">IF(T110="PUD",-'7. Op Rev and Exp'!$H$33/12*T$17*T$20,0)</f>
        <v>0</v>
      </c>
      <c r="U24" s="118">
        <f ca="1">IF(U110="PUD",-'7. Op Rev and Exp'!$H$33/12*U$17*U$20,0)</f>
        <v>0</v>
      </c>
      <c r="V24" s="118">
        <f ca="1">IF(V110="PUD",-'7. Op Rev and Exp'!$H$33/12*V$17*V$20,0)</f>
        <v>0</v>
      </c>
      <c r="W24" s="118">
        <f ca="1">IF(W110="PUD",-'7. Op Rev and Exp'!$H$33/12*W$17*W$20,0)</f>
        <v>0</v>
      </c>
      <c r="X24" s="118">
        <f ca="1">IF(X110="PUD",-'7. Op Rev and Exp'!$H$33/12*X$17*X$20,0)</f>
        <v>0</v>
      </c>
      <c r="Y24" s="118">
        <f ca="1">IF(Y110="PUD",-'7. Op Rev and Exp'!$H$33/12*Y$17*Y$20,0)</f>
        <v>0</v>
      </c>
      <c r="Z24" s="118">
        <f ca="1">IF(Z110="PUD",-'7. Op Rev and Exp'!$H$33/12*Z$17*Z$20,0)</f>
        <v>0</v>
      </c>
      <c r="AA24" s="118">
        <f ca="1">IF(AA110="PUD",-'7. Op Rev and Exp'!$H$33/12*AA$17*AA$20,0)</f>
        <v>0</v>
      </c>
      <c r="AB24" s="118">
        <f ca="1">IF(AB110="PUD",-'7. Op Rev and Exp'!$H$33/12*AB$17*AB$20,0)</f>
        <v>0</v>
      </c>
      <c r="AC24" s="118">
        <f ca="1">IF(AC110="PUD",-'7. Op Rev and Exp'!$H$33/12*AC$17*AC$20,0)</f>
        <v>0</v>
      </c>
      <c r="AD24" s="118">
        <f ca="1">IF(AD110="PUD",-'7. Op Rev and Exp'!$H$33/12*AD$17*AD$20,0)</f>
        <v>0</v>
      </c>
      <c r="AE24" s="118">
        <f ca="1">IF(AE110="PUD",-'7. Op Rev and Exp'!$H$33/12*AE$17*AE$20,0)</f>
        <v>0</v>
      </c>
      <c r="AF24" s="118">
        <f ca="1">IF(AF110="PUD",-'7. Op Rev and Exp'!$H$33/12*AF$17*AF$20,0)</f>
        <v>0</v>
      </c>
      <c r="AG24" s="118">
        <f ca="1">IF(AG110="PUD",-'7. Op Rev and Exp'!$H$33/12*AG$17*AG$20,0)</f>
        <v>0</v>
      </c>
      <c r="AH24" s="118">
        <f ca="1">IF(AH110="PUD",-'7. Op Rev and Exp'!$H$33/12*AH$17*AH$20,0)</f>
        <v>0</v>
      </c>
      <c r="AI24" s="118">
        <f ca="1">IF(AI110="PUD",-'7. Op Rev and Exp'!$H$33/12*AI$17*AI$20,0)</f>
        <v>0</v>
      </c>
      <c r="AJ24" s="118">
        <f ca="1">IF(AJ110="PUD",-'7. Op Rev and Exp'!$H$33/12*AJ$17*AJ$20,0)</f>
        <v>0</v>
      </c>
      <c r="AK24" s="118">
        <f ca="1">IF(AK110="PUD",-'7. Op Rev and Exp'!$H$33/12*AK$17*AK$20,0)</f>
        <v>0</v>
      </c>
      <c r="AL24" s="118">
        <f ca="1">IF(AL110="PUD",-'7. Op Rev and Exp'!$H$33/12*AL$17*AL$20,0)</f>
        <v>0</v>
      </c>
      <c r="AM24" s="118">
        <f ca="1">IF(AM110="PUD",-'7. Op Rev and Exp'!$H$33/12*AM$17*AM$20,0)</f>
        <v>0</v>
      </c>
      <c r="AN24" s="118">
        <f ca="1">IF(AN110="PUD",-'7. Op Rev and Exp'!$H$33/12*AN$17*AN$20,0)</f>
        <v>0</v>
      </c>
      <c r="AO24" s="118">
        <f ca="1">IF(AO110="PUD",-'7. Op Rev and Exp'!$H$33/12*AO$17*AO$20,0)</f>
        <v>-4246.5226499999999</v>
      </c>
      <c r="AP24" s="118">
        <f ca="1">IF(AP110="PUD",-'7. Op Rev and Exp'!$H$33/12*AP$17*AP$20,0)</f>
        <v>-5662.0301999999992</v>
      </c>
      <c r="AQ24" s="118">
        <f ca="1">IF(AQ110="PUD",-'7. Op Rev and Exp'!$H$33/12*AQ$17*AQ$20,0)</f>
        <v>-7077.5377499999995</v>
      </c>
      <c r="AR24" s="118">
        <f ca="1">IF(AR110="PUD",-'7. Op Rev and Exp'!$H$33/12*AR$17*AR$20,0)</f>
        <v>-8662.9062059999997</v>
      </c>
      <c r="AS24" s="118">
        <f ca="1">IF(AS110="PUD",-'7. Op Rev and Exp'!$H$33/12*AS$17*AS$20,0)</f>
        <v>-10106.723907000001</v>
      </c>
      <c r="AT24" s="118">
        <f ca="1">IF(AT110="PUD",-'7. Op Rev and Exp'!$H$33/12*AT$17*AT$20,0)</f>
        <v>-11550.541608</v>
      </c>
      <c r="AU24" s="118">
        <f ca="1">IF(AU110="PUD",-'7. Op Rev and Exp'!$H$33/12*AU$17*AU$20,0)</f>
        <v>-12994.359309000001</v>
      </c>
      <c r="AV24" s="118">
        <f ca="1">IF(AV110="PUD",-'7. Op Rev and Exp'!$H$33/12*AV$17*AV$20,0)</f>
        <v>-14438.177010000003</v>
      </c>
      <c r="AW24" s="118">
        <f ca="1">IF(AW110="PUD",-'7. Op Rev and Exp'!$H$33/12*AW$17*AW$20,0)</f>
        <v>-15881.994710999999</v>
      </c>
      <c r="AX24" s="118">
        <f ca="1">IF(AX110="PUD",-'7. Op Rev and Exp'!$H$33/12*AX$17*AX$20,0)</f>
        <v>-17325.812411999999</v>
      </c>
      <c r="AY24" s="118">
        <f ca="1">IF(AY110="PUD",-'7. Op Rev and Exp'!$H$33/12*AY$17*AY$20,0)</f>
        <v>-17325.812411999999</v>
      </c>
      <c r="AZ24" s="118">
        <f ca="1">IF(AZ110="PUD",-'7. Op Rev and Exp'!$H$33/12*AZ$17*AZ$20,0)</f>
        <v>0</v>
      </c>
      <c r="BA24" s="118">
        <f ca="1">IF(BA110="PUD",-'7. Op Rev and Exp'!$H$33/12*BA$17*BA$20,0)</f>
        <v>0</v>
      </c>
      <c r="BB24" s="118">
        <f ca="1">IF(BB110="PUD",-'7. Op Rev and Exp'!$H$33/12*BB$17*BB$20,0)</f>
        <v>0</v>
      </c>
      <c r="BC24" s="118">
        <f ca="1">IF(BC110="PUD",-'7. Op Rev and Exp'!$H$33/12*BC$17*BC$20,0)</f>
        <v>0</v>
      </c>
      <c r="BD24" s="118">
        <f ca="1">IF(BD110="PUD",-'7. Op Rev and Exp'!$H$33/12*BD$17*BD$20,0)</f>
        <v>0</v>
      </c>
      <c r="BE24" s="118">
        <f ca="1">IF(BE110="PUD",-'7. Op Rev and Exp'!$H$33/12*BE$17*BE$20,0)</f>
        <v>0</v>
      </c>
      <c r="BF24" s="118">
        <f ca="1">IF(BF110="PUD",-'7. Op Rev and Exp'!$H$33/12*BF$17*BF$20,0)</f>
        <v>0</v>
      </c>
      <c r="BG24" s="118">
        <f ca="1">IF(BG110="PUD",-'7. Op Rev and Exp'!$H$33/12*BG$17*BG$20,0)</f>
        <v>0</v>
      </c>
      <c r="BH24" s="118">
        <f ca="1">IF(BH110="PUD",-'7. Op Rev and Exp'!$H$33/12*BH$17*BH$20,0)</f>
        <v>0</v>
      </c>
      <c r="BI24" s="118">
        <f ca="1">IF(BI110="PUD",-'7. Op Rev and Exp'!$H$33/12*BI$17*BI$20,0)</f>
        <v>0</v>
      </c>
      <c r="BJ24" s="118">
        <f ca="1">IF(BJ110="PUD",-'7. Op Rev and Exp'!$H$33/12*BJ$17*BJ$20,0)</f>
        <v>0</v>
      </c>
      <c r="BK24" s="118">
        <f ca="1">IF(BK110="PUD",-'7. Op Rev and Exp'!$H$33/12*BK$17*BK$20,0)</f>
        <v>0</v>
      </c>
      <c r="BL24" s="118">
        <f ca="1">IF(BL110="PUD",-'7. Op Rev and Exp'!$H$33/12*BL$17*BL$20,0)</f>
        <v>0</v>
      </c>
      <c r="BM24" s="118">
        <f ca="1">IF(BM110="PUD",-'7. Op Rev and Exp'!$H$33/12*BM$17*BM$20,0)</f>
        <v>0</v>
      </c>
      <c r="BN24" s="118">
        <f ca="1">IF(BN110="PUD",-'7. Op Rev and Exp'!$H$33/12*BN$17*BN$20,0)</f>
        <v>0</v>
      </c>
      <c r="BO24" s="118">
        <f ca="1">IF(BO110="PUD",-'7. Op Rev and Exp'!$H$33/12*BO$17*BO$20,0)</f>
        <v>0</v>
      </c>
      <c r="BP24" s="118">
        <f ca="1">IF(BP110="PUD",-'7. Op Rev and Exp'!$H$33/12*BP$17*BP$20,0)</f>
        <v>0</v>
      </c>
      <c r="BQ24" s="118">
        <f ca="1">IF(BQ110="PUD",-'7. Op Rev and Exp'!$H$33/12*BQ$17*BQ$20,0)</f>
        <v>0</v>
      </c>
      <c r="BR24" s="118">
        <f ca="1">IF(BR110="PUD",-'7. Op Rev and Exp'!$H$33/12*BR$17*BR$20,0)</f>
        <v>0</v>
      </c>
      <c r="BS24" s="118">
        <f ca="1">IF(BS110="PUD",-'7. Op Rev and Exp'!$H$33/12*BS$17*BS$20,0)</f>
        <v>0</v>
      </c>
      <c r="BT24" s="118">
        <f ca="1">IF(BT110="PUD",-'7. Op Rev and Exp'!$H$33/12*BT$17*BT$20,0)</f>
        <v>0</v>
      </c>
      <c r="BU24" s="118">
        <f ca="1">IF(BU110="PUD",-'7. Op Rev and Exp'!$H$33/12*BU$17*BU$20,0)</f>
        <v>0</v>
      </c>
      <c r="BV24" s="118">
        <f ca="1">IF(BV110="PUD",-'7. Op Rev and Exp'!$H$33/12*BV$17*BV$20,0)</f>
        <v>0</v>
      </c>
      <c r="BW24" s="118">
        <f ca="1">IF(BW110="PUD",-'7. Op Rev and Exp'!$H$33/12*BW$17*BW$20,0)</f>
        <v>0</v>
      </c>
      <c r="BX24" s="118">
        <f ca="1">IF(BX110="PUD",-'7. Op Rev and Exp'!$H$33/12*BX$17*BX$20,0)</f>
        <v>0</v>
      </c>
      <c r="BY24" s="118">
        <f ca="1">IF(BY110="PUD",-'7. Op Rev and Exp'!$H$33/12*BY$17*BY$20,0)</f>
        <v>0</v>
      </c>
      <c r="BZ24" s="118">
        <f ca="1">IF(BZ110="PUD",-'7. Op Rev and Exp'!$H$33/12*BZ$17*BZ$20,0)</f>
        <v>0</v>
      </c>
      <c r="CA24" s="118">
        <f ca="1">IF(CA110="PUD",-'7. Op Rev and Exp'!$H$33/12*CA$17*CA$20,0)</f>
        <v>0</v>
      </c>
      <c r="CB24" s="118">
        <f ca="1">IF(CB110="PUD",-'7. Op Rev and Exp'!$H$33/12*CB$17*CB$20,0)</f>
        <v>0</v>
      </c>
      <c r="CC24" s="118">
        <f ca="1">IF(CC110="PUD",-'7. Op Rev and Exp'!$H$33/12*CC$17*CC$20,0)</f>
        <v>0</v>
      </c>
      <c r="CD24" s="118">
        <f ca="1">IF(CD110="PUD",-'7. Op Rev and Exp'!$H$33/12*CD$17*CD$20,0)</f>
        <v>0</v>
      </c>
      <c r="CE24" s="118">
        <f ca="1">IF(CE110="PUD",-'7. Op Rev and Exp'!$H$33/12*CE$17*CE$20,0)</f>
        <v>0</v>
      </c>
      <c r="CF24" s="118">
        <f ca="1">IF(CF110="PUD",-'7. Op Rev and Exp'!$H$33/12*CF$17*CF$20,0)</f>
        <v>0</v>
      </c>
      <c r="CG24" s="118">
        <f ca="1">IF(CG110="PUD",-'7. Op Rev and Exp'!$H$33/12*CG$17*CG$20,0)</f>
        <v>0</v>
      </c>
      <c r="CH24" s="118">
        <f ca="1">IF(CH110="PUD",-'7. Op Rev and Exp'!$H$33/12*CH$17*CH$20,0)</f>
        <v>0</v>
      </c>
      <c r="CI24" s="118">
        <f ca="1">IF(CI110="PUD",-'7. Op Rev and Exp'!$H$33/12*CI$17*CI$20,0)</f>
        <v>0</v>
      </c>
      <c r="CJ24" s="118">
        <f ca="1">IF(CJ110="PUD",-'7. Op Rev and Exp'!$H$33/12*CJ$17*CJ$20,0)</f>
        <v>0</v>
      </c>
      <c r="CK24" s="118">
        <f ca="1">IF(CK110="PUD",-'7. Op Rev and Exp'!$H$33/12*CK$17*CK$20,0)</f>
        <v>0</v>
      </c>
      <c r="CL24" s="118">
        <f ca="1">IF(CL110="PUD",-'7. Op Rev and Exp'!$H$33/12*CL$17*CL$20,0)</f>
        <v>0</v>
      </c>
      <c r="CM24" s="118">
        <f ca="1">IF(CM110="PUD",-'7. Op Rev and Exp'!$H$33/12*CM$17*CM$20,0)</f>
        <v>0</v>
      </c>
      <c r="CN24" s="118">
        <f ca="1">IF(CN110="PUD",-'7. Op Rev and Exp'!$H$33/12*CN$17*CN$20,0)</f>
        <v>0</v>
      </c>
      <c r="CO24" s="118">
        <f ca="1">IF(CO110="PUD",-'7. Op Rev and Exp'!$H$33/12*CO$17*CO$20,0)</f>
        <v>0</v>
      </c>
      <c r="CP24" s="118">
        <f ca="1">IF(CP110="PUD",-'7. Op Rev and Exp'!$H$33/12*CP$17*CP$20,0)</f>
        <v>0</v>
      </c>
      <c r="CQ24" s="118">
        <f ca="1">IF(CQ110="PUD",-'7. Op Rev and Exp'!$H$33/12*CQ$17*CQ$20,0)</f>
        <v>0</v>
      </c>
      <c r="CR24" s="118">
        <f ca="1">IF(CR110="PUD",-'7. Op Rev and Exp'!$H$33/12*CR$17*CR$20,0)</f>
        <v>0</v>
      </c>
      <c r="CS24" s="118">
        <f ca="1">IF(CS110="PUD",-'7. Op Rev and Exp'!$H$33/12*CS$17*CS$20,0)</f>
        <v>0</v>
      </c>
      <c r="CT24" s="118">
        <f ca="1">IF(CT110="PUD",-'7. Op Rev and Exp'!$H$33/12*CT$17*CT$20,0)</f>
        <v>0</v>
      </c>
      <c r="CU24" s="118">
        <f ca="1">IF(CU110="PUD",-'7. Op Rev and Exp'!$H$33/12*CU$17*CU$20,0)</f>
        <v>0</v>
      </c>
      <c r="CV24" s="118">
        <f ca="1">IF(CV110="PUD",-'7. Op Rev and Exp'!$H$33/12*CV$17*CV$20,0)</f>
        <v>0</v>
      </c>
      <c r="CW24" s="118">
        <f ca="1">IF(CW110="PUD",-'7. Op Rev and Exp'!$H$33/12*CW$17*CW$20,0)</f>
        <v>0</v>
      </c>
      <c r="CX24" s="118">
        <f ca="1">IF(CX110="PUD",-'7. Op Rev and Exp'!$H$33/12*CX$17*CX$20,0)</f>
        <v>0</v>
      </c>
      <c r="CY24" s="118">
        <f ca="1">IF(CY110="PUD",-'7. Op Rev and Exp'!$H$33/12*CY$17*CY$20,0)</f>
        <v>0</v>
      </c>
      <c r="CZ24" s="118">
        <f ca="1">IF(CZ110="PUD",-'7. Op Rev and Exp'!$H$33/12*CZ$17*CZ$20,0)</f>
        <v>0</v>
      </c>
    </row>
    <row r="25" spans="2:104" x14ac:dyDescent="0.2">
      <c r="B25" s="136" t="s">
        <v>30</v>
      </c>
      <c r="C25" s="145">
        <f ca="1">-'9. Development Costs'!H86</f>
        <v>-1098123.3061192499</v>
      </c>
      <c r="D25" s="140">
        <f ca="1">ROUND(C25-E25,0)</f>
        <v>0</v>
      </c>
      <c r="E25" s="118">
        <f t="shared" ca="1" si="16"/>
        <v>-1098123.3061192499</v>
      </c>
      <c r="F25" s="37"/>
      <c r="G25" s="48"/>
      <c r="H25" s="124"/>
      <c r="I25" s="140">
        <f ca="1">IF(I110="PUD",-'7. Op Rev and Exp'!$H$50/12*I$17*I$21,0)</f>
        <v>0</v>
      </c>
      <c r="J25" s="140">
        <f ca="1">IF(J110="PUD",-'7. Op Rev and Exp'!$H$50/12*J$17*J$21,0)</f>
        <v>0</v>
      </c>
      <c r="K25" s="140">
        <f ca="1">IF(K110="PUD",-'7. Op Rev and Exp'!$H$50/12*K$17*K$21,0)</f>
        <v>0</v>
      </c>
      <c r="L25" s="140">
        <f ca="1">IF(L110="PUD",-'7. Op Rev and Exp'!$H$50/12*L$17*L$21,0)</f>
        <v>0</v>
      </c>
      <c r="M25" s="140">
        <f ca="1">IF(M110="PUD",-'7. Op Rev and Exp'!$H$50/12*M$17*M$21,0)</f>
        <v>0</v>
      </c>
      <c r="N25" s="140">
        <f ca="1">IF(N110="PUD",-'7. Op Rev and Exp'!$H$50/12*N$17*N$21,0)</f>
        <v>0</v>
      </c>
      <c r="O25" s="140">
        <f ca="1">IF(O110="PUD",-'7. Op Rev and Exp'!$H$50/12*O$17*O$21,0)</f>
        <v>0</v>
      </c>
      <c r="P25" s="140">
        <f ca="1">IF(P110="PUD",-'7. Op Rev and Exp'!$H$50/12*P$17*P$21,0)</f>
        <v>0</v>
      </c>
      <c r="Q25" s="140">
        <f ca="1">IF(Q110="PUD",-'7. Op Rev and Exp'!$H$50/12*Q$17*Q$21,0)</f>
        <v>0</v>
      </c>
      <c r="R25" s="140">
        <f ca="1">IF(R110="PUD",-'7. Op Rev and Exp'!$H$50/12*R$17*R$21,0)</f>
        <v>0</v>
      </c>
      <c r="S25" s="140">
        <f ca="1">IF(S110="PUD",-'7. Op Rev and Exp'!$H$50/12*S$17*S$21,0)</f>
        <v>0</v>
      </c>
      <c r="T25" s="140">
        <f ca="1">IF(T110="PUD",-'7. Op Rev and Exp'!$H$50/12*T$17*T$21,0)</f>
        <v>0</v>
      </c>
      <c r="U25" s="140">
        <f ca="1">IF(U110="PUD",-'7. Op Rev and Exp'!$H$50/12*U$17*U$21,0)</f>
        <v>0</v>
      </c>
      <c r="V25" s="140">
        <f ca="1">IF(V110="PUD",-'7. Op Rev and Exp'!$H$50/12*V$17*V$21,0)</f>
        <v>0</v>
      </c>
      <c r="W25" s="140">
        <f ca="1">IF(W110="PUD",-'7. Op Rev and Exp'!$H$50/12*W$17*W$21,0)</f>
        <v>0</v>
      </c>
      <c r="X25" s="140">
        <f ca="1">IF(X110="PUD",-'7. Op Rev and Exp'!$H$50/12*X$17*X$21,0)</f>
        <v>0</v>
      </c>
      <c r="Y25" s="140">
        <f ca="1">IF(Y110="PUD",-'7. Op Rev and Exp'!$H$50/12*Y$17*Y$21,0)</f>
        <v>0</v>
      </c>
      <c r="Z25" s="140">
        <f ca="1">IF(Z110="PUD",-'7. Op Rev and Exp'!$H$50/12*Z$17*Z$21,0)</f>
        <v>0</v>
      </c>
      <c r="AA25" s="140">
        <f ca="1">IF(AA110="PUD",-'7. Op Rev and Exp'!$H$50/12*AA$17*AA$21,0)</f>
        <v>0</v>
      </c>
      <c r="AB25" s="140">
        <f ca="1">IF(AB110="PUD",-'7. Op Rev and Exp'!$H$50/12*AB$17*AB$21,0)</f>
        <v>0</v>
      </c>
      <c r="AC25" s="140">
        <f ca="1">IF(AC110="PUD",-'7. Op Rev and Exp'!$H$50/12*AC$17*AC$21,0)</f>
        <v>0</v>
      </c>
      <c r="AD25" s="140">
        <f ca="1">IF(AD110="PUD",-'7. Op Rev and Exp'!$H$50/12*AD$17*AD$21,0)</f>
        <v>0</v>
      </c>
      <c r="AE25" s="140">
        <f ca="1">IF(AE110="PUD",-'7. Op Rev and Exp'!$H$50/12*AE$17*AE$21,0)</f>
        <v>0</v>
      </c>
      <c r="AF25" s="140">
        <f ca="1">IF(AF110="PUD",-'7. Op Rev and Exp'!$H$50/12*AF$17*AF$21,0)</f>
        <v>0</v>
      </c>
      <c r="AG25" s="140">
        <f ca="1">IF(AG110="PUD",-'7. Op Rev and Exp'!$H$50/12*AG$17*AG$21,0)</f>
        <v>0</v>
      </c>
      <c r="AH25" s="140">
        <f ca="1">IF(AH110="PUD",-'7. Op Rev and Exp'!$H$50/12*AH$17*AH$21,0)</f>
        <v>0</v>
      </c>
      <c r="AI25" s="140">
        <f ca="1">IF(AI110="PUD",-'7. Op Rev and Exp'!$H$50/12*AI$17*AI$21,0)</f>
        <v>0</v>
      </c>
      <c r="AJ25" s="140">
        <f ca="1">IF(AJ110="PUD",-'7. Op Rev and Exp'!$H$50/12*AJ$17*AJ$21,0)</f>
        <v>0</v>
      </c>
      <c r="AK25" s="140">
        <f ca="1">IF(AK110="PUD",-'7. Op Rev and Exp'!$H$50/12*AK$17*AK$21,0)</f>
        <v>0</v>
      </c>
      <c r="AL25" s="140">
        <f ca="1">IF(AL110="PUD",-'7. Op Rev and Exp'!$H$50/12*AL$17*AL$21,0)</f>
        <v>0</v>
      </c>
      <c r="AM25" s="140">
        <f ca="1">IF(AM110="PUD",-'7. Op Rev and Exp'!$H$50/12*AM$17*AM$21,0)</f>
        <v>0</v>
      </c>
      <c r="AN25" s="140">
        <f ca="1">IF(AN110="PUD",-'7. Op Rev and Exp'!$H$50/12*AN$17*AN$21,0)</f>
        <v>0</v>
      </c>
      <c r="AO25" s="140">
        <f ca="1">IF(AO110="PUD",-'7. Op Rev and Exp'!$H$50/12*AO$17*AO$21,0)</f>
        <v>-37224.518851499997</v>
      </c>
      <c r="AP25" s="140">
        <f ca="1">IF(AP110="PUD",-'7. Op Rev and Exp'!$H$50/12*AP$17*AP$21,0)</f>
        <v>-49632.691802000001</v>
      </c>
      <c r="AQ25" s="140">
        <f ca="1">IF(AQ110="PUD",-'7. Op Rev and Exp'!$H$50/12*AQ$17*AQ$21,0)</f>
        <v>-62040.864752499998</v>
      </c>
      <c r="AR25" s="140">
        <f ca="1">IF(AR110="PUD",-'7. Op Rev and Exp'!$H$50/12*AR$17*AR$21,0)</f>
        <v>-75938.018457059996</v>
      </c>
      <c r="AS25" s="140">
        <f ca="1">IF(AS110="PUD",-'7. Op Rev and Exp'!$H$50/12*AS$17*AS$21,0)</f>
        <v>-88594.354866570007</v>
      </c>
      <c r="AT25" s="140">
        <f ca="1">IF(AT110="PUD",-'7. Op Rev and Exp'!$H$50/12*AT$17*AT$21,0)</f>
        <v>-101250.69127608</v>
      </c>
      <c r="AU25" s="140">
        <f ca="1">IF(AU110="PUD",-'7. Op Rev and Exp'!$H$50/12*AU$17*AU$21,0)</f>
        <v>-113907.02768559002</v>
      </c>
      <c r="AV25" s="140">
        <f ca="1">IF(AV110="PUD",-'7. Op Rev and Exp'!$H$50/12*AV$17*AV$21,0)</f>
        <v>-126563.36409510001</v>
      </c>
      <c r="AW25" s="140">
        <f ca="1">IF(AW110="PUD",-'7. Op Rev and Exp'!$H$50/12*AW$17*AW$21,0)</f>
        <v>-139219.70050460999</v>
      </c>
      <c r="AX25" s="140">
        <f ca="1">IF(AX110="PUD",-'7. Op Rev and Exp'!$H$50/12*AX$17*AX$21,0)</f>
        <v>-151876.03691411999</v>
      </c>
      <c r="AY25" s="140">
        <f ca="1">IF(AY110="PUD",-'7. Op Rev and Exp'!$H$50/12*AY$17*AY$21,0)</f>
        <v>-151876.03691411999</v>
      </c>
      <c r="AZ25" s="140">
        <f ca="1">IF(AZ110="PUD",-'7. Op Rev and Exp'!$H$50/12*AZ$17*AZ$21,0)</f>
        <v>0</v>
      </c>
      <c r="BA25" s="140">
        <f ca="1">IF(BA110="PUD",-'7. Op Rev and Exp'!$H$50/12*BA$17*BA$21,0)</f>
        <v>0</v>
      </c>
      <c r="BB25" s="140">
        <f ca="1">IF(BB110="PUD",-'7. Op Rev and Exp'!$H$50/12*BB$17*BB$21,0)</f>
        <v>0</v>
      </c>
      <c r="BC25" s="140">
        <f ca="1">IF(BC110="PUD",-'7. Op Rev and Exp'!$H$50/12*BC$17*BC$21,0)</f>
        <v>0</v>
      </c>
      <c r="BD25" s="140">
        <f ca="1">IF(BD110="PUD",-'7. Op Rev and Exp'!$H$50/12*BD$17*BD$21,0)</f>
        <v>0</v>
      </c>
      <c r="BE25" s="140">
        <f ca="1">IF(BE110="PUD",-'7. Op Rev and Exp'!$H$50/12*BE$17*BE$21,0)</f>
        <v>0</v>
      </c>
      <c r="BF25" s="140">
        <f ca="1">IF(BF110="PUD",-'7. Op Rev and Exp'!$H$50/12*BF$17*BF$21,0)</f>
        <v>0</v>
      </c>
      <c r="BG25" s="140">
        <f ca="1">IF(BG110="PUD",-'7. Op Rev and Exp'!$H$50/12*BG$17*BG$21,0)</f>
        <v>0</v>
      </c>
      <c r="BH25" s="140">
        <f ca="1">IF(BH110="PUD",-'7. Op Rev and Exp'!$H$50/12*BH$17*BH$21,0)</f>
        <v>0</v>
      </c>
      <c r="BI25" s="140">
        <f ca="1">IF(BI110="PUD",-'7. Op Rev and Exp'!$H$50/12*BI$17*BI$21,0)</f>
        <v>0</v>
      </c>
      <c r="BJ25" s="140">
        <f ca="1">IF(BJ110="PUD",-'7. Op Rev and Exp'!$H$50/12*BJ$17*BJ$21,0)</f>
        <v>0</v>
      </c>
      <c r="BK25" s="140">
        <f ca="1">IF(BK110="PUD",-'7. Op Rev and Exp'!$H$50/12*BK$17*BK$21,0)</f>
        <v>0</v>
      </c>
      <c r="BL25" s="140">
        <f ca="1">IF(BL110="PUD",-'7. Op Rev and Exp'!$H$50/12*BL$17*BL$21,0)</f>
        <v>0</v>
      </c>
      <c r="BM25" s="140">
        <f ca="1">IF(BM110="PUD",-'7. Op Rev and Exp'!$H$50/12*BM$17*BM$21,0)</f>
        <v>0</v>
      </c>
      <c r="BN25" s="140">
        <f ca="1">IF(BN110="PUD",-'7. Op Rev and Exp'!$H$50/12*BN$17*BN$21,0)</f>
        <v>0</v>
      </c>
      <c r="BO25" s="140">
        <f ca="1">IF(BO110="PUD",-'7. Op Rev and Exp'!$H$50/12*BO$17*BO$21,0)</f>
        <v>0</v>
      </c>
      <c r="BP25" s="140">
        <f ca="1">IF(BP110="PUD",-'7. Op Rev and Exp'!$H$50/12*BP$17*BP$21,0)</f>
        <v>0</v>
      </c>
      <c r="BQ25" s="140">
        <f ca="1">IF(BQ110="PUD",-'7. Op Rev and Exp'!$H$50/12*BQ$17*BQ$21,0)</f>
        <v>0</v>
      </c>
      <c r="BR25" s="140">
        <f ca="1">IF(BR110="PUD",-'7. Op Rev and Exp'!$H$50/12*BR$17*BR$21,0)</f>
        <v>0</v>
      </c>
      <c r="BS25" s="140">
        <f ca="1">IF(BS110="PUD",-'7. Op Rev and Exp'!$H$50/12*BS$17*BS$21,0)</f>
        <v>0</v>
      </c>
      <c r="BT25" s="140">
        <f ca="1">IF(BT110="PUD",-'7. Op Rev and Exp'!$H$50/12*BT$17*BT$21,0)</f>
        <v>0</v>
      </c>
      <c r="BU25" s="140">
        <f ca="1">IF(BU110="PUD",-'7. Op Rev and Exp'!$H$50/12*BU$17*BU$21,0)</f>
        <v>0</v>
      </c>
      <c r="BV25" s="140">
        <f ca="1">IF(BV110="PUD",-'7. Op Rev and Exp'!$H$50/12*BV$17*BV$21,0)</f>
        <v>0</v>
      </c>
      <c r="BW25" s="140">
        <f ca="1">IF(BW110="PUD",-'7. Op Rev and Exp'!$H$50/12*BW$17*BW$21,0)</f>
        <v>0</v>
      </c>
      <c r="BX25" s="140">
        <f ca="1">IF(BX110="PUD",-'7. Op Rev and Exp'!$H$50/12*BX$17*BX$21,0)</f>
        <v>0</v>
      </c>
      <c r="BY25" s="140">
        <f ca="1">IF(BY110="PUD",-'7. Op Rev and Exp'!$H$50/12*BY$17*BY$21,0)</f>
        <v>0</v>
      </c>
      <c r="BZ25" s="140">
        <f ca="1">IF(BZ110="PUD",-'7. Op Rev and Exp'!$H$50/12*BZ$17*BZ$21,0)</f>
        <v>0</v>
      </c>
      <c r="CA25" s="140">
        <f ca="1">IF(CA110="PUD",-'7. Op Rev and Exp'!$H$50/12*CA$17*CA$21,0)</f>
        <v>0</v>
      </c>
      <c r="CB25" s="140">
        <f ca="1">IF(CB110="PUD",-'7. Op Rev and Exp'!$H$50/12*CB$17*CB$21,0)</f>
        <v>0</v>
      </c>
      <c r="CC25" s="140">
        <f ca="1">IF(CC110="PUD",-'7. Op Rev and Exp'!$H$50/12*CC$17*CC$21,0)</f>
        <v>0</v>
      </c>
      <c r="CD25" s="140">
        <f ca="1">IF(CD110="PUD",-'7. Op Rev and Exp'!$H$50/12*CD$17*CD$21,0)</f>
        <v>0</v>
      </c>
      <c r="CE25" s="140">
        <f ca="1">IF(CE110="PUD",-'7. Op Rev and Exp'!$H$50/12*CE$17*CE$21,0)</f>
        <v>0</v>
      </c>
      <c r="CF25" s="140">
        <f ca="1">IF(CF110="PUD",-'7. Op Rev and Exp'!$H$50/12*CF$17*CF$21,0)</f>
        <v>0</v>
      </c>
      <c r="CG25" s="140">
        <f ca="1">IF(CG110="PUD",-'7. Op Rev and Exp'!$H$50/12*CG$17*CG$21,0)</f>
        <v>0</v>
      </c>
      <c r="CH25" s="140">
        <f ca="1">IF(CH110="PUD",-'7. Op Rev and Exp'!$H$50/12*CH$17*CH$21,0)</f>
        <v>0</v>
      </c>
      <c r="CI25" s="140">
        <f ca="1">IF(CI110="PUD",-'7. Op Rev and Exp'!$H$50/12*CI$17*CI$21,0)</f>
        <v>0</v>
      </c>
      <c r="CJ25" s="140">
        <f ca="1">IF(CJ110="PUD",-'7. Op Rev and Exp'!$H$50/12*CJ$17*CJ$21,0)</f>
        <v>0</v>
      </c>
      <c r="CK25" s="140">
        <f ca="1">IF(CK110="PUD",-'7. Op Rev and Exp'!$H$50/12*CK$17*CK$21,0)</f>
        <v>0</v>
      </c>
      <c r="CL25" s="140">
        <f ca="1">IF(CL110="PUD",-'7. Op Rev and Exp'!$H$50/12*CL$17*CL$21,0)</f>
        <v>0</v>
      </c>
      <c r="CM25" s="140">
        <f ca="1">IF(CM110="PUD",-'7. Op Rev and Exp'!$H$50/12*CM$17*CM$21,0)</f>
        <v>0</v>
      </c>
      <c r="CN25" s="140">
        <f ca="1">IF(CN110="PUD",-'7. Op Rev and Exp'!$H$50/12*CN$17*CN$21,0)</f>
        <v>0</v>
      </c>
      <c r="CO25" s="140">
        <f ca="1">IF(CO110="PUD",-'7. Op Rev and Exp'!$H$50/12*CO$17*CO$21,0)</f>
        <v>0</v>
      </c>
      <c r="CP25" s="140">
        <f ca="1">IF(CP110="PUD",-'7. Op Rev and Exp'!$H$50/12*CP$17*CP$21,0)</f>
        <v>0</v>
      </c>
      <c r="CQ25" s="140">
        <f ca="1">IF(CQ110="PUD",-'7. Op Rev and Exp'!$H$50/12*CQ$17*CQ$21,0)</f>
        <v>0</v>
      </c>
      <c r="CR25" s="140">
        <f ca="1">IF(CR110="PUD",-'7. Op Rev and Exp'!$H$50/12*CR$17*CR$21,0)</f>
        <v>0</v>
      </c>
      <c r="CS25" s="140">
        <f ca="1">IF(CS110="PUD",-'7. Op Rev and Exp'!$H$50/12*CS$17*CS$21,0)</f>
        <v>0</v>
      </c>
      <c r="CT25" s="140">
        <f ca="1">IF(CT110="PUD",-'7. Op Rev and Exp'!$H$50/12*CT$17*CT$21,0)</f>
        <v>0</v>
      </c>
      <c r="CU25" s="140">
        <f ca="1">IF(CU110="PUD",-'7. Op Rev and Exp'!$H$50/12*CU$17*CU$21,0)</f>
        <v>0</v>
      </c>
      <c r="CV25" s="140">
        <f ca="1">IF(CV110="PUD",-'7. Op Rev and Exp'!$H$50/12*CV$17*CV$21,0)</f>
        <v>0</v>
      </c>
      <c r="CW25" s="140">
        <f ca="1">IF(CW110="PUD",-'7. Op Rev and Exp'!$H$50/12*CW$17*CW$21,0)</f>
        <v>0</v>
      </c>
      <c r="CX25" s="140">
        <f ca="1">IF(CX110="PUD",-'7. Op Rev and Exp'!$H$50/12*CX$17*CX$21,0)</f>
        <v>0</v>
      </c>
      <c r="CY25" s="140">
        <f ca="1">IF(CY110="PUD",-'7. Op Rev and Exp'!$H$50/12*CY$17*CY$21,0)</f>
        <v>0</v>
      </c>
      <c r="CZ25" s="140">
        <f ca="1">IF(CZ110="PUD",-'7. Op Rev and Exp'!$H$50/12*CZ$17*CZ$21,0)</f>
        <v>0</v>
      </c>
    </row>
    <row r="26" spans="2:104" x14ac:dyDescent="0.2">
      <c r="B26" s="364" t="s">
        <v>161</v>
      </c>
      <c r="C26" s="358">
        <f ca="1">SUM(C23:C25)</f>
        <v>2952351.5482057491</v>
      </c>
      <c r="D26" s="359"/>
      <c r="E26" s="363">
        <f ca="1">SUM(I26:CZ26)+E21</f>
        <v>2952351.5482057501</v>
      </c>
      <c r="H26" s="123"/>
      <c r="I26" s="142">
        <f ca="1">SUM(I23:I25)</f>
        <v>0</v>
      </c>
      <c r="J26" s="142">
        <f t="shared" ref="J26:BU26" ca="1" si="17">SUM(J23:J25)</f>
        <v>0</v>
      </c>
      <c r="K26" s="142">
        <f t="shared" ca="1" si="17"/>
        <v>0</v>
      </c>
      <c r="L26" s="142">
        <f t="shared" ca="1" si="17"/>
        <v>0</v>
      </c>
      <c r="M26" s="142">
        <f t="shared" ca="1" si="17"/>
        <v>0</v>
      </c>
      <c r="N26" s="142">
        <f t="shared" ca="1" si="17"/>
        <v>0</v>
      </c>
      <c r="O26" s="142">
        <f t="shared" ca="1" si="17"/>
        <v>0</v>
      </c>
      <c r="P26" s="142">
        <f t="shared" ca="1" si="17"/>
        <v>0</v>
      </c>
      <c r="Q26" s="142">
        <f t="shared" ca="1" si="17"/>
        <v>0</v>
      </c>
      <c r="R26" s="142">
        <f t="shared" ca="1" si="17"/>
        <v>0</v>
      </c>
      <c r="S26" s="142">
        <f t="shared" ca="1" si="17"/>
        <v>0</v>
      </c>
      <c r="T26" s="142">
        <f t="shared" ca="1" si="17"/>
        <v>0</v>
      </c>
      <c r="U26" s="142">
        <f t="shared" ca="1" si="17"/>
        <v>0</v>
      </c>
      <c r="V26" s="142">
        <f t="shared" ca="1" si="17"/>
        <v>0</v>
      </c>
      <c r="W26" s="142">
        <f t="shared" ca="1" si="17"/>
        <v>0</v>
      </c>
      <c r="X26" s="142">
        <f t="shared" ca="1" si="17"/>
        <v>0</v>
      </c>
      <c r="Y26" s="142">
        <f t="shared" ca="1" si="17"/>
        <v>0</v>
      </c>
      <c r="Z26" s="142">
        <f t="shared" ca="1" si="17"/>
        <v>0</v>
      </c>
      <c r="AA26" s="142">
        <f t="shared" ca="1" si="17"/>
        <v>0</v>
      </c>
      <c r="AB26" s="142">
        <f t="shared" ca="1" si="17"/>
        <v>0</v>
      </c>
      <c r="AC26" s="142">
        <f t="shared" ca="1" si="17"/>
        <v>0</v>
      </c>
      <c r="AD26" s="142">
        <f t="shared" ca="1" si="17"/>
        <v>0</v>
      </c>
      <c r="AE26" s="142">
        <f t="shared" ca="1" si="17"/>
        <v>0</v>
      </c>
      <c r="AF26" s="142">
        <f t="shared" ca="1" si="17"/>
        <v>0</v>
      </c>
      <c r="AG26" s="142">
        <f t="shared" ca="1" si="17"/>
        <v>0</v>
      </c>
      <c r="AH26" s="142">
        <f t="shared" ca="1" si="17"/>
        <v>0</v>
      </c>
      <c r="AI26" s="142">
        <f t="shared" ca="1" si="17"/>
        <v>0</v>
      </c>
      <c r="AJ26" s="142">
        <f t="shared" ca="1" si="17"/>
        <v>0</v>
      </c>
      <c r="AK26" s="142">
        <f t="shared" ca="1" si="17"/>
        <v>0</v>
      </c>
      <c r="AL26" s="142">
        <f t="shared" ca="1" si="17"/>
        <v>0</v>
      </c>
      <c r="AM26" s="142">
        <f t="shared" ca="1" si="17"/>
        <v>0</v>
      </c>
      <c r="AN26" s="142">
        <f t="shared" ca="1" si="17"/>
        <v>0</v>
      </c>
      <c r="AO26" s="142">
        <f t="shared" ca="1" si="17"/>
        <v>100079.71349849997</v>
      </c>
      <c r="AP26" s="142">
        <f t="shared" ca="1" si="17"/>
        <v>133439.61799799994</v>
      </c>
      <c r="AQ26" s="142">
        <f t="shared" ca="1" si="17"/>
        <v>166799.52249749997</v>
      </c>
      <c r="AR26" s="142">
        <f t="shared" ca="1" si="17"/>
        <v>204162.61553693999</v>
      </c>
      <c r="AS26" s="142">
        <f t="shared" ca="1" si="17"/>
        <v>238189.71812643003</v>
      </c>
      <c r="AT26" s="142">
        <f t="shared" ca="1" si="17"/>
        <v>272216.82071591995</v>
      </c>
      <c r="AU26" s="142">
        <f t="shared" ca="1" si="17"/>
        <v>306243.92330540996</v>
      </c>
      <c r="AV26" s="142">
        <f t="shared" ca="1" si="17"/>
        <v>340271.02589490003</v>
      </c>
      <c r="AW26" s="142">
        <f t="shared" ca="1" si="17"/>
        <v>374298.12848438998</v>
      </c>
      <c r="AX26" s="142">
        <f t="shared" ca="1" si="17"/>
        <v>408325.23107387999</v>
      </c>
      <c r="AY26" s="142">
        <f t="shared" ca="1" si="17"/>
        <v>408325.23107387999</v>
      </c>
      <c r="AZ26" s="142">
        <f t="shared" ca="1" si="17"/>
        <v>0</v>
      </c>
      <c r="BA26" s="142">
        <f t="shared" ca="1" si="17"/>
        <v>0</v>
      </c>
      <c r="BB26" s="142">
        <f t="shared" ca="1" si="17"/>
        <v>0</v>
      </c>
      <c r="BC26" s="142">
        <f t="shared" ca="1" si="17"/>
        <v>0</v>
      </c>
      <c r="BD26" s="142">
        <f t="shared" ca="1" si="17"/>
        <v>0</v>
      </c>
      <c r="BE26" s="142">
        <f t="shared" ca="1" si="17"/>
        <v>0</v>
      </c>
      <c r="BF26" s="142">
        <f t="shared" ca="1" si="17"/>
        <v>0</v>
      </c>
      <c r="BG26" s="142">
        <f t="shared" ca="1" si="17"/>
        <v>0</v>
      </c>
      <c r="BH26" s="142">
        <f t="shared" ca="1" si="17"/>
        <v>0</v>
      </c>
      <c r="BI26" s="142">
        <f t="shared" ca="1" si="17"/>
        <v>0</v>
      </c>
      <c r="BJ26" s="142">
        <f t="shared" ca="1" si="17"/>
        <v>0</v>
      </c>
      <c r="BK26" s="142">
        <f t="shared" ca="1" si="17"/>
        <v>0</v>
      </c>
      <c r="BL26" s="142">
        <f t="shared" ca="1" si="17"/>
        <v>0</v>
      </c>
      <c r="BM26" s="142">
        <f t="shared" ca="1" si="17"/>
        <v>0</v>
      </c>
      <c r="BN26" s="142">
        <f t="shared" ca="1" si="17"/>
        <v>0</v>
      </c>
      <c r="BO26" s="142">
        <f t="shared" ca="1" si="17"/>
        <v>0</v>
      </c>
      <c r="BP26" s="142">
        <f t="shared" ca="1" si="17"/>
        <v>0</v>
      </c>
      <c r="BQ26" s="142">
        <f t="shared" ca="1" si="17"/>
        <v>0</v>
      </c>
      <c r="BR26" s="142">
        <f t="shared" ca="1" si="17"/>
        <v>0</v>
      </c>
      <c r="BS26" s="142">
        <f t="shared" ca="1" si="17"/>
        <v>0</v>
      </c>
      <c r="BT26" s="142">
        <f t="shared" ca="1" si="17"/>
        <v>0</v>
      </c>
      <c r="BU26" s="142">
        <f t="shared" ca="1" si="17"/>
        <v>0</v>
      </c>
      <c r="BV26" s="142">
        <f t="shared" ref="BV26:CZ26" ca="1" si="18">SUM(BV23:BV25)</f>
        <v>0</v>
      </c>
      <c r="BW26" s="142">
        <f t="shared" ca="1" si="18"/>
        <v>0</v>
      </c>
      <c r="BX26" s="142">
        <f t="shared" ca="1" si="18"/>
        <v>0</v>
      </c>
      <c r="BY26" s="142">
        <f t="shared" ca="1" si="18"/>
        <v>0</v>
      </c>
      <c r="BZ26" s="142">
        <f t="shared" ca="1" si="18"/>
        <v>0</v>
      </c>
      <c r="CA26" s="142">
        <f t="shared" ca="1" si="18"/>
        <v>0</v>
      </c>
      <c r="CB26" s="142">
        <f t="shared" ca="1" si="18"/>
        <v>0</v>
      </c>
      <c r="CC26" s="142">
        <f t="shared" ca="1" si="18"/>
        <v>0</v>
      </c>
      <c r="CD26" s="142">
        <f t="shared" ca="1" si="18"/>
        <v>0</v>
      </c>
      <c r="CE26" s="142">
        <f t="shared" ca="1" si="18"/>
        <v>0</v>
      </c>
      <c r="CF26" s="142">
        <f t="shared" ca="1" si="18"/>
        <v>0</v>
      </c>
      <c r="CG26" s="142">
        <f t="shared" ca="1" si="18"/>
        <v>0</v>
      </c>
      <c r="CH26" s="142">
        <f t="shared" ca="1" si="18"/>
        <v>0</v>
      </c>
      <c r="CI26" s="142">
        <f t="shared" ca="1" si="18"/>
        <v>0</v>
      </c>
      <c r="CJ26" s="142">
        <f t="shared" ca="1" si="18"/>
        <v>0</v>
      </c>
      <c r="CK26" s="142">
        <f t="shared" ca="1" si="18"/>
        <v>0</v>
      </c>
      <c r="CL26" s="142">
        <f t="shared" ca="1" si="18"/>
        <v>0</v>
      </c>
      <c r="CM26" s="142">
        <f t="shared" ca="1" si="18"/>
        <v>0</v>
      </c>
      <c r="CN26" s="142">
        <f t="shared" ca="1" si="18"/>
        <v>0</v>
      </c>
      <c r="CO26" s="142">
        <f t="shared" ca="1" si="18"/>
        <v>0</v>
      </c>
      <c r="CP26" s="142">
        <f t="shared" ca="1" si="18"/>
        <v>0</v>
      </c>
      <c r="CQ26" s="142">
        <f t="shared" ca="1" si="18"/>
        <v>0</v>
      </c>
      <c r="CR26" s="142">
        <f t="shared" ca="1" si="18"/>
        <v>0</v>
      </c>
      <c r="CS26" s="142">
        <f t="shared" ca="1" si="18"/>
        <v>0</v>
      </c>
      <c r="CT26" s="142">
        <f t="shared" ca="1" si="18"/>
        <v>0</v>
      </c>
      <c r="CU26" s="142">
        <f t="shared" ca="1" si="18"/>
        <v>0</v>
      </c>
      <c r="CV26" s="142">
        <f t="shared" ca="1" si="18"/>
        <v>0</v>
      </c>
      <c r="CW26" s="142">
        <f t="shared" ca="1" si="18"/>
        <v>0</v>
      </c>
      <c r="CX26" s="142">
        <f t="shared" ca="1" si="18"/>
        <v>0</v>
      </c>
      <c r="CY26" s="142">
        <f t="shared" ca="1" si="18"/>
        <v>0</v>
      </c>
      <c r="CZ26" s="142">
        <f t="shared" ca="1" si="18"/>
        <v>0</v>
      </c>
    </row>
    <row r="27" spans="2:104" x14ac:dyDescent="0.2">
      <c r="B27" s="123"/>
      <c r="H27" s="123"/>
    </row>
    <row r="28" spans="2:104" x14ac:dyDescent="0.2">
      <c r="B28" s="126" t="s">
        <v>110</v>
      </c>
      <c r="C28" s="34"/>
      <c r="D28" s="34"/>
      <c r="E28" s="35"/>
      <c r="F28" s="35"/>
      <c r="G28" s="107"/>
      <c r="H28" s="122"/>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row>
    <row r="29" spans="2:104" x14ac:dyDescent="0.2">
      <c r="B29" s="119" t="str">
        <f>'9. Development Costs'!B14</f>
        <v>Land</v>
      </c>
      <c r="C29" s="118">
        <f>-'9. Development Costs'!H14</f>
        <v>-9911777.8536000028</v>
      </c>
      <c r="D29" s="118">
        <f ca="1">ROUND(C29-E29,0)</f>
        <v>0</v>
      </c>
      <c r="E29" s="118">
        <f t="shared" ref="E29:E31" ca="1" si="19">SUM(I29:CZ29)</f>
        <v>-9911777.8536000028</v>
      </c>
      <c r="F29" s="272">
        <f ca="1">'8. Schedule'!D13</f>
        <v>46069</v>
      </c>
      <c r="G29" s="272">
        <f ca="1">'8. Schedule'!E13</f>
        <v>46069</v>
      </c>
      <c r="H29" s="125">
        <f ca="1">DATEDIF(F29,G29,"m")+1</f>
        <v>1</v>
      </c>
      <c r="I29" s="118">
        <f ca="1">IF(AND(I$7&lt;=$G29,I$7&gt;=$F29,$H29&lt;&gt;0,$H29&lt;&gt;""),$C29/$H29,0)</f>
        <v>-9911777.8536000028</v>
      </c>
      <c r="J29" s="118">
        <f t="shared" ref="J29:BU30" ca="1" si="20">IF(AND(J$7&lt;=$G29,J$7&gt;=$F29,$H29&lt;&gt;0,$H29&lt;&gt;""),$C29/$H29,0)</f>
        <v>0</v>
      </c>
      <c r="K29" s="118">
        <f t="shared" ca="1" si="20"/>
        <v>0</v>
      </c>
      <c r="L29" s="118">
        <f t="shared" ca="1" si="20"/>
        <v>0</v>
      </c>
      <c r="M29" s="118">
        <f t="shared" ca="1" si="20"/>
        <v>0</v>
      </c>
      <c r="N29" s="118">
        <f t="shared" ca="1" si="20"/>
        <v>0</v>
      </c>
      <c r="O29" s="118">
        <f t="shared" ca="1" si="20"/>
        <v>0</v>
      </c>
      <c r="P29" s="118">
        <f t="shared" ca="1" si="20"/>
        <v>0</v>
      </c>
      <c r="Q29" s="118">
        <f t="shared" ca="1" si="20"/>
        <v>0</v>
      </c>
      <c r="R29" s="118">
        <f t="shared" ca="1" si="20"/>
        <v>0</v>
      </c>
      <c r="S29" s="118">
        <f t="shared" ca="1" si="20"/>
        <v>0</v>
      </c>
      <c r="T29" s="118">
        <f t="shared" ca="1" si="20"/>
        <v>0</v>
      </c>
      <c r="U29" s="118">
        <f t="shared" ca="1" si="20"/>
        <v>0</v>
      </c>
      <c r="V29" s="118">
        <f t="shared" ca="1" si="20"/>
        <v>0</v>
      </c>
      <c r="W29" s="118">
        <f t="shared" ca="1" si="20"/>
        <v>0</v>
      </c>
      <c r="X29" s="118">
        <f t="shared" ca="1" si="20"/>
        <v>0</v>
      </c>
      <c r="Y29" s="118">
        <f t="shared" ca="1" si="20"/>
        <v>0</v>
      </c>
      <c r="Z29" s="118">
        <f t="shared" ca="1" si="20"/>
        <v>0</v>
      </c>
      <c r="AA29" s="118">
        <f t="shared" ca="1" si="20"/>
        <v>0</v>
      </c>
      <c r="AB29" s="118">
        <f t="shared" ca="1" si="20"/>
        <v>0</v>
      </c>
      <c r="AC29" s="118">
        <f t="shared" ca="1" si="20"/>
        <v>0</v>
      </c>
      <c r="AD29" s="118">
        <f t="shared" ca="1" si="20"/>
        <v>0</v>
      </c>
      <c r="AE29" s="118">
        <f t="shared" ca="1" si="20"/>
        <v>0</v>
      </c>
      <c r="AF29" s="118">
        <f t="shared" ca="1" si="20"/>
        <v>0</v>
      </c>
      <c r="AG29" s="118">
        <f t="shared" ca="1" si="20"/>
        <v>0</v>
      </c>
      <c r="AH29" s="118">
        <f t="shared" ca="1" si="20"/>
        <v>0</v>
      </c>
      <c r="AI29" s="118">
        <f t="shared" ca="1" si="20"/>
        <v>0</v>
      </c>
      <c r="AJ29" s="118">
        <f t="shared" ca="1" si="20"/>
        <v>0</v>
      </c>
      <c r="AK29" s="118">
        <f t="shared" ca="1" si="20"/>
        <v>0</v>
      </c>
      <c r="AL29" s="118">
        <f t="shared" ca="1" si="20"/>
        <v>0</v>
      </c>
      <c r="AM29" s="118">
        <f t="shared" ca="1" si="20"/>
        <v>0</v>
      </c>
      <c r="AN29" s="118">
        <f t="shared" ca="1" si="20"/>
        <v>0</v>
      </c>
      <c r="AO29" s="118">
        <f t="shared" ca="1" si="20"/>
        <v>0</v>
      </c>
      <c r="AP29" s="118">
        <f t="shared" ca="1" si="20"/>
        <v>0</v>
      </c>
      <c r="AQ29" s="118">
        <f t="shared" ca="1" si="20"/>
        <v>0</v>
      </c>
      <c r="AR29" s="118">
        <f t="shared" ca="1" si="20"/>
        <v>0</v>
      </c>
      <c r="AS29" s="118">
        <f t="shared" ca="1" si="20"/>
        <v>0</v>
      </c>
      <c r="AT29" s="118">
        <f t="shared" ca="1" si="20"/>
        <v>0</v>
      </c>
      <c r="AU29" s="118">
        <f t="shared" ca="1" si="20"/>
        <v>0</v>
      </c>
      <c r="AV29" s="118">
        <f t="shared" ca="1" si="20"/>
        <v>0</v>
      </c>
      <c r="AW29" s="118">
        <f t="shared" ca="1" si="20"/>
        <v>0</v>
      </c>
      <c r="AX29" s="118">
        <f t="shared" ca="1" si="20"/>
        <v>0</v>
      </c>
      <c r="AY29" s="118">
        <f t="shared" ca="1" si="20"/>
        <v>0</v>
      </c>
      <c r="AZ29" s="118">
        <f t="shared" ca="1" si="20"/>
        <v>0</v>
      </c>
      <c r="BA29" s="118">
        <f t="shared" ca="1" si="20"/>
        <v>0</v>
      </c>
      <c r="BB29" s="118">
        <f t="shared" ca="1" si="20"/>
        <v>0</v>
      </c>
      <c r="BC29" s="118">
        <f t="shared" ca="1" si="20"/>
        <v>0</v>
      </c>
      <c r="BD29" s="118">
        <f t="shared" ca="1" si="20"/>
        <v>0</v>
      </c>
      <c r="BE29" s="118">
        <f t="shared" ca="1" si="20"/>
        <v>0</v>
      </c>
      <c r="BF29" s="118">
        <f t="shared" ca="1" si="20"/>
        <v>0</v>
      </c>
      <c r="BG29" s="118">
        <f t="shared" ca="1" si="20"/>
        <v>0</v>
      </c>
      <c r="BH29" s="118">
        <f t="shared" ca="1" si="20"/>
        <v>0</v>
      </c>
      <c r="BI29" s="118">
        <f t="shared" ca="1" si="20"/>
        <v>0</v>
      </c>
      <c r="BJ29" s="118">
        <f t="shared" ca="1" si="20"/>
        <v>0</v>
      </c>
      <c r="BK29" s="118">
        <f t="shared" ca="1" si="20"/>
        <v>0</v>
      </c>
      <c r="BL29" s="118">
        <f t="shared" ca="1" si="20"/>
        <v>0</v>
      </c>
      <c r="BM29" s="118">
        <f t="shared" ca="1" si="20"/>
        <v>0</v>
      </c>
      <c r="BN29" s="118">
        <f t="shared" ca="1" si="20"/>
        <v>0</v>
      </c>
      <c r="BO29" s="118">
        <f t="shared" ca="1" si="20"/>
        <v>0</v>
      </c>
      <c r="BP29" s="118">
        <f t="shared" ca="1" si="20"/>
        <v>0</v>
      </c>
      <c r="BQ29" s="118">
        <f t="shared" ca="1" si="20"/>
        <v>0</v>
      </c>
      <c r="BR29" s="118">
        <f t="shared" ca="1" si="20"/>
        <v>0</v>
      </c>
      <c r="BS29" s="118">
        <f t="shared" ca="1" si="20"/>
        <v>0</v>
      </c>
      <c r="BT29" s="118">
        <f t="shared" ca="1" si="20"/>
        <v>0</v>
      </c>
      <c r="BU29" s="118">
        <f t="shared" ca="1" si="20"/>
        <v>0</v>
      </c>
      <c r="BV29" s="118">
        <f t="shared" ref="BV29:CZ30" ca="1" si="21">IF(AND(BV$7&lt;=$G29,BV$7&gt;=$F29,$H29&lt;&gt;0,$H29&lt;&gt;""),$C29/$H29,0)</f>
        <v>0</v>
      </c>
      <c r="BW29" s="118">
        <f t="shared" ca="1" si="21"/>
        <v>0</v>
      </c>
      <c r="BX29" s="118">
        <f t="shared" ca="1" si="21"/>
        <v>0</v>
      </c>
      <c r="BY29" s="118">
        <f t="shared" ca="1" si="21"/>
        <v>0</v>
      </c>
      <c r="BZ29" s="118">
        <f t="shared" ca="1" si="21"/>
        <v>0</v>
      </c>
      <c r="CA29" s="118">
        <f t="shared" ca="1" si="21"/>
        <v>0</v>
      </c>
      <c r="CB29" s="118">
        <f t="shared" ca="1" si="21"/>
        <v>0</v>
      </c>
      <c r="CC29" s="118">
        <f t="shared" ca="1" si="21"/>
        <v>0</v>
      </c>
      <c r="CD29" s="118">
        <f t="shared" ca="1" si="21"/>
        <v>0</v>
      </c>
      <c r="CE29" s="118">
        <f t="shared" ca="1" si="21"/>
        <v>0</v>
      </c>
      <c r="CF29" s="118">
        <f t="shared" ca="1" si="21"/>
        <v>0</v>
      </c>
      <c r="CG29" s="118">
        <f t="shared" ca="1" si="21"/>
        <v>0</v>
      </c>
      <c r="CH29" s="118">
        <f t="shared" ca="1" si="21"/>
        <v>0</v>
      </c>
      <c r="CI29" s="118">
        <f t="shared" ca="1" si="21"/>
        <v>0</v>
      </c>
      <c r="CJ29" s="118">
        <f t="shared" ca="1" si="21"/>
        <v>0</v>
      </c>
      <c r="CK29" s="118">
        <f t="shared" ca="1" si="21"/>
        <v>0</v>
      </c>
      <c r="CL29" s="118">
        <f t="shared" ca="1" si="21"/>
        <v>0</v>
      </c>
      <c r="CM29" s="118">
        <f t="shared" ca="1" si="21"/>
        <v>0</v>
      </c>
      <c r="CN29" s="118">
        <f t="shared" ca="1" si="21"/>
        <v>0</v>
      </c>
      <c r="CO29" s="118">
        <f t="shared" ca="1" si="21"/>
        <v>0</v>
      </c>
      <c r="CP29" s="118">
        <f t="shared" ca="1" si="21"/>
        <v>0</v>
      </c>
      <c r="CQ29" s="118">
        <f t="shared" ca="1" si="21"/>
        <v>0</v>
      </c>
      <c r="CR29" s="118">
        <f t="shared" ca="1" si="21"/>
        <v>0</v>
      </c>
      <c r="CS29" s="118">
        <f t="shared" ca="1" si="21"/>
        <v>0</v>
      </c>
      <c r="CT29" s="118">
        <f t="shared" ca="1" si="21"/>
        <v>0</v>
      </c>
      <c r="CU29" s="118">
        <f t="shared" ca="1" si="21"/>
        <v>0</v>
      </c>
      <c r="CV29" s="118">
        <f t="shared" ca="1" si="21"/>
        <v>0</v>
      </c>
      <c r="CW29" s="118">
        <f t="shared" ca="1" si="21"/>
        <v>0</v>
      </c>
      <c r="CX29" s="118">
        <f t="shared" ca="1" si="21"/>
        <v>0</v>
      </c>
      <c r="CY29" s="118">
        <f t="shared" ca="1" si="21"/>
        <v>0</v>
      </c>
      <c r="CZ29" s="118">
        <f t="shared" ca="1" si="21"/>
        <v>0</v>
      </c>
    </row>
    <row r="30" spans="2:104" x14ac:dyDescent="0.2">
      <c r="B30" s="119" t="str">
        <f>'9. Development Costs'!B15</f>
        <v>Closing / Other Cost</v>
      </c>
      <c r="C30" s="118">
        <f>-'9. Development Costs'!H15</f>
        <v>-495588.89268000016</v>
      </c>
      <c r="D30" s="118">
        <f ca="1">ROUND(C30-E30,0)</f>
        <v>0</v>
      </c>
      <c r="E30" s="118">
        <f t="shared" ca="1" si="19"/>
        <v>-495588.89268000016</v>
      </c>
      <c r="F30" s="272">
        <f ca="1">F29</f>
        <v>46069</v>
      </c>
      <c r="G30" s="272">
        <f ca="1">G29</f>
        <v>46069</v>
      </c>
      <c r="H30" s="125">
        <f t="shared" ref="H30" ca="1" si="22">DATEDIF(F30,G30,"m")+1</f>
        <v>1</v>
      </c>
      <c r="I30" s="118">
        <f ca="1">IF(AND(I$7&lt;=$G30,I$7&gt;=$F30,$H30&lt;&gt;0,$H30&lt;&gt;""),$C30/$H30,0)</f>
        <v>-495588.89268000016</v>
      </c>
      <c r="J30" s="118">
        <f t="shared" ca="1" si="20"/>
        <v>0</v>
      </c>
      <c r="K30" s="118">
        <f t="shared" ca="1" si="20"/>
        <v>0</v>
      </c>
      <c r="L30" s="118">
        <f t="shared" ca="1" si="20"/>
        <v>0</v>
      </c>
      <c r="M30" s="118">
        <f t="shared" ca="1" si="20"/>
        <v>0</v>
      </c>
      <c r="N30" s="118">
        <f t="shared" ca="1" si="20"/>
        <v>0</v>
      </c>
      <c r="O30" s="118">
        <f t="shared" ca="1" si="20"/>
        <v>0</v>
      </c>
      <c r="P30" s="118">
        <f t="shared" ca="1" si="20"/>
        <v>0</v>
      </c>
      <c r="Q30" s="118">
        <f t="shared" ca="1" si="20"/>
        <v>0</v>
      </c>
      <c r="R30" s="118">
        <f t="shared" ca="1" si="20"/>
        <v>0</v>
      </c>
      <c r="S30" s="118">
        <f t="shared" ca="1" si="20"/>
        <v>0</v>
      </c>
      <c r="T30" s="118">
        <f t="shared" ca="1" si="20"/>
        <v>0</v>
      </c>
      <c r="U30" s="118">
        <f t="shared" ca="1" si="20"/>
        <v>0</v>
      </c>
      <c r="V30" s="118">
        <f t="shared" ca="1" si="20"/>
        <v>0</v>
      </c>
      <c r="W30" s="118">
        <f t="shared" ca="1" si="20"/>
        <v>0</v>
      </c>
      <c r="X30" s="118">
        <f t="shared" ca="1" si="20"/>
        <v>0</v>
      </c>
      <c r="Y30" s="118">
        <f t="shared" ca="1" si="20"/>
        <v>0</v>
      </c>
      <c r="Z30" s="118">
        <f t="shared" ca="1" si="20"/>
        <v>0</v>
      </c>
      <c r="AA30" s="118">
        <f t="shared" ca="1" si="20"/>
        <v>0</v>
      </c>
      <c r="AB30" s="118">
        <f t="shared" ca="1" si="20"/>
        <v>0</v>
      </c>
      <c r="AC30" s="118">
        <f t="shared" ca="1" si="20"/>
        <v>0</v>
      </c>
      <c r="AD30" s="118">
        <f t="shared" ca="1" si="20"/>
        <v>0</v>
      </c>
      <c r="AE30" s="118">
        <f t="shared" ca="1" si="20"/>
        <v>0</v>
      </c>
      <c r="AF30" s="118">
        <f t="shared" ca="1" si="20"/>
        <v>0</v>
      </c>
      <c r="AG30" s="118">
        <f t="shared" ca="1" si="20"/>
        <v>0</v>
      </c>
      <c r="AH30" s="118">
        <f t="shared" ca="1" si="20"/>
        <v>0</v>
      </c>
      <c r="AI30" s="118">
        <f t="shared" ca="1" si="20"/>
        <v>0</v>
      </c>
      <c r="AJ30" s="118">
        <f t="shared" ca="1" si="20"/>
        <v>0</v>
      </c>
      <c r="AK30" s="118">
        <f t="shared" ca="1" si="20"/>
        <v>0</v>
      </c>
      <c r="AL30" s="118">
        <f t="shared" ca="1" si="20"/>
        <v>0</v>
      </c>
      <c r="AM30" s="118">
        <f t="shared" ca="1" si="20"/>
        <v>0</v>
      </c>
      <c r="AN30" s="118">
        <f t="shared" ca="1" si="20"/>
        <v>0</v>
      </c>
      <c r="AO30" s="118">
        <f t="shared" ca="1" si="20"/>
        <v>0</v>
      </c>
      <c r="AP30" s="118">
        <f t="shared" ca="1" si="20"/>
        <v>0</v>
      </c>
      <c r="AQ30" s="118">
        <f t="shared" ca="1" si="20"/>
        <v>0</v>
      </c>
      <c r="AR30" s="118">
        <f t="shared" ca="1" si="20"/>
        <v>0</v>
      </c>
      <c r="AS30" s="118">
        <f t="shared" ca="1" si="20"/>
        <v>0</v>
      </c>
      <c r="AT30" s="118">
        <f t="shared" ca="1" si="20"/>
        <v>0</v>
      </c>
      <c r="AU30" s="118">
        <f t="shared" ca="1" si="20"/>
        <v>0</v>
      </c>
      <c r="AV30" s="118">
        <f t="shared" ca="1" si="20"/>
        <v>0</v>
      </c>
      <c r="AW30" s="118">
        <f t="shared" ca="1" si="20"/>
        <v>0</v>
      </c>
      <c r="AX30" s="118">
        <f t="shared" ca="1" si="20"/>
        <v>0</v>
      </c>
      <c r="AY30" s="118">
        <f t="shared" ca="1" si="20"/>
        <v>0</v>
      </c>
      <c r="AZ30" s="118">
        <f t="shared" ca="1" si="20"/>
        <v>0</v>
      </c>
      <c r="BA30" s="118">
        <f t="shared" ca="1" si="20"/>
        <v>0</v>
      </c>
      <c r="BB30" s="118">
        <f t="shared" ca="1" si="20"/>
        <v>0</v>
      </c>
      <c r="BC30" s="118">
        <f t="shared" ca="1" si="20"/>
        <v>0</v>
      </c>
      <c r="BD30" s="118">
        <f t="shared" ca="1" si="20"/>
        <v>0</v>
      </c>
      <c r="BE30" s="118">
        <f t="shared" ca="1" si="20"/>
        <v>0</v>
      </c>
      <c r="BF30" s="118">
        <f t="shared" ca="1" si="20"/>
        <v>0</v>
      </c>
      <c r="BG30" s="118">
        <f t="shared" ca="1" si="20"/>
        <v>0</v>
      </c>
      <c r="BH30" s="118">
        <f t="shared" ca="1" si="20"/>
        <v>0</v>
      </c>
      <c r="BI30" s="118">
        <f t="shared" ca="1" si="20"/>
        <v>0</v>
      </c>
      <c r="BJ30" s="118">
        <f t="shared" ca="1" si="20"/>
        <v>0</v>
      </c>
      <c r="BK30" s="118">
        <f t="shared" ca="1" si="20"/>
        <v>0</v>
      </c>
      <c r="BL30" s="118">
        <f t="shared" ca="1" si="20"/>
        <v>0</v>
      </c>
      <c r="BM30" s="118">
        <f t="shared" ca="1" si="20"/>
        <v>0</v>
      </c>
      <c r="BN30" s="118">
        <f t="shared" ca="1" si="20"/>
        <v>0</v>
      </c>
      <c r="BO30" s="118">
        <f t="shared" ca="1" si="20"/>
        <v>0</v>
      </c>
      <c r="BP30" s="118">
        <f t="shared" ca="1" si="20"/>
        <v>0</v>
      </c>
      <c r="BQ30" s="118">
        <f t="shared" ca="1" si="20"/>
        <v>0</v>
      </c>
      <c r="BR30" s="118">
        <f t="shared" ca="1" si="20"/>
        <v>0</v>
      </c>
      <c r="BS30" s="118">
        <f t="shared" ca="1" si="20"/>
        <v>0</v>
      </c>
      <c r="BT30" s="118">
        <f t="shared" ca="1" si="20"/>
        <v>0</v>
      </c>
      <c r="BU30" s="118">
        <f t="shared" ca="1" si="20"/>
        <v>0</v>
      </c>
      <c r="BV30" s="118">
        <f t="shared" ca="1" si="21"/>
        <v>0</v>
      </c>
      <c r="BW30" s="118">
        <f t="shared" ca="1" si="21"/>
        <v>0</v>
      </c>
      <c r="BX30" s="118">
        <f t="shared" ca="1" si="21"/>
        <v>0</v>
      </c>
      <c r="BY30" s="118">
        <f t="shared" ca="1" si="21"/>
        <v>0</v>
      </c>
      <c r="BZ30" s="118">
        <f t="shared" ca="1" si="21"/>
        <v>0</v>
      </c>
      <c r="CA30" s="118">
        <f t="shared" ca="1" si="21"/>
        <v>0</v>
      </c>
      <c r="CB30" s="118">
        <f t="shared" ca="1" si="21"/>
        <v>0</v>
      </c>
      <c r="CC30" s="118">
        <f t="shared" ca="1" si="21"/>
        <v>0</v>
      </c>
      <c r="CD30" s="118">
        <f t="shared" ca="1" si="21"/>
        <v>0</v>
      </c>
      <c r="CE30" s="118">
        <f t="shared" ca="1" si="21"/>
        <v>0</v>
      </c>
      <c r="CF30" s="118">
        <f t="shared" ca="1" si="21"/>
        <v>0</v>
      </c>
      <c r="CG30" s="118">
        <f t="shared" ca="1" si="21"/>
        <v>0</v>
      </c>
      <c r="CH30" s="118">
        <f t="shared" ca="1" si="21"/>
        <v>0</v>
      </c>
      <c r="CI30" s="118">
        <f t="shared" ca="1" si="21"/>
        <v>0</v>
      </c>
      <c r="CJ30" s="118">
        <f t="shared" ca="1" si="21"/>
        <v>0</v>
      </c>
      <c r="CK30" s="118">
        <f t="shared" ca="1" si="21"/>
        <v>0</v>
      </c>
      <c r="CL30" s="118">
        <f t="shared" ca="1" si="21"/>
        <v>0</v>
      </c>
      <c r="CM30" s="118">
        <f t="shared" ca="1" si="21"/>
        <v>0</v>
      </c>
      <c r="CN30" s="118">
        <f t="shared" ca="1" si="21"/>
        <v>0</v>
      </c>
      <c r="CO30" s="118">
        <f t="shared" ca="1" si="21"/>
        <v>0</v>
      </c>
      <c r="CP30" s="118">
        <f t="shared" ca="1" si="21"/>
        <v>0</v>
      </c>
      <c r="CQ30" s="118">
        <f t="shared" ca="1" si="21"/>
        <v>0</v>
      </c>
      <c r="CR30" s="118">
        <f t="shared" ca="1" si="21"/>
        <v>0</v>
      </c>
      <c r="CS30" s="118">
        <f t="shared" ca="1" si="21"/>
        <v>0</v>
      </c>
      <c r="CT30" s="118">
        <f t="shared" ca="1" si="21"/>
        <v>0</v>
      </c>
      <c r="CU30" s="118">
        <f t="shared" ca="1" si="21"/>
        <v>0</v>
      </c>
      <c r="CV30" s="118">
        <f t="shared" ca="1" si="21"/>
        <v>0</v>
      </c>
      <c r="CW30" s="118">
        <f t="shared" ca="1" si="21"/>
        <v>0</v>
      </c>
      <c r="CX30" s="118">
        <f t="shared" ca="1" si="21"/>
        <v>0</v>
      </c>
      <c r="CY30" s="118">
        <f t="shared" ca="1" si="21"/>
        <v>0</v>
      </c>
      <c r="CZ30" s="118">
        <f t="shared" ca="1" si="21"/>
        <v>0</v>
      </c>
    </row>
    <row r="31" spans="2:104" x14ac:dyDescent="0.2">
      <c r="B31" s="127" t="str">
        <f>'9. Development Costs'!B16</f>
        <v>Total Land Costs</v>
      </c>
      <c r="C31" s="128">
        <f>-'9. Development Costs'!H16</f>
        <v>-10407366.746280003</v>
      </c>
      <c r="D31" s="128">
        <f t="shared" ref="D31" ca="1" si="23">C31-E31</f>
        <v>0</v>
      </c>
      <c r="E31" s="128">
        <f t="shared" ca="1" si="19"/>
        <v>-10407366.746280003</v>
      </c>
      <c r="F31" s="129"/>
      <c r="G31" s="130"/>
      <c r="H31" s="131"/>
      <c r="I31" s="128">
        <f ca="1">SUM(I29:I30)</f>
        <v>-10407366.746280003</v>
      </c>
      <c r="J31" s="128">
        <f t="shared" ref="J31:BU31" ca="1" si="24">SUM(J29:J30)</f>
        <v>0</v>
      </c>
      <c r="K31" s="128">
        <f t="shared" ca="1" si="24"/>
        <v>0</v>
      </c>
      <c r="L31" s="128">
        <f t="shared" ca="1" si="24"/>
        <v>0</v>
      </c>
      <c r="M31" s="128">
        <f t="shared" ca="1" si="24"/>
        <v>0</v>
      </c>
      <c r="N31" s="128">
        <f t="shared" ca="1" si="24"/>
        <v>0</v>
      </c>
      <c r="O31" s="128">
        <f t="shared" ca="1" si="24"/>
        <v>0</v>
      </c>
      <c r="P31" s="128">
        <f t="shared" ca="1" si="24"/>
        <v>0</v>
      </c>
      <c r="Q31" s="128">
        <f t="shared" ca="1" si="24"/>
        <v>0</v>
      </c>
      <c r="R31" s="128">
        <f t="shared" ca="1" si="24"/>
        <v>0</v>
      </c>
      <c r="S31" s="128">
        <f t="shared" ca="1" si="24"/>
        <v>0</v>
      </c>
      <c r="T31" s="128">
        <f t="shared" ca="1" si="24"/>
        <v>0</v>
      </c>
      <c r="U31" s="128">
        <f t="shared" ca="1" si="24"/>
        <v>0</v>
      </c>
      <c r="V31" s="128">
        <f t="shared" ca="1" si="24"/>
        <v>0</v>
      </c>
      <c r="W31" s="128">
        <f t="shared" ca="1" si="24"/>
        <v>0</v>
      </c>
      <c r="X31" s="128">
        <f t="shared" ca="1" si="24"/>
        <v>0</v>
      </c>
      <c r="Y31" s="128">
        <f t="shared" ca="1" si="24"/>
        <v>0</v>
      </c>
      <c r="Z31" s="128">
        <f t="shared" ca="1" si="24"/>
        <v>0</v>
      </c>
      <c r="AA31" s="128">
        <f t="shared" ca="1" si="24"/>
        <v>0</v>
      </c>
      <c r="AB31" s="128">
        <f t="shared" ca="1" si="24"/>
        <v>0</v>
      </c>
      <c r="AC31" s="128">
        <f t="shared" ca="1" si="24"/>
        <v>0</v>
      </c>
      <c r="AD31" s="128">
        <f t="shared" ca="1" si="24"/>
        <v>0</v>
      </c>
      <c r="AE31" s="128">
        <f t="shared" ca="1" si="24"/>
        <v>0</v>
      </c>
      <c r="AF31" s="128">
        <f t="shared" ca="1" si="24"/>
        <v>0</v>
      </c>
      <c r="AG31" s="128">
        <f t="shared" ca="1" si="24"/>
        <v>0</v>
      </c>
      <c r="AH31" s="128">
        <f t="shared" ca="1" si="24"/>
        <v>0</v>
      </c>
      <c r="AI31" s="128">
        <f t="shared" ca="1" si="24"/>
        <v>0</v>
      </c>
      <c r="AJ31" s="128">
        <f t="shared" ca="1" si="24"/>
        <v>0</v>
      </c>
      <c r="AK31" s="128">
        <f t="shared" ca="1" si="24"/>
        <v>0</v>
      </c>
      <c r="AL31" s="128">
        <f t="shared" ca="1" si="24"/>
        <v>0</v>
      </c>
      <c r="AM31" s="128">
        <f t="shared" ca="1" si="24"/>
        <v>0</v>
      </c>
      <c r="AN31" s="128">
        <f t="shared" ca="1" si="24"/>
        <v>0</v>
      </c>
      <c r="AO31" s="128">
        <f t="shared" ca="1" si="24"/>
        <v>0</v>
      </c>
      <c r="AP31" s="128">
        <f t="shared" ca="1" si="24"/>
        <v>0</v>
      </c>
      <c r="AQ31" s="128">
        <f t="shared" ca="1" si="24"/>
        <v>0</v>
      </c>
      <c r="AR31" s="128">
        <f t="shared" ca="1" si="24"/>
        <v>0</v>
      </c>
      <c r="AS31" s="128">
        <f t="shared" ca="1" si="24"/>
        <v>0</v>
      </c>
      <c r="AT31" s="128">
        <f t="shared" ca="1" si="24"/>
        <v>0</v>
      </c>
      <c r="AU31" s="128">
        <f t="shared" ca="1" si="24"/>
        <v>0</v>
      </c>
      <c r="AV31" s="128">
        <f t="shared" ca="1" si="24"/>
        <v>0</v>
      </c>
      <c r="AW31" s="128">
        <f t="shared" ca="1" si="24"/>
        <v>0</v>
      </c>
      <c r="AX31" s="128">
        <f t="shared" ca="1" si="24"/>
        <v>0</v>
      </c>
      <c r="AY31" s="128">
        <f t="shared" ca="1" si="24"/>
        <v>0</v>
      </c>
      <c r="AZ31" s="128">
        <f t="shared" ca="1" si="24"/>
        <v>0</v>
      </c>
      <c r="BA31" s="128">
        <f t="shared" ca="1" si="24"/>
        <v>0</v>
      </c>
      <c r="BB31" s="128">
        <f t="shared" ca="1" si="24"/>
        <v>0</v>
      </c>
      <c r="BC31" s="128">
        <f t="shared" ca="1" si="24"/>
        <v>0</v>
      </c>
      <c r="BD31" s="128">
        <f t="shared" ca="1" si="24"/>
        <v>0</v>
      </c>
      <c r="BE31" s="128">
        <f t="shared" ca="1" si="24"/>
        <v>0</v>
      </c>
      <c r="BF31" s="128">
        <f t="shared" ca="1" si="24"/>
        <v>0</v>
      </c>
      <c r="BG31" s="128">
        <f t="shared" ca="1" si="24"/>
        <v>0</v>
      </c>
      <c r="BH31" s="128">
        <f t="shared" ca="1" si="24"/>
        <v>0</v>
      </c>
      <c r="BI31" s="128">
        <f t="shared" ca="1" si="24"/>
        <v>0</v>
      </c>
      <c r="BJ31" s="128">
        <f t="shared" ca="1" si="24"/>
        <v>0</v>
      </c>
      <c r="BK31" s="128">
        <f t="shared" ca="1" si="24"/>
        <v>0</v>
      </c>
      <c r="BL31" s="128">
        <f t="shared" ca="1" si="24"/>
        <v>0</v>
      </c>
      <c r="BM31" s="128">
        <f t="shared" ca="1" si="24"/>
        <v>0</v>
      </c>
      <c r="BN31" s="128">
        <f t="shared" ca="1" si="24"/>
        <v>0</v>
      </c>
      <c r="BO31" s="128">
        <f t="shared" ca="1" si="24"/>
        <v>0</v>
      </c>
      <c r="BP31" s="128">
        <f t="shared" ca="1" si="24"/>
        <v>0</v>
      </c>
      <c r="BQ31" s="128">
        <f t="shared" ca="1" si="24"/>
        <v>0</v>
      </c>
      <c r="BR31" s="128">
        <f t="shared" ca="1" si="24"/>
        <v>0</v>
      </c>
      <c r="BS31" s="128">
        <f t="shared" ca="1" si="24"/>
        <v>0</v>
      </c>
      <c r="BT31" s="128">
        <f t="shared" ca="1" si="24"/>
        <v>0</v>
      </c>
      <c r="BU31" s="128">
        <f t="shared" ca="1" si="24"/>
        <v>0</v>
      </c>
      <c r="BV31" s="128">
        <f t="shared" ref="BV31:CZ31" ca="1" si="25">SUM(BV29:BV30)</f>
        <v>0</v>
      </c>
      <c r="BW31" s="128">
        <f t="shared" ca="1" si="25"/>
        <v>0</v>
      </c>
      <c r="BX31" s="128">
        <f t="shared" ca="1" si="25"/>
        <v>0</v>
      </c>
      <c r="BY31" s="128">
        <f t="shared" ca="1" si="25"/>
        <v>0</v>
      </c>
      <c r="BZ31" s="128">
        <f t="shared" ca="1" si="25"/>
        <v>0</v>
      </c>
      <c r="CA31" s="128">
        <f t="shared" ca="1" si="25"/>
        <v>0</v>
      </c>
      <c r="CB31" s="128">
        <f t="shared" ca="1" si="25"/>
        <v>0</v>
      </c>
      <c r="CC31" s="128">
        <f t="shared" ca="1" si="25"/>
        <v>0</v>
      </c>
      <c r="CD31" s="128">
        <f t="shared" ca="1" si="25"/>
        <v>0</v>
      </c>
      <c r="CE31" s="128">
        <f t="shared" ca="1" si="25"/>
        <v>0</v>
      </c>
      <c r="CF31" s="128">
        <f t="shared" ca="1" si="25"/>
        <v>0</v>
      </c>
      <c r="CG31" s="128">
        <f t="shared" ca="1" si="25"/>
        <v>0</v>
      </c>
      <c r="CH31" s="128">
        <f t="shared" ca="1" si="25"/>
        <v>0</v>
      </c>
      <c r="CI31" s="128">
        <f t="shared" ca="1" si="25"/>
        <v>0</v>
      </c>
      <c r="CJ31" s="128">
        <f t="shared" ca="1" si="25"/>
        <v>0</v>
      </c>
      <c r="CK31" s="128">
        <f t="shared" ca="1" si="25"/>
        <v>0</v>
      </c>
      <c r="CL31" s="128">
        <f t="shared" ca="1" si="25"/>
        <v>0</v>
      </c>
      <c r="CM31" s="128">
        <f t="shared" ca="1" si="25"/>
        <v>0</v>
      </c>
      <c r="CN31" s="128">
        <f t="shared" ca="1" si="25"/>
        <v>0</v>
      </c>
      <c r="CO31" s="128">
        <f t="shared" ca="1" si="25"/>
        <v>0</v>
      </c>
      <c r="CP31" s="128">
        <f t="shared" ca="1" si="25"/>
        <v>0</v>
      </c>
      <c r="CQ31" s="128">
        <f t="shared" ca="1" si="25"/>
        <v>0</v>
      </c>
      <c r="CR31" s="128">
        <f t="shared" ca="1" si="25"/>
        <v>0</v>
      </c>
      <c r="CS31" s="128">
        <f t="shared" ca="1" si="25"/>
        <v>0</v>
      </c>
      <c r="CT31" s="128">
        <f t="shared" ca="1" si="25"/>
        <v>0</v>
      </c>
      <c r="CU31" s="128">
        <f t="shared" ca="1" si="25"/>
        <v>0</v>
      </c>
      <c r="CV31" s="128">
        <f t="shared" ca="1" si="25"/>
        <v>0</v>
      </c>
      <c r="CW31" s="128">
        <f t="shared" ca="1" si="25"/>
        <v>0</v>
      </c>
      <c r="CX31" s="128">
        <f t="shared" ca="1" si="25"/>
        <v>0</v>
      </c>
      <c r="CY31" s="128">
        <f t="shared" ca="1" si="25"/>
        <v>0</v>
      </c>
      <c r="CZ31" s="128">
        <f t="shared" ca="1" si="25"/>
        <v>0</v>
      </c>
    </row>
    <row r="32" spans="2:104" x14ac:dyDescent="0.2">
      <c r="B32" s="123"/>
      <c r="E32" s="32"/>
      <c r="F32" s="32"/>
      <c r="H32" s="123"/>
    </row>
    <row r="33" spans="1:104" x14ac:dyDescent="0.2">
      <c r="B33" s="126" t="s">
        <v>112</v>
      </c>
      <c r="C33" s="34"/>
      <c r="D33" s="34"/>
      <c r="E33" s="35"/>
      <c r="F33" s="35"/>
      <c r="G33" s="107"/>
      <c r="H33" s="122"/>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row>
    <row r="34" spans="1:104" x14ac:dyDescent="0.2">
      <c r="A34" s="161" t="s">
        <v>170</v>
      </c>
      <c r="B34" s="119" t="s">
        <v>174</v>
      </c>
      <c r="C34" s="118"/>
      <c r="D34" s="118"/>
      <c r="E34" s="118"/>
      <c r="F34" s="98"/>
      <c r="G34" s="98"/>
      <c r="H34" s="125"/>
      <c r="I34" s="115"/>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5"/>
      <c r="BS34" s="115"/>
      <c r="BT34" s="115"/>
      <c r="BU34" s="115"/>
      <c r="BV34" s="115"/>
      <c r="BW34" s="115"/>
      <c r="BX34" s="115"/>
      <c r="BY34" s="115"/>
      <c r="BZ34" s="115"/>
      <c r="CA34" s="115"/>
      <c r="CB34" s="115"/>
      <c r="CC34" s="115"/>
      <c r="CD34" s="115"/>
      <c r="CE34" s="115"/>
      <c r="CF34" s="115"/>
      <c r="CG34" s="115"/>
      <c r="CH34" s="115"/>
      <c r="CI34" s="115"/>
      <c r="CJ34" s="115"/>
      <c r="CK34" s="115"/>
      <c r="CL34" s="115"/>
      <c r="CM34" s="115"/>
      <c r="CN34" s="115"/>
      <c r="CO34" s="115"/>
      <c r="CP34" s="115"/>
      <c r="CQ34" s="115"/>
      <c r="CR34" s="115"/>
      <c r="CS34" s="115"/>
      <c r="CT34" s="115"/>
      <c r="CU34" s="115"/>
      <c r="CV34" s="115"/>
      <c r="CW34" s="115"/>
      <c r="CX34" s="115"/>
      <c r="CY34" s="115"/>
      <c r="CZ34" s="115"/>
    </row>
    <row r="35" spans="1:104" x14ac:dyDescent="0.2">
      <c r="A35" s="162" t="s">
        <v>171</v>
      </c>
      <c r="B35" s="119">
        <v>2</v>
      </c>
      <c r="C35" s="160" t="s">
        <v>169</v>
      </c>
      <c r="D35" s="159">
        <f ca="1">H36/B35</f>
        <v>9.5</v>
      </c>
      <c r="F35" s="98"/>
      <c r="G35" s="98"/>
      <c r="H35" s="125"/>
      <c r="I35" s="118"/>
      <c r="J35" s="118"/>
      <c r="K35" s="118"/>
      <c r="L35" s="118"/>
      <c r="M35" s="118"/>
      <c r="N35" s="118"/>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18"/>
      <c r="CH35" s="118"/>
      <c r="CI35" s="118"/>
      <c r="CJ35" s="118"/>
      <c r="CK35" s="118"/>
      <c r="CL35" s="118"/>
      <c r="CM35" s="118"/>
      <c r="CN35" s="118"/>
      <c r="CO35" s="118"/>
      <c r="CP35" s="118"/>
      <c r="CQ35" s="118"/>
      <c r="CR35" s="118"/>
      <c r="CS35" s="118"/>
      <c r="CT35" s="118"/>
      <c r="CU35" s="118"/>
      <c r="CV35" s="118"/>
      <c r="CW35" s="118"/>
      <c r="CX35" s="118"/>
      <c r="CY35" s="118"/>
      <c r="CZ35" s="118"/>
    </row>
    <row r="36" spans="1:104" s="40" customFormat="1" x14ac:dyDescent="0.2">
      <c r="A36" s="162" t="s">
        <v>172</v>
      </c>
      <c r="B36" s="149" t="s">
        <v>167</v>
      </c>
      <c r="C36" s="156">
        <v>1</v>
      </c>
      <c r="D36" s="156">
        <f ca="1">C36-E36</f>
        <v>0</v>
      </c>
      <c r="E36" s="156">
        <f t="shared" ref="E36:E37" ca="1" si="26">SUM(I36:CZ36)</f>
        <v>0.99999999999999978</v>
      </c>
      <c r="F36" s="154">
        <f ca="1">F41</f>
        <v>46493</v>
      </c>
      <c r="G36" s="154">
        <f ca="1">G41</f>
        <v>47042</v>
      </c>
      <c r="H36" s="155">
        <f t="shared" ref="H36:H37" ca="1" si="27">DATEDIF(F36,G36,"m")+1</f>
        <v>19</v>
      </c>
      <c r="I36" s="158">
        <f t="shared" ref="I36:AN36" ca="1" si="28">IF(AND(I$7&gt;=$F36,I$7&lt;=$G36),(_xlfn.NORM.DIST((YEAR(I$7)-YEAR($F36))*12+MONTH(I$7)-MONTH($F36)+1,$H36/2,$D35,TRUE)-_xlfn.NORM.DIST((YEAR(I$7)-YEAR($F36))*12+MONTH(I$7)-MONTH($F36),$H36/2,$D35,TRUE))/(1-2*_xlfn.NORM.DIST(0,$H36/2,$D35,TRUE))*$C36,0)</f>
        <v>0</v>
      </c>
      <c r="J36" s="158">
        <f t="shared" ca="1" si="28"/>
        <v>0</v>
      </c>
      <c r="K36" s="158">
        <f t="shared" ca="1" si="28"/>
        <v>0</v>
      </c>
      <c r="L36" s="158">
        <f t="shared" ca="1" si="28"/>
        <v>0</v>
      </c>
      <c r="M36" s="158">
        <f t="shared" ca="1" si="28"/>
        <v>0</v>
      </c>
      <c r="N36" s="158">
        <f t="shared" ca="1" si="28"/>
        <v>0</v>
      </c>
      <c r="O36" s="158">
        <f t="shared" ca="1" si="28"/>
        <v>0</v>
      </c>
      <c r="P36" s="158">
        <f t="shared" ca="1" si="28"/>
        <v>0</v>
      </c>
      <c r="Q36" s="158">
        <f t="shared" ca="1" si="28"/>
        <v>0</v>
      </c>
      <c r="R36" s="158">
        <f t="shared" ca="1" si="28"/>
        <v>0</v>
      </c>
      <c r="S36" s="158">
        <f t="shared" ca="1" si="28"/>
        <v>0</v>
      </c>
      <c r="T36" s="158">
        <f t="shared" ca="1" si="28"/>
        <v>0</v>
      </c>
      <c r="U36" s="158">
        <f t="shared" ca="1" si="28"/>
        <v>0</v>
      </c>
      <c r="V36" s="158">
        <f t="shared" ca="1" si="28"/>
        <v>0</v>
      </c>
      <c r="W36" s="158">
        <f t="shared" ca="1" si="28"/>
        <v>3.9269149466416464E-2</v>
      </c>
      <c r="X36" s="158">
        <f t="shared" ca="1" si="28"/>
        <v>4.3143644384697623E-2</v>
      </c>
      <c r="Y36" s="158">
        <f t="shared" ca="1" si="28"/>
        <v>4.6878582692781466E-2</v>
      </c>
      <c r="Z36" s="158">
        <f t="shared" ca="1" si="28"/>
        <v>5.0376087125693393E-2</v>
      </c>
      <c r="AA36" s="158">
        <f t="shared" ca="1" si="28"/>
        <v>5.3538562140213214E-2</v>
      </c>
      <c r="AB36" s="158">
        <f t="shared" ca="1" si="28"/>
        <v>5.6273158135216432E-2</v>
      </c>
      <c r="AC36" s="158">
        <f t="shared" ca="1" si="28"/>
        <v>5.8496271964211165E-2</v>
      </c>
      <c r="AD36" s="158">
        <f t="shared" ca="1" si="28"/>
        <v>6.0137781505297867E-2</v>
      </c>
      <c r="AE36" s="158">
        <f t="shared" ca="1" si="28"/>
        <v>6.1144715862349923E-2</v>
      </c>
      <c r="AF36" s="158">
        <f t="shared" ca="1" si="28"/>
        <v>6.1484093446244836E-2</v>
      </c>
      <c r="AG36" s="158">
        <f t="shared" ca="1" si="28"/>
        <v>6.1144715862350006E-2</v>
      </c>
      <c r="AH36" s="158">
        <f t="shared" ca="1" si="28"/>
        <v>6.0137781505297701E-2</v>
      </c>
      <c r="AI36" s="158">
        <f t="shared" ca="1" si="28"/>
        <v>5.8496271964211248E-2</v>
      </c>
      <c r="AJ36" s="158">
        <f t="shared" ca="1" si="28"/>
        <v>5.6273158135216432E-2</v>
      </c>
      <c r="AK36" s="158">
        <f t="shared" ca="1" si="28"/>
        <v>5.3538562140213214E-2</v>
      </c>
      <c r="AL36" s="158">
        <f t="shared" ca="1" si="28"/>
        <v>5.0376087125693469E-2</v>
      </c>
      <c r="AM36" s="158">
        <f t="shared" ca="1" si="28"/>
        <v>4.6878582692781383E-2</v>
      </c>
      <c r="AN36" s="158">
        <f t="shared" ca="1" si="28"/>
        <v>4.3143644384697623E-2</v>
      </c>
      <c r="AO36" s="158">
        <f t="shared" ref="AO36:BT36" ca="1" si="29">IF(AND(AO$7&gt;=$F36,AO$7&lt;=$G36),(_xlfn.NORM.DIST((YEAR(AO$7)-YEAR($F36))*12+MONTH(AO$7)-MONTH($F36)+1,$H36/2,$D35,TRUE)-_xlfn.NORM.DIST((YEAR(AO$7)-YEAR($F36))*12+MONTH(AO$7)-MONTH($F36),$H36/2,$D35,TRUE))/(1-2*_xlfn.NORM.DIST(0,$H36/2,$D35,TRUE))*$C36,0)</f>
        <v>3.9269149466416506E-2</v>
      </c>
      <c r="AP36" s="158">
        <f t="shared" ca="1" si="29"/>
        <v>0</v>
      </c>
      <c r="AQ36" s="158">
        <f t="shared" ca="1" si="29"/>
        <v>0</v>
      </c>
      <c r="AR36" s="158">
        <f t="shared" ca="1" si="29"/>
        <v>0</v>
      </c>
      <c r="AS36" s="158">
        <f t="shared" ca="1" si="29"/>
        <v>0</v>
      </c>
      <c r="AT36" s="158">
        <f t="shared" ca="1" si="29"/>
        <v>0</v>
      </c>
      <c r="AU36" s="158">
        <f t="shared" ca="1" si="29"/>
        <v>0</v>
      </c>
      <c r="AV36" s="158">
        <f t="shared" ca="1" si="29"/>
        <v>0</v>
      </c>
      <c r="AW36" s="158">
        <f t="shared" ca="1" si="29"/>
        <v>0</v>
      </c>
      <c r="AX36" s="158">
        <f t="shared" ca="1" si="29"/>
        <v>0</v>
      </c>
      <c r="AY36" s="158">
        <f t="shared" ca="1" si="29"/>
        <v>0</v>
      </c>
      <c r="AZ36" s="158">
        <f t="shared" ca="1" si="29"/>
        <v>0</v>
      </c>
      <c r="BA36" s="158">
        <f t="shared" ca="1" si="29"/>
        <v>0</v>
      </c>
      <c r="BB36" s="158">
        <f t="shared" ca="1" si="29"/>
        <v>0</v>
      </c>
      <c r="BC36" s="158">
        <f t="shared" ca="1" si="29"/>
        <v>0</v>
      </c>
      <c r="BD36" s="158">
        <f t="shared" ca="1" si="29"/>
        <v>0</v>
      </c>
      <c r="BE36" s="158">
        <f t="shared" ca="1" si="29"/>
        <v>0</v>
      </c>
      <c r="BF36" s="158">
        <f t="shared" ca="1" si="29"/>
        <v>0</v>
      </c>
      <c r="BG36" s="158">
        <f t="shared" ca="1" si="29"/>
        <v>0</v>
      </c>
      <c r="BH36" s="158">
        <f t="shared" ca="1" si="29"/>
        <v>0</v>
      </c>
      <c r="BI36" s="158">
        <f t="shared" ca="1" si="29"/>
        <v>0</v>
      </c>
      <c r="BJ36" s="158">
        <f t="shared" ca="1" si="29"/>
        <v>0</v>
      </c>
      <c r="BK36" s="158">
        <f t="shared" ca="1" si="29"/>
        <v>0</v>
      </c>
      <c r="BL36" s="158">
        <f t="shared" ca="1" si="29"/>
        <v>0</v>
      </c>
      <c r="BM36" s="158">
        <f t="shared" ca="1" si="29"/>
        <v>0</v>
      </c>
      <c r="BN36" s="158">
        <f t="shared" ca="1" si="29"/>
        <v>0</v>
      </c>
      <c r="BO36" s="158">
        <f t="shared" ca="1" si="29"/>
        <v>0</v>
      </c>
      <c r="BP36" s="158">
        <f t="shared" ca="1" si="29"/>
        <v>0</v>
      </c>
      <c r="BQ36" s="158">
        <f t="shared" ca="1" si="29"/>
        <v>0</v>
      </c>
      <c r="BR36" s="158">
        <f t="shared" ca="1" si="29"/>
        <v>0</v>
      </c>
      <c r="BS36" s="158">
        <f t="shared" ca="1" si="29"/>
        <v>0</v>
      </c>
      <c r="BT36" s="158">
        <f t="shared" ca="1" si="29"/>
        <v>0</v>
      </c>
      <c r="BU36" s="158">
        <f t="shared" ref="BU36:CZ36" ca="1" si="30">IF(AND(BU$7&gt;=$F36,BU$7&lt;=$G36),(_xlfn.NORM.DIST((YEAR(BU$7)-YEAR($F36))*12+MONTH(BU$7)-MONTH($F36)+1,$H36/2,$D35,TRUE)-_xlfn.NORM.DIST((YEAR(BU$7)-YEAR($F36))*12+MONTH(BU$7)-MONTH($F36),$H36/2,$D35,TRUE))/(1-2*_xlfn.NORM.DIST(0,$H36/2,$D35,TRUE))*$C36,0)</f>
        <v>0</v>
      </c>
      <c r="BV36" s="158">
        <f t="shared" ca="1" si="30"/>
        <v>0</v>
      </c>
      <c r="BW36" s="158">
        <f t="shared" ca="1" si="30"/>
        <v>0</v>
      </c>
      <c r="BX36" s="158">
        <f t="shared" ca="1" si="30"/>
        <v>0</v>
      </c>
      <c r="BY36" s="158">
        <f t="shared" ca="1" si="30"/>
        <v>0</v>
      </c>
      <c r="BZ36" s="158">
        <f t="shared" ca="1" si="30"/>
        <v>0</v>
      </c>
      <c r="CA36" s="158">
        <f t="shared" ca="1" si="30"/>
        <v>0</v>
      </c>
      <c r="CB36" s="158">
        <f t="shared" ca="1" si="30"/>
        <v>0</v>
      </c>
      <c r="CC36" s="158">
        <f t="shared" ca="1" si="30"/>
        <v>0</v>
      </c>
      <c r="CD36" s="158">
        <f t="shared" ca="1" si="30"/>
        <v>0</v>
      </c>
      <c r="CE36" s="158">
        <f t="shared" ca="1" si="30"/>
        <v>0</v>
      </c>
      <c r="CF36" s="158">
        <f t="shared" ca="1" si="30"/>
        <v>0</v>
      </c>
      <c r="CG36" s="158">
        <f t="shared" ca="1" si="30"/>
        <v>0</v>
      </c>
      <c r="CH36" s="158">
        <f t="shared" ca="1" si="30"/>
        <v>0</v>
      </c>
      <c r="CI36" s="158">
        <f t="shared" ca="1" si="30"/>
        <v>0</v>
      </c>
      <c r="CJ36" s="158">
        <f t="shared" ca="1" si="30"/>
        <v>0</v>
      </c>
      <c r="CK36" s="158">
        <f t="shared" ca="1" si="30"/>
        <v>0</v>
      </c>
      <c r="CL36" s="158">
        <f t="shared" ca="1" si="30"/>
        <v>0</v>
      </c>
      <c r="CM36" s="158">
        <f t="shared" ca="1" si="30"/>
        <v>0</v>
      </c>
      <c r="CN36" s="158">
        <f t="shared" ca="1" si="30"/>
        <v>0</v>
      </c>
      <c r="CO36" s="158">
        <f t="shared" ca="1" si="30"/>
        <v>0</v>
      </c>
      <c r="CP36" s="158">
        <f t="shared" ca="1" si="30"/>
        <v>0</v>
      </c>
      <c r="CQ36" s="158">
        <f t="shared" ca="1" si="30"/>
        <v>0</v>
      </c>
      <c r="CR36" s="158">
        <f t="shared" ca="1" si="30"/>
        <v>0</v>
      </c>
      <c r="CS36" s="158">
        <f t="shared" ca="1" si="30"/>
        <v>0</v>
      </c>
      <c r="CT36" s="158">
        <f t="shared" ca="1" si="30"/>
        <v>0</v>
      </c>
      <c r="CU36" s="158">
        <f t="shared" ca="1" si="30"/>
        <v>0</v>
      </c>
      <c r="CV36" s="158">
        <f t="shared" ca="1" si="30"/>
        <v>0</v>
      </c>
      <c r="CW36" s="158">
        <f t="shared" ca="1" si="30"/>
        <v>0</v>
      </c>
      <c r="CX36" s="158">
        <f t="shared" ca="1" si="30"/>
        <v>0</v>
      </c>
      <c r="CY36" s="158">
        <f t="shared" ca="1" si="30"/>
        <v>0</v>
      </c>
      <c r="CZ36" s="158">
        <f t="shared" ca="1" si="30"/>
        <v>0</v>
      </c>
    </row>
    <row r="37" spans="1:104" s="40" customFormat="1" x14ac:dyDescent="0.2">
      <c r="A37" s="161" t="s">
        <v>173</v>
      </c>
      <c r="B37" s="149" t="s">
        <v>168</v>
      </c>
      <c r="C37" s="156">
        <v>1</v>
      </c>
      <c r="D37" s="156">
        <f ca="1">C37-E37</f>
        <v>0</v>
      </c>
      <c r="E37" s="156">
        <f t="shared" ca="1" si="26"/>
        <v>0.99999999999999956</v>
      </c>
      <c r="F37" s="154">
        <f ca="1">F41</f>
        <v>46493</v>
      </c>
      <c r="G37" s="154">
        <f ca="1">G41</f>
        <v>47042</v>
      </c>
      <c r="H37" s="155">
        <f t="shared" ca="1" si="27"/>
        <v>19</v>
      </c>
      <c r="I37" s="157">
        <f t="shared" ref="I37:BT37" ca="1" si="31">IF(AND(I$7&lt;=$G37,I$7&gt;=$F37,$H37&lt;&gt;0,$H37&lt;&gt;""),$C37/$H37,0)</f>
        <v>0</v>
      </c>
      <c r="J37" s="158">
        <f t="shared" ca="1" si="31"/>
        <v>0</v>
      </c>
      <c r="K37" s="158">
        <f t="shared" ca="1" si="31"/>
        <v>0</v>
      </c>
      <c r="L37" s="158">
        <f t="shared" ca="1" si="31"/>
        <v>0</v>
      </c>
      <c r="M37" s="158">
        <f t="shared" ca="1" si="31"/>
        <v>0</v>
      </c>
      <c r="N37" s="158">
        <f t="shared" ca="1" si="31"/>
        <v>0</v>
      </c>
      <c r="O37" s="158">
        <f t="shared" ca="1" si="31"/>
        <v>0</v>
      </c>
      <c r="P37" s="158">
        <f t="shared" ca="1" si="31"/>
        <v>0</v>
      </c>
      <c r="Q37" s="158">
        <f t="shared" ca="1" si="31"/>
        <v>0</v>
      </c>
      <c r="R37" s="158">
        <f t="shared" ca="1" si="31"/>
        <v>0</v>
      </c>
      <c r="S37" s="158">
        <f t="shared" ca="1" si="31"/>
        <v>0</v>
      </c>
      <c r="T37" s="158">
        <f t="shared" ca="1" si="31"/>
        <v>0</v>
      </c>
      <c r="U37" s="158">
        <f t="shared" ca="1" si="31"/>
        <v>0</v>
      </c>
      <c r="V37" s="158">
        <f t="shared" ca="1" si="31"/>
        <v>0</v>
      </c>
      <c r="W37" s="158">
        <f t="shared" ca="1" si="31"/>
        <v>5.2631578947368418E-2</v>
      </c>
      <c r="X37" s="158">
        <f t="shared" ca="1" si="31"/>
        <v>5.2631578947368418E-2</v>
      </c>
      <c r="Y37" s="158">
        <f t="shared" ca="1" si="31"/>
        <v>5.2631578947368418E-2</v>
      </c>
      <c r="Z37" s="158">
        <f t="shared" ca="1" si="31"/>
        <v>5.2631578947368418E-2</v>
      </c>
      <c r="AA37" s="158">
        <f t="shared" ca="1" si="31"/>
        <v>5.2631578947368418E-2</v>
      </c>
      <c r="AB37" s="158">
        <f t="shared" ca="1" si="31"/>
        <v>5.2631578947368418E-2</v>
      </c>
      <c r="AC37" s="158">
        <f t="shared" ca="1" si="31"/>
        <v>5.2631578947368418E-2</v>
      </c>
      <c r="AD37" s="158">
        <f t="shared" ca="1" si="31"/>
        <v>5.2631578947368418E-2</v>
      </c>
      <c r="AE37" s="158">
        <f t="shared" ca="1" si="31"/>
        <v>5.2631578947368418E-2</v>
      </c>
      <c r="AF37" s="158">
        <f t="shared" ca="1" si="31"/>
        <v>5.2631578947368418E-2</v>
      </c>
      <c r="AG37" s="158">
        <f t="shared" ca="1" si="31"/>
        <v>5.2631578947368418E-2</v>
      </c>
      <c r="AH37" s="158">
        <f t="shared" ca="1" si="31"/>
        <v>5.2631578947368418E-2</v>
      </c>
      <c r="AI37" s="158">
        <f t="shared" ca="1" si="31"/>
        <v>5.2631578947368418E-2</v>
      </c>
      <c r="AJ37" s="158">
        <f t="shared" ca="1" si="31"/>
        <v>5.2631578947368418E-2</v>
      </c>
      <c r="AK37" s="158">
        <f t="shared" ca="1" si="31"/>
        <v>5.2631578947368418E-2</v>
      </c>
      <c r="AL37" s="158">
        <f t="shared" ca="1" si="31"/>
        <v>5.2631578947368418E-2</v>
      </c>
      <c r="AM37" s="158">
        <f t="shared" ca="1" si="31"/>
        <v>5.2631578947368418E-2</v>
      </c>
      <c r="AN37" s="158">
        <f t="shared" ca="1" si="31"/>
        <v>5.2631578947368418E-2</v>
      </c>
      <c r="AO37" s="158">
        <f t="shared" ca="1" si="31"/>
        <v>5.2631578947368418E-2</v>
      </c>
      <c r="AP37" s="158">
        <f t="shared" ca="1" si="31"/>
        <v>0</v>
      </c>
      <c r="AQ37" s="158">
        <f t="shared" ca="1" si="31"/>
        <v>0</v>
      </c>
      <c r="AR37" s="158">
        <f t="shared" ca="1" si="31"/>
        <v>0</v>
      </c>
      <c r="AS37" s="158">
        <f t="shared" ca="1" si="31"/>
        <v>0</v>
      </c>
      <c r="AT37" s="158">
        <f t="shared" ca="1" si="31"/>
        <v>0</v>
      </c>
      <c r="AU37" s="158">
        <f t="shared" ca="1" si="31"/>
        <v>0</v>
      </c>
      <c r="AV37" s="158">
        <f t="shared" ca="1" si="31"/>
        <v>0</v>
      </c>
      <c r="AW37" s="158">
        <f t="shared" ca="1" si="31"/>
        <v>0</v>
      </c>
      <c r="AX37" s="158">
        <f t="shared" ca="1" si="31"/>
        <v>0</v>
      </c>
      <c r="AY37" s="158">
        <f t="shared" ca="1" si="31"/>
        <v>0</v>
      </c>
      <c r="AZ37" s="158">
        <f t="shared" ca="1" si="31"/>
        <v>0</v>
      </c>
      <c r="BA37" s="158">
        <f t="shared" ca="1" si="31"/>
        <v>0</v>
      </c>
      <c r="BB37" s="158">
        <f t="shared" ca="1" si="31"/>
        <v>0</v>
      </c>
      <c r="BC37" s="158">
        <f t="shared" ca="1" si="31"/>
        <v>0</v>
      </c>
      <c r="BD37" s="158">
        <f t="shared" ca="1" si="31"/>
        <v>0</v>
      </c>
      <c r="BE37" s="158">
        <f t="shared" ca="1" si="31"/>
        <v>0</v>
      </c>
      <c r="BF37" s="158">
        <f t="shared" ca="1" si="31"/>
        <v>0</v>
      </c>
      <c r="BG37" s="158">
        <f t="shared" ca="1" si="31"/>
        <v>0</v>
      </c>
      <c r="BH37" s="158">
        <f t="shared" ca="1" si="31"/>
        <v>0</v>
      </c>
      <c r="BI37" s="158">
        <f t="shared" ca="1" si="31"/>
        <v>0</v>
      </c>
      <c r="BJ37" s="158">
        <f t="shared" ca="1" si="31"/>
        <v>0</v>
      </c>
      <c r="BK37" s="158">
        <f t="shared" ca="1" si="31"/>
        <v>0</v>
      </c>
      <c r="BL37" s="158">
        <f t="shared" ca="1" si="31"/>
        <v>0</v>
      </c>
      <c r="BM37" s="158">
        <f t="shared" ca="1" si="31"/>
        <v>0</v>
      </c>
      <c r="BN37" s="158">
        <f t="shared" ca="1" si="31"/>
        <v>0</v>
      </c>
      <c r="BO37" s="158">
        <f t="shared" ca="1" si="31"/>
        <v>0</v>
      </c>
      <c r="BP37" s="158">
        <f t="shared" ca="1" si="31"/>
        <v>0</v>
      </c>
      <c r="BQ37" s="158">
        <f t="shared" ca="1" si="31"/>
        <v>0</v>
      </c>
      <c r="BR37" s="158">
        <f t="shared" ca="1" si="31"/>
        <v>0</v>
      </c>
      <c r="BS37" s="158">
        <f t="shared" ca="1" si="31"/>
        <v>0</v>
      </c>
      <c r="BT37" s="158">
        <f t="shared" ca="1" si="31"/>
        <v>0</v>
      </c>
      <c r="BU37" s="158">
        <f t="shared" ref="BU37:CZ37" ca="1" si="32">IF(AND(BU$7&lt;=$G37,BU$7&gt;=$F37,$H37&lt;&gt;0,$H37&lt;&gt;""),$C37/$H37,0)</f>
        <v>0</v>
      </c>
      <c r="BV37" s="158">
        <f t="shared" ca="1" si="32"/>
        <v>0</v>
      </c>
      <c r="BW37" s="158">
        <f t="shared" ca="1" si="32"/>
        <v>0</v>
      </c>
      <c r="BX37" s="158">
        <f t="shared" ca="1" si="32"/>
        <v>0</v>
      </c>
      <c r="BY37" s="158">
        <f t="shared" ca="1" si="32"/>
        <v>0</v>
      </c>
      <c r="BZ37" s="158">
        <f t="shared" ca="1" si="32"/>
        <v>0</v>
      </c>
      <c r="CA37" s="158">
        <f t="shared" ca="1" si="32"/>
        <v>0</v>
      </c>
      <c r="CB37" s="158">
        <f t="shared" ca="1" si="32"/>
        <v>0</v>
      </c>
      <c r="CC37" s="158">
        <f t="shared" ca="1" si="32"/>
        <v>0</v>
      </c>
      <c r="CD37" s="158">
        <f t="shared" ca="1" si="32"/>
        <v>0</v>
      </c>
      <c r="CE37" s="158">
        <f t="shared" ca="1" si="32"/>
        <v>0</v>
      </c>
      <c r="CF37" s="158">
        <f t="shared" ca="1" si="32"/>
        <v>0</v>
      </c>
      <c r="CG37" s="158">
        <f t="shared" ca="1" si="32"/>
        <v>0</v>
      </c>
      <c r="CH37" s="158">
        <f t="shared" ca="1" si="32"/>
        <v>0</v>
      </c>
      <c r="CI37" s="158">
        <f t="shared" ca="1" si="32"/>
        <v>0</v>
      </c>
      <c r="CJ37" s="158">
        <f t="shared" ca="1" si="32"/>
        <v>0</v>
      </c>
      <c r="CK37" s="158">
        <f t="shared" ca="1" si="32"/>
        <v>0</v>
      </c>
      <c r="CL37" s="158">
        <f t="shared" ca="1" si="32"/>
        <v>0</v>
      </c>
      <c r="CM37" s="158">
        <f t="shared" ca="1" si="32"/>
        <v>0</v>
      </c>
      <c r="CN37" s="158">
        <f t="shared" ca="1" si="32"/>
        <v>0</v>
      </c>
      <c r="CO37" s="158">
        <f t="shared" ca="1" si="32"/>
        <v>0</v>
      </c>
      <c r="CP37" s="158">
        <f t="shared" ca="1" si="32"/>
        <v>0</v>
      </c>
      <c r="CQ37" s="158">
        <f t="shared" ca="1" si="32"/>
        <v>0</v>
      </c>
      <c r="CR37" s="158">
        <f t="shared" ca="1" si="32"/>
        <v>0</v>
      </c>
      <c r="CS37" s="158">
        <f t="shared" ca="1" si="32"/>
        <v>0</v>
      </c>
      <c r="CT37" s="158">
        <f t="shared" ca="1" si="32"/>
        <v>0</v>
      </c>
      <c r="CU37" s="158">
        <f t="shared" ca="1" si="32"/>
        <v>0</v>
      </c>
      <c r="CV37" s="158">
        <f t="shared" ca="1" si="32"/>
        <v>0</v>
      </c>
      <c r="CW37" s="158">
        <f t="shared" ca="1" si="32"/>
        <v>0</v>
      </c>
      <c r="CX37" s="158">
        <f t="shared" ca="1" si="32"/>
        <v>0</v>
      </c>
      <c r="CY37" s="158">
        <f t="shared" ca="1" si="32"/>
        <v>0</v>
      </c>
      <c r="CZ37" s="158">
        <f t="shared" ca="1" si="32"/>
        <v>0</v>
      </c>
    </row>
    <row r="38" spans="1:104" x14ac:dyDescent="0.2">
      <c r="A38" s="161"/>
      <c r="B38" s="119" t="s">
        <v>175</v>
      </c>
      <c r="E38" s="118"/>
      <c r="F38" s="98"/>
      <c r="G38" s="98"/>
      <c r="H38" s="125"/>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118"/>
      <c r="CE38" s="118"/>
      <c r="CF38" s="118"/>
      <c r="CG38" s="118"/>
      <c r="CH38" s="118"/>
      <c r="CI38" s="118"/>
      <c r="CJ38" s="118"/>
      <c r="CK38" s="118"/>
      <c r="CL38" s="118"/>
      <c r="CM38" s="118"/>
      <c r="CN38" s="118"/>
      <c r="CO38" s="118"/>
      <c r="CP38" s="118"/>
      <c r="CQ38" s="118"/>
      <c r="CR38" s="118"/>
      <c r="CS38" s="118"/>
      <c r="CT38" s="118"/>
      <c r="CU38" s="118"/>
      <c r="CV38" s="118"/>
      <c r="CW38" s="118"/>
      <c r="CX38" s="118"/>
      <c r="CY38" s="118"/>
      <c r="CZ38" s="118"/>
    </row>
    <row r="39" spans="1:104" x14ac:dyDescent="0.2">
      <c r="B39" s="148">
        <v>1</v>
      </c>
      <c r="D39" s="118"/>
      <c r="E39" s="118"/>
      <c r="F39" s="98"/>
      <c r="G39" s="98"/>
      <c r="H39" s="125"/>
      <c r="I39" s="118"/>
      <c r="J39" s="118"/>
      <c r="K39" s="118"/>
      <c r="L39" s="118"/>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c r="CZ39" s="118"/>
    </row>
    <row r="40" spans="1:104" x14ac:dyDescent="0.2">
      <c r="B40" s="119" t="s">
        <v>166</v>
      </c>
      <c r="C40" s="118"/>
      <c r="D40" s="118"/>
      <c r="E40" s="118"/>
      <c r="F40" s="98"/>
      <c r="G40" s="98"/>
      <c r="H40" s="125"/>
      <c r="I40" s="115">
        <f ca="1">CHOOSE($B$39,I36,I37)</f>
        <v>0</v>
      </c>
      <c r="J40" s="115">
        <f t="shared" ref="J40:AO40" ca="1" si="33">CHOOSE($B$39,J36,J37)+I40</f>
        <v>0</v>
      </c>
      <c r="K40" s="115">
        <f t="shared" ca="1" si="33"/>
        <v>0</v>
      </c>
      <c r="L40" s="115">
        <f t="shared" ca="1" si="33"/>
        <v>0</v>
      </c>
      <c r="M40" s="115">
        <f t="shared" ca="1" si="33"/>
        <v>0</v>
      </c>
      <c r="N40" s="115">
        <f t="shared" ca="1" si="33"/>
        <v>0</v>
      </c>
      <c r="O40" s="115">
        <f t="shared" ca="1" si="33"/>
        <v>0</v>
      </c>
      <c r="P40" s="115">
        <f t="shared" ca="1" si="33"/>
        <v>0</v>
      </c>
      <c r="Q40" s="115">
        <f t="shared" ca="1" si="33"/>
        <v>0</v>
      </c>
      <c r="R40" s="115">
        <f t="shared" ca="1" si="33"/>
        <v>0</v>
      </c>
      <c r="S40" s="115">
        <f t="shared" ca="1" si="33"/>
        <v>0</v>
      </c>
      <c r="T40" s="115">
        <f t="shared" ca="1" si="33"/>
        <v>0</v>
      </c>
      <c r="U40" s="115">
        <f t="shared" ca="1" si="33"/>
        <v>0</v>
      </c>
      <c r="V40" s="115">
        <f t="shared" ca="1" si="33"/>
        <v>0</v>
      </c>
      <c r="W40" s="115">
        <f t="shared" ca="1" si="33"/>
        <v>3.9269149466416464E-2</v>
      </c>
      <c r="X40" s="115">
        <f t="shared" ca="1" si="33"/>
        <v>8.241279385111408E-2</v>
      </c>
      <c r="Y40" s="115">
        <f t="shared" ca="1" si="33"/>
        <v>0.12929137654389555</v>
      </c>
      <c r="Z40" s="115">
        <f t="shared" ca="1" si="33"/>
        <v>0.17966746366958894</v>
      </c>
      <c r="AA40" s="115">
        <f t="shared" ca="1" si="33"/>
        <v>0.23320602580980215</v>
      </c>
      <c r="AB40" s="115">
        <f t="shared" ca="1" si="33"/>
        <v>0.28947918394501859</v>
      </c>
      <c r="AC40" s="115">
        <f t="shared" ca="1" si="33"/>
        <v>0.34797545590922974</v>
      </c>
      <c r="AD40" s="115">
        <f t="shared" ca="1" si="33"/>
        <v>0.4081132374145276</v>
      </c>
      <c r="AE40" s="115">
        <f t="shared" ca="1" si="33"/>
        <v>0.46925795327687753</v>
      </c>
      <c r="AF40" s="115">
        <f t="shared" ca="1" si="33"/>
        <v>0.53074204672312231</v>
      </c>
      <c r="AG40" s="115">
        <f t="shared" ca="1" si="33"/>
        <v>0.59188676258547235</v>
      </c>
      <c r="AH40" s="115">
        <f t="shared" ca="1" si="33"/>
        <v>0.65202454409077004</v>
      </c>
      <c r="AI40" s="115">
        <f t="shared" ca="1" si="33"/>
        <v>0.7105208160549813</v>
      </c>
      <c r="AJ40" s="115">
        <f t="shared" ca="1" si="33"/>
        <v>0.76679397419019768</v>
      </c>
      <c r="AK40" s="115">
        <f t="shared" ca="1" si="33"/>
        <v>0.82033253633041092</v>
      </c>
      <c r="AL40" s="115">
        <f t="shared" ca="1" si="33"/>
        <v>0.87070862345610434</v>
      </c>
      <c r="AM40" s="115">
        <f t="shared" ca="1" si="33"/>
        <v>0.91758720614888567</v>
      </c>
      <c r="AN40" s="115">
        <f t="shared" ca="1" si="33"/>
        <v>0.96073085053358331</v>
      </c>
      <c r="AO40" s="115">
        <f t="shared" ca="1" si="33"/>
        <v>0.99999999999999978</v>
      </c>
      <c r="AP40" s="115">
        <f t="shared" ref="AP40:BU40" ca="1" si="34">CHOOSE($B$39,AP36,AP37)+AO40</f>
        <v>0.99999999999999978</v>
      </c>
      <c r="AQ40" s="115">
        <f t="shared" ca="1" si="34"/>
        <v>0.99999999999999978</v>
      </c>
      <c r="AR40" s="115">
        <f t="shared" ca="1" si="34"/>
        <v>0.99999999999999978</v>
      </c>
      <c r="AS40" s="115">
        <f t="shared" ca="1" si="34"/>
        <v>0.99999999999999978</v>
      </c>
      <c r="AT40" s="115">
        <f t="shared" ca="1" si="34"/>
        <v>0.99999999999999978</v>
      </c>
      <c r="AU40" s="115">
        <f t="shared" ca="1" si="34"/>
        <v>0.99999999999999978</v>
      </c>
      <c r="AV40" s="115">
        <f t="shared" ca="1" si="34"/>
        <v>0.99999999999999978</v>
      </c>
      <c r="AW40" s="115">
        <f t="shared" ca="1" si="34"/>
        <v>0.99999999999999978</v>
      </c>
      <c r="AX40" s="115">
        <f t="shared" ca="1" si="34"/>
        <v>0.99999999999999978</v>
      </c>
      <c r="AY40" s="115">
        <f t="shared" ca="1" si="34"/>
        <v>0.99999999999999978</v>
      </c>
      <c r="AZ40" s="115">
        <f t="shared" ca="1" si="34"/>
        <v>0.99999999999999978</v>
      </c>
      <c r="BA40" s="115">
        <f t="shared" ca="1" si="34"/>
        <v>0.99999999999999978</v>
      </c>
      <c r="BB40" s="115">
        <f t="shared" ca="1" si="34"/>
        <v>0.99999999999999978</v>
      </c>
      <c r="BC40" s="115">
        <f t="shared" ca="1" si="34"/>
        <v>0.99999999999999978</v>
      </c>
      <c r="BD40" s="115">
        <f t="shared" ca="1" si="34"/>
        <v>0.99999999999999978</v>
      </c>
      <c r="BE40" s="115">
        <f t="shared" ca="1" si="34"/>
        <v>0.99999999999999978</v>
      </c>
      <c r="BF40" s="115">
        <f t="shared" ca="1" si="34"/>
        <v>0.99999999999999978</v>
      </c>
      <c r="BG40" s="115">
        <f t="shared" ca="1" si="34"/>
        <v>0.99999999999999978</v>
      </c>
      <c r="BH40" s="115">
        <f t="shared" ca="1" si="34"/>
        <v>0.99999999999999978</v>
      </c>
      <c r="BI40" s="115">
        <f t="shared" ca="1" si="34"/>
        <v>0.99999999999999978</v>
      </c>
      <c r="BJ40" s="115">
        <f t="shared" ca="1" si="34"/>
        <v>0.99999999999999978</v>
      </c>
      <c r="BK40" s="115">
        <f t="shared" ca="1" si="34"/>
        <v>0.99999999999999978</v>
      </c>
      <c r="BL40" s="115">
        <f t="shared" ca="1" si="34"/>
        <v>0.99999999999999978</v>
      </c>
      <c r="BM40" s="115">
        <f t="shared" ca="1" si="34"/>
        <v>0.99999999999999978</v>
      </c>
      <c r="BN40" s="115">
        <f t="shared" ca="1" si="34"/>
        <v>0.99999999999999978</v>
      </c>
      <c r="BO40" s="115">
        <f t="shared" ca="1" si="34"/>
        <v>0.99999999999999978</v>
      </c>
      <c r="BP40" s="115">
        <f t="shared" ca="1" si="34"/>
        <v>0.99999999999999978</v>
      </c>
      <c r="BQ40" s="115">
        <f t="shared" ca="1" si="34"/>
        <v>0.99999999999999978</v>
      </c>
      <c r="BR40" s="115">
        <f t="shared" ca="1" si="34"/>
        <v>0.99999999999999978</v>
      </c>
      <c r="BS40" s="115">
        <f t="shared" ca="1" si="34"/>
        <v>0.99999999999999978</v>
      </c>
      <c r="BT40" s="115">
        <f t="shared" ca="1" si="34"/>
        <v>0.99999999999999978</v>
      </c>
      <c r="BU40" s="115">
        <f t="shared" ca="1" si="34"/>
        <v>0.99999999999999978</v>
      </c>
      <c r="BV40" s="115">
        <f t="shared" ref="BV40:CZ40" ca="1" si="35">CHOOSE($B$39,BV36,BV37)+BU40</f>
        <v>0.99999999999999978</v>
      </c>
      <c r="BW40" s="115">
        <f t="shared" ca="1" si="35"/>
        <v>0.99999999999999978</v>
      </c>
      <c r="BX40" s="115">
        <f t="shared" ca="1" si="35"/>
        <v>0.99999999999999978</v>
      </c>
      <c r="BY40" s="115">
        <f t="shared" ca="1" si="35"/>
        <v>0.99999999999999978</v>
      </c>
      <c r="BZ40" s="115">
        <f t="shared" ca="1" si="35"/>
        <v>0.99999999999999978</v>
      </c>
      <c r="CA40" s="115">
        <f t="shared" ca="1" si="35"/>
        <v>0.99999999999999978</v>
      </c>
      <c r="CB40" s="115">
        <f t="shared" ca="1" si="35"/>
        <v>0.99999999999999978</v>
      </c>
      <c r="CC40" s="115">
        <f t="shared" ca="1" si="35"/>
        <v>0.99999999999999978</v>
      </c>
      <c r="CD40" s="115">
        <f t="shared" ca="1" si="35"/>
        <v>0.99999999999999978</v>
      </c>
      <c r="CE40" s="115">
        <f t="shared" ca="1" si="35"/>
        <v>0.99999999999999978</v>
      </c>
      <c r="CF40" s="115">
        <f t="shared" ca="1" si="35"/>
        <v>0.99999999999999978</v>
      </c>
      <c r="CG40" s="115">
        <f t="shared" ca="1" si="35"/>
        <v>0.99999999999999978</v>
      </c>
      <c r="CH40" s="115">
        <f t="shared" ca="1" si="35"/>
        <v>0.99999999999999978</v>
      </c>
      <c r="CI40" s="115">
        <f t="shared" ca="1" si="35"/>
        <v>0.99999999999999978</v>
      </c>
      <c r="CJ40" s="115">
        <f t="shared" ca="1" si="35"/>
        <v>0.99999999999999978</v>
      </c>
      <c r="CK40" s="115">
        <f t="shared" ca="1" si="35"/>
        <v>0.99999999999999978</v>
      </c>
      <c r="CL40" s="115">
        <f t="shared" ca="1" si="35"/>
        <v>0.99999999999999978</v>
      </c>
      <c r="CM40" s="115">
        <f t="shared" ca="1" si="35"/>
        <v>0.99999999999999978</v>
      </c>
      <c r="CN40" s="115">
        <f t="shared" ca="1" si="35"/>
        <v>0.99999999999999978</v>
      </c>
      <c r="CO40" s="115">
        <f t="shared" ca="1" si="35"/>
        <v>0.99999999999999978</v>
      </c>
      <c r="CP40" s="115">
        <f t="shared" ca="1" si="35"/>
        <v>0.99999999999999978</v>
      </c>
      <c r="CQ40" s="115">
        <f t="shared" ca="1" si="35"/>
        <v>0.99999999999999978</v>
      </c>
      <c r="CR40" s="115">
        <f t="shared" ca="1" si="35"/>
        <v>0.99999999999999978</v>
      </c>
      <c r="CS40" s="115">
        <f t="shared" ca="1" si="35"/>
        <v>0.99999999999999978</v>
      </c>
      <c r="CT40" s="115">
        <f t="shared" ca="1" si="35"/>
        <v>0.99999999999999978</v>
      </c>
      <c r="CU40" s="115">
        <f t="shared" ca="1" si="35"/>
        <v>0.99999999999999978</v>
      </c>
      <c r="CV40" s="115">
        <f t="shared" ca="1" si="35"/>
        <v>0.99999999999999978</v>
      </c>
      <c r="CW40" s="115">
        <f t="shared" ca="1" si="35"/>
        <v>0.99999999999999978</v>
      </c>
      <c r="CX40" s="115">
        <f t="shared" ca="1" si="35"/>
        <v>0.99999999999999978</v>
      </c>
      <c r="CY40" s="115">
        <f t="shared" ca="1" si="35"/>
        <v>0.99999999999999978</v>
      </c>
      <c r="CZ40" s="115">
        <f t="shared" ca="1" si="35"/>
        <v>0.99999999999999978</v>
      </c>
    </row>
    <row r="41" spans="1:104" x14ac:dyDescent="0.2">
      <c r="B41" s="119" t="str">
        <f>'9. Development Costs'!B19</f>
        <v>Construction hard cost</v>
      </c>
      <c r="C41" s="118">
        <f>-'9. Development Costs'!H19</f>
        <v>-64395800</v>
      </c>
      <c r="D41" s="118">
        <f ca="1">ROUND(C41-E41,0)</f>
        <v>0</v>
      </c>
      <c r="E41" s="118">
        <f t="shared" ref="E41:E44" ca="1" si="36">SUM(I41:CZ41)</f>
        <v>-64395799.999999985</v>
      </c>
      <c r="F41" s="272">
        <f ca="1">'8. Schedule'!D17</f>
        <v>46493</v>
      </c>
      <c r="G41" s="272">
        <f ca="1">'8. Schedule'!E17</f>
        <v>47042</v>
      </c>
      <c r="H41" s="125">
        <f ca="1">DATEDIF(F41,G41,"m")+1</f>
        <v>19</v>
      </c>
      <c r="I41" s="118">
        <f ca="1">I40*$C$41</f>
        <v>0</v>
      </c>
      <c r="J41" s="118">
        <f ca="1">(J40-I40)*$C$41</f>
        <v>0</v>
      </c>
      <c r="K41" s="118">
        <f t="shared" ref="K41:BV41" ca="1" si="37">(K40-J40)*$C$41</f>
        <v>0</v>
      </c>
      <c r="L41" s="118">
        <f t="shared" ca="1" si="37"/>
        <v>0</v>
      </c>
      <c r="M41" s="118">
        <f t="shared" ca="1" si="37"/>
        <v>0</v>
      </c>
      <c r="N41" s="118">
        <f t="shared" ca="1" si="37"/>
        <v>0</v>
      </c>
      <c r="O41" s="118">
        <f t="shared" ca="1" si="37"/>
        <v>0</v>
      </c>
      <c r="P41" s="118">
        <f t="shared" ca="1" si="37"/>
        <v>0</v>
      </c>
      <c r="Q41" s="118">
        <f t="shared" ca="1" si="37"/>
        <v>0</v>
      </c>
      <c r="R41" s="118">
        <f t="shared" ca="1" si="37"/>
        <v>0</v>
      </c>
      <c r="S41" s="118">
        <f t="shared" ca="1" si="37"/>
        <v>0</v>
      </c>
      <c r="T41" s="118">
        <f t="shared" ca="1" si="37"/>
        <v>0</v>
      </c>
      <c r="U41" s="118">
        <f t="shared" ca="1" si="37"/>
        <v>0</v>
      </c>
      <c r="V41" s="118">
        <f t="shared" ca="1" si="37"/>
        <v>0</v>
      </c>
      <c r="W41" s="118">
        <f t="shared" ca="1" si="37"/>
        <v>-2528768.2952094614</v>
      </c>
      <c r="X41" s="118">
        <f t="shared" ca="1" si="37"/>
        <v>-2778269.4950681105</v>
      </c>
      <c r="Y41" s="118">
        <f t="shared" ca="1" si="37"/>
        <v>-3018783.835367817</v>
      </c>
      <c r="Z41" s="118">
        <f t="shared" ca="1" si="37"/>
        <v>-3244008.431328726</v>
      </c>
      <c r="AA41" s="118">
        <f t="shared" ca="1" si="37"/>
        <v>-3447658.5398687422</v>
      </c>
      <c r="AB41" s="118">
        <f t="shared" ca="1" si="37"/>
        <v>-3623755.036643771</v>
      </c>
      <c r="AC41" s="118">
        <f t="shared" ca="1" si="37"/>
        <v>-3766914.2301529478</v>
      </c>
      <c r="AD41" s="118">
        <f t="shared" ca="1" si="37"/>
        <v>-3872620.55025886</v>
      </c>
      <c r="AE41" s="118">
        <f t="shared" ca="1" si="37"/>
        <v>-3937462.8937287135</v>
      </c>
      <c r="AF41" s="118">
        <f t="shared" ca="1" si="37"/>
        <v>-3959317.3847456896</v>
      </c>
      <c r="AG41" s="118">
        <f t="shared" ca="1" si="37"/>
        <v>-3937462.893728721</v>
      </c>
      <c r="AH41" s="118">
        <f t="shared" ca="1" si="37"/>
        <v>-3872620.5502588493</v>
      </c>
      <c r="AI41" s="118">
        <f t="shared" ca="1" si="37"/>
        <v>-3766914.2301529553</v>
      </c>
      <c r="AJ41" s="118">
        <f t="shared" ca="1" si="37"/>
        <v>-3623755.0366437673</v>
      </c>
      <c r="AK41" s="118">
        <f t="shared" ca="1" si="37"/>
        <v>-3447658.5398687441</v>
      </c>
      <c r="AL41" s="118">
        <f t="shared" ca="1" si="37"/>
        <v>-3244008.4313287279</v>
      </c>
      <c r="AM41" s="118">
        <f t="shared" ca="1" si="37"/>
        <v>-3018783.8353678081</v>
      </c>
      <c r="AN41" s="118">
        <f t="shared" ca="1" si="37"/>
        <v>-2778269.4950681124</v>
      </c>
      <c r="AO41" s="118">
        <f t="shared" ca="1" si="37"/>
        <v>-2528768.2952094614</v>
      </c>
      <c r="AP41" s="118">
        <f t="shared" ca="1" si="37"/>
        <v>0</v>
      </c>
      <c r="AQ41" s="118">
        <f t="shared" ca="1" si="37"/>
        <v>0</v>
      </c>
      <c r="AR41" s="118">
        <f t="shared" ca="1" si="37"/>
        <v>0</v>
      </c>
      <c r="AS41" s="118">
        <f t="shared" ca="1" si="37"/>
        <v>0</v>
      </c>
      <c r="AT41" s="118">
        <f t="shared" ca="1" si="37"/>
        <v>0</v>
      </c>
      <c r="AU41" s="118">
        <f t="shared" ca="1" si="37"/>
        <v>0</v>
      </c>
      <c r="AV41" s="118">
        <f t="shared" ca="1" si="37"/>
        <v>0</v>
      </c>
      <c r="AW41" s="118">
        <f t="shared" ca="1" si="37"/>
        <v>0</v>
      </c>
      <c r="AX41" s="118">
        <f t="shared" ca="1" si="37"/>
        <v>0</v>
      </c>
      <c r="AY41" s="118">
        <f t="shared" ca="1" si="37"/>
        <v>0</v>
      </c>
      <c r="AZ41" s="118">
        <f t="shared" ca="1" si="37"/>
        <v>0</v>
      </c>
      <c r="BA41" s="118">
        <f t="shared" ca="1" si="37"/>
        <v>0</v>
      </c>
      <c r="BB41" s="118">
        <f t="shared" ca="1" si="37"/>
        <v>0</v>
      </c>
      <c r="BC41" s="118">
        <f t="shared" ca="1" si="37"/>
        <v>0</v>
      </c>
      <c r="BD41" s="118">
        <f t="shared" ca="1" si="37"/>
        <v>0</v>
      </c>
      <c r="BE41" s="118">
        <f t="shared" ca="1" si="37"/>
        <v>0</v>
      </c>
      <c r="BF41" s="118">
        <f t="shared" ca="1" si="37"/>
        <v>0</v>
      </c>
      <c r="BG41" s="118">
        <f t="shared" ca="1" si="37"/>
        <v>0</v>
      </c>
      <c r="BH41" s="118">
        <f t="shared" ca="1" si="37"/>
        <v>0</v>
      </c>
      <c r="BI41" s="118">
        <f t="shared" ca="1" si="37"/>
        <v>0</v>
      </c>
      <c r="BJ41" s="118">
        <f t="shared" ca="1" si="37"/>
        <v>0</v>
      </c>
      <c r="BK41" s="118">
        <f t="shared" ca="1" si="37"/>
        <v>0</v>
      </c>
      <c r="BL41" s="118">
        <f t="shared" ca="1" si="37"/>
        <v>0</v>
      </c>
      <c r="BM41" s="118">
        <f t="shared" ca="1" si="37"/>
        <v>0</v>
      </c>
      <c r="BN41" s="118">
        <f t="shared" ca="1" si="37"/>
        <v>0</v>
      </c>
      <c r="BO41" s="118">
        <f t="shared" ca="1" si="37"/>
        <v>0</v>
      </c>
      <c r="BP41" s="118">
        <f t="shared" ca="1" si="37"/>
        <v>0</v>
      </c>
      <c r="BQ41" s="118">
        <f t="shared" ca="1" si="37"/>
        <v>0</v>
      </c>
      <c r="BR41" s="118">
        <f t="shared" ca="1" si="37"/>
        <v>0</v>
      </c>
      <c r="BS41" s="118">
        <f t="shared" ca="1" si="37"/>
        <v>0</v>
      </c>
      <c r="BT41" s="118">
        <f t="shared" ca="1" si="37"/>
        <v>0</v>
      </c>
      <c r="BU41" s="118">
        <f t="shared" ca="1" si="37"/>
        <v>0</v>
      </c>
      <c r="BV41" s="118">
        <f t="shared" ca="1" si="37"/>
        <v>0</v>
      </c>
      <c r="BW41" s="118">
        <f t="shared" ref="BW41:CZ41" ca="1" si="38">(BW40-BV40)*$C$41</f>
        <v>0</v>
      </c>
      <c r="BX41" s="118">
        <f t="shared" ca="1" si="38"/>
        <v>0</v>
      </c>
      <c r="BY41" s="118">
        <f t="shared" ca="1" si="38"/>
        <v>0</v>
      </c>
      <c r="BZ41" s="118">
        <f t="shared" ca="1" si="38"/>
        <v>0</v>
      </c>
      <c r="CA41" s="118">
        <f t="shared" ca="1" si="38"/>
        <v>0</v>
      </c>
      <c r="CB41" s="118">
        <f t="shared" ca="1" si="38"/>
        <v>0</v>
      </c>
      <c r="CC41" s="118">
        <f t="shared" ca="1" si="38"/>
        <v>0</v>
      </c>
      <c r="CD41" s="118">
        <f t="shared" ca="1" si="38"/>
        <v>0</v>
      </c>
      <c r="CE41" s="118">
        <f t="shared" ca="1" si="38"/>
        <v>0</v>
      </c>
      <c r="CF41" s="118">
        <f t="shared" ca="1" si="38"/>
        <v>0</v>
      </c>
      <c r="CG41" s="118">
        <f t="shared" ca="1" si="38"/>
        <v>0</v>
      </c>
      <c r="CH41" s="118">
        <f t="shared" ca="1" si="38"/>
        <v>0</v>
      </c>
      <c r="CI41" s="118">
        <f t="shared" ca="1" si="38"/>
        <v>0</v>
      </c>
      <c r="CJ41" s="118">
        <f t="shared" ca="1" si="38"/>
        <v>0</v>
      </c>
      <c r="CK41" s="118">
        <f t="shared" ca="1" si="38"/>
        <v>0</v>
      </c>
      <c r="CL41" s="118">
        <f t="shared" ca="1" si="38"/>
        <v>0</v>
      </c>
      <c r="CM41" s="118">
        <f t="shared" ca="1" si="38"/>
        <v>0</v>
      </c>
      <c r="CN41" s="118">
        <f t="shared" ca="1" si="38"/>
        <v>0</v>
      </c>
      <c r="CO41" s="118">
        <f t="shared" ca="1" si="38"/>
        <v>0</v>
      </c>
      <c r="CP41" s="118">
        <f t="shared" ca="1" si="38"/>
        <v>0</v>
      </c>
      <c r="CQ41" s="118">
        <f t="shared" ca="1" si="38"/>
        <v>0</v>
      </c>
      <c r="CR41" s="118">
        <f t="shared" ca="1" si="38"/>
        <v>0</v>
      </c>
      <c r="CS41" s="118">
        <f t="shared" ca="1" si="38"/>
        <v>0</v>
      </c>
      <c r="CT41" s="118">
        <f t="shared" ca="1" si="38"/>
        <v>0</v>
      </c>
      <c r="CU41" s="118">
        <f t="shared" ca="1" si="38"/>
        <v>0</v>
      </c>
      <c r="CV41" s="118">
        <f t="shared" ca="1" si="38"/>
        <v>0</v>
      </c>
      <c r="CW41" s="118">
        <f t="shared" ca="1" si="38"/>
        <v>0</v>
      </c>
      <c r="CX41" s="118">
        <f t="shared" ca="1" si="38"/>
        <v>0</v>
      </c>
      <c r="CY41" s="118">
        <f t="shared" ca="1" si="38"/>
        <v>0</v>
      </c>
      <c r="CZ41" s="118">
        <f t="shared" ca="1" si="38"/>
        <v>0</v>
      </c>
    </row>
    <row r="42" spans="1:104" x14ac:dyDescent="0.2">
      <c r="B42" s="119" t="str">
        <f>'9. Development Costs'!B20</f>
        <v>Offsite/Sitework Costs</v>
      </c>
      <c r="C42" s="118">
        <f>-'9. Development Costs'!H20</f>
        <v>0</v>
      </c>
      <c r="D42" s="118">
        <f t="shared" ref="D42:D43" ca="1" si="39">ROUND(C42-E42,0)</f>
        <v>0</v>
      </c>
      <c r="E42" s="118">
        <f t="shared" ca="1" si="36"/>
        <v>0</v>
      </c>
      <c r="F42" s="272">
        <f ca="1">F41</f>
        <v>46493</v>
      </c>
      <c r="G42" s="272">
        <f ca="1">G41</f>
        <v>47042</v>
      </c>
      <c r="H42" s="125">
        <f t="shared" ref="H42:H43" ca="1" si="40">DATEDIF(F42,G42,"m")+1</f>
        <v>19</v>
      </c>
      <c r="I42" s="118">
        <f t="shared" ref="I42:X43" ca="1" si="41">IF(AND(I$7&lt;=$G42,I$7&gt;=$F42,$H42&lt;&gt;0,$H42&lt;&gt;""),$C42/$H42,0)</f>
        <v>0</v>
      </c>
      <c r="J42" s="118">
        <f t="shared" ca="1" si="41"/>
        <v>0</v>
      </c>
      <c r="K42" s="118">
        <f t="shared" ca="1" si="41"/>
        <v>0</v>
      </c>
      <c r="L42" s="118">
        <f t="shared" ca="1" si="41"/>
        <v>0</v>
      </c>
      <c r="M42" s="118">
        <f t="shared" ca="1" si="41"/>
        <v>0</v>
      </c>
      <c r="N42" s="118">
        <f t="shared" ca="1" si="41"/>
        <v>0</v>
      </c>
      <c r="O42" s="118">
        <f t="shared" ca="1" si="41"/>
        <v>0</v>
      </c>
      <c r="P42" s="118">
        <f t="shared" ca="1" si="41"/>
        <v>0</v>
      </c>
      <c r="Q42" s="118">
        <f t="shared" ca="1" si="41"/>
        <v>0</v>
      </c>
      <c r="R42" s="118">
        <f t="shared" ca="1" si="41"/>
        <v>0</v>
      </c>
      <c r="S42" s="118">
        <f t="shared" ca="1" si="41"/>
        <v>0</v>
      </c>
      <c r="T42" s="118">
        <f t="shared" ca="1" si="41"/>
        <v>0</v>
      </c>
      <c r="U42" s="118">
        <f t="shared" ca="1" si="41"/>
        <v>0</v>
      </c>
      <c r="V42" s="118">
        <f t="shared" ca="1" si="41"/>
        <v>0</v>
      </c>
      <c r="W42" s="118">
        <f t="shared" ca="1" si="41"/>
        <v>0</v>
      </c>
      <c r="X42" s="118">
        <f t="shared" ca="1" si="41"/>
        <v>0</v>
      </c>
      <c r="Y42" s="118">
        <f t="shared" ref="Y42:BU42" ca="1" si="42">IF(AND(Y$7&lt;=$G42,Y$7&gt;=$F42,$H42&lt;&gt;0,$H42&lt;&gt;""),$C42/$H42,0)</f>
        <v>0</v>
      </c>
      <c r="Z42" s="118">
        <f t="shared" ca="1" si="42"/>
        <v>0</v>
      </c>
      <c r="AA42" s="118">
        <f t="shared" ca="1" si="42"/>
        <v>0</v>
      </c>
      <c r="AB42" s="118">
        <f t="shared" ca="1" si="42"/>
        <v>0</v>
      </c>
      <c r="AC42" s="118">
        <f t="shared" ca="1" si="42"/>
        <v>0</v>
      </c>
      <c r="AD42" s="118">
        <f t="shared" ca="1" si="42"/>
        <v>0</v>
      </c>
      <c r="AE42" s="118">
        <f t="shared" ca="1" si="42"/>
        <v>0</v>
      </c>
      <c r="AF42" s="118">
        <f t="shared" ca="1" si="42"/>
        <v>0</v>
      </c>
      <c r="AG42" s="118">
        <f t="shared" ca="1" si="42"/>
        <v>0</v>
      </c>
      <c r="AH42" s="118">
        <f t="shared" ca="1" si="42"/>
        <v>0</v>
      </c>
      <c r="AI42" s="118">
        <f t="shared" ca="1" si="42"/>
        <v>0</v>
      </c>
      <c r="AJ42" s="118">
        <f t="shared" ca="1" si="42"/>
        <v>0</v>
      </c>
      <c r="AK42" s="118">
        <f t="shared" ca="1" si="42"/>
        <v>0</v>
      </c>
      <c r="AL42" s="118">
        <f t="shared" ca="1" si="42"/>
        <v>0</v>
      </c>
      <c r="AM42" s="118">
        <f t="shared" ca="1" si="42"/>
        <v>0</v>
      </c>
      <c r="AN42" s="118">
        <f t="shared" ca="1" si="42"/>
        <v>0</v>
      </c>
      <c r="AO42" s="118">
        <f t="shared" ca="1" si="42"/>
        <v>0</v>
      </c>
      <c r="AP42" s="118">
        <f t="shared" ca="1" si="42"/>
        <v>0</v>
      </c>
      <c r="AQ42" s="118">
        <f t="shared" ca="1" si="42"/>
        <v>0</v>
      </c>
      <c r="AR42" s="118">
        <f t="shared" ca="1" si="42"/>
        <v>0</v>
      </c>
      <c r="AS42" s="118">
        <f t="shared" ca="1" si="42"/>
        <v>0</v>
      </c>
      <c r="AT42" s="118">
        <f t="shared" ca="1" si="42"/>
        <v>0</v>
      </c>
      <c r="AU42" s="118">
        <f t="shared" ca="1" si="42"/>
        <v>0</v>
      </c>
      <c r="AV42" s="118">
        <f t="shared" ca="1" si="42"/>
        <v>0</v>
      </c>
      <c r="AW42" s="118">
        <f t="shared" ca="1" si="42"/>
        <v>0</v>
      </c>
      <c r="AX42" s="118">
        <f t="shared" ca="1" si="42"/>
        <v>0</v>
      </c>
      <c r="AY42" s="118">
        <f t="shared" ca="1" si="42"/>
        <v>0</v>
      </c>
      <c r="AZ42" s="118">
        <f t="shared" ca="1" si="42"/>
        <v>0</v>
      </c>
      <c r="BA42" s="118">
        <f t="shared" ca="1" si="42"/>
        <v>0</v>
      </c>
      <c r="BB42" s="118">
        <f t="shared" ca="1" si="42"/>
        <v>0</v>
      </c>
      <c r="BC42" s="118">
        <f t="shared" ca="1" si="42"/>
        <v>0</v>
      </c>
      <c r="BD42" s="118">
        <f t="shared" ca="1" si="42"/>
        <v>0</v>
      </c>
      <c r="BE42" s="118">
        <f t="shared" ca="1" si="42"/>
        <v>0</v>
      </c>
      <c r="BF42" s="118">
        <f t="shared" ca="1" si="42"/>
        <v>0</v>
      </c>
      <c r="BG42" s="118">
        <f t="shared" ca="1" si="42"/>
        <v>0</v>
      </c>
      <c r="BH42" s="118">
        <f t="shared" ca="1" si="42"/>
        <v>0</v>
      </c>
      <c r="BI42" s="118">
        <f t="shared" ca="1" si="42"/>
        <v>0</v>
      </c>
      <c r="BJ42" s="118">
        <f t="shared" ca="1" si="42"/>
        <v>0</v>
      </c>
      <c r="BK42" s="118">
        <f t="shared" ca="1" si="42"/>
        <v>0</v>
      </c>
      <c r="BL42" s="118">
        <f t="shared" ca="1" si="42"/>
        <v>0</v>
      </c>
      <c r="BM42" s="118">
        <f t="shared" ca="1" si="42"/>
        <v>0</v>
      </c>
      <c r="BN42" s="118">
        <f t="shared" ca="1" si="42"/>
        <v>0</v>
      </c>
      <c r="BO42" s="118">
        <f t="shared" ca="1" si="42"/>
        <v>0</v>
      </c>
      <c r="BP42" s="118">
        <f t="shared" ca="1" si="42"/>
        <v>0</v>
      </c>
      <c r="BQ42" s="118">
        <f t="shared" ca="1" si="42"/>
        <v>0</v>
      </c>
      <c r="BR42" s="118">
        <f t="shared" ca="1" si="42"/>
        <v>0</v>
      </c>
      <c r="BS42" s="118">
        <f t="shared" ca="1" si="42"/>
        <v>0</v>
      </c>
      <c r="BT42" s="118">
        <f t="shared" ca="1" si="42"/>
        <v>0</v>
      </c>
      <c r="BU42" s="118">
        <f t="shared" ca="1" si="42"/>
        <v>0</v>
      </c>
      <c r="BV42" s="118">
        <f t="shared" ref="BV42:CZ43" ca="1" si="43">IF(AND(BV$7&lt;=$G42,BV$7&gt;=$F42,$H42&lt;&gt;0,$H42&lt;&gt;""),$C42/$H42,0)</f>
        <v>0</v>
      </c>
      <c r="BW42" s="118">
        <f t="shared" ca="1" si="43"/>
        <v>0</v>
      </c>
      <c r="BX42" s="118">
        <f t="shared" ca="1" si="43"/>
        <v>0</v>
      </c>
      <c r="BY42" s="118">
        <f t="shared" ca="1" si="43"/>
        <v>0</v>
      </c>
      <c r="BZ42" s="118">
        <f t="shared" ca="1" si="43"/>
        <v>0</v>
      </c>
      <c r="CA42" s="118">
        <f t="shared" ca="1" si="43"/>
        <v>0</v>
      </c>
      <c r="CB42" s="118">
        <f t="shared" ca="1" si="43"/>
        <v>0</v>
      </c>
      <c r="CC42" s="118">
        <f t="shared" ca="1" si="43"/>
        <v>0</v>
      </c>
      <c r="CD42" s="118">
        <f t="shared" ca="1" si="43"/>
        <v>0</v>
      </c>
      <c r="CE42" s="118">
        <f t="shared" ca="1" si="43"/>
        <v>0</v>
      </c>
      <c r="CF42" s="118">
        <f t="shared" ca="1" si="43"/>
        <v>0</v>
      </c>
      <c r="CG42" s="118">
        <f t="shared" ca="1" si="43"/>
        <v>0</v>
      </c>
      <c r="CH42" s="118">
        <f t="shared" ca="1" si="43"/>
        <v>0</v>
      </c>
      <c r="CI42" s="118">
        <f t="shared" ca="1" si="43"/>
        <v>0</v>
      </c>
      <c r="CJ42" s="118">
        <f t="shared" ca="1" si="43"/>
        <v>0</v>
      </c>
      <c r="CK42" s="118">
        <f t="shared" ca="1" si="43"/>
        <v>0</v>
      </c>
      <c r="CL42" s="118">
        <f t="shared" ca="1" si="43"/>
        <v>0</v>
      </c>
      <c r="CM42" s="118">
        <f t="shared" ca="1" si="43"/>
        <v>0</v>
      </c>
      <c r="CN42" s="118">
        <f t="shared" ca="1" si="43"/>
        <v>0</v>
      </c>
      <c r="CO42" s="118">
        <f t="shared" ca="1" si="43"/>
        <v>0</v>
      </c>
      <c r="CP42" s="118">
        <f t="shared" ca="1" si="43"/>
        <v>0</v>
      </c>
      <c r="CQ42" s="118">
        <f t="shared" ca="1" si="43"/>
        <v>0</v>
      </c>
      <c r="CR42" s="118">
        <f t="shared" ca="1" si="43"/>
        <v>0</v>
      </c>
      <c r="CS42" s="118">
        <f t="shared" ca="1" si="43"/>
        <v>0</v>
      </c>
      <c r="CT42" s="118">
        <f t="shared" ca="1" si="43"/>
        <v>0</v>
      </c>
      <c r="CU42" s="118">
        <f t="shared" ca="1" si="43"/>
        <v>0</v>
      </c>
      <c r="CV42" s="118">
        <f t="shared" ca="1" si="43"/>
        <v>0</v>
      </c>
      <c r="CW42" s="118">
        <f t="shared" ca="1" si="43"/>
        <v>0</v>
      </c>
      <c r="CX42" s="118">
        <f t="shared" ca="1" si="43"/>
        <v>0</v>
      </c>
      <c r="CY42" s="118">
        <f t="shared" ca="1" si="43"/>
        <v>0</v>
      </c>
      <c r="CZ42" s="118">
        <f t="shared" ca="1" si="43"/>
        <v>0</v>
      </c>
    </row>
    <row r="43" spans="1:104" x14ac:dyDescent="0.2">
      <c r="B43" s="119" t="str">
        <f>'9. Development Costs'!B21</f>
        <v>Construction contingency</v>
      </c>
      <c r="C43" s="118">
        <f>-'9. Development Costs'!H21</f>
        <v>-1287916</v>
      </c>
      <c r="D43" s="118">
        <f t="shared" ca="1" si="39"/>
        <v>0</v>
      </c>
      <c r="E43" s="118">
        <f t="shared" ca="1" si="36"/>
        <v>-1287916</v>
      </c>
      <c r="F43" s="272">
        <f ca="1">F41</f>
        <v>46493</v>
      </c>
      <c r="G43" s="272">
        <f ca="1">G41</f>
        <v>47042</v>
      </c>
      <c r="H43" s="125">
        <f t="shared" ca="1" si="40"/>
        <v>19</v>
      </c>
      <c r="I43" s="118">
        <f t="shared" ca="1" si="41"/>
        <v>0</v>
      </c>
      <c r="J43" s="118">
        <f t="shared" ref="J43:BU43" ca="1" si="44">IF(AND(J$7&lt;=$G43,J$7&gt;=$F43,$H43&lt;&gt;0,$H43&lt;&gt;""),$C43/$H43,0)</f>
        <v>0</v>
      </c>
      <c r="K43" s="118">
        <f t="shared" ca="1" si="44"/>
        <v>0</v>
      </c>
      <c r="L43" s="118">
        <f t="shared" ca="1" si="44"/>
        <v>0</v>
      </c>
      <c r="M43" s="118">
        <f t="shared" ca="1" si="44"/>
        <v>0</v>
      </c>
      <c r="N43" s="118">
        <f t="shared" ca="1" si="44"/>
        <v>0</v>
      </c>
      <c r="O43" s="118">
        <f t="shared" ca="1" si="44"/>
        <v>0</v>
      </c>
      <c r="P43" s="118">
        <f t="shared" ca="1" si="44"/>
        <v>0</v>
      </c>
      <c r="Q43" s="118">
        <f t="shared" ca="1" si="44"/>
        <v>0</v>
      </c>
      <c r="R43" s="118">
        <f t="shared" ca="1" si="44"/>
        <v>0</v>
      </c>
      <c r="S43" s="118">
        <f t="shared" ca="1" si="44"/>
        <v>0</v>
      </c>
      <c r="T43" s="118">
        <f t="shared" ca="1" si="44"/>
        <v>0</v>
      </c>
      <c r="U43" s="118">
        <f t="shared" ca="1" si="44"/>
        <v>0</v>
      </c>
      <c r="V43" s="118">
        <f t="shared" ca="1" si="44"/>
        <v>0</v>
      </c>
      <c r="W43" s="118">
        <f t="shared" ca="1" si="44"/>
        <v>-67785.052631578947</v>
      </c>
      <c r="X43" s="118">
        <f t="shared" ca="1" si="44"/>
        <v>-67785.052631578947</v>
      </c>
      <c r="Y43" s="118">
        <f t="shared" ca="1" si="44"/>
        <v>-67785.052631578947</v>
      </c>
      <c r="Z43" s="118">
        <f t="shared" ca="1" si="44"/>
        <v>-67785.052631578947</v>
      </c>
      <c r="AA43" s="118">
        <f t="shared" ca="1" si="44"/>
        <v>-67785.052631578947</v>
      </c>
      <c r="AB43" s="118">
        <f t="shared" ca="1" si="44"/>
        <v>-67785.052631578947</v>
      </c>
      <c r="AC43" s="118">
        <f t="shared" ca="1" si="44"/>
        <v>-67785.052631578947</v>
      </c>
      <c r="AD43" s="118">
        <f t="shared" ca="1" si="44"/>
        <v>-67785.052631578947</v>
      </c>
      <c r="AE43" s="118">
        <f t="shared" ca="1" si="44"/>
        <v>-67785.052631578947</v>
      </c>
      <c r="AF43" s="118">
        <f t="shared" ca="1" si="44"/>
        <v>-67785.052631578947</v>
      </c>
      <c r="AG43" s="118">
        <f t="shared" ca="1" si="44"/>
        <v>-67785.052631578947</v>
      </c>
      <c r="AH43" s="118">
        <f t="shared" ca="1" si="44"/>
        <v>-67785.052631578947</v>
      </c>
      <c r="AI43" s="118">
        <f t="shared" ca="1" si="44"/>
        <v>-67785.052631578947</v>
      </c>
      <c r="AJ43" s="118">
        <f t="shared" ca="1" si="44"/>
        <v>-67785.052631578947</v>
      </c>
      <c r="AK43" s="118">
        <f t="shared" ca="1" si="44"/>
        <v>-67785.052631578947</v>
      </c>
      <c r="AL43" s="118">
        <f t="shared" ca="1" si="44"/>
        <v>-67785.052631578947</v>
      </c>
      <c r="AM43" s="118">
        <f t="shared" ca="1" si="44"/>
        <v>-67785.052631578947</v>
      </c>
      <c r="AN43" s="118">
        <f t="shared" ca="1" si="44"/>
        <v>-67785.052631578947</v>
      </c>
      <c r="AO43" s="118">
        <f t="shared" ca="1" si="44"/>
        <v>-67785.052631578947</v>
      </c>
      <c r="AP43" s="118">
        <f t="shared" ca="1" si="44"/>
        <v>0</v>
      </c>
      <c r="AQ43" s="118">
        <f t="shared" ca="1" si="44"/>
        <v>0</v>
      </c>
      <c r="AR43" s="118">
        <f t="shared" ca="1" si="44"/>
        <v>0</v>
      </c>
      <c r="AS43" s="118">
        <f t="shared" ca="1" si="44"/>
        <v>0</v>
      </c>
      <c r="AT43" s="118">
        <f t="shared" ca="1" si="44"/>
        <v>0</v>
      </c>
      <c r="AU43" s="118">
        <f t="shared" ca="1" si="44"/>
        <v>0</v>
      </c>
      <c r="AV43" s="118">
        <f t="shared" ca="1" si="44"/>
        <v>0</v>
      </c>
      <c r="AW43" s="118">
        <f t="shared" ca="1" si="44"/>
        <v>0</v>
      </c>
      <c r="AX43" s="118">
        <f t="shared" ca="1" si="44"/>
        <v>0</v>
      </c>
      <c r="AY43" s="118">
        <f t="shared" ca="1" si="44"/>
        <v>0</v>
      </c>
      <c r="AZ43" s="118">
        <f t="shared" ca="1" si="44"/>
        <v>0</v>
      </c>
      <c r="BA43" s="118">
        <f t="shared" ca="1" si="44"/>
        <v>0</v>
      </c>
      <c r="BB43" s="118">
        <f t="shared" ca="1" si="44"/>
        <v>0</v>
      </c>
      <c r="BC43" s="118">
        <f t="shared" ca="1" si="44"/>
        <v>0</v>
      </c>
      <c r="BD43" s="118">
        <f t="shared" ca="1" si="44"/>
        <v>0</v>
      </c>
      <c r="BE43" s="118">
        <f t="shared" ca="1" si="44"/>
        <v>0</v>
      </c>
      <c r="BF43" s="118">
        <f t="shared" ca="1" si="44"/>
        <v>0</v>
      </c>
      <c r="BG43" s="118">
        <f t="shared" ca="1" si="44"/>
        <v>0</v>
      </c>
      <c r="BH43" s="118">
        <f t="shared" ca="1" si="44"/>
        <v>0</v>
      </c>
      <c r="BI43" s="118">
        <f t="shared" ca="1" si="44"/>
        <v>0</v>
      </c>
      <c r="BJ43" s="118">
        <f t="shared" ca="1" si="44"/>
        <v>0</v>
      </c>
      <c r="BK43" s="118">
        <f t="shared" ca="1" si="44"/>
        <v>0</v>
      </c>
      <c r="BL43" s="118">
        <f t="shared" ca="1" si="44"/>
        <v>0</v>
      </c>
      <c r="BM43" s="118">
        <f t="shared" ca="1" si="44"/>
        <v>0</v>
      </c>
      <c r="BN43" s="118">
        <f t="shared" ca="1" si="44"/>
        <v>0</v>
      </c>
      <c r="BO43" s="118">
        <f t="shared" ca="1" si="44"/>
        <v>0</v>
      </c>
      <c r="BP43" s="118">
        <f t="shared" ca="1" si="44"/>
        <v>0</v>
      </c>
      <c r="BQ43" s="118">
        <f t="shared" ca="1" si="44"/>
        <v>0</v>
      </c>
      <c r="BR43" s="118">
        <f t="shared" ca="1" si="44"/>
        <v>0</v>
      </c>
      <c r="BS43" s="118">
        <f t="shared" ca="1" si="44"/>
        <v>0</v>
      </c>
      <c r="BT43" s="118">
        <f t="shared" ca="1" si="44"/>
        <v>0</v>
      </c>
      <c r="BU43" s="118">
        <f t="shared" ca="1" si="44"/>
        <v>0</v>
      </c>
      <c r="BV43" s="118">
        <f t="shared" ca="1" si="43"/>
        <v>0</v>
      </c>
      <c r="BW43" s="118">
        <f t="shared" ca="1" si="43"/>
        <v>0</v>
      </c>
      <c r="BX43" s="118">
        <f t="shared" ca="1" si="43"/>
        <v>0</v>
      </c>
      <c r="BY43" s="118">
        <f t="shared" ca="1" si="43"/>
        <v>0</v>
      </c>
      <c r="BZ43" s="118">
        <f t="shared" ca="1" si="43"/>
        <v>0</v>
      </c>
      <c r="CA43" s="118">
        <f t="shared" ca="1" si="43"/>
        <v>0</v>
      </c>
      <c r="CB43" s="118">
        <f t="shared" ca="1" si="43"/>
        <v>0</v>
      </c>
      <c r="CC43" s="118">
        <f t="shared" ca="1" si="43"/>
        <v>0</v>
      </c>
      <c r="CD43" s="118">
        <f t="shared" ca="1" si="43"/>
        <v>0</v>
      </c>
      <c r="CE43" s="118">
        <f t="shared" ca="1" si="43"/>
        <v>0</v>
      </c>
      <c r="CF43" s="118">
        <f t="shared" ca="1" si="43"/>
        <v>0</v>
      </c>
      <c r="CG43" s="118">
        <f t="shared" ca="1" si="43"/>
        <v>0</v>
      </c>
      <c r="CH43" s="118">
        <f t="shared" ca="1" si="43"/>
        <v>0</v>
      </c>
      <c r="CI43" s="118">
        <f t="shared" ca="1" si="43"/>
        <v>0</v>
      </c>
      <c r="CJ43" s="118">
        <f t="shared" ca="1" si="43"/>
        <v>0</v>
      </c>
      <c r="CK43" s="118">
        <f t="shared" ca="1" si="43"/>
        <v>0</v>
      </c>
      <c r="CL43" s="118">
        <f t="shared" ca="1" si="43"/>
        <v>0</v>
      </c>
      <c r="CM43" s="118">
        <f t="shared" ca="1" si="43"/>
        <v>0</v>
      </c>
      <c r="CN43" s="118">
        <f t="shared" ca="1" si="43"/>
        <v>0</v>
      </c>
      <c r="CO43" s="118">
        <f t="shared" ca="1" si="43"/>
        <v>0</v>
      </c>
      <c r="CP43" s="118">
        <f t="shared" ca="1" si="43"/>
        <v>0</v>
      </c>
      <c r="CQ43" s="118">
        <f t="shared" ca="1" si="43"/>
        <v>0</v>
      </c>
      <c r="CR43" s="118">
        <f t="shared" ca="1" si="43"/>
        <v>0</v>
      </c>
      <c r="CS43" s="118">
        <f t="shared" ca="1" si="43"/>
        <v>0</v>
      </c>
      <c r="CT43" s="118">
        <f t="shared" ca="1" si="43"/>
        <v>0</v>
      </c>
      <c r="CU43" s="118">
        <f t="shared" ca="1" si="43"/>
        <v>0</v>
      </c>
      <c r="CV43" s="118">
        <f t="shared" ca="1" si="43"/>
        <v>0</v>
      </c>
      <c r="CW43" s="118">
        <f t="shared" ca="1" si="43"/>
        <v>0</v>
      </c>
      <c r="CX43" s="118">
        <f t="shared" ca="1" si="43"/>
        <v>0</v>
      </c>
      <c r="CY43" s="118">
        <f t="shared" ca="1" si="43"/>
        <v>0</v>
      </c>
      <c r="CZ43" s="118">
        <f t="shared" ca="1" si="43"/>
        <v>0</v>
      </c>
    </row>
    <row r="44" spans="1:104" x14ac:dyDescent="0.2">
      <c r="B44" s="127" t="str">
        <f>'9. Development Costs'!B22</f>
        <v>Total Construction Costs</v>
      </c>
      <c r="C44" s="128">
        <f>-'9. Development Costs'!H22</f>
        <v>-65683716</v>
      </c>
      <c r="D44" s="128">
        <f t="shared" ref="D44" ca="1" si="45">C44-E44</f>
        <v>0</v>
      </c>
      <c r="E44" s="128">
        <f t="shared" ca="1" si="36"/>
        <v>-65683715.999999985</v>
      </c>
      <c r="F44" s="129"/>
      <c r="G44" s="130"/>
      <c r="H44" s="131"/>
      <c r="I44" s="128">
        <f t="shared" ref="I44:AN44" ca="1" si="46">SUM(I41:I43)</f>
        <v>0</v>
      </c>
      <c r="J44" s="128">
        <f t="shared" ca="1" si="46"/>
        <v>0</v>
      </c>
      <c r="K44" s="128">
        <f t="shared" ca="1" si="46"/>
        <v>0</v>
      </c>
      <c r="L44" s="128">
        <f t="shared" ca="1" si="46"/>
        <v>0</v>
      </c>
      <c r="M44" s="128">
        <f t="shared" ca="1" si="46"/>
        <v>0</v>
      </c>
      <c r="N44" s="128">
        <f t="shared" ca="1" si="46"/>
        <v>0</v>
      </c>
      <c r="O44" s="128">
        <f t="shared" ca="1" si="46"/>
        <v>0</v>
      </c>
      <c r="P44" s="128">
        <f t="shared" ca="1" si="46"/>
        <v>0</v>
      </c>
      <c r="Q44" s="128">
        <f t="shared" ca="1" si="46"/>
        <v>0</v>
      </c>
      <c r="R44" s="128">
        <f t="shared" ca="1" si="46"/>
        <v>0</v>
      </c>
      <c r="S44" s="128">
        <f t="shared" ca="1" si="46"/>
        <v>0</v>
      </c>
      <c r="T44" s="128">
        <f t="shared" ca="1" si="46"/>
        <v>0</v>
      </c>
      <c r="U44" s="128">
        <f t="shared" ca="1" si="46"/>
        <v>0</v>
      </c>
      <c r="V44" s="128">
        <f t="shared" ca="1" si="46"/>
        <v>0</v>
      </c>
      <c r="W44" s="128">
        <f t="shared" ca="1" si="46"/>
        <v>-2596553.3478410402</v>
      </c>
      <c r="X44" s="128">
        <f t="shared" ca="1" si="46"/>
        <v>-2846054.5476996894</v>
      </c>
      <c r="Y44" s="128">
        <f t="shared" ca="1" si="46"/>
        <v>-3086568.8879993958</v>
      </c>
      <c r="Z44" s="128">
        <f t="shared" ca="1" si="46"/>
        <v>-3311793.4839603049</v>
      </c>
      <c r="AA44" s="128">
        <f t="shared" ca="1" si="46"/>
        <v>-3515443.5925003211</v>
      </c>
      <c r="AB44" s="128">
        <f t="shared" ca="1" si="46"/>
        <v>-3691540.0892753499</v>
      </c>
      <c r="AC44" s="128">
        <f t="shared" ca="1" si="46"/>
        <v>-3834699.2827845267</v>
      </c>
      <c r="AD44" s="128">
        <f t="shared" ca="1" si="46"/>
        <v>-3940405.6028904389</v>
      </c>
      <c r="AE44" s="128">
        <f t="shared" ca="1" si="46"/>
        <v>-4005247.9463602924</v>
      </c>
      <c r="AF44" s="128">
        <f t="shared" ca="1" si="46"/>
        <v>-4027102.4373772684</v>
      </c>
      <c r="AG44" s="128">
        <f t="shared" ca="1" si="46"/>
        <v>-4005247.9463602998</v>
      </c>
      <c r="AH44" s="128">
        <f t="shared" ca="1" si="46"/>
        <v>-3940405.6028904282</v>
      </c>
      <c r="AI44" s="128">
        <f t="shared" ca="1" si="46"/>
        <v>-3834699.2827845342</v>
      </c>
      <c r="AJ44" s="128">
        <f t="shared" ca="1" si="46"/>
        <v>-3691540.0892753461</v>
      </c>
      <c r="AK44" s="128">
        <f t="shared" ca="1" si="46"/>
        <v>-3515443.592500323</v>
      </c>
      <c r="AL44" s="128">
        <f t="shared" ca="1" si="46"/>
        <v>-3311793.4839603067</v>
      </c>
      <c r="AM44" s="128">
        <f t="shared" ca="1" si="46"/>
        <v>-3086568.887999387</v>
      </c>
      <c r="AN44" s="128">
        <f t="shared" ca="1" si="46"/>
        <v>-2846054.5476996913</v>
      </c>
      <c r="AO44" s="128">
        <f t="shared" ref="AO44:BT44" ca="1" si="47">SUM(AO41:AO43)</f>
        <v>-2596553.3478410402</v>
      </c>
      <c r="AP44" s="128">
        <f t="shared" ca="1" si="47"/>
        <v>0</v>
      </c>
      <c r="AQ44" s="128">
        <f t="shared" ca="1" si="47"/>
        <v>0</v>
      </c>
      <c r="AR44" s="128">
        <f t="shared" ca="1" si="47"/>
        <v>0</v>
      </c>
      <c r="AS44" s="128">
        <f t="shared" ca="1" si="47"/>
        <v>0</v>
      </c>
      <c r="AT44" s="128">
        <f t="shared" ca="1" si="47"/>
        <v>0</v>
      </c>
      <c r="AU44" s="128">
        <f t="shared" ca="1" si="47"/>
        <v>0</v>
      </c>
      <c r="AV44" s="128">
        <f t="shared" ca="1" si="47"/>
        <v>0</v>
      </c>
      <c r="AW44" s="128">
        <f t="shared" ca="1" si="47"/>
        <v>0</v>
      </c>
      <c r="AX44" s="128">
        <f t="shared" ca="1" si="47"/>
        <v>0</v>
      </c>
      <c r="AY44" s="128">
        <f t="shared" ca="1" si="47"/>
        <v>0</v>
      </c>
      <c r="AZ44" s="128">
        <f t="shared" ca="1" si="47"/>
        <v>0</v>
      </c>
      <c r="BA44" s="128">
        <f t="shared" ca="1" si="47"/>
        <v>0</v>
      </c>
      <c r="BB44" s="128">
        <f t="shared" ca="1" si="47"/>
        <v>0</v>
      </c>
      <c r="BC44" s="128">
        <f t="shared" ca="1" si="47"/>
        <v>0</v>
      </c>
      <c r="BD44" s="128">
        <f t="shared" ca="1" si="47"/>
        <v>0</v>
      </c>
      <c r="BE44" s="128">
        <f t="shared" ca="1" si="47"/>
        <v>0</v>
      </c>
      <c r="BF44" s="128">
        <f t="shared" ca="1" si="47"/>
        <v>0</v>
      </c>
      <c r="BG44" s="128">
        <f t="shared" ca="1" si="47"/>
        <v>0</v>
      </c>
      <c r="BH44" s="128">
        <f t="shared" ca="1" si="47"/>
        <v>0</v>
      </c>
      <c r="BI44" s="128">
        <f t="shared" ca="1" si="47"/>
        <v>0</v>
      </c>
      <c r="BJ44" s="128">
        <f t="shared" ca="1" si="47"/>
        <v>0</v>
      </c>
      <c r="BK44" s="128">
        <f t="shared" ca="1" si="47"/>
        <v>0</v>
      </c>
      <c r="BL44" s="128">
        <f t="shared" ca="1" si="47"/>
        <v>0</v>
      </c>
      <c r="BM44" s="128">
        <f t="shared" ca="1" si="47"/>
        <v>0</v>
      </c>
      <c r="BN44" s="128">
        <f t="shared" ca="1" si="47"/>
        <v>0</v>
      </c>
      <c r="BO44" s="128">
        <f t="shared" ca="1" si="47"/>
        <v>0</v>
      </c>
      <c r="BP44" s="128">
        <f t="shared" ca="1" si="47"/>
        <v>0</v>
      </c>
      <c r="BQ44" s="128">
        <f t="shared" ca="1" si="47"/>
        <v>0</v>
      </c>
      <c r="BR44" s="128">
        <f t="shared" ca="1" si="47"/>
        <v>0</v>
      </c>
      <c r="BS44" s="128">
        <f t="shared" ca="1" si="47"/>
        <v>0</v>
      </c>
      <c r="BT44" s="128">
        <f t="shared" ca="1" si="47"/>
        <v>0</v>
      </c>
      <c r="BU44" s="128">
        <f t="shared" ref="BU44:CZ44" ca="1" si="48">SUM(BU41:BU43)</f>
        <v>0</v>
      </c>
      <c r="BV44" s="128">
        <f t="shared" ca="1" si="48"/>
        <v>0</v>
      </c>
      <c r="BW44" s="128">
        <f t="shared" ca="1" si="48"/>
        <v>0</v>
      </c>
      <c r="BX44" s="128">
        <f t="shared" ca="1" si="48"/>
        <v>0</v>
      </c>
      <c r="BY44" s="128">
        <f t="shared" ca="1" si="48"/>
        <v>0</v>
      </c>
      <c r="BZ44" s="128">
        <f t="shared" ca="1" si="48"/>
        <v>0</v>
      </c>
      <c r="CA44" s="128">
        <f t="shared" ca="1" si="48"/>
        <v>0</v>
      </c>
      <c r="CB44" s="128">
        <f t="shared" ca="1" si="48"/>
        <v>0</v>
      </c>
      <c r="CC44" s="128">
        <f t="shared" ca="1" si="48"/>
        <v>0</v>
      </c>
      <c r="CD44" s="128">
        <f t="shared" ca="1" si="48"/>
        <v>0</v>
      </c>
      <c r="CE44" s="128">
        <f t="shared" ca="1" si="48"/>
        <v>0</v>
      </c>
      <c r="CF44" s="128">
        <f t="shared" ca="1" si="48"/>
        <v>0</v>
      </c>
      <c r="CG44" s="128">
        <f t="shared" ca="1" si="48"/>
        <v>0</v>
      </c>
      <c r="CH44" s="128">
        <f t="shared" ca="1" si="48"/>
        <v>0</v>
      </c>
      <c r="CI44" s="128">
        <f t="shared" ca="1" si="48"/>
        <v>0</v>
      </c>
      <c r="CJ44" s="128">
        <f t="shared" ca="1" si="48"/>
        <v>0</v>
      </c>
      <c r="CK44" s="128">
        <f t="shared" ca="1" si="48"/>
        <v>0</v>
      </c>
      <c r="CL44" s="128">
        <f t="shared" ca="1" si="48"/>
        <v>0</v>
      </c>
      <c r="CM44" s="128">
        <f t="shared" ca="1" si="48"/>
        <v>0</v>
      </c>
      <c r="CN44" s="128">
        <f t="shared" ca="1" si="48"/>
        <v>0</v>
      </c>
      <c r="CO44" s="128">
        <f t="shared" ca="1" si="48"/>
        <v>0</v>
      </c>
      <c r="CP44" s="128">
        <f t="shared" ca="1" si="48"/>
        <v>0</v>
      </c>
      <c r="CQ44" s="128">
        <f t="shared" ca="1" si="48"/>
        <v>0</v>
      </c>
      <c r="CR44" s="128">
        <f t="shared" ca="1" si="48"/>
        <v>0</v>
      </c>
      <c r="CS44" s="128">
        <f t="shared" ca="1" si="48"/>
        <v>0</v>
      </c>
      <c r="CT44" s="128">
        <f t="shared" ca="1" si="48"/>
        <v>0</v>
      </c>
      <c r="CU44" s="128">
        <f t="shared" ca="1" si="48"/>
        <v>0</v>
      </c>
      <c r="CV44" s="128">
        <f t="shared" ca="1" si="48"/>
        <v>0</v>
      </c>
      <c r="CW44" s="128">
        <f t="shared" ca="1" si="48"/>
        <v>0</v>
      </c>
      <c r="CX44" s="128">
        <f t="shared" ca="1" si="48"/>
        <v>0</v>
      </c>
      <c r="CY44" s="128">
        <f t="shared" ca="1" si="48"/>
        <v>0</v>
      </c>
      <c r="CZ44" s="128">
        <f t="shared" ca="1" si="48"/>
        <v>0</v>
      </c>
    </row>
    <row r="45" spans="1:104" x14ac:dyDescent="0.2">
      <c r="B45" s="119"/>
      <c r="C45" s="118"/>
      <c r="E45" s="118"/>
      <c r="F45" s="32"/>
      <c r="H45" s="123"/>
      <c r="I45" s="118"/>
      <c r="J45" s="118"/>
      <c r="K45" s="118"/>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c r="CZ45" s="118"/>
    </row>
    <row r="46" spans="1:104" x14ac:dyDescent="0.2">
      <c r="B46" s="126" t="s">
        <v>114</v>
      </c>
      <c r="C46" s="34"/>
      <c r="D46" s="34"/>
      <c r="E46" s="35"/>
      <c r="F46" s="35"/>
      <c r="G46" s="107"/>
      <c r="H46" s="122"/>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row>
    <row r="47" spans="1:104" x14ac:dyDescent="0.2">
      <c r="B47" s="119" t="str">
        <f>'9. Development Costs'!B25</f>
        <v>Architect</v>
      </c>
      <c r="C47" s="118">
        <f>-'9. Development Costs'!H25</f>
        <v>-1931874</v>
      </c>
      <c r="D47" s="118">
        <f ca="1">ROUND(C47-E47,0)</f>
        <v>0</v>
      </c>
      <c r="E47" s="118">
        <f t="shared" ref="E47:E61" ca="1" si="49">SUM(I47:CZ47)</f>
        <v>-1931874</v>
      </c>
      <c r="F47" s="272">
        <f ca="1">'8. Schedule'!D15</f>
        <v>46097</v>
      </c>
      <c r="G47" s="272">
        <f ca="1">'8. Schedule'!E17</f>
        <v>47042</v>
      </c>
      <c r="H47" s="125">
        <f ca="1">DATEDIF(F47,G47,"m")+1</f>
        <v>32</v>
      </c>
      <c r="I47" s="118">
        <f ca="1">IF(AND(I$7&lt;=$G47,I$7&gt;=$F47,$H47&lt;&gt;0,$H47&lt;&gt;""),$C47/$H47,0)</f>
        <v>0</v>
      </c>
      <c r="J47" s="118">
        <f t="shared" ref="J47:BU48" ca="1" si="50">IF(AND(J$7&lt;=$G47,J$7&gt;=$F47,$H47&lt;&gt;0,$H47&lt;&gt;""),$C47/$H47,0)</f>
        <v>-60371.0625</v>
      </c>
      <c r="K47" s="118">
        <f t="shared" ca="1" si="50"/>
        <v>-60371.0625</v>
      </c>
      <c r="L47" s="118">
        <f t="shared" ca="1" si="50"/>
        <v>-60371.0625</v>
      </c>
      <c r="M47" s="118">
        <f t="shared" ca="1" si="50"/>
        <v>-60371.0625</v>
      </c>
      <c r="N47" s="118">
        <f t="shared" ca="1" si="50"/>
        <v>-60371.0625</v>
      </c>
      <c r="O47" s="118">
        <f t="shared" ca="1" si="50"/>
        <v>-60371.0625</v>
      </c>
      <c r="P47" s="118">
        <f t="shared" ca="1" si="50"/>
        <v>-60371.0625</v>
      </c>
      <c r="Q47" s="118">
        <f t="shared" ca="1" si="50"/>
        <v>-60371.0625</v>
      </c>
      <c r="R47" s="118">
        <f t="shared" ca="1" si="50"/>
        <v>-60371.0625</v>
      </c>
      <c r="S47" s="118">
        <f t="shared" ca="1" si="50"/>
        <v>-60371.0625</v>
      </c>
      <c r="T47" s="118">
        <f t="shared" ca="1" si="50"/>
        <v>-60371.0625</v>
      </c>
      <c r="U47" s="118">
        <f t="shared" ca="1" si="50"/>
        <v>-60371.0625</v>
      </c>
      <c r="V47" s="118">
        <f t="shared" ca="1" si="50"/>
        <v>-60371.0625</v>
      </c>
      <c r="W47" s="118">
        <f t="shared" ca="1" si="50"/>
        <v>-60371.0625</v>
      </c>
      <c r="X47" s="118">
        <f t="shared" ca="1" si="50"/>
        <v>-60371.0625</v>
      </c>
      <c r="Y47" s="118">
        <f t="shared" ca="1" si="50"/>
        <v>-60371.0625</v>
      </c>
      <c r="Z47" s="118">
        <f t="shared" ca="1" si="50"/>
        <v>-60371.0625</v>
      </c>
      <c r="AA47" s="118">
        <f t="shared" ca="1" si="50"/>
        <v>-60371.0625</v>
      </c>
      <c r="AB47" s="118">
        <f t="shared" ca="1" si="50"/>
        <v>-60371.0625</v>
      </c>
      <c r="AC47" s="118">
        <f t="shared" ca="1" si="50"/>
        <v>-60371.0625</v>
      </c>
      <c r="AD47" s="118">
        <f t="shared" ca="1" si="50"/>
        <v>-60371.0625</v>
      </c>
      <c r="AE47" s="118">
        <f t="shared" ca="1" si="50"/>
        <v>-60371.0625</v>
      </c>
      <c r="AF47" s="118">
        <f t="shared" ca="1" si="50"/>
        <v>-60371.0625</v>
      </c>
      <c r="AG47" s="118">
        <f t="shared" ca="1" si="50"/>
        <v>-60371.0625</v>
      </c>
      <c r="AH47" s="118">
        <f t="shared" ca="1" si="50"/>
        <v>-60371.0625</v>
      </c>
      <c r="AI47" s="118">
        <f t="shared" ca="1" si="50"/>
        <v>-60371.0625</v>
      </c>
      <c r="AJ47" s="118">
        <f t="shared" ca="1" si="50"/>
        <v>-60371.0625</v>
      </c>
      <c r="AK47" s="118">
        <f t="shared" ca="1" si="50"/>
        <v>-60371.0625</v>
      </c>
      <c r="AL47" s="118">
        <f t="shared" ca="1" si="50"/>
        <v>-60371.0625</v>
      </c>
      <c r="AM47" s="118">
        <f t="shared" ca="1" si="50"/>
        <v>-60371.0625</v>
      </c>
      <c r="AN47" s="118">
        <f t="shared" ca="1" si="50"/>
        <v>-60371.0625</v>
      </c>
      <c r="AO47" s="118">
        <f t="shared" ca="1" si="50"/>
        <v>-60371.0625</v>
      </c>
      <c r="AP47" s="118">
        <f t="shared" ca="1" si="50"/>
        <v>0</v>
      </c>
      <c r="AQ47" s="118">
        <f t="shared" ca="1" si="50"/>
        <v>0</v>
      </c>
      <c r="AR47" s="118">
        <f t="shared" ca="1" si="50"/>
        <v>0</v>
      </c>
      <c r="AS47" s="118">
        <f t="shared" ca="1" si="50"/>
        <v>0</v>
      </c>
      <c r="AT47" s="118">
        <f t="shared" ca="1" si="50"/>
        <v>0</v>
      </c>
      <c r="AU47" s="118">
        <f t="shared" ca="1" si="50"/>
        <v>0</v>
      </c>
      <c r="AV47" s="118">
        <f t="shared" ca="1" si="50"/>
        <v>0</v>
      </c>
      <c r="AW47" s="118">
        <f t="shared" ca="1" si="50"/>
        <v>0</v>
      </c>
      <c r="AX47" s="118">
        <f t="shared" ca="1" si="50"/>
        <v>0</v>
      </c>
      <c r="AY47" s="118">
        <f t="shared" ca="1" si="50"/>
        <v>0</v>
      </c>
      <c r="AZ47" s="118">
        <f t="shared" ca="1" si="50"/>
        <v>0</v>
      </c>
      <c r="BA47" s="118">
        <f t="shared" ca="1" si="50"/>
        <v>0</v>
      </c>
      <c r="BB47" s="118">
        <f t="shared" ca="1" si="50"/>
        <v>0</v>
      </c>
      <c r="BC47" s="118">
        <f t="shared" ca="1" si="50"/>
        <v>0</v>
      </c>
      <c r="BD47" s="118">
        <f t="shared" ca="1" si="50"/>
        <v>0</v>
      </c>
      <c r="BE47" s="118">
        <f t="shared" ca="1" si="50"/>
        <v>0</v>
      </c>
      <c r="BF47" s="118">
        <f t="shared" ca="1" si="50"/>
        <v>0</v>
      </c>
      <c r="BG47" s="118">
        <f t="shared" ca="1" si="50"/>
        <v>0</v>
      </c>
      <c r="BH47" s="118">
        <f t="shared" ca="1" si="50"/>
        <v>0</v>
      </c>
      <c r="BI47" s="118">
        <f t="shared" ca="1" si="50"/>
        <v>0</v>
      </c>
      <c r="BJ47" s="118">
        <f t="shared" ca="1" si="50"/>
        <v>0</v>
      </c>
      <c r="BK47" s="118">
        <f t="shared" ca="1" si="50"/>
        <v>0</v>
      </c>
      <c r="BL47" s="118">
        <f t="shared" ca="1" si="50"/>
        <v>0</v>
      </c>
      <c r="BM47" s="118">
        <f t="shared" ca="1" si="50"/>
        <v>0</v>
      </c>
      <c r="BN47" s="118">
        <f t="shared" ca="1" si="50"/>
        <v>0</v>
      </c>
      <c r="BO47" s="118">
        <f t="shared" ca="1" si="50"/>
        <v>0</v>
      </c>
      <c r="BP47" s="118">
        <f t="shared" ca="1" si="50"/>
        <v>0</v>
      </c>
      <c r="BQ47" s="118">
        <f t="shared" ca="1" si="50"/>
        <v>0</v>
      </c>
      <c r="BR47" s="118">
        <f t="shared" ca="1" si="50"/>
        <v>0</v>
      </c>
      <c r="BS47" s="118">
        <f t="shared" ca="1" si="50"/>
        <v>0</v>
      </c>
      <c r="BT47" s="118">
        <f t="shared" ca="1" si="50"/>
        <v>0</v>
      </c>
      <c r="BU47" s="118">
        <f t="shared" ca="1" si="50"/>
        <v>0</v>
      </c>
      <c r="BV47" s="118">
        <f t="shared" ref="BV47:CZ51" ca="1" si="51">IF(AND(BV$7&lt;=$G47,BV$7&gt;=$F47,$H47&lt;&gt;0,$H47&lt;&gt;""),$C47/$H47,0)</f>
        <v>0</v>
      </c>
      <c r="BW47" s="118">
        <f t="shared" ca="1" si="51"/>
        <v>0</v>
      </c>
      <c r="BX47" s="118">
        <f t="shared" ca="1" si="51"/>
        <v>0</v>
      </c>
      <c r="BY47" s="118">
        <f t="shared" ca="1" si="51"/>
        <v>0</v>
      </c>
      <c r="BZ47" s="118">
        <f t="shared" ca="1" si="51"/>
        <v>0</v>
      </c>
      <c r="CA47" s="118">
        <f t="shared" ca="1" si="51"/>
        <v>0</v>
      </c>
      <c r="CB47" s="118">
        <f t="shared" ca="1" si="51"/>
        <v>0</v>
      </c>
      <c r="CC47" s="118">
        <f t="shared" ca="1" si="51"/>
        <v>0</v>
      </c>
      <c r="CD47" s="118">
        <f t="shared" ca="1" si="51"/>
        <v>0</v>
      </c>
      <c r="CE47" s="118">
        <f t="shared" ca="1" si="51"/>
        <v>0</v>
      </c>
      <c r="CF47" s="118">
        <f t="shared" ca="1" si="51"/>
        <v>0</v>
      </c>
      <c r="CG47" s="118">
        <f t="shared" ca="1" si="51"/>
        <v>0</v>
      </c>
      <c r="CH47" s="118">
        <f t="shared" ca="1" si="51"/>
        <v>0</v>
      </c>
      <c r="CI47" s="118">
        <f t="shared" ca="1" si="51"/>
        <v>0</v>
      </c>
      <c r="CJ47" s="118">
        <f t="shared" ca="1" si="51"/>
        <v>0</v>
      </c>
      <c r="CK47" s="118">
        <f t="shared" ca="1" si="51"/>
        <v>0</v>
      </c>
      <c r="CL47" s="118">
        <f t="shared" ca="1" si="51"/>
        <v>0</v>
      </c>
      <c r="CM47" s="118">
        <f t="shared" ca="1" si="51"/>
        <v>0</v>
      </c>
      <c r="CN47" s="118">
        <f t="shared" ca="1" si="51"/>
        <v>0</v>
      </c>
      <c r="CO47" s="118">
        <f t="shared" ca="1" si="51"/>
        <v>0</v>
      </c>
      <c r="CP47" s="118">
        <f t="shared" ca="1" si="51"/>
        <v>0</v>
      </c>
      <c r="CQ47" s="118">
        <f t="shared" ca="1" si="51"/>
        <v>0</v>
      </c>
      <c r="CR47" s="118">
        <f t="shared" ca="1" si="51"/>
        <v>0</v>
      </c>
      <c r="CS47" s="118">
        <f t="shared" ca="1" si="51"/>
        <v>0</v>
      </c>
      <c r="CT47" s="118">
        <f t="shared" ca="1" si="51"/>
        <v>0</v>
      </c>
      <c r="CU47" s="118">
        <f t="shared" ca="1" si="51"/>
        <v>0</v>
      </c>
      <c r="CV47" s="118">
        <f t="shared" ca="1" si="51"/>
        <v>0</v>
      </c>
      <c r="CW47" s="118">
        <f t="shared" ca="1" si="51"/>
        <v>0</v>
      </c>
      <c r="CX47" s="118">
        <f t="shared" ca="1" si="51"/>
        <v>0</v>
      </c>
      <c r="CY47" s="118">
        <f t="shared" ca="1" si="51"/>
        <v>0</v>
      </c>
      <c r="CZ47" s="118">
        <f t="shared" ca="1" si="51"/>
        <v>0</v>
      </c>
    </row>
    <row r="48" spans="1:104" x14ac:dyDescent="0.2">
      <c r="B48" s="119" t="str">
        <f>'9. Development Costs'!B26</f>
        <v>Landscape architect</v>
      </c>
      <c r="C48" s="118">
        <f>-'9. Development Costs'!H26</f>
        <v>0</v>
      </c>
      <c r="D48" s="118">
        <f t="shared" ref="D48:D60" ca="1" si="52">ROUND(C48-E48,0)</f>
        <v>0</v>
      </c>
      <c r="E48" s="118">
        <f t="shared" ca="1" si="49"/>
        <v>0</v>
      </c>
      <c r="F48" s="272">
        <f t="shared" ref="F48:G59" ca="1" si="53">F$47</f>
        <v>46097</v>
      </c>
      <c r="G48" s="272">
        <f t="shared" ca="1" si="53"/>
        <v>47042</v>
      </c>
      <c r="H48" s="125">
        <f t="shared" ref="H48:H60" ca="1" si="54">DATEDIF(F48,G48,"m")+1</f>
        <v>32</v>
      </c>
      <c r="I48" s="118">
        <f t="shared" ref="I48:X60" ca="1" si="55">IF(AND(I$7&lt;=$G48,I$7&gt;=$F48,$H48&lt;&gt;0,$H48&lt;&gt;""),$C48/$H48,0)</f>
        <v>0</v>
      </c>
      <c r="J48" s="118">
        <f t="shared" ca="1" si="55"/>
        <v>0</v>
      </c>
      <c r="K48" s="118">
        <f t="shared" ca="1" si="55"/>
        <v>0</v>
      </c>
      <c r="L48" s="118">
        <f t="shared" ca="1" si="55"/>
        <v>0</v>
      </c>
      <c r="M48" s="118">
        <f t="shared" ca="1" si="55"/>
        <v>0</v>
      </c>
      <c r="N48" s="118">
        <f t="shared" ca="1" si="55"/>
        <v>0</v>
      </c>
      <c r="O48" s="118">
        <f t="shared" ca="1" si="55"/>
        <v>0</v>
      </c>
      <c r="P48" s="118">
        <f t="shared" ca="1" si="55"/>
        <v>0</v>
      </c>
      <c r="Q48" s="118">
        <f t="shared" ca="1" si="55"/>
        <v>0</v>
      </c>
      <c r="R48" s="118">
        <f t="shared" ca="1" si="55"/>
        <v>0</v>
      </c>
      <c r="S48" s="118">
        <f t="shared" ca="1" si="55"/>
        <v>0</v>
      </c>
      <c r="T48" s="118">
        <f t="shared" ca="1" si="55"/>
        <v>0</v>
      </c>
      <c r="U48" s="118">
        <f t="shared" ca="1" si="55"/>
        <v>0</v>
      </c>
      <c r="V48" s="118">
        <f t="shared" ca="1" si="55"/>
        <v>0</v>
      </c>
      <c r="W48" s="118">
        <f t="shared" ca="1" si="55"/>
        <v>0</v>
      </c>
      <c r="X48" s="118">
        <f t="shared" ca="1" si="55"/>
        <v>0</v>
      </c>
      <c r="Y48" s="118">
        <f t="shared" ca="1" si="50"/>
        <v>0</v>
      </c>
      <c r="Z48" s="118">
        <f t="shared" ca="1" si="50"/>
        <v>0</v>
      </c>
      <c r="AA48" s="118">
        <f t="shared" ca="1" si="50"/>
        <v>0</v>
      </c>
      <c r="AB48" s="118">
        <f t="shared" ca="1" si="50"/>
        <v>0</v>
      </c>
      <c r="AC48" s="118">
        <f t="shared" ca="1" si="50"/>
        <v>0</v>
      </c>
      <c r="AD48" s="118">
        <f t="shared" ca="1" si="50"/>
        <v>0</v>
      </c>
      <c r="AE48" s="118">
        <f t="shared" ca="1" si="50"/>
        <v>0</v>
      </c>
      <c r="AF48" s="118">
        <f t="shared" ca="1" si="50"/>
        <v>0</v>
      </c>
      <c r="AG48" s="118">
        <f t="shared" ca="1" si="50"/>
        <v>0</v>
      </c>
      <c r="AH48" s="118">
        <f t="shared" ca="1" si="50"/>
        <v>0</v>
      </c>
      <c r="AI48" s="118">
        <f t="shared" ca="1" si="50"/>
        <v>0</v>
      </c>
      <c r="AJ48" s="118">
        <f t="shared" ca="1" si="50"/>
        <v>0</v>
      </c>
      <c r="AK48" s="118">
        <f t="shared" ca="1" si="50"/>
        <v>0</v>
      </c>
      <c r="AL48" s="118">
        <f t="shared" ca="1" si="50"/>
        <v>0</v>
      </c>
      <c r="AM48" s="118">
        <f t="shared" ca="1" si="50"/>
        <v>0</v>
      </c>
      <c r="AN48" s="118">
        <f t="shared" ca="1" si="50"/>
        <v>0</v>
      </c>
      <c r="AO48" s="118">
        <f t="shared" ca="1" si="50"/>
        <v>0</v>
      </c>
      <c r="AP48" s="118">
        <f t="shared" ca="1" si="50"/>
        <v>0</v>
      </c>
      <c r="AQ48" s="118">
        <f t="shared" ca="1" si="50"/>
        <v>0</v>
      </c>
      <c r="AR48" s="118">
        <f t="shared" ca="1" si="50"/>
        <v>0</v>
      </c>
      <c r="AS48" s="118">
        <f t="shared" ca="1" si="50"/>
        <v>0</v>
      </c>
      <c r="AT48" s="118">
        <f t="shared" ca="1" si="50"/>
        <v>0</v>
      </c>
      <c r="AU48" s="118">
        <f t="shared" ca="1" si="50"/>
        <v>0</v>
      </c>
      <c r="AV48" s="118">
        <f t="shared" ca="1" si="50"/>
        <v>0</v>
      </c>
      <c r="AW48" s="118">
        <f t="shared" ca="1" si="50"/>
        <v>0</v>
      </c>
      <c r="AX48" s="118">
        <f t="shared" ca="1" si="50"/>
        <v>0</v>
      </c>
      <c r="AY48" s="118">
        <f t="shared" ca="1" si="50"/>
        <v>0</v>
      </c>
      <c r="AZ48" s="118">
        <f t="shared" ca="1" si="50"/>
        <v>0</v>
      </c>
      <c r="BA48" s="118">
        <f t="shared" ca="1" si="50"/>
        <v>0</v>
      </c>
      <c r="BB48" s="118">
        <f t="shared" ca="1" si="50"/>
        <v>0</v>
      </c>
      <c r="BC48" s="118">
        <f t="shared" ca="1" si="50"/>
        <v>0</v>
      </c>
      <c r="BD48" s="118">
        <f t="shared" ca="1" si="50"/>
        <v>0</v>
      </c>
      <c r="BE48" s="118">
        <f t="shared" ca="1" si="50"/>
        <v>0</v>
      </c>
      <c r="BF48" s="118">
        <f t="shared" ca="1" si="50"/>
        <v>0</v>
      </c>
      <c r="BG48" s="118">
        <f t="shared" ca="1" si="50"/>
        <v>0</v>
      </c>
      <c r="BH48" s="118">
        <f t="shared" ca="1" si="50"/>
        <v>0</v>
      </c>
      <c r="BI48" s="118">
        <f t="shared" ca="1" si="50"/>
        <v>0</v>
      </c>
      <c r="BJ48" s="118">
        <f t="shared" ca="1" si="50"/>
        <v>0</v>
      </c>
      <c r="BK48" s="118">
        <f t="shared" ca="1" si="50"/>
        <v>0</v>
      </c>
      <c r="BL48" s="118">
        <f t="shared" ca="1" si="50"/>
        <v>0</v>
      </c>
      <c r="BM48" s="118">
        <f t="shared" ca="1" si="50"/>
        <v>0</v>
      </c>
      <c r="BN48" s="118">
        <f t="shared" ca="1" si="50"/>
        <v>0</v>
      </c>
      <c r="BO48" s="118">
        <f t="shared" ca="1" si="50"/>
        <v>0</v>
      </c>
      <c r="BP48" s="118">
        <f t="shared" ca="1" si="50"/>
        <v>0</v>
      </c>
      <c r="BQ48" s="118">
        <f t="shared" ca="1" si="50"/>
        <v>0</v>
      </c>
      <c r="BR48" s="118">
        <f t="shared" ca="1" si="50"/>
        <v>0</v>
      </c>
      <c r="BS48" s="118">
        <f t="shared" ca="1" si="50"/>
        <v>0</v>
      </c>
      <c r="BT48" s="118">
        <f t="shared" ca="1" si="50"/>
        <v>0</v>
      </c>
      <c r="BU48" s="118">
        <f t="shared" ca="1" si="50"/>
        <v>0</v>
      </c>
      <c r="BV48" s="118">
        <f t="shared" ca="1" si="51"/>
        <v>0</v>
      </c>
      <c r="BW48" s="118">
        <f t="shared" ca="1" si="51"/>
        <v>0</v>
      </c>
      <c r="BX48" s="118">
        <f t="shared" ca="1" si="51"/>
        <v>0</v>
      </c>
      <c r="BY48" s="118">
        <f t="shared" ca="1" si="51"/>
        <v>0</v>
      </c>
      <c r="BZ48" s="118">
        <f t="shared" ca="1" si="51"/>
        <v>0</v>
      </c>
      <c r="CA48" s="118">
        <f t="shared" ca="1" si="51"/>
        <v>0</v>
      </c>
      <c r="CB48" s="118">
        <f t="shared" ca="1" si="51"/>
        <v>0</v>
      </c>
      <c r="CC48" s="118">
        <f t="shared" ca="1" si="51"/>
        <v>0</v>
      </c>
      <c r="CD48" s="118">
        <f t="shared" ca="1" si="51"/>
        <v>0</v>
      </c>
      <c r="CE48" s="118">
        <f t="shared" ca="1" si="51"/>
        <v>0</v>
      </c>
      <c r="CF48" s="118">
        <f t="shared" ca="1" si="51"/>
        <v>0</v>
      </c>
      <c r="CG48" s="118">
        <f t="shared" ca="1" si="51"/>
        <v>0</v>
      </c>
      <c r="CH48" s="118">
        <f t="shared" ca="1" si="51"/>
        <v>0</v>
      </c>
      <c r="CI48" s="118">
        <f t="shared" ca="1" si="51"/>
        <v>0</v>
      </c>
      <c r="CJ48" s="118">
        <f t="shared" ca="1" si="51"/>
        <v>0</v>
      </c>
      <c r="CK48" s="118">
        <f t="shared" ca="1" si="51"/>
        <v>0</v>
      </c>
      <c r="CL48" s="118">
        <f t="shared" ca="1" si="51"/>
        <v>0</v>
      </c>
      <c r="CM48" s="118">
        <f t="shared" ca="1" si="51"/>
        <v>0</v>
      </c>
      <c r="CN48" s="118">
        <f t="shared" ca="1" si="51"/>
        <v>0</v>
      </c>
      <c r="CO48" s="118">
        <f t="shared" ca="1" si="51"/>
        <v>0</v>
      </c>
      <c r="CP48" s="118">
        <f t="shared" ca="1" si="51"/>
        <v>0</v>
      </c>
      <c r="CQ48" s="118">
        <f t="shared" ca="1" si="51"/>
        <v>0</v>
      </c>
      <c r="CR48" s="118">
        <f t="shared" ca="1" si="51"/>
        <v>0</v>
      </c>
      <c r="CS48" s="118">
        <f t="shared" ca="1" si="51"/>
        <v>0</v>
      </c>
      <c r="CT48" s="118">
        <f t="shared" ca="1" si="51"/>
        <v>0</v>
      </c>
      <c r="CU48" s="118">
        <f t="shared" ca="1" si="51"/>
        <v>0</v>
      </c>
      <c r="CV48" s="118">
        <f t="shared" ca="1" si="51"/>
        <v>0</v>
      </c>
      <c r="CW48" s="118">
        <f t="shared" ca="1" si="51"/>
        <v>0</v>
      </c>
      <c r="CX48" s="118">
        <f t="shared" ca="1" si="51"/>
        <v>0</v>
      </c>
      <c r="CY48" s="118">
        <f t="shared" ca="1" si="51"/>
        <v>0</v>
      </c>
      <c r="CZ48" s="118">
        <f t="shared" ca="1" si="51"/>
        <v>0</v>
      </c>
    </row>
    <row r="49" spans="2:104" x14ac:dyDescent="0.2">
      <c r="B49" s="119" t="str">
        <f>'9. Development Costs'!B27</f>
        <v>Structural engineer</v>
      </c>
      <c r="C49" s="118">
        <f>-'9. Development Costs'!H27</f>
        <v>0</v>
      </c>
      <c r="D49" s="118">
        <f t="shared" ca="1" si="52"/>
        <v>0</v>
      </c>
      <c r="E49" s="118">
        <f t="shared" ca="1" si="49"/>
        <v>0</v>
      </c>
      <c r="F49" s="272">
        <f t="shared" ca="1" si="53"/>
        <v>46097</v>
      </c>
      <c r="G49" s="272">
        <f t="shared" ca="1" si="53"/>
        <v>47042</v>
      </c>
      <c r="H49" s="125">
        <f t="shared" ca="1" si="54"/>
        <v>32</v>
      </c>
      <c r="I49" s="118">
        <f t="shared" ca="1" si="55"/>
        <v>0</v>
      </c>
      <c r="J49" s="118">
        <f t="shared" ref="J49:BU52" ca="1" si="56">IF(AND(J$7&lt;=$G49,J$7&gt;=$F49,$H49&lt;&gt;0,$H49&lt;&gt;""),$C49/$H49,0)</f>
        <v>0</v>
      </c>
      <c r="K49" s="118">
        <f t="shared" ca="1" si="56"/>
        <v>0</v>
      </c>
      <c r="L49" s="118">
        <f t="shared" ca="1" si="56"/>
        <v>0</v>
      </c>
      <c r="M49" s="118">
        <f t="shared" ca="1" si="56"/>
        <v>0</v>
      </c>
      <c r="N49" s="118">
        <f t="shared" ca="1" si="56"/>
        <v>0</v>
      </c>
      <c r="O49" s="118">
        <f t="shared" ca="1" si="56"/>
        <v>0</v>
      </c>
      <c r="P49" s="118">
        <f t="shared" ca="1" si="56"/>
        <v>0</v>
      </c>
      <c r="Q49" s="118">
        <f t="shared" ca="1" si="56"/>
        <v>0</v>
      </c>
      <c r="R49" s="118">
        <f t="shared" ca="1" si="56"/>
        <v>0</v>
      </c>
      <c r="S49" s="118">
        <f t="shared" ca="1" si="56"/>
        <v>0</v>
      </c>
      <c r="T49" s="118">
        <f t="shared" ca="1" si="56"/>
        <v>0</v>
      </c>
      <c r="U49" s="118">
        <f t="shared" ca="1" si="56"/>
        <v>0</v>
      </c>
      <c r="V49" s="118">
        <f t="shared" ca="1" si="56"/>
        <v>0</v>
      </c>
      <c r="W49" s="118">
        <f t="shared" ca="1" si="56"/>
        <v>0</v>
      </c>
      <c r="X49" s="118">
        <f t="shared" ca="1" si="56"/>
        <v>0</v>
      </c>
      <c r="Y49" s="118">
        <f t="shared" ca="1" si="56"/>
        <v>0</v>
      </c>
      <c r="Z49" s="118">
        <f t="shared" ca="1" si="56"/>
        <v>0</v>
      </c>
      <c r="AA49" s="118">
        <f t="shared" ca="1" si="56"/>
        <v>0</v>
      </c>
      <c r="AB49" s="118">
        <f t="shared" ca="1" si="56"/>
        <v>0</v>
      </c>
      <c r="AC49" s="118">
        <f t="shared" ca="1" si="56"/>
        <v>0</v>
      </c>
      <c r="AD49" s="118">
        <f t="shared" ca="1" si="56"/>
        <v>0</v>
      </c>
      <c r="AE49" s="118">
        <f t="shared" ca="1" si="56"/>
        <v>0</v>
      </c>
      <c r="AF49" s="118">
        <f t="shared" ca="1" si="56"/>
        <v>0</v>
      </c>
      <c r="AG49" s="118">
        <f t="shared" ca="1" si="56"/>
        <v>0</v>
      </c>
      <c r="AH49" s="118">
        <f t="shared" ca="1" si="56"/>
        <v>0</v>
      </c>
      <c r="AI49" s="118">
        <f t="shared" ca="1" si="56"/>
        <v>0</v>
      </c>
      <c r="AJ49" s="118">
        <f t="shared" ca="1" si="56"/>
        <v>0</v>
      </c>
      <c r="AK49" s="118">
        <f t="shared" ca="1" si="56"/>
        <v>0</v>
      </c>
      <c r="AL49" s="118">
        <f t="shared" ca="1" si="56"/>
        <v>0</v>
      </c>
      <c r="AM49" s="118">
        <f t="shared" ca="1" si="56"/>
        <v>0</v>
      </c>
      <c r="AN49" s="118">
        <f t="shared" ca="1" si="56"/>
        <v>0</v>
      </c>
      <c r="AO49" s="118">
        <f t="shared" ca="1" si="56"/>
        <v>0</v>
      </c>
      <c r="AP49" s="118">
        <f t="shared" ca="1" si="56"/>
        <v>0</v>
      </c>
      <c r="AQ49" s="118">
        <f t="shared" ca="1" si="56"/>
        <v>0</v>
      </c>
      <c r="AR49" s="118">
        <f t="shared" ca="1" si="56"/>
        <v>0</v>
      </c>
      <c r="AS49" s="118">
        <f t="shared" ca="1" si="56"/>
        <v>0</v>
      </c>
      <c r="AT49" s="118">
        <f t="shared" ca="1" si="56"/>
        <v>0</v>
      </c>
      <c r="AU49" s="118">
        <f t="shared" ca="1" si="56"/>
        <v>0</v>
      </c>
      <c r="AV49" s="118">
        <f t="shared" ca="1" si="56"/>
        <v>0</v>
      </c>
      <c r="AW49" s="118">
        <f t="shared" ca="1" si="56"/>
        <v>0</v>
      </c>
      <c r="AX49" s="118">
        <f t="shared" ca="1" si="56"/>
        <v>0</v>
      </c>
      <c r="AY49" s="118">
        <f t="shared" ca="1" si="56"/>
        <v>0</v>
      </c>
      <c r="AZ49" s="118">
        <f t="shared" ca="1" si="56"/>
        <v>0</v>
      </c>
      <c r="BA49" s="118">
        <f t="shared" ca="1" si="56"/>
        <v>0</v>
      </c>
      <c r="BB49" s="118">
        <f t="shared" ca="1" si="56"/>
        <v>0</v>
      </c>
      <c r="BC49" s="118">
        <f t="shared" ca="1" si="56"/>
        <v>0</v>
      </c>
      <c r="BD49" s="118">
        <f t="shared" ca="1" si="56"/>
        <v>0</v>
      </c>
      <c r="BE49" s="118">
        <f t="shared" ca="1" si="56"/>
        <v>0</v>
      </c>
      <c r="BF49" s="118">
        <f t="shared" ca="1" si="56"/>
        <v>0</v>
      </c>
      <c r="BG49" s="118">
        <f t="shared" ca="1" si="56"/>
        <v>0</v>
      </c>
      <c r="BH49" s="118">
        <f t="shared" ca="1" si="56"/>
        <v>0</v>
      </c>
      <c r="BI49" s="118">
        <f t="shared" ca="1" si="56"/>
        <v>0</v>
      </c>
      <c r="BJ49" s="118">
        <f t="shared" ca="1" si="56"/>
        <v>0</v>
      </c>
      <c r="BK49" s="118">
        <f t="shared" ca="1" si="56"/>
        <v>0</v>
      </c>
      <c r="BL49" s="118">
        <f t="shared" ca="1" si="56"/>
        <v>0</v>
      </c>
      <c r="BM49" s="118">
        <f t="shared" ca="1" si="56"/>
        <v>0</v>
      </c>
      <c r="BN49" s="118">
        <f t="shared" ca="1" si="56"/>
        <v>0</v>
      </c>
      <c r="BO49" s="118">
        <f t="shared" ca="1" si="56"/>
        <v>0</v>
      </c>
      <c r="BP49" s="118">
        <f t="shared" ca="1" si="56"/>
        <v>0</v>
      </c>
      <c r="BQ49" s="118">
        <f t="shared" ca="1" si="56"/>
        <v>0</v>
      </c>
      <c r="BR49" s="118">
        <f t="shared" ca="1" si="56"/>
        <v>0</v>
      </c>
      <c r="BS49" s="118">
        <f t="shared" ca="1" si="56"/>
        <v>0</v>
      </c>
      <c r="BT49" s="118">
        <f t="shared" ca="1" si="56"/>
        <v>0</v>
      </c>
      <c r="BU49" s="118">
        <f t="shared" ca="1" si="56"/>
        <v>0</v>
      </c>
      <c r="BV49" s="118">
        <f t="shared" ca="1" si="51"/>
        <v>0</v>
      </c>
      <c r="BW49" s="118">
        <f t="shared" ca="1" si="51"/>
        <v>0</v>
      </c>
      <c r="BX49" s="118">
        <f t="shared" ca="1" si="51"/>
        <v>0</v>
      </c>
      <c r="BY49" s="118">
        <f t="shared" ca="1" si="51"/>
        <v>0</v>
      </c>
      <c r="BZ49" s="118">
        <f t="shared" ca="1" si="51"/>
        <v>0</v>
      </c>
      <c r="CA49" s="118">
        <f t="shared" ca="1" si="51"/>
        <v>0</v>
      </c>
      <c r="CB49" s="118">
        <f t="shared" ca="1" si="51"/>
        <v>0</v>
      </c>
      <c r="CC49" s="118">
        <f t="shared" ca="1" si="51"/>
        <v>0</v>
      </c>
      <c r="CD49" s="118">
        <f t="shared" ca="1" si="51"/>
        <v>0</v>
      </c>
      <c r="CE49" s="118">
        <f t="shared" ca="1" si="51"/>
        <v>0</v>
      </c>
      <c r="CF49" s="118">
        <f t="shared" ca="1" si="51"/>
        <v>0</v>
      </c>
      <c r="CG49" s="118">
        <f t="shared" ca="1" si="51"/>
        <v>0</v>
      </c>
      <c r="CH49" s="118">
        <f t="shared" ca="1" si="51"/>
        <v>0</v>
      </c>
      <c r="CI49" s="118">
        <f t="shared" ca="1" si="51"/>
        <v>0</v>
      </c>
      <c r="CJ49" s="118">
        <f t="shared" ca="1" si="51"/>
        <v>0</v>
      </c>
      <c r="CK49" s="118">
        <f t="shared" ca="1" si="51"/>
        <v>0</v>
      </c>
      <c r="CL49" s="118">
        <f t="shared" ca="1" si="51"/>
        <v>0</v>
      </c>
      <c r="CM49" s="118">
        <f t="shared" ca="1" si="51"/>
        <v>0</v>
      </c>
      <c r="CN49" s="118">
        <f t="shared" ca="1" si="51"/>
        <v>0</v>
      </c>
      <c r="CO49" s="118">
        <f t="shared" ca="1" si="51"/>
        <v>0</v>
      </c>
      <c r="CP49" s="118">
        <f t="shared" ca="1" si="51"/>
        <v>0</v>
      </c>
      <c r="CQ49" s="118">
        <f t="shared" ca="1" si="51"/>
        <v>0</v>
      </c>
      <c r="CR49" s="118">
        <f t="shared" ca="1" si="51"/>
        <v>0</v>
      </c>
      <c r="CS49" s="118">
        <f t="shared" ca="1" si="51"/>
        <v>0</v>
      </c>
      <c r="CT49" s="118">
        <f t="shared" ca="1" si="51"/>
        <v>0</v>
      </c>
      <c r="CU49" s="118">
        <f t="shared" ca="1" si="51"/>
        <v>0</v>
      </c>
      <c r="CV49" s="118">
        <f t="shared" ca="1" si="51"/>
        <v>0</v>
      </c>
      <c r="CW49" s="118">
        <f t="shared" ca="1" si="51"/>
        <v>0</v>
      </c>
      <c r="CX49" s="118">
        <f t="shared" ca="1" si="51"/>
        <v>0</v>
      </c>
      <c r="CY49" s="118">
        <f t="shared" ca="1" si="51"/>
        <v>0</v>
      </c>
      <c r="CZ49" s="118">
        <f t="shared" ca="1" si="51"/>
        <v>0</v>
      </c>
    </row>
    <row r="50" spans="2:104" x14ac:dyDescent="0.2">
      <c r="B50" s="119" t="str">
        <f>'9. Development Costs'!B28</f>
        <v>Civil engineer</v>
      </c>
      <c r="C50" s="118">
        <f>-'9. Development Costs'!H28</f>
        <v>0</v>
      </c>
      <c r="D50" s="118">
        <f t="shared" ca="1" si="52"/>
        <v>0</v>
      </c>
      <c r="E50" s="118">
        <f t="shared" ca="1" si="49"/>
        <v>0</v>
      </c>
      <c r="F50" s="272">
        <f t="shared" ca="1" si="53"/>
        <v>46097</v>
      </c>
      <c r="G50" s="272">
        <f t="shared" ca="1" si="53"/>
        <v>47042</v>
      </c>
      <c r="H50" s="125">
        <f t="shared" ca="1" si="54"/>
        <v>32</v>
      </c>
      <c r="I50" s="118">
        <f t="shared" ca="1" si="55"/>
        <v>0</v>
      </c>
      <c r="J50" s="118">
        <f t="shared" ca="1" si="56"/>
        <v>0</v>
      </c>
      <c r="K50" s="118">
        <f t="shared" ca="1" si="56"/>
        <v>0</v>
      </c>
      <c r="L50" s="118">
        <f t="shared" ca="1" si="56"/>
        <v>0</v>
      </c>
      <c r="M50" s="118">
        <f t="shared" ca="1" si="56"/>
        <v>0</v>
      </c>
      <c r="N50" s="118">
        <f t="shared" ca="1" si="56"/>
        <v>0</v>
      </c>
      <c r="O50" s="118">
        <f t="shared" ca="1" si="56"/>
        <v>0</v>
      </c>
      <c r="P50" s="118">
        <f t="shared" ca="1" si="56"/>
        <v>0</v>
      </c>
      <c r="Q50" s="118">
        <f t="shared" ca="1" si="56"/>
        <v>0</v>
      </c>
      <c r="R50" s="118">
        <f t="shared" ca="1" si="56"/>
        <v>0</v>
      </c>
      <c r="S50" s="118">
        <f t="shared" ca="1" si="56"/>
        <v>0</v>
      </c>
      <c r="T50" s="118">
        <f t="shared" ca="1" si="56"/>
        <v>0</v>
      </c>
      <c r="U50" s="118">
        <f t="shared" ca="1" si="56"/>
        <v>0</v>
      </c>
      <c r="V50" s="118">
        <f t="shared" ca="1" si="56"/>
        <v>0</v>
      </c>
      <c r="W50" s="118">
        <f t="shared" ca="1" si="56"/>
        <v>0</v>
      </c>
      <c r="X50" s="118">
        <f t="shared" ca="1" si="56"/>
        <v>0</v>
      </c>
      <c r="Y50" s="118">
        <f t="shared" ca="1" si="56"/>
        <v>0</v>
      </c>
      <c r="Z50" s="118">
        <f t="shared" ca="1" si="56"/>
        <v>0</v>
      </c>
      <c r="AA50" s="118">
        <f t="shared" ca="1" si="56"/>
        <v>0</v>
      </c>
      <c r="AB50" s="118">
        <f t="shared" ca="1" si="56"/>
        <v>0</v>
      </c>
      <c r="AC50" s="118">
        <f t="shared" ca="1" si="56"/>
        <v>0</v>
      </c>
      <c r="AD50" s="118">
        <f t="shared" ca="1" si="56"/>
        <v>0</v>
      </c>
      <c r="AE50" s="118">
        <f t="shared" ca="1" si="56"/>
        <v>0</v>
      </c>
      <c r="AF50" s="118">
        <f t="shared" ca="1" si="56"/>
        <v>0</v>
      </c>
      <c r="AG50" s="118">
        <f t="shared" ca="1" si="56"/>
        <v>0</v>
      </c>
      <c r="AH50" s="118">
        <f t="shared" ca="1" si="56"/>
        <v>0</v>
      </c>
      <c r="AI50" s="118">
        <f t="shared" ca="1" si="56"/>
        <v>0</v>
      </c>
      <c r="AJ50" s="118">
        <f t="shared" ca="1" si="56"/>
        <v>0</v>
      </c>
      <c r="AK50" s="118">
        <f t="shared" ca="1" si="56"/>
        <v>0</v>
      </c>
      <c r="AL50" s="118">
        <f t="shared" ca="1" si="56"/>
        <v>0</v>
      </c>
      <c r="AM50" s="118">
        <f t="shared" ca="1" si="56"/>
        <v>0</v>
      </c>
      <c r="AN50" s="118">
        <f t="shared" ca="1" si="56"/>
        <v>0</v>
      </c>
      <c r="AO50" s="118">
        <f t="shared" ca="1" si="56"/>
        <v>0</v>
      </c>
      <c r="AP50" s="118">
        <f t="shared" ca="1" si="56"/>
        <v>0</v>
      </c>
      <c r="AQ50" s="118">
        <f t="shared" ca="1" si="56"/>
        <v>0</v>
      </c>
      <c r="AR50" s="118">
        <f t="shared" ca="1" si="56"/>
        <v>0</v>
      </c>
      <c r="AS50" s="118">
        <f t="shared" ca="1" si="56"/>
        <v>0</v>
      </c>
      <c r="AT50" s="118">
        <f t="shared" ca="1" si="56"/>
        <v>0</v>
      </c>
      <c r="AU50" s="118">
        <f t="shared" ca="1" si="56"/>
        <v>0</v>
      </c>
      <c r="AV50" s="118">
        <f t="shared" ca="1" si="56"/>
        <v>0</v>
      </c>
      <c r="AW50" s="118">
        <f t="shared" ca="1" si="56"/>
        <v>0</v>
      </c>
      <c r="AX50" s="118">
        <f t="shared" ca="1" si="56"/>
        <v>0</v>
      </c>
      <c r="AY50" s="118">
        <f t="shared" ca="1" si="56"/>
        <v>0</v>
      </c>
      <c r="AZ50" s="118">
        <f t="shared" ca="1" si="56"/>
        <v>0</v>
      </c>
      <c r="BA50" s="118">
        <f t="shared" ca="1" si="56"/>
        <v>0</v>
      </c>
      <c r="BB50" s="118">
        <f t="shared" ca="1" si="56"/>
        <v>0</v>
      </c>
      <c r="BC50" s="118">
        <f t="shared" ca="1" si="56"/>
        <v>0</v>
      </c>
      <c r="BD50" s="118">
        <f t="shared" ca="1" si="56"/>
        <v>0</v>
      </c>
      <c r="BE50" s="118">
        <f t="shared" ca="1" si="56"/>
        <v>0</v>
      </c>
      <c r="BF50" s="118">
        <f t="shared" ca="1" si="56"/>
        <v>0</v>
      </c>
      <c r="BG50" s="118">
        <f t="shared" ca="1" si="56"/>
        <v>0</v>
      </c>
      <c r="BH50" s="118">
        <f t="shared" ca="1" si="56"/>
        <v>0</v>
      </c>
      <c r="BI50" s="118">
        <f t="shared" ca="1" si="56"/>
        <v>0</v>
      </c>
      <c r="BJ50" s="118">
        <f t="shared" ca="1" si="56"/>
        <v>0</v>
      </c>
      <c r="BK50" s="118">
        <f t="shared" ca="1" si="56"/>
        <v>0</v>
      </c>
      <c r="BL50" s="118">
        <f t="shared" ca="1" si="56"/>
        <v>0</v>
      </c>
      <c r="BM50" s="118">
        <f t="shared" ca="1" si="56"/>
        <v>0</v>
      </c>
      <c r="BN50" s="118">
        <f t="shared" ca="1" si="56"/>
        <v>0</v>
      </c>
      <c r="BO50" s="118">
        <f t="shared" ca="1" si="56"/>
        <v>0</v>
      </c>
      <c r="BP50" s="118">
        <f t="shared" ca="1" si="56"/>
        <v>0</v>
      </c>
      <c r="BQ50" s="118">
        <f t="shared" ca="1" si="56"/>
        <v>0</v>
      </c>
      <c r="BR50" s="118">
        <f t="shared" ca="1" si="56"/>
        <v>0</v>
      </c>
      <c r="BS50" s="118">
        <f t="shared" ca="1" si="56"/>
        <v>0</v>
      </c>
      <c r="BT50" s="118">
        <f t="shared" ca="1" si="56"/>
        <v>0</v>
      </c>
      <c r="BU50" s="118">
        <f t="shared" ca="1" si="56"/>
        <v>0</v>
      </c>
      <c r="BV50" s="118">
        <f t="shared" ca="1" si="51"/>
        <v>0</v>
      </c>
      <c r="BW50" s="118">
        <f t="shared" ca="1" si="51"/>
        <v>0</v>
      </c>
      <c r="BX50" s="118">
        <f t="shared" ca="1" si="51"/>
        <v>0</v>
      </c>
      <c r="BY50" s="118">
        <f t="shared" ca="1" si="51"/>
        <v>0</v>
      </c>
      <c r="BZ50" s="118">
        <f t="shared" ca="1" si="51"/>
        <v>0</v>
      </c>
      <c r="CA50" s="118">
        <f t="shared" ca="1" si="51"/>
        <v>0</v>
      </c>
      <c r="CB50" s="118">
        <f t="shared" ca="1" si="51"/>
        <v>0</v>
      </c>
      <c r="CC50" s="118">
        <f t="shared" ca="1" si="51"/>
        <v>0</v>
      </c>
      <c r="CD50" s="118">
        <f t="shared" ca="1" si="51"/>
        <v>0</v>
      </c>
      <c r="CE50" s="118">
        <f t="shared" ca="1" si="51"/>
        <v>0</v>
      </c>
      <c r="CF50" s="118">
        <f t="shared" ca="1" si="51"/>
        <v>0</v>
      </c>
      <c r="CG50" s="118">
        <f t="shared" ca="1" si="51"/>
        <v>0</v>
      </c>
      <c r="CH50" s="118">
        <f t="shared" ca="1" si="51"/>
        <v>0</v>
      </c>
      <c r="CI50" s="118">
        <f t="shared" ca="1" si="51"/>
        <v>0</v>
      </c>
      <c r="CJ50" s="118">
        <f t="shared" ca="1" si="51"/>
        <v>0</v>
      </c>
      <c r="CK50" s="118">
        <f t="shared" ca="1" si="51"/>
        <v>0</v>
      </c>
      <c r="CL50" s="118">
        <f t="shared" ca="1" si="51"/>
        <v>0</v>
      </c>
      <c r="CM50" s="118">
        <f t="shared" ca="1" si="51"/>
        <v>0</v>
      </c>
      <c r="CN50" s="118">
        <f t="shared" ca="1" si="51"/>
        <v>0</v>
      </c>
      <c r="CO50" s="118">
        <f t="shared" ca="1" si="51"/>
        <v>0</v>
      </c>
      <c r="CP50" s="118">
        <f t="shared" ca="1" si="51"/>
        <v>0</v>
      </c>
      <c r="CQ50" s="118">
        <f t="shared" ca="1" si="51"/>
        <v>0</v>
      </c>
      <c r="CR50" s="118">
        <f t="shared" ca="1" si="51"/>
        <v>0</v>
      </c>
      <c r="CS50" s="118">
        <f t="shared" ca="1" si="51"/>
        <v>0</v>
      </c>
      <c r="CT50" s="118">
        <f t="shared" ca="1" si="51"/>
        <v>0</v>
      </c>
      <c r="CU50" s="118">
        <f t="shared" ca="1" si="51"/>
        <v>0</v>
      </c>
      <c r="CV50" s="118">
        <f t="shared" ca="1" si="51"/>
        <v>0</v>
      </c>
      <c r="CW50" s="118">
        <f t="shared" ca="1" si="51"/>
        <v>0</v>
      </c>
      <c r="CX50" s="118">
        <f t="shared" ca="1" si="51"/>
        <v>0</v>
      </c>
      <c r="CY50" s="118">
        <f t="shared" ca="1" si="51"/>
        <v>0</v>
      </c>
      <c r="CZ50" s="118">
        <f t="shared" ca="1" si="51"/>
        <v>0</v>
      </c>
    </row>
    <row r="51" spans="2:104" x14ac:dyDescent="0.2">
      <c r="B51" s="119" t="str">
        <f>'9. Development Costs'!B29</f>
        <v>Mechanical &amp; Electrical engineer</v>
      </c>
      <c r="C51" s="118">
        <f>-'9. Development Costs'!H29</f>
        <v>0</v>
      </c>
      <c r="D51" s="118">
        <f t="shared" ca="1" si="52"/>
        <v>0</v>
      </c>
      <c r="E51" s="118">
        <f t="shared" ca="1" si="49"/>
        <v>0</v>
      </c>
      <c r="F51" s="272">
        <f t="shared" ca="1" si="53"/>
        <v>46097</v>
      </c>
      <c r="G51" s="272">
        <f t="shared" ca="1" si="53"/>
        <v>47042</v>
      </c>
      <c r="H51" s="125">
        <f t="shared" ca="1" si="54"/>
        <v>32</v>
      </c>
      <c r="I51" s="118">
        <f t="shared" ca="1" si="55"/>
        <v>0</v>
      </c>
      <c r="J51" s="118">
        <f t="shared" ca="1" si="56"/>
        <v>0</v>
      </c>
      <c r="K51" s="118">
        <f t="shared" ca="1" si="56"/>
        <v>0</v>
      </c>
      <c r="L51" s="118">
        <f t="shared" ca="1" si="56"/>
        <v>0</v>
      </c>
      <c r="M51" s="118">
        <f t="shared" ca="1" si="56"/>
        <v>0</v>
      </c>
      <c r="N51" s="118">
        <f t="shared" ca="1" si="56"/>
        <v>0</v>
      </c>
      <c r="O51" s="118">
        <f t="shared" ca="1" si="56"/>
        <v>0</v>
      </c>
      <c r="P51" s="118">
        <f t="shared" ca="1" si="56"/>
        <v>0</v>
      </c>
      <c r="Q51" s="118">
        <f t="shared" ca="1" si="56"/>
        <v>0</v>
      </c>
      <c r="R51" s="118">
        <f t="shared" ca="1" si="56"/>
        <v>0</v>
      </c>
      <c r="S51" s="118">
        <f t="shared" ca="1" si="56"/>
        <v>0</v>
      </c>
      <c r="T51" s="118">
        <f t="shared" ca="1" si="56"/>
        <v>0</v>
      </c>
      <c r="U51" s="118">
        <f t="shared" ca="1" si="56"/>
        <v>0</v>
      </c>
      <c r="V51" s="118">
        <f t="shared" ca="1" si="56"/>
        <v>0</v>
      </c>
      <c r="W51" s="118">
        <f t="shared" ca="1" si="56"/>
        <v>0</v>
      </c>
      <c r="X51" s="118">
        <f t="shared" ca="1" si="56"/>
        <v>0</v>
      </c>
      <c r="Y51" s="118">
        <f t="shared" ca="1" si="56"/>
        <v>0</v>
      </c>
      <c r="Z51" s="118">
        <f t="shared" ca="1" si="56"/>
        <v>0</v>
      </c>
      <c r="AA51" s="118">
        <f t="shared" ca="1" si="56"/>
        <v>0</v>
      </c>
      <c r="AB51" s="118">
        <f t="shared" ca="1" si="56"/>
        <v>0</v>
      </c>
      <c r="AC51" s="118">
        <f t="shared" ca="1" si="56"/>
        <v>0</v>
      </c>
      <c r="AD51" s="118">
        <f t="shared" ca="1" si="56"/>
        <v>0</v>
      </c>
      <c r="AE51" s="118">
        <f t="shared" ca="1" si="56"/>
        <v>0</v>
      </c>
      <c r="AF51" s="118">
        <f t="shared" ca="1" si="56"/>
        <v>0</v>
      </c>
      <c r="AG51" s="118">
        <f t="shared" ca="1" si="56"/>
        <v>0</v>
      </c>
      <c r="AH51" s="118">
        <f t="shared" ca="1" si="56"/>
        <v>0</v>
      </c>
      <c r="AI51" s="118">
        <f t="shared" ca="1" si="56"/>
        <v>0</v>
      </c>
      <c r="AJ51" s="118">
        <f t="shared" ca="1" si="56"/>
        <v>0</v>
      </c>
      <c r="AK51" s="118">
        <f t="shared" ca="1" si="56"/>
        <v>0</v>
      </c>
      <c r="AL51" s="118">
        <f t="shared" ca="1" si="56"/>
        <v>0</v>
      </c>
      <c r="AM51" s="118">
        <f t="shared" ca="1" si="56"/>
        <v>0</v>
      </c>
      <c r="AN51" s="118">
        <f t="shared" ca="1" si="56"/>
        <v>0</v>
      </c>
      <c r="AO51" s="118">
        <f t="shared" ca="1" si="56"/>
        <v>0</v>
      </c>
      <c r="AP51" s="118">
        <f t="shared" ca="1" si="56"/>
        <v>0</v>
      </c>
      <c r="AQ51" s="118">
        <f t="shared" ca="1" si="56"/>
        <v>0</v>
      </c>
      <c r="AR51" s="118">
        <f t="shared" ca="1" si="56"/>
        <v>0</v>
      </c>
      <c r="AS51" s="118">
        <f t="shared" ca="1" si="56"/>
        <v>0</v>
      </c>
      <c r="AT51" s="118">
        <f t="shared" ca="1" si="56"/>
        <v>0</v>
      </c>
      <c r="AU51" s="118">
        <f t="shared" ca="1" si="56"/>
        <v>0</v>
      </c>
      <c r="AV51" s="118">
        <f t="shared" ca="1" si="56"/>
        <v>0</v>
      </c>
      <c r="AW51" s="118">
        <f t="shared" ca="1" si="56"/>
        <v>0</v>
      </c>
      <c r="AX51" s="118">
        <f t="shared" ca="1" si="56"/>
        <v>0</v>
      </c>
      <c r="AY51" s="118">
        <f t="shared" ca="1" si="56"/>
        <v>0</v>
      </c>
      <c r="AZ51" s="118">
        <f t="shared" ca="1" si="56"/>
        <v>0</v>
      </c>
      <c r="BA51" s="118">
        <f t="shared" ca="1" si="56"/>
        <v>0</v>
      </c>
      <c r="BB51" s="118">
        <f t="shared" ca="1" si="56"/>
        <v>0</v>
      </c>
      <c r="BC51" s="118">
        <f t="shared" ca="1" si="56"/>
        <v>0</v>
      </c>
      <c r="BD51" s="118">
        <f t="shared" ca="1" si="56"/>
        <v>0</v>
      </c>
      <c r="BE51" s="118">
        <f t="shared" ca="1" si="56"/>
        <v>0</v>
      </c>
      <c r="BF51" s="118">
        <f t="shared" ca="1" si="56"/>
        <v>0</v>
      </c>
      <c r="BG51" s="118">
        <f t="shared" ca="1" si="56"/>
        <v>0</v>
      </c>
      <c r="BH51" s="118">
        <f t="shared" ca="1" si="56"/>
        <v>0</v>
      </c>
      <c r="BI51" s="118">
        <f t="shared" ca="1" si="56"/>
        <v>0</v>
      </c>
      <c r="BJ51" s="118">
        <f t="shared" ca="1" si="56"/>
        <v>0</v>
      </c>
      <c r="BK51" s="118">
        <f t="shared" ca="1" si="56"/>
        <v>0</v>
      </c>
      <c r="BL51" s="118">
        <f t="shared" ca="1" si="56"/>
        <v>0</v>
      </c>
      <c r="BM51" s="118">
        <f t="shared" ca="1" si="56"/>
        <v>0</v>
      </c>
      <c r="BN51" s="118">
        <f t="shared" ca="1" si="56"/>
        <v>0</v>
      </c>
      <c r="BO51" s="118">
        <f t="shared" ca="1" si="56"/>
        <v>0</v>
      </c>
      <c r="BP51" s="118">
        <f t="shared" ca="1" si="56"/>
        <v>0</v>
      </c>
      <c r="BQ51" s="118">
        <f t="shared" ca="1" si="56"/>
        <v>0</v>
      </c>
      <c r="BR51" s="118">
        <f t="shared" ca="1" si="56"/>
        <v>0</v>
      </c>
      <c r="BS51" s="118">
        <f t="shared" ca="1" si="56"/>
        <v>0</v>
      </c>
      <c r="BT51" s="118">
        <f t="shared" ca="1" si="56"/>
        <v>0</v>
      </c>
      <c r="BU51" s="118">
        <f t="shared" ca="1" si="56"/>
        <v>0</v>
      </c>
      <c r="BV51" s="118">
        <f t="shared" ca="1" si="51"/>
        <v>0</v>
      </c>
      <c r="BW51" s="118">
        <f t="shared" ca="1" si="51"/>
        <v>0</v>
      </c>
      <c r="BX51" s="118">
        <f t="shared" ca="1" si="51"/>
        <v>0</v>
      </c>
      <c r="BY51" s="118">
        <f t="shared" ca="1" si="51"/>
        <v>0</v>
      </c>
      <c r="BZ51" s="118">
        <f t="shared" ca="1" si="51"/>
        <v>0</v>
      </c>
      <c r="CA51" s="118">
        <f t="shared" ca="1" si="51"/>
        <v>0</v>
      </c>
      <c r="CB51" s="118">
        <f t="shared" ca="1" si="51"/>
        <v>0</v>
      </c>
      <c r="CC51" s="118">
        <f t="shared" ca="1" si="51"/>
        <v>0</v>
      </c>
      <c r="CD51" s="118">
        <f t="shared" ca="1" si="51"/>
        <v>0</v>
      </c>
      <c r="CE51" s="118">
        <f t="shared" ca="1" si="51"/>
        <v>0</v>
      </c>
      <c r="CF51" s="118">
        <f t="shared" ca="1" si="51"/>
        <v>0</v>
      </c>
      <c r="CG51" s="118">
        <f t="shared" ca="1" si="51"/>
        <v>0</v>
      </c>
      <c r="CH51" s="118">
        <f t="shared" ca="1" si="51"/>
        <v>0</v>
      </c>
      <c r="CI51" s="118">
        <f t="shared" ca="1" si="51"/>
        <v>0</v>
      </c>
      <c r="CJ51" s="118">
        <f t="shared" ca="1" si="51"/>
        <v>0</v>
      </c>
      <c r="CK51" s="118">
        <f t="shared" ca="1" si="51"/>
        <v>0</v>
      </c>
      <c r="CL51" s="118">
        <f t="shared" ca="1" si="51"/>
        <v>0</v>
      </c>
      <c r="CM51" s="118">
        <f t="shared" ca="1" si="51"/>
        <v>0</v>
      </c>
      <c r="CN51" s="118">
        <f t="shared" ca="1" si="51"/>
        <v>0</v>
      </c>
      <c r="CO51" s="118">
        <f t="shared" ca="1" si="51"/>
        <v>0</v>
      </c>
      <c r="CP51" s="118">
        <f t="shared" ca="1" si="51"/>
        <v>0</v>
      </c>
      <c r="CQ51" s="118">
        <f t="shared" ca="1" si="51"/>
        <v>0</v>
      </c>
      <c r="CR51" s="118">
        <f t="shared" ca="1" si="51"/>
        <v>0</v>
      </c>
      <c r="CS51" s="118">
        <f t="shared" ca="1" si="51"/>
        <v>0</v>
      </c>
      <c r="CT51" s="118">
        <f t="shared" ca="1" si="51"/>
        <v>0</v>
      </c>
      <c r="CU51" s="118">
        <f t="shared" ca="1" si="51"/>
        <v>0</v>
      </c>
      <c r="CV51" s="118">
        <f t="shared" ca="1" si="51"/>
        <v>0</v>
      </c>
      <c r="CW51" s="118">
        <f t="shared" ca="1" si="51"/>
        <v>0</v>
      </c>
      <c r="CX51" s="118">
        <f t="shared" ca="1" si="51"/>
        <v>0</v>
      </c>
      <c r="CY51" s="118">
        <f t="shared" ca="1" si="51"/>
        <v>0</v>
      </c>
      <c r="CZ51" s="118">
        <f t="shared" ca="1" si="51"/>
        <v>0</v>
      </c>
    </row>
    <row r="52" spans="2:104" x14ac:dyDescent="0.2">
      <c r="B52" s="119" t="str">
        <f>'9. Development Costs'!B30</f>
        <v>Geotechnical engineer</v>
      </c>
      <c r="C52" s="118">
        <f>-'9. Development Costs'!H30</f>
        <v>0</v>
      </c>
      <c r="D52" s="118">
        <f t="shared" ca="1" si="52"/>
        <v>0</v>
      </c>
      <c r="E52" s="118">
        <f t="shared" ca="1" si="49"/>
        <v>0</v>
      </c>
      <c r="F52" s="272">
        <f t="shared" ca="1" si="53"/>
        <v>46097</v>
      </c>
      <c r="G52" s="272">
        <f t="shared" ca="1" si="53"/>
        <v>47042</v>
      </c>
      <c r="H52" s="125">
        <f t="shared" ca="1" si="54"/>
        <v>32</v>
      </c>
      <c r="I52" s="118">
        <f t="shared" ca="1" si="55"/>
        <v>0</v>
      </c>
      <c r="J52" s="118">
        <f t="shared" ca="1" si="56"/>
        <v>0</v>
      </c>
      <c r="K52" s="118">
        <f t="shared" ca="1" si="56"/>
        <v>0</v>
      </c>
      <c r="L52" s="118">
        <f t="shared" ca="1" si="56"/>
        <v>0</v>
      </c>
      <c r="M52" s="118">
        <f t="shared" ca="1" si="56"/>
        <v>0</v>
      </c>
      <c r="N52" s="118">
        <f t="shared" ca="1" si="56"/>
        <v>0</v>
      </c>
      <c r="O52" s="118">
        <f t="shared" ca="1" si="56"/>
        <v>0</v>
      </c>
      <c r="P52" s="118">
        <f t="shared" ca="1" si="56"/>
        <v>0</v>
      </c>
      <c r="Q52" s="118">
        <f t="shared" ca="1" si="56"/>
        <v>0</v>
      </c>
      <c r="R52" s="118">
        <f t="shared" ca="1" si="56"/>
        <v>0</v>
      </c>
      <c r="S52" s="118">
        <f t="shared" ca="1" si="56"/>
        <v>0</v>
      </c>
      <c r="T52" s="118">
        <f t="shared" ca="1" si="56"/>
        <v>0</v>
      </c>
      <c r="U52" s="118">
        <f t="shared" ca="1" si="56"/>
        <v>0</v>
      </c>
      <c r="V52" s="118">
        <f t="shared" ca="1" si="56"/>
        <v>0</v>
      </c>
      <c r="W52" s="118">
        <f t="shared" ca="1" si="56"/>
        <v>0</v>
      </c>
      <c r="X52" s="118">
        <f t="shared" ca="1" si="56"/>
        <v>0</v>
      </c>
      <c r="Y52" s="118">
        <f t="shared" ca="1" si="56"/>
        <v>0</v>
      </c>
      <c r="Z52" s="118">
        <f t="shared" ca="1" si="56"/>
        <v>0</v>
      </c>
      <c r="AA52" s="118">
        <f t="shared" ca="1" si="56"/>
        <v>0</v>
      </c>
      <c r="AB52" s="118">
        <f t="shared" ca="1" si="56"/>
        <v>0</v>
      </c>
      <c r="AC52" s="118">
        <f t="shared" ca="1" si="56"/>
        <v>0</v>
      </c>
      <c r="AD52" s="118">
        <f t="shared" ca="1" si="56"/>
        <v>0</v>
      </c>
      <c r="AE52" s="118">
        <f t="shared" ca="1" si="56"/>
        <v>0</v>
      </c>
      <c r="AF52" s="118">
        <f t="shared" ca="1" si="56"/>
        <v>0</v>
      </c>
      <c r="AG52" s="118">
        <f t="shared" ca="1" si="56"/>
        <v>0</v>
      </c>
      <c r="AH52" s="118">
        <f t="shared" ca="1" si="56"/>
        <v>0</v>
      </c>
      <c r="AI52" s="118">
        <f t="shared" ca="1" si="56"/>
        <v>0</v>
      </c>
      <c r="AJ52" s="118">
        <f t="shared" ca="1" si="56"/>
        <v>0</v>
      </c>
      <c r="AK52" s="118">
        <f t="shared" ca="1" si="56"/>
        <v>0</v>
      </c>
      <c r="AL52" s="118">
        <f t="shared" ca="1" si="56"/>
        <v>0</v>
      </c>
      <c r="AM52" s="118">
        <f t="shared" ca="1" si="56"/>
        <v>0</v>
      </c>
      <c r="AN52" s="118">
        <f t="shared" ca="1" si="56"/>
        <v>0</v>
      </c>
      <c r="AO52" s="118">
        <f t="shared" ca="1" si="56"/>
        <v>0</v>
      </c>
      <c r="AP52" s="118">
        <f t="shared" ca="1" si="56"/>
        <v>0</v>
      </c>
      <c r="AQ52" s="118">
        <f t="shared" ca="1" si="56"/>
        <v>0</v>
      </c>
      <c r="AR52" s="118">
        <f t="shared" ca="1" si="56"/>
        <v>0</v>
      </c>
      <c r="AS52" s="118">
        <f t="shared" ca="1" si="56"/>
        <v>0</v>
      </c>
      <c r="AT52" s="118">
        <f t="shared" ca="1" si="56"/>
        <v>0</v>
      </c>
      <c r="AU52" s="118">
        <f t="shared" ca="1" si="56"/>
        <v>0</v>
      </c>
      <c r="AV52" s="118">
        <f t="shared" ca="1" si="56"/>
        <v>0</v>
      </c>
      <c r="AW52" s="118">
        <f t="shared" ca="1" si="56"/>
        <v>0</v>
      </c>
      <c r="AX52" s="118">
        <f t="shared" ca="1" si="56"/>
        <v>0</v>
      </c>
      <c r="AY52" s="118">
        <f t="shared" ca="1" si="56"/>
        <v>0</v>
      </c>
      <c r="AZ52" s="118">
        <f t="shared" ca="1" si="56"/>
        <v>0</v>
      </c>
      <c r="BA52" s="118">
        <f t="shared" ca="1" si="56"/>
        <v>0</v>
      </c>
      <c r="BB52" s="118">
        <f t="shared" ca="1" si="56"/>
        <v>0</v>
      </c>
      <c r="BC52" s="118">
        <f t="shared" ca="1" si="56"/>
        <v>0</v>
      </c>
      <c r="BD52" s="118">
        <f t="shared" ca="1" si="56"/>
        <v>0</v>
      </c>
      <c r="BE52" s="118">
        <f t="shared" ca="1" si="56"/>
        <v>0</v>
      </c>
      <c r="BF52" s="118">
        <f t="shared" ca="1" si="56"/>
        <v>0</v>
      </c>
      <c r="BG52" s="118">
        <f t="shared" ca="1" si="56"/>
        <v>0</v>
      </c>
      <c r="BH52" s="118">
        <f t="shared" ca="1" si="56"/>
        <v>0</v>
      </c>
      <c r="BI52" s="118">
        <f t="shared" ca="1" si="56"/>
        <v>0</v>
      </c>
      <c r="BJ52" s="118">
        <f t="shared" ca="1" si="56"/>
        <v>0</v>
      </c>
      <c r="BK52" s="118">
        <f t="shared" ca="1" si="56"/>
        <v>0</v>
      </c>
      <c r="BL52" s="118">
        <f t="shared" ca="1" si="56"/>
        <v>0</v>
      </c>
      <c r="BM52" s="118">
        <f t="shared" ca="1" si="56"/>
        <v>0</v>
      </c>
      <c r="BN52" s="118">
        <f t="shared" ca="1" si="56"/>
        <v>0</v>
      </c>
      <c r="BO52" s="118">
        <f t="shared" ca="1" si="56"/>
        <v>0</v>
      </c>
      <c r="BP52" s="118">
        <f t="shared" ca="1" si="56"/>
        <v>0</v>
      </c>
      <c r="BQ52" s="118">
        <f t="shared" ca="1" si="56"/>
        <v>0</v>
      </c>
      <c r="BR52" s="118">
        <f t="shared" ca="1" si="56"/>
        <v>0</v>
      </c>
      <c r="BS52" s="118">
        <f t="shared" ca="1" si="56"/>
        <v>0</v>
      </c>
      <c r="BT52" s="118">
        <f t="shared" ca="1" si="56"/>
        <v>0</v>
      </c>
      <c r="BU52" s="118">
        <f t="shared" ref="BU52:CZ55" ca="1" si="57">IF(AND(BU$7&lt;=$G52,BU$7&gt;=$F52,$H52&lt;&gt;0,$H52&lt;&gt;""),$C52/$H52,0)</f>
        <v>0</v>
      </c>
      <c r="BV52" s="118">
        <f t="shared" ca="1" si="57"/>
        <v>0</v>
      </c>
      <c r="BW52" s="118">
        <f t="shared" ca="1" si="57"/>
        <v>0</v>
      </c>
      <c r="BX52" s="118">
        <f t="shared" ca="1" si="57"/>
        <v>0</v>
      </c>
      <c r="BY52" s="118">
        <f t="shared" ca="1" si="57"/>
        <v>0</v>
      </c>
      <c r="BZ52" s="118">
        <f t="shared" ca="1" si="57"/>
        <v>0</v>
      </c>
      <c r="CA52" s="118">
        <f t="shared" ca="1" si="57"/>
        <v>0</v>
      </c>
      <c r="CB52" s="118">
        <f t="shared" ca="1" si="57"/>
        <v>0</v>
      </c>
      <c r="CC52" s="118">
        <f t="shared" ca="1" si="57"/>
        <v>0</v>
      </c>
      <c r="CD52" s="118">
        <f t="shared" ca="1" si="57"/>
        <v>0</v>
      </c>
      <c r="CE52" s="118">
        <f t="shared" ca="1" si="57"/>
        <v>0</v>
      </c>
      <c r="CF52" s="118">
        <f t="shared" ca="1" si="57"/>
        <v>0</v>
      </c>
      <c r="CG52" s="118">
        <f t="shared" ca="1" si="57"/>
        <v>0</v>
      </c>
      <c r="CH52" s="118">
        <f t="shared" ca="1" si="57"/>
        <v>0</v>
      </c>
      <c r="CI52" s="118">
        <f t="shared" ca="1" si="57"/>
        <v>0</v>
      </c>
      <c r="CJ52" s="118">
        <f t="shared" ca="1" si="57"/>
        <v>0</v>
      </c>
      <c r="CK52" s="118">
        <f t="shared" ca="1" si="57"/>
        <v>0</v>
      </c>
      <c r="CL52" s="118">
        <f t="shared" ca="1" si="57"/>
        <v>0</v>
      </c>
      <c r="CM52" s="118">
        <f t="shared" ca="1" si="57"/>
        <v>0</v>
      </c>
      <c r="CN52" s="118">
        <f t="shared" ca="1" si="57"/>
        <v>0</v>
      </c>
      <c r="CO52" s="118">
        <f t="shared" ca="1" si="57"/>
        <v>0</v>
      </c>
      <c r="CP52" s="118">
        <f t="shared" ca="1" si="57"/>
        <v>0</v>
      </c>
      <c r="CQ52" s="118">
        <f t="shared" ca="1" si="57"/>
        <v>0</v>
      </c>
      <c r="CR52" s="118">
        <f t="shared" ca="1" si="57"/>
        <v>0</v>
      </c>
      <c r="CS52" s="118">
        <f t="shared" ca="1" si="57"/>
        <v>0</v>
      </c>
      <c r="CT52" s="118">
        <f t="shared" ca="1" si="57"/>
        <v>0</v>
      </c>
      <c r="CU52" s="118">
        <f t="shared" ca="1" si="57"/>
        <v>0</v>
      </c>
      <c r="CV52" s="118">
        <f t="shared" ca="1" si="57"/>
        <v>0</v>
      </c>
      <c r="CW52" s="118">
        <f t="shared" ca="1" si="57"/>
        <v>0</v>
      </c>
      <c r="CX52" s="118">
        <f t="shared" ca="1" si="57"/>
        <v>0</v>
      </c>
      <c r="CY52" s="118">
        <f t="shared" ca="1" si="57"/>
        <v>0</v>
      </c>
      <c r="CZ52" s="118">
        <f t="shared" ca="1" si="57"/>
        <v>0</v>
      </c>
    </row>
    <row r="53" spans="2:104" x14ac:dyDescent="0.2">
      <c r="B53" s="119" t="str">
        <f>'9. Development Costs'!B31</f>
        <v>Site Servicing Engineer</v>
      </c>
      <c r="C53" s="118">
        <f>-'9. Development Costs'!H31</f>
        <v>0</v>
      </c>
      <c r="D53" s="118">
        <f t="shared" ca="1" si="52"/>
        <v>0</v>
      </c>
      <c r="E53" s="118">
        <f t="shared" ca="1" si="49"/>
        <v>0</v>
      </c>
      <c r="F53" s="272">
        <f t="shared" ca="1" si="53"/>
        <v>46097</v>
      </c>
      <c r="G53" s="272">
        <f t="shared" ca="1" si="53"/>
        <v>47042</v>
      </c>
      <c r="H53" s="125">
        <f t="shared" ca="1" si="54"/>
        <v>32</v>
      </c>
      <c r="I53" s="118">
        <f t="shared" ca="1" si="55"/>
        <v>0</v>
      </c>
      <c r="J53" s="118">
        <f t="shared" ref="J53:BU56" ca="1" si="58">IF(AND(J$7&lt;=$G53,J$7&gt;=$F53,$H53&lt;&gt;0,$H53&lt;&gt;""),$C53/$H53,0)</f>
        <v>0</v>
      </c>
      <c r="K53" s="118">
        <f t="shared" ca="1" si="58"/>
        <v>0</v>
      </c>
      <c r="L53" s="118">
        <f t="shared" ca="1" si="58"/>
        <v>0</v>
      </c>
      <c r="M53" s="118">
        <f t="shared" ca="1" si="58"/>
        <v>0</v>
      </c>
      <c r="N53" s="118">
        <f t="shared" ca="1" si="58"/>
        <v>0</v>
      </c>
      <c r="O53" s="118">
        <f t="shared" ca="1" si="58"/>
        <v>0</v>
      </c>
      <c r="P53" s="118">
        <f t="shared" ca="1" si="58"/>
        <v>0</v>
      </c>
      <c r="Q53" s="118">
        <f t="shared" ca="1" si="58"/>
        <v>0</v>
      </c>
      <c r="R53" s="118">
        <f t="shared" ca="1" si="58"/>
        <v>0</v>
      </c>
      <c r="S53" s="118">
        <f t="shared" ca="1" si="58"/>
        <v>0</v>
      </c>
      <c r="T53" s="118">
        <f t="shared" ca="1" si="58"/>
        <v>0</v>
      </c>
      <c r="U53" s="118">
        <f t="shared" ca="1" si="58"/>
        <v>0</v>
      </c>
      <c r="V53" s="118">
        <f t="shared" ca="1" si="58"/>
        <v>0</v>
      </c>
      <c r="W53" s="118">
        <f t="shared" ca="1" si="58"/>
        <v>0</v>
      </c>
      <c r="X53" s="118">
        <f t="shared" ca="1" si="58"/>
        <v>0</v>
      </c>
      <c r="Y53" s="118">
        <f t="shared" ca="1" si="58"/>
        <v>0</v>
      </c>
      <c r="Z53" s="118">
        <f t="shared" ca="1" si="58"/>
        <v>0</v>
      </c>
      <c r="AA53" s="118">
        <f t="shared" ca="1" si="58"/>
        <v>0</v>
      </c>
      <c r="AB53" s="118">
        <f t="shared" ca="1" si="58"/>
        <v>0</v>
      </c>
      <c r="AC53" s="118">
        <f t="shared" ca="1" si="58"/>
        <v>0</v>
      </c>
      <c r="AD53" s="118">
        <f t="shared" ca="1" si="58"/>
        <v>0</v>
      </c>
      <c r="AE53" s="118">
        <f t="shared" ca="1" si="58"/>
        <v>0</v>
      </c>
      <c r="AF53" s="118">
        <f t="shared" ca="1" si="58"/>
        <v>0</v>
      </c>
      <c r="AG53" s="118">
        <f t="shared" ca="1" si="58"/>
        <v>0</v>
      </c>
      <c r="AH53" s="118">
        <f t="shared" ca="1" si="58"/>
        <v>0</v>
      </c>
      <c r="AI53" s="118">
        <f t="shared" ca="1" si="58"/>
        <v>0</v>
      </c>
      <c r="AJ53" s="118">
        <f t="shared" ca="1" si="58"/>
        <v>0</v>
      </c>
      <c r="AK53" s="118">
        <f t="shared" ca="1" si="58"/>
        <v>0</v>
      </c>
      <c r="AL53" s="118">
        <f t="shared" ca="1" si="58"/>
        <v>0</v>
      </c>
      <c r="AM53" s="118">
        <f t="shared" ca="1" si="58"/>
        <v>0</v>
      </c>
      <c r="AN53" s="118">
        <f t="shared" ca="1" si="58"/>
        <v>0</v>
      </c>
      <c r="AO53" s="118">
        <f t="shared" ca="1" si="58"/>
        <v>0</v>
      </c>
      <c r="AP53" s="118">
        <f t="shared" ca="1" si="58"/>
        <v>0</v>
      </c>
      <c r="AQ53" s="118">
        <f t="shared" ca="1" si="58"/>
        <v>0</v>
      </c>
      <c r="AR53" s="118">
        <f t="shared" ca="1" si="58"/>
        <v>0</v>
      </c>
      <c r="AS53" s="118">
        <f t="shared" ca="1" si="58"/>
        <v>0</v>
      </c>
      <c r="AT53" s="118">
        <f t="shared" ca="1" si="58"/>
        <v>0</v>
      </c>
      <c r="AU53" s="118">
        <f t="shared" ca="1" si="58"/>
        <v>0</v>
      </c>
      <c r="AV53" s="118">
        <f t="shared" ca="1" si="58"/>
        <v>0</v>
      </c>
      <c r="AW53" s="118">
        <f t="shared" ca="1" si="58"/>
        <v>0</v>
      </c>
      <c r="AX53" s="118">
        <f t="shared" ca="1" si="58"/>
        <v>0</v>
      </c>
      <c r="AY53" s="118">
        <f t="shared" ca="1" si="58"/>
        <v>0</v>
      </c>
      <c r="AZ53" s="118">
        <f t="shared" ca="1" si="58"/>
        <v>0</v>
      </c>
      <c r="BA53" s="118">
        <f t="shared" ca="1" si="58"/>
        <v>0</v>
      </c>
      <c r="BB53" s="118">
        <f t="shared" ca="1" si="58"/>
        <v>0</v>
      </c>
      <c r="BC53" s="118">
        <f t="shared" ca="1" si="58"/>
        <v>0</v>
      </c>
      <c r="BD53" s="118">
        <f t="shared" ca="1" si="58"/>
        <v>0</v>
      </c>
      <c r="BE53" s="118">
        <f t="shared" ca="1" si="58"/>
        <v>0</v>
      </c>
      <c r="BF53" s="118">
        <f t="shared" ca="1" si="58"/>
        <v>0</v>
      </c>
      <c r="BG53" s="118">
        <f t="shared" ca="1" si="58"/>
        <v>0</v>
      </c>
      <c r="BH53" s="118">
        <f t="shared" ca="1" si="58"/>
        <v>0</v>
      </c>
      <c r="BI53" s="118">
        <f t="shared" ca="1" si="58"/>
        <v>0</v>
      </c>
      <c r="BJ53" s="118">
        <f t="shared" ca="1" si="58"/>
        <v>0</v>
      </c>
      <c r="BK53" s="118">
        <f t="shared" ca="1" si="58"/>
        <v>0</v>
      </c>
      <c r="BL53" s="118">
        <f t="shared" ca="1" si="58"/>
        <v>0</v>
      </c>
      <c r="BM53" s="118">
        <f t="shared" ca="1" si="58"/>
        <v>0</v>
      </c>
      <c r="BN53" s="118">
        <f t="shared" ca="1" si="58"/>
        <v>0</v>
      </c>
      <c r="BO53" s="118">
        <f t="shared" ca="1" si="58"/>
        <v>0</v>
      </c>
      <c r="BP53" s="118">
        <f t="shared" ca="1" si="58"/>
        <v>0</v>
      </c>
      <c r="BQ53" s="118">
        <f t="shared" ca="1" si="58"/>
        <v>0</v>
      </c>
      <c r="BR53" s="118">
        <f t="shared" ca="1" si="58"/>
        <v>0</v>
      </c>
      <c r="BS53" s="118">
        <f t="shared" ca="1" si="58"/>
        <v>0</v>
      </c>
      <c r="BT53" s="118">
        <f t="shared" ca="1" si="58"/>
        <v>0</v>
      </c>
      <c r="BU53" s="118">
        <f t="shared" ca="1" si="58"/>
        <v>0</v>
      </c>
      <c r="BV53" s="118">
        <f t="shared" ca="1" si="57"/>
        <v>0</v>
      </c>
      <c r="BW53" s="118">
        <f t="shared" ca="1" si="57"/>
        <v>0</v>
      </c>
      <c r="BX53" s="118">
        <f t="shared" ca="1" si="57"/>
        <v>0</v>
      </c>
      <c r="BY53" s="118">
        <f t="shared" ca="1" si="57"/>
        <v>0</v>
      </c>
      <c r="BZ53" s="118">
        <f t="shared" ca="1" si="57"/>
        <v>0</v>
      </c>
      <c r="CA53" s="118">
        <f t="shared" ca="1" si="57"/>
        <v>0</v>
      </c>
      <c r="CB53" s="118">
        <f t="shared" ca="1" si="57"/>
        <v>0</v>
      </c>
      <c r="CC53" s="118">
        <f t="shared" ca="1" si="57"/>
        <v>0</v>
      </c>
      <c r="CD53" s="118">
        <f t="shared" ca="1" si="57"/>
        <v>0</v>
      </c>
      <c r="CE53" s="118">
        <f t="shared" ca="1" si="57"/>
        <v>0</v>
      </c>
      <c r="CF53" s="118">
        <f t="shared" ca="1" si="57"/>
        <v>0</v>
      </c>
      <c r="CG53" s="118">
        <f t="shared" ca="1" si="57"/>
        <v>0</v>
      </c>
      <c r="CH53" s="118">
        <f t="shared" ca="1" si="57"/>
        <v>0</v>
      </c>
      <c r="CI53" s="118">
        <f t="shared" ca="1" si="57"/>
        <v>0</v>
      </c>
      <c r="CJ53" s="118">
        <f t="shared" ca="1" si="57"/>
        <v>0</v>
      </c>
      <c r="CK53" s="118">
        <f t="shared" ca="1" si="57"/>
        <v>0</v>
      </c>
      <c r="CL53" s="118">
        <f t="shared" ca="1" si="57"/>
        <v>0</v>
      </c>
      <c r="CM53" s="118">
        <f t="shared" ca="1" si="57"/>
        <v>0</v>
      </c>
      <c r="CN53" s="118">
        <f t="shared" ca="1" si="57"/>
        <v>0</v>
      </c>
      <c r="CO53" s="118">
        <f t="shared" ca="1" si="57"/>
        <v>0</v>
      </c>
      <c r="CP53" s="118">
        <f t="shared" ca="1" si="57"/>
        <v>0</v>
      </c>
      <c r="CQ53" s="118">
        <f t="shared" ca="1" si="57"/>
        <v>0</v>
      </c>
      <c r="CR53" s="118">
        <f t="shared" ca="1" si="57"/>
        <v>0</v>
      </c>
      <c r="CS53" s="118">
        <f t="shared" ca="1" si="57"/>
        <v>0</v>
      </c>
      <c r="CT53" s="118">
        <f t="shared" ca="1" si="57"/>
        <v>0</v>
      </c>
      <c r="CU53" s="118">
        <f t="shared" ca="1" si="57"/>
        <v>0</v>
      </c>
      <c r="CV53" s="118">
        <f t="shared" ca="1" si="57"/>
        <v>0</v>
      </c>
      <c r="CW53" s="118">
        <f t="shared" ca="1" si="57"/>
        <v>0</v>
      </c>
      <c r="CX53" s="118">
        <f t="shared" ca="1" si="57"/>
        <v>0</v>
      </c>
      <c r="CY53" s="118">
        <f t="shared" ca="1" si="57"/>
        <v>0</v>
      </c>
      <c r="CZ53" s="118">
        <f t="shared" ca="1" si="57"/>
        <v>0</v>
      </c>
    </row>
    <row r="54" spans="2:104" x14ac:dyDescent="0.2">
      <c r="B54" s="119" t="str">
        <f>'9. Development Costs'!B32</f>
        <v>Survey</v>
      </c>
      <c r="C54" s="118">
        <f>-'9. Development Costs'!H32</f>
        <v>0</v>
      </c>
      <c r="D54" s="118">
        <f t="shared" ca="1" si="52"/>
        <v>0</v>
      </c>
      <c r="E54" s="118">
        <f t="shared" ca="1" si="49"/>
        <v>0</v>
      </c>
      <c r="F54" s="272">
        <f t="shared" ca="1" si="53"/>
        <v>46097</v>
      </c>
      <c r="G54" s="272">
        <f t="shared" ca="1" si="53"/>
        <v>47042</v>
      </c>
      <c r="H54" s="125">
        <f t="shared" ca="1" si="54"/>
        <v>32</v>
      </c>
      <c r="I54" s="118">
        <f t="shared" ca="1" si="55"/>
        <v>0</v>
      </c>
      <c r="J54" s="118">
        <f t="shared" ca="1" si="58"/>
        <v>0</v>
      </c>
      <c r="K54" s="118">
        <f t="shared" ca="1" si="58"/>
        <v>0</v>
      </c>
      <c r="L54" s="118">
        <f t="shared" ca="1" si="58"/>
        <v>0</v>
      </c>
      <c r="M54" s="118">
        <f t="shared" ca="1" si="58"/>
        <v>0</v>
      </c>
      <c r="N54" s="118">
        <f t="shared" ca="1" si="58"/>
        <v>0</v>
      </c>
      <c r="O54" s="118">
        <f t="shared" ca="1" si="58"/>
        <v>0</v>
      </c>
      <c r="P54" s="118">
        <f t="shared" ca="1" si="58"/>
        <v>0</v>
      </c>
      <c r="Q54" s="118">
        <f t="shared" ca="1" si="58"/>
        <v>0</v>
      </c>
      <c r="R54" s="118">
        <f t="shared" ca="1" si="58"/>
        <v>0</v>
      </c>
      <c r="S54" s="118">
        <f t="shared" ca="1" si="58"/>
        <v>0</v>
      </c>
      <c r="T54" s="118">
        <f t="shared" ca="1" si="58"/>
        <v>0</v>
      </c>
      <c r="U54" s="118">
        <f t="shared" ca="1" si="58"/>
        <v>0</v>
      </c>
      <c r="V54" s="118">
        <f t="shared" ca="1" si="58"/>
        <v>0</v>
      </c>
      <c r="W54" s="118">
        <f t="shared" ca="1" si="58"/>
        <v>0</v>
      </c>
      <c r="X54" s="118">
        <f t="shared" ca="1" si="58"/>
        <v>0</v>
      </c>
      <c r="Y54" s="118">
        <f t="shared" ca="1" si="58"/>
        <v>0</v>
      </c>
      <c r="Z54" s="118">
        <f t="shared" ca="1" si="58"/>
        <v>0</v>
      </c>
      <c r="AA54" s="118">
        <f t="shared" ca="1" si="58"/>
        <v>0</v>
      </c>
      <c r="AB54" s="118">
        <f t="shared" ca="1" si="58"/>
        <v>0</v>
      </c>
      <c r="AC54" s="118">
        <f t="shared" ca="1" si="58"/>
        <v>0</v>
      </c>
      <c r="AD54" s="118">
        <f t="shared" ca="1" si="58"/>
        <v>0</v>
      </c>
      <c r="AE54" s="118">
        <f t="shared" ca="1" si="58"/>
        <v>0</v>
      </c>
      <c r="AF54" s="118">
        <f t="shared" ca="1" si="58"/>
        <v>0</v>
      </c>
      <c r="AG54" s="118">
        <f t="shared" ca="1" si="58"/>
        <v>0</v>
      </c>
      <c r="AH54" s="118">
        <f t="shared" ca="1" si="58"/>
        <v>0</v>
      </c>
      <c r="AI54" s="118">
        <f t="shared" ca="1" si="58"/>
        <v>0</v>
      </c>
      <c r="AJ54" s="118">
        <f t="shared" ca="1" si="58"/>
        <v>0</v>
      </c>
      <c r="AK54" s="118">
        <f t="shared" ca="1" si="58"/>
        <v>0</v>
      </c>
      <c r="AL54" s="118">
        <f t="shared" ca="1" si="58"/>
        <v>0</v>
      </c>
      <c r="AM54" s="118">
        <f t="shared" ca="1" si="58"/>
        <v>0</v>
      </c>
      <c r="AN54" s="118">
        <f t="shared" ca="1" si="58"/>
        <v>0</v>
      </c>
      <c r="AO54" s="118">
        <f t="shared" ca="1" si="58"/>
        <v>0</v>
      </c>
      <c r="AP54" s="118">
        <f t="shared" ca="1" si="58"/>
        <v>0</v>
      </c>
      <c r="AQ54" s="118">
        <f t="shared" ca="1" si="58"/>
        <v>0</v>
      </c>
      <c r="AR54" s="118">
        <f t="shared" ca="1" si="58"/>
        <v>0</v>
      </c>
      <c r="AS54" s="118">
        <f t="shared" ca="1" si="58"/>
        <v>0</v>
      </c>
      <c r="AT54" s="118">
        <f t="shared" ca="1" si="58"/>
        <v>0</v>
      </c>
      <c r="AU54" s="118">
        <f t="shared" ca="1" si="58"/>
        <v>0</v>
      </c>
      <c r="AV54" s="118">
        <f t="shared" ca="1" si="58"/>
        <v>0</v>
      </c>
      <c r="AW54" s="118">
        <f t="shared" ca="1" si="58"/>
        <v>0</v>
      </c>
      <c r="AX54" s="118">
        <f t="shared" ca="1" si="58"/>
        <v>0</v>
      </c>
      <c r="AY54" s="118">
        <f t="shared" ca="1" si="58"/>
        <v>0</v>
      </c>
      <c r="AZ54" s="118">
        <f t="shared" ca="1" si="58"/>
        <v>0</v>
      </c>
      <c r="BA54" s="118">
        <f t="shared" ca="1" si="58"/>
        <v>0</v>
      </c>
      <c r="BB54" s="118">
        <f t="shared" ca="1" si="58"/>
        <v>0</v>
      </c>
      <c r="BC54" s="118">
        <f t="shared" ca="1" si="58"/>
        <v>0</v>
      </c>
      <c r="BD54" s="118">
        <f t="shared" ca="1" si="58"/>
        <v>0</v>
      </c>
      <c r="BE54" s="118">
        <f t="shared" ca="1" si="58"/>
        <v>0</v>
      </c>
      <c r="BF54" s="118">
        <f t="shared" ca="1" si="58"/>
        <v>0</v>
      </c>
      <c r="BG54" s="118">
        <f t="shared" ca="1" si="58"/>
        <v>0</v>
      </c>
      <c r="BH54" s="118">
        <f t="shared" ca="1" si="58"/>
        <v>0</v>
      </c>
      <c r="BI54" s="118">
        <f t="shared" ca="1" si="58"/>
        <v>0</v>
      </c>
      <c r="BJ54" s="118">
        <f t="shared" ca="1" si="58"/>
        <v>0</v>
      </c>
      <c r="BK54" s="118">
        <f t="shared" ca="1" si="58"/>
        <v>0</v>
      </c>
      <c r="BL54" s="118">
        <f t="shared" ca="1" si="58"/>
        <v>0</v>
      </c>
      <c r="BM54" s="118">
        <f t="shared" ca="1" si="58"/>
        <v>0</v>
      </c>
      <c r="BN54" s="118">
        <f t="shared" ca="1" si="58"/>
        <v>0</v>
      </c>
      <c r="BO54" s="118">
        <f t="shared" ca="1" si="58"/>
        <v>0</v>
      </c>
      <c r="BP54" s="118">
        <f t="shared" ca="1" si="58"/>
        <v>0</v>
      </c>
      <c r="BQ54" s="118">
        <f t="shared" ca="1" si="58"/>
        <v>0</v>
      </c>
      <c r="BR54" s="118">
        <f t="shared" ca="1" si="58"/>
        <v>0</v>
      </c>
      <c r="BS54" s="118">
        <f t="shared" ca="1" si="58"/>
        <v>0</v>
      </c>
      <c r="BT54" s="118">
        <f t="shared" ca="1" si="58"/>
        <v>0</v>
      </c>
      <c r="BU54" s="118">
        <f t="shared" ca="1" si="58"/>
        <v>0</v>
      </c>
      <c r="BV54" s="118">
        <f t="shared" ca="1" si="57"/>
        <v>0</v>
      </c>
      <c r="BW54" s="118">
        <f t="shared" ca="1" si="57"/>
        <v>0</v>
      </c>
      <c r="BX54" s="118">
        <f t="shared" ca="1" si="57"/>
        <v>0</v>
      </c>
      <c r="BY54" s="118">
        <f t="shared" ca="1" si="57"/>
        <v>0</v>
      </c>
      <c r="BZ54" s="118">
        <f t="shared" ca="1" si="57"/>
        <v>0</v>
      </c>
      <c r="CA54" s="118">
        <f t="shared" ca="1" si="57"/>
        <v>0</v>
      </c>
      <c r="CB54" s="118">
        <f t="shared" ca="1" si="57"/>
        <v>0</v>
      </c>
      <c r="CC54" s="118">
        <f t="shared" ca="1" si="57"/>
        <v>0</v>
      </c>
      <c r="CD54" s="118">
        <f t="shared" ca="1" si="57"/>
        <v>0</v>
      </c>
      <c r="CE54" s="118">
        <f t="shared" ca="1" si="57"/>
        <v>0</v>
      </c>
      <c r="CF54" s="118">
        <f t="shared" ca="1" si="57"/>
        <v>0</v>
      </c>
      <c r="CG54" s="118">
        <f t="shared" ca="1" si="57"/>
        <v>0</v>
      </c>
      <c r="CH54" s="118">
        <f t="shared" ca="1" si="57"/>
        <v>0</v>
      </c>
      <c r="CI54" s="118">
        <f t="shared" ca="1" si="57"/>
        <v>0</v>
      </c>
      <c r="CJ54" s="118">
        <f t="shared" ca="1" si="57"/>
        <v>0</v>
      </c>
      <c r="CK54" s="118">
        <f t="shared" ca="1" si="57"/>
        <v>0</v>
      </c>
      <c r="CL54" s="118">
        <f t="shared" ca="1" si="57"/>
        <v>0</v>
      </c>
      <c r="CM54" s="118">
        <f t="shared" ca="1" si="57"/>
        <v>0</v>
      </c>
      <c r="CN54" s="118">
        <f t="shared" ca="1" si="57"/>
        <v>0</v>
      </c>
      <c r="CO54" s="118">
        <f t="shared" ca="1" si="57"/>
        <v>0</v>
      </c>
      <c r="CP54" s="118">
        <f t="shared" ca="1" si="57"/>
        <v>0</v>
      </c>
      <c r="CQ54" s="118">
        <f t="shared" ca="1" si="57"/>
        <v>0</v>
      </c>
      <c r="CR54" s="118">
        <f t="shared" ca="1" si="57"/>
        <v>0</v>
      </c>
      <c r="CS54" s="118">
        <f t="shared" ca="1" si="57"/>
        <v>0</v>
      </c>
      <c r="CT54" s="118">
        <f t="shared" ca="1" si="57"/>
        <v>0</v>
      </c>
      <c r="CU54" s="118">
        <f t="shared" ca="1" si="57"/>
        <v>0</v>
      </c>
      <c r="CV54" s="118">
        <f t="shared" ca="1" si="57"/>
        <v>0</v>
      </c>
      <c r="CW54" s="118">
        <f t="shared" ca="1" si="57"/>
        <v>0</v>
      </c>
      <c r="CX54" s="118">
        <f t="shared" ca="1" si="57"/>
        <v>0</v>
      </c>
      <c r="CY54" s="118">
        <f t="shared" ca="1" si="57"/>
        <v>0</v>
      </c>
      <c r="CZ54" s="118">
        <f t="shared" ca="1" si="57"/>
        <v>0</v>
      </c>
    </row>
    <row r="55" spans="2:104" x14ac:dyDescent="0.2">
      <c r="B55" s="119" t="s">
        <v>261</v>
      </c>
      <c r="C55" s="118">
        <f>-'9. Development Costs'!H35</f>
        <v>0</v>
      </c>
      <c r="D55" s="118">
        <f t="shared" ca="1" si="52"/>
        <v>0</v>
      </c>
      <c r="E55" s="118">
        <f t="shared" ca="1" si="49"/>
        <v>0</v>
      </c>
      <c r="F55" s="272">
        <f t="shared" ca="1" si="53"/>
        <v>46097</v>
      </c>
      <c r="G55" s="272">
        <f t="shared" ca="1" si="53"/>
        <v>47042</v>
      </c>
      <c r="H55" s="125">
        <f t="shared" ca="1" si="54"/>
        <v>32</v>
      </c>
      <c r="I55" s="118">
        <f t="shared" ca="1" si="55"/>
        <v>0</v>
      </c>
      <c r="J55" s="118">
        <f t="shared" ca="1" si="58"/>
        <v>0</v>
      </c>
      <c r="K55" s="118">
        <f t="shared" ca="1" si="58"/>
        <v>0</v>
      </c>
      <c r="L55" s="118">
        <f t="shared" ca="1" si="58"/>
        <v>0</v>
      </c>
      <c r="M55" s="118">
        <f t="shared" ca="1" si="58"/>
        <v>0</v>
      </c>
      <c r="N55" s="118">
        <f t="shared" ca="1" si="58"/>
        <v>0</v>
      </c>
      <c r="O55" s="118">
        <f t="shared" ca="1" si="58"/>
        <v>0</v>
      </c>
      <c r="P55" s="118">
        <f t="shared" ca="1" si="58"/>
        <v>0</v>
      </c>
      <c r="Q55" s="118">
        <f t="shared" ca="1" si="58"/>
        <v>0</v>
      </c>
      <c r="R55" s="118">
        <f t="shared" ca="1" si="58"/>
        <v>0</v>
      </c>
      <c r="S55" s="118">
        <f t="shared" ca="1" si="58"/>
        <v>0</v>
      </c>
      <c r="T55" s="118">
        <f t="shared" ca="1" si="58"/>
        <v>0</v>
      </c>
      <c r="U55" s="118">
        <f t="shared" ca="1" si="58"/>
        <v>0</v>
      </c>
      <c r="V55" s="118">
        <f t="shared" ca="1" si="58"/>
        <v>0</v>
      </c>
      <c r="W55" s="118">
        <f t="shared" ca="1" si="58"/>
        <v>0</v>
      </c>
      <c r="X55" s="118">
        <f t="shared" ca="1" si="58"/>
        <v>0</v>
      </c>
      <c r="Y55" s="118">
        <f t="shared" ca="1" si="58"/>
        <v>0</v>
      </c>
      <c r="Z55" s="118">
        <f t="shared" ca="1" si="58"/>
        <v>0</v>
      </c>
      <c r="AA55" s="118">
        <f t="shared" ca="1" si="58"/>
        <v>0</v>
      </c>
      <c r="AB55" s="118">
        <f t="shared" ca="1" si="58"/>
        <v>0</v>
      </c>
      <c r="AC55" s="118">
        <f t="shared" ca="1" si="58"/>
        <v>0</v>
      </c>
      <c r="AD55" s="118">
        <f t="shared" ca="1" si="58"/>
        <v>0</v>
      </c>
      <c r="AE55" s="118">
        <f t="shared" ca="1" si="58"/>
        <v>0</v>
      </c>
      <c r="AF55" s="118">
        <f t="shared" ca="1" si="58"/>
        <v>0</v>
      </c>
      <c r="AG55" s="118">
        <f t="shared" ca="1" si="58"/>
        <v>0</v>
      </c>
      <c r="AH55" s="118">
        <f t="shared" ca="1" si="58"/>
        <v>0</v>
      </c>
      <c r="AI55" s="118">
        <f t="shared" ca="1" si="58"/>
        <v>0</v>
      </c>
      <c r="AJ55" s="118">
        <f t="shared" ca="1" si="58"/>
        <v>0</v>
      </c>
      <c r="AK55" s="118">
        <f t="shared" ca="1" si="58"/>
        <v>0</v>
      </c>
      <c r="AL55" s="118">
        <f t="shared" ca="1" si="58"/>
        <v>0</v>
      </c>
      <c r="AM55" s="118">
        <f t="shared" ca="1" si="58"/>
        <v>0</v>
      </c>
      <c r="AN55" s="118">
        <f t="shared" ca="1" si="58"/>
        <v>0</v>
      </c>
      <c r="AO55" s="118">
        <f t="shared" ca="1" si="58"/>
        <v>0</v>
      </c>
      <c r="AP55" s="118">
        <f t="shared" ca="1" si="58"/>
        <v>0</v>
      </c>
      <c r="AQ55" s="118">
        <f t="shared" ca="1" si="58"/>
        <v>0</v>
      </c>
      <c r="AR55" s="118">
        <f t="shared" ca="1" si="58"/>
        <v>0</v>
      </c>
      <c r="AS55" s="118">
        <f t="shared" ca="1" si="58"/>
        <v>0</v>
      </c>
      <c r="AT55" s="118">
        <f t="shared" ca="1" si="58"/>
        <v>0</v>
      </c>
      <c r="AU55" s="118">
        <f t="shared" ca="1" si="58"/>
        <v>0</v>
      </c>
      <c r="AV55" s="118">
        <f t="shared" ca="1" si="58"/>
        <v>0</v>
      </c>
      <c r="AW55" s="118">
        <f t="shared" ca="1" si="58"/>
        <v>0</v>
      </c>
      <c r="AX55" s="118">
        <f t="shared" ca="1" si="58"/>
        <v>0</v>
      </c>
      <c r="AY55" s="118">
        <f t="shared" ca="1" si="58"/>
        <v>0</v>
      </c>
      <c r="AZ55" s="118">
        <f t="shared" ca="1" si="58"/>
        <v>0</v>
      </c>
      <c r="BA55" s="118">
        <f t="shared" ca="1" si="58"/>
        <v>0</v>
      </c>
      <c r="BB55" s="118">
        <f t="shared" ca="1" si="58"/>
        <v>0</v>
      </c>
      <c r="BC55" s="118">
        <f t="shared" ca="1" si="58"/>
        <v>0</v>
      </c>
      <c r="BD55" s="118">
        <f t="shared" ca="1" si="58"/>
        <v>0</v>
      </c>
      <c r="BE55" s="118">
        <f t="shared" ca="1" si="58"/>
        <v>0</v>
      </c>
      <c r="BF55" s="118">
        <f t="shared" ca="1" si="58"/>
        <v>0</v>
      </c>
      <c r="BG55" s="118">
        <f t="shared" ca="1" si="58"/>
        <v>0</v>
      </c>
      <c r="BH55" s="118">
        <f t="shared" ca="1" si="58"/>
        <v>0</v>
      </c>
      <c r="BI55" s="118">
        <f t="shared" ca="1" si="58"/>
        <v>0</v>
      </c>
      <c r="BJ55" s="118">
        <f t="shared" ca="1" si="58"/>
        <v>0</v>
      </c>
      <c r="BK55" s="118">
        <f t="shared" ca="1" si="58"/>
        <v>0</v>
      </c>
      <c r="BL55" s="118">
        <f t="shared" ca="1" si="58"/>
        <v>0</v>
      </c>
      <c r="BM55" s="118">
        <f t="shared" ca="1" si="58"/>
        <v>0</v>
      </c>
      <c r="BN55" s="118">
        <f t="shared" ca="1" si="58"/>
        <v>0</v>
      </c>
      <c r="BO55" s="118">
        <f t="shared" ca="1" si="58"/>
        <v>0</v>
      </c>
      <c r="BP55" s="118">
        <f t="shared" ca="1" si="58"/>
        <v>0</v>
      </c>
      <c r="BQ55" s="118">
        <f t="shared" ca="1" si="58"/>
        <v>0</v>
      </c>
      <c r="BR55" s="118">
        <f t="shared" ca="1" si="58"/>
        <v>0</v>
      </c>
      <c r="BS55" s="118">
        <f t="shared" ca="1" si="58"/>
        <v>0</v>
      </c>
      <c r="BT55" s="118">
        <f t="shared" ca="1" si="58"/>
        <v>0</v>
      </c>
      <c r="BU55" s="118">
        <f t="shared" ca="1" si="58"/>
        <v>0</v>
      </c>
      <c r="BV55" s="118">
        <f t="shared" ca="1" si="57"/>
        <v>0</v>
      </c>
      <c r="BW55" s="118">
        <f t="shared" ca="1" si="57"/>
        <v>0</v>
      </c>
      <c r="BX55" s="118">
        <f t="shared" ca="1" si="57"/>
        <v>0</v>
      </c>
      <c r="BY55" s="118">
        <f t="shared" ca="1" si="57"/>
        <v>0</v>
      </c>
      <c r="BZ55" s="118">
        <f t="shared" ca="1" si="57"/>
        <v>0</v>
      </c>
      <c r="CA55" s="118">
        <f t="shared" ca="1" si="57"/>
        <v>0</v>
      </c>
      <c r="CB55" s="118">
        <f t="shared" ca="1" si="57"/>
        <v>0</v>
      </c>
      <c r="CC55" s="118">
        <f t="shared" ca="1" si="57"/>
        <v>0</v>
      </c>
      <c r="CD55" s="118">
        <f t="shared" ca="1" si="57"/>
        <v>0</v>
      </c>
      <c r="CE55" s="118">
        <f t="shared" ca="1" si="57"/>
        <v>0</v>
      </c>
      <c r="CF55" s="118">
        <f t="shared" ca="1" si="57"/>
        <v>0</v>
      </c>
      <c r="CG55" s="118">
        <f t="shared" ca="1" si="57"/>
        <v>0</v>
      </c>
      <c r="CH55" s="118">
        <f t="shared" ca="1" si="57"/>
        <v>0</v>
      </c>
      <c r="CI55" s="118">
        <f t="shared" ca="1" si="57"/>
        <v>0</v>
      </c>
      <c r="CJ55" s="118">
        <f t="shared" ca="1" si="57"/>
        <v>0</v>
      </c>
      <c r="CK55" s="118">
        <f t="shared" ca="1" si="57"/>
        <v>0</v>
      </c>
      <c r="CL55" s="118">
        <f t="shared" ca="1" si="57"/>
        <v>0</v>
      </c>
      <c r="CM55" s="118">
        <f t="shared" ca="1" si="57"/>
        <v>0</v>
      </c>
      <c r="CN55" s="118">
        <f t="shared" ca="1" si="57"/>
        <v>0</v>
      </c>
      <c r="CO55" s="118">
        <f t="shared" ca="1" si="57"/>
        <v>0</v>
      </c>
      <c r="CP55" s="118">
        <f t="shared" ca="1" si="57"/>
        <v>0</v>
      </c>
      <c r="CQ55" s="118">
        <f t="shared" ca="1" si="57"/>
        <v>0</v>
      </c>
      <c r="CR55" s="118">
        <f t="shared" ca="1" si="57"/>
        <v>0</v>
      </c>
      <c r="CS55" s="118">
        <f t="shared" ca="1" si="57"/>
        <v>0</v>
      </c>
      <c r="CT55" s="118">
        <f t="shared" ca="1" si="57"/>
        <v>0</v>
      </c>
      <c r="CU55" s="118">
        <f t="shared" ca="1" si="57"/>
        <v>0</v>
      </c>
      <c r="CV55" s="118">
        <f t="shared" ca="1" si="57"/>
        <v>0</v>
      </c>
      <c r="CW55" s="118">
        <f t="shared" ca="1" si="57"/>
        <v>0</v>
      </c>
      <c r="CX55" s="118">
        <f t="shared" ca="1" si="57"/>
        <v>0</v>
      </c>
      <c r="CY55" s="118">
        <f t="shared" ca="1" si="57"/>
        <v>0</v>
      </c>
      <c r="CZ55" s="118">
        <f t="shared" ca="1" si="57"/>
        <v>0</v>
      </c>
    </row>
    <row r="56" spans="2:104" x14ac:dyDescent="0.2">
      <c r="B56" s="119" t="str">
        <f>'9. Development Costs'!B36</f>
        <v>Environmental consultant</v>
      </c>
      <c r="C56" s="118">
        <f>-'9. Development Costs'!H36</f>
        <v>0</v>
      </c>
      <c r="D56" s="118">
        <f t="shared" ca="1" si="52"/>
        <v>0</v>
      </c>
      <c r="E56" s="118">
        <f t="shared" ca="1" si="49"/>
        <v>0</v>
      </c>
      <c r="F56" s="272">
        <f t="shared" ca="1" si="53"/>
        <v>46097</v>
      </c>
      <c r="G56" s="272">
        <f t="shared" ca="1" si="53"/>
        <v>47042</v>
      </c>
      <c r="H56" s="125">
        <f t="shared" ca="1" si="54"/>
        <v>32</v>
      </c>
      <c r="I56" s="118">
        <f t="shared" ca="1" si="55"/>
        <v>0</v>
      </c>
      <c r="J56" s="118">
        <f t="shared" ca="1" si="58"/>
        <v>0</v>
      </c>
      <c r="K56" s="118">
        <f t="shared" ca="1" si="58"/>
        <v>0</v>
      </c>
      <c r="L56" s="118">
        <f t="shared" ca="1" si="58"/>
        <v>0</v>
      </c>
      <c r="M56" s="118">
        <f t="shared" ca="1" si="58"/>
        <v>0</v>
      </c>
      <c r="N56" s="118">
        <f t="shared" ca="1" si="58"/>
        <v>0</v>
      </c>
      <c r="O56" s="118">
        <f t="shared" ca="1" si="58"/>
        <v>0</v>
      </c>
      <c r="P56" s="118">
        <f t="shared" ca="1" si="58"/>
        <v>0</v>
      </c>
      <c r="Q56" s="118">
        <f t="shared" ca="1" si="58"/>
        <v>0</v>
      </c>
      <c r="R56" s="118">
        <f t="shared" ca="1" si="58"/>
        <v>0</v>
      </c>
      <c r="S56" s="118">
        <f t="shared" ca="1" si="58"/>
        <v>0</v>
      </c>
      <c r="T56" s="118">
        <f t="shared" ca="1" si="58"/>
        <v>0</v>
      </c>
      <c r="U56" s="118">
        <f t="shared" ca="1" si="58"/>
        <v>0</v>
      </c>
      <c r="V56" s="118">
        <f t="shared" ca="1" si="58"/>
        <v>0</v>
      </c>
      <c r="W56" s="118">
        <f t="shared" ca="1" si="58"/>
        <v>0</v>
      </c>
      <c r="X56" s="118">
        <f t="shared" ca="1" si="58"/>
        <v>0</v>
      </c>
      <c r="Y56" s="118">
        <f t="shared" ca="1" si="58"/>
        <v>0</v>
      </c>
      <c r="Z56" s="118">
        <f t="shared" ca="1" si="58"/>
        <v>0</v>
      </c>
      <c r="AA56" s="118">
        <f t="shared" ca="1" si="58"/>
        <v>0</v>
      </c>
      <c r="AB56" s="118">
        <f t="shared" ca="1" si="58"/>
        <v>0</v>
      </c>
      <c r="AC56" s="118">
        <f t="shared" ca="1" si="58"/>
        <v>0</v>
      </c>
      <c r="AD56" s="118">
        <f t="shared" ca="1" si="58"/>
        <v>0</v>
      </c>
      <c r="AE56" s="118">
        <f t="shared" ca="1" si="58"/>
        <v>0</v>
      </c>
      <c r="AF56" s="118">
        <f t="shared" ca="1" si="58"/>
        <v>0</v>
      </c>
      <c r="AG56" s="118">
        <f t="shared" ca="1" si="58"/>
        <v>0</v>
      </c>
      <c r="AH56" s="118">
        <f t="shared" ca="1" si="58"/>
        <v>0</v>
      </c>
      <c r="AI56" s="118">
        <f t="shared" ca="1" si="58"/>
        <v>0</v>
      </c>
      <c r="AJ56" s="118">
        <f t="shared" ca="1" si="58"/>
        <v>0</v>
      </c>
      <c r="AK56" s="118">
        <f t="shared" ca="1" si="58"/>
        <v>0</v>
      </c>
      <c r="AL56" s="118">
        <f t="shared" ca="1" si="58"/>
        <v>0</v>
      </c>
      <c r="AM56" s="118">
        <f t="shared" ca="1" si="58"/>
        <v>0</v>
      </c>
      <c r="AN56" s="118">
        <f t="shared" ca="1" si="58"/>
        <v>0</v>
      </c>
      <c r="AO56" s="118">
        <f t="shared" ca="1" si="58"/>
        <v>0</v>
      </c>
      <c r="AP56" s="118">
        <f t="shared" ca="1" si="58"/>
        <v>0</v>
      </c>
      <c r="AQ56" s="118">
        <f t="shared" ca="1" si="58"/>
        <v>0</v>
      </c>
      <c r="AR56" s="118">
        <f t="shared" ca="1" si="58"/>
        <v>0</v>
      </c>
      <c r="AS56" s="118">
        <f t="shared" ca="1" si="58"/>
        <v>0</v>
      </c>
      <c r="AT56" s="118">
        <f t="shared" ca="1" si="58"/>
        <v>0</v>
      </c>
      <c r="AU56" s="118">
        <f t="shared" ca="1" si="58"/>
        <v>0</v>
      </c>
      <c r="AV56" s="118">
        <f t="shared" ca="1" si="58"/>
        <v>0</v>
      </c>
      <c r="AW56" s="118">
        <f t="shared" ca="1" si="58"/>
        <v>0</v>
      </c>
      <c r="AX56" s="118">
        <f t="shared" ca="1" si="58"/>
        <v>0</v>
      </c>
      <c r="AY56" s="118">
        <f t="shared" ca="1" si="58"/>
        <v>0</v>
      </c>
      <c r="AZ56" s="118">
        <f t="shared" ca="1" si="58"/>
        <v>0</v>
      </c>
      <c r="BA56" s="118">
        <f t="shared" ca="1" si="58"/>
        <v>0</v>
      </c>
      <c r="BB56" s="118">
        <f t="shared" ca="1" si="58"/>
        <v>0</v>
      </c>
      <c r="BC56" s="118">
        <f t="shared" ca="1" si="58"/>
        <v>0</v>
      </c>
      <c r="BD56" s="118">
        <f t="shared" ca="1" si="58"/>
        <v>0</v>
      </c>
      <c r="BE56" s="118">
        <f t="shared" ca="1" si="58"/>
        <v>0</v>
      </c>
      <c r="BF56" s="118">
        <f t="shared" ca="1" si="58"/>
        <v>0</v>
      </c>
      <c r="BG56" s="118">
        <f t="shared" ca="1" si="58"/>
        <v>0</v>
      </c>
      <c r="BH56" s="118">
        <f t="shared" ca="1" si="58"/>
        <v>0</v>
      </c>
      <c r="BI56" s="118">
        <f t="shared" ca="1" si="58"/>
        <v>0</v>
      </c>
      <c r="BJ56" s="118">
        <f t="shared" ca="1" si="58"/>
        <v>0</v>
      </c>
      <c r="BK56" s="118">
        <f t="shared" ca="1" si="58"/>
        <v>0</v>
      </c>
      <c r="BL56" s="118">
        <f t="shared" ca="1" si="58"/>
        <v>0</v>
      </c>
      <c r="BM56" s="118">
        <f t="shared" ca="1" si="58"/>
        <v>0</v>
      </c>
      <c r="BN56" s="118">
        <f t="shared" ca="1" si="58"/>
        <v>0</v>
      </c>
      <c r="BO56" s="118">
        <f t="shared" ca="1" si="58"/>
        <v>0</v>
      </c>
      <c r="BP56" s="118">
        <f t="shared" ca="1" si="58"/>
        <v>0</v>
      </c>
      <c r="BQ56" s="118">
        <f t="shared" ca="1" si="58"/>
        <v>0</v>
      </c>
      <c r="BR56" s="118">
        <f t="shared" ca="1" si="58"/>
        <v>0</v>
      </c>
      <c r="BS56" s="118">
        <f t="shared" ca="1" si="58"/>
        <v>0</v>
      </c>
      <c r="BT56" s="118">
        <f t="shared" ca="1" si="58"/>
        <v>0</v>
      </c>
      <c r="BU56" s="118">
        <f t="shared" ref="BU56:CZ58" ca="1" si="59">IF(AND(BU$7&lt;=$G56,BU$7&gt;=$F56,$H56&lt;&gt;0,$H56&lt;&gt;""),$C56/$H56,0)</f>
        <v>0</v>
      </c>
      <c r="BV56" s="118">
        <f t="shared" ca="1" si="59"/>
        <v>0</v>
      </c>
      <c r="BW56" s="118">
        <f t="shared" ca="1" si="59"/>
        <v>0</v>
      </c>
      <c r="BX56" s="118">
        <f t="shared" ca="1" si="59"/>
        <v>0</v>
      </c>
      <c r="BY56" s="118">
        <f t="shared" ca="1" si="59"/>
        <v>0</v>
      </c>
      <c r="BZ56" s="118">
        <f t="shared" ca="1" si="59"/>
        <v>0</v>
      </c>
      <c r="CA56" s="118">
        <f t="shared" ca="1" si="59"/>
        <v>0</v>
      </c>
      <c r="CB56" s="118">
        <f t="shared" ca="1" si="59"/>
        <v>0</v>
      </c>
      <c r="CC56" s="118">
        <f t="shared" ca="1" si="59"/>
        <v>0</v>
      </c>
      <c r="CD56" s="118">
        <f t="shared" ca="1" si="59"/>
        <v>0</v>
      </c>
      <c r="CE56" s="118">
        <f t="shared" ca="1" si="59"/>
        <v>0</v>
      </c>
      <c r="CF56" s="118">
        <f t="shared" ca="1" si="59"/>
        <v>0</v>
      </c>
      <c r="CG56" s="118">
        <f t="shared" ca="1" si="59"/>
        <v>0</v>
      </c>
      <c r="CH56" s="118">
        <f t="shared" ca="1" si="59"/>
        <v>0</v>
      </c>
      <c r="CI56" s="118">
        <f t="shared" ca="1" si="59"/>
        <v>0</v>
      </c>
      <c r="CJ56" s="118">
        <f t="shared" ca="1" si="59"/>
        <v>0</v>
      </c>
      <c r="CK56" s="118">
        <f t="shared" ca="1" si="59"/>
        <v>0</v>
      </c>
      <c r="CL56" s="118">
        <f t="shared" ca="1" si="59"/>
        <v>0</v>
      </c>
      <c r="CM56" s="118">
        <f t="shared" ca="1" si="59"/>
        <v>0</v>
      </c>
      <c r="CN56" s="118">
        <f t="shared" ca="1" si="59"/>
        <v>0</v>
      </c>
      <c r="CO56" s="118">
        <f t="shared" ca="1" si="59"/>
        <v>0</v>
      </c>
      <c r="CP56" s="118">
        <f t="shared" ca="1" si="59"/>
        <v>0</v>
      </c>
      <c r="CQ56" s="118">
        <f t="shared" ca="1" si="59"/>
        <v>0</v>
      </c>
      <c r="CR56" s="118">
        <f t="shared" ca="1" si="59"/>
        <v>0</v>
      </c>
      <c r="CS56" s="118">
        <f t="shared" ca="1" si="59"/>
        <v>0</v>
      </c>
      <c r="CT56" s="118">
        <f t="shared" ca="1" si="59"/>
        <v>0</v>
      </c>
      <c r="CU56" s="118">
        <f t="shared" ca="1" si="59"/>
        <v>0</v>
      </c>
      <c r="CV56" s="118">
        <f t="shared" ca="1" si="59"/>
        <v>0</v>
      </c>
      <c r="CW56" s="118">
        <f t="shared" ca="1" si="59"/>
        <v>0</v>
      </c>
      <c r="CX56" s="118">
        <f t="shared" ca="1" si="59"/>
        <v>0</v>
      </c>
      <c r="CY56" s="118">
        <f t="shared" ca="1" si="59"/>
        <v>0</v>
      </c>
      <c r="CZ56" s="118">
        <f t="shared" ca="1" si="59"/>
        <v>0</v>
      </c>
    </row>
    <row r="57" spans="2:104" x14ac:dyDescent="0.2">
      <c r="B57" s="119" t="str">
        <f>'9. Development Costs'!B37</f>
        <v>Interior design</v>
      </c>
      <c r="C57" s="118">
        <f>-'9. Development Costs'!H37</f>
        <v>0</v>
      </c>
      <c r="D57" s="118">
        <f t="shared" ca="1" si="52"/>
        <v>0</v>
      </c>
      <c r="E57" s="118">
        <f t="shared" ca="1" si="49"/>
        <v>0</v>
      </c>
      <c r="F57" s="272">
        <f t="shared" ca="1" si="53"/>
        <v>46097</v>
      </c>
      <c r="G57" s="272">
        <f t="shared" ca="1" si="53"/>
        <v>47042</v>
      </c>
      <c r="H57" s="125">
        <f t="shared" ca="1" si="54"/>
        <v>32</v>
      </c>
      <c r="I57" s="118">
        <f t="shared" ca="1" si="55"/>
        <v>0</v>
      </c>
      <c r="J57" s="118">
        <f t="shared" ref="J57:BU59" ca="1" si="60">IF(AND(J$7&lt;=$G57,J$7&gt;=$F57,$H57&lt;&gt;0,$H57&lt;&gt;""),$C57/$H57,0)</f>
        <v>0</v>
      </c>
      <c r="K57" s="118">
        <f t="shared" ca="1" si="60"/>
        <v>0</v>
      </c>
      <c r="L57" s="118">
        <f t="shared" ca="1" si="60"/>
        <v>0</v>
      </c>
      <c r="M57" s="118">
        <f t="shared" ca="1" si="60"/>
        <v>0</v>
      </c>
      <c r="N57" s="118">
        <f t="shared" ca="1" si="60"/>
        <v>0</v>
      </c>
      <c r="O57" s="118">
        <f t="shared" ca="1" si="60"/>
        <v>0</v>
      </c>
      <c r="P57" s="118">
        <f t="shared" ca="1" si="60"/>
        <v>0</v>
      </c>
      <c r="Q57" s="118">
        <f t="shared" ca="1" si="60"/>
        <v>0</v>
      </c>
      <c r="R57" s="118">
        <f t="shared" ca="1" si="60"/>
        <v>0</v>
      </c>
      <c r="S57" s="118">
        <f t="shared" ca="1" si="60"/>
        <v>0</v>
      </c>
      <c r="T57" s="118">
        <f t="shared" ca="1" si="60"/>
        <v>0</v>
      </c>
      <c r="U57" s="118">
        <f t="shared" ca="1" si="60"/>
        <v>0</v>
      </c>
      <c r="V57" s="118">
        <f t="shared" ca="1" si="60"/>
        <v>0</v>
      </c>
      <c r="W57" s="118">
        <f t="shared" ca="1" si="60"/>
        <v>0</v>
      </c>
      <c r="X57" s="118">
        <f t="shared" ca="1" si="60"/>
        <v>0</v>
      </c>
      <c r="Y57" s="118">
        <f t="shared" ca="1" si="60"/>
        <v>0</v>
      </c>
      <c r="Z57" s="118">
        <f t="shared" ca="1" si="60"/>
        <v>0</v>
      </c>
      <c r="AA57" s="118">
        <f t="shared" ca="1" si="60"/>
        <v>0</v>
      </c>
      <c r="AB57" s="118">
        <f t="shared" ca="1" si="60"/>
        <v>0</v>
      </c>
      <c r="AC57" s="118">
        <f t="shared" ca="1" si="60"/>
        <v>0</v>
      </c>
      <c r="AD57" s="118">
        <f t="shared" ca="1" si="60"/>
        <v>0</v>
      </c>
      <c r="AE57" s="118">
        <f t="shared" ca="1" si="60"/>
        <v>0</v>
      </c>
      <c r="AF57" s="118">
        <f t="shared" ca="1" si="60"/>
        <v>0</v>
      </c>
      <c r="AG57" s="118">
        <f t="shared" ca="1" si="60"/>
        <v>0</v>
      </c>
      <c r="AH57" s="118">
        <f t="shared" ca="1" si="60"/>
        <v>0</v>
      </c>
      <c r="AI57" s="118">
        <f t="shared" ca="1" si="60"/>
        <v>0</v>
      </c>
      <c r="AJ57" s="118">
        <f t="shared" ca="1" si="60"/>
        <v>0</v>
      </c>
      <c r="AK57" s="118">
        <f t="shared" ca="1" si="60"/>
        <v>0</v>
      </c>
      <c r="AL57" s="118">
        <f t="shared" ca="1" si="60"/>
        <v>0</v>
      </c>
      <c r="AM57" s="118">
        <f t="shared" ca="1" si="60"/>
        <v>0</v>
      </c>
      <c r="AN57" s="118">
        <f t="shared" ca="1" si="60"/>
        <v>0</v>
      </c>
      <c r="AO57" s="118">
        <f t="shared" ca="1" si="60"/>
        <v>0</v>
      </c>
      <c r="AP57" s="118">
        <f t="shared" ca="1" si="60"/>
        <v>0</v>
      </c>
      <c r="AQ57" s="118">
        <f t="shared" ca="1" si="60"/>
        <v>0</v>
      </c>
      <c r="AR57" s="118">
        <f t="shared" ca="1" si="60"/>
        <v>0</v>
      </c>
      <c r="AS57" s="118">
        <f t="shared" ca="1" si="60"/>
        <v>0</v>
      </c>
      <c r="AT57" s="118">
        <f t="shared" ca="1" si="60"/>
        <v>0</v>
      </c>
      <c r="AU57" s="118">
        <f t="shared" ca="1" si="60"/>
        <v>0</v>
      </c>
      <c r="AV57" s="118">
        <f t="shared" ca="1" si="60"/>
        <v>0</v>
      </c>
      <c r="AW57" s="118">
        <f t="shared" ca="1" si="60"/>
        <v>0</v>
      </c>
      <c r="AX57" s="118">
        <f t="shared" ca="1" si="60"/>
        <v>0</v>
      </c>
      <c r="AY57" s="118">
        <f t="shared" ca="1" si="60"/>
        <v>0</v>
      </c>
      <c r="AZ57" s="118">
        <f t="shared" ca="1" si="60"/>
        <v>0</v>
      </c>
      <c r="BA57" s="118">
        <f t="shared" ca="1" si="60"/>
        <v>0</v>
      </c>
      <c r="BB57" s="118">
        <f t="shared" ca="1" si="60"/>
        <v>0</v>
      </c>
      <c r="BC57" s="118">
        <f t="shared" ca="1" si="60"/>
        <v>0</v>
      </c>
      <c r="BD57" s="118">
        <f t="shared" ca="1" si="60"/>
        <v>0</v>
      </c>
      <c r="BE57" s="118">
        <f t="shared" ca="1" si="60"/>
        <v>0</v>
      </c>
      <c r="BF57" s="118">
        <f t="shared" ca="1" si="60"/>
        <v>0</v>
      </c>
      <c r="BG57" s="118">
        <f t="shared" ca="1" si="60"/>
        <v>0</v>
      </c>
      <c r="BH57" s="118">
        <f t="shared" ca="1" si="60"/>
        <v>0</v>
      </c>
      <c r="BI57" s="118">
        <f t="shared" ca="1" si="60"/>
        <v>0</v>
      </c>
      <c r="BJ57" s="118">
        <f t="shared" ca="1" si="60"/>
        <v>0</v>
      </c>
      <c r="BK57" s="118">
        <f t="shared" ca="1" si="60"/>
        <v>0</v>
      </c>
      <c r="BL57" s="118">
        <f t="shared" ca="1" si="60"/>
        <v>0</v>
      </c>
      <c r="BM57" s="118">
        <f t="shared" ca="1" si="60"/>
        <v>0</v>
      </c>
      <c r="BN57" s="118">
        <f t="shared" ca="1" si="60"/>
        <v>0</v>
      </c>
      <c r="BO57" s="118">
        <f t="shared" ca="1" si="60"/>
        <v>0</v>
      </c>
      <c r="BP57" s="118">
        <f t="shared" ca="1" si="60"/>
        <v>0</v>
      </c>
      <c r="BQ57" s="118">
        <f t="shared" ca="1" si="60"/>
        <v>0</v>
      </c>
      <c r="BR57" s="118">
        <f t="shared" ca="1" si="60"/>
        <v>0</v>
      </c>
      <c r="BS57" s="118">
        <f t="shared" ca="1" si="60"/>
        <v>0</v>
      </c>
      <c r="BT57" s="118">
        <f t="shared" ca="1" si="60"/>
        <v>0</v>
      </c>
      <c r="BU57" s="118">
        <f t="shared" ca="1" si="60"/>
        <v>0</v>
      </c>
      <c r="BV57" s="118">
        <f t="shared" ca="1" si="59"/>
        <v>0</v>
      </c>
      <c r="BW57" s="118">
        <f t="shared" ca="1" si="59"/>
        <v>0</v>
      </c>
      <c r="BX57" s="118">
        <f t="shared" ca="1" si="59"/>
        <v>0</v>
      </c>
      <c r="BY57" s="118">
        <f t="shared" ca="1" si="59"/>
        <v>0</v>
      </c>
      <c r="BZ57" s="118">
        <f t="shared" ca="1" si="59"/>
        <v>0</v>
      </c>
      <c r="CA57" s="118">
        <f t="shared" ca="1" si="59"/>
        <v>0</v>
      </c>
      <c r="CB57" s="118">
        <f t="shared" ca="1" si="59"/>
        <v>0</v>
      </c>
      <c r="CC57" s="118">
        <f t="shared" ca="1" si="59"/>
        <v>0</v>
      </c>
      <c r="CD57" s="118">
        <f t="shared" ca="1" si="59"/>
        <v>0</v>
      </c>
      <c r="CE57" s="118">
        <f t="shared" ca="1" si="59"/>
        <v>0</v>
      </c>
      <c r="CF57" s="118">
        <f t="shared" ca="1" si="59"/>
        <v>0</v>
      </c>
      <c r="CG57" s="118">
        <f t="shared" ca="1" si="59"/>
        <v>0</v>
      </c>
      <c r="CH57" s="118">
        <f t="shared" ca="1" si="59"/>
        <v>0</v>
      </c>
      <c r="CI57" s="118">
        <f t="shared" ca="1" si="59"/>
        <v>0</v>
      </c>
      <c r="CJ57" s="118">
        <f t="shared" ca="1" si="59"/>
        <v>0</v>
      </c>
      <c r="CK57" s="118">
        <f t="shared" ca="1" si="59"/>
        <v>0</v>
      </c>
      <c r="CL57" s="118">
        <f t="shared" ca="1" si="59"/>
        <v>0</v>
      </c>
      <c r="CM57" s="118">
        <f t="shared" ca="1" si="59"/>
        <v>0</v>
      </c>
      <c r="CN57" s="118">
        <f t="shared" ca="1" si="59"/>
        <v>0</v>
      </c>
      <c r="CO57" s="118">
        <f t="shared" ca="1" si="59"/>
        <v>0</v>
      </c>
      <c r="CP57" s="118">
        <f t="shared" ca="1" si="59"/>
        <v>0</v>
      </c>
      <c r="CQ57" s="118">
        <f t="shared" ca="1" si="59"/>
        <v>0</v>
      </c>
      <c r="CR57" s="118">
        <f t="shared" ca="1" si="59"/>
        <v>0</v>
      </c>
      <c r="CS57" s="118">
        <f t="shared" ca="1" si="59"/>
        <v>0</v>
      </c>
      <c r="CT57" s="118">
        <f t="shared" ca="1" si="59"/>
        <v>0</v>
      </c>
      <c r="CU57" s="118">
        <f t="shared" ca="1" si="59"/>
        <v>0</v>
      </c>
      <c r="CV57" s="118">
        <f t="shared" ca="1" si="59"/>
        <v>0</v>
      </c>
      <c r="CW57" s="118">
        <f t="shared" ca="1" si="59"/>
        <v>0</v>
      </c>
      <c r="CX57" s="118">
        <f t="shared" ca="1" si="59"/>
        <v>0</v>
      </c>
      <c r="CY57" s="118">
        <f t="shared" ca="1" si="59"/>
        <v>0</v>
      </c>
      <c r="CZ57" s="118">
        <f t="shared" ca="1" si="59"/>
        <v>0</v>
      </c>
    </row>
    <row r="58" spans="2:104" x14ac:dyDescent="0.2">
      <c r="B58" s="119" t="str">
        <f>'9. Development Costs'!B38</f>
        <v>Traffic consultant</v>
      </c>
      <c r="C58" s="118">
        <f>-'9. Development Costs'!H38</f>
        <v>0</v>
      </c>
      <c r="D58" s="118">
        <f t="shared" ca="1" si="52"/>
        <v>0</v>
      </c>
      <c r="E58" s="118">
        <f t="shared" ca="1" si="49"/>
        <v>0</v>
      </c>
      <c r="F58" s="272">
        <f t="shared" ca="1" si="53"/>
        <v>46097</v>
      </c>
      <c r="G58" s="272">
        <f t="shared" ca="1" si="53"/>
        <v>47042</v>
      </c>
      <c r="H58" s="125">
        <f t="shared" ca="1" si="54"/>
        <v>32</v>
      </c>
      <c r="I58" s="118">
        <f t="shared" ca="1" si="55"/>
        <v>0</v>
      </c>
      <c r="J58" s="118">
        <f t="shared" ca="1" si="60"/>
        <v>0</v>
      </c>
      <c r="K58" s="118">
        <f t="shared" ca="1" si="60"/>
        <v>0</v>
      </c>
      <c r="L58" s="118">
        <f t="shared" ca="1" si="60"/>
        <v>0</v>
      </c>
      <c r="M58" s="118">
        <f t="shared" ca="1" si="60"/>
        <v>0</v>
      </c>
      <c r="N58" s="118">
        <f t="shared" ca="1" si="60"/>
        <v>0</v>
      </c>
      <c r="O58" s="118">
        <f t="shared" ca="1" si="60"/>
        <v>0</v>
      </c>
      <c r="P58" s="118">
        <f t="shared" ca="1" si="60"/>
        <v>0</v>
      </c>
      <c r="Q58" s="118">
        <f t="shared" ca="1" si="60"/>
        <v>0</v>
      </c>
      <c r="R58" s="118">
        <f t="shared" ca="1" si="60"/>
        <v>0</v>
      </c>
      <c r="S58" s="118">
        <f t="shared" ca="1" si="60"/>
        <v>0</v>
      </c>
      <c r="T58" s="118">
        <f t="shared" ca="1" si="60"/>
        <v>0</v>
      </c>
      <c r="U58" s="118">
        <f t="shared" ca="1" si="60"/>
        <v>0</v>
      </c>
      <c r="V58" s="118">
        <f t="shared" ca="1" si="60"/>
        <v>0</v>
      </c>
      <c r="W58" s="118">
        <f t="shared" ca="1" si="60"/>
        <v>0</v>
      </c>
      <c r="X58" s="118">
        <f t="shared" ca="1" si="60"/>
        <v>0</v>
      </c>
      <c r="Y58" s="118">
        <f t="shared" ca="1" si="60"/>
        <v>0</v>
      </c>
      <c r="Z58" s="118">
        <f t="shared" ca="1" si="60"/>
        <v>0</v>
      </c>
      <c r="AA58" s="118">
        <f t="shared" ca="1" si="60"/>
        <v>0</v>
      </c>
      <c r="AB58" s="118">
        <f t="shared" ca="1" si="60"/>
        <v>0</v>
      </c>
      <c r="AC58" s="118">
        <f t="shared" ca="1" si="60"/>
        <v>0</v>
      </c>
      <c r="AD58" s="118">
        <f t="shared" ca="1" si="60"/>
        <v>0</v>
      </c>
      <c r="AE58" s="118">
        <f t="shared" ca="1" si="60"/>
        <v>0</v>
      </c>
      <c r="AF58" s="118">
        <f t="shared" ca="1" si="60"/>
        <v>0</v>
      </c>
      <c r="AG58" s="118">
        <f t="shared" ca="1" si="60"/>
        <v>0</v>
      </c>
      <c r="AH58" s="118">
        <f t="shared" ca="1" si="60"/>
        <v>0</v>
      </c>
      <c r="AI58" s="118">
        <f t="shared" ca="1" si="60"/>
        <v>0</v>
      </c>
      <c r="AJ58" s="118">
        <f t="shared" ca="1" si="60"/>
        <v>0</v>
      </c>
      <c r="AK58" s="118">
        <f t="shared" ca="1" si="60"/>
        <v>0</v>
      </c>
      <c r="AL58" s="118">
        <f t="shared" ca="1" si="60"/>
        <v>0</v>
      </c>
      <c r="AM58" s="118">
        <f t="shared" ca="1" si="60"/>
        <v>0</v>
      </c>
      <c r="AN58" s="118">
        <f t="shared" ca="1" si="60"/>
        <v>0</v>
      </c>
      <c r="AO58" s="118">
        <f t="shared" ca="1" si="60"/>
        <v>0</v>
      </c>
      <c r="AP58" s="118">
        <f t="shared" ca="1" si="60"/>
        <v>0</v>
      </c>
      <c r="AQ58" s="118">
        <f t="shared" ca="1" si="60"/>
        <v>0</v>
      </c>
      <c r="AR58" s="118">
        <f t="shared" ca="1" si="60"/>
        <v>0</v>
      </c>
      <c r="AS58" s="118">
        <f t="shared" ca="1" si="60"/>
        <v>0</v>
      </c>
      <c r="AT58" s="118">
        <f t="shared" ca="1" si="60"/>
        <v>0</v>
      </c>
      <c r="AU58" s="118">
        <f t="shared" ca="1" si="60"/>
        <v>0</v>
      </c>
      <c r="AV58" s="118">
        <f t="shared" ca="1" si="60"/>
        <v>0</v>
      </c>
      <c r="AW58" s="118">
        <f t="shared" ca="1" si="60"/>
        <v>0</v>
      </c>
      <c r="AX58" s="118">
        <f t="shared" ca="1" si="60"/>
        <v>0</v>
      </c>
      <c r="AY58" s="118">
        <f t="shared" ca="1" si="60"/>
        <v>0</v>
      </c>
      <c r="AZ58" s="118">
        <f t="shared" ca="1" si="60"/>
        <v>0</v>
      </c>
      <c r="BA58" s="118">
        <f t="shared" ca="1" si="60"/>
        <v>0</v>
      </c>
      <c r="BB58" s="118">
        <f t="shared" ca="1" si="60"/>
        <v>0</v>
      </c>
      <c r="BC58" s="118">
        <f t="shared" ca="1" si="60"/>
        <v>0</v>
      </c>
      <c r="BD58" s="118">
        <f t="shared" ca="1" si="60"/>
        <v>0</v>
      </c>
      <c r="BE58" s="118">
        <f t="shared" ca="1" si="60"/>
        <v>0</v>
      </c>
      <c r="BF58" s="118">
        <f t="shared" ca="1" si="60"/>
        <v>0</v>
      </c>
      <c r="BG58" s="118">
        <f t="shared" ca="1" si="60"/>
        <v>0</v>
      </c>
      <c r="BH58" s="118">
        <f t="shared" ca="1" si="60"/>
        <v>0</v>
      </c>
      <c r="BI58" s="118">
        <f t="shared" ca="1" si="60"/>
        <v>0</v>
      </c>
      <c r="BJ58" s="118">
        <f t="shared" ca="1" si="60"/>
        <v>0</v>
      </c>
      <c r="BK58" s="118">
        <f t="shared" ca="1" si="60"/>
        <v>0</v>
      </c>
      <c r="BL58" s="118">
        <f t="shared" ca="1" si="60"/>
        <v>0</v>
      </c>
      <c r="BM58" s="118">
        <f t="shared" ca="1" si="60"/>
        <v>0</v>
      </c>
      <c r="BN58" s="118">
        <f t="shared" ca="1" si="60"/>
        <v>0</v>
      </c>
      <c r="BO58" s="118">
        <f t="shared" ca="1" si="60"/>
        <v>0</v>
      </c>
      <c r="BP58" s="118">
        <f t="shared" ca="1" si="60"/>
        <v>0</v>
      </c>
      <c r="BQ58" s="118">
        <f t="shared" ca="1" si="60"/>
        <v>0</v>
      </c>
      <c r="BR58" s="118">
        <f t="shared" ca="1" si="60"/>
        <v>0</v>
      </c>
      <c r="BS58" s="118">
        <f t="shared" ca="1" si="60"/>
        <v>0</v>
      </c>
      <c r="BT58" s="118">
        <f t="shared" ca="1" si="60"/>
        <v>0</v>
      </c>
      <c r="BU58" s="118">
        <f t="shared" ca="1" si="60"/>
        <v>0</v>
      </c>
      <c r="BV58" s="118">
        <f t="shared" ca="1" si="59"/>
        <v>0</v>
      </c>
      <c r="BW58" s="118">
        <f t="shared" ca="1" si="59"/>
        <v>0</v>
      </c>
      <c r="BX58" s="118">
        <f t="shared" ca="1" si="59"/>
        <v>0</v>
      </c>
      <c r="BY58" s="118">
        <f t="shared" ca="1" si="59"/>
        <v>0</v>
      </c>
      <c r="BZ58" s="118">
        <f t="shared" ca="1" si="59"/>
        <v>0</v>
      </c>
      <c r="CA58" s="118">
        <f t="shared" ca="1" si="59"/>
        <v>0</v>
      </c>
      <c r="CB58" s="118">
        <f t="shared" ca="1" si="59"/>
        <v>0</v>
      </c>
      <c r="CC58" s="118">
        <f t="shared" ca="1" si="59"/>
        <v>0</v>
      </c>
      <c r="CD58" s="118">
        <f t="shared" ca="1" si="59"/>
        <v>0</v>
      </c>
      <c r="CE58" s="118">
        <f t="shared" ca="1" si="59"/>
        <v>0</v>
      </c>
      <c r="CF58" s="118">
        <f t="shared" ca="1" si="59"/>
        <v>0</v>
      </c>
      <c r="CG58" s="118">
        <f t="shared" ca="1" si="59"/>
        <v>0</v>
      </c>
      <c r="CH58" s="118">
        <f t="shared" ca="1" si="59"/>
        <v>0</v>
      </c>
      <c r="CI58" s="118">
        <f t="shared" ca="1" si="59"/>
        <v>0</v>
      </c>
      <c r="CJ58" s="118">
        <f t="shared" ca="1" si="59"/>
        <v>0</v>
      </c>
      <c r="CK58" s="118">
        <f t="shared" ca="1" si="59"/>
        <v>0</v>
      </c>
      <c r="CL58" s="118">
        <f t="shared" ca="1" si="59"/>
        <v>0</v>
      </c>
      <c r="CM58" s="118">
        <f t="shared" ca="1" si="59"/>
        <v>0</v>
      </c>
      <c r="CN58" s="118">
        <f t="shared" ca="1" si="59"/>
        <v>0</v>
      </c>
      <c r="CO58" s="118">
        <f t="shared" ca="1" si="59"/>
        <v>0</v>
      </c>
      <c r="CP58" s="118">
        <f t="shared" ca="1" si="59"/>
        <v>0</v>
      </c>
      <c r="CQ58" s="118">
        <f t="shared" ca="1" si="59"/>
        <v>0</v>
      </c>
      <c r="CR58" s="118">
        <f t="shared" ca="1" si="59"/>
        <v>0</v>
      </c>
      <c r="CS58" s="118">
        <f t="shared" ca="1" si="59"/>
        <v>0</v>
      </c>
      <c r="CT58" s="118">
        <f t="shared" ca="1" si="59"/>
        <v>0</v>
      </c>
      <c r="CU58" s="118">
        <f t="shared" ca="1" si="59"/>
        <v>0</v>
      </c>
      <c r="CV58" s="118">
        <f t="shared" ca="1" si="59"/>
        <v>0</v>
      </c>
      <c r="CW58" s="118">
        <f t="shared" ca="1" si="59"/>
        <v>0</v>
      </c>
      <c r="CX58" s="118">
        <f t="shared" ca="1" si="59"/>
        <v>0</v>
      </c>
      <c r="CY58" s="118">
        <f t="shared" ca="1" si="59"/>
        <v>0</v>
      </c>
      <c r="CZ58" s="118">
        <f t="shared" ca="1" si="59"/>
        <v>0</v>
      </c>
    </row>
    <row r="59" spans="2:104" x14ac:dyDescent="0.2">
      <c r="B59" s="119" t="str">
        <f>'9. Development Costs'!B39</f>
        <v>Disbursements</v>
      </c>
      <c r="C59" s="118">
        <f>-'9. Development Costs'!H39</f>
        <v>0</v>
      </c>
      <c r="D59" s="118">
        <f t="shared" ca="1" si="52"/>
        <v>0</v>
      </c>
      <c r="E59" s="118">
        <f t="shared" ca="1" si="49"/>
        <v>0</v>
      </c>
      <c r="F59" s="272">
        <f t="shared" ca="1" si="53"/>
        <v>46097</v>
      </c>
      <c r="G59" s="272">
        <f t="shared" ca="1" si="53"/>
        <v>47042</v>
      </c>
      <c r="H59" s="125">
        <f t="shared" ca="1" si="54"/>
        <v>32</v>
      </c>
      <c r="I59" s="118">
        <f t="shared" ca="1" si="55"/>
        <v>0</v>
      </c>
      <c r="J59" s="118">
        <f t="shared" ca="1" si="60"/>
        <v>0</v>
      </c>
      <c r="K59" s="118">
        <f t="shared" ca="1" si="60"/>
        <v>0</v>
      </c>
      <c r="L59" s="118">
        <f t="shared" ca="1" si="60"/>
        <v>0</v>
      </c>
      <c r="M59" s="118">
        <f t="shared" ca="1" si="60"/>
        <v>0</v>
      </c>
      <c r="N59" s="118">
        <f t="shared" ca="1" si="60"/>
        <v>0</v>
      </c>
      <c r="O59" s="118">
        <f t="shared" ca="1" si="60"/>
        <v>0</v>
      </c>
      <c r="P59" s="118">
        <f t="shared" ca="1" si="60"/>
        <v>0</v>
      </c>
      <c r="Q59" s="118">
        <f t="shared" ca="1" si="60"/>
        <v>0</v>
      </c>
      <c r="R59" s="118">
        <f t="shared" ca="1" si="60"/>
        <v>0</v>
      </c>
      <c r="S59" s="118">
        <f t="shared" ca="1" si="60"/>
        <v>0</v>
      </c>
      <c r="T59" s="118">
        <f t="shared" ca="1" si="60"/>
        <v>0</v>
      </c>
      <c r="U59" s="118">
        <f t="shared" ca="1" si="60"/>
        <v>0</v>
      </c>
      <c r="V59" s="118">
        <f t="shared" ca="1" si="60"/>
        <v>0</v>
      </c>
      <c r="W59" s="118">
        <f t="shared" ca="1" si="60"/>
        <v>0</v>
      </c>
      <c r="X59" s="118">
        <f t="shared" ca="1" si="60"/>
        <v>0</v>
      </c>
      <c r="Y59" s="118">
        <f t="shared" ca="1" si="60"/>
        <v>0</v>
      </c>
      <c r="Z59" s="118">
        <f t="shared" ca="1" si="60"/>
        <v>0</v>
      </c>
      <c r="AA59" s="118">
        <f t="shared" ca="1" si="60"/>
        <v>0</v>
      </c>
      <c r="AB59" s="118">
        <f t="shared" ca="1" si="60"/>
        <v>0</v>
      </c>
      <c r="AC59" s="118">
        <f t="shared" ca="1" si="60"/>
        <v>0</v>
      </c>
      <c r="AD59" s="118">
        <f t="shared" ca="1" si="60"/>
        <v>0</v>
      </c>
      <c r="AE59" s="118">
        <f t="shared" ca="1" si="60"/>
        <v>0</v>
      </c>
      <c r="AF59" s="118">
        <f t="shared" ca="1" si="60"/>
        <v>0</v>
      </c>
      <c r="AG59" s="118">
        <f t="shared" ca="1" si="60"/>
        <v>0</v>
      </c>
      <c r="AH59" s="118">
        <f t="shared" ca="1" si="60"/>
        <v>0</v>
      </c>
      <c r="AI59" s="118">
        <f t="shared" ca="1" si="60"/>
        <v>0</v>
      </c>
      <c r="AJ59" s="118">
        <f t="shared" ca="1" si="60"/>
        <v>0</v>
      </c>
      <c r="AK59" s="118">
        <f t="shared" ca="1" si="60"/>
        <v>0</v>
      </c>
      <c r="AL59" s="118">
        <f t="shared" ca="1" si="60"/>
        <v>0</v>
      </c>
      <c r="AM59" s="118">
        <f t="shared" ca="1" si="60"/>
        <v>0</v>
      </c>
      <c r="AN59" s="118">
        <f t="shared" ca="1" si="60"/>
        <v>0</v>
      </c>
      <c r="AO59" s="118">
        <f t="shared" ca="1" si="60"/>
        <v>0</v>
      </c>
      <c r="AP59" s="118">
        <f t="shared" ca="1" si="60"/>
        <v>0</v>
      </c>
      <c r="AQ59" s="118">
        <f t="shared" ca="1" si="60"/>
        <v>0</v>
      </c>
      <c r="AR59" s="118">
        <f t="shared" ca="1" si="60"/>
        <v>0</v>
      </c>
      <c r="AS59" s="118">
        <f t="shared" ca="1" si="60"/>
        <v>0</v>
      </c>
      <c r="AT59" s="118">
        <f t="shared" ca="1" si="60"/>
        <v>0</v>
      </c>
      <c r="AU59" s="118">
        <f t="shared" ca="1" si="60"/>
        <v>0</v>
      </c>
      <c r="AV59" s="118">
        <f t="shared" ca="1" si="60"/>
        <v>0</v>
      </c>
      <c r="AW59" s="118">
        <f t="shared" ca="1" si="60"/>
        <v>0</v>
      </c>
      <c r="AX59" s="118">
        <f t="shared" ca="1" si="60"/>
        <v>0</v>
      </c>
      <c r="AY59" s="118">
        <f t="shared" ca="1" si="60"/>
        <v>0</v>
      </c>
      <c r="AZ59" s="118">
        <f t="shared" ca="1" si="60"/>
        <v>0</v>
      </c>
      <c r="BA59" s="118">
        <f t="shared" ca="1" si="60"/>
        <v>0</v>
      </c>
      <c r="BB59" s="118">
        <f t="shared" ca="1" si="60"/>
        <v>0</v>
      </c>
      <c r="BC59" s="118">
        <f t="shared" ca="1" si="60"/>
        <v>0</v>
      </c>
      <c r="BD59" s="118">
        <f t="shared" ca="1" si="60"/>
        <v>0</v>
      </c>
      <c r="BE59" s="118">
        <f t="shared" ca="1" si="60"/>
        <v>0</v>
      </c>
      <c r="BF59" s="118">
        <f t="shared" ca="1" si="60"/>
        <v>0</v>
      </c>
      <c r="BG59" s="118">
        <f t="shared" ca="1" si="60"/>
        <v>0</v>
      </c>
      <c r="BH59" s="118">
        <f t="shared" ca="1" si="60"/>
        <v>0</v>
      </c>
      <c r="BI59" s="118">
        <f t="shared" ca="1" si="60"/>
        <v>0</v>
      </c>
      <c r="BJ59" s="118">
        <f t="shared" ca="1" si="60"/>
        <v>0</v>
      </c>
      <c r="BK59" s="118">
        <f t="shared" ca="1" si="60"/>
        <v>0</v>
      </c>
      <c r="BL59" s="118">
        <f t="shared" ca="1" si="60"/>
        <v>0</v>
      </c>
      <c r="BM59" s="118">
        <f t="shared" ca="1" si="60"/>
        <v>0</v>
      </c>
      <c r="BN59" s="118">
        <f t="shared" ca="1" si="60"/>
        <v>0</v>
      </c>
      <c r="BO59" s="118">
        <f t="shared" ca="1" si="60"/>
        <v>0</v>
      </c>
      <c r="BP59" s="118">
        <f t="shared" ca="1" si="60"/>
        <v>0</v>
      </c>
      <c r="BQ59" s="118">
        <f t="shared" ca="1" si="60"/>
        <v>0</v>
      </c>
      <c r="BR59" s="118">
        <f t="shared" ca="1" si="60"/>
        <v>0</v>
      </c>
      <c r="BS59" s="118">
        <f t="shared" ca="1" si="60"/>
        <v>0</v>
      </c>
      <c r="BT59" s="118">
        <f t="shared" ca="1" si="60"/>
        <v>0</v>
      </c>
      <c r="BU59" s="118">
        <f t="shared" ref="BU59:CZ60" ca="1" si="61">IF(AND(BU$7&lt;=$G59,BU$7&gt;=$F59,$H59&lt;&gt;0,$H59&lt;&gt;""),$C59/$H59,0)</f>
        <v>0</v>
      </c>
      <c r="BV59" s="118">
        <f t="shared" ca="1" si="61"/>
        <v>0</v>
      </c>
      <c r="BW59" s="118">
        <f t="shared" ca="1" si="61"/>
        <v>0</v>
      </c>
      <c r="BX59" s="118">
        <f t="shared" ca="1" si="61"/>
        <v>0</v>
      </c>
      <c r="BY59" s="118">
        <f t="shared" ca="1" si="61"/>
        <v>0</v>
      </c>
      <c r="BZ59" s="118">
        <f t="shared" ca="1" si="61"/>
        <v>0</v>
      </c>
      <c r="CA59" s="118">
        <f t="shared" ca="1" si="61"/>
        <v>0</v>
      </c>
      <c r="CB59" s="118">
        <f t="shared" ca="1" si="61"/>
        <v>0</v>
      </c>
      <c r="CC59" s="118">
        <f t="shared" ca="1" si="61"/>
        <v>0</v>
      </c>
      <c r="CD59" s="118">
        <f t="shared" ca="1" si="61"/>
        <v>0</v>
      </c>
      <c r="CE59" s="118">
        <f t="shared" ca="1" si="61"/>
        <v>0</v>
      </c>
      <c r="CF59" s="118">
        <f t="shared" ca="1" si="61"/>
        <v>0</v>
      </c>
      <c r="CG59" s="118">
        <f t="shared" ca="1" si="61"/>
        <v>0</v>
      </c>
      <c r="CH59" s="118">
        <f t="shared" ca="1" si="61"/>
        <v>0</v>
      </c>
      <c r="CI59" s="118">
        <f t="shared" ca="1" si="61"/>
        <v>0</v>
      </c>
      <c r="CJ59" s="118">
        <f t="shared" ca="1" si="61"/>
        <v>0</v>
      </c>
      <c r="CK59" s="118">
        <f t="shared" ca="1" si="61"/>
        <v>0</v>
      </c>
      <c r="CL59" s="118">
        <f t="shared" ca="1" si="61"/>
        <v>0</v>
      </c>
      <c r="CM59" s="118">
        <f t="shared" ca="1" si="61"/>
        <v>0</v>
      </c>
      <c r="CN59" s="118">
        <f t="shared" ca="1" si="61"/>
        <v>0</v>
      </c>
      <c r="CO59" s="118">
        <f t="shared" ca="1" si="61"/>
        <v>0</v>
      </c>
      <c r="CP59" s="118">
        <f t="shared" ca="1" si="61"/>
        <v>0</v>
      </c>
      <c r="CQ59" s="118">
        <f t="shared" ca="1" si="61"/>
        <v>0</v>
      </c>
      <c r="CR59" s="118">
        <f t="shared" ca="1" si="61"/>
        <v>0</v>
      </c>
      <c r="CS59" s="118">
        <f t="shared" ca="1" si="61"/>
        <v>0</v>
      </c>
      <c r="CT59" s="118">
        <f t="shared" ca="1" si="61"/>
        <v>0</v>
      </c>
      <c r="CU59" s="118">
        <f t="shared" ca="1" si="61"/>
        <v>0</v>
      </c>
      <c r="CV59" s="118">
        <f t="shared" ca="1" si="61"/>
        <v>0</v>
      </c>
      <c r="CW59" s="118">
        <f t="shared" ca="1" si="61"/>
        <v>0</v>
      </c>
      <c r="CX59" s="118">
        <f t="shared" ca="1" si="61"/>
        <v>0</v>
      </c>
      <c r="CY59" s="118">
        <f t="shared" ca="1" si="61"/>
        <v>0</v>
      </c>
      <c r="CZ59" s="118">
        <f t="shared" ca="1" si="61"/>
        <v>0</v>
      </c>
    </row>
    <row r="60" spans="2:104" x14ac:dyDescent="0.2">
      <c r="B60" s="119" t="str">
        <f>'9. Development Costs'!B40</f>
        <v>Professional fee contingency</v>
      </c>
      <c r="C60" s="118">
        <f>-'9. Development Costs'!H40</f>
        <v>-96593.700000000012</v>
      </c>
      <c r="D60" s="118">
        <f t="shared" ca="1" si="52"/>
        <v>0</v>
      </c>
      <c r="E60" s="118">
        <f t="shared" ca="1" si="49"/>
        <v>-96593.700000000041</v>
      </c>
      <c r="F60" s="272">
        <f t="shared" ref="F60:G60" ca="1" si="62">F$47</f>
        <v>46097</v>
      </c>
      <c r="G60" s="272">
        <f t="shared" ca="1" si="62"/>
        <v>47042</v>
      </c>
      <c r="H60" s="125">
        <f t="shared" ca="1" si="54"/>
        <v>32</v>
      </c>
      <c r="I60" s="118">
        <f t="shared" ca="1" si="55"/>
        <v>0</v>
      </c>
      <c r="J60" s="118">
        <f t="shared" ref="J60:BU60" ca="1" si="63">IF(AND(J$7&lt;=$G60,J$7&gt;=$F60,$H60&lt;&gt;0,$H60&lt;&gt;""),$C60/$H60,0)</f>
        <v>-3018.5531250000004</v>
      </c>
      <c r="K60" s="118">
        <f t="shared" ca="1" si="63"/>
        <v>-3018.5531250000004</v>
      </c>
      <c r="L60" s="118">
        <f t="shared" ca="1" si="63"/>
        <v>-3018.5531250000004</v>
      </c>
      <c r="M60" s="118">
        <f t="shared" ca="1" si="63"/>
        <v>-3018.5531250000004</v>
      </c>
      <c r="N60" s="118">
        <f t="shared" ca="1" si="63"/>
        <v>-3018.5531250000004</v>
      </c>
      <c r="O60" s="118">
        <f t="shared" ca="1" si="63"/>
        <v>-3018.5531250000004</v>
      </c>
      <c r="P60" s="118">
        <f t="shared" ca="1" si="63"/>
        <v>-3018.5531250000004</v>
      </c>
      <c r="Q60" s="118">
        <f t="shared" ca="1" si="63"/>
        <v>-3018.5531250000004</v>
      </c>
      <c r="R60" s="118">
        <f t="shared" ca="1" si="63"/>
        <v>-3018.5531250000004</v>
      </c>
      <c r="S60" s="118">
        <f t="shared" ca="1" si="63"/>
        <v>-3018.5531250000004</v>
      </c>
      <c r="T60" s="118">
        <f t="shared" ca="1" si="63"/>
        <v>-3018.5531250000004</v>
      </c>
      <c r="U60" s="118">
        <f t="shared" ca="1" si="63"/>
        <v>-3018.5531250000004</v>
      </c>
      <c r="V60" s="118">
        <f t="shared" ca="1" si="63"/>
        <v>-3018.5531250000004</v>
      </c>
      <c r="W60" s="118">
        <f t="shared" ca="1" si="63"/>
        <v>-3018.5531250000004</v>
      </c>
      <c r="X60" s="118">
        <f t="shared" ca="1" si="63"/>
        <v>-3018.5531250000004</v>
      </c>
      <c r="Y60" s="118">
        <f t="shared" ca="1" si="63"/>
        <v>-3018.5531250000004</v>
      </c>
      <c r="Z60" s="118">
        <f t="shared" ca="1" si="63"/>
        <v>-3018.5531250000004</v>
      </c>
      <c r="AA60" s="118">
        <f t="shared" ca="1" si="63"/>
        <v>-3018.5531250000004</v>
      </c>
      <c r="AB60" s="118">
        <f t="shared" ca="1" si="63"/>
        <v>-3018.5531250000004</v>
      </c>
      <c r="AC60" s="118">
        <f t="shared" ca="1" si="63"/>
        <v>-3018.5531250000004</v>
      </c>
      <c r="AD60" s="118">
        <f t="shared" ca="1" si="63"/>
        <v>-3018.5531250000004</v>
      </c>
      <c r="AE60" s="118">
        <f t="shared" ca="1" si="63"/>
        <v>-3018.5531250000004</v>
      </c>
      <c r="AF60" s="118">
        <f t="shared" ca="1" si="63"/>
        <v>-3018.5531250000004</v>
      </c>
      <c r="AG60" s="118">
        <f t="shared" ca="1" si="63"/>
        <v>-3018.5531250000004</v>
      </c>
      <c r="AH60" s="118">
        <f t="shared" ca="1" si="63"/>
        <v>-3018.5531250000004</v>
      </c>
      <c r="AI60" s="118">
        <f t="shared" ca="1" si="63"/>
        <v>-3018.5531250000004</v>
      </c>
      <c r="AJ60" s="118">
        <f t="shared" ca="1" si="63"/>
        <v>-3018.5531250000004</v>
      </c>
      <c r="AK60" s="118">
        <f t="shared" ca="1" si="63"/>
        <v>-3018.5531250000004</v>
      </c>
      <c r="AL60" s="118">
        <f t="shared" ca="1" si="63"/>
        <v>-3018.5531250000004</v>
      </c>
      <c r="AM60" s="118">
        <f t="shared" ca="1" si="63"/>
        <v>-3018.5531250000004</v>
      </c>
      <c r="AN60" s="118">
        <f t="shared" ca="1" si="63"/>
        <v>-3018.5531250000004</v>
      </c>
      <c r="AO60" s="118">
        <f t="shared" ca="1" si="63"/>
        <v>-3018.5531250000004</v>
      </c>
      <c r="AP60" s="118">
        <f t="shared" ca="1" si="63"/>
        <v>0</v>
      </c>
      <c r="AQ60" s="118">
        <f t="shared" ca="1" si="63"/>
        <v>0</v>
      </c>
      <c r="AR60" s="118">
        <f t="shared" ca="1" si="63"/>
        <v>0</v>
      </c>
      <c r="AS60" s="118">
        <f t="shared" ca="1" si="63"/>
        <v>0</v>
      </c>
      <c r="AT60" s="118">
        <f t="shared" ca="1" si="63"/>
        <v>0</v>
      </c>
      <c r="AU60" s="118">
        <f t="shared" ca="1" si="63"/>
        <v>0</v>
      </c>
      <c r="AV60" s="118">
        <f t="shared" ca="1" si="63"/>
        <v>0</v>
      </c>
      <c r="AW60" s="118">
        <f t="shared" ca="1" si="63"/>
        <v>0</v>
      </c>
      <c r="AX60" s="118">
        <f t="shared" ca="1" si="63"/>
        <v>0</v>
      </c>
      <c r="AY60" s="118">
        <f t="shared" ca="1" si="63"/>
        <v>0</v>
      </c>
      <c r="AZ60" s="118">
        <f t="shared" ca="1" si="63"/>
        <v>0</v>
      </c>
      <c r="BA60" s="118">
        <f t="shared" ca="1" si="63"/>
        <v>0</v>
      </c>
      <c r="BB60" s="118">
        <f t="shared" ca="1" si="63"/>
        <v>0</v>
      </c>
      <c r="BC60" s="118">
        <f t="shared" ca="1" si="63"/>
        <v>0</v>
      </c>
      <c r="BD60" s="118">
        <f t="shared" ca="1" si="63"/>
        <v>0</v>
      </c>
      <c r="BE60" s="118">
        <f t="shared" ca="1" si="63"/>
        <v>0</v>
      </c>
      <c r="BF60" s="118">
        <f t="shared" ca="1" si="63"/>
        <v>0</v>
      </c>
      <c r="BG60" s="118">
        <f t="shared" ca="1" si="63"/>
        <v>0</v>
      </c>
      <c r="BH60" s="118">
        <f t="shared" ca="1" si="63"/>
        <v>0</v>
      </c>
      <c r="BI60" s="118">
        <f t="shared" ca="1" si="63"/>
        <v>0</v>
      </c>
      <c r="BJ60" s="118">
        <f t="shared" ca="1" si="63"/>
        <v>0</v>
      </c>
      <c r="BK60" s="118">
        <f t="shared" ca="1" si="63"/>
        <v>0</v>
      </c>
      <c r="BL60" s="118">
        <f t="shared" ca="1" si="63"/>
        <v>0</v>
      </c>
      <c r="BM60" s="118">
        <f t="shared" ca="1" si="63"/>
        <v>0</v>
      </c>
      <c r="BN60" s="118">
        <f t="shared" ca="1" si="63"/>
        <v>0</v>
      </c>
      <c r="BO60" s="118">
        <f t="shared" ca="1" si="63"/>
        <v>0</v>
      </c>
      <c r="BP60" s="118">
        <f t="shared" ca="1" si="63"/>
        <v>0</v>
      </c>
      <c r="BQ60" s="118">
        <f t="shared" ca="1" si="63"/>
        <v>0</v>
      </c>
      <c r="BR60" s="118">
        <f t="shared" ca="1" si="63"/>
        <v>0</v>
      </c>
      <c r="BS60" s="118">
        <f t="shared" ca="1" si="63"/>
        <v>0</v>
      </c>
      <c r="BT60" s="118">
        <f t="shared" ca="1" si="63"/>
        <v>0</v>
      </c>
      <c r="BU60" s="118">
        <f t="shared" ca="1" si="63"/>
        <v>0</v>
      </c>
      <c r="BV60" s="118">
        <f t="shared" ca="1" si="61"/>
        <v>0</v>
      </c>
      <c r="BW60" s="118">
        <f t="shared" ca="1" si="61"/>
        <v>0</v>
      </c>
      <c r="BX60" s="118">
        <f t="shared" ca="1" si="61"/>
        <v>0</v>
      </c>
      <c r="BY60" s="118">
        <f t="shared" ca="1" si="61"/>
        <v>0</v>
      </c>
      <c r="BZ60" s="118">
        <f t="shared" ca="1" si="61"/>
        <v>0</v>
      </c>
      <c r="CA60" s="118">
        <f t="shared" ca="1" si="61"/>
        <v>0</v>
      </c>
      <c r="CB60" s="118">
        <f t="shared" ca="1" si="61"/>
        <v>0</v>
      </c>
      <c r="CC60" s="118">
        <f t="shared" ca="1" si="61"/>
        <v>0</v>
      </c>
      <c r="CD60" s="118">
        <f t="shared" ca="1" si="61"/>
        <v>0</v>
      </c>
      <c r="CE60" s="118">
        <f t="shared" ca="1" si="61"/>
        <v>0</v>
      </c>
      <c r="CF60" s="118">
        <f t="shared" ca="1" si="61"/>
        <v>0</v>
      </c>
      <c r="CG60" s="118">
        <f t="shared" ca="1" si="61"/>
        <v>0</v>
      </c>
      <c r="CH60" s="118">
        <f t="shared" ca="1" si="61"/>
        <v>0</v>
      </c>
      <c r="CI60" s="118">
        <f t="shared" ca="1" si="61"/>
        <v>0</v>
      </c>
      <c r="CJ60" s="118">
        <f t="shared" ca="1" si="61"/>
        <v>0</v>
      </c>
      <c r="CK60" s="118">
        <f t="shared" ca="1" si="61"/>
        <v>0</v>
      </c>
      <c r="CL60" s="118">
        <f t="shared" ca="1" si="61"/>
        <v>0</v>
      </c>
      <c r="CM60" s="118">
        <f t="shared" ca="1" si="61"/>
        <v>0</v>
      </c>
      <c r="CN60" s="118">
        <f t="shared" ca="1" si="61"/>
        <v>0</v>
      </c>
      <c r="CO60" s="118">
        <f t="shared" ca="1" si="61"/>
        <v>0</v>
      </c>
      <c r="CP60" s="118">
        <f t="shared" ca="1" si="61"/>
        <v>0</v>
      </c>
      <c r="CQ60" s="118">
        <f t="shared" ca="1" si="61"/>
        <v>0</v>
      </c>
      <c r="CR60" s="118">
        <f t="shared" ca="1" si="61"/>
        <v>0</v>
      </c>
      <c r="CS60" s="118">
        <f t="shared" ca="1" si="61"/>
        <v>0</v>
      </c>
      <c r="CT60" s="118">
        <f t="shared" ca="1" si="61"/>
        <v>0</v>
      </c>
      <c r="CU60" s="118">
        <f t="shared" ca="1" si="61"/>
        <v>0</v>
      </c>
      <c r="CV60" s="118">
        <f t="shared" ca="1" si="61"/>
        <v>0</v>
      </c>
      <c r="CW60" s="118">
        <f t="shared" ca="1" si="61"/>
        <v>0</v>
      </c>
      <c r="CX60" s="118">
        <f t="shared" ca="1" si="61"/>
        <v>0</v>
      </c>
      <c r="CY60" s="118">
        <f t="shared" ca="1" si="61"/>
        <v>0</v>
      </c>
      <c r="CZ60" s="118">
        <f t="shared" ca="1" si="61"/>
        <v>0</v>
      </c>
    </row>
    <row r="61" spans="2:104" x14ac:dyDescent="0.2">
      <c r="B61" s="127" t="str">
        <f>'9. Development Costs'!B41</f>
        <v>Total Professional Fees</v>
      </c>
      <c r="C61" s="128">
        <f>SUM(C47:C60)</f>
        <v>-2028467.7</v>
      </c>
      <c r="D61" s="308">
        <f t="shared" ref="D61" ca="1" si="64">C61-E61</f>
        <v>0</v>
      </c>
      <c r="E61" s="128">
        <f t="shared" ca="1" si="49"/>
        <v>-2028467.7000000011</v>
      </c>
      <c r="F61" s="129"/>
      <c r="G61" s="130"/>
      <c r="H61" s="131"/>
      <c r="I61" s="128">
        <f t="shared" ref="I61:AN61" ca="1" si="65">SUM(I47:I60)</f>
        <v>0</v>
      </c>
      <c r="J61" s="128">
        <f t="shared" ca="1" si="65"/>
        <v>-63389.615624999999</v>
      </c>
      <c r="K61" s="128">
        <f t="shared" ca="1" si="65"/>
        <v>-63389.615624999999</v>
      </c>
      <c r="L61" s="128">
        <f t="shared" ca="1" si="65"/>
        <v>-63389.615624999999</v>
      </c>
      <c r="M61" s="128">
        <f t="shared" ca="1" si="65"/>
        <v>-63389.615624999999</v>
      </c>
      <c r="N61" s="128">
        <f t="shared" ca="1" si="65"/>
        <v>-63389.615624999999</v>
      </c>
      <c r="O61" s="128">
        <f t="shared" ca="1" si="65"/>
        <v>-63389.615624999999</v>
      </c>
      <c r="P61" s="128">
        <f t="shared" ca="1" si="65"/>
        <v>-63389.615624999999</v>
      </c>
      <c r="Q61" s="128">
        <f t="shared" ca="1" si="65"/>
        <v>-63389.615624999999</v>
      </c>
      <c r="R61" s="128">
        <f t="shared" ca="1" si="65"/>
        <v>-63389.615624999999</v>
      </c>
      <c r="S61" s="128">
        <f t="shared" ca="1" si="65"/>
        <v>-63389.615624999999</v>
      </c>
      <c r="T61" s="128">
        <f t="shared" ca="1" si="65"/>
        <v>-63389.615624999999</v>
      </c>
      <c r="U61" s="128">
        <f t="shared" ca="1" si="65"/>
        <v>-63389.615624999999</v>
      </c>
      <c r="V61" s="128">
        <f t="shared" ca="1" si="65"/>
        <v>-63389.615624999999</v>
      </c>
      <c r="W61" s="128">
        <f t="shared" ca="1" si="65"/>
        <v>-63389.615624999999</v>
      </c>
      <c r="X61" s="128">
        <f t="shared" ca="1" si="65"/>
        <v>-63389.615624999999</v>
      </c>
      <c r="Y61" s="128">
        <f t="shared" ca="1" si="65"/>
        <v>-63389.615624999999</v>
      </c>
      <c r="Z61" s="128">
        <f t="shared" ca="1" si="65"/>
        <v>-63389.615624999999</v>
      </c>
      <c r="AA61" s="128">
        <f t="shared" ca="1" si="65"/>
        <v>-63389.615624999999</v>
      </c>
      <c r="AB61" s="128">
        <f t="shared" ca="1" si="65"/>
        <v>-63389.615624999999</v>
      </c>
      <c r="AC61" s="128">
        <f t="shared" ca="1" si="65"/>
        <v>-63389.615624999999</v>
      </c>
      <c r="AD61" s="128">
        <f t="shared" ca="1" si="65"/>
        <v>-63389.615624999999</v>
      </c>
      <c r="AE61" s="128">
        <f t="shared" ca="1" si="65"/>
        <v>-63389.615624999999</v>
      </c>
      <c r="AF61" s="128">
        <f t="shared" ca="1" si="65"/>
        <v>-63389.615624999999</v>
      </c>
      <c r="AG61" s="128">
        <f t="shared" ca="1" si="65"/>
        <v>-63389.615624999999</v>
      </c>
      <c r="AH61" s="128">
        <f t="shared" ca="1" si="65"/>
        <v>-63389.615624999999</v>
      </c>
      <c r="AI61" s="128">
        <f t="shared" ca="1" si="65"/>
        <v>-63389.615624999999</v>
      </c>
      <c r="AJ61" s="128">
        <f t="shared" ca="1" si="65"/>
        <v>-63389.615624999999</v>
      </c>
      <c r="AK61" s="128">
        <f t="shared" ca="1" si="65"/>
        <v>-63389.615624999999</v>
      </c>
      <c r="AL61" s="128">
        <f t="shared" ca="1" si="65"/>
        <v>-63389.615624999999</v>
      </c>
      <c r="AM61" s="128">
        <f t="shared" ca="1" si="65"/>
        <v>-63389.615624999999</v>
      </c>
      <c r="AN61" s="128">
        <f t="shared" ca="1" si="65"/>
        <v>-63389.615624999999</v>
      </c>
      <c r="AO61" s="128">
        <f t="shared" ref="AO61:BT61" ca="1" si="66">SUM(AO47:AO60)</f>
        <v>-63389.615624999999</v>
      </c>
      <c r="AP61" s="128">
        <f t="shared" ca="1" si="66"/>
        <v>0</v>
      </c>
      <c r="AQ61" s="128">
        <f t="shared" ca="1" si="66"/>
        <v>0</v>
      </c>
      <c r="AR61" s="128">
        <f t="shared" ca="1" si="66"/>
        <v>0</v>
      </c>
      <c r="AS61" s="128">
        <f t="shared" ca="1" si="66"/>
        <v>0</v>
      </c>
      <c r="AT61" s="128">
        <f t="shared" ca="1" si="66"/>
        <v>0</v>
      </c>
      <c r="AU61" s="128">
        <f t="shared" ca="1" si="66"/>
        <v>0</v>
      </c>
      <c r="AV61" s="128">
        <f t="shared" ca="1" si="66"/>
        <v>0</v>
      </c>
      <c r="AW61" s="128">
        <f t="shared" ca="1" si="66"/>
        <v>0</v>
      </c>
      <c r="AX61" s="128">
        <f t="shared" ca="1" si="66"/>
        <v>0</v>
      </c>
      <c r="AY61" s="128">
        <f t="shared" ca="1" si="66"/>
        <v>0</v>
      </c>
      <c r="AZ61" s="128">
        <f t="shared" ca="1" si="66"/>
        <v>0</v>
      </c>
      <c r="BA61" s="128">
        <f t="shared" ca="1" si="66"/>
        <v>0</v>
      </c>
      <c r="BB61" s="128">
        <f t="shared" ca="1" si="66"/>
        <v>0</v>
      </c>
      <c r="BC61" s="128">
        <f t="shared" ca="1" si="66"/>
        <v>0</v>
      </c>
      <c r="BD61" s="128">
        <f t="shared" ca="1" si="66"/>
        <v>0</v>
      </c>
      <c r="BE61" s="128">
        <f t="shared" ca="1" si="66"/>
        <v>0</v>
      </c>
      <c r="BF61" s="128">
        <f t="shared" ca="1" si="66"/>
        <v>0</v>
      </c>
      <c r="BG61" s="128">
        <f t="shared" ca="1" si="66"/>
        <v>0</v>
      </c>
      <c r="BH61" s="128">
        <f t="shared" ca="1" si="66"/>
        <v>0</v>
      </c>
      <c r="BI61" s="128">
        <f t="shared" ca="1" si="66"/>
        <v>0</v>
      </c>
      <c r="BJ61" s="128">
        <f t="shared" ca="1" si="66"/>
        <v>0</v>
      </c>
      <c r="BK61" s="128">
        <f t="shared" ca="1" si="66"/>
        <v>0</v>
      </c>
      <c r="BL61" s="128">
        <f t="shared" ca="1" si="66"/>
        <v>0</v>
      </c>
      <c r="BM61" s="128">
        <f t="shared" ca="1" si="66"/>
        <v>0</v>
      </c>
      <c r="BN61" s="128">
        <f t="shared" ca="1" si="66"/>
        <v>0</v>
      </c>
      <c r="BO61" s="128">
        <f t="shared" ca="1" si="66"/>
        <v>0</v>
      </c>
      <c r="BP61" s="128">
        <f t="shared" ca="1" si="66"/>
        <v>0</v>
      </c>
      <c r="BQ61" s="128">
        <f t="shared" ca="1" si="66"/>
        <v>0</v>
      </c>
      <c r="BR61" s="128">
        <f t="shared" ca="1" si="66"/>
        <v>0</v>
      </c>
      <c r="BS61" s="128">
        <f t="shared" ca="1" si="66"/>
        <v>0</v>
      </c>
      <c r="BT61" s="128">
        <f t="shared" ca="1" si="66"/>
        <v>0</v>
      </c>
      <c r="BU61" s="128">
        <f t="shared" ref="BU61:CZ61" ca="1" si="67">SUM(BU47:BU60)</f>
        <v>0</v>
      </c>
      <c r="BV61" s="128">
        <f t="shared" ca="1" si="67"/>
        <v>0</v>
      </c>
      <c r="BW61" s="128">
        <f t="shared" ca="1" si="67"/>
        <v>0</v>
      </c>
      <c r="BX61" s="128">
        <f t="shared" ca="1" si="67"/>
        <v>0</v>
      </c>
      <c r="BY61" s="128">
        <f t="shared" ca="1" si="67"/>
        <v>0</v>
      </c>
      <c r="BZ61" s="128">
        <f t="shared" ca="1" si="67"/>
        <v>0</v>
      </c>
      <c r="CA61" s="128">
        <f t="shared" ca="1" si="67"/>
        <v>0</v>
      </c>
      <c r="CB61" s="128">
        <f t="shared" ca="1" si="67"/>
        <v>0</v>
      </c>
      <c r="CC61" s="128">
        <f t="shared" ca="1" si="67"/>
        <v>0</v>
      </c>
      <c r="CD61" s="128">
        <f t="shared" ca="1" si="67"/>
        <v>0</v>
      </c>
      <c r="CE61" s="128">
        <f t="shared" ca="1" si="67"/>
        <v>0</v>
      </c>
      <c r="CF61" s="128">
        <f t="shared" ca="1" si="67"/>
        <v>0</v>
      </c>
      <c r="CG61" s="128">
        <f t="shared" ca="1" si="67"/>
        <v>0</v>
      </c>
      <c r="CH61" s="128">
        <f t="shared" ca="1" si="67"/>
        <v>0</v>
      </c>
      <c r="CI61" s="128">
        <f t="shared" ca="1" si="67"/>
        <v>0</v>
      </c>
      <c r="CJ61" s="128">
        <f t="shared" ca="1" si="67"/>
        <v>0</v>
      </c>
      <c r="CK61" s="128">
        <f t="shared" ca="1" si="67"/>
        <v>0</v>
      </c>
      <c r="CL61" s="128">
        <f t="shared" ca="1" si="67"/>
        <v>0</v>
      </c>
      <c r="CM61" s="128">
        <f t="shared" ca="1" si="67"/>
        <v>0</v>
      </c>
      <c r="CN61" s="128">
        <f t="shared" ca="1" si="67"/>
        <v>0</v>
      </c>
      <c r="CO61" s="128">
        <f t="shared" ca="1" si="67"/>
        <v>0</v>
      </c>
      <c r="CP61" s="128">
        <f t="shared" ca="1" si="67"/>
        <v>0</v>
      </c>
      <c r="CQ61" s="128">
        <f t="shared" ca="1" si="67"/>
        <v>0</v>
      </c>
      <c r="CR61" s="128">
        <f t="shared" ca="1" si="67"/>
        <v>0</v>
      </c>
      <c r="CS61" s="128">
        <f t="shared" ca="1" si="67"/>
        <v>0</v>
      </c>
      <c r="CT61" s="128">
        <f t="shared" ca="1" si="67"/>
        <v>0</v>
      </c>
      <c r="CU61" s="128">
        <f t="shared" ca="1" si="67"/>
        <v>0</v>
      </c>
      <c r="CV61" s="128">
        <f t="shared" ca="1" si="67"/>
        <v>0</v>
      </c>
      <c r="CW61" s="128">
        <f t="shared" ca="1" si="67"/>
        <v>0</v>
      </c>
      <c r="CX61" s="128">
        <f t="shared" ca="1" si="67"/>
        <v>0</v>
      </c>
      <c r="CY61" s="128">
        <f t="shared" ca="1" si="67"/>
        <v>0</v>
      </c>
      <c r="CZ61" s="128">
        <f t="shared" ca="1" si="67"/>
        <v>0</v>
      </c>
    </row>
    <row r="62" spans="2:104" x14ac:dyDescent="0.2">
      <c r="B62" s="119"/>
      <c r="C62" s="118"/>
      <c r="D62" s="118"/>
      <c r="E62" s="118"/>
      <c r="F62" s="32"/>
      <c r="H62" s="123"/>
      <c r="I62" s="118"/>
      <c r="J62" s="118"/>
      <c r="K62" s="118"/>
      <c r="L62" s="118"/>
      <c r="M62" s="118"/>
      <c r="N62" s="118"/>
      <c r="O62" s="118"/>
      <c r="P62" s="118"/>
      <c r="Q62" s="118"/>
      <c r="R62" s="118"/>
      <c r="S62" s="118"/>
      <c r="T62" s="118"/>
      <c r="U62" s="118"/>
      <c r="V62" s="118"/>
      <c r="W62" s="118"/>
      <c r="X62" s="118"/>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c r="BF62" s="118"/>
      <c r="BG62" s="118"/>
      <c r="BH62" s="118"/>
      <c r="BI62" s="118"/>
      <c r="BJ62" s="118"/>
      <c r="BK62" s="118"/>
      <c r="BL62" s="118"/>
      <c r="BM62" s="118"/>
      <c r="BN62" s="118"/>
      <c r="BO62" s="118"/>
      <c r="BP62" s="118"/>
      <c r="BQ62" s="118"/>
      <c r="BR62" s="118"/>
      <c r="BS62" s="118"/>
      <c r="BT62" s="118"/>
      <c r="BU62" s="118"/>
      <c r="BV62" s="118"/>
      <c r="BW62" s="118"/>
      <c r="BX62" s="118"/>
      <c r="BY62" s="118"/>
      <c r="BZ62" s="118"/>
      <c r="CA62" s="118"/>
      <c r="CB62" s="118"/>
      <c r="CC62" s="118"/>
      <c r="CD62" s="118"/>
      <c r="CE62" s="118"/>
      <c r="CF62" s="118"/>
      <c r="CG62" s="118"/>
      <c r="CH62" s="118"/>
      <c r="CI62" s="118"/>
      <c r="CJ62" s="118"/>
      <c r="CK62" s="118"/>
      <c r="CL62" s="118"/>
      <c r="CM62" s="118"/>
      <c r="CN62" s="118"/>
      <c r="CO62" s="118"/>
      <c r="CP62" s="118"/>
      <c r="CQ62" s="118"/>
      <c r="CR62" s="118"/>
      <c r="CS62" s="118"/>
      <c r="CT62" s="118"/>
      <c r="CU62" s="118"/>
      <c r="CV62" s="118"/>
      <c r="CW62" s="118"/>
      <c r="CX62" s="118"/>
      <c r="CY62" s="118"/>
      <c r="CZ62" s="118"/>
    </row>
    <row r="63" spans="2:104" x14ac:dyDescent="0.2">
      <c r="B63" s="126" t="s">
        <v>132</v>
      </c>
      <c r="C63" s="34"/>
      <c r="D63" s="34"/>
      <c r="E63" s="35"/>
      <c r="F63" s="35"/>
      <c r="G63" s="107"/>
      <c r="H63" s="122"/>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row>
    <row r="64" spans="2:104" x14ac:dyDescent="0.2">
      <c r="B64" s="119" t="str">
        <f>'9. Development Costs'!B46</f>
        <v>Total Development Management Fee</v>
      </c>
      <c r="C64" s="118">
        <f>-'9. Development Costs'!H46</f>
        <v>-1692804.5925000003</v>
      </c>
      <c r="D64" s="118">
        <f t="shared" ref="D64" ca="1" si="68">ROUND(C64-E64,0)</f>
        <v>0</v>
      </c>
      <c r="E64" s="118">
        <f t="shared" ref="E64" ca="1" si="69">SUM(I64:CZ64)</f>
        <v>-1692804.5925000005</v>
      </c>
      <c r="F64" s="98">
        <f ca="1">'8. Schedule'!D13</f>
        <v>46069</v>
      </c>
      <c r="G64" s="98">
        <f ca="1">'8. Schedule'!E17</f>
        <v>47042</v>
      </c>
      <c r="H64" s="125">
        <f ca="1">DATEDIF(F64,G64,"m")+1</f>
        <v>33</v>
      </c>
      <c r="I64" s="118">
        <f ca="1">IF(AND(I$7&lt;=$G64,I$7&gt;=$F64,$H64&lt;&gt;0,$H64&lt;&gt;""),$C64/$H64,0)</f>
        <v>-51297.108863636371</v>
      </c>
      <c r="J64" s="118">
        <f t="shared" ref="J64:BU64" ca="1" si="70">IF(AND(J$7&lt;=$G64,J$7&gt;=$F64,$H64&lt;&gt;0,$H64&lt;&gt;""),$C64/$H64,0)</f>
        <v>-51297.108863636371</v>
      </c>
      <c r="K64" s="118">
        <f t="shared" ca="1" si="70"/>
        <v>-51297.108863636371</v>
      </c>
      <c r="L64" s="118">
        <f t="shared" ca="1" si="70"/>
        <v>-51297.108863636371</v>
      </c>
      <c r="M64" s="118">
        <f t="shared" ca="1" si="70"/>
        <v>-51297.108863636371</v>
      </c>
      <c r="N64" s="118">
        <f t="shared" ca="1" si="70"/>
        <v>-51297.108863636371</v>
      </c>
      <c r="O64" s="118">
        <f t="shared" ca="1" si="70"/>
        <v>-51297.108863636371</v>
      </c>
      <c r="P64" s="118">
        <f t="shared" ca="1" si="70"/>
        <v>-51297.108863636371</v>
      </c>
      <c r="Q64" s="118">
        <f t="shared" ca="1" si="70"/>
        <v>-51297.108863636371</v>
      </c>
      <c r="R64" s="118">
        <f t="shared" ca="1" si="70"/>
        <v>-51297.108863636371</v>
      </c>
      <c r="S64" s="118">
        <f t="shared" ca="1" si="70"/>
        <v>-51297.108863636371</v>
      </c>
      <c r="T64" s="118">
        <f t="shared" ca="1" si="70"/>
        <v>-51297.108863636371</v>
      </c>
      <c r="U64" s="118">
        <f t="shared" ca="1" si="70"/>
        <v>-51297.108863636371</v>
      </c>
      <c r="V64" s="118">
        <f t="shared" ca="1" si="70"/>
        <v>-51297.108863636371</v>
      </c>
      <c r="W64" s="118">
        <f t="shared" ca="1" si="70"/>
        <v>-51297.108863636371</v>
      </c>
      <c r="X64" s="118">
        <f t="shared" ca="1" si="70"/>
        <v>-51297.108863636371</v>
      </c>
      <c r="Y64" s="118">
        <f t="shared" ca="1" si="70"/>
        <v>-51297.108863636371</v>
      </c>
      <c r="Z64" s="118">
        <f t="shared" ca="1" si="70"/>
        <v>-51297.108863636371</v>
      </c>
      <c r="AA64" s="118">
        <f t="shared" ca="1" si="70"/>
        <v>-51297.108863636371</v>
      </c>
      <c r="AB64" s="118">
        <f t="shared" ca="1" si="70"/>
        <v>-51297.108863636371</v>
      </c>
      <c r="AC64" s="118">
        <f t="shared" ca="1" si="70"/>
        <v>-51297.108863636371</v>
      </c>
      <c r="AD64" s="118">
        <f t="shared" ca="1" si="70"/>
        <v>-51297.108863636371</v>
      </c>
      <c r="AE64" s="118">
        <f t="shared" ca="1" si="70"/>
        <v>-51297.108863636371</v>
      </c>
      <c r="AF64" s="118">
        <f t="shared" ca="1" si="70"/>
        <v>-51297.108863636371</v>
      </c>
      <c r="AG64" s="118">
        <f t="shared" ca="1" si="70"/>
        <v>-51297.108863636371</v>
      </c>
      <c r="AH64" s="118">
        <f t="shared" ca="1" si="70"/>
        <v>-51297.108863636371</v>
      </c>
      <c r="AI64" s="118">
        <f t="shared" ca="1" si="70"/>
        <v>-51297.108863636371</v>
      </c>
      <c r="AJ64" s="118">
        <f t="shared" ca="1" si="70"/>
        <v>-51297.108863636371</v>
      </c>
      <c r="AK64" s="118">
        <f t="shared" ca="1" si="70"/>
        <v>-51297.108863636371</v>
      </c>
      <c r="AL64" s="118">
        <f t="shared" ca="1" si="70"/>
        <v>-51297.108863636371</v>
      </c>
      <c r="AM64" s="118">
        <f t="shared" ca="1" si="70"/>
        <v>-51297.108863636371</v>
      </c>
      <c r="AN64" s="118">
        <f t="shared" ca="1" si="70"/>
        <v>-51297.108863636371</v>
      </c>
      <c r="AO64" s="118">
        <f t="shared" ca="1" si="70"/>
        <v>-51297.108863636371</v>
      </c>
      <c r="AP64" s="118">
        <f t="shared" ca="1" si="70"/>
        <v>0</v>
      </c>
      <c r="AQ64" s="118">
        <f t="shared" ca="1" si="70"/>
        <v>0</v>
      </c>
      <c r="AR64" s="118">
        <f t="shared" ca="1" si="70"/>
        <v>0</v>
      </c>
      <c r="AS64" s="118">
        <f t="shared" ca="1" si="70"/>
        <v>0</v>
      </c>
      <c r="AT64" s="118">
        <f t="shared" ca="1" si="70"/>
        <v>0</v>
      </c>
      <c r="AU64" s="118">
        <f t="shared" ca="1" si="70"/>
        <v>0</v>
      </c>
      <c r="AV64" s="118">
        <f t="shared" ca="1" si="70"/>
        <v>0</v>
      </c>
      <c r="AW64" s="118">
        <f t="shared" ca="1" si="70"/>
        <v>0</v>
      </c>
      <c r="AX64" s="118">
        <f t="shared" ca="1" si="70"/>
        <v>0</v>
      </c>
      <c r="AY64" s="118">
        <f t="shared" ca="1" si="70"/>
        <v>0</v>
      </c>
      <c r="AZ64" s="118">
        <f t="shared" ca="1" si="70"/>
        <v>0</v>
      </c>
      <c r="BA64" s="118">
        <f t="shared" ca="1" si="70"/>
        <v>0</v>
      </c>
      <c r="BB64" s="118">
        <f t="shared" ca="1" si="70"/>
        <v>0</v>
      </c>
      <c r="BC64" s="118">
        <f t="shared" ca="1" si="70"/>
        <v>0</v>
      </c>
      <c r="BD64" s="118">
        <f t="shared" ca="1" si="70"/>
        <v>0</v>
      </c>
      <c r="BE64" s="118">
        <f t="shared" ca="1" si="70"/>
        <v>0</v>
      </c>
      <c r="BF64" s="118">
        <f t="shared" ca="1" si="70"/>
        <v>0</v>
      </c>
      <c r="BG64" s="118">
        <f t="shared" ca="1" si="70"/>
        <v>0</v>
      </c>
      <c r="BH64" s="118">
        <f t="shared" ca="1" si="70"/>
        <v>0</v>
      </c>
      <c r="BI64" s="118">
        <f t="shared" ca="1" si="70"/>
        <v>0</v>
      </c>
      <c r="BJ64" s="118">
        <f t="shared" ca="1" si="70"/>
        <v>0</v>
      </c>
      <c r="BK64" s="118">
        <f t="shared" ca="1" si="70"/>
        <v>0</v>
      </c>
      <c r="BL64" s="118">
        <f t="shared" ca="1" si="70"/>
        <v>0</v>
      </c>
      <c r="BM64" s="118">
        <f t="shared" ca="1" si="70"/>
        <v>0</v>
      </c>
      <c r="BN64" s="118">
        <f t="shared" ca="1" si="70"/>
        <v>0</v>
      </c>
      <c r="BO64" s="118">
        <f t="shared" ca="1" si="70"/>
        <v>0</v>
      </c>
      <c r="BP64" s="118">
        <f t="shared" ca="1" si="70"/>
        <v>0</v>
      </c>
      <c r="BQ64" s="118">
        <f t="shared" ca="1" si="70"/>
        <v>0</v>
      </c>
      <c r="BR64" s="118">
        <f t="shared" ca="1" si="70"/>
        <v>0</v>
      </c>
      <c r="BS64" s="118">
        <f t="shared" ca="1" si="70"/>
        <v>0</v>
      </c>
      <c r="BT64" s="118">
        <f t="shared" ca="1" si="70"/>
        <v>0</v>
      </c>
      <c r="BU64" s="118">
        <f t="shared" ca="1" si="70"/>
        <v>0</v>
      </c>
      <c r="BV64" s="118">
        <f t="shared" ref="BV64:CZ64" ca="1" si="71">IF(AND(BV$7&lt;=$G64,BV$7&gt;=$F64,$H64&lt;&gt;0,$H64&lt;&gt;""),$C64/$H64,0)</f>
        <v>0</v>
      </c>
      <c r="BW64" s="118">
        <f t="shared" ca="1" si="71"/>
        <v>0</v>
      </c>
      <c r="BX64" s="118">
        <f t="shared" ca="1" si="71"/>
        <v>0</v>
      </c>
      <c r="BY64" s="118">
        <f t="shared" ca="1" si="71"/>
        <v>0</v>
      </c>
      <c r="BZ64" s="118">
        <f t="shared" ca="1" si="71"/>
        <v>0</v>
      </c>
      <c r="CA64" s="118">
        <f t="shared" ca="1" si="71"/>
        <v>0</v>
      </c>
      <c r="CB64" s="118">
        <f t="shared" ca="1" si="71"/>
        <v>0</v>
      </c>
      <c r="CC64" s="118">
        <f t="shared" ca="1" si="71"/>
        <v>0</v>
      </c>
      <c r="CD64" s="118">
        <f t="shared" ca="1" si="71"/>
        <v>0</v>
      </c>
      <c r="CE64" s="118">
        <f t="shared" ca="1" si="71"/>
        <v>0</v>
      </c>
      <c r="CF64" s="118">
        <f t="shared" ca="1" si="71"/>
        <v>0</v>
      </c>
      <c r="CG64" s="118">
        <f t="shared" ca="1" si="71"/>
        <v>0</v>
      </c>
      <c r="CH64" s="118">
        <f t="shared" ca="1" si="71"/>
        <v>0</v>
      </c>
      <c r="CI64" s="118">
        <f t="shared" ca="1" si="71"/>
        <v>0</v>
      </c>
      <c r="CJ64" s="118">
        <f t="shared" ca="1" si="71"/>
        <v>0</v>
      </c>
      <c r="CK64" s="118">
        <f t="shared" ca="1" si="71"/>
        <v>0</v>
      </c>
      <c r="CL64" s="118">
        <f t="shared" ca="1" si="71"/>
        <v>0</v>
      </c>
      <c r="CM64" s="118">
        <f t="shared" ca="1" si="71"/>
        <v>0</v>
      </c>
      <c r="CN64" s="118">
        <f t="shared" ca="1" si="71"/>
        <v>0</v>
      </c>
      <c r="CO64" s="118">
        <f t="shared" ca="1" si="71"/>
        <v>0</v>
      </c>
      <c r="CP64" s="118">
        <f t="shared" ca="1" si="71"/>
        <v>0</v>
      </c>
      <c r="CQ64" s="118">
        <f t="shared" ca="1" si="71"/>
        <v>0</v>
      </c>
      <c r="CR64" s="118">
        <f t="shared" ca="1" si="71"/>
        <v>0</v>
      </c>
      <c r="CS64" s="118">
        <f t="shared" ca="1" si="71"/>
        <v>0</v>
      </c>
      <c r="CT64" s="118">
        <f t="shared" ca="1" si="71"/>
        <v>0</v>
      </c>
      <c r="CU64" s="118">
        <f t="shared" ca="1" si="71"/>
        <v>0</v>
      </c>
      <c r="CV64" s="118">
        <f t="shared" ca="1" si="71"/>
        <v>0</v>
      </c>
      <c r="CW64" s="118">
        <f t="shared" ca="1" si="71"/>
        <v>0</v>
      </c>
      <c r="CX64" s="118">
        <f t="shared" ca="1" si="71"/>
        <v>0</v>
      </c>
      <c r="CY64" s="118">
        <f t="shared" ca="1" si="71"/>
        <v>0</v>
      </c>
      <c r="CZ64" s="118">
        <f t="shared" ca="1" si="71"/>
        <v>0</v>
      </c>
    </row>
    <row r="65" spans="2:104" x14ac:dyDescent="0.2">
      <c r="B65" s="119"/>
      <c r="C65" s="118"/>
      <c r="D65" s="118"/>
      <c r="E65" s="118"/>
      <c r="F65" s="32"/>
      <c r="H65" s="123"/>
      <c r="I65" s="118"/>
      <c r="J65" s="118"/>
      <c r="K65" s="118"/>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c r="AY65" s="118"/>
      <c r="AZ65" s="118"/>
      <c r="BA65" s="118"/>
      <c r="BB65" s="118"/>
      <c r="BC65" s="118"/>
      <c r="BD65" s="118"/>
      <c r="BE65" s="118"/>
      <c r="BF65" s="118"/>
      <c r="BG65" s="118"/>
      <c r="BH65" s="118"/>
      <c r="BI65" s="118"/>
      <c r="BJ65" s="118"/>
      <c r="BK65" s="118"/>
      <c r="BL65" s="118"/>
      <c r="BM65" s="118"/>
      <c r="BN65" s="118"/>
      <c r="BO65" s="118"/>
      <c r="BP65" s="118"/>
      <c r="BQ65" s="118"/>
      <c r="BR65" s="118"/>
      <c r="BS65" s="118"/>
      <c r="BT65" s="118"/>
      <c r="BU65" s="118"/>
      <c r="BV65" s="118"/>
      <c r="BW65" s="118"/>
      <c r="BX65" s="118"/>
      <c r="BY65" s="118"/>
      <c r="BZ65" s="118"/>
      <c r="CA65" s="118"/>
      <c r="CB65" s="118"/>
      <c r="CC65" s="118"/>
      <c r="CD65" s="118"/>
      <c r="CE65" s="118"/>
      <c r="CF65" s="118"/>
      <c r="CG65" s="118"/>
      <c r="CH65" s="118"/>
      <c r="CI65" s="118"/>
      <c r="CJ65" s="118"/>
      <c r="CK65" s="118"/>
      <c r="CL65" s="118"/>
      <c r="CM65" s="118"/>
      <c r="CN65" s="118"/>
      <c r="CO65" s="118"/>
      <c r="CP65" s="118"/>
      <c r="CQ65" s="118"/>
      <c r="CR65" s="118"/>
      <c r="CS65" s="118"/>
      <c r="CT65" s="118"/>
      <c r="CU65" s="118"/>
      <c r="CV65" s="118"/>
      <c r="CW65" s="118"/>
      <c r="CX65" s="118"/>
      <c r="CY65" s="118"/>
      <c r="CZ65" s="118"/>
    </row>
    <row r="66" spans="2:104" x14ac:dyDescent="0.2">
      <c r="B66" s="126" t="s">
        <v>154</v>
      </c>
      <c r="C66" s="34"/>
      <c r="D66" s="34"/>
      <c r="E66" s="35"/>
      <c r="F66" s="35"/>
      <c r="G66" s="107"/>
      <c r="H66" s="122"/>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c r="CY66" s="34"/>
      <c r="CZ66" s="34"/>
    </row>
    <row r="67" spans="2:104" x14ac:dyDescent="0.2">
      <c r="B67" s="119" t="str">
        <f>'9. Development Costs'!B49</f>
        <v>Development Permit</v>
      </c>
      <c r="C67" s="118">
        <f>-'9. Development Costs'!H49</f>
        <v>0</v>
      </c>
      <c r="D67" s="118">
        <f t="shared" ref="D67:D76" ca="1" si="72">ROUND(C67-E67,0)</f>
        <v>0</v>
      </c>
      <c r="E67" s="118">
        <f t="shared" ref="E67:E77" ca="1" si="73">SUM(I67:CZ67)</f>
        <v>0</v>
      </c>
      <c r="F67" s="109">
        <f ca="1">'8. Schedule'!D15</f>
        <v>46097</v>
      </c>
      <c r="G67" s="109">
        <f ca="1">'8. Schedule'!E15</f>
        <v>46462</v>
      </c>
      <c r="H67" s="125">
        <f ca="1">DATEDIF(F67,G67,"m")+1</f>
        <v>13</v>
      </c>
      <c r="I67" s="118">
        <f ca="1">IF(AND(I$7&lt;=$G67,I$7&gt;=$F67,$H67&lt;&gt;0,$H67&lt;&gt;""),$C67/$H67,0)</f>
        <v>0</v>
      </c>
      <c r="J67" s="118">
        <f t="shared" ref="J67:BU71" ca="1" si="74">IF(AND(J$7&lt;=$G67,J$7&gt;=$F67,$H67&lt;&gt;0,$H67&lt;&gt;""),$C67/$H67,0)</f>
        <v>0</v>
      </c>
      <c r="K67" s="118">
        <f t="shared" ca="1" si="74"/>
        <v>0</v>
      </c>
      <c r="L67" s="118">
        <f t="shared" ca="1" si="74"/>
        <v>0</v>
      </c>
      <c r="M67" s="118">
        <f t="shared" ca="1" si="74"/>
        <v>0</v>
      </c>
      <c r="N67" s="118">
        <f t="shared" ca="1" si="74"/>
        <v>0</v>
      </c>
      <c r="O67" s="118">
        <f t="shared" ca="1" si="74"/>
        <v>0</v>
      </c>
      <c r="P67" s="118">
        <f t="shared" ca="1" si="74"/>
        <v>0</v>
      </c>
      <c r="Q67" s="118">
        <f t="shared" ca="1" si="74"/>
        <v>0</v>
      </c>
      <c r="R67" s="118">
        <f t="shared" ca="1" si="74"/>
        <v>0</v>
      </c>
      <c r="S67" s="118">
        <f t="shared" ca="1" si="74"/>
        <v>0</v>
      </c>
      <c r="T67" s="118">
        <f t="shared" ca="1" si="74"/>
        <v>0</v>
      </c>
      <c r="U67" s="118">
        <f t="shared" ca="1" si="74"/>
        <v>0</v>
      </c>
      <c r="V67" s="118">
        <f t="shared" ca="1" si="74"/>
        <v>0</v>
      </c>
      <c r="W67" s="118">
        <f t="shared" ca="1" si="74"/>
        <v>0</v>
      </c>
      <c r="X67" s="118">
        <f t="shared" ca="1" si="74"/>
        <v>0</v>
      </c>
      <c r="Y67" s="118">
        <f t="shared" ca="1" si="74"/>
        <v>0</v>
      </c>
      <c r="Z67" s="118">
        <f t="shared" ca="1" si="74"/>
        <v>0</v>
      </c>
      <c r="AA67" s="118">
        <f t="shared" ca="1" si="74"/>
        <v>0</v>
      </c>
      <c r="AB67" s="118">
        <f t="shared" ca="1" si="74"/>
        <v>0</v>
      </c>
      <c r="AC67" s="118">
        <f t="shared" ca="1" si="74"/>
        <v>0</v>
      </c>
      <c r="AD67" s="118">
        <f t="shared" ca="1" si="74"/>
        <v>0</v>
      </c>
      <c r="AE67" s="118">
        <f t="shared" ca="1" si="74"/>
        <v>0</v>
      </c>
      <c r="AF67" s="118">
        <f t="shared" ca="1" si="74"/>
        <v>0</v>
      </c>
      <c r="AG67" s="118">
        <f t="shared" ca="1" si="74"/>
        <v>0</v>
      </c>
      <c r="AH67" s="118">
        <f t="shared" ca="1" si="74"/>
        <v>0</v>
      </c>
      <c r="AI67" s="118">
        <f t="shared" ca="1" si="74"/>
        <v>0</v>
      </c>
      <c r="AJ67" s="118">
        <f t="shared" ca="1" si="74"/>
        <v>0</v>
      </c>
      <c r="AK67" s="118">
        <f t="shared" ca="1" si="74"/>
        <v>0</v>
      </c>
      <c r="AL67" s="118">
        <f t="shared" ca="1" si="74"/>
        <v>0</v>
      </c>
      <c r="AM67" s="118">
        <f t="shared" ca="1" si="74"/>
        <v>0</v>
      </c>
      <c r="AN67" s="118">
        <f t="shared" ca="1" si="74"/>
        <v>0</v>
      </c>
      <c r="AO67" s="118">
        <f t="shared" ca="1" si="74"/>
        <v>0</v>
      </c>
      <c r="AP67" s="118">
        <f t="shared" ca="1" si="74"/>
        <v>0</v>
      </c>
      <c r="AQ67" s="118">
        <f t="shared" ca="1" si="74"/>
        <v>0</v>
      </c>
      <c r="AR67" s="118">
        <f t="shared" ca="1" si="74"/>
        <v>0</v>
      </c>
      <c r="AS67" s="118">
        <f t="shared" ca="1" si="74"/>
        <v>0</v>
      </c>
      <c r="AT67" s="118">
        <f t="shared" ca="1" si="74"/>
        <v>0</v>
      </c>
      <c r="AU67" s="118">
        <f t="shared" ca="1" si="74"/>
        <v>0</v>
      </c>
      <c r="AV67" s="118">
        <f t="shared" ca="1" si="74"/>
        <v>0</v>
      </c>
      <c r="AW67" s="118">
        <f t="shared" ca="1" si="74"/>
        <v>0</v>
      </c>
      <c r="AX67" s="118">
        <f t="shared" ca="1" si="74"/>
        <v>0</v>
      </c>
      <c r="AY67" s="118">
        <f t="shared" ca="1" si="74"/>
        <v>0</v>
      </c>
      <c r="AZ67" s="118">
        <f t="shared" ca="1" si="74"/>
        <v>0</v>
      </c>
      <c r="BA67" s="118">
        <f t="shared" ca="1" si="74"/>
        <v>0</v>
      </c>
      <c r="BB67" s="118">
        <f t="shared" ca="1" si="74"/>
        <v>0</v>
      </c>
      <c r="BC67" s="118">
        <f t="shared" ca="1" si="74"/>
        <v>0</v>
      </c>
      <c r="BD67" s="118">
        <f t="shared" ca="1" si="74"/>
        <v>0</v>
      </c>
      <c r="BE67" s="118">
        <f t="shared" ca="1" si="74"/>
        <v>0</v>
      </c>
      <c r="BF67" s="118">
        <f t="shared" ca="1" si="74"/>
        <v>0</v>
      </c>
      <c r="BG67" s="118">
        <f t="shared" ca="1" si="74"/>
        <v>0</v>
      </c>
      <c r="BH67" s="118">
        <f t="shared" ca="1" si="74"/>
        <v>0</v>
      </c>
      <c r="BI67" s="118">
        <f t="shared" ca="1" si="74"/>
        <v>0</v>
      </c>
      <c r="BJ67" s="118">
        <f t="shared" ca="1" si="74"/>
        <v>0</v>
      </c>
      <c r="BK67" s="118">
        <f t="shared" ca="1" si="74"/>
        <v>0</v>
      </c>
      <c r="BL67" s="118">
        <f t="shared" ca="1" si="74"/>
        <v>0</v>
      </c>
      <c r="BM67" s="118">
        <f t="shared" ca="1" si="74"/>
        <v>0</v>
      </c>
      <c r="BN67" s="118">
        <f t="shared" ca="1" si="74"/>
        <v>0</v>
      </c>
      <c r="BO67" s="118">
        <f t="shared" ca="1" si="74"/>
        <v>0</v>
      </c>
      <c r="BP67" s="118">
        <f t="shared" ca="1" si="74"/>
        <v>0</v>
      </c>
      <c r="BQ67" s="118">
        <f t="shared" ca="1" si="74"/>
        <v>0</v>
      </c>
      <c r="BR67" s="118">
        <f t="shared" ca="1" si="74"/>
        <v>0</v>
      </c>
      <c r="BS67" s="118">
        <f t="shared" ca="1" si="74"/>
        <v>0</v>
      </c>
      <c r="BT67" s="118">
        <f t="shared" ca="1" si="74"/>
        <v>0</v>
      </c>
      <c r="BU67" s="118">
        <f t="shared" ca="1" si="74"/>
        <v>0</v>
      </c>
      <c r="BV67" s="118">
        <f t="shared" ref="BV67:CZ76" ca="1" si="75">IF(AND(BV$7&lt;=$G67,BV$7&gt;=$F67,$H67&lt;&gt;0,$H67&lt;&gt;""),$C67/$H67,0)</f>
        <v>0</v>
      </c>
      <c r="BW67" s="118">
        <f t="shared" ca="1" si="75"/>
        <v>0</v>
      </c>
      <c r="BX67" s="118">
        <f t="shared" ca="1" si="75"/>
        <v>0</v>
      </c>
      <c r="BY67" s="118">
        <f t="shared" ca="1" si="75"/>
        <v>0</v>
      </c>
      <c r="BZ67" s="118">
        <f t="shared" ca="1" si="75"/>
        <v>0</v>
      </c>
      <c r="CA67" s="118">
        <f t="shared" ca="1" si="75"/>
        <v>0</v>
      </c>
      <c r="CB67" s="118">
        <f t="shared" ca="1" si="75"/>
        <v>0</v>
      </c>
      <c r="CC67" s="118">
        <f t="shared" ca="1" si="75"/>
        <v>0</v>
      </c>
      <c r="CD67" s="118">
        <f t="shared" ca="1" si="75"/>
        <v>0</v>
      </c>
      <c r="CE67" s="118">
        <f t="shared" ca="1" si="75"/>
        <v>0</v>
      </c>
      <c r="CF67" s="118">
        <f t="shared" ca="1" si="75"/>
        <v>0</v>
      </c>
      <c r="CG67" s="118">
        <f t="shared" ca="1" si="75"/>
        <v>0</v>
      </c>
      <c r="CH67" s="118">
        <f t="shared" ca="1" si="75"/>
        <v>0</v>
      </c>
      <c r="CI67" s="118">
        <f t="shared" ca="1" si="75"/>
        <v>0</v>
      </c>
      <c r="CJ67" s="118">
        <f t="shared" ca="1" si="75"/>
        <v>0</v>
      </c>
      <c r="CK67" s="118">
        <f t="shared" ca="1" si="75"/>
        <v>0</v>
      </c>
      <c r="CL67" s="118">
        <f t="shared" ca="1" si="75"/>
        <v>0</v>
      </c>
      <c r="CM67" s="118">
        <f t="shared" ca="1" si="75"/>
        <v>0</v>
      </c>
      <c r="CN67" s="118">
        <f t="shared" ca="1" si="75"/>
        <v>0</v>
      </c>
      <c r="CO67" s="118">
        <f t="shared" ca="1" si="75"/>
        <v>0</v>
      </c>
      <c r="CP67" s="118">
        <f t="shared" ca="1" si="75"/>
        <v>0</v>
      </c>
      <c r="CQ67" s="118">
        <f t="shared" ca="1" si="75"/>
        <v>0</v>
      </c>
      <c r="CR67" s="118">
        <f t="shared" ca="1" si="75"/>
        <v>0</v>
      </c>
      <c r="CS67" s="118">
        <f t="shared" ca="1" si="75"/>
        <v>0</v>
      </c>
      <c r="CT67" s="118">
        <f t="shared" ca="1" si="75"/>
        <v>0</v>
      </c>
      <c r="CU67" s="118">
        <f t="shared" ca="1" si="75"/>
        <v>0</v>
      </c>
      <c r="CV67" s="118">
        <f t="shared" ca="1" si="75"/>
        <v>0</v>
      </c>
      <c r="CW67" s="118">
        <f t="shared" ca="1" si="75"/>
        <v>0</v>
      </c>
      <c r="CX67" s="118">
        <f t="shared" ca="1" si="75"/>
        <v>0</v>
      </c>
      <c r="CY67" s="118">
        <f t="shared" ca="1" si="75"/>
        <v>0</v>
      </c>
      <c r="CZ67" s="118">
        <f t="shared" ca="1" si="75"/>
        <v>0</v>
      </c>
    </row>
    <row r="68" spans="2:104" x14ac:dyDescent="0.2">
      <c r="B68" s="119" t="str">
        <f>'9. Development Costs'!B50</f>
        <v>Rezoning</v>
      </c>
      <c r="C68" s="118">
        <f>-'9. Development Costs'!H50</f>
        <v>0</v>
      </c>
      <c r="D68" s="118">
        <f t="shared" ca="1" si="72"/>
        <v>0</v>
      </c>
      <c r="E68" s="118">
        <f t="shared" ca="1" si="73"/>
        <v>0</v>
      </c>
      <c r="F68" s="272">
        <f ca="1">F67</f>
        <v>46097</v>
      </c>
      <c r="G68" s="272">
        <f ca="1">G67</f>
        <v>46462</v>
      </c>
      <c r="H68" s="125">
        <f t="shared" ref="H68:H76" ca="1" si="76">DATEDIF(F68,G68,"m")+1</f>
        <v>13</v>
      </c>
      <c r="I68" s="118">
        <f t="shared" ref="I68:X76" ca="1" si="77">IF(AND(I$7&lt;=$G68,I$7&gt;=$F68,$H68&lt;&gt;0,$H68&lt;&gt;""),$C68/$H68,0)</f>
        <v>0</v>
      </c>
      <c r="J68" s="118">
        <f t="shared" ca="1" si="77"/>
        <v>0</v>
      </c>
      <c r="K68" s="118">
        <f t="shared" ca="1" si="77"/>
        <v>0</v>
      </c>
      <c r="L68" s="118">
        <f t="shared" ca="1" si="77"/>
        <v>0</v>
      </c>
      <c r="M68" s="118">
        <f t="shared" ca="1" si="77"/>
        <v>0</v>
      </c>
      <c r="N68" s="118">
        <f t="shared" ca="1" si="77"/>
        <v>0</v>
      </c>
      <c r="O68" s="118">
        <f t="shared" ca="1" si="77"/>
        <v>0</v>
      </c>
      <c r="P68" s="118">
        <f t="shared" ca="1" si="77"/>
        <v>0</v>
      </c>
      <c r="Q68" s="118">
        <f t="shared" ca="1" si="77"/>
        <v>0</v>
      </c>
      <c r="R68" s="118">
        <f t="shared" ca="1" si="77"/>
        <v>0</v>
      </c>
      <c r="S68" s="118">
        <f t="shared" ca="1" si="77"/>
        <v>0</v>
      </c>
      <c r="T68" s="118">
        <f t="shared" ca="1" si="77"/>
        <v>0</v>
      </c>
      <c r="U68" s="118">
        <f t="shared" ca="1" si="77"/>
        <v>0</v>
      </c>
      <c r="V68" s="118">
        <f t="shared" ca="1" si="77"/>
        <v>0</v>
      </c>
      <c r="W68" s="118">
        <f t="shared" ca="1" si="77"/>
        <v>0</v>
      </c>
      <c r="X68" s="118">
        <f t="shared" ca="1" si="77"/>
        <v>0</v>
      </c>
      <c r="Y68" s="118">
        <f t="shared" ca="1" si="74"/>
        <v>0</v>
      </c>
      <c r="Z68" s="118">
        <f t="shared" ca="1" si="74"/>
        <v>0</v>
      </c>
      <c r="AA68" s="118">
        <f t="shared" ca="1" si="74"/>
        <v>0</v>
      </c>
      <c r="AB68" s="118">
        <f t="shared" ca="1" si="74"/>
        <v>0</v>
      </c>
      <c r="AC68" s="118">
        <f t="shared" ca="1" si="74"/>
        <v>0</v>
      </c>
      <c r="AD68" s="118">
        <f t="shared" ca="1" si="74"/>
        <v>0</v>
      </c>
      <c r="AE68" s="118">
        <f t="shared" ca="1" si="74"/>
        <v>0</v>
      </c>
      <c r="AF68" s="118">
        <f t="shared" ca="1" si="74"/>
        <v>0</v>
      </c>
      <c r="AG68" s="118">
        <f t="shared" ca="1" si="74"/>
        <v>0</v>
      </c>
      <c r="AH68" s="118">
        <f t="shared" ca="1" si="74"/>
        <v>0</v>
      </c>
      <c r="AI68" s="118">
        <f t="shared" ca="1" si="74"/>
        <v>0</v>
      </c>
      <c r="AJ68" s="118">
        <f t="shared" ca="1" si="74"/>
        <v>0</v>
      </c>
      <c r="AK68" s="118">
        <f t="shared" ca="1" si="74"/>
        <v>0</v>
      </c>
      <c r="AL68" s="118">
        <f t="shared" ca="1" si="74"/>
        <v>0</v>
      </c>
      <c r="AM68" s="118">
        <f t="shared" ca="1" si="74"/>
        <v>0</v>
      </c>
      <c r="AN68" s="118">
        <f t="shared" ca="1" si="74"/>
        <v>0</v>
      </c>
      <c r="AO68" s="118">
        <f t="shared" ca="1" si="74"/>
        <v>0</v>
      </c>
      <c r="AP68" s="118">
        <f t="shared" ca="1" si="74"/>
        <v>0</v>
      </c>
      <c r="AQ68" s="118">
        <f t="shared" ca="1" si="74"/>
        <v>0</v>
      </c>
      <c r="AR68" s="118">
        <f t="shared" ca="1" si="74"/>
        <v>0</v>
      </c>
      <c r="AS68" s="118">
        <f t="shared" ca="1" si="74"/>
        <v>0</v>
      </c>
      <c r="AT68" s="118">
        <f t="shared" ca="1" si="74"/>
        <v>0</v>
      </c>
      <c r="AU68" s="118">
        <f t="shared" ca="1" si="74"/>
        <v>0</v>
      </c>
      <c r="AV68" s="118">
        <f t="shared" ca="1" si="74"/>
        <v>0</v>
      </c>
      <c r="AW68" s="118">
        <f t="shared" ca="1" si="74"/>
        <v>0</v>
      </c>
      <c r="AX68" s="118">
        <f t="shared" ca="1" si="74"/>
        <v>0</v>
      </c>
      <c r="AY68" s="118">
        <f t="shared" ca="1" si="74"/>
        <v>0</v>
      </c>
      <c r="AZ68" s="118">
        <f t="shared" ca="1" si="74"/>
        <v>0</v>
      </c>
      <c r="BA68" s="118">
        <f t="shared" ca="1" si="74"/>
        <v>0</v>
      </c>
      <c r="BB68" s="118">
        <f t="shared" ca="1" si="74"/>
        <v>0</v>
      </c>
      <c r="BC68" s="118">
        <f t="shared" ca="1" si="74"/>
        <v>0</v>
      </c>
      <c r="BD68" s="118">
        <f t="shared" ca="1" si="74"/>
        <v>0</v>
      </c>
      <c r="BE68" s="118">
        <f t="shared" ca="1" si="74"/>
        <v>0</v>
      </c>
      <c r="BF68" s="118">
        <f t="shared" ca="1" si="74"/>
        <v>0</v>
      </c>
      <c r="BG68" s="118">
        <f t="shared" ca="1" si="74"/>
        <v>0</v>
      </c>
      <c r="BH68" s="118">
        <f t="shared" ca="1" si="74"/>
        <v>0</v>
      </c>
      <c r="BI68" s="118">
        <f t="shared" ca="1" si="74"/>
        <v>0</v>
      </c>
      <c r="BJ68" s="118">
        <f t="shared" ca="1" si="74"/>
        <v>0</v>
      </c>
      <c r="BK68" s="118">
        <f t="shared" ca="1" si="74"/>
        <v>0</v>
      </c>
      <c r="BL68" s="118">
        <f t="shared" ca="1" si="74"/>
        <v>0</v>
      </c>
      <c r="BM68" s="118">
        <f t="shared" ca="1" si="74"/>
        <v>0</v>
      </c>
      <c r="BN68" s="118">
        <f t="shared" ca="1" si="74"/>
        <v>0</v>
      </c>
      <c r="BO68" s="118">
        <f t="shared" ca="1" si="74"/>
        <v>0</v>
      </c>
      <c r="BP68" s="118">
        <f t="shared" ca="1" si="74"/>
        <v>0</v>
      </c>
      <c r="BQ68" s="118">
        <f t="shared" ca="1" si="74"/>
        <v>0</v>
      </c>
      <c r="BR68" s="118">
        <f t="shared" ca="1" si="74"/>
        <v>0</v>
      </c>
      <c r="BS68" s="118">
        <f t="shared" ca="1" si="74"/>
        <v>0</v>
      </c>
      <c r="BT68" s="118">
        <f t="shared" ca="1" si="74"/>
        <v>0</v>
      </c>
      <c r="BU68" s="118">
        <f t="shared" ca="1" si="74"/>
        <v>0</v>
      </c>
      <c r="BV68" s="118">
        <f t="shared" ca="1" si="75"/>
        <v>0</v>
      </c>
      <c r="BW68" s="118">
        <f t="shared" ca="1" si="75"/>
        <v>0</v>
      </c>
      <c r="BX68" s="118">
        <f t="shared" ca="1" si="75"/>
        <v>0</v>
      </c>
      <c r="BY68" s="118">
        <f t="shared" ca="1" si="75"/>
        <v>0</v>
      </c>
      <c r="BZ68" s="118">
        <f t="shared" ca="1" si="75"/>
        <v>0</v>
      </c>
      <c r="CA68" s="118">
        <f t="shared" ca="1" si="75"/>
        <v>0</v>
      </c>
      <c r="CB68" s="118">
        <f t="shared" ca="1" si="75"/>
        <v>0</v>
      </c>
      <c r="CC68" s="118">
        <f t="shared" ca="1" si="75"/>
        <v>0</v>
      </c>
      <c r="CD68" s="118">
        <f t="shared" ca="1" si="75"/>
        <v>0</v>
      </c>
      <c r="CE68" s="118">
        <f t="shared" ca="1" si="75"/>
        <v>0</v>
      </c>
      <c r="CF68" s="118">
        <f t="shared" ca="1" si="75"/>
        <v>0</v>
      </c>
      <c r="CG68" s="118">
        <f t="shared" ca="1" si="75"/>
        <v>0</v>
      </c>
      <c r="CH68" s="118">
        <f t="shared" ca="1" si="75"/>
        <v>0</v>
      </c>
      <c r="CI68" s="118">
        <f t="shared" ca="1" si="75"/>
        <v>0</v>
      </c>
      <c r="CJ68" s="118">
        <f t="shared" ca="1" si="75"/>
        <v>0</v>
      </c>
      <c r="CK68" s="118">
        <f t="shared" ca="1" si="75"/>
        <v>0</v>
      </c>
      <c r="CL68" s="118">
        <f t="shared" ca="1" si="75"/>
        <v>0</v>
      </c>
      <c r="CM68" s="118">
        <f t="shared" ca="1" si="75"/>
        <v>0</v>
      </c>
      <c r="CN68" s="118">
        <f t="shared" ca="1" si="75"/>
        <v>0</v>
      </c>
      <c r="CO68" s="118">
        <f t="shared" ca="1" si="75"/>
        <v>0</v>
      </c>
      <c r="CP68" s="118">
        <f t="shared" ca="1" si="75"/>
        <v>0</v>
      </c>
      <c r="CQ68" s="118">
        <f t="shared" ca="1" si="75"/>
        <v>0</v>
      </c>
      <c r="CR68" s="118">
        <f t="shared" ca="1" si="75"/>
        <v>0</v>
      </c>
      <c r="CS68" s="118">
        <f t="shared" ca="1" si="75"/>
        <v>0</v>
      </c>
      <c r="CT68" s="118">
        <f t="shared" ca="1" si="75"/>
        <v>0</v>
      </c>
      <c r="CU68" s="118">
        <f t="shared" ca="1" si="75"/>
        <v>0</v>
      </c>
      <c r="CV68" s="118">
        <f t="shared" ca="1" si="75"/>
        <v>0</v>
      </c>
      <c r="CW68" s="118">
        <f t="shared" ca="1" si="75"/>
        <v>0</v>
      </c>
      <c r="CX68" s="118">
        <f t="shared" ca="1" si="75"/>
        <v>0</v>
      </c>
      <c r="CY68" s="118">
        <f t="shared" ca="1" si="75"/>
        <v>0</v>
      </c>
      <c r="CZ68" s="118">
        <f t="shared" ca="1" si="75"/>
        <v>0</v>
      </c>
    </row>
    <row r="69" spans="2:104" x14ac:dyDescent="0.2">
      <c r="B69" s="119" t="str">
        <f>'9. Development Costs'!B51</f>
        <v>Building permit</v>
      </c>
      <c r="C69" s="118">
        <f>-'9. Development Costs'!H51</f>
        <v>0</v>
      </c>
      <c r="D69" s="118">
        <f t="shared" ca="1" si="72"/>
        <v>0</v>
      </c>
      <c r="E69" s="118">
        <f t="shared" ca="1" si="73"/>
        <v>0</v>
      </c>
      <c r="F69" s="272">
        <f ca="1">F68</f>
        <v>46097</v>
      </c>
      <c r="G69" s="272">
        <f ca="1">G68</f>
        <v>46462</v>
      </c>
      <c r="H69" s="125">
        <f t="shared" ca="1" si="76"/>
        <v>13</v>
      </c>
      <c r="I69" s="118">
        <f t="shared" ca="1" si="77"/>
        <v>0</v>
      </c>
      <c r="J69" s="118">
        <f t="shared" ca="1" si="77"/>
        <v>0</v>
      </c>
      <c r="K69" s="118">
        <f t="shared" ca="1" si="77"/>
        <v>0</v>
      </c>
      <c r="L69" s="118">
        <f t="shared" ca="1" si="77"/>
        <v>0</v>
      </c>
      <c r="M69" s="118">
        <f t="shared" ca="1" si="77"/>
        <v>0</v>
      </c>
      <c r="N69" s="118">
        <f t="shared" ca="1" si="77"/>
        <v>0</v>
      </c>
      <c r="O69" s="118">
        <f t="shared" ca="1" si="77"/>
        <v>0</v>
      </c>
      <c r="P69" s="118">
        <f t="shared" ca="1" si="77"/>
        <v>0</v>
      </c>
      <c r="Q69" s="118">
        <f t="shared" ca="1" si="77"/>
        <v>0</v>
      </c>
      <c r="R69" s="118">
        <f t="shared" ca="1" si="77"/>
        <v>0</v>
      </c>
      <c r="S69" s="118">
        <f t="shared" ca="1" si="77"/>
        <v>0</v>
      </c>
      <c r="T69" s="118">
        <f t="shared" ca="1" si="77"/>
        <v>0</v>
      </c>
      <c r="U69" s="118">
        <f t="shared" ca="1" si="77"/>
        <v>0</v>
      </c>
      <c r="V69" s="118">
        <f t="shared" ca="1" si="77"/>
        <v>0</v>
      </c>
      <c r="W69" s="118">
        <f t="shared" ca="1" si="77"/>
        <v>0</v>
      </c>
      <c r="X69" s="118">
        <f t="shared" ca="1" si="77"/>
        <v>0</v>
      </c>
      <c r="Y69" s="118">
        <f t="shared" ca="1" si="74"/>
        <v>0</v>
      </c>
      <c r="Z69" s="118">
        <f t="shared" ca="1" si="74"/>
        <v>0</v>
      </c>
      <c r="AA69" s="118">
        <f t="shared" ca="1" si="74"/>
        <v>0</v>
      </c>
      <c r="AB69" s="118">
        <f t="shared" ca="1" si="74"/>
        <v>0</v>
      </c>
      <c r="AC69" s="118">
        <f t="shared" ca="1" si="74"/>
        <v>0</v>
      </c>
      <c r="AD69" s="118">
        <f t="shared" ca="1" si="74"/>
        <v>0</v>
      </c>
      <c r="AE69" s="118">
        <f t="shared" ca="1" si="74"/>
        <v>0</v>
      </c>
      <c r="AF69" s="118">
        <f t="shared" ca="1" si="74"/>
        <v>0</v>
      </c>
      <c r="AG69" s="118">
        <f t="shared" ca="1" si="74"/>
        <v>0</v>
      </c>
      <c r="AH69" s="118">
        <f t="shared" ca="1" si="74"/>
        <v>0</v>
      </c>
      <c r="AI69" s="118">
        <f t="shared" ca="1" si="74"/>
        <v>0</v>
      </c>
      <c r="AJ69" s="118">
        <f t="shared" ca="1" si="74"/>
        <v>0</v>
      </c>
      <c r="AK69" s="118">
        <f t="shared" ca="1" si="74"/>
        <v>0</v>
      </c>
      <c r="AL69" s="118">
        <f t="shared" ca="1" si="74"/>
        <v>0</v>
      </c>
      <c r="AM69" s="118">
        <f t="shared" ca="1" si="74"/>
        <v>0</v>
      </c>
      <c r="AN69" s="118">
        <f t="shared" ca="1" si="74"/>
        <v>0</v>
      </c>
      <c r="AO69" s="118">
        <f t="shared" ca="1" si="74"/>
        <v>0</v>
      </c>
      <c r="AP69" s="118">
        <f t="shared" ca="1" si="74"/>
        <v>0</v>
      </c>
      <c r="AQ69" s="118">
        <f t="shared" ca="1" si="74"/>
        <v>0</v>
      </c>
      <c r="AR69" s="118">
        <f t="shared" ca="1" si="74"/>
        <v>0</v>
      </c>
      <c r="AS69" s="118">
        <f t="shared" ca="1" si="74"/>
        <v>0</v>
      </c>
      <c r="AT69" s="118">
        <f t="shared" ca="1" si="74"/>
        <v>0</v>
      </c>
      <c r="AU69" s="118">
        <f t="shared" ca="1" si="74"/>
        <v>0</v>
      </c>
      <c r="AV69" s="118">
        <f t="shared" ca="1" si="74"/>
        <v>0</v>
      </c>
      <c r="AW69" s="118">
        <f t="shared" ca="1" si="74"/>
        <v>0</v>
      </c>
      <c r="AX69" s="118">
        <f t="shared" ca="1" si="74"/>
        <v>0</v>
      </c>
      <c r="AY69" s="118">
        <f t="shared" ca="1" si="74"/>
        <v>0</v>
      </c>
      <c r="AZ69" s="118">
        <f t="shared" ca="1" si="74"/>
        <v>0</v>
      </c>
      <c r="BA69" s="118">
        <f t="shared" ca="1" si="74"/>
        <v>0</v>
      </c>
      <c r="BB69" s="118">
        <f t="shared" ca="1" si="74"/>
        <v>0</v>
      </c>
      <c r="BC69" s="118">
        <f t="shared" ca="1" si="74"/>
        <v>0</v>
      </c>
      <c r="BD69" s="118">
        <f t="shared" ca="1" si="74"/>
        <v>0</v>
      </c>
      <c r="BE69" s="118">
        <f t="shared" ca="1" si="74"/>
        <v>0</v>
      </c>
      <c r="BF69" s="118">
        <f t="shared" ca="1" si="74"/>
        <v>0</v>
      </c>
      <c r="BG69" s="118">
        <f t="shared" ca="1" si="74"/>
        <v>0</v>
      </c>
      <c r="BH69" s="118">
        <f t="shared" ca="1" si="74"/>
        <v>0</v>
      </c>
      <c r="BI69" s="118">
        <f t="shared" ca="1" si="74"/>
        <v>0</v>
      </c>
      <c r="BJ69" s="118">
        <f t="shared" ca="1" si="74"/>
        <v>0</v>
      </c>
      <c r="BK69" s="118">
        <f t="shared" ca="1" si="74"/>
        <v>0</v>
      </c>
      <c r="BL69" s="118">
        <f t="shared" ca="1" si="74"/>
        <v>0</v>
      </c>
      <c r="BM69" s="118">
        <f t="shared" ca="1" si="74"/>
        <v>0</v>
      </c>
      <c r="BN69" s="118">
        <f t="shared" ca="1" si="74"/>
        <v>0</v>
      </c>
      <c r="BO69" s="118">
        <f t="shared" ca="1" si="74"/>
        <v>0</v>
      </c>
      <c r="BP69" s="118">
        <f t="shared" ca="1" si="74"/>
        <v>0</v>
      </c>
      <c r="BQ69" s="118">
        <f t="shared" ca="1" si="74"/>
        <v>0</v>
      </c>
      <c r="BR69" s="118">
        <f t="shared" ca="1" si="74"/>
        <v>0</v>
      </c>
      <c r="BS69" s="118">
        <f t="shared" ca="1" si="74"/>
        <v>0</v>
      </c>
      <c r="BT69" s="118">
        <f t="shared" ca="1" si="74"/>
        <v>0</v>
      </c>
      <c r="BU69" s="118">
        <f t="shared" ca="1" si="74"/>
        <v>0</v>
      </c>
      <c r="BV69" s="118">
        <f t="shared" ca="1" si="75"/>
        <v>0</v>
      </c>
      <c r="BW69" s="118">
        <f t="shared" ca="1" si="75"/>
        <v>0</v>
      </c>
      <c r="BX69" s="118">
        <f t="shared" ca="1" si="75"/>
        <v>0</v>
      </c>
      <c r="BY69" s="118">
        <f t="shared" ca="1" si="75"/>
        <v>0</v>
      </c>
      <c r="BZ69" s="118">
        <f t="shared" ca="1" si="75"/>
        <v>0</v>
      </c>
      <c r="CA69" s="118">
        <f t="shared" ca="1" si="75"/>
        <v>0</v>
      </c>
      <c r="CB69" s="118">
        <f t="shared" ca="1" si="75"/>
        <v>0</v>
      </c>
      <c r="CC69" s="118">
        <f t="shared" ca="1" si="75"/>
        <v>0</v>
      </c>
      <c r="CD69" s="118">
        <f t="shared" ca="1" si="75"/>
        <v>0</v>
      </c>
      <c r="CE69" s="118">
        <f t="shared" ca="1" si="75"/>
        <v>0</v>
      </c>
      <c r="CF69" s="118">
        <f t="shared" ca="1" si="75"/>
        <v>0</v>
      </c>
      <c r="CG69" s="118">
        <f t="shared" ca="1" si="75"/>
        <v>0</v>
      </c>
      <c r="CH69" s="118">
        <f t="shared" ca="1" si="75"/>
        <v>0</v>
      </c>
      <c r="CI69" s="118">
        <f t="shared" ca="1" si="75"/>
        <v>0</v>
      </c>
      <c r="CJ69" s="118">
        <f t="shared" ca="1" si="75"/>
        <v>0</v>
      </c>
      <c r="CK69" s="118">
        <f t="shared" ca="1" si="75"/>
        <v>0</v>
      </c>
      <c r="CL69" s="118">
        <f t="shared" ca="1" si="75"/>
        <v>0</v>
      </c>
      <c r="CM69" s="118">
        <f t="shared" ca="1" si="75"/>
        <v>0</v>
      </c>
      <c r="CN69" s="118">
        <f t="shared" ca="1" si="75"/>
        <v>0</v>
      </c>
      <c r="CO69" s="118">
        <f t="shared" ca="1" si="75"/>
        <v>0</v>
      </c>
      <c r="CP69" s="118">
        <f t="shared" ca="1" si="75"/>
        <v>0</v>
      </c>
      <c r="CQ69" s="118">
        <f t="shared" ca="1" si="75"/>
        <v>0</v>
      </c>
      <c r="CR69" s="118">
        <f t="shared" ca="1" si="75"/>
        <v>0</v>
      </c>
      <c r="CS69" s="118">
        <f t="shared" ca="1" si="75"/>
        <v>0</v>
      </c>
      <c r="CT69" s="118">
        <f t="shared" ca="1" si="75"/>
        <v>0</v>
      </c>
      <c r="CU69" s="118">
        <f t="shared" ca="1" si="75"/>
        <v>0</v>
      </c>
      <c r="CV69" s="118">
        <f t="shared" ca="1" si="75"/>
        <v>0</v>
      </c>
      <c r="CW69" s="118">
        <f t="shared" ca="1" si="75"/>
        <v>0</v>
      </c>
      <c r="CX69" s="118">
        <f t="shared" ca="1" si="75"/>
        <v>0</v>
      </c>
      <c r="CY69" s="118">
        <f t="shared" ca="1" si="75"/>
        <v>0</v>
      </c>
      <c r="CZ69" s="118">
        <f t="shared" ca="1" si="75"/>
        <v>0</v>
      </c>
    </row>
    <row r="70" spans="2:104" x14ac:dyDescent="0.2">
      <c r="B70" s="119" t="str">
        <f>'9. Development Costs'!B52</f>
        <v>City Development charges</v>
      </c>
      <c r="C70" s="118">
        <f>-'9. Development Costs'!H52</f>
        <v>0</v>
      </c>
      <c r="D70" s="118">
        <f t="shared" ca="1" si="72"/>
        <v>0</v>
      </c>
      <c r="E70" s="118">
        <f t="shared" ca="1" si="73"/>
        <v>0</v>
      </c>
      <c r="F70" s="272">
        <f ca="1">'8. Schedule'!E17</f>
        <v>47042</v>
      </c>
      <c r="G70" s="109">
        <f ca="1">F70</f>
        <v>47042</v>
      </c>
      <c r="H70" s="125">
        <f t="shared" ca="1" si="76"/>
        <v>1</v>
      </c>
      <c r="I70" s="118">
        <f t="shared" ca="1" si="77"/>
        <v>0</v>
      </c>
      <c r="J70" s="118">
        <f t="shared" ca="1" si="74"/>
        <v>0</v>
      </c>
      <c r="K70" s="118">
        <f t="shared" ca="1" si="74"/>
        <v>0</v>
      </c>
      <c r="L70" s="118">
        <f t="shared" ca="1" si="74"/>
        <v>0</v>
      </c>
      <c r="M70" s="118">
        <f t="shared" ca="1" si="74"/>
        <v>0</v>
      </c>
      <c r="N70" s="118">
        <f t="shared" ca="1" si="74"/>
        <v>0</v>
      </c>
      <c r="O70" s="118">
        <f t="shared" ca="1" si="74"/>
        <v>0</v>
      </c>
      <c r="P70" s="118">
        <f t="shared" ca="1" si="74"/>
        <v>0</v>
      </c>
      <c r="Q70" s="118">
        <f t="shared" ca="1" si="74"/>
        <v>0</v>
      </c>
      <c r="R70" s="118">
        <f t="shared" ca="1" si="74"/>
        <v>0</v>
      </c>
      <c r="S70" s="118">
        <f t="shared" ca="1" si="74"/>
        <v>0</v>
      </c>
      <c r="T70" s="118">
        <f t="shared" ca="1" si="74"/>
        <v>0</v>
      </c>
      <c r="U70" s="118">
        <f t="shared" ca="1" si="74"/>
        <v>0</v>
      </c>
      <c r="V70" s="118">
        <f t="shared" ca="1" si="74"/>
        <v>0</v>
      </c>
      <c r="W70" s="118">
        <f t="shared" ca="1" si="74"/>
        <v>0</v>
      </c>
      <c r="X70" s="118">
        <f t="shared" ca="1" si="74"/>
        <v>0</v>
      </c>
      <c r="Y70" s="118">
        <f t="shared" ca="1" si="74"/>
        <v>0</v>
      </c>
      <c r="Z70" s="118">
        <f t="shared" ca="1" si="74"/>
        <v>0</v>
      </c>
      <c r="AA70" s="118">
        <f t="shared" ca="1" si="74"/>
        <v>0</v>
      </c>
      <c r="AB70" s="118">
        <f t="shared" ca="1" si="74"/>
        <v>0</v>
      </c>
      <c r="AC70" s="118">
        <f t="shared" ca="1" si="74"/>
        <v>0</v>
      </c>
      <c r="AD70" s="118">
        <f t="shared" ca="1" si="74"/>
        <v>0</v>
      </c>
      <c r="AE70" s="118">
        <f t="shared" ca="1" si="74"/>
        <v>0</v>
      </c>
      <c r="AF70" s="118">
        <f t="shared" ca="1" si="74"/>
        <v>0</v>
      </c>
      <c r="AG70" s="118">
        <f t="shared" ca="1" si="74"/>
        <v>0</v>
      </c>
      <c r="AH70" s="118">
        <f t="shared" ca="1" si="74"/>
        <v>0</v>
      </c>
      <c r="AI70" s="118">
        <f t="shared" ca="1" si="74"/>
        <v>0</v>
      </c>
      <c r="AJ70" s="118">
        <f t="shared" ca="1" si="74"/>
        <v>0</v>
      </c>
      <c r="AK70" s="118">
        <f t="shared" ca="1" si="74"/>
        <v>0</v>
      </c>
      <c r="AL70" s="118">
        <f t="shared" ca="1" si="74"/>
        <v>0</v>
      </c>
      <c r="AM70" s="118">
        <f t="shared" ca="1" si="74"/>
        <v>0</v>
      </c>
      <c r="AN70" s="118">
        <f t="shared" ca="1" si="74"/>
        <v>0</v>
      </c>
      <c r="AO70" s="118">
        <f t="shared" ca="1" si="74"/>
        <v>0</v>
      </c>
      <c r="AP70" s="118">
        <f t="shared" ca="1" si="74"/>
        <v>0</v>
      </c>
      <c r="AQ70" s="118">
        <f t="shared" ca="1" si="74"/>
        <v>0</v>
      </c>
      <c r="AR70" s="118">
        <f t="shared" ca="1" si="74"/>
        <v>0</v>
      </c>
      <c r="AS70" s="118">
        <f t="shared" ca="1" si="74"/>
        <v>0</v>
      </c>
      <c r="AT70" s="118">
        <f t="shared" ca="1" si="74"/>
        <v>0</v>
      </c>
      <c r="AU70" s="118">
        <f t="shared" ca="1" si="74"/>
        <v>0</v>
      </c>
      <c r="AV70" s="118">
        <f t="shared" ca="1" si="74"/>
        <v>0</v>
      </c>
      <c r="AW70" s="118">
        <f t="shared" ca="1" si="74"/>
        <v>0</v>
      </c>
      <c r="AX70" s="118">
        <f t="shared" ca="1" si="74"/>
        <v>0</v>
      </c>
      <c r="AY70" s="118">
        <f t="shared" ca="1" si="74"/>
        <v>0</v>
      </c>
      <c r="AZ70" s="118">
        <f t="shared" ca="1" si="74"/>
        <v>0</v>
      </c>
      <c r="BA70" s="118">
        <f t="shared" ca="1" si="74"/>
        <v>0</v>
      </c>
      <c r="BB70" s="118">
        <f t="shared" ca="1" si="74"/>
        <v>0</v>
      </c>
      <c r="BC70" s="118">
        <f t="shared" ca="1" si="74"/>
        <v>0</v>
      </c>
      <c r="BD70" s="118">
        <f t="shared" ca="1" si="74"/>
        <v>0</v>
      </c>
      <c r="BE70" s="118">
        <f t="shared" ca="1" si="74"/>
        <v>0</v>
      </c>
      <c r="BF70" s="118">
        <f t="shared" ca="1" si="74"/>
        <v>0</v>
      </c>
      <c r="BG70" s="118">
        <f t="shared" ca="1" si="74"/>
        <v>0</v>
      </c>
      <c r="BH70" s="118">
        <f t="shared" ca="1" si="74"/>
        <v>0</v>
      </c>
      <c r="BI70" s="118">
        <f t="shared" ca="1" si="74"/>
        <v>0</v>
      </c>
      <c r="BJ70" s="118">
        <f t="shared" ca="1" si="74"/>
        <v>0</v>
      </c>
      <c r="BK70" s="118">
        <f t="shared" ca="1" si="74"/>
        <v>0</v>
      </c>
      <c r="BL70" s="118">
        <f t="shared" ca="1" si="74"/>
        <v>0</v>
      </c>
      <c r="BM70" s="118">
        <f t="shared" ca="1" si="74"/>
        <v>0</v>
      </c>
      <c r="BN70" s="118">
        <f t="shared" ca="1" si="74"/>
        <v>0</v>
      </c>
      <c r="BO70" s="118">
        <f t="shared" ca="1" si="74"/>
        <v>0</v>
      </c>
      <c r="BP70" s="118">
        <f t="shared" ca="1" si="74"/>
        <v>0</v>
      </c>
      <c r="BQ70" s="118">
        <f t="shared" ca="1" si="74"/>
        <v>0</v>
      </c>
      <c r="BR70" s="118">
        <f t="shared" ca="1" si="74"/>
        <v>0</v>
      </c>
      <c r="BS70" s="118">
        <f t="shared" ca="1" si="74"/>
        <v>0</v>
      </c>
      <c r="BT70" s="118">
        <f t="shared" ca="1" si="74"/>
        <v>0</v>
      </c>
      <c r="BU70" s="118">
        <f t="shared" ca="1" si="74"/>
        <v>0</v>
      </c>
      <c r="BV70" s="118">
        <f t="shared" ca="1" si="75"/>
        <v>0</v>
      </c>
      <c r="BW70" s="118">
        <f t="shared" ca="1" si="75"/>
        <v>0</v>
      </c>
      <c r="BX70" s="118">
        <f t="shared" ca="1" si="75"/>
        <v>0</v>
      </c>
      <c r="BY70" s="118">
        <f t="shared" ca="1" si="75"/>
        <v>0</v>
      </c>
      <c r="BZ70" s="118">
        <f t="shared" ca="1" si="75"/>
        <v>0</v>
      </c>
      <c r="CA70" s="118">
        <f t="shared" ca="1" si="75"/>
        <v>0</v>
      </c>
      <c r="CB70" s="118">
        <f t="shared" ca="1" si="75"/>
        <v>0</v>
      </c>
      <c r="CC70" s="118">
        <f t="shared" ca="1" si="75"/>
        <v>0</v>
      </c>
      <c r="CD70" s="118">
        <f t="shared" ca="1" si="75"/>
        <v>0</v>
      </c>
      <c r="CE70" s="118">
        <f t="shared" ca="1" si="75"/>
        <v>0</v>
      </c>
      <c r="CF70" s="118">
        <f t="shared" ca="1" si="75"/>
        <v>0</v>
      </c>
      <c r="CG70" s="118">
        <f t="shared" ca="1" si="75"/>
        <v>0</v>
      </c>
      <c r="CH70" s="118">
        <f t="shared" ca="1" si="75"/>
        <v>0</v>
      </c>
      <c r="CI70" s="118">
        <f t="shared" ca="1" si="75"/>
        <v>0</v>
      </c>
      <c r="CJ70" s="118">
        <f t="shared" ca="1" si="75"/>
        <v>0</v>
      </c>
      <c r="CK70" s="118">
        <f t="shared" ca="1" si="75"/>
        <v>0</v>
      </c>
      <c r="CL70" s="118">
        <f t="shared" ca="1" si="75"/>
        <v>0</v>
      </c>
      <c r="CM70" s="118">
        <f t="shared" ca="1" si="75"/>
        <v>0</v>
      </c>
      <c r="CN70" s="118">
        <f t="shared" ca="1" si="75"/>
        <v>0</v>
      </c>
      <c r="CO70" s="118">
        <f t="shared" ca="1" si="75"/>
        <v>0</v>
      </c>
      <c r="CP70" s="118">
        <f t="shared" ca="1" si="75"/>
        <v>0</v>
      </c>
      <c r="CQ70" s="118">
        <f t="shared" ca="1" si="75"/>
        <v>0</v>
      </c>
      <c r="CR70" s="118">
        <f t="shared" ca="1" si="75"/>
        <v>0</v>
      </c>
      <c r="CS70" s="118">
        <f t="shared" ca="1" si="75"/>
        <v>0</v>
      </c>
      <c r="CT70" s="118">
        <f t="shared" ca="1" si="75"/>
        <v>0</v>
      </c>
      <c r="CU70" s="118">
        <f t="shared" ca="1" si="75"/>
        <v>0</v>
      </c>
      <c r="CV70" s="118">
        <f t="shared" ca="1" si="75"/>
        <v>0</v>
      </c>
      <c r="CW70" s="118">
        <f t="shared" ca="1" si="75"/>
        <v>0</v>
      </c>
      <c r="CX70" s="118">
        <f t="shared" ca="1" si="75"/>
        <v>0</v>
      </c>
      <c r="CY70" s="118">
        <f t="shared" ca="1" si="75"/>
        <v>0</v>
      </c>
      <c r="CZ70" s="118">
        <f t="shared" ca="1" si="75"/>
        <v>0</v>
      </c>
    </row>
    <row r="71" spans="2:104" x14ac:dyDescent="0.2">
      <c r="B71" s="119" t="str">
        <f>'9. Development Costs'!B53</f>
        <v>Park Dedication Fee</v>
      </c>
      <c r="C71" s="118">
        <f>-'9. Development Costs'!H53</f>
        <v>0</v>
      </c>
      <c r="D71" s="118">
        <f t="shared" ca="1" si="72"/>
        <v>0</v>
      </c>
      <c r="E71" s="118">
        <f t="shared" ca="1" si="73"/>
        <v>0</v>
      </c>
      <c r="F71" s="272">
        <f ca="1">F70</f>
        <v>47042</v>
      </c>
      <c r="G71" s="272">
        <f ca="1">G70</f>
        <v>47042</v>
      </c>
      <c r="H71" s="125">
        <f t="shared" ca="1" si="76"/>
        <v>1</v>
      </c>
      <c r="I71" s="118">
        <f t="shared" ca="1" si="77"/>
        <v>0</v>
      </c>
      <c r="J71" s="118">
        <f t="shared" ca="1" si="74"/>
        <v>0</v>
      </c>
      <c r="K71" s="118">
        <f t="shared" ca="1" si="74"/>
        <v>0</v>
      </c>
      <c r="L71" s="118">
        <f t="shared" ca="1" si="74"/>
        <v>0</v>
      </c>
      <c r="M71" s="118">
        <f t="shared" ca="1" si="74"/>
        <v>0</v>
      </c>
      <c r="N71" s="118">
        <f t="shared" ca="1" si="74"/>
        <v>0</v>
      </c>
      <c r="O71" s="118">
        <f t="shared" ca="1" si="74"/>
        <v>0</v>
      </c>
      <c r="P71" s="118">
        <f t="shared" ca="1" si="74"/>
        <v>0</v>
      </c>
      <c r="Q71" s="118">
        <f t="shared" ca="1" si="74"/>
        <v>0</v>
      </c>
      <c r="R71" s="118">
        <f t="shared" ca="1" si="74"/>
        <v>0</v>
      </c>
      <c r="S71" s="118">
        <f t="shared" ca="1" si="74"/>
        <v>0</v>
      </c>
      <c r="T71" s="118">
        <f t="shared" ca="1" si="74"/>
        <v>0</v>
      </c>
      <c r="U71" s="118">
        <f t="shared" ca="1" si="74"/>
        <v>0</v>
      </c>
      <c r="V71" s="118">
        <f t="shared" ca="1" si="74"/>
        <v>0</v>
      </c>
      <c r="W71" s="118">
        <f t="shared" ca="1" si="74"/>
        <v>0</v>
      </c>
      <c r="X71" s="118">
        <f t="shared" ca="1" si="74"/>
        <v>0</v>
      </c>
      <c r="Y71" s="118">
        <f t="shared" ca="1" si="74"/>
        <v>0</v>
      </c>
      <c r="Z71" s="118">
        <f t="shared" ca="1" si="74"/>
        <v>0</v>
      </c>
      <c r="AA71" s="118">
        <f t="shared" ca="1" si="74"/>
        <v>0</v>
      </c>
      <c r="AB71" s="118">
        <f t="shared" ca="1" si="74"/>
        <v>0</v>
      </c>
      <c r="AC71" s="118">
        <f t="shared" ca="1" si="74"/>
        <v>0</v>
      </c>
      <c r="AD71" s="118">
        <f t="shared" ca="1" si="74"/>
        <v>0</v>
      </c>
      <c r="AE71" s="118">
        <f t="shared" ca="1" si="74"/>
        <v>0</v>
      </c>
      <c r="AF71" s="118">
        <f t="shared" ca="1" si="74"/>
        <v>0</v>
      </c>
      <c r="AG71" s="118">
        <f t="shared" ca="1" si="74"/>
        <v>0</v>
      </c>
      <c r="AH71" s="118">
        <f t="shared" ca="1" si="74"/>
        <v>0</v>
      </c>
      <c r="AI71" s="118">
        <f t="shared" ca="1" si="74"/>
        <v>0</v>
      </c>
      <c r="AJ71" s="118">
        <f t="shared" ca="1" si="74"/>
        <v>0</v>
      </c>
      <c r="AK71" s="118">
        <f t="shared" ca="1" si="74"/>
        <v>0</v>
      </c>
      <c r="AL71" s="118">
        <f t="shared" ca="1" si="74"/>
        <v>0</v>
      </c>
      <c r="AM71" s="118">
        <f t="shared" ref="AM71:CX73" ca="1" si="78">IF(AND(AM$7&lt;=$G71,AM$7&gt;=$F71,$H71&lt;&gt;0,$H71&lt;&gt;""),$C71/$H71,0)</f>
        <v>0</v>
      </c>
      <c r="AN71" s="118">
        <f t="shared" ca="1" si="78"/>
        <v>0</v>
      </c>
      <c r="AO71" s="118">
        <f t="shared" ca="1" si="78"/>
        <v>0</v>
      </c>
      <c r="AP71" s="118">
        <f t="shared" ca="1" si="78"/>
        <v>0</v>
      </c>
      <c r="AQ71" s="118">
        <f t="shared" ca="1" si="78"/>
        <v>0</v>
      </c>
      <c r="AR71" s="118">
        <f t="shared" ca="1" si="78"/>
        <v>0</v>
      </c>
      <c r="AS71" s="118">
        <f t="shared" ca="1" si="78"/>
        <v>0</v>
      </c>
      <c r="AT71" s="118">
        <f t="shared" ca="1" si="78"/>
        <v>0</v>
      </c>
      <c r="AU71" s="118">
        <f t="shared" ca="1" si="78"/>
        <v>0</v>
      </c>
      <c r="AV71" s="118">
        <f t="shared" ca="1" si="78"/>
        <v>0</v>
      </c>
      <c r="AW71" s="118">
        <f t="shared" ca="1" si="78"/>
        <v>0</v>
      </c>
      <c r="AX71" s="118">
        <f t="shared" ca="1" si="78"/>
        <v>0</v>
      </c>
      <c r="AY71" s="118">
        <f t="shared" ca="1" si="78"/>
        <v>0</v>
      </c>
      <c r="AZ71" s="118">
        <f t="shared" ca="1" si="78"/>
        <v>0</v>
      </c>
      <c r="BA71" s="118">
        <f t="shared" ca="1" si="78"/>
        <v>0</v>
      </c>
      <c r="BB71" s="118">
        <f t="shared" ca="1" si="78"/>
        <v>0</v>
      </c>
      <c r="BC71" s="118">
        <f t="shared" ca="1" si="78"/>
        <v>0</v>
      </c>
      <c r="BD71" s="118">
        <f t="shared" ca="1" si="78"/>
        <v>0</v>
      </c>
      <c r="BE71" s="118">
        <f t="shared" ca="1" si="78"/>
        <v>0</v>
      </c>
      <c r="BF71" s="118">
        <f t="shared" ca="1" si="78"/>
        <v>0</v>
      </c>
      <c r="BG71" s="118">
        <f t="shared" ca="1" si="78"/>
        <v>0</v>
      </c>
      <c r="BH71" s="118">
        <f t="shared" ca="1" si="78"/>
        <v>0</v>
      </c>
      <c r="BI71" s="118">
        <f t="shared" ca="1" si="78"/>
        <v>0</v>
      </c>
      <c r="BJ71" s="118">
        <f t="shared" ca="1" si="78"/>
        <v>0</v>
      </c>
      <c r="BK71" s="118">
        <f t="shared" ca="1" si="78"/>
        <v>0</v>
      </c>
      <c r="BL71" s="118">
        <f t="shared" ca="1" si="78"/>
        <v>0</v>
      </c>
      <c r="BM71" s="118">
        <f t="shared" ca="1" si="78"/>
        <v>0</v>
      </c>
      <c r="BN71" s="118">
        <f t="shared" ca="1" si="78"/>
        <v>0</v>
      </c>
      <c r="BO71" s="118">
        <f t="shared" ca="1" si="78"/>
        <v>0</v>
      </c>
      <c r="BP71" s="118">
        <f t="shared" ca="1" si="78"/>
        <v>0</v>
      </c>
      <c r="BQ71" s="118">
        <f t="shared" ca="1" si="78"/>
        <v>0</v>
      </c>
      <c r="BR71" s="118">
        <f t="shared" ca="1" si="78"/>
        <v>0</v>
      </c>
      <c r="BS71" s="118">
        <f t="shared" ca="1" si="78"/>
        <v>0</v>
      </c>
      <c r="BT71" s="118">
        <f t="shared" ca="1" si="78"/>
        <v>0</v>
      </c>
      <c r="BU71" s="118">
        <f t="shared" ca="1" si="78"/>
        <v>0</v>
      </c>
      <c r="BV71" s="118">
        <f t="shared" ca="1" si="75"/>
        <v>0</v>
      </c>
      <c r="BW71" s="118">
        <f t="shared" ca="1" si="75"/>
        <v>0</v>
      </c>
      <c r="BX71" s="118">
        <f t="shared" ca="1" si="75"/>
        <v>0</v>
      </c>
      <c r="BY71" s="118">
        <f t="shared" ca="1" si="75"/>
        <v>0</v>
      </c>
      <c r="BZ71" s="118">
        <f t="shared" ca="1" si="75"/>
        <v>0</v>
      </c>
      <c r="CA71" s="118">
        <f t="shared" ca="1" si="75"/>
        <v>0</v>
      </c>
      <c r="CB71" s="118">
        <f t="shared" ca="1" si="75"/>
        <v>0</v>
      </c>
      <c r="CC71" s="118">
        <f t="shared" ca="1" si="75"/>
        <v>0</v>
      </c>
      <c r="CD71" s="118">
        <f t="shared" ca="1" si="75"/>
        <v>0</v>
      </c>
      <c r="CE71" s="118">
        <f t="shared" ca="1" si="75"/>
        <v>0</v>
      </c>
      <c r="CF71" s="118">
        <f t="shared" ca="1" si="75"/>
        <v>0</v>
      </c>
      <c r="CG71" s="118">
        <f t="shared" ca="1" si="75"/>
        <v>0</v>
      </c>
      <c r="CH71" s="118">
        <f t="shared" ca="1" si="75"/>
        <v>0</v>
      </c>
      <c r="CI71" s="118">
        <f t="shared" ca="1" si="75"/>
        <v>0</v>
      </c>
      <c r="CJ71" s="118">
        <f t="shared" ca="1" si="75"/>
        <v>0</v>
      </c>
      <c r="CK71" s="118">
        <f t="shared" ca="1" si="75"/>
        <v>0</v>
      </c>
      <c r="CL71" s="118">
        <f t="shared" ca="1" si="75"/>
        <v>0</v>
      </c>
      <c r="CM71" s="118">
        <f t="shared" ca="1" si="75"/>
        <v>0</v>
      </c>
      <c r="CN71" s="118">
        <f t="shared" ca="1" si="75"/>
        <v>0</v>
      </c>
      <c r="CO71" s="118">
        <f t="shared" ca="1" si="75"/>
        <v>0</v>
      </c>
      <c r="CP71" s="118">
        <f t="shared" ca="1" si="75"/>
        <v>0</v>
      </c>
      <c r="CQ71" s="118">
        <f t="shared" ca="1" si="75"/>
        <v>0</v>
      </c>
      <c r="CR71" s="118">
        <f t="shared" ca="1" si="75"/>
        <v>0</v>
      </c>
      <c r="CS71" s="118">
        <f t="shared" ca="1" si="75"/>
        <v>0</v>
      </c>
      <c r="CT71" s="118">
        <f t="shared" ca="1" si="75"/>
        <v>0</v>
      </c>
      <c r="CU71" s="118">
        <f t="shared" ca="1" si="75"/>
        <v>0</v>
      </c>
      <c r="CV71" s="118">
        <f t="shared" ca="1" si="75"/>
        <v>0</v>
      </c>
      <c r="CW71" s="118">
        <f t="shared" ca="1" si="75"/>
        <v>0</v>
      </c>
      <c r="CX71" s="118">
        <f t="shared" ca="1" si="75"/>
        <v>0</v>
      </c>
      <c r="CY71" s="118">
        <f t="shared" ca="1" si="75"/>
        <v>0</v>
      </c>
      <c r="CZ71" s="118">
        <f t="shared" ca="1" si="75"/>
        <v>0</v>
      </c>
    </row>
    <row r="72" spans="2:104" x14ac:dyDescent="0.2">
      <c r="B72" s="119" t="str">
        <f>'9. Development Costs'!B54</f>
        <v>Other Development Charges</v>
      </c>
      <c r="C72" s="118">
        <f>-'9. Development Costs'!H54</f>
        <v>-7192106</v>
      </c>
      <c r="D72" s="118">
        <f t="shared" ca="1" si="72"/>
        <v>0</v>
      </c>
      <c r="E72" s="118">
        <f t="shared" ca="1" si="73"/>
        <v>-7192106</v>
      </c>
      <c r="F72" s="272">
        <f ca="1">F71</f>
        <v>47042</v>
      </c>
      <c r="G72" s="272">
        <f ca="1">G71</f>
        <v>47042</v>
      </c>
      <c r="H72" s="125">
        <f t="shared" ca="1" si="76"/>
        <v>1</v>
      </c>
      <c r="I72" s="118">
        <f t="shared" ca="1" si="77"/>
        <v>0</v>
      </c>
      <c r="J72" s="118">
        <f t="shared" ca="1" si="77"/>
        <v>0</v>
      </c>
      <c r="K72" s="118">
        <f t="shared" ca="1" si="77"/>
        <v>0</v>
      </c>
      <c r="L72" s="118">
        <f t="shared" ca="1" si="77"/>
        <v>0</v>
      </c>
      <c r="M72" s="118">
        <f t="shared" ca="1" si="77"/>
        <v>0</v>
      </c>
      <c r="N72" s="118">
        <f t="shared" ca="1" si="77"/>
        <v>0</v>
      </c>
      <c r="O72" s="118">
        <f t="shared" ca="1" si="77"/>
        <v>0</v>
      </c>
      <c r="P72" s="118">
        <f t="shared" ca="1" si="77"/>
        <v>0</v>
      </c>
      <c r="Q72" s="118">
        <f t="shared" ca="1" si="77"/>
        <v>0</v>
      </c>
      <c r="R72" s="118">
        <f t="shared" ca="1" si="77"/>
        <v>0</v>
      </c>
      <c r="S72" s="118">
        <f t="shared" ca="1" si="77"/>
        <v>0</v>
      </c>
      <c r="T72" s="118">
        <f t="shared" ca="1" si="77"/>
        <v>0</v>
      </c>
      <c r="U72" s="118">
        <f t="shared" ca="1" si="77"/>
        <v>0</v>
      </c>
      <c r="V72" s="118">
        <f t="shared" ca="1" si="77"/>
        <v>0</v>
      </c>
      <c r="W72" s="118">
        <f t="shared" ca="1" si="77"/>
        <v>0</v>
      </c>
      <c r="X72" s="118">
        <f t="shared" ca="1" si="77"/>
        <v>0</v>
      </c>
      <c r="Y72" s="118">
        <f t="shared" ref="Y72:BU76" ca="1" si="79">IF(AND(Y$7&lt;=$G72,Y$7&gt;=$F72,$H72&lt;&gt;0,$H72&lt;&gt;""),$C72/$H72,0)</f>
        <v>0</v>
      </c>
      <c r="Z72" s="118">
        <f t="shared" ca="1" si="79"/>
        <v>0</v>
      </c>
      <c r="AA72" s="118">
        <f t="shared" ca="1" si="79"/>
        <v>0</v>
      </c>
      <c r="AB72" s="118">
        <f t="shared" ca="1" si="79"/>
        <v>0</v>
      </c>
      <c r="AC72" s="118">
        <f t="shared" ca="1" si="79"/>
        <v>0</v>
      </c>
      <c r="AD72" s="118">
        <f t="shared" ca="1" si="79"/>
        <v>0</v>
      </c>
      <c r="AE72" s="118">
        <f t="shared" ca="1" si="79"/>
        <v>0</v>
      </c>
      <c r="AF72" s="118">
        <f t="shared" ca="1" si="79"/>
        <v>0</v>
      </c>
      <c r="AG72" s="118">
        <f t="shared" ca="1" si="79"/>
        <v>0</v>
      </c>
      <c r="AH72" s="118">
        <f t="shared" ca="1" si="79"/>
        <v>0</v>
      </c>
      <c r="AI72" s="118">
        <f t="shared" ca="1" si="79"/>
        <v>0</v>
      </c>
      <c r="AJ72" s="118">
        <f t="shared" ca="1" si="79"/>
        <v>0</v>
      </c>
      <c r="AK72" s="118">
        <f t="shared" ca="1" si="79"/>
        <v>0</v>
      </c>
      <c r="AL72" s="118">
        <f t="shared" ca="1" si="79"/>
        <v>0</v>
      </c>
      <c r="AM72" s="118">
        <f t="shared" ca="1" si="79"/>
        <v>0</v>
      </c>
      <c r="AN72" s="118">
        <f t="shared" ca="1" si="79"/>
        <v>0</v>
      </c>
      <c r="AO72" s="118">
        <f t="shared" ca="1" si="79"/>
        <v>-7192106</v>
      </c>
      <c r="AP72" s="118">
        <f t="shared" ca="1" si="79"/>
        <v>0</v>
      </c>
      <c r="AQ72" s="118">
        <f t="shared" ca="1" si="79"/>
        <v>0</v>
      </c>
      <c r="AR72" s="118">
        <f t="shared" ca="1" si="79"/>
        <v>0</v>
      </c>
      <c r="AS72" s="118">
        <f t="shared" ca="1" si="79"/>
        <v>0</v>
      </c>
      <c r="AT72" s="118">
        <f t="shared" ca="1" si="79"/>
        <v>0</v>
      </c>
      <c r="AU72" s="118">
        <f t="shared" ca="1" si="79"/>
        <v>0</v>
      </c>
      <c r="AV72" s="118">
        <f t="shared" ca="1" si="79"/>
        <v>0</v>
      </c>
      <c r="AW72" s="118">
        <f t="shared" ca="1" si="79"/>
        <v>0</v>
      </c>
      <c r="AX72" s="118">
        <f t="shared" ca="1" si="79"/>
        <v>0</v>
      </c>
      <c r="AY72" s="118">
        <f t="shared" ca="1" si="79"/>
        <v>0</v>
      </c>
      <c r="AZ72" s="118">
        <f t="shared" ca="1" si="79"/>
        <v>0</v>
      </c>
      <c r="BA72" s="118">
        <f t="shared" ca="1" si="79"/>
        <v>0</v>
      </c>
      <c r="BB72" s="118">
        <f t="shared" ca="1" si="79"/>
        <v>0</v>
      </c>
      <c r="BC72" s="118">
        <f t="shared" ca="1" si="79"/>
        <v>0</v>
      </c>
      <c r="BD72" s="118">
        <f t="shared" ca="1" si="79"/>
        <v>0</v>
      </c>
      <c r="BE72" s="118">
        <f t="shared" ca="1" si="79"/>
        <v>0</v>
      </c>
      <c r="BF72" s="118">
        <f t="shared" ca="1" si="79"/>
        <v>0</v>
      </c>
      <c r="BG72" s="118">
        <f t="shared" ca="1" si="79"/>
        <v>0</v>
      </c>
      <c r="BH72" s="118">
        <f t="shared" ca="1" si="79"/>
        <v>0</v>
      </c>
      <c r="BI72" s="118">
        <f t="shared" ca="1" si="79"/>
        <v>0</v>
      </c>
      <c r="BJ72" s="118">
        <f t="shared" ca="1" si="79"/>
        <v>0</v>
      </c>
      <c r="BK72" s="118">
        <f t="shared" ca="1" si="79"/>
        <v>0</v>
      </c>
      <c r="BL72" s="118">
        <f t="shared" ca="1" si="79"/>
        <v>0</v>
      </c>
      <c r="BM72" s="118">
        <f t="shared" ca="1" si="79"/>
        <v>0</v>
      </c>
      <c r="BN72" s="118">
        <f t="shared" ca="1" si="79"/>
        <v>0</v>
      </c>
      <c r="BO72" s="118">
        <f t="shared" ca="1" si="79"/>
        <v>0</v>
      </c>
      <c r="BP72" s="118">
        <f t="shared" ca="1" si="79"/>
        <v>0</v>
      </c>
      <c r="BQ72" s="118">
        <f t="shared" ca="1" si="79"/>
        <v>0</v>
      </c>
      <c r="BR72" s="118">
        <f t="shared" ca="1" si="79"/>
        <v>0</v>
      </c>
      <c r="BS72" s="118">
        <f t="shared" ca="1" si="79"/>
        <v>0</v>
      </c>
      <c r="BT72" s="118">
        <f t="shared" ca="1" si="79"/>
        <v>0</v>
      </c>
      <c r="BU72" s="118">
        <f t="shared" ca="1" si="78"/>
        <v>0</v>
      </c>
      <c r="BV72" s="118">
        <f t="shared" ca="1" si="78"/>
        <v>0</v>
      </c>
      <c r="BW72" s="118">
        <f t="shared" ca="1" si="78"/>
        <v>0</v>
      </c>
      <c r="BX72" s="118">
        <f t="shared" ca="1" si="78"/>
        <v>0</v>
      </c>
      <c r="BY72" s="118">
        <f t="shared" ca="1" si="78"/>
        <v>0</v>
      </c>
      <c r="BZ72" s="118">
        <f t="shared" ca="1" si="78"/>
        <v>0</v>
      </c>
      <c r="CA72" s="118">
        <f t="shared" ca="1" si="78"/>
        <v>0</v>
      </c>
      <c r="CB72" s="118">
        <f t="shared" ca="1" si="78"/>
        <v>0</v>
      </c>
      <c r="CC72" s="118">
        <f t="shared" ca="1" si="78"/>
        <v>0</v>
      </c>
      <c r="CD72" s="118">
        <f t="shared" ca="1" si="78"/>
        <v>0</v>
      </c>
      <c r="CE72" s="118">
        <f t="shared" ca="1" si="78"/>
        <v>0</v>
      </c>
      <c r="CF72" s="118">
        <f t="shared" ca="1" si="78"/>
        <v>0</v>
      </c>
      <c r="CG72" s="118">
        <f t="shared" ca="1" si="78"/>
        <v>0</v>
      </c>
      <c r="CH72" s="118">
        <f t="shared" ca="1" si="78"/>
        <v>0</v>
      </c>
      <c r="CI72" s="118">
        <f t="shared" ca="1" si="78"/>
        <v>0</v>
      </c>
      <c r="CJ72" s="118">
        <f t="shared" ca="1" si="78"/>
        <v>0</v>
      </c>
      <c r="CK72" s="118">
        <f t="shared" ca="1" si="78"/>
        <v>0</v>
      </c>
      <c r="CL72" s="118">
        <f t="shared" ca="1" si="78"/>
        <v>0</v>
      </c>
      <c r="CM72" s="118">
        <f t="shared" ca="1" si="78"/>
        <v>0</v>
      </c>
      <c r="CN72" s="118">
        <f t="shared" ca="1" si="78"/>
        <v>0</v>
      </c>
      <c r="CO72" s="118">
        <f t="shared" ca="1" si="78"/>
        <v>0</v>
      </c>
      <c r="CP72" s="118">
        <f t="shared" ca="1" si="78"/>
        <v>0</v>
      </c>
      <c r="CQ72" s="118">
        <f t="shared" ca="1" si="78"/>
        <v>0</v>
      </c>
      <c r="CR72" s="118">
        <f t="shared" ca="1" si="78"/>
        <v>0</v>
      </c>
      <c r="CS72" s="118">
        <f t="shared" ca="1" si="78"/>
        <v>0</v>
      </c>
      <c r="CT72" s="118">
        <f t="shared" ca="1" si="78"/>
        <v>0</v>
      </c>
      <c r="CU72" s="118">
        <f t="shared" ca="1" si="78"/>
        <v>0</v>
      </c>
      <c r="CV72" s="118">
        <f t="shared" ca="1" si="78"/>
        <v>0</v>
      </c>
      <c r="CW72" s="118">
        <f t="shared" ca="1" si="78"/>
        <v>0</v>
      </c>
      <c r="CX72" s="118">
        <f t="shared" ca="1" si="78"/>
        <v>0</v>
      </c>
      <c r="CY72" s="118">
        <f t="shared" ca="1" si="75"/>
        <v>0</v>
      </c>
      <c r="CZ72" s="118">
        <f t="shared" ca="1" si="75"/>
        <v>0</v>
      </c>
    </row>
    <row r="73" spans="2:104" x14ac:dyDescent="0.2">
      <c r="B73" s="328" t="str">
        <f>'9. Development Costs'!B55</f>
        <v>Sub-Meter Installation Fee Credit</v>
      </c>
      <c r="C73" s="329">
        <f>-'9. Development Costs'!H55</f>
        <v>102000</v>
      </c>
      <c r="D73" s="329"/>
      <c r="E73" s="329">
        <f t="shared" ref="E73" ca="1" si="80">SUM(I73:CZ73)</f>
        <v>102000</v>
      </c>
      <c r="F73" s="272">
        <f ca="1">+G41</f>
        <v>47042</v>
      </c>
      <c r="G73" s="272">
        <f ca="1">+F73</f>
        <v>47042</v>
      </c>
      <c r="H73" s="125">
        <f t="shared" ref="H73" ca="1" si="81">DATEDIF(F73,G73,"m")+1</f>
        <v>1</v>
      </c>
      <c r="I73" s="118">
        <f t="shared" ca="1" si="77"/>
        <v>0</v>
      </c>
      <c r="J73" s="118">
        <f t="shared" ca="1" si="77"/>
        <v>0</v>
      </c>
      <c r="K73" s="118">
        <f t="shared" ca="1" si="77"/>
        <v>0</v>
      </c>
      <c r="L73" s="118">
        <f t="shared" ca="1" si="77"/>
        <v>0</v>
      </c>
      <c r="M73" s="118">
        <f t="shared" ca="1" si="77"/>
        <v>0</v>
      </c>
      <c r="N73" s="118">
        <f t="shared" ca="1" si="77"/>
        <v>0</v>
      </c>
      <c r="O73" s="118">
        <f t="shared" ca="1" si="77"/>
        <v>0</v>
      </c>
      <c r="P73" s="118">
        <f t="shared" ca="1" si="77"/>
        <v>0</v>
      </c>
      <c r="Q73" s="118">
        <f t="shared" ca="1" si="77"/>
        <v>0</v>
      </c>
      <c r="R73" s="118">
        <f t="shared" ca="1" si="77"/>
        <v>0</v>
      </c>
      <c r="S73" s="118">
        <f t="shared" ca="1" si="77"/>
        <v>0</v>
      </c>
      <c r="T73" s="118">
        <f t="shared" ca="1" si="77"/>
        <v>0</v>
      </c>
      <c r="U73" s="118">
        <f t="shared" ca="1" si="77"/>
        <v>0</v>
      </c>
      <c r="V73" s="118">
        <f t="shared" ca="1" si="77"/>
        <v>0</v>
      </c>
      <c r="W73" s="118">
        <f t="shared" ca="1" si="77"/>
        <v>0</v>
      </c>
      <c r="X73" s="118">
        <f t="shared" ca="1" si="77"/>
        <v>0</v>
      </c>
      <c r="Y73" s="118">
        <f t="shared" ca="1" si="79"/>
        <v>0</v>
      </c>
      <c r="Z73" s="118">
        <f t="shared" ca="1" si="79"/>
        <v>0</v>
      </c>
      <c r="AA73" s="118">
        <f t="shared" ca="1" si="79"/>
        <v>0</v>
      </c>
      <c r="AB73" s="118">
        <f t="shared" ca="1" si="79"/>
        <v>0</v>
      </c>
      <c r="AC73" s="118">
        <f t="shared" ca="1" si="79"/>
        <v>0</v>
      </c>
      <c r="AD73" s="118">
        <f t="shared" ca="1" si="79"/>
        <v>0</v>
      </c>
      <c r="AE73" s="118">
        <f t="shared" ca="1" si="79"/>
        <v>0</v>
      </c>
      <c r="AF73" s="118">
        <f t="shared" ca="1" si="79"/>
        <v>0</v>
      </c>
      <c r="AG73" s="118">
        <f t="shared" ca="1" si="79"/>
        <v>0</v>
      </c>
      <c r="AH73" s="118">
        <f t="shared" ca="1" si="79"/>
        <v>0</v>
      </c>
      <c r="AI73" s="118">
        <f t="shared" ca="1" si="79"/>
        <v>0</v>
      </c>
      <c r="AJ73" s="118">
        <f t="shared" ca="1" si="79"/>
        <v>0</v>
      </c>
      <c r="AK73" s="118">
        <f t="shared" ca="1" si="79"/>
        <v>0</v>
      </c>
      <c r="AL73" s="118">
        <f t="shared" ca="1" si="79"/>
        <v>0</v>
      </c>
      <c r="AM73" s="118">
        <f t="shared" ca="1" si="79"/>
        <v>0</v>
      </c>
      <c r="AN73" s="118">
        <f t="shared" ca="1" si="79"/>
        <v>0</v>
      </c>
      <c r="AO73" s="118">
        <f t="shared" ca="1" si="79"/>
        <v>102000</v>
      </c>
      <c r="AP73" s="118">
        <f t="shared" ca="1" si="79"/>
        <v>0</v>
      </c>
      <c r="AQ73" s="118">
        <f t="shared" ca="1" si="79"/>
        <v>0</v>
      </c>
      <c r="AR73" s="118">
        <f t="shared" ca="1" si="79"/>
        <v>0</v>
      </c>
      <c r="AS73" s="118">
        <f t="shared" ca="1" si="79"/>
        <v>0</v>
      </c>
      <c r="AT73" s="118">
        <f t="shared" ca="1" si="79"/>
        <v>0</v>
      </c>
      <c r="AU73" s="118">
        <f t="shared" ca="1" si="79"/>
        <v>0</v>
      </c>
      <c r="AV73" s="118">
        <f t="shared" ca="1" si="79"/>
        <v>0</v>
      </c>
      <c r="AW73" s="118">
        <f t="shared" ca="1" si="79"/>
        <v>0</v>
      </c>
      <c r="AX73" s="118">
        <f t="shared" ca="1" si="79"/>
        <v>0</v>
      </c>
      <c r="AY73" s="118">
        <f t="shared" ca="1" si="79"/>
        <v>0</v>
      </c>
      <c r="AZ73" s="118">
        <f t="shared" ca="1" si="79"/>
        <v>0</v>
      </c>
      <c r="BA73" s="118">
        <f t="shared" ca="1" si="79"/>
        <v>0</v>
      </c>
      <c r="BB73" s="118">
        <f t="shared" ca="1" si="79"/>
        <v>0</v>
      </c>
      <c r="BC73" s="118">
        <f t="shared" ca="1" si="79"/>
        <v>0</v>
      </c>
      <c r="BD73" s="118">
        <f t="shared" ca="1" si="79"/>
        <v>0</v>
      </c>
      <c r="BE73" s="118">
        <f t="shared" ca="1" si="79"/>
        <v>0</v>
      </c>
      <c r="BF73" s="118">
        <f t="shared" ca="1" si="79"/>
        <v>0</v>
      </c>
      <c r="BG73" s="118">
        <f t="shared" ca="1" si="79"/>
        <v>0</v>
      </c>
      <c r="BH73" s="118">
        <f t="shared" ca="1" si="79"/>
        <v>0</v>
      </c>
      <c r="BI73" s="118">
        <f t="shared" ca="1" si="79"/>
        <v>0</v>
      </c>
      <c r="BJ73" s="118">
        <f t="shared" ca="1" si="79"/>
        <v>0</v>
      </c>
      <c r="BK73" s="118">
        <f t="shared" ca="1" si="79"/>
        <v>0</v>
      </c>
      <c r="BL73" s="118">
        <f t="shared" ca="1" si="79"/>
        <v>0</v>
      </c>
      <c r="BM73" s="118">
        <f t="shared" ca="1" si="79"/>
        <v>0</v>
      </c>
      <c r="BN73" s="118">
        <f t="shared" ca="1" si="79"/>
        <v>0</v>
      </c>
      <c r="BO73" s="118">
        <f t="shared" ca="1" si="79"/>
        <v>0</v>
      </c>
      <c r="BP73" s="118">
        <f t="shared" ca="1" si="79"/>
        <v>0</v>
      </c>
      <c r="BQ73" s="118">
        <f t="shared" ca="1" si="79"/>
        <v>0</v>
      </c>
      <c r="BR73" s="118">
        <f t="shared" ca="1" si="79"/>
        <v>0</v>
      </c>
      <c r="BS73" s="118">
        <f t="shared" ca="1" si="79"/>
        <v>0</v>
      </c>
      <c r="BT73" s="118">
        <f t="shared" ca="1" si="79"/>
        <v>0</v>
      </c>
      <c r="BU73" s="118">
        <f t="shared" ca="1" si="78"/>
        <v>0</v>
      </c>
      <c r="BV73" s="118">
        <f t="shared" ca="1" si="78"/>
        <v>0</v>
      </c>
      <c r="BW73" s="118">
        <f t="shared" ca="1" si="78"/>
        <v>0</v>
      </c>
      <c r="BX73" s="118">
        <f t="shared" ca="1" si="78"/>
        <v>0</v>
      </c>
      <c r="BY73" s="118">
        <f t="shared" ca="1" si="78"/>
        <v>0</v>
      </c>
      <c r="BZ73" s="118">
        <f t="shared" ca="1" si="78"/>
        <v>0</v>
      </c>
      <c r="CA73" s="118">
        <f t="shared" ca="1" si="78"/>
        <v>0</v>
      </c>
      <c r="CB73" s="118">
        <f t="shared" ca="1" si="78"/>
        <v>0</v>
      </c>
      <c r="CC73" s="118">
        <f t="shared" ca="1" si="78"/>
        <v>0</v>
      </c>
      <c r="CD73" s="118">
        <f t="shared" ca="1" si="78"/>
        <v>0</v>
      </c>
      <c r="CE73" s="118">
        <f t="shared" ca="1" si="78"/>
        <v>0</v>
      </c>
      <c r="CF73" s="118">
        <f t="shared" ca="1" si="78"/>
        <v>0</v>
      </c>
      <c r="CG73" s="118">
        <f t="shared" ca="1" si="78"/>
        <v>0</v>
      </c>
      <c r="CH73" s="118">
        <f t="shared" ca="1" si="78"/>
        <v>0</v>
      </c>
      <c r="CI73" s="118">
        <f t="shared" ca="1" si="78"/>
        <v>0</v>
      </c>
      <c r="CJ73" s="118">
        <f t="shared" ca="1" si="78"/>
        <v>0</v>
      </c>
      <c r="CK73" s="118">
        <f t="shared" ca="1" si="78"/>
        <v>0</v>
      </c>
      <c r="CL73" s="118">
        <f t="shared" ca="1" si="78"/>
        <v>0</v>
      </c>
      <c r="CM73" s="118">
        <f t="shared" ca="1" si="78"/>
        <v>0</v>
      </c>
      <c r="CN73" s="118">
        <f t="shared" ca="1" si="78"/>
        <v>0</v>
      </c>
      <c r="CO73" s="118">
        <f t="shared" ca="1" si="78"/>
        <v>0</v>
      </c>
      <c r="CP73" s="118">
        <f t="shared" ca="1" si="78"/>
        <v>0</v>
      </c>
      <c r="CQ73" s="118">
        <f t="shared" ca="1" si="78"/>
        <v>0</v>
      </c>
      <c r="CR73" s="118">
        <f t="shared" ca="1" si="78"/>
        <v>0</v>
      </c>
      <c r="CS73" s="118">
        <f t="shared" ca="1" si="78"/>
        <v>0</v>
      </c>
      <c r="CT73" s="118">
        <f t="shared" ca="1" si="78"/>
        <v>0</v>
      </c>
      <c r="CU73" s="118">
        <f t="shared" ca="1" si="78"/>
        <v>0</v>
      </c>
      <c r="CV73" s="118">
        <f t="shared" ca="1" si="78"/>
        <v>0</v>
      </c>
      <c r="CW73" s="118">
        <f t="shared" ca="1" si="78"/>
        <v>0</v>
      </c>
      <c r="CX73" s="118">
        <f t="shared" ca="1" si="78"/>
        <v>0</v>
      </c>
      <c r="CY73" s="118">
        <f t="shared" ca="1" si="75"/>
        <v>0</v>
      </c>
      <c r="CZ73" s="118">
        <f t="shared" ca="1" si="75"/>
        <v>0</v>
      </c>
    </row>
    <row r="74" spans="2:104" x14ac:dyDescent="0.2">
      <c r="B74" s="119" t="str">
        <f>'9. Development Costs'!B56</f>
        <v>Utilities Connection</v>
      </c>
      <c r="C74" s="118">
        <f>-'9. Development Costs'!H56</f>
        <v>0</v>
      </c>
      <c r="D74" s="118">
        <f t="shared" ca="1" si="72"/>
        <v>0</v>
      </c>
      <c r="E74" s="118">
        <f t="shared" ca="1" si="73"/>
        <v>0</v>
      </c>
      <c r="F74" s="272">
        <f t="shared" ref="F74:G76" ca="1" si="82">F$47</f>
        <v>46097</v>
      </c>
      <c r="G74" s="272">
        <f t="shared" ca="1" si="82"/>
        <v>47042</v>
      </c>
      <c r="H74" s="125">
        <f t="shared" ca="1" si="76"/>
        <v>32</v>
      </c>
      <c r="I74" s="118">
        <f t="shared" ca="1" si="77"/>
        <v>0</v>
      </c>
      <c r="J74" s="118">
        <f t="shared" ca="1" si="77"/>
        <v>0</v>
      </c>
      <c r="K74" s="118">
        <f t="shared" ca="1" si="77"/>
        <v>0</v>
      </c>
      <c r="L74" s="118">
        <f t="shared" ca="1" si="77"/>
        <v>0</v>
      </c>
      <c r="M74" s="118">
        <f t="shared" ca="1" si="77"/>
        <v>0</v>
      </c>
      <c r="N74" s="118">
        <f t="shared" ca="1" si="77"/>
        <v>0</v>
      </c>
      <c r="O74" s="118">
        <f t="shared" ca="1" si="77"/>
        <v>0</v>
      </c>
      <c r="P74" s="118">
        <f t="shared" ca="1" si="77"/>
        <v>0</v>
      </c>
      <c r="Q74" s="118">
        <f t="shared" ca="1" si="77"/>
        <v>0</v>
      </c>
      <c r="R74" s="118">
        <f t="shared" ca="1" si="77"/>
        <v>0</v>
      </c>
      <c r="S74" s="118">
        <f t="shared" ca="1" si="77"/>
        <v>0</v>
      </c>
      <c r="T74" s="118">
        <f t="shared" ca="1" si="77"/>
        <v>0</v>
      </c>
      <c r="U74" s="118">
        <f t="shared" ca="1" si="77"/>
        <v>0</v>
      </c>
      <c r="V74" s="118">
        <f t="shared" ca="1" si="77"/>
        <v>0</v>
      </c>
      <c r="W74" s="118">
        <f t="shared" ca="1" si="77"/>
        <v>0</v>
      </c>
      <c r="X74" s="118">
        <f t="shared" ca="1" si="77"/>
        <v>0</v>
      </c>
      <c r="Y74" s="118">
        <f t="shared" ca="1" si="79"/>
        <v>0</v>
      </c>
      <c r="Z74" s="118">
        <f t="shared" ca="1" si="79"/>
        <v>0</v>
      </c>
      <c r="AA74" s="118">
        <f t="shared" ca="1" si="79"/>
        <v>0</v>
      </c>
      <c r="AB74" s="118">
        <f t="shared" ca="1" si="79"/>
        <v>0</v>
      </c>
      <c r="AC74" s="118">
        <f t="shared" ca="1" si="79"/>
        <v>0</v>
      </c>
      <c r="AD74" s="118">
        <f t="shared" ca="1" si="79"/>
        <v>0</v>
      </c>
      <c r="AE74" s="118">
        <f t="shared" ca="1" si="79"/>
        <v>0</v>
      </c>
      <c r="AF74" s="118">
        <f t="shared" ca="1" si="79"/>
        <v>0</v>
      </c>
      <c r="AG74" s="118">
        <f t="shared" ca="1" si="79"/>
        <v>0</v>
      </c>
      <c r="AH74" s="118">
        <f t="shared" ca="1" si="79"/>
        <v>0</v>
      </c>
      <c r="AI74" s="118">
        <f t="shared" ca="1" si="79"/>
        <v>0</v>
      </c>
      <c r="AJ74" s="118">
        <f t="shared" ca="1" si="79"/>
        <v>0</v>
      </c>
      <c r="AK74" s="118">
        <f t="shared" ca="1" si="79"/>
        <v>0</v>
      </c>
      <c r="AL74" s="118">
        <f t="shared" ca="1" si="79"/>
        <v>0</v>
      </c>
      <c r="AM74" s="118">
        <f t="shared" ca="1" si="79"/>
        <v>0</v>
      </c>
      <c r="AN74" s="118">
        <f t="shared" ca="1" si="79"/>
        <v>0</v>
      </c>
      <c r="AO74" s="118">
        <f t="shared" ca="1" si="79"/>
        <v>0</v>
      </c>
      <c r="AP74" s="118">
        <f t="shared" ca="1" si="79"/>
        <v>0</v>
      </c>
      <c r="AQ74" s="118">
        <f t="shared" ca="1" si="79"/>
        <v>0</v>
      </c>
      <c r="AR74" s="118">
        <f t="shared" ca="1" si="79"/>
        <v>0</v>
      </c>
      <c r="AS74" s="118">
        <f t="shared" ca="1" si="79"/>
        <v>0</v>
      </c>
      <c r="AT74" s="118">
        <f t="shared" ca="1" si="79"/>
        <v>0</v>
      </c>
      <c r="AU74" s="118">
        <f t="shared" ca="1" si="79"/>
        <v>0</v>
      </c>
      <c r="AV74" s="118">
        <f t="shared" ca="1" si="79"/>
        <v>0</v>
      </c>
      <c r="AW74" s="118">
        <f t="shared" ca="1" si="79"/>
        <v>0</v>
      </c>
      <c r="AX74" s="118">
        <f t="shared" ca="1" si="79"/>
        <v>0</v>
      </c>
      <c r="AY74" s="118">
        <f t="shared" ca="1" si="79"/>
        <v>0</v>
      </c>
      <c r="AZ74" s="118">
        <f t="shared" ca="1" si="79"/>
        <v>0</v>
      </c>
      <c r="BA74" s="118">
        <f t="shared" ca="1" si="79"/>
        <v>0</v>
      </c>
      <c r="BB74" s="118">
        <f t="shared" ca="1" si="79"/>
        <v>0</v>
      </c>
      <c r="BC74" s="118">
        <f t="shared" ca="1" si="79"/>
        <v>0</v>
      </c>
      <c r="BD74" s="118">
        <f t="shared" ca="1" si="79"/>
        <v>0</v>
      </c>
      <c r="BE74" s="118">
        <f t="shared" ca="1" si="79"/>
        <v>0</v>
      </c>
      <c r="BF74" s="118">
        <f t="shared" ca="1" si="79"/>
        <v>0</v>
      </c>
      <c r="BG74" s="118">
        <f t="shared" ca="1" si="79"/>
        <v>0</v>
      </c>
      <c r="BH74" s="118">
        <f t="shared" ca="1" si="79"/>
        <v>0</v>
      </c>
      <c r="BI74" s="118">
        <f t="shared" ca="1" si="79"/>
        <v>0</v>
      </c>
      <c r="BJ74" s="118">
        <f t="shared" ca="1" si="79"/>
        <v>0</v>
      </c>
      <c r="BK74" s="118">
        <f t="shared" ca="1" si="79"/>
        <v>0</v>
      </c>
      <c r="BL74" s="118">
        <f t="shared" ca="1" si="79"/>
        <v>0</v>
      </c>
      <c r="BM74" s="118">
        <f t="shared" ca="1" si="79"/>
        <v>0</v>
      </c>
      <c r="BN74" s="118">
        <f t="shared" ca="1" si="79"/>
        <v>0</v>
      </c>
      <c r="BO74" s="118">
        <f t="shared" ca="1" si="79"/>
        <v>0</v>
      </c>
      <c r="BP74" s="118">
        <f t="shared" ca="1" si="79"/>
        <v>0</v>
      </c>
      <c r="BQ74" s="118">
        <f t="shared" ca="1" si="79"/>
        <v>0</v>
      </c>
      <c r="BR74" s="118">
        <f t="shared" ca="1" si="79"/>
        <v>0</v>
      </c>
      <c r="BS74" s="118">
        <f t="shared" ca="1" si="79"/>
        <v>0</v>
      </c>
      <c r="BT74" s="118">
        <f t="shared" ca="1" si="79"/>
        <v>0</v>
      </c>
      <c r="BU74" s="118">
        <f t="shared" ca="1" si="79"/>
        <v>0</v>
      </c>
      <c r="BV74" s="118">
        <f t="shared" ca="1" si="75"/>
        <v>0</v>
      </c>
      <c r="BW74" s="118">
        <f t="shared" ca="1" si="75"/>
        <v>0</v>
      </c>
      <c r="BX74" s="118">
        <f t="shared" ca="1" si="75"/>
        <v>0</v>
      </c>
      <c r="BY74" s="118">
        <f t="shared" ca="1" si="75"/>
        <v>0</v>
      </c>
      <c r="BZ74" s="118">
        <f t="shared" ca="1" si="75"/>
        <v>0</v>
      </c>
      <c r="CA74" s="118">
        <f t="shared" ca="1" si="75"/>
        <v>0</v>
      </c>
      <c r="CB74" s="118">
        <f t="shared" ca="1" si="75"/>
        <v>0</v>
      </c>
      <c r="CC74" s="118">
        <f t="shared" ca="1" si="75"/>
        <v>0</v>
      </c>
      <c r="CD74" s="118">
        <f t="shared" ca="1" si="75"/>
        <v>0</v>
      </c>
      <c r="CE74" s="118">
        <f t="shared" ca="1" si="75"/>
        <v>0</v>
      </c>
      <c r="CF74" s="118">
        <f t="shared" ca="1" si="75"/>
        <v>0</v>
      </c>
      <c r="CG74" s="118">
        <f t="shared" ca="1" si="75"/>
        <v>0</v>
      </c>
      <c r="CH74" s="118">
        <f t="shared" ca="1" si="75"/>
        <v>0</v>
      </c>
      <c r="CI74" s="118">
        <f t="shared" ca="1" si="75"/>
        <v>0</v>
      </c>
      <c r="CJ74" s="118">
        <f t="shared" ca="1" si="75"/>
        <v>0</v>
      </c>
      <c r="CK74" s="118">
        <f t="shared" ca="1" si="75"/>
        <v>0</v>
      </c>
      <c r="CL74" s="118">
        <f t="shared" ca="1" si="75"/>
        <v>0</v>
      </c>
      <c r="CM74" s="118">
        <f t="shared" ca="1" si="75"/>
        <v>0</v>
      </c>
      <c r="CN74" s="118">
        <f t="shared" ca="1" si="75"/>
        <v>0</v>
      </c>
      <c r="CO74" s="118">
        <f t="shared" ca="1" si="75"/>
        <v>0</v>
      </c>
      <c r="CP74" s="118">
        <f t="shared" ca="1" si="75"/>
        <v>0</v>
      </c>
      <c r="CQ74" s="118">
        <f t="shared" ca="1" si="75"/>
        <v>0</v>
      </c>
      <c r="CR74" s="118">
        <f t="shared" ca="1" si="75"/>
        <v>0</v>
      </c>
      <c r="CS74" s="118">
        <f t="shared" ca="1" si="75"/>
        <v>0</v>
      </c>
      <c r="CT74" s="118">
        <f t="shared" ca="1" si="75"/>
        <v>0</v>
      </c>
      <c r="CU74" s="118">
        <f t="shared" ca="1" si="75"/>
        <v>0</v>
      </c>
      <c r="CV74" s="118">
        <f t="shared" ca="1" si="75"/>
        <v>0</v>
      </c>
      <c r="CW74" s="118">
        <f t="shared" ca="1" si="75"/>
        <v>0</v>
      </c>
      <c r="CX74" s="118">
        <f t="shared" ca="1" si="75"/>
        <v>0</v>
      </c>
      <c r="CY74" s="118">
        <f t="shared" ca="1" si="75"/>
        <v>0</v>
      </c>
      <c r="CZ74" s="118">
        <f t="shared" ca="1" si="75"/>
        <v>0</v>
      </c>
    </row>
    <row r="75" spans="2:104" x14ac:dyDescent="0.2">
      <c r="B75" s="119" t="str">
        <f>'9. Development Costs'!B57</f>
        <v>Land titles</v>
      </c>
      <c r="C75" s="118">
        <f>-'9. Development Costs'!H57</f>
        <v>0</v>
      </c>
      <c r="D75" s="118">
        <f t="shared" ca="1" si="72"/>
        <v>0</v>
      </c>
      <c r="E75" s="118">
        <f t="shared" ca="1" si="73"/>
        <v>0</v>
      </c>
      <c r="F75" s="109">
        <f ca="1">F74</f>
        <v>46097</v>
      </c>
      <c r="G75" s="272">
        <f ca="1">F75</f>
        <v>46097</v>
      </c>
      <c r="H75" s="125">
        <f t="shared" ca="1" si="76"/>
        <v>1</v>
      </c>
      <c r="I75" s="118">
        <f t="shared" ca="1" si="77"/>
        <v>0</v>
      </c>
      <c r="J75" s="118">
        <f t="shared" ca="1" si="77"/>
        <v>0</v>
      </c>
      <c r="K75" s="118">
        <f t="shared" ca="1" si="77"/>
        <v>0</v>
      </c>
      <c r="L75" s="118">
        <f t="shared" ca="1" si="77"/>
        <v>0</v>
      </c>
      <c r="M75" s="118">
        <f t="shared" ca="1" si="77"/>
        <v>0</v>
      </c>
      <c r="N75" s="118">
        <f t="shared" ca="1" si="77"/>
        <v>0</v>
      </c>
      <c r="O75" s="118">
        <f t="shared" ca="1" si="77"/>
        <v>0</v>
      </c>
      <c r="P75" s="118">
        <f t="shared" ca="1" si="77"/>
        <v>0</v>
      </c>
      <c r="Q75" s="118">
        <f t="shared" ca="1" si="77"/>
        <v>0</v>
      </c>
      <c r="R75" s="118">
        <f t="shared" ca="1" si="77"/>
        <v>0</v>
      </c>
      <c r="S75" s="118">
        <f t="shared" ca="1" si="77"/>
        <v>0</v>
      </c>
      <c r="T75" s="118">
        <f t="shared" ca="1" si="77"/>
        <v>0</v>
      </c>
      <c r="U75" s="118">
        <f t="shared" ca="1" si="77"/>
        <v>0</v>
      </c>
      <c r="V75" s="118">
        <f t="shared" ca="1" si="77"/>
        <v>0</v>
      </c>
      <c r="W75" s="118">
        <f t="shared" ca="1" si="77"/>
        <v>0</v>
      </c>
      <c r="X75" s="118">
        <f t="shared" ca="1" si="77"/>
        <v>0</v>
      </c>
      <c r="Y75" s="118">
        <f t="shared" ca="1" si="79"/>
        <v>0</v>
      </c>
      <c r="Z75" s="118">
        <f t="shared" ca="1" si="79"/>
        <v>0</v>
      </c>
      <c r="AA75" s="118">
        <f t="shared" ca="1" si="79"/>
        <v>0</v>
      </c>
      <c r="AB75" s="118">
        <f t="shared" ca="1" si="79"/>
        <v>0</v>
      </c>
      <c r="AC75" s="118">
        <f t="shared" ca="1" si="79"/>
        <v>0</v>
      </c>
      <c r="AD75" s="118">
        <f t="shared" ca="1" si="79"/>
        <v>0</v>
      </c>
      <c r="AE75" s="118">
        <f t="shared" ca="1" si="79"/>
        <v>0</v>
      </c>
      <c r="AF75" s="118">
        <f t="shared" ca="1" si="79"/>
        <v>0</v>
      </c>
      <c r="AG75" s="118">
        <f t="shared" ca="1" si="79"/>
        <v>0</v>
      </c>
      <c r="AH75" s="118">
        <f t="shared" ca="1" si="79"/>
        <v>0</v>
      </c>
      <c r="AI75" s="118">
        <f t="shared" ca="1" si="79"/>
        <v>0</v>
      </c>
      <c r="AJ75" s="118">
        <f t="shared" ca="1" si="79"/>
        <v>0</v>
      </c>
      <c r="AK75" s="118">
        <f t="shared" ca="1" si="79"/>
        <v>0</v>
      </c>
      <c r="AL75" s="118">
        <f t="shared" ca="1" si="79"/>
        <v>0</v>
      </c>
      <c r="AM75" s="118">
        <f t="shared" ca="1" si="79"/>
        <v>0</v>
      </c>
      <c r="AN75" s="118">
        <f t="shared" ca="1" si="79"/>
        <v>0</v>
      </c>
      <c r="AO75" s="118">
        <f t="shared" ca="1" si="79"/>
        <v>0</v>
      </c>
      <c r="AP75" s="118">
        <f t="shared" ca="1" si="79"/>
        <v>0</v>
      </c>
      <c r="AQ75" s="118">
        <f t="shared" ca="1" si="79"/>
        <v>0</v>
      </c>
      <c r="AR75" s="118">
        <f t="shared" ca="1" si="79"/>
        <v>0</v>
      </c>
      <c r="AS75" s="118">
        <f t="shared" ca="1" si="79"/>
        <v>0</v>
      </c>
      <c r="AT75" s="118">
        <f t="shared" ca="1" si="79"/>
        <v>0</v>
      </c>
      <c r="AU75" s="118">
        <f t="shared" ca="1" si="79"/>
        <v>0</v>
      </c>
      <c r="AV75" s="118">
        <f t="shared" ca="1" si="79"/>
        <v>0</v>
      </c>
      <c r="AW75" s="118">
        <f t="shared" ca="1" si="79"/>
        <v>0</v>
      </c>
      <c r="AX75" s="118">
        <f t="shared" ca="1" si="79"/>
        <v>0</v>
      </c>
      <c r="AY75" s="118">
        <f t="shared" ca="1" si="79"/>
        <v>0</v>
      </c>
      <c r="AZ75" s="118">
        <f t="shared" ca="1" si="79"/>
        <v>0</v>
      </c>
      <c r="BA75" s="118">
        <f t="shared" ca="1" si="79"/>
        <v>0</v>
      </c>
      <c r="BB75" s="118">
        <f t="shared" ca="1" si="79"/>
        <v>0</v>
      </c>
      <c r="BC75" s="118">
        <f t="shared" ca="1" si="79"/>
        <v>0</v>
      </c>
      <c r="BD75" s="118">
        <f t="shared" ca="1" si="79"/>
        <v>0</v>
      </c>
      <c r="BE75" s="118">
        <f t="shared" ca="1" si="79"/>
        <v>0</v>
      </c>
      <c r="BF75" s="118">
        <f t="shared" ca="1" si="79"/>
        <v>0</v>
      </c>
      <c r="BG75" s="118">
        <f t="shared" ca="1" si="79"/>
        <v>0</v>
      </c>
      <c r="BH75" s="118">
        <f t="shared" ca="1" si="79"/>
        <v>0</v>
      </c>
      <c r="BI75" s="118">
        <f t="shared" ca="1" si="79"/>
        <v>0</v>
      </c>
      <c r="BJ75" s="118">
        <f t="shared" ca="1" si="79"/>
        <v>0</v>
      </c>
      <c r="BK75" s="118">
        <f t="shared" ca="1" si="79"/>
        <v>0</v>
      </c>
      <c r="BL75" s="118">
        <f t="shared" ca="1" si="79"/>
        <v>0</v>
      </c>
      <c r="BM75" s="118">
        <f t="shared" ca="1" si="79"/>
        <v>0</v>
      </c>
      <c r="BN75" s="118">
        <f t="shared" ca="1" si="79"/>
        <v>0</v>
      </c>
      <c r="BO75" s="118">
        <f t="shared" ca="1" si="79"/>
        <v>0</v>
      </c>
      <c r="BP75" s="118">
        <f t="shared" ca="1" si="79"/>
        <v>0</v>
      </c>
      <c r="BQ75" s="118">
        <f t="shared" ca="1" si="79"/>
        <v>0</v>
      </c>
      <c r="BR75" s="118">
        <f t="shared" ca="1" si="79"/>
        <v>0</v>
      </c>
      <c r="BS75" s="118">
        <f t="shared" ca="1" si="79"/>
        <v>0</v>
      </c>
      <c r="BT75" s="118">
        <f t="shared" ca="1" si="79"/>
        <v>0</v>
      </c>
      <c r="BU75" s="118">
        <f t="shared" ca="1" si="79"/>
        <v>0</v>
      </c>
      <c r="BV75" s="118">
        <f t="shared" ca="1" si="75"/>
        <v>0</v>
      </c>
      <c r="BW75" s="118">
        <f t="shared" ca="1" si="75"/>
        <v>0</v>
      </c>
      <c r="BX75" s="118">
        <f t="shared" ca="1" si="75"/>
        <v>0</v>
      </c>
      <c r="BY75" s="118">
        <f t="shared" ca="1" si="75"/>
        <v>0</v>
      </c>
      <c r="BZ75" s="118">
        <f t="shared" ca="1" si="75"/>
        <v>0</v>
      </c>
      <c r="CA75" s="118">
        <f t="shared" ca="1" si="75"/>
        <v>0</v>
      </c>
      <c r="CB75" s="118">
        <f t="shared" ca="1" si="75"/>
        <v>0</v>
      </c>
      <c r="CC75" s="118">
        <f t="shared" ca="1" si="75"/>
        <v>0</v>
      </c>
      <c r="CD75" s="118">
        <f t="shared" ca="1" si="75"/>
        <v>0</v>
      </c>
      <c r="CE75" s="118">
        <f t="shared" ca="1" si="75"/>
        <v>0</v>
      </c>
      <c r="CF75" s="118">
        <f t="shared" ca="1" si="75"/>
        <v>0</v>
      </c>
      <c r="CG75" s="118">
        <f t="shared" ca="1" si="75"/>
        <v>0</v>
      </c>
      <c r="CH75" s="118">
        <f t="shared" ca="1" si="75"/>
        <v>0</v>
      </c>
      <c r="CI75" s="118">
        <f t="shared" ca="1" si="75"/>
        <v>0</v>
      </c>
      <c r="CJ75" s="118">
        <f t="shared" ca="1" si="75"/>
        <v>0</v>
      </c>
      <c r="CK75" s="118">
        <f t="shared" ca="1" si="75"/>
        <v>0</v>
      </c>
      <c r="CL75" s="118">
        <f t="shared" ca="1" si="75"/>
        <v>0</v>
      </c>
      <c r="CM75" s="118">
        <f t="shared" ca="1" si="75"/>
        <v>0</v>
      </c>
      <c r="CN75" s="118">
        <f t="shared" ca="1" si="75"/>
        <v>0</v>
      </c>
      <c r="CO75" s="118">
        <f t="shared" ca="1" si="75"/>
        <v>0</v>
      </c>
      <c r="CP75" s="118">
        <f t="shared" ca="1" si="75"/>
        <v>0</v>
      </c>
      <c r="CQ75" s="118">
        <f t="shared" ca="1" si="75"/>
        <v>0</v>
      </c>
      <c r="CR75" s="118">
        <f t="shared" ca="1" si="75"/>
        <v>0</v>
      </c>
      <c r="CS75" s="118">
        <f t="shared" ca="1" si="75"/>
        <v>0</v>
      </c>
      <c r="CT75" s="118">
        <f t="shared" ca="1" si="75"/>
        <v>0</v>
      </c>
      <c r="CU75" s="118">
        <f t="shared" ca="1" si="75"/>
        <v>0</v>
      </c>
      <c r="CV75" s="118">
        <f t="shared" ca="1" si="75"/>
        <v>0</v>
      </c>
      <c r="CW75" s="118">
        <f t="shared" ca="1" si="75"/>
        <v>0</v>
      </c>
      <c r="CX75" s="118">
        <f t="shared" ca="1" si="75"/>
        <v>0</v>
      </c>
      <c r="CY75" s="118">
        <f t="shared" ca="1" si="75"/>
        <v>0</v>
      </c>
      <c r="CZ75" s="118">
        <f t="shared" ca="1" si="75"/>
        <v>0</v>
      </c>
    </row>
    <row r="76" spans="2:104" x14ac:dyDescent="0.2">
      <c r="B76" s="119" t="str">
        <f>'9. Development Costs'!B58</f>
        <v>Permit and approval contingency</v>
      </c>
      <c r="C76" s="118">
        <f>-'9. Development Costs'!H58</f>
        <v>-359605.30000000005</v>
      </c>
      <c r="D76" s="118">
        <f t="shared" ca="1" si="72"/>
        <v>0</v>
      </c>
      <c r="E76" s="118">
        <f t="shared" ca="1" si="73"/>
        <v>-359605.30000000005</v>
      </c>
      <c r="F76" s="272">
        <f t="shared" ca="1" si="82"/>
        <v>46097</v>
      </c>
      <c r="G76" s="272">
        <f ca="1">G67</f>
        <v>46462</v>
      </c>
      <c r="H76" s="125">
        <f t="shared" ca="1" si="76"/>
        <v>13</v>
      </c>
      <c r="I76" s="118">
        <f t="shared" ca="1" si="77"/>
        <v>0</v>
      </c>
      <c r="J76" s="118">
        <f t="shared" ca="1" si="77"/>
        <v>-27661.946153846158</v>
      </c>
      <c r="K76" s="118">
        <f t="shared" ca="1" si="77"/>
        <v>-27661.946153846158</v>
      </c>
      <c r="L76" s="118">
        <f t="shared" ca="1" si="77"/>
        <v>-27661.946153846158</v>
      </c>
      <c r="M76" s="118">
        <f t="shared" ca="1" si="77"/>
        <v>-27661.946153846158</v>
      </c>
      <c r="N76" s="118">
        <f t="shared" ca="1" si="77"/>
        <v>-27661.946153846158</v>
      </c>
      <c r="O76" s="118">
        <f t="shared" ca="1" si="77"/>
        <v>-27661.946153846158</v>
      </c>
      <c r="P76" s="118">
        <f t="shared" ca="1" si="77"/>
        <v>-27661.946153846158</v>
      </c>
      <c r="Q76" s="118">
        <f t="shared" ca="1" si="77"/>
        <v>-27661.946153846158</v>
      </c>
      <c r="R76" s="118">
        <f t="shared" ca="1" si="77"/>
        <v>-27661.946153846158</v>
      </c>
      <c r="S76" s="118">
        <f t="shared" ca="1" si="77"/>
        <v>-27661.946153846158</v>
      </c>
      <c r="T76" s="118">
        <f t="shared" ca="1" si="77"/>
        <v>-27661.946153846158</v>
      </c>
      <c r="U76" s="118">
        <f t="shared" ca="1" si="77"/>
        <v>-27661.946153846158</v>
      </c>
      <c r="V76" s="118">
        <f t="shared" ca="1" si="77"/>
        <v>-27661.946153846158</v>
      </c>
      <c r="W76" s="118">
        <f t="shared" ca="1" si="77"/>
        <v>0</v>
      </c>
      <c r="X76" s="118">
        <f t="shared" ca="1" si="77"/>
        <v>0</v>
      </c>
      <c r="Y76" s="118">
        <f t="shared" ca="1" si="79"/>
        <v>0</v>
      </c>
      <c r="Z76" s="118">
        <f t="shared" ca="1" si="79"/>
        <v>0</v>
      </c>
      <c r="AA76" s="118">
        <f t="shared" ca="1" si="79"/>
        <v>0</v>
      </c>
      <c r="AB76" s="118">
        <f t="shared" ca="1" si="79"/>
        <v>0</v>
      </c>
      <c r="AC76" s="118">
        <f t="shared" ca="1" si="79"/>
        <v>0</v>
      </c>
      <c r="AD76" s="118">
        <f t="shared" ca="1" si="79"/>
        <v>0</v>
      </c>
      <c r="AE76" s="118">
        <f t="shared" ca="1" si="79"/>
        <v>0</v>
      </c>
      <c r="AF76" s="118">
        <f t="shared" ca="1" si="79"/>
        <v>0</v>
      </c>
      <c r="AG76" s="118">
        <f t="shared" ca="1" si="79"/>
        <v>0</v>
      </c>
      <c r="AH76" s="118">
        <f t="shared" ca="1" si="79"/>
        <v>0</v>
      </c>
      <c r="AI76" s="118">
        <f t="shared" ca="1" si="79"/>
        <v>0</v>
      </c>
      <c r="AJ76" s="118">
        <f t="shared" ca="1" si="79"/>
        <v>0</v>
      </c>
      <c r="AK76" s="118">
        <f t="shared" ca="1" si="79"/>
        <v>0</v>
      </c>
      <c r="AL76" s="118">
        <f t="shared" ca="1" si="79"/>
        <v>0</v>
      </c>
      <c r="AM76" s="118">
        <f t="shared" ca="1" si="79"/>
        <v>0</v>
      </c>
      <c r="AN76" s="118">
        <f t="shared" ca="1" si="79"/>
        <v>0</v>
      </c>
      <c r="AO76" s="118">
        <f t="shared" ca="1" si="79"/>
        <v>0</v>
      </c>
      <c r="AP76" s="118">
        <f t="shared" ca="1" si="79"/>
        <v>0</v>
      </c>
      <c r="AQ76" s="118">
        <f t="shared" ca="1" si="79"/>
        <v>0</v>
      </c>
      <c r="AR76" s="118">
        <f t="shared" ca="1" si="79"/>
        <v>0</v>
      </c>
      <c r="AS76" s="118">
        <f t="shared" ca="1" si="79"/>
        <v>0</v>
      </c>
      <c r="AT76" s="118">
        <f t="shared" ca="1" si="79"/>
        <v>0</v>
      </c>
      <c r="AU76" s="118">
        <f t="shared" ca="1" si="79"/>
        <v>0</v>
      </c>
      <c r="AV76" s="118">
        <f t="shared" ca="1" si="79"/>
        <v>0</v>
      </c>
      <c r="AW76" s="118">
        <f t="shared" ca="1" si="79"/>
        <v>0</v>
      </c>
      <c r="AX76" s="118">
        <f t="shared" ca="1" si="79"/>
        <v>0</v>
      </c>
      <c r="AY76" s="118">
        <f t="shared" ca="1" si="79"/>
        <v>0</v>
      </c>
      <c r="AZ76" s="118">
        <f t="shared" ca="1" si="79"/>
        <v>0</v>
      </c>
      <c r="BA76" s="118">
        <f t="shared" ca="1" si="79"/>
        <v>0</v>
      </c>
      <c r="BB76" s="118">
        <f t="shared" ca="1" si="79"/>
        <v>0</v>
      </c>
      <c r="BC76" s="118">
        <f t="shared" ca="1" si="79"/>
        <v>0</v>
      </c>
      <c r="BD76" s="118">
        <f t="shared" ca="1" si="79"/>
        <v>0</v>
      </c>
      <c r="BE76" s="118">
        <f t="shared" ca="1" si="79"/>
        <v>0</v>
      </c>
      <c r="BF76" s="118">
        <f t="shared" ca="1" si="79"/>
        <v>0</v>
      </c>
      <c r="BG76" s="118">
        <f t="shared" ca="1" si="79"/>
        <v>0</v>
      </c>
      <c r="BH76" s="118">
        <f t="shared" ca="1" si="79"/>
        <v>0</v>
      </c>
      <c r="BI76" s="118">
        <f t="shared" ca="1" si="79"/>
        <v>0</v>
      </c>
      <c r="BJ76" s="118">
        <f t="shared" ca="1" si="79"/>
        <v>0</v>
      </c>
      <c r="BK76" s="118">
        <f t="shared" ca="1" si="79"/>
        <v>0</v>
      </c>
      <c r="BL76" s="118">
        <f t="shared" ca="1" si="79"/>
        <v>0</v>
      </c>
      <c r="BM76" s="118">
        <f t="shared" ca="1" si="79"/>
        <v>0</v>
      </c>
      <c r="BN76" s="118">
        <f t="shared" ca="1" si="79"/>
        <v>0</v>
      </c>
      <c r="BO76" s="118">
        <f t="shared" ca="1" si="79"/>
        <v>0</v>
      </c>
      <c r="BP76" s="118">
        <f t="shared" ca="1" si="79"/>
        <v>0</v>
      </c>
      <c r="BQ76" s="118">
        <f t="shared" ca="1" si="79"/>
        <v>0</v>
      </c>
      <c r="BR76" s="118">
        <f t="shared" ca="1" si="79"/>
        <v>0</v>
      </c>
      <c r="BS76" s="118">
        <f t="shared" ca="1" si="79"/>
        <v>0</v>
      </c>
      <c r="BT76" s="118">
        <f t="shared" ca="1" si="79"/>
        <v>0</v>
      </c>
      <c r="BU76" s="118">
        <f t="shared" ca="1" si="79"/>
        <v>0</v>
      </c>
      <c r="BV76" s="118">
        <f t="shared" ca="1" si="75"/>
        <v>0</v>
      </c>
      <c r="BW76" s="118">
        <f t="shared" ca="1" si="75"/>
        <v>0</v>
      </c>
      <c r="BX76" s="118">
        <f t="shared" ca="1" si="75"/>
        <v>0</v>
      </c>
      <c r="BY76" s="118">
        <f t="shared" ca="1" si="75"/>
        <v>0</v>
      </c>
      <c r="BZ76" s="118">
        <f t="shared" ca="1" si="75"/>
        <v>0</v>
      </c>
      <c r="CA76" s="118">
        <f t="shared" ca="1" si="75"/>
        <v>0</v>
      </c>
      <c r="CB76" s="118">
        <f t="shared" ca="1" si="75"/>
        <v>0</v>
      </c>
      <c r="CC76" s="118">
        <f t="shared" ca="1" si="75"/>
        <v>0</v>
      </c>
      <c r="CD76" s="118">
        <f t="shared" ca="1" si="75"/>
        <v>0</v>
      </c>
      <c r="CE76" s="118">
        <f t="shared" ca="1" si="75"/>
        <v>0</v>
      </c>
      <c r="CF76" s="118">
        <f t="shared" ca="1" si="75"/>
        <v>0</v>
      </c>
      <c r="CG76" s="118">
        <f t="shared" ca="1" si="75"/>
        <v>0</v>
      </c>
      <c r="CH76" s="118">
        <f t="shared" ca="1" si="75"/>
        <v>0</v>
      </c>
      <c r="CI76" s="118">
        <f t="shared" ca="1" si="75"/>
        <v>0</v>
      </c>
      <c r="CJ76" s="118">
        <f t="shared" ca="1" si="75"/>
        <v>0</v>
      </c>
      <c r="CK76" s="118">
        <f t="shared" ca="1" si="75"/>
        <v>0</v>
      </c>
      <c r="CL76" s="118">
        <f t="shared" ca="1" si="75"/>
        <v>0</v>
      </c>
      <c r="CM76" s="118">
        <f t="shared" ca="1" si="75"/>
        <v>0</v>
      </c>
      <c r="CN76" s="118">
        <f t="shared" ca="1" si="75"/>
        <v>0</v>
      </c>
      <c r="CO76" s="118">
        <f t="shared" ca="1" si="75"/>
        <v>0</v>
      </c>
      <c r="CP76" s="118">
        <f t="shared" ca="1" si="75"/>
        <v>0</v>
      </c>
      <c r="CQ76" s="118">
        <f t="shared" ca="1" si="75"/>
        <v>0</v>
      </c>
      <c r="CR76" s="118">
        <f t="shared" ca="1" si="75"/>
        <v>0</v>
      </c>
      <c r="CS76" s="118">
        <f t="shared" ca="1" si="75"/>
        <v>0</v>
      </c>
      <c r="CT76" s="118">
        <f t="shared" ca="1" si="75"/>
        <v>0</v>
      </c>
      <c r="CU76" s="118">
        <f t="shared" ca="1" si="75"/>
        <v>0</v>
      </c>
      <c r="CV76" s="118">
        <f t="shared" ca="1" si="75"/>
        <v>0</v>
      </c>
      <c r="CW76" s="118">
        <f t="shared" ca="1" si="75"/>
        <v>0</v>
      </c>
      <c r="CX76" s="118">
        <f t="shared" ca="1" si="75"/>
        <v>0</v>
      </c>
      <c r="CY76" s="118">
        <f t="shared" ca="1" si="75"/>
        <v>0</v>
      </c>
      <c r="CZ76" s="118">
        <f t="shared" ca="1" si="75"/>
        <v>0</v>
      </c>
    </row>
    <row r="77" spans="2:104" x14ac:dyDescent="0.2">
      <c r="B77" s="127" t="str">
        <f>'9. Development Costs'!B59</f>
        <v>Total Permit and Approvals</v>
      </c>
      <c r="C77" s="128">
        <f>-'9. Development Costs'!H59</f>
        <v>-7449711.2999999998</v>
      </c>
      <c r="D77" s="128">
        <f t="shared" ref="D77" ca="1" si="83">C77-E77</f>
        <v>0</v>
      </c>
      <c r="E77" s="128">
        <f t="shared" ca="1" si="73"/>
        <v>-7449711.2999999998</v>
      </c>
      <c r="F77" s="132"/>
      <c r="G77" s="132"/>
      <c r="H77" s="133"/>
      <c r="I77" s="128">
        <f ca="1">SUM(I67:I76)</f>
        <v>0</v>
      </c>
      <c r="J77" s="128">
        <f t="shared" ref="J77:BU77" ca="1" si="84">SUM(J67:J76)</f>
        <v>-27661.946153846158</v>
      </c>
      <c r="K77" s="128">
        <f t="shared" ca="1" si="84"/>
        <v>-27661.946153846158</v>
      </c>
      <c r="L77" s="128">
        <f t="shared" ca="1" si="84"/>
        <v>-27661.946153846158</v>
      </c>
      <c r="M77" s="128">
        <f t="shared" ca="1" si="84"/>
        <v>-27661.946153846158</v>
      </c>
      <c r="N77" s="128">
        <f t="shared" ca="1" si="84"/>
        <v>-27661.946153846158</v>
      </c>
      <c r="O77" s="128">
        <f t="shared" ca="1" si="84"/>
        <v>-27661.946153846158</v>
      </c>
      <c r="P77" s="128">
        <f t="shared" ca="1" si="84"/>
        <v>-27661.946153846158</v>
      </c>
      <c r="Q77" s="128">
        <f t="shared" ca="1" si="84"/>
        <v>-27661.946153846158</v>
      </c>
      <c r="R77" s="128">
        <f t="shared" ca="1" si="84"/>
        <v>-27661.946153846158</v>
      </c>
      <c r="S77" s="128">
        <f t="shared" ca="1" si="84"/>
        <v>-27661.946153846158</v>
      </c>
      <c r="T77" s="128">
        <f t="shared" ca="1" si="84"/>
        <v>-27661.946153846158</v>
      </c>
      <c r="U77" s="128">
        <f t="shared" ca="1" si="84"/>
        <v>-27661.946153846158</v>
      </c>
      <c r="V77" s="128">
        <f t="shared" ca="1" si="84"/>
        <v>-27661.946153846158</v>
      </c>
      <c r="W77" s="128">
        <f t="shared" ca="1" si="84"/>
        <v>0</v>
      </c>
      <c r="X77" s="128">
        <f t="shared" ca="1" si="84"/>
        <v>0</v>
      </c>
      <c r="Y77" s="128">
        <f t="shared" ca="1" si="84"/>
        <v>0</v>
      </c>
      <c r="Z77" s="128">
        <f t="shared" ca="1" si="84"/>
        <v>0</v>
      </c>
      <c r="AA77" s="128">
        <f t="shared" ca="1" si="84"/>
        <v>0</v>
      </c>
      <c r="AB77" s="128">
        <f t="shared" ca="1" si="84"/>
        <v>0</v>
      </c>
      <c r="AC77" s="128">
        <f t="shared" ca="1" si="84"/>
        <v>0</v>
      </c>
      <c r="AD77" s="128">
        <f t="shared" ca="1" si="84"/>
        <v>0</v>
      </c>
      <c r="AE77" s="128">
        <f t="shared" ca="1" si="84"/>
        <v>0</v>
      </c>
      <c r="AF77" s="128">
        <f t="shared" ca="1" si="84"/>
        <v>0</v>
      </c>
      <c r="AG77" s="128">
        <f t="shared" ca="1" si="84"/>
        <v>0</v>
      </c>
      <c r="AH77" s="128">
        <f t="shared" ca="1" si="84"/>
        <v>0</v>
      </c>
      <c r="AI77" s="128">
        <f t="shared" ca="1" si="84"/>
        <v>0</v>
      </c>
      <c r="AJ77" s="128">
        <f t="shared" ca="1" si="84"/>
        <v>0</v>
      </c>
      <c r="AK77" s="128">
        <f t="shared" ca="1" si="84"/>
        <v>0</v>
      </c>
      <c r="AL77" s="128">
        <f t="shared" ca="1" si="84"/>
        <v>0</v>
      </c>
      <c r="AM77" s="128">
        <f t="shared" ca="1" si="84"/>
        <v>0</v>
      </c>
      <c r="AN77" s="128">
        <f t="shared" ca="1" si="84"/>
        <v>0</v>
      </c>
      <c r="AO77" s="128">
        <f t="shared" ca="1" si="84"/>
        <v>-7090106</v>
      </c>
      <c r="AP77" s="128">
        <f t="shared" ca="1" si="84"/>
        <v>0</v>
      </c>
      <c r="AQ77" s="128">
        <f t="shared" ca="1" si="84"/>
        <v>0</v>
      </c>
      <c r="AR77" s="128">
        <f t="shared" ca="1" si="84"/>
        <v>0</v>
      </c>
      <c r="AS77" s="128">
        <f t="shared" ca="1" si="84"/>
        <v>0</v>
      </c>
      <c r="AT77" s="128">
        <f t="shared" ca="1" si="84"/>
        <v>0</v>
      </c>
      <c r="AU77" s="128">
        <f t="shared" ca="1" si="84"/>
        <v>0</v>
      </c>
      <c r="AV77" s="128">
        <f t="shared" ca="1" si="84"/>
        <v>0</v>
      </c>
      <c r="AW77" s="128">
        <f t="shared" ca="1" si="84"/>
        <v>0</v>
      </c>
      <c r="AX77" s="128">
        <f t="shared" ca="1" si="84"/>
        <v>0</v>
      </c>
      <c r="AY77" s="128">
        <f t="shared" ca="1" si="84"/>
        <v>0</v>
      </c>
      <c r="AZ77" s="128">
        <f t="shared" ca="1" si="84"/>
        <v>0</v>
      </c>
      <c r="BA77" s="128">
        <f t="shared" ca="1" si="84"/>
        <v>0</v>
      </c>
      <c r="BB77" s="128">
        <f t="shared" ca="1" si="84"/>
        <v>0</v>
      </c>
      <c r="BC77" s="128">
        <f t="shared" ca="1" si="84"/>
        <v>0</v>
      </c>
      <c r="BD77" s="128">
        <f t="shared" ca="1" si="84"/>
        <v>0</v>
      </c>
      <c r="BE77" s="128">
        <f t="shared" ca="1" si="84"/>
        <v>0</v>
      </c>
      <c r="BF77" s="128">
        <f t="shared" ca="1" si="84"/>
        <v>0</v>
      </c>
      <c r="BG77" s="128">
        <f t="shared" ca="1" si="84"/>
        <v>0</v>
      </c>
      <c r="BH77" s="128">
        <f t="shared" ca="1" si="84"/>
        <v>0</v>
      </c>
      <c r="BI77" s="128">
        <f t="shared" ca="1" si="84"/>
        <v>0</v>
      </c>
      <c r="BJ77" s="128">
        <f t="shared" ca="1" si="84"/>
        <v>0</v>
      </c>
      <c r="BK77" s="128">
        <f t="shared" ca="1" si="84"/>
        <v>0</v>
      </c>
      <c r="BL77" s="128">
        <f t="shared" ca="1" si="84"/>
        <v>0</v>
      </c>
      <c r="BM77" s="128">
        <f t="shared" ca="1" si="84"/>
        <v>0</v>
      </c>
      <c r="BN77" s="128">
        <f t="shared" ca="1" si="84"/>
        <v>0</v>
      </c>
      <c r="BO77" s="128">
        <f t="shared" ca="1" si="84"/>
        <v>0</v>
      </c>
      <c r="BP77" s="128">
        <f t="shared" ca="1" si="84"/>
        <v>0</v>
      </c>
      <c r="BQ77" s="128">
        <f t="shared" ca="1" si="84"/>
        <v>0</v>
      </c>
      <c r="BR77" s="128">
        <f t="shared" ca="1" si="84"/>
        <v>0</v>
      </c>
      <c r="BS77" s="128">
        <f t="shared" ca="1" si="84"/>
        <v>0</v>
      </c>
      <c r="BT77" s="128">
        <f t="shared" ca="1" si="84"/>
        <v>0</v>
      </c>
      <c r="BU77" s="128">
        <f t="shared" ca="1" si="84"/>
        <v>0</v>
      </c>
      <c r="BV77" s="128">
        <f t="shared" ref="BV77:CZ77" ca="1" si="85">SUM(BV67:BV76)</f>
        <v>0</v>
      </c>
      <c r="BW77" s="128">
        <f t="shared" ca="1" si="85"/>
        <v>0</v>
      </c>
      <c r="BX77" s="128">
        <f t="shared" ca="1" si="85"/>
        <v>0</v>
      </c>
      <c r="BY77" s="128">
        <f t="shared" ca="1" si="85"/>
        <v>0</v>
      </c>
      <c r="BZ77" s="128">
        <f t="shared" ca="1" si="85"/>
        <v>0</v>
      </c>
      <c r="CA77" s="128">
        <f t="shared" ca="1" si="85"/>
        <v>0</v>
      </c>
      <c r="CB77" s="128">
        <f t="shared" ca="1" si="85"/>
        <v>0</v>
      </c>
      <c r="CC77" s="128">
        <f t="shared" ca="1" si="85"/>
        <v>0</v>
      </c>
      <c r="CD77" s="128">
        <f t="shared" ca="1" si="85"/>
        <v>0</v>
      </c>
      <c r="CE77" s="128">
        <f t="shared" ca="1" si="85"/>
        <v>0</v>
      </c>
      <c r="CF77" s="128">
        <f t="shared" ca="1" si="85"/>
        <v>0</v>
      </c>
      <c r="CG77" s="128">
        <f t="shared" ca="1" si="85"/>
        <v>0</v>
      </c>
      <c r="CH77" s="128">
        <f t="shared" ca="1" si="85"/>
        <v>0</v>
      </c>
      <c r="CI77" s="128">
        <f t="shared" ca="1" si="85"/>
        <v>0</v>
      </c>
      <c r="CJ77" s="128">
        <f t="shared" ca="1" si="85"/>
        <v>0</v>
      </c>
      <c r="CK77" s="128">
        <f t="shared" ca="1" si="85"/>
        <v>0</v>
      </c>
      <c r="CL77" s="128">
        <f t="shared" ca="1" si="85"/>
        <v>0</v>
      </c>
      <c r="CM77" s="128">
        <f t="shared" ca="1" si="85"/>
        <v>0</v>
      </c>
      <c r="CN77" s="128">
        <f t="shared" ca="1" si="85"/>
        <v>0</v>
      </c>
      <c r="CO77" s="128">
        <f t="shared" ca="1" si="85"/>
        <v>0</v>
      </c>
      <c r="CP77" s="128">
        <f t="shared" ca="1" si="85"/>
        <v>0</v>
      </c>
      <c r="CQ77" s="128">
        <f t="shared" ca="1" si="85"/>
        <v>0</v>
      </c>
      <c r="CR77" s="128">
        <f t="shared" ca="1" si="85"/>
        <v>0</v>
      </c>
      <c r="CS77" s="128">
        <f t="shared" ca="1" si="85"/>
        <v>0</v>
      </c>
      <c r="CT77" s="128">
        <f t="shared" ca="1" si="85"/>
        <v>0</v>
      </c>
      <c r="CU77" s="128">
        <f t="shared" ca="1" si="85"/>
        <v>0</v>
      </c>
      <c r="CV77" s="128">
        <f t="shared" ca="1" si="85"/>
        <v>0</v>
      </c>
      <c r="CW77" s="128">
        <f t="shared" ca="1" si="85"/>
        <v>0</v>
      </c>
      <c r="CX77" s="128">
        <f t="shared" ca="1" si="85"/>
        <v>0</v>
      </c>
      <c r="CY77" s="128">
        <f t="shared" ca="1" si="85"/>
        <v>0</v>
      </c>
      <c r="CZ77" s="128">
        <f t="shared" ca="1" si="85"/>
        <v>0</v>
      </c>
    </row>
    <row r="78" spans="2:104" x14ac:dyDescent="0.2">
      <c r="B78" s="119"/>
      <c r="C78" s="118"/>
      <c r="D78" s="118"/>
      <c r="E78" s="118"/>
      <c r="F78" s="98"/>
      <c r="G78" s="109"/>
      <c r="H78" s="125"/>
      <c r="I78" s="118"/>
      <c r="J78" s="118"/>
      <c r="K78" s="118"/>
      <c r="L78" s="118"/>
      <c r="M78" s="118"/>
      <c r="N78" s="118"/>
      <c r="O78" s="118"/>
      <c r="P78" s="118"/>
      <c r="Q78" s="118"/>
      <c r="R78" s="118"/>
      <c r="S78" s="118"/>
      <c r="T78" s="118"/>
      <c r="U78" s="118"/>
      <c r="V78" s="118"/>
      <c r="W78" s="118"/>
      <c r="X78" s="118"/>
      <c r="Y78" s="118"/>
      <c r="Z78" s="118"/>
      <c r="AA78" s="118"/>
      <c r="AB78" s="118"/>
      <c r="AC78" s="118"/>
      <c r="AD78" s="118"/>
      <c r="AE78" s="118"/>
      <c r="AF78" s="118"/>
      <c r="AG78" s="118"/>
      <c r="AH78" s="118"/>
      <c r="AI78" s="118"/>
      <c r="AJ78" s="118"/>
      <c r="AK78" s="118"/>
      <c r="AL78" s="118"/>
      <c r="AM78" s="118"/>
      <c r="AN78" s="118"/>
      <c r="AO78" s="118"/>
      <c r="AP78" s="118"/>
      <c r="AQ78" s="118"/>
      <c r="AR78" s="118"/>
      <c r="AS78" s="118"/>
      <c r="AT78" s="118"/>
      <c r="AU78" s="118"/>
      <c r="AV78" s="118"/>
      <c r="AW78" s="118"/>
      <c r="AX78" s="118"/>
      <c r="AY78" s="118"/>
      <c r="AZ78" s="118"/>
      <c r="BA78" s="118"/>
      <c r="BB78" s="118"/>
      <c r="BC78" s="118"/>
      <c r="BD78" s="118"/>
      <c r="BE78" s="118"/>
      <c r="BF78" s="118"/>
      <c r="BG78" s="118"/>
      <c r="BH78" s="118"/>
      <c r="BI78" s="118"/>
      <c r="BJ78" s="118"/>
      <c r="BK78" s="118"/>
      <c r="BL78" s="118"/>
      <c r="BM78" s="118"/>
      <c r="BN78" s="118"/>
      <c r="BO78" s="118"/>
      <c r="BP78" s="118"/>
      <c r="BQ78" s="118"/>
      <c r="BR78" s="118"/>
      <c r="BS78" s="118"/>
      <c r="BT78" s="118"/>
      <c r="BU78" s="118"/>
      <c r="BV78" s="118"/>
      <c r="BW78" s="118"/>
      <c r="BX78" s="118"/>
      <c r="BY78" s="118"/>
      <c r="BZ78" s="118"/>
      <c r="CA78" s="118"/>
      <c r="CB78" s="118"/>
      <c r="CC78" s="118"/>
      <c r="CD78" s="118"/>
      <c r="CE78" s="118"/>
      <c r="CF78" s="118"/>
      <c r="CG78" s="118"/>
      <c r="CH78" s="118"/>
      <c r="CI78" s="118"/>
      <c r="CJ78" s="118"/>
      <c r="CK78" s="118"/>
      <c r="CL78" s="118"/>
      <c r="CM78" s="118"/>
      <c r="CN78" s="118"/>
      <c r="CO78" s="118"/>
      <c r="CP78" s="118"/>
      <c r="CQ78" s="118"/>
      <c r="CR78" s="118"/>
      <c r="CS78" s="118"/>
      <c r="CT78" s="118"/>
      <c r="CU78" s="118"/>
      <c r="CV78" s="118"/>
      <c r="CW78" s="118"/>
      <c r="CX78" s="118"/>
      <c r="CY78" s="118"/>
      <c r="CZ78" s="118"/>
    </row>
    <row r="79" spans="2:104" x14ac:dyDescent="0.2">
      <c r="B79" s="126" t="s">
        <v>153</v>
      </c>
      <c r="C79" s="34"/>
      <c r="D79" s="34"/>
      <c r="E79" s="35"/>
      <c r="F79" s="35"/>
      <c r="G79" s="107"/>
      <c r="H79" s="122"/>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c r="CU79" s="34"/>
      <c r="CV79" s="34"/>
      <c r="CW79" s="34"/>
      <c r="CX79" s="34"/>
      <c r="CY79" s="34"/>
      <c r="CZ79" s="34"/>
    </row>
    <row r="80" spans="2:104" x14ac:dyDescent="0.2">
      <c r="B80" s="119" t="str">
        <f>'9. Development Costs'!B65</f>
        <v>Marketing</v>
      </c>
      <c r="C80" s="118">
        <f>-'9. Development Costs'!H66</f>
        <v>-1676350</v>
      </c>
      <c r="D80" s="118">
        <f t="shared" ref="D80" ca="1" si="86">ROUND(C80-E80,0)</f>
        <v>0</v>
      </c>
      <c r="E80" s="118">
        <f t="shared" ref="E80:E81" ca="1" si="87">SUM(I80:CZ80)</f>
        <v>-1676349.9999999998</v>
      </c>
      <c r="F80" s="109">
        <f ca="1">'8. Schedule'!D19</f>
        <v>46981</v>
      </c>
      <c r="G80" s="272">
        <f ca="1">'8. Schedule'!E19</f>
        <v>47315</v>
      </c>
      <c r="H80" s="125">
        <f ca="1">DATEDIF(F80,G80,"m")+1</f>
        <v>12</v>
      </c>
      <c r="I80" s="118">
        <f ca="1">IF(AND(I$7&lt;=$G80,I$7&gt;=$F80,$H80&lt;&gt;0,$H80&lt;&gt;""),$C80/$H80,0)</f>
        <v>0</v>
      </c>
      <c r="J80" s="118">
        <f t="shared" ref="J80:BU80" ca="1" si="88">IF(AND(J$7&lt;=$G80,J$7&gt;=$F80,$H80&lt;&gt;0,$H80&lt;&gt;""),$C80/$H80,0)</f>
        <v>0</v>
      </c>
      <c r="K80" s="118">
        <f t="shared" ca="1" si="88"/>
        <v>0</v>
      </c>
      <c r="L80" s="118">
        <f t="shared" ca="1" si="88"/>
        <v>0</v>
      </c>
      <c r="M80" s="118">
        <f t="shared" ca="1" si="88"/>
        <v>0</v>
      </c>
      <c r="N80" s="118">
        <f t="shared" ca="1" si="88"/>
        <v>0</v>
      </c>
      <c r="O80" s="118">
        <f t="shared" ca="1" si="88"/>
        <v>0</v>
      </c>
      <c r="P80" s="118">
        <f t="shared" ca="1" si="88"/>
        <v>0</v>
      </c>
      <c r="Q80" s="118">
        <f t="shared" ca="1" si="88"/>
        <v>0</v>
      </c>
      <c r="R80" s="118">
        <f t="shared" ca="1" si="88"/>
        <v>0</v>
      </c>
      <c r="S80" s="118">
        <f t="shared" ca="1" si="88"/>
        <v>0</v>
      </c>
      <c r="T80" s="118">
        <f t="shared" ca="1" si="88"/>
        <v>0</v>
      </c>
      <c r="U80" s="118">
        <f t="shared" ca="1" si="88"/>
        <v>0</v>
      </c>
      <c r="V80" s="118">
        <f t="shared" ca="1" si="88"/>
        <v>0</v>
      </c>
      <c r="W80" s="118">
        <f t="shared" ca="1" si="88"/>
        <v>0</v>
      </c>
      <c r="X80" s="118">
        <f t="shared" ca="1" si="88"/>
        <v>0</v>
      </c>
      <c r="Y80" s="118">
        <f t="shared" ca="1" si="88"/>
        <v>0</v>
      </c>
      <c r="Z80" s="118">
        <f t="shared" ca="1" si="88"/>
        <v>0</v>
      </c>
      <c r="AA80" s="118">
        <f t="shared" ca="1" si="88"/>
        <v>0</v>
      </c>
      <c r="AB80" s="118">
        <f t="shared" ca="1" si="88"/>
        <v>0</v>
      </c>
      <c r="AC80" s="118">
        <f t="shared" ca="1" si="88"/>
        <v>0</v>
      </c>
      <c r="AD80" s="118">
        <f t="shared" ca="1" si="88"/>
        <v>0</v>
      </c>
      <c r="AE80" s="118">
        <f t="shared" ca="1" si="88"/>
        <v>0</v>
      </c>
      <c r="AF80" s="118">
        <f t="shared" ca="1" si="88"/>
        <v>0</v>
      </c>
      <c r="AG80" s="118">
        <f t="shared" ca="1" si="88"/>
        <v>0</v>
      </c>
      <c r="AH80" s="118">
        <f t="shared" ca="1" si="88"/>
        <v>0</v>
      </c>
      <c r="AI80" s="118">
        <f t="shared" ca="1" si="88"/>
        <v>0</v>
      </c>
      <c r="AJ80" s="118">
        <f t="shared" ca="1" si="88"/>
        <v>0</v>
      </c>
      <c r="AK80" s="118">
        <f t="shared" ca="1" si="88"/>
        <v>0</v>
      </c>
      <c r="AL80" s="118">
        <f t="shared" ca="1" si="88"/>
        <v>0</v>
      </c>
      <c r="AM80" s="118">
        <f t="shared" ca="1" si="88"/>
        <v>-139695.83333333334</v>
      </c>
      <c r="AN80" s="118">
        <f t="shared" ca="1" si="88"/>
        <v>-139695.83333333334</v>
      </c>
      <c r="AO80" s="118">
        <f t="shared" ca="1" si="88"/>
        <v>-139695.83333333334</v>
      </c>
      <c r="AP80" s="118">
        <f t="shared" ca="1" si="88"/>
        <v>-139695.83333333334</v>
      </c>
      <c r="AQ80" s="118">
        <f t="shared" ca="1" si="88"/>
        <v>-139695.83333333334</v>
      </c>
      <c r="AR80" s="118">
        <f t="shared" ca="1" si="88"/>
        <v>-139695.83333333334</v>
      </c>
      <c r="AS80" s="118">
        <f t="shared" ca="1" si="88"/>
        <v>-139695.83333333334</v>
      </c>
      <c r="AT80" s="118">
        <f t="shared" ca="1" si="88"/>
        <v>-139695.83333333334</v>
      </c>
      <c r="AU80" s="118">
        <f t="shared" ca="1" si="88"/>
        <v>-139695.83333333334</v>
      </c>
      <c r="AV80" s="118">
        <f t="shared" ca="1" si="88"/>
        <v>-139695.83333333334</v>
      </c>
      <c r="AW80" s="118">
        <f t="shared" ca="1" si="88"/>
        <v>-139695.83333333334</v>
      </c>
      <c r="AX80" s="118">
        <f t="shared" ca="1" si="88"/>
        <v>-139695.83333333334</v>
      </c>
      <c r="AY80" s="118">
        <f t="shared" ca="1" si="88"/>
        <v>0</v>
      </c>
      <c r="AZ80" s="118">
        <f t="shared" ca="1" si="88"/>
        <v>0</v>
      </c>
      <c r="BA80" s="118">
        <f t="shared" ca="1" si="88"/>
        <v>0</v>
      </c>
      <c r="BB80" s="118">
        <f t="shared" ca="1" si="88"/>
        <v>0</v>
      </c>
      <c r="BC80" s="118">
        <f t="shared" ca="1" si="88"/>
        <v>0</v>
      </c>
      <c r="BD80" s="118">
        <f t="shared" ca="1" si="88"/>
        <v>0</v>
      </c>
      <c r="BE80" s="118">
        <f t="shared" ca="1" si="88"/>
        <v>0</v>
      </c>
      <c r="BF80" s="118">
        <f t="shared" ca="1" si="88"/>
        <v>0</v>
      </c>
      <c r="BG80" s="118">
        <f t="shared" ca="1" si="88"/>
        <v>0</v>
      </c>
      <c r="BH80" s="118">
        <f t="shared" ca="1" si="88"/>
        <v>0</v>
      </c>
      <c r="BI80" s="118">
        <f t="shared" ca="1" si="88"/>
        <v>0</v>
      </c>
      <c r="BJ80" s="118">
        <f t="shared" ca="1" si="88"/>
        <v>0</v>
      </c>
      <c r="BK80" s="118">
        <f t="shared" ca="1" si="88"/>
        <v>0</v>
      </c>
      <c r="BL80" s="118">
        <f t="shared" ca="1" si="88"/>
        <v>0</v>
      </c>
      <c r="BM80" s="118">
        <f t="shared" ca="1" si="88"/>
        <v>0</v>
      </c>
      <c r="BN80" s="118">
        <f t="shared" ca="1" si="88"/>
        <v>0</v>
      </c>
      <c r="BO80" s="118">
        <f t="shared" ca="1" si="88"/>
        <v>0</v>
      </c>
      <c r="BP80" s="118">
        <f t="shared" ca="1" si="88"/>
        <v>0</v>
      </c>
      <c r="BQ80" s="118">
        <f t="shared" ca="1" si="88"/>
        <v>0</v>
      </c>
      <c r="BR80" s="118">
        <f t="shared" ca="1" si="88"/>
        <v>0</v>
      </c>
      <c r="BS80" s="118">
        <f t="shared" ca="1" si="88"/>
        <v>0</v>
      </c>
      <c r="BT80" s="118">
        <f t="shared" ca="1" si="88"/>
        <v>0</v>
      </c>
      <c r="BU80" s="118">
        <f t="shared" ca="1" si="88"/>
        <v>0</v>
      </c>
      <c r="BV80" s="118">
        <f t="shared" ref="BV80:CZ80" ca="1" si="89">IF(AND(BV$7&lt;=$G80,BV$7&gt;=$F80,$H80&lt;&gt;0,$H80&lt;&gt;""),$C80/$H80,0)</f>
        <v>0</v>
      </c>
      <c r="BW80" s="118">
        <f t="shared" ca="1" si="89"/>
        <v>0</v>
      </c>
      <c r="BX80" s="118">
        <f t="shared" ca="1" si="89"/>
        <v>0</v>
      </c>
      <c r="BY80" s="118">
        <f t="shared" ca="1" si="89"/>
        <v>0</v>
      </c>
      <c r="BZ80" s="118">
        <f t="shared" ca="1" si="89"/>
        <v>0</v>
      </c>
      <c r="CA80" s="118">
        <f t="shared" ca="1" si="89"/>
        <v>0</v>
      </c>
      <c r="CB80" s="118">
        <f t="shared" ca="1" si="89"/>
        <v>0</v>
      </c>
      <c r="CC80" s="118">
        <f t="shared" ca="1" si="89"/>
        <v>0</v>
      </c>
      <c r="CD80" s="118">
        <f t="shared" ca="1" si="89"/>
        <v>0</v>
      </c>
      <c r="CE80" s="118">
        <f t="shared" ca="1" si="89"/>
        <v>0</v>
      </c>
      <c r="CF80" s="118">
        <f t="shared" ca="1" si="89"/>
        <v>0</v>
      </c>
      <c r="CG80" s="118">
        <f t="shared" ca="1" si="89"/>
        <v>0</v>
      </c>
      <c r="CH80" s="118">
        <f t="shared" ca="1" si="89"/>
        <v>0</v>
      </c>
      <c r="CI80" s="118">
        <f t="shared" ca="1" si="89"/>
        <v>0</v>
      </c>
      <c r="CJ80" s="118">
        <f t="shared" ca="1" si="89"/>
        <v>0</v>
      </c>
      <c r="CK80" s="118">
        <f t="shared" ca="1" si="89"/>
        <v>0</v>
      </c>
      <c r="CL80" s="118">
        <f t="shared" ca="1" si="89"/>
        <v>0</v>
      </c>
      <c r="CM80" s="118">
        <f t="shared" ca="1" si="89"/>
        <v>0</v>
      </c>
      <c r="CN80" s="118">
        <f t="shared" ca="1" si="89"/>
        <v>0</v>
      </c>
      <c r="CO80" s="118">
        <f t="shared" ca="1" si="89"/>
        <v>0</v>
      </c>
      <c r="CP80" s="118">
        <f t="shared" ca="1" si="89"/>
        <v>0</v>
      </c>
      <c r="CQ80" s="118">
        <f t="shared" ca="1" si="89"/>
        <v>0</v>
      </c>
      <c r="CR80" s="118">
        <f t="shared" ca="1" si="89"/>
        <v>0</v>
      </c>
      <c r="CS80" s="118">
        <f t="shared" ca="1" si="89"/>
        <v>0</v>
      </c>
      <c r="CT80" s="118">
        <f t="shared" ca="1" si="89"/>
        <v>0</v>
      </c>
      <c r="CU80" s="118">
        <f t="shared" ca="1" si="89"/>
        <v>0</v>
      </c>
      <c r="CV80" s="118">
        <f t="shared" ca="1" si="89"/>
        <v>0</v>
      </c>
      <c r="CW80" s="118">
        <f t="shared" ca="1" si="89"/>
        <v>0</v>
      </c>
      <c r="CX80" s="118">
        <f t="shared" ca="1" si="89"/>
        <v>0</v>
      </c>
      <c r="CY80" s="118">
        <f t="shared" ca="1" si="89"/>
        <v>0</v>
      </c>
      <c r="CZ80" s="118">
        <f t="shared" ca="1" si="89"/>
        <v>0</v>
      </c>
    </row>
    <row r="81" spans="2:104" x14ac:dyDescent="0.2">
      <c r="B81" s="127" t="str">
        <f>'9. Development Costs'!B66</f>
        <v>Total Marketing and Leasing</v>
      </c>
      <c r="C81" s="128">
        <f>C80</f>
        <v>-1676350</v>
      </c>
      <c r="D81" s="128">
        <f t="shared" ref="D81" ca="1" si="90">C81-E81</f>
        <v>0</v>
      </c>
      <c r="E81" s="128">
        <f t="shared" ca="1" si="87"/>
        <v>-1676349.9999999998</v>
      </c>
      <c r="F81" s="132"/>
      <c r="G81" s="132"/>
      <c r="H81" s="133"/>
      <c r="I81" s="128">
        <f t="shared" ref="I81:AN81" ca="1" si="91">SUM(I80:I80)</f>
        <v>0</v>
      </c>
      <c r="J81" s="128">
        <f t="shared" ca="1" si="91"/>
        <v>0</v>
      </c>
      <c r="K81" s="128">
        <f t="shared" ca="1" si="91"/>
        <v>0</v>
      </c>
      <c r="L81" s="128">
        <f t="shared" ca="1" si="91"/>
        <v>0</v>
      </c>
      <c r="M81" s="128">
        <f t="shared" ca="1" si="91"/>
        <v>0</v>
      </c>
      <c r="N81" s="128">
        <f t="shared" ca="1" si="91"/>
        <v>0</v>
      </c>
      <c r="O81" s="128">
        <f t="shared" ca="1" si="91"/>
        <v>0</v>
      </c>
      <c r="P81" s="128">
        <f t="shared" ca="1" si="91"/>
        <v>0</v>
      </c>
      <c r="Q81" s="128">
        <f t="shared" ca="1" si="91"/>
        <v>0</v>
      </c>
      <c r="R81" s="128">
        <f t="shared" ca="1" si="91"/>
        <v>0</v>
      </c>
      <c r="S81" s="128">
        <f t="shared" ca="1" si="91"/>
        <v>0</v>
      </c>
      <c r="T81" s="128">
        <f t="shared" ca="1" si="91"/>
        <v>0</v>
      </c>
      <c r="U81" s="128">
        <f t="shared" ca="1" si="91"/>
        <v>0</v>
      </c>
      <c r="V81" s="128">
        <f t="shared" ca="1" si="91"/>
        <v>0</v>
      </c>
      <c r="W81" s="128">
        <f t="shared" ca="1" si="91"/>
        <v>0</v>
      </c>
      <c r="X81" s="128">
        <f t="shared" ca="1" si="91"/>
        <v>0</v>
      </c>
      <c r="Y81" s="128">
        <f t="shared" ca="1" si="91"/>
        <v>0</v>
      </c>
      <c r="Z81" s="128">
        <f t="shared" ca="1" si="91"/>
        <v>0</v>
      </c>
      <c r="AA81" s="128">
        <f t="shared" ca="1" si="91"/>
        <v>0</v>
      </c>
      <c r="AB81" s="128">
        <f t="shared" ca="1" si="91"/>
        <v>0</v>
      </c>
      <c r="AC81" s="128">
        <f t="shared" ca="1" si="91"/>
        <v>0</v>
      </c>
      <c r="AD81" s="128">
        <f t="shared" ca="1" si="91"/>
        <v>0</v>
      </c>
      <c r="AE81" s="128">
        <f t="shared" ca="1" si="91"/>
        <v>0</v>
      </c>
      <c r="AF81" s="128">
        <f t="shared" ca="1" si="91"/>
        <v>0</v>
      </c>
      <c r="AG81" s="128">
        <f t="shared" ca="1" si="91"/>
        <v>0</v>
      </c>
      <c r="AH81" s="128">
        <f t="shared" ca="1" si="91"/>
        <v>0</v>
      </c>
      <c r="AI81" s="128">
        <f t="shared" ca="1" si="91"/>
        <v>0</v>
      </c>
      <c r="AJ81" s="128">
        <f t="shared" ca="1" si="91"/>
        <v>0</v>
      </c>
      <c r="AK81" s="128">
        <f t="shared" ca="1" si="91"/>
        <v>0</v>
      </c>
      <c r="AL81" s="128">
        <f t="shared" ca="1" si="91"/>
        <v>0</v>
      </c>
      <c r="AM81" s="128">
        <f t="shared" ca="1" si="91"/>
        <v>-139695.83333333334</v>
      </c>
      <c r="AN81" s="128">
        <f t="shared" ca="1" si="91"/>
        <v>-139695.83333333334</v>
      </c>
      <c r="AO81" s="128">
        <f t="shared" ref="AO81:BT81" ca="1" si="92">SUM(AO80:AO80)</f>
        <v>-139695.83333333334</v>
      </c>
      <c r="AP81" s="128">
        <f t="shared" ca="1" si="92"/>
        <v>-139695.83333333334</v>
      </c>
      <c r="AQ81" s="128">
        <f t="shared" ca="1" si="92"/>
        <v>-139695.83333333334</v>
      </c>
      <c r="AR81" s="128">
        <f t="shared" ca="1" si="92"/>
        <v>-139695.83333333334</v>
      </c>
      <c r="AS81" s="128">
        <f t="shared" ca="1" si="92"/>
        <v>-139695.83333333334</v>
      </c>
      <c r="AT81" s="128">
        <f t="shared" ca="1" si="92"/>
        <v>-139695.83333333334</v>
      </c>
      <c r="AU81" s="128">
        <f t="shared" ca="1" si="92"/>
        <v>-139695.83333333334</v>
      </c>
      <c r="AV81" s="128">
        <f t="shared" ca="1" si="92"/>
        <v>-139695.83333333334</v>
      </c>
      <c r="AW81" s="128">
        <f t="shared" ca="1" si="92"/>
        <v>-139695.83333333334</v>
      </c>
      <c r="AX81" s="128">
        <f t="shared" ca="1" si="92"/>
        <v>-139695.83333333334</v>
      </c>
      <c r="AY81" s="128">
        <f t="shared" ca="1" si="92"/>
        <v>0</v>
      </c>
      <c r="AZ81" s="128">
        <f t="shared" ca="1" si="92"/>
        <v>0</v>
      </c>
      <c r="BA81" s="128">
        <f t="shared" ca="1" si="92"/>
        <v>0</v>
      </c>
      <c r="BB81" s="128">
        <f t="shared" ca="1" si="92"/>
        <v>0</v>
      </c>
      <c r="BC81" s="128">
        <f t="shared" ca="1" si="92"/>
        <v>0</v>
      </c>
      <c r="BD81" s="128">
        <f t="shared" ca="1" si="92"/>
        <v>0</v>
      </c>
      <c r="BE81" s="128">
        <f t="shared" ca="1" si="92"/>
        <v>0</v>
      </c>
      <c r="BF81" s="128">
        <f t="shared" ca="1" si="92"/>
        <v>0</v>
      </c>
      <c r="BG81" s="128">
        <f t="shared" ca="1" si="92"/>
        <v>0</v>
      </c>
      <c r="BH81" s="128">
        <f t="shared" ca="1" si="92"/>
        <v>0</v>
      </c>
      <c r="BI81" s="128">
        <f t="shared" ca="1" si="92"/>
        <v>0</v>
      </c>
      <c r="BJ81" s="128">
        <f t="shared" ca="1" si="92"/>
        <v>0</v>
      </c>
      <c r="BK81" s="128">
        <f t="shared" ca="1" si="92"/>
        <v>0</v>
      </c>
      <c r="BL81" s="128">
        <f t="shared" ca="1" si="92"/>
        <v>0</v>
      </c>
      <c r="BM81" s="128">
        <f t="shared" ca="1" si="92"/>
        <v>0</v>
      </c>
      <c r="BN81" s="128">
        <f t="shared" ca="1" si="92"/>
        <v>0</v>
      </c>
      <c r="BO81" s="128">
        <f t="shared" ca="1" si="92"/>
        <v>0</v>
      </c>
      <c r="BP81" s="128">
        <f t="shared" ca="1" si="92"/>
        <v>0</v>
      </c>
      <c r="BQ81" s="128">
        <f t="shared" ca="1" si="92"/>
        <v>0</v>
      </c>
      <c r="BR81" s="128">
        <f t="shared" ca="1" si="92"/>
        <v>0</v>
      </c>
      <c r="BS81" s="128">
        <f t="shared" ca="1" si="92"/>
        <v>0</v>
      </c>
      <c r="BT81" s="128">
        <f t="shared" ca="1" si="92"/>
        <v>0</v>
      </c>
      <c r="BU81" s="128">
        <f t="shared" ref="BU81:CZ81" ca="1" si="93">SUM(BU80:BU80)</f>
        <v>0</v>
      </c>
      <c r="BV81" s="128">
        <f t="shared" ca="1" si="93"/>
        <v>0</v>
      </c>
      <c r="BW81" s="128">
        <f t="shared" ca="1" si="93"/>
        <v>0</v>
      </c>
      <c r="BX81" s="128">
        <f t="shared" ca="1" si="93"/>
        <v>0</v>
      </c>
      <c r="BY81" s="128">
        <f t="shared" ca="1" si="93"/>
        <v>0</v>
      </c>
      <c r="BZ81" s="128">
        <f t="shared" ca="1" si="93"/>
        <v>0</v>
      </c>
      <c r="CA81" s="128">
        <f t="shared" ca="1" si="93"/>
        <v>0</v>
      </c>
      <c r="CB81" s="128">
        <f t="shared" ca="1" si="93"/>
        <v>0</v>
      </c>
      <c r="CC81" s="128">
        <f t="shared" ca="1" si="93"/>
        <v>0</v>
      </c>
      <c r="CD81" s="128">
        <f t="shared" ca="1" si="93"/>
        <v>0</v>
      </c>
      <c r="CE81" s="128">
        <f t="shared" ca="1" si="93"/>
        <v>0</v>
      </c>
      <c r="CF81" s="128">
        <f t="shared" ca="1" si="93"/>
        <v>0</v>
      </c>
      <c r="CG81" s="128">
        <f t="shared" ca="1" si="93"/>
        <v>0</v>
      </c>
      <c r="CH81" s="128">
        <f t="shared" ca="1" si="93"/>
        <v>0</v>
      </c>
      <c r="CI81" s="128">
        <f t="shared" ca="1" si="93"/>
        <v>0</v>
      </c>
      <c r="CJ81" s="128">
        <f t="shared" ca="1" si="93"/>
        <v>0</v>
      </c>
      <c r="CK81" s="128">
        <f t="shared" ca="1" si="93"/>
        <v>0</v>
      </c>
      <c r="CL81" s="128">
        <f t="shared" ca="1" si="93"/>
        <v>0</v>
      </c>
      <c r="CM81" s="128">
        <f t="shared" ca="1" si="93"/>
        <v>0</v>
      </c>
      <c r="CN81" s="128">
        <f t="shared" ca="1" si="93"/>
        <v>0</v>
      </c>
      <c r="CO81" s="128">
        <f t="shared" ca="1" si="93"/>
        <v>0</v>
      </c>
      <c r="CP81" s="128">
        <f t="shared" ca="1" si="93"/>
        <v>0</v>
      </c>
      <c r="CQ81" s="128">
        <f t="shared" ca="1" si="93"/>
        <v>0</v>
      </c>
      <c r="CR81" s="128">
        <f t="shared" ca="1" si="93"/>
        <v>0</v>
      </c>
      <c r="CS81" s="128">
        <f t="shared" ca="1" si="93"/>
        <v>0</v>
      </c>
      <c r="CT81" s="128">
        <f t="shared" ca="1" si="93"/>
        <v>0</v>
      </c>
      <c r="CU81" s="128">
        <f t="shared" ca="1" si="93"/>
        <v>0</v>
      </c>
      <c r="CV81" s="128">
        <f t="shared" ca="1" si="93"/>
        <v>0</v>
      </c>
      <c r="CW81" s="128">
        <f t="shared" ca="1" si="93"/>
        <v>0</v>
      </c>
      <c r="CX81" s="128">
        <f t="shared" ca="1" si="93"/>
        <v>0</v>
      </c>
      <c r="CY81" s="128">
        <f t="shared" ca="1" si="93"/>
        <v>0</v>
      </c>
      <c r="CZ81" s="128">
        <f t="shared" ca="1" si="93"/>
        <v>0</v>
      </c>
    </row>
    <row r="82" spans="2:104" x14ac:dyDescent="0.2">
      <c r="B82" s="119"/>
      <c r="C82" s="118"/>
      <c r="D82" s="118"/>
      <c r="E82" s="118"/>
      <c r="F82" s="98"/>
      <c r="G82" s="98"/>
      <c r="H82" s="125"/>
      <c r="I82" s="118"/>
      <c r="J82" s="118"/>
      <c r="K82" s="118"/>
      <c r="L82" s="118"/>
      <c r="M82" s="118"/>
      <c r="N82" s="118"/>
      <c r="O82" s="118"/>
      <c r="P82" s="118"/>
      <c r="Q82" s="118"/>
      <c r="R82" s="118"/>
      <c r="S82" s="118"/>
      <c r="T82" s="118"/>
      <c r="U82" s="118"/>
      <c r="V82" s="118"/>
      <c r="W82" s="118"/>
      <c r="X82" s="118"/>
      <c r="Y82" s="118"/>
      <c r="Z82" s="118"/>
      <c r="AA82" s="118"/>
      <c r="AB82" s="118"/>
      <c r="AC82" s="118"/>
      <c r="AD82" s="118"/>
      <c r="AE82" s="118"/>
      <c r="AF82" s="118"/>
      <c r="AG82" s="118"/>
      <c r="AH82" s="118"/>
      <c r="AI82" s="118"/>
      <c r="AJ82" s="118"/>
      <c r="AK82" s="118"/>
      <c r="AL82" s="118"/>
      <c r="AM82" s="118"/>
      <c r="AN82" s="118"/>
      <c r="AO82" s="118"/>
      <c r="AP82" s="118"/>
      <c r="AQ82" s="118"/>
      <c r="AR82" s="118"/>
      <c r="AS82" s="118"/>
      <c r="AT82" s="118"/>
      <c r="AU82" s="118"/>
      <c r="AV82" s="118"/>
      <c r="AW82" s="118"/>
      <c r="AX82" s="118"/>
      <c r="AY82" s="118"/>
      <c r="AZ82" s="118"/>
      <c r="BA82" s="118"/>
      <c r="BB82" s="118"/>
      <c r="BC82" s="118"/>
      <c r="BD82" s="118"/>
      <c r="BE82" s="118"/>
      <c r="BF82" s="118"/>
      <c r="BG82" s="118"/>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118"/>
      <c r="CR82" s="118"/>
      <c r="CS82" s="118"/>
      <c r="CT82" s="118"/>
      <c r="CU82" s="118"/>
      <c r="CV82" s="118"/>
      <c r="CW82" s="118"/>
      <c r="CX82" s="118"/>
      <c r="CY82" s="118"/>
      <c r="CZ82" s="118"/>
    </row>
    <row r="83" spans="2:104" x14ac:dyDescent="0.2">
      <c r="B83" s="126" t="s">
        <v>139</v>
      </c>
      <c r="C83" s="34"/>
      <c r="D83" s="34"/>
      <c r="E83" s="35"/>
      <c r="F83" s="35"/>
      <c r="G83" s="107"/>
      <c r="H83" s="122"/>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c r="CW83" s="34"/>
      <c r="CX83" s="34"/>
      <c r="CY83" s="34"/>
      <c r="CZ83" s="34"/>
    </row>
    <row r="84" spans="2:104" x14ac:dyDescent="0.2">
      <c r="B84" s="119" t="str">
        <f>'9. Development Costs'!B69</f>
        <v>Appraisal</v>
      </c>
      <c r="C84" s="118">
        <f>-'9. Development Costs'!H69</f>
        <v>0</v>
      </c>
      <c r="D84" s="118">
        <f t="shared" ref="D84:D95" ca="1" si="94">ROUND(C84-E84,0)</f>
        <v>0</v>
      </c>
      <c r="E84" s="118">
        <f t="shared" ref="E84:E93" ca="1" si="95">SUM(I84:CZ84)</f>
        <v>0</v>
      </c>
      <c r="F84" s="109">
        <f ca="1">'8. Schedule'!D13</f>
        <v>46069</v>
      </c>
      <c r="G84" s="109">
        <f ca="1">'8. Schedule'!E13</f>
        <v>46069</v>
      </c>
      <c r="H84" s="125">
        <f ca="1">DATEDIF(F84,G84,"m")+1</f>
        <v>1</v>
      </c>
      <c r="I84" s="118">
        <f ca="1">IF(AND(I$7&lt;=$G84,I$7&gt;=$F84,$H84&lt;&gt;0,$H84&lt;&gt;""),$C84/$H84,0)</f>
        <v>0</v>
      </c>
      <c r="J84" s="118">
        <f t="shared" ref="J84:BU88" ca="1" si="96">IF(AND(J$7&lt;=$G84,J$7&gt;=$F84,$H84&lt;&gt;0,$H84&lt;&gt;""),$C84/$H84,0)</f>
        <v>0</v>
      </c>
      <c r="K84" s="118">
        <f t="shared" ca="1" si="96"/>
        <v>0</v>
      </c>
      <c r="L84" s="118">
        <f t="shared" ca="1" si="96"/>
        <v>0</v>
      </c>
      <c r="M84" s="118">
        <f t="shared" ca="1" si="96"/>
        <v>0</v>
      </c>
      <c r="N84" s="118">
        <f t="shared" ca="1" si="96"/>
        <v>0</v>
      </c>
      <c r="O84" s="118">
        <f t="shared" ca="1" si="96"/>
        <v>0</v>
      </c>
      <c r="P84" s="118">
        <f t="shared" ca="1" si="96"/>
        <v>0</v>
      </c>
      <c r="Q84" s="118">
        <f t="shared" ca="1" si="96"/>
        <v>0</v>
      </c>
      <c r="R84" s="118">
        <f t="shared" ca="1" si="96"/>
        <v>0</v>
      </c>
      <c r="S84" s="118">
        <f t="shared" ca="1" si="96"/>
        <v>0</v>
      </c>
      <c r="T84" s="118">
        <f t="shared" ca="1" si="96"/>
        <v>0</v>
      </c>
      <c r="U84" s="118">
        <f t="shared" ca="1" si="96"/>
        <v>0</v>
      </c>
      <c r="V84" s="118">
        <f t="shared" ca="1" si="96"/>
        <v>0</v>
      </c>
      <c r="W84" s="118">
        <f t="shared" ca="1" si="96"/>
        <v>0</v>
      </c>
      <c r="X84" s="118">
        <f t="shared" ca="1" si="96"/>
        <v>0</v>
      </c>
      <c r="Y84" s="118">
        <f t="shared" ca="1" si="96"/>
        <v>0</v>
      </c>
      <c r="Z84" s="118">
        <f t="shared" ca="1" si="96"/>
        <v>0</v>
      </c>
      <c r="AA84" s="118">
        <f t="shared" ca="1" si="96"/>
        <v>0</v>
      </c>
      <c r="AB84" s="118">
        <f t="shared" ca="1" si="96"/>
        <v>0</v>
      </c>
      <c r="AC84" s="118">
        <f t="shared" ca="1" si="96"/>
        <v>0</v>
      </c>
      <c r="AD84" s="118">
        <f t="shared" ca="1" si="96"/>
        <v>0</v>
      </c>
      <c r="AE84" s="118">
        <f t="shared" ca="1" si="96"/>
        <v>0</v>
      </c>
      <c r="AF84" s="118">
        <f t="shared" ca="1" si="96"/>
        <v>0</v>
      </c>
      <c r="AG84" s="118">
        <f t="shared" ca="1" si="96"/>
        <v>0</v>
      </c>
      <c r="AH84" s="118">
        <f t="shared" ca="1" si="96"/>
        <v>0</v>
      </c>
      <c r="AI84" s="118">
        <f t="shared" ca="1" si="96"/>
        <v>0</v>
      </c>
      <c r="AJ84" s="118">
        <f t="shared" ca="1" si="96"/>
        <v>0</v>
      </c>
      <c r="AK84" s="118">
        <f t="shared" ca="1" si="96"/>
        <v>0</v>
      </c>
      <c r="AL84" s="118">
        <f t="shared" ca="1" si="96"/>
        <v>0</v>
      </c>
      <c r="AM84" s="118">
        <f t="shared" ca="1" si="96"/>
        <v>0</v>
      </c>
      <c r="AN84" s="118">
        <f t="shared" ca="1" si="96"/>
        <v>0</v>
      </c>
      <c r="AO84" s="118">
        <f t="shared" ca="1" si="96"/>
        <v>0</v>
      </c>
      <c r="AP84" s="118">
        <f t="shared" ca="1" si="96"/>
        <v>0</v>
      </c>
      <c r="AQ84" s="118">
        <f t="shared" ca="1" si="96"/>
        <v>0</v>
      </c>
      <c r="AR84" s="118">
        <f t="shared" ca="1" si="96"/>
        <v>0</v>
      </c>
      <c r="AS84" s="118">
        <f t="shared" ca="1" si="96"/>
        <v>0</v>
      </c>
      <c r="AT84" s="118">
        <f t="shared" ca="1" si="96"/>
        <v>0</v>
      </c>
      <c r="AU84" s="118">
        <f t="shared" ca="1" si="96"/>
        <v>0</v>
      </c>
      <c r="AV84" s="118">
        <f t="shared" ca="1" si="96"/>
        <v>0</v>
      </c>
      <c r="AW84" s="118">
        <f t="shared" ca="1" si="96"/>
        <v>0</v>
      </c>
      <c r="AX84" s="118">
        <f t="shared" ca="1" si="96"/>
        <v>0</v>
      </c>
      <c r="AY84" s="118">
        <f t="shared" ca="1" si="96"/>
        <v>0</v>
      </c>
      <c r="AZ84" s="118">
        <f t="shared" ca="1" si="96"/>
        <v>0</v>
      </c>
      <c r="BA84" s="118">
        <f t="shared" ca="1" si="96"/>
        <v>0</v>
      </c>
      <c r="BB84" s="118">
        <f t="shared" ca="1" si="96"/>
        <v>0</v>
      </c>
      <c r="BC84" s="118">
        <f t="shared" ca="1" si="96"/>
        <v>0</v>
      </c>
      <c r="BD84" s="118">
        <f t="shared" ca="1" si="96"/>
        <v>0</v>
      </c>
      <c r="BE84" s="118">
        <f t="shared" ca="1" si="96"/>
        <v>0</v>
      </c>
      <c r="BF84" s="118">
        <f t="shared" ca="1" si="96"/>
        <v>0</v>
      </c>
      <c r="BG84" s="118">
        <f t="shared" ca="1" si="96"/>
        <v>0</v>
      </c>
      <c r="BH84" s="118">
        <f t="shared" ca="1" si="96"/>
        <v>0</v>
      </c>
      <c r="BI84" s="118">
        <f t="shared" ca="1" si="96"/>
        <v>0</v>
      </c>
      <c r="BJ84" s="118">
        <f t="shared" ca="1" si="96"/>
        <v>0</v>
      </c>
      <c r="BK84" s="118">
        <f t="shared" ca="1" si="96"/>
        <v>0</v>
      </c>
      <c r="BL84" s="118">
        <f t="shared" ca="1" si="96"/>
        <v>0</v>
      </c>
      <c r="BM84" s="118">
        <f t="shared" ca="1" si="96"/>
        <v>0</v>
      </c>
      <c r="BN84" s="118">
        <f t="shared" ca="1" si="96"/>
        <v>0</v>
      </c>
      <c r="BO84" s="118">
        <f t="shared" ca="1" si="96"/>
        <v>0</v>
      </c>
      <c r="BP84" s="118">
        <f t="shared" ca="1" si="96"/>
        <v>0</v>
      </c>
      <c r="BQ84" s="118">
        <f t="shared" ca="1" si="96"/>
        <v>0</v>
      </c>
      <c r="BR84" s="118">
        <f t="shared" ca="1" si="96"/>
        <v>0</v>
      </c>
      <c r="BS84" s="118">
        <f t="shared" ca="1" si="96"/>
        <v>0</v>
      </c>
      <c r="BT84" s="118">
        <f t="shared" ca="1" si="96"/>
        <v>0</v>
      </c>
      <c r="BU84" s="118">
        <f t="shared" ca="1" si="96"/>
        <v>0</v>
      </c>
      <c r="BV84" s="118">
        <f t="shared" ref="BV84:CZ92" ca="1" si="97">IF(AND(BV$7&lt;=$G84,BV$7&gt;=$F84,$H84&lt;&gt;0,$H84&lt;&gt;""),$C84/$H84,0)</f>
        <v>0</v>
      </c>
      <c r="BW84" s="118">
        <f t="shared" ca="1" si="97"/>
        <v>0</v>
      </c>
      <c r="BX84" s="118">
        <f t="shared" ca="1" si="97"/>
        <v>0</v>
      </c>
      <c r="BY84" s="118">
        <f t="shared" ca="1" si="97"/>
        <v>0</v>
      </c>
      <c r="BZ84" s="118">
        <f t="shared" ca="1" si="97"/>
        <v>0</v>
      </c>
      <c r="CA84" s="118">
        <f t="shared" ca="1" si="97"/>
        <v>0</v>
      </c>
      <c r="CB84" s="118">
        <f t="shared" ca="1" si="97"/>
        <v>0</v>
      </c>
      <c r="CC84" s="118">
        <f t="shared" ca="1" si="97"/>
        <v>0</v>
      </c>
      <c r="CD84" s="118">
        <f t="shared" ca="1" si="97"/>
        <v>0</v>
      </c>
      <c r="CE84" s="118">
        <f t="shared" ca="1" si="97"/>
        <v>0</v>
      </c>
      <c r="CF84" s="118">
        <f t="shared" ca="1" si="97"/>
        <v>0</v>
      </c>
      <c r="CG84" s="118">
        <f t="shared" ca="1" si="97"/>
        <v>0</v>
      </c>
      <c r="CH84" s="118">
        <f t="shared" ca="1" si="97"/>
        <v>0</v>
      </c>
      <c r="CI84" s="118">
        <f t="shared" ca="1" si="97"/>
        <v>0</v>
      </c>
      <c r="CJ84" s="118">
        <f t="shared" ca="1" si="97"/>
        <v>0</v>
      </c>
      <c r="CK84" s="118">
        <f t="shared" ca="1" si="97"/>
        <v>0</v>
      </c>
      <c r="CL84" s="118">
        <f t="shared" ca="1" si="97"/>
        <v>0</v>
      </c>
      <c r="CM84" s="118">
        <f t="shared" ca="1" si="97"/>
        <v>0</v>
      </c>
      <c r="CN84" s="118">
        <f t="shared" ca="1" si="97"/>
        <v>0</v>
      </c>
      <c r="CO84" s="118">
        <f t="shared" ca="1" si="97"/>
        <v>0</v>
      </c>
      <c r="CP84" s="118">
        <f t="shared" ca="1" si="97"/>
        <v>0</v>
      </c>
      <c r="CQ84" s="118">
        <f t="shared" ca="1" si="97"/>
        <v>0</v>
      </c>
      <c r="CR84" s="118">
        <f t="shared" ca="1" si="97"/>
        <v>0</v>
      </c>
      <c r="CS84" s="118">
        <f t="shared" ca="1" si="97"/>
        <v>0</v>
      </c>
      <c r="CT84" s="118">
        <f t="shared" ca="1" si="97"/>
        <v>0</v>
      </c>
      <c r="CU84" s="118">
        <f t="shared" ca="1" si="97"/>
        <v>0</v>
      </c>
      <c r="CV84" s="118">
        <f t="shared" ca="1" si="97"/>
        <v>0</v>
      </c>
      <c r="CW84" s="118">
        <f t="shared" ca="1" si="97"/>
        <v>0</v>
      </c>
      <c r="CX84" s="118">
        <f t="shared" ca="1" si="97"/>
        <v>0</v>
      </c>
      <c r="CY84" s="118">
        <f t="shared" ca="1" si="97"/>
        <v>0</v>
      </c>
      <c r="CZ84" s="118">
        <f t="shared" ca="1" si="97"/>
        <v>0</v>
      </c>
    </row>
    <row r="85" spans="2:104" x14ac:dyDescent="0.2">
      <c r="B85" s="119" t="str">
        <f>'9. Development Costs'!B70</f>
        <v>Legal fees</v>
      </c>
      <c r="C85" s="118">
        <f>-'9. Development Costs'!H70</f>
        <v>0</v>
      </c>
      <c r="D85" s="118">
        <f t="shared" ca="1" si="94"/>
        <v>0</v>
      </c>
      <c r="E85" s="118">
        <f t="shared" ca="1" si="95"/>
        <v>0</v>
      </c>
      <c r="F85" s="272">
        <f ca="1">F84</f>
        <v>46069</v>
      </c>
      <c r="G85" s="272">
        <f ca="1">G84</f>
        <v>46069</v>
      </c>
      <c r="H85" s="125">
        <f t="shared" ref="H85:H92" ca="1" si="98">DATEDIF(F85,G85,"m")+1</f>
        <v>1</v>
      </c>
      <c r="I85" s="118">
        <f t="shared" ref="I85:X94" ca="1" si="99">IF(AND(I$7&lt;=$G85,I$7&gt;=$F85,$H85&lt;&gt;0,$H85&lt;&gt;""),$C85/$H85,0)</f>
        <v>0</v>
      </c>
      <c r="J85" s="118">
        <f t="shared" ca="1" si="99"/>
        <v>0</v>
      </c>
      <c r="K85" s="118">
        <f t="shared" ca="1" si="99"/>
        <v>0</v>
      </c>
      <c r="L85" s="118">
        <f t="shared" ca="1" si="99"/>
        <v>0</v>
      </c>
      <c r="M85" s="118">
        <f t="shared" ca="1" si="99"/>
        <v>0</v>
      </c>
      <c r="N85" s="118">
        <f t="shared" ca="1" si="99"/>
        <v>0</v>
      </c>
      <c r="O85" s="118">
        <f t="shared" ca="1" si="99"/>
        <v>0</v>
      </c>
      <c r="P85" s="118">
        <f t="shared" ca="1" si="99"/>
        <v>0</v>
      </c>
      <c r="Q85" s="118">
        <f t="shared" ca="1" si="99"/>
        <v>0</v>
      </c>
      <c r="R85" s="118">
        <f t="shared" ca="1" si="99"/>
        <v>0</v>
      </c>
      <c r="S85" s="118">
        <f t="shared" ca="1" si="99"/>
        <v>0</v>
      </c>
      <c r="T85" s="118">
        <f t="shared" ca="1" si="99"/>
        <v>0</v>
      </c>
      <c r="U85" s="118">
        <f t="shared" ca="1" si="99"/>
        <v>0</v>
      </c>
      <c r="V85" s="118">
        <f t="shared" ca="1" si="99"/>
        <v>0</v>
      </c>
      <c r="W85" s="118">
        <f t="shared" ca="1" si="99"/>
        <v>0</v>
      </c>
      <c r="X85" s="118">
        <f t="shared" ca="1" si="99"/>
        <v>0</v>
      </c>
      <c r="Y85" s="118">
        <f t="shared" ca="1" si="96"/>
        <v>0</v>
      </c>
      <c r="Z85" s="118">
        <f t="shared" ca="1" si="96"/>
        <v>0</v>
      </c>
      <c r="AA85" s="118">
        <f t="shared" ca="1" si="96"/>
        <v>0</v>
      </c>
      <c r="AB85" s="118">
        <f t="shared" ca="1" si="96"/>
        <v>0</v>
      </c>
      <c r="AC85" s="118">
        <f t="shared" ca="1" si="96"/>
        <v>0</v>
      </c>
      <c r="AD85" s="118">
        <f t="shared" ca="1" si="96"/>
        <v>0</v>
      </c>
      <c r="AE85" s="118">
        <f t="shared" ca="1" si="96"/>
        <v>0</v>
      </c>
      <c r="AF85" s="118">
        <f t="shared" ca="1" si="96"/>
        <v>0</v>
      </c>
      <c r="AG85" s="118">
        <f t="shared" ca="1" si="96"/>
        <v>0</v>
      </c>
      <c r="AH85" s="118">
        <f t="shared" ca="1" si="96"/>
        <v>0</v>
      </c>
      <c r="AI85" s="118">
        <f t="shared" ca="1" si="96"/>
        <v>0</v>
      </c>
      <c r="AJ85" s="118">
        <f t="shared" ca="1" si="96"/>
        <v>0</v>
      </c>
      <c r="AK85" s="118">
        <f t="shared" ca="1" si="96"/>
        <v>0</v>
      </c>
      <c r="AL85" s="118">
        <f t="shared" ca="1" si="96"/>
        <v>0</v>
      </c>
      <c r="AM85" s="118">
        <f t="shared" ca="1" si="96"/>
        <v>0</v>
      </c>
      <c r="AN85" s="118">
        <f t="shared" ca="1" si="96"/>
        <v>0</v>
      </c>
      <c r="AO85" s="118">
        <f t="shared" ca="1" si="96"/>
        <v>0</v>
      </c>
      <c r="AP85" s="118">
        <f t="shared" ca="1" si="96"/>
        <v>0</v>
      </c>
      <c r="AQ85" s="118">
        <f t="shared" ca="1" si="96"/>
        <v>0</v>
      </c>
      <c r="AR85" s="118">
        <f t="shared" ca="1" si="96"/>
        <v>0</v>
      </c>
      <c r="AS85" s="118">
        <f t="shared" ca="1" si="96"/>
        <v>0</v>
      </c>
      <c r="AT85" s="118">
        <f t="shared" ca="1" si="96"/>
        <v>0</v>
      </c>
      <c r="AU85" s="118">
        <f t="shared" ca="1" si="96"/>
        <v>0</v>
      </c>
      <c r="AV85" s="118">
        <f t="shared" ca="1" si="96"/>
        <v>0</v>
      </c>
      <c r="AW85" s="118">
        <f t="shared" ca="1" si="96"/>
        <v>0</v>
      </c>
      <c r="AX85" s="118">
        <f t="shared" ca="1" si="96"/>
        <v>0</v>
      </c>
      <c r="AY85" s="118">
        <f t="shared" ca="1" si="96"/>
        <v>0</v>
      </c>
      <c r="AZ85" s="118">
        <f t="shared" ca="1" si="96"/>
        <v>0</v>
      </c>
      <c r="BA85" s="118">
        <f t="shared" ca="1" si="96"/>
        <v>0</v>
      </c>
      <c r="BB85" s="118">
        <f t="shared" ca="1" si="96"/>
        <v>0</v>
      </c>
      <c r="BC85" s="118">
        <f t="shared" ca="1" si="96"/>
        <v>0</v>
      </c>
      <c r="BD85" s="118">
        <f t="shared" ca="1" si="96"/>
        <v>0</v>
      </c>
      <c r="BE85" s="118">
        <f t="shared" ca="1" si="96"/>
        <v>0</v>
      </c>
      <c r="BF85" s="118">
        <f t="shared" ca="1" si="96"/>
        <v>0</v>
      </c>
      <c r="BG85" s="118">
        <f t="shared" ca="1" si="96"/>
        <v>0</v>
      </c>
      <c r="BH85" s="118">
        <f t="shared" ca="1" si="96"/>
        <v>0</v>
      </c>
      <c r="BI85" s="118">
        <f t="shared" ca="1" si="96"/>
        <v>0</v>
      </c>
      <c r="BJ85" s="118">
        <f t="shared" ca="1" si="96"/>
        <v>0</v>
      </c>
      <c r="BK85" s="118">
        <f t="shared" ca="1" si="96"/>
        <v>0</v>
      </c>
      <c r="BL85" s="118">
        <f t="shared" ca="1" si="96"/>
        <v>0</v>
      </c>
      <c r="BM85" s="118">
        <f t="shared" ca="1" si="96"/>
        <v>0</v>
      </c>
      <c r="BN85" s="118">
        <f t="shared" ca="1" si="96"/>
        <v>0</v>
      </c>
      <c r="BO85" s="118">
        <f t="shared" ca="1" si="96"/>
        <v>0</v>
      </c>
      <c r="BP85" s="118">
        <f t="shared" ca="1" si="96"/>
        <v>0</v>
      </c>
      <c r="BQ85" s="118">
        <f t="shared" ca="1" si="96"/>
        <v>0</v>
      </c>
      <c r="BR85" s="118">
        <f t="shared" ca="1" si="96"/>
        <v>0</v>
      </c>
      <c r="BS85" s="118">
        <f t="shared" ca="1" si="96"/>
        <v>0</v>
      </c>
      <c r="BT85" s="118">
        <f t="shared" ca="1" si="96"/>
        <v>0</v>
      </c>
      <c r="BU85" s="118">
        <f t="shared" ca="1" si="96"/>
        <v>0</v>
      </c>
      <c r="BV85" s="118">
        <f t="shared" ca="1" si="97"/>
        <v>0</v>
      </c>
      <c r="BW85" s="118">
        <f t="shared" ca="1" si="97"/>
        <v>0</v>
      </c>
      <c r="BX85" s="118">
        <f t="shared" ca="1" si="97"/>
        <v>0</v>
      </c>
      <c r="BY85" s="118">
        <f t="shared" ca="1" si="97"/>
        <v>0</v>
      </c>
      <c r="BZ85" s="118">
        <f t="shared" ca="1" si="97"/>
        <v>0</v>
      </c>
      <c r="CA85" s="118">
        <f t="shared" ca="1" si="97"/>
        <v>0</v>
      </c>
      <c r="CB85" s="118">
        <f t="shared" ca="1" si="97"/>
        <v>0</v>
      </c>
      <c r="CC85" s="118">
        <f t="shared" ca="1" si="97"/>
        <v>0</v>
      </c>
      <c r="CD85" s="118">
        <f t="shared" ca="1" si="97"/>
        <v>0</v>
      </c>
      <c r="CE85" s="118">
        <f t="shared" ca="1" si="97"/>
        <v>0</v>
      </c>
      <c r="CF85" s="118">
        <f t="shared" ca="1" si="97"/>
        <v>0</v>
      </c>
      <c r="CG85" s="118">
        <f t="shared" ca="1" si="97"/>
        <v>0</v>
      </c>
      <c r="CH85" s="118">
        <f t="shared" ca="1" si="97"/>
        <v>0</v>
      </c>
      <c r="CI85" s="118">
        <f t="shared" ca="1" si="97"/>
        <v>0</v>
      </c>
      <c r="CJ85" s="118">
        <f t="shared" ca="1" si="97"/>
        <v>0</v>
      </c>
      <c r="CK85" s="118">
        <f t="shared" ca="1" si="97"/>
        <v>0</v>
      </c>
      <c r="CL85" s="118">
        <f t="shared" ca="1" si="97"/>
        <v>0</v>
      </c>
      <c r="CM85" s="118">
        <f t="shared" ca="1" si="97"/>
        <v>0</v>
      </c>
      <c r="CN85" s="118">
        <f t="shared" ca="1" si="97"/>
        <v>0</v>
      </c>
      <c r="CO85" s="118">
        <f t="shared" ca="1" si="97"/>
        <v>0</v>
      </c>
      <c r="CP85" s="118">
        <f t="shared" ca="1" si="97"/>
        <v>0</v>
      </c>
      <c r="CQ85" s="118">
        <f t="shared" ca="1" si="97"/>
        <v>0</v>
      </c>
      <c r="CR85" s="118">
        <f t="shared" ca="1" si="97"/>
        <v>0</v>
      </c>
      <c r="CS85" s="118">
        <f t="shared" ca="1" si="97"/>
        <v>0</v>
      </c>
      <c r="CT85" s="118">
        <f t="shared" ca="1" si="97"/>
        <v>0</v>
      </c>
      <c r="CU85" s="118">
        <f t="shared" ca="1" si="97"/>
        <v>0</v>
      </c>
      <c r="CV85" s="118">
        <f t="shared" ca="1" si="97"/>
        <v>0</v>
      </c>
      <c r="CW85" s="118">
        <f t="shared" ca="1" si="97"/>
        <v>0</v>
      </c>
      <c r="CX85" s="118">
        <f t="shared" ca="1" si="97"/>
        <v>0</v>
      </c>
      <c r="CY85" s="118">
        <f t="shared" ca="1" si="97"/>
        <v>0</v>
      </c>
      <c r="CZ85" s="118">
        <f t="shared" ca="1" si="97"/>
        <v>0</v>
      </c>
    </row>
    <row r="86" spans="2:104" x14ac:dyDescent="0.2">
      <c r="B86" s="119" t="str">
        <f>'9. Development Costs'!B71</f>
        <v>Property Taxes During Construction</v>
      </c>
      <c r="C86" s="118">
        <f>-'9. Development Costs'!H71</f>
        <v>0</v>
      </c>
      <c r="D86" s="118">
        <f t="shared" ca="1" si="94"/>
        <v>0</v>
      </c>
      <c r="E86" s="118">
        <f t="shared" ca="1" si="95"/>
        <v>0</v>
      </c>
      <c r="F86" s="272">
        <f ca="1">'8. Schedule'!D15</f>
        <v>46097</v>
      </c>
      <c r="G86" s="272">
        <f ca="1">'8. Schedule'!E17</f>
        <v>47042</v>
      </c>
      <c r="H86" s="125">
        <f t="shared" ca="1" si="98"/>
        <v>32</v>
      </c>
      <c r="I86" s="118">
        <f t="shared" ca="1" si="99"/>
        <v>0</v>
      </c>
      <c r="J86" s="118">
        <f t="shared" ca="1" si="99"/>
        <v>0</v>
      </c>
      <c r="K86" s="118">
        <f t="shared" ca="1" si="99"/>
        <v>0</v>
      </c>
      <c r="L86" s="118">
        <f t="shared" ca="1" si="99"/>
        <v>0</v>
      </c>
      <c r="M86" s="118">
        <f t="shared" ca="1" si="99"/>
        <v>0</v>
      </c>
      <c r="N86" s="118">
        <f t="shared" ca="1" si="99"/>
        <v>0</v>
      </c>
      <c r="O86" s="118">
        <f t="shared" ca="1" si="99"/>
        <v>0</v>
      </c>
      <c r="P86" s="118">
        <f t="shared" ca="1" si="99"/>
        <v>0</v>
      </c>
      <c r="Q86" s="118">
        <f t="shared" ca="1" si="99"/>
        <v>0</v>
      </c>
      <c r="R86" s="118">
        <f t="shared" ca="1" si="99"/>
        <v>0</v>
      </c>
      <c r="S86" s="118">
        <f t="shared" ca="1" si="99"/>
        <v>0</v>
      </c>
      <c r="T86" s="118">
        <f t="shared" ca="1" si="99"/>
        <v>0</v>
      </c>
      <c r="U86" s="118">
        <f t="shared" ca="1" si="99"/>
        <v>0</v>
      </c>
      <c r="V86" s="118">
        <f t="shared" ca="1" si="99"/>
        <v>0</v>
      </c>
      <c r="W86" s="118">
        <f t="shared" ca="1" si="99"/>
        <v>0</v>
      </c>
      <c r="X86" s="118">
        <f t="shared" ca="1" si="99"/>
        <v>0</v>
      </c>
      <c r="Y86" s="118">
        <f t="shared" ca="1" si="96"/>
        <v>0</v>
      </c>
      <c r="Z86" s="118">
        <f t="shared" ca="1" si="96"/>
        <v>0</v>
      </c>
      <c r="AA86" s="118">
        <f t="shared" ca="1" si="96"/>
        <v>0</v>
      </c>
      <c r="AB86" s="118">
        <f t="shared" ca="1" si="96"/>
        <v>0</v>
      </c>
      <c r="AC86" s="118">
        <f t="shared" ca="1" si="96"/>
        <v>0</v>
      </c>
      <c r="AD86" s="118">
        <f t="shared" ca="1" si="96"/>
        <v>0</v>
      </c>
      <c r="AE86" s="118">
        <f t="shared" ca="1" si="96"/>
        <v>0</v>
      </c>
      <c r="AF86" s="118">
        <f t="shared" ca="1" si="96"/>
        <v>0</v>
      </c>
      <c r="AG86" s="118">
        <f t="shared" ca="1" si="96"/>
        <v>0</v>
      </c>
      <c r="AH86" s="118">
        <f t="shared" ca="1" si="96"/>
        <v>0</v>
      </c>
      <c r="AI86" s="118">
        <f t="shared" ca="1" si="96"/>
        <v>0</v>
      </c>
      <c r="AJ86" s="118">
        <f t="shared" ca="1" si="96"/>
        <v>0</v>
      </c>
      <c r="AK86" s="118">
        <f t="shared" ca="1" si="96"/>
        <v>0</v>
      </c>
      <c r="AL86" s="118">
        <f t="shared" ca="1" si="96"/>
        <v>0</v>
      </c>
      <c r="AM86" s="118">
        <f t="shared" ca="1" si="96"/>
        <v>0</v>
      </c>
      <c r="AN86" s="118">
        <f t="shared" ca="1" si="96"/>
        <v>0</v>
      </c>
      <c r="AO86" s="118">
        <f t="shared" ca="1" si="96"/>
        <v>0</v>
      </c>
      <c r="AP86" s="118">
        <f t="shared" ca="1" si="96"/>
        <v>0</v>
      </c>
      <c r="AQ86" s="118">
        <f t="shared" ca="1" si="96"/>
        <v>0</v>
      </c>
      <c r="AR86" s="118">
        <f t="shared" ca="1" si="96"/>
        <v>0</v>
      </c>
      <c r="AS86" s="118">
        <f t="shared" ca="1" si="96"/>
        <v>0</v>
      </c>
      <c r="AT86" s="118">
        <f t="shared" ca="1" si="96"/>
        <v>0</v>
      </c>
      <c r="AU86" s="118">
        <f t="shared" ca="1" si="96"/>
        <v>0</v>
      </c>
      <c r="AV86" s="118">
        <f t="shared" ca="1" si="96"/>
        <v>0</v>
      </c>
      <c r="AW86" s="118">
        <f t="shared" ca="1" si="96"/>
        <v>0</v>
      </c>
      <c r="AX86" s="118">
        <f t="shared" ca="1" si="96"/>
        <v>0</v>
      </c>
      <c r="AY86" s="118">
        <f t="shared" ca="1" si="96"/>
        <v>0</v>
      </c>
      <c r="AZ86" s="118">
        <f t="shared" ca="1" si="96"/>
        <v>0</v>
      </c>
      <c r="BA86" s="118">
        <f t="shared" ca="1" si="96"/>
        <v>0</v>
      </c>
      <c r="BB86" s="118">
        <f t="shared" ca="1" si="96"/>
        <v>0</v>
      </c>
      <c r="BC86" s="118">
        <f t="shared" ca="1" si="96"/>
        <v>0</v>
      </c>
      <c r="BD86" s="118">
        <f t="shared" ca="1" si="96"/>
        <v>0</v>
      </c>
      <c r="BE86" s="118">
        <f t="shared" ca="1" si="96"/>
        <v>0</v>
      </c>
      <c r="BF86" s="118">
        <f t="shared" ca="1" si="96"/>
        <v>0</v>
      </c>
      <c r="BG86" s="118">
        <f t="shared" ca="1" si="96"/>
        <v>0</v>
      </c>
      <c r="BH86" s="118">
        <f t="shared" ca="1" si="96"/>
        <v>0</v>
      </c>
      <c r="BI86" s="118">
        <f t="shared" ca="1" si="96"/>
        <v>0</v>
      </c>
      <c r="BJ86" s="118">
        <f t="shared" ca="1" si="96"/>
        <v>0</v>
      </c>
      <c r="BK86" s="118">
        <f t="shared" ca="1" si="96"/>
        <v>0</v>
      </c>
      <c r="BL86" s="118">
        <f t="shared" ca="1" si="96"/>
        <v>0</v>
      </c>
      <c r="BM86" s="118">
        <f t="shared" ca="1" si="96"/>
        <v>0</v>
      </c>
      <c r="BN86" s="118">
        <f t="shared" ca="1" si="96"/>
        <v>0</v>
      </c>
      <c r="BO86" s="118">
        <f t="shared" ca="1" si="96"/>
        <v>0</v>
      </c>
      <c r="BP86" s="118">
        <f t="shared" ca="1" si="96"/>
        <v>0</v>
      </c>
      <c r="BQ86" s="118">
        <f t="shared" ca="1" si="96"/>
        <v>0</v>
      </c>
      <c r="BR86" s="118">
        <f t="shared" ca="1" si="96"/>
        <v>0</v>
      </c>
      <c r="BS86" s="118">
        <f t="shared" ca="1" si="96"/>
        <v>0</v>
      </c>
      <c r="BT86" s="118">
        <f t="shared" ca="1" si="96"/>
        <v>0</v>
      </c>
      <c r="BU86" s="118">
        <f t="shared" ca="1" si="96"/>
        <v>0</v>
      </c>
      <c r="BV86" s="118">
        <f t="shared" ca="1" si="97"/>
        <v>0</v>
      </c>
      <c r="BW86" s="118">
        <f t="shared" ca="1" si="97"/>
        <v>0</v>
      </c>
      <c r="BX86" s="118">
        <f t="shared" ca="1" si="97"/>
        <v>0</v>
      </c>
      <c r="BY86" s="118">
        <f t="shared" ca="1" si="97"/>
        <v>0</v>
      </c>
      <c r="BZ86" s="118">
        <f t="shared" ca="1" si="97"/>
        <v>0</v>
      </c>
      <c r="CA86" s="118">
        <f t="shared" ca="1" si="97"/>
        <v>0</v>
      </c>
      <c r="CB86" s="118">
        <f t="shared" ca="1" si="97"/>
        <v>0</v>
      </c>
      <c r="CC86" s="118">
        <f t="shared" ca="1" si="97"/>
        <v>0</v>
      </c>
      <c r="CD86" s="118">
        <f t="shared" ca="1" si="97"/>
        <v>0</v>
      </c>
      <c r="CE86" s="118">
        <f t="shared" ca="1" si="97"/>
        <v>0</v>
      </c>
      <c r="CF86" s="118">
        <f t="shared" ca="1" si="97"/>
        <v>0</v>
      </c>
      <c r="CG86" s="118">
        <f t="shared" ca="1" si="97"/>
        <v>0</v>
      </c>
      <c r="CH86" s="118">
        <f t="shared" ca="1" si="97"/>
        <v>0</v>
      </c>
      <c r="CI86" s="118">
        <f t="shared" ca="1" si="97"/>
        <v>0</v>
      </c>
      <c r="CJ86" s="118">
        <f t="shared" ca="1" si="97"/>
        <v>0</v>
      </c>
      <c r="CK86" s="118">
        <f t="shared" ca="1" si="97"/>
        <v>0</v>
      </c>
      <c r="CL86" s="118">
        <f t="shared" ca="1" si="97"/>
        <v>0</v>
      </c>
      <c r="CM86" s="118">
        <f t="shared" ca="1" si="97"/>
        <v>0</v>
      </c>
      <c r="CN86" s="118">
        <f t="shared" ca="1" si="97"/>
        <v>0</v>
      </c>
      <c r="CO86" s="118">
        <f t="shared" ca="1" si="97"/>
        <v>0</v>
      </c>
      <c r="CP86" s="118">
        <f t="shared" ca="1" si="97"/>
        <v>0</v>
      </c>
      <c r="CQ86" s="118">
        <f t="shared" ca="1" si="97"/>
        <v>0</v>
      </c>
      <c r="CR86" s="118">
        <f t="shared" ca="1" si="97"/>
        <v>0</v>
      </c>
      <c r="CS86" s="118">
        <f t="shared" ca="1" si="97"/>
        <v>0</v>
      </c>
      <c r="CT86" s="118">
        <f t="shared" ca="1" si="97"/>
        <v>0</v>
      </c>
      <c r="CU86" s="118">
        <f t="shared" ca="1" si="97"/>
        <v>0</v>
      </c>
      <c r="CV86" s="118">
        <f t="shared" ca="1" si="97"/>
        <v>0</v>
      </c>
      <c r="CW86" s="118">
        <f t="shared" ca="1" si="97"/>
        <v>0</v>
      </c>
      <c r="CX86" s="118">
        <f t="shared" ca="1" si="97"/>
        <v>0</v>
      </c>
      <c r="CY86" s="118">
        <f t="shared" ca="1" si="97"/>
        <v>0</v>
      </c>
      <c r="CZ86" s="118">
        <f t="shared" ca="1" si="97"/>
        <v>0</v>
      </c>
    </row>
    <row r="87" spans="2:104" x14ac:dyDescent="0.2">
      <c r="B87" s="119" t="str">
        <f>'9. Development Costs'!B72</f>
        <v>Quantity Surveyor</v>
      </c>
      <c r="C87" s="118">
        <f>-'9. Development Costs'!H72</f>
        <v>0</v>
      </c>
      <c r="D87" s="118">
        <f t="shared" ca="1" si="94"/>
        <v>0</v>
      </c>
      <c r="E87" s="118">
        <f t="shared" ca="1" si="95"/>
        <v>0</v>
      </c>
      <c r="F87" s="272">
        <f t="shared" ref="F87" ca="1" si="100">F86</f>
        <v>46097</v>
      </c>
      <c r="G87" s="109">
        <f ca="1">G86</f>
        <v>47042</v>
      </c>
      <c r="H87" s="125">
        <f t="shared" ca="1" si="98"/>
        <v>32</v>
      </c>
      <c r="I87" s="118">
        <f t="shared" ca="1" si="99"/>
        <v>0</v>
      </c>
      <c r="J87" s="118">
        <f t="shared" ca="1" si="96"/>
        <v>0</v>
      </c>
      <c r="K87" s="118">
        <f t="shared" ca="1" si="96"/>
        <v>0</v>
      </c>
      <c r="L87" s="118">
        <f t="shared" ca="1" si="96"/>
        <v>0</v>
      </c>
      <c r="M87" s="118">
        <f t="shared" ca="1" si="96"/>
        <v>0</v>
      </c>
      <c r="N87" s="118">
        <f t="shared" ca="1" si="96"/>
        <v>0</v>
      </c>
      <c r="O87" s="118">
        <f t="shared" ca="1" si="96"/>
        <v>0</v>
      </c>
      <c r="P87" s="118">
        <f t="shared" ca="1" si="96"/>
        <v>0</v>
      </c>
      <c r="Q87" s="118">
        <f t="shared" ca="1" si="96"/>
        <v>0</v>
      </c>
      <c r="R87" s="118">
        <f t="shared" ca="1" si="96"/>
        <v>0</v>
      </c>
      <c r="S87" s="118">
        <f t="shared" ca="1" si="96"/>
        <v>0</v>
      </c>
      <c r="T87" s="118">
        <f t="shared" ca="1" si="96"/>
        <v>0</v>
      </c>
      <c r="U87" s="118">
        <f t="shared" ca="1" si="96"/>
        <v>0</v>
      </c>
      <c r="V87" s="118">
        <f t="shared" ca="1" si="96"/>
        <v>0</v>
      </c>
      <c r="W87" s="118">
        <f t="shared" ca="1" si="96"/>
        <v>0</v>
      </c>
      <c r="X87" s="118">
        <f t="shared" ca="1" si="96"/>
        <v>0</v>
      </c>
      <c r="Y87" s="118">
        <f t="shared" ca="1" si="96"/>
        <v>0</v>
      </c>
      <c r="Z87" s="118">
        <f t="shared" ca="1" si="96"/>
        <v>0</v>
      </c>
      <c r="AA87" s="118">
        <f t="shared" ca="1" si="96"/>
        <v>0</v>
      </c>
      <c r="AB87" s="118">
        <f t="shared" ca="1" si="96"/>
        <v>0</v>
      </c>
      <c r="AC87" s="118">
        <f t="shared" ca="1" si="96"/>
        <v>0</v>
      </c>
      <c r="AD87" s="118">
        <f t="shared" ca="1" si="96"/>
        <v>0</v>
      </c>
      <c r="AE87" s="118">
        <f t="shared" ca="1" si="96"/>
        <v>0</v>
      </c>
      <c r="AF87" s="118">
        <f t="shared" ca="1" si="96"/>
        <v>0</v>
      </c>
      <c r="AG87" s="118">
        <f t="shared" ca="1" si="96"/>
        <v>0</v>
      </c>
      <c r="AH87" s="118">
        <f t="shared" ca="1" si="96"/>
        <v>0</v>
      </c>
      <c r="AI87" s="118">
        <f t="shared" ca="1" si="96"/>
        <v>0</v>
      </c>
      <c r="AJ87" s="118">
        <f t="shared" ca="1" si="96"/>
        <v>0</v>
      </c>
      <c r="AK87" s="118">
        <f t="shared" ca="1" si="96"/>
        <v>0</v>
      </c>
      <c r="AL87" s="118">
        <f t="shared" ca="1" si="96"/>
        <v>0</v>
      </c>
      <c r="AM87" s="118">
        <f t="shared" ca="1" si="96"/>
        <v>0</v>
      </c>
      <c r="AN87" s="118">
        <f t="shared" ca="1" si="96"/>
        <v>0</v>
      </c>
      <c r="AO87" s="118">
        <f t="shared" ca="1" si="96"/>
        <v>0</v>
      </c>
      <c r="AP87" s="118">
        <f t="shared" ca="1" si="96"/>
        <v>0</v>
      </c>
      <c r="AQ87" s="118">
        <f t="shared" ca="1" si="96"/>
        <v>0</v>
      </c>
      <c r="AR87" s="118">
        <f t="shared" ca="1" si="96"/>
        <v>0</v>
      </c>
      <c r="AS87" s="118">
        <f t="shared" ca="1" si="96"/>
        <v>0</v>
      </c>
      <c r="AT87" s="118">
        <f t="shared" ca="1" si="96"/>
        <v>0</v>
      </c>
      <c r="AU87" s="118">
        <f t="shared" ca="1" si="96"/>
        <v>0</v>
      </c>
      <c r="AV87" s="118">
        <f t="shared" ca="1" si="96"/>
        <v>0</v>
      </c>
      <c r="AW87" s="118">
        <f t="shared" ca="1" si="96"/>
        <v>0</v>
      </c>
      <c r="AX87" s="118">
        <f t="shared" ca="1" si="96"/>
        <v>0</v>
      </c>
      <c r="AY87" s="118">
        <f t="shared" ca="1" si="96"/>
        <v>0</v>
      </c>
      <c r="AZ87" s="118">
        <f t="shared" ca="1" si="96"/>
        <v>0</v>
      </c>
      <c r="BA87" s="118">
        <f t="shared" ca="1" si="96"/>
        <v>0</v>
      </c>
      <c r="BB87" s="118">
        <f t="shared" ca="1" si="96"/>
        <v>0</v>
      </c>
      <c r="BC87" s="118">
        <f t="shared" ca="1" si="96"/>
        <v>0</v>
      </c>
      <c r="BD87" s="118">
        <f t="shared" ca="1" si="96"/>
        <v>0</v>
      </c>
      <c r="BE87" s="118">
        <f t="shared" ca="1" si="96"/>
        <v>0</v>
      </c>
      <c r="BF87" s="118">
        <f t="shared" ca="1" si="96"/>
        <v>0</v>
      </c>
      <c r="BG87" s="118">
        <f t="shared" ca="1" si="96"/>
        <v>0</v>
      </c>
      <c r="BH87" s="118">
        <f t="shared" ca="1" si="96"/>
        <v>0</v>
      </c>
      <c r="BI87" s="118">
        <f t="shared" ca="1" si="96"/>
        <v>0</v>
      </c>
      <c r="BJ87" s="118">
        <f t="shared" ca="1" si="96"/>
        <v>0</v>
      </c>
      <c r="BK87" s="118">
        <f t="shared" ca="1" si="96"/>
        <v>0</v>
      </c>
      <c r="BL87" s="118">
        <f t="shared" ca="1" si="96"/>
        <v>0</v>
      </c>
      <c r="BM87" s="118">
        <f t="shared" ca="1" si="96"/>
        <v>0</v>
      </c>
      <c r="BN87" s="118">
        <f t="shared" ca="1" si="96"/>
        <v>0</v>
      </c>
      <c r="BO87" s="118">
        <f t="shared" ca="1" si="96"/>
        <v>0</v>
      </c>
      <c r="BP87" s="118">
        <f t="shared" ca="1" si="96"/>
        <v>0</v>
      </c>
      <c r="BQ87" s="118">
        <f t="shared" ca="1" si="96"/>
        <v>0</v>
      </c>
      <c r="BR87" s="118">
        <f t="shared" ca="1" si="96"/>
        <v>0</v>
      </c>
      <c r="BS87" s="118">
        <f t="shared" ca="1" si="96"/>
        <v>0</v>
      </c>
      <c r="BT87" s="118">
        <f t="shared" ca="1" si="96"/>
        <v>0</v>
      </c>
      <c r="BU87" s="118">
        <f t="shared" ca="1" si="96"/>
        <v>0</v>
      </c>
      <c r="BV87" s="118">
        <f t="shared" ca="1" si="97"/>
        <v>0</v>
      </c>
      <c r="BW87" s="118">
        <f t="shared" ca="1" si="97"/>
        <v>0</v>
      </c>
      <c r="BX87" s="118">
        <f t="shared" ca="1" si="97"/>
        <v>0</v>
      </c>
      <c r="BY87" s="118">
        <f t="shared" ca="1" si="97"/>
        <v>0</v>
      </c>
      <c r="BZ87" s="118">
        <f t="shared" ca="1" si="97"/>
        <v>0</v>
      </c>
      <c r="CA87" s="118">
        <f t="shared" ca="1" si="97"/>
        <v>0</v>
      </c>
      <c r="CB87" s="118">
        <f t="shared" ca="1" si="97"/>
        <v>0</v>
      </c>
      <c r="CC87" s="118">
        <f t="shared" ca="1" si="97"/>
        <v>0</v>
      </c>
      <c r="CD87" s="118">
        <f t="shared" ca="1" si="97"/>
        <v>0</v>
      </c>
      <c r="CE87" s="118">
        <f t="shared" ca="1" si="97"/>
        <v>0</v>
      </c>
      <c r="CF87" s="118">
        <f t="shared" ca="1" si="97"/>
        <v>0</v>
      </c>
      <c r="CG87" s="118">
        <f t="shared" ca="1" si="97"/>
        <v>0</v>
      </c>
      <c r="CH87" s="118">
        <f t="shared" ca="1" si="97"/>
        <v>0</v>
      </c>
      <c r="CI87" s="118">
        <f t="shared" ca="1" si="97"/>
        <v>0</v>
      </c>
      <c r="CJ87" s="118">
        <f t="shared" ca="1" si="97"/>
        <v>0</v>
      </c>
      <c r="CK87" s="118">
        <f t="shared" ca="1" si="97"/>
        <v>0</v>
      </c>
      <c r="CL87" s="118">
        <f t="shared" ca="1" si="97"/>
        <v>0</v>
      </c>
      <c r="CM87" s="118">
        <f t="shared" ca="1" si="97"/>
        <v>0</v>
      </c>
      <c r="CN87" s="118">
        <f t="shared" ca="1" si="97"/>
        <v>0</v>
      </c>
      <c r="CO87" s="118">
        <f t="shared" ca="1" si="97"/>
        <v>0</v>
      </c>
      <c r="CP87" s="118">
        <f t="shared" ca="1" si="97"/>
        <v>0</v>
      </c>
      <c r="CQ87" s="118">
        <f t="shared" ca="1" si="97"/>
        <v>0</v>
      </c>
      <c r="CR87" s="118">
        <f t="shared" ca="1" si="97"/>
        <v>0</v>
      </c>
      <c r="CS87" s="118">
        <f t="shared" ca="1" si="97"/>
        <v>0</v>
      </c>
      <c r="CT87" s="118">
        <f t="shared" ca="1" si="97"/>
        <v>0</v>
      </c>
      <c r="CU87" s="118">
        <f t="shared" ca="1" si="97"/>
        <v>0</v>
      </c>
      <c r="CV87" s="118">
        <f t="shared" ca="1" si="97"/>
        <v>0</v>
      </c>
      <c r="CW87" s="118">
        <f t="shared" ca="1" si="97"/>
        <v>0</v>
      </c>
      <c r="CX87" s="118">
        <f t="shared" ca="1" si="97"/>
        <v>0</v>
      </c>
      <c r="CY87" s="118">
        <f t="shared" ca="1" si="97"/>
        <v>0</v>
      </c>
      <c r="CZ87" s="118">
        <f t="shared" ca="1" si="97"/>
        <v>0</v>
      </c>
    </row>
    <row r="88" spans="2:104" x14ac:dyDescent="0.2">
      <c r="B88" s="119" t="str">
        <f>'9. Development Costs'!B73</f>
        <v>Insurance</v>
      </c>
      <c r="C88" s="118">
        <f>-'9. Development Costs'!H73</f>
        <v>0</v>
      </c>
      <c r="D88" s="118">
        <f t="shared" ca="1" si="94"/>
        <v>0</v>
      </c>
      <c r="E88" s="118">
        <f t="shared" ca="1" si="95"/>
        <v>0</v>
      </c>
      <c r="F88" s="272">
        <f ca="1">F$47</f>
        <v>46097</v>
      </c>
      <c r="G88" s="272">
        <f ca="1">G$47</f>
        <v>47042</v>
      </c>
      <c r="H88" s="125">
        <f t="shared" ca="1" si="98"/>
        <v>32</v>
      </c>
      <c r="I88" s="118">
        <f t="shared" ca="1" si="99"/>
        <v>0</v>
      </c>
      <c r="J88" s="118">
        <f t="shared" ca="1" si="96"/>
        <v>0</v>
      </c>
      <c r="K88" s="118">
        <f t="shared" ca="1" si="96"/>
        <v>0</v>
      </c>
      <c r="L88" s="118">
        <f t="shared" ca="1" si="96"/>
        <v>0</v>
      </c>
      <c r="M88" s="118">
        <f t="shared" ca="1" si="96"/>
        <v>0</v>
      </c>
      <c r="N88" s="118">
        <f t="shared" ca="1" si="96"/>
        <v>0</v>
      </c>
      <c r="O88" s="118">
        <f t="shared" ca="1" si="96"/>
        <v>0</v>
      </c>
      <c r="P88" s="118">
        <f t="shared" ca="1" si="96"/>
        <v>0</v>
      </c>
      <c r="Q88" s="118">
        <f t="shared" ca="1" si="96"/>
        <v>0</v>
      </c>
      <c r="R88" s="118">
        <f t="shared" ca="1" si="96"/>
        <v>0</v>
      </c>
      <c r="S88" s="118">
        <f t="shared" ca="1" si="96"/>
        <v>0</v>
      </c>
      <c r="T88" s="118">
        <f t="shared" ca="1" si="96"/>
        <v>0</v>
      </c>
      <c r="U88" s="118">
        <f t="shared" ca="1" si="96"/>
        <v>0</v>
      </c>
      <c r="V88" s="118">
        <f t="shared" ca="1" si="96"/>
        <v>0</v>
      </c>
      <c r="W88" s="118">
        <f t="shared" ca="1" si="96"/>
        <v>0</v>
      </c>
      <c r="X88" s="118">
        <f t="shared" ca="1" si="96"/>
        <v>0</v>
      </c>
      <c r="Y88" s="118">
        <f t="shared" ca="1" si="96"/>
        <v>0</v>
      </c>
      <c r="Z88" s="118">
        <f t="shared" ca="1" si="96"/>
        <v>0</v>
      </c>
      <c r="AA88" s="118">
        <f t="shared" ca="1" si="96"/>
        <v>0</v>
      </c>
      <c r="AB88" s="118">
        <f t="shared" ca="1" si="96"/>
        <v>0</v>
      </c>
      <c r="AC88" s="118">
        <f t="shared" ca="1" si="96"/>
        <v>0</v>
      </c>
      <c r="AD88" s="118">
        <f t="shared" ca="1" si="96"/>
        <v>0</v>
      </c>
      <c r="AE88" s="118">
        <f t="shared" ca="1" si="96"/>
        <v>0</v>
      </c>
      <c r="AF88" s="118">
        <f t="shared" ca="1" si="96"/>
        <v>0</v>
      </c>
      <c r="AG88" s="118">
        <f t="shared" ca="1" si="96"/>
        <v>0</v>
      </c>
      <c r="AH88" s="118">
        <f t="shared" ca="1" si="96"/>
        <v>0</v>
      </c>
      <c r="AI88" s="118">
        <f t="shared" ca="1" si="96"/>
        <v>0</v>
      </c>
      <c r="AJ88" s="118">
        <f t="shared" ca="1" si="96"/>
        <v>0</v>
      </c>
      <c r="AK88" s="118">
        <f t="shared" ca="1" si="96"/>
        <v>0</v>
      </c>
      <c r="AL88" s="118">
        <f t="shared" ca="1" si="96"/>
        <v>0</v>
      </c>
      <c r="AM88" s="118">
        <f t="shared" ref="AM88:CX89" ca="1" si="101">IF(AND(AM$7&lt;=$G88,AM$7&gt;=$F88,$H88&lt;&gt;0,$H88&lt;&gt;""),$C88/$H88,0)</f>
        <v>0</v>
      </c>
      <c r="AN88" s="118">
        <f t="shared" ca="1" si="101"/>
        <v>0</v>
      </c>
      <c r="AO88" s="118">
        <f t="shared" ca="1" si="101"/>
        <v>0</v>
      </c>
      <c r="AP88" s="118">
        <f t="shared" ca="1" si="101"/>
        <v>0</v>
      </c>
      <c r="AQ88" s="118">
        <f t="shared" ca="1" si="101"/>
        <v>0</v>
      </c>
      <c r="AR88" s="118">
        <f t="shared" ca="1" si="101"/>
        <v>0</v>
      </c>
      <c r="AS88" s="118">
        <f t="shared" ca="1" si="101"/>
        <v>0</v>
      </c>
      <c r="AT88" s="118">
        <f t="shared" ca="1" si="101"/>
        <v>0</v>
      </c>
      <c r="AU88" s="118">
        <f t="shared" ca="1" si="101"/>
        <v>0</v>
      </c>
      <c r="AV88" s="118">
        <f t="shared" ca="1" si="101"/>
        <v>0</v>
      </c>
      <c r="AW88" s="118">
        <f t="shared" ca="1" si="101"/>
        <v>0</v>
      </c>
      <c r="AX88" s="118">
        <f t="shared" ca="1" si="101"/>
        <v>0</v>
      </c>
      <c r="AY88" s="118">
        <f t="shared" ca="1" si="101"/>
        <v>0</v>
      </c>
      <c r="AZ88" s="118">
        <f t="shared" ca="1" si="101"/>
        <v>0</v>
      </c>
      <c r="BA88" s="118">
        <f t="shared" ca="1" si="101"/>
        <v>0</v>
      </c>
      <c r="BB88" s="118">
        <f t="shared" ca="1" si="101"/>
        <v>0</v>
      </c>
      <c r="BC88" s="118">
        <f t="shared" ca="1" si="101"/>
        <v>0</v>
      </c>
      <c r="BD88" s="118">
        <f t="shared" ca="1" si="101"/>
        <v>0</v>
      </c>
      <c r="BE88" s="118">
        <f t="shared" ca="1" si="101"/>
        <v>0</v>
      </c>
      <c r="BF88" s="118">
        <f t="shared" ca="1" si="101"/>
        <v>0</v>
      </c>
      <c r="BG88" s="118">
        <f t="shared" ca="1" si="101"/>
        <v>0</v>
      </c>
      <c r="BH88" s="118">
        <f t="shared" ca="1" si="101"/>
        <v>0</v>
      </c>
      <c r="BI88" s="118">
        <f t="shared" ca="1" si="101"/>
        <v>0</v>
      </c>
      <c r="BJ88" s="118">
        <f t="shared" ca="1" si="101"/>
        <v>0</v>
      </c>
      <c r="BK88" s="118">
        <f t="shared" ca="1" si="101"/>
        <v>0</v>
      </c>
      <c r="BL88" s="118">
        <f t="shared" ca="1" si="101"/>
        <v>0</v>
      </c>
      <c r="BM88" s="118">
        <f t="shared" ca="1" si="101"/>
        <v>0</v>
      </c>
      <c r="BN88" s="118">
        <f t="shared" ca="1" si="101"/>
        <v>0</v>
      </c>
      <c r="BO88" s="118">
        <f t="shared" ca="1" si="101"/>
        <v>0</v>
      </c>
      <c r="BP88" s="118">
        <f t="shared" ca="1" si="101"/>
        <v>0</v>
      </c>
      <c r="BQ88" s="118">
        <f t="shared" ca="1" si="101"/>
        <v>0</v>
      </c>
      <c r="BR88" s="118">
        <f t="shared" ca="1" si="101"/>
        <v>0</v>
      </c>
      <c r="BS88" s="118">
        <f t="shared" ca="1" si="101"/>
        <v>0</v>
      </c>
      <c r="BT88" s="118">
        <f t="shared" ca="1" si="101"/>
        <v>0</v>
      </c>
      <c r="BU88" s="118">
        <f t="shared" ca="1" si="101"/>
        <v>0</v>
      </c>
      <c r="BV88" s="118">
        <f t="shared" ca="1" si="97"/>
        <v>0</v>
      </c>
      <c r="BW88" s="118">
        <f t="shared" ca="1" si="97"/>
        <v>0</v>
      </c>
      <c r="BX88" s="118">
        <f t="shared" ca="1" si="97"/>
        <v>0</v>
      </c>
      <c r="BY88" s="118">
        <f t="shared" ca="1" si="97"/>
        <v>0</v>
      </c>
      <c r="BZ88" s="118">
        <f t="shared" ca="1" si="97"/>
        <v>0</v>
      </c>
      <c r="CA88" s="118">
        <f t="shared" ca="1" si="97"/>
        <v>0</v>
      </c>
      <c r="CB88" s="118">
        <f t="shared" ca="1" si="97"/>
        <v>0</v>
      </c>
      <c r="CC88" s="118">
        <f t="shared" ca="1" si="97"/>
        <v>0</v>
      </c>
      <c r="CD88" s="118">
        <f t="shared" ca="1" si="97"/>
        <v>0</v>
      </c>
      <c r="CE88" s="118">
        <f t="shared" ca="1" si="97"/>
        <v>0</v>
      </c>
      <c r="CF88" s="118">
        <f t="shared" ca="1" si="97"/>
        <v>0</v>
      </c>
      <c r="CG88" s="118">
        <f t="shared" ca="1" si="97"/>
        <v>0</v>
      </c>
      <c r="CH88" s="118">
        <f t="shared" ca="1" si="97"/>
        <v>0</v>
      </c>
      <c r="CI88" s="118">
        <f t="shared" ca="1" si="97"/>
        <v>0</v>
      </c>
      <c r="CJ88" s="118">
        <f t="shared" ca="1" si="97"/>
        <v>0</v>
      </c>
      <c r="CK88" s="118">
        <f t="shared" ca="1" si="97"/>
        <v>0</v>
      </c>
      <c r="CL88" s="118">
        <f t="shared" ca="1" si="97"/>
        <v>0</v>
      </c>
      <c r="CM88" s="118">
        <f t="shared" ca="1" si="97"/>
        <v>0</v>
      </c>
      <c r="CN88" s="118">
        <f t="shared" ca="1" si="97"/>
        <v>0</v>
      </c>
      <c r="CO88" s="118">
        <f t="shared" ca="1" si="97"/>
        <v>0</v>
      </c>
      <c r="CP88" s="118">
        <f t="shared" ca="1" si="97"/>
        <v>0</v>
      </c>
      <c r="CQ88" s="118">
        <f t="shared" ca="1" si="97"/>
        <v>0</v>
      </c>
      <c r="CR88" s="118">
        <f t="shared" ca="1" si="97"/>
        <v>0</v>
      </c>
      <c r="CS88" s="118">
        <f t="shared" ca="1" si="97"/>
        <v>0</v>
      </c>
      <c r="CT88" s="118">
        <f t="shared" ca="1" si="97"/>
        <v>0</v>
      </c>
      <c r="CU88" s="118">
        <f t="shared" ca="1" si="97"/>
        <v>0</v>
      </c>
      <c r="CV88" s="118">
        <f t="shared" ca="1" si="97"/>
        <v>0</v>
      </c>
      <c r="CW88" s="118">
        <f t="shared" ca="1" si="97"/>
        <v>0</v>
      </c>
      <c r="CX88" s="118">
        <f t="shared" ca="1" si="97"/>
        <v>0</v>
      </c>
      <c r="CY88" s="118">
        <f t="shared" ca="1" si="97"/>
        <v>0</v>
      </c>
      <c r="CZ88" s="118">
        <f t="shared" ca="1" si="97"/>
        <v>0</v>
      </c>
    </row>
    <row r="89" spans="2:104" x14ac:dyDescent="0.2">
      <c r="B89" s="119" t="str">
        <f>'9. Development Costs'!B74</f>
        <v>LC and Bonding</v>
      </c>
      <c r="C89" s="118">
        <f>-'9. Development Costs'!H74</f>
        <v>0</v>
      </c>
      <c r="D89" s="118">
        <f t="shared" ca="1" si="94"/>
        <v>0</v>
      </c>
      <c r="E89" s="118">
        <f t="shared" ca="1" si="95"/>
        <v>0</v>
      </c>
      <c r="F89" s="272">
        <f ca="1">F$47</f>
        <v>46097</v>
      </c>
      <c r="G89" s="272">
        <f ca="1">G$47</f>
        <v>47042</v>
      </c>
      <c r="H89" s="125">
        <f t="shared" ca="1" si="98"/>
        <v>32</v>
      </c>
      <c r="I89" s="118">
        <f t="shared" ca="1" si="99"/>
        <v>0</v>
      </c>
      <c r="J89" s="118">
        <f t="shared" ca="1" si="99"/>
        <v>0</v>
      </c>
      <c r="K89" s="118">
        <f t="shared" ca="1" si="99"/>
        <v>0</v>
      </c>
      <c r="L89" s="118">
        <f t="shared" ca="1" si="99"/>
        <v>0</v>
      </c>
      <c r="M89" s="118">
        <f t="shared" ca="1" si="99"/>
        <v>0</v>
      </c>
      <c r="N89" s="118">
        <f t="shared" ca="1" si="99"/>
        <v>0</v>
      </c>
      <c r="O89" s="118">
        <f t="shared" ca="1" si="99"/>
        <v>0</v>
      </c>
      <c r="P89" s="118">
        <f t="shared" ca="1" si="99"/>
        <v>0</v>
      </c>
      <c r="Q89" s="118">
        <f t="shared" ca="1" si="99"/>
        <v>0</v>
      </c>
      <c r="R89" s="118">
        <f t="shared" ca="1" si="99"/>
        <v>0</v>
      </c>
      <c r="S89" s="118">
        <f t="shared" ca="1" si="99"/>
        <v>0</v>
      </c>
      <c r="T89" s="118">
        <f t="shared" ca="1" si="99"/>
        <v>0</v>
      </c>
      <c r="U89" s="118">
        <f t="shared" ca="1" si="99"/>
        <v>0</v>
      </c>
      <c r="V89" s="118">
        <f t="shared" ca="1" si="99"/>
        <v>0</v>
      </c>
      <c r="W89" s="118">
        <f t="shared" ca="1" si="99"/>
        <v>0</v>
      </c>
      <c r="X89" s="118">
        <f t="shared" ca="1" si="99"/>
        <v>0</v>
      </c>
      <c r="Y89" s="118">
        <f t="shared" ref="Y89:BU92" ca="1" si="102">IF(AND(Y$7&lt;=$G89,Y$7&gt;=$F89,$H89&lt;&gt;0,$H89&lt;&gt;""),$C89/$H89,0)</f>
        <v>0</v>
      </c>
      <c r="Z89" s="118">
        <f t="shared" ca="1" si="102"/>
        <v>0</v>
      </c>
      <c r="AA89" s="118">
        <f t="shared" ca="1" si="102"/>
        <v>0</v>
      </c>
      <c r="AB89" s="118">
        <f t="shared" ca="1" si="102"/>
        <v>0</v>
      </c>
      <c r="AC89" s="118">
        <f t="shared" ca="1" si="102"/>
        <v>0</v>
      </c>
      <c r="AD89" s="118">
        <f t="shared" ca="1" si="102"/>
        <v>0</v>
      </c>
      <c r="AE89" s="118">
        <f t="shared" ca="1" si="102"/>
        <v>0</v>
      </c>
      <c r="AF89" s="118">
        <f t="shared" ca="1" si="102"/>
        <v>0</v>
      </c>
      <c r="AG89" s="118">
        <f t="shared" ca="1" si="102"/>
        <v>0</v>
      </c>
      <c r="AH89" s="118">
        <f t="shared" ca="1" si="102"/>
        <v>0</v>
      </c>
      <c r="AI89" s="118">
        <f t="shared" ca="1" si="102"/>
        <v>0</v>
      </c>
      <c r="AJ89" s="118">
        <f t="shared" ca="1" si="102"/>
        <v>0</v>
      </c>
      <c r="AK89" s="118">
        <f t="shared" ca="1" si="102"/>
        <v>0</v>
      </c>
      <c r="AL89" s="118">
        <f t="shared" ca="1" si="102"/>
        <v>0</v>
      </c>
      <c r="AM89" s="118">
        <f t="shared" ca="1" si="102"/>
        <v>0</v>
      </c>
      <c r="AN89" s="118">
        <f t="shared" ca="1" si="102"/>
        <v>0</v>
      </c>
      <c r="AO89" s="118">
        <f t="shared" ca="1" si="102"/>
        <v>0</v>
      </c>
      <c r="AP89" s="118">
        <f t="shared" ca="1" si="102"/>
        <v>0</v>
      </c>
      <c r="AQ89" s="118">
        <f t="shared" ca="1" si="102"/>
        <v>0</v>
      </c>
      <c r="AR89" s="118">
        <f t="shared" ca="1" si="102"/>
        <v>0</v>
      </c>
      <c r="AS89" s="118">
        <f t="shared" ca="1" si="102"/>
        <v>0</v>
      </c>
      <c r="AT89" s="118">
        <f t="shared" ca="1" si="102"/>
        <v>0</v>
      </c>
      <c r="AU89" s="118">
        <f t="shared" ca="1" si="102"/>
        <v>0</v>
      </c>
      <c r="AV89" s="118">
        <f t="shared" ca="1" si="102"/>
        <v>0</v>
      </c>
      <c r="AW89" s="118">
        <f t="shared" ca="1" si="102"/>
        <v>0</v>
      </c>
      <c r="AX89" s="118">
        <f t="shared" ca="1" si="102"/>
        <v>0</v>
      </c>
      <c r="AY89" s="118">
        <f t="shared" ca="1" si="102"/>
        <v>0</v>
      </c>
      <c r="AZ89" s="118">
        <f t="shared" ca="1" si="102"/>
        <v>0</v>
      </c>
      <c r="BA89" s="118">
        <f t="shared" ca="1" si="102"/>
        <v>0</v>
      </c>
      <c r="BB89" s="118">
        <f t="shared" ca="1" si="102"/>
        <v>0</v>
      </c>
      <c r="BC89" s="118">
        <f t="shared" ca="1" si="102"/>
        <v>0</v>
      </c>
      <c r="BD89" s="118">
        <f t="shared" ca="1" si="102"/>
        <v>0</v>
      </c>
      <c r="BE89" s="118">
        <f t="shared" ca="1" si="102"/>
        <v>0</v>
      </c>
      <c r="BF89" s="118">
        <f t="shared" ca="1" si="102"/>
        <v>0</v>
      </c>
      <c r="BG89" s="118">
        <f t="shared" ca="1" si="102"/>
        <v>0</v>
      </c>
      <c r="BH89" s="118">
        <f t="shared" ca="1" si="102"/>
        <v>0</v>
      </c>
      <c r="BI89" s="118">
        <f t="shared" ca="1" si="102"/>
        <v>0</v>
      </c>
      <c r="BJ89" s="118">
        <f t="shared" ca="1" si="102"/>
        <v>0</v>
      </c>
      <c r="BK89" s="118">
        <f t="shared" ca="1" si="102"/>
        <v>0</v>
      </c>
      <c r="BL89" s="118">
        <f t="shared" ca="1" si="102"/>
        <v>0</v>
      </c>
      <c r="BM89" s="118">
        <f t="shared" ca="1" si="102"/>
        <v>0</v>
      </c>
      <c r="BN89" s="118">
        <f t="shared" ca="1" si="102"/>
        <v>0</v>
      </c>
      <c r="BO89" s="118">
        <f t="shared" ca="1" si="102"/>
        <v>0</v>
      </c>
      <c r="BP89" s="118">
        <f t="shared" ca="1" si="102"/>
        <v>0</v>
      </c>
      <c r="BQ89" s="118">
        <f t="shared" ca="1" si="102"/>
        <v>0</v>
      </c>
      <c r="BR89" s="118">
        <f t="shared" ca="1" si="102"/>
        <v>0</v>
      </c>
      <c r="BS89" s="118">
        <f t="shared" ca="1" si="102"/>
        <v>0</v>
      </c>
      <c r="BT89" s="118">
        <f t="shared" ca="1" si="102"/>
        <v>0</v>
      </c>
      <c r="BU89" s="118">
        <f t="shared" ca="1" si="101"/>
        <v>0</v>
      </c>
      <c r="BV89" s="118">
        <f t="shared" ca="1" si="101"/>
        <v>0</v>
      </c>
      <c r="BW89" s="118">
        <f t="shared" ca="1" si="101"/>
        <v>0</v>
      </c>
      <c r="BX89" s="118">
        <f t="shared" ca="1" si="101"/>
        <v>0</v>
      </c>
      <c r="BY89" s="118">
        <f t="shared" ca="1" si="101"/>
        <v>0</v>
      </c>
      <c r="BZ89" s="118">
        <f t="shared" ca="1" si="101"/>
        <v>0</v>
      </c>
      <c r="CA89" s="118">
        <f t="shared" ca="1" si="101"/>
        <v>0</v>
      </c>
      <c r="CB89" s="118">
        <f t="shared" ca="1" si="101"/>
        <v>0</v>
      </c>
      <c r="CC89" s="118">
        <f t="shared" ca="1" si="101"/>
        <v>0</v>
      </c>
      <c r="CD89" s="118">
        <f t="shared" ca="1" si="101"/>
        <v>0</v>
      </c>
      <c r="CE89" s="118">
        <f t="shared" ca="1" si="101"/>
        <v>0</v>
      </c>
      <c r="CF89" s="118">
        <f t="shared" ca="1" si="101"/>
        <v>0</v>
      </c>
      <c r="CG89" s="118">
        <f t="shared" ca="1" si="101"/>
        <v>0</v>
      </c>
      <c r="CH89" s="118">
        <f t="shared" ca="1" si="101"/>
        <v>0</v>
      </c>
      <c r="CI89" s="118">
        <f t="shared" ca="1" si="101"/>
        <v>0</v>
      </c>
      <c r="CJ89" s="118">
        <f t="shared" ca="1" si="101"/>
        <v>0</v>
      </c>
      <c r="CK89" s="118">
        <f t="shared" ca="1" si="101"/>
        <v>0</v>
      </c>
      <c r="CL89" s="118">
        <f t="shared" ca="1" si="101"/>
        <v>0</v>
      </c>
      <c r="CM89" s="118">
        <f t="shared" ca="1" si="101"/>
        <v>0</v>
      </c>
      <c r="CN89" s="118">
        <f t="shared" ca="1" si="101"/>
        <v>0</v>
      </c>
      <c r="CO89" s="118">
        <f t="shared" ca="1" si="101"/>
        <v>0</v>
      </c>
      <c r="CP89" s="118">
        <f t="shared" ca="1" si="101"/>
        <v>0</v>
      </c>
      <c r="CQ89" s="118">
        <f t="shared" ca="1" si="101"/>
        <v>0</v>
      </c>
      <c r="CR89" s="118">
        <f t="shared" ca="1" si="101"/>
        <v>0</v>
      </c>
      <c r="CS89" s="118">
        <f t="shared" ca="1" si="101"/>
        <v>0</v>
      </c>
      <c r="CT89" s="118">
        <f t="shared" ca="1" si="101"/>
        <v>0</v>
      </c>
      <c r="CU89" s="118">
        <f t="shared" ca="1" si="101"/>
        <v>0</v>
      </c>
      <c r="CV89" s="118">
        <f t="shared" ca="1" si="101"/>
        <v>0</v>
      </c>
      <c r="CW89" s="118">
        <f t="shared" ca="1" si="101"/>
        <v>0</v>
      </c>
      <c r="CX89" s="118">
        <f t="shared" ca="1" si="101"/>
        <v>0</v>
      </c>
      <c r="CY89" s="118">
        <f t="shared" ca="1" si="97"/>
        <v>0</v>
      </c>
      <c r="CZ89" s="118">
        <f t="shared" ca="1" si="97"/>
        <v>0</v>
      </c>
    </row>
    <row r="90" spans="2:104" x14ac:dyDescent="0.2">
      <c r="B90" s="119" t="str">
        <f>'9. Development Costs'!B75</f>
        <v>Loan fees</v>
      </c>
      <c r="C90" s="118">
        <f>-'9. Development Costs'!H75</f>
        <v>-849580.95888000017</v>
      </c>
      <c r="D90" s="118">
        <f t="shared" ca="1" si="94"/>
        <v>0</v>
      </c>
      <c r="E90" s="118">
        <f t="shared" ca="1" si="95"/>
        <v>-849580.95887999993</v>
      </c>
      <c r="F90" s="272">
        <f t="shared" ref="F90:G94" ca="1" si="103">F$47</f>
        <v>46097</v>
      </c>
      <c r="G90" s="272">
        <f t="shared" ca="1" si="103"/>
        <v>47042</v>
      </c>
      <c r="H90" s="125">
        <f t="shared" ca="1" si="98"/>
        <v>32</v>
      </c>
      <c r="I90" s="118">
        <f t="shared" ca="1" si="99"/>
        <v>0</v>
      </c>
      <c r="J90" s="118">
        <f t="shared" ca="1" si="99"/>
        <v>-26549.404965000005</v>
      </c>
      <c r="K90" s="118">
        <f t="shared" ca="1" si="99"/>
        <v>-26549.404965000005</v>
      </c>
      <c r="L90" s="118">
        <f t="shared" ca="1" si="99"/>
        <v>-26549.404965000005</v>
      </c>
      <c r="M90" s="118">
        <f t="shared" ca="1" si="99"/>
        <v>-26549.404965000005</v>
      </c>
      <c r="N90" s="118">
        <f t="shared" ca="1" si="99"/>
        <v>-26549.404965000005</v>
      </c>
      <c r="O90" s="118">
        <f t="shared" ca="1" si="99"/>
        <v>-26549.404965000005</v>
      </c>
      <c r="P90" s="118">
        <f t="shared" ca="1" si="99"/>
        <v>-26549.404965000005</v>
      </c>
      <c r="Q90" s="118">
        <f t="shared" ca="1" si="99"/>
        <v>-26549.404965000005</v>
      </c>
      <c r="R90" s="118">
        <f t="shared" ca="1" si="99"/>
        <v>-26549.404965000005</v>
      </c>
      <c r="S90" s="118">
        <f t="shared" ca="1" si="99"/>
        <v>-26549.404965000005</v>
      </c>
      <c r="T90" s="118">
        <f t="shared" ca="1" si="99"/>
        <v>-26549.404965000005</v>
      </c>
      <c r="U90" s="118">
        <f t="shared" ca="1" si="99"/>
        <v>-26549.404965000005</v>
      </c>
      <c r="V90" s="118">
        <f t="shared" ca="1" si="99"/>
        <v>-26549.404965000005</v>
      </c>
      <c r="W90" s="118">
        <f t="shared" ca="1" si="99"/>
        <v>-26549.404965000005</v>
      </c>
      <c r="X90" s="118">
        <f t="shared" ca="1" si="99"/>
        <v>-26549.404965000005</v>
      </c>
      <c r="Y90" s="118">
        <f t="shared" ca="1" si="102"/>
        <v>-26549.404965000005</v>
      </c>
      <c r="Z90" s="118">
        <f t="shared" ca="1" si="102"/>
        <v>-26549.404965000005</v>
      </c>
      <c r="AA90" s="118">
        <f t="shared" ca="1" si="102"/>
        <v>-26549.404965000005</v>
      </c>
      <c r="AB90" s="118">
        <f t="shared" ca="1" si="102"/>
        <v>-26549.404965000005</v>
      </c>
      <c r="AC90" s="118">
        <f t="shared" ca="1" si="102"/>
        <v>-26549.404965000005</v>
      </c>
      <c r="AD90" s="118">
        <f t="shared" ca="1" si="102"/>
        <v>-26549.404965000005</v>
      </c>
      <c r="AE90" s="118">
        <f t="shared" ca="1" si="102"/>
        <v>-26549.404965000005</v>
      </c>
      <c r="AF90" s="118">
        <f t="shared" ca="1" si="102"/>
        <v>-26549.404965000005</v>
      </c>
      <c r="AG90" s="118">
        <f t="shared" ca="1" si="102"/>
        <v>-26549.404965000005</v>
      </c>
      <c r="AH90" s="118">
        <f t="shared" ca="1" si="102"/>
        <v>-26549.404965000005</v>
      </c>
      <c r="AI90" s="118">
        <f t="shared" ca="1" si="102"/>
        <v>-26549.404965000005</v>
      </c>
      <c r="AJ90" s="118">
        <f t="shared" ca="1" si="102"/>
        <v>-26549.404965000005</v>
      </c>
      <c r="AK90" s="118">
        <f t="shared" ca="1" si="102"/>
        <v>-26549.404965000005</v>
      </c>
      <c r="AL90" s="118">
        <f t="shared" ca="1" si="102"/>
        <v>-26549.404965000005</v>
      </c>
      <c r="AM90" s="118">
        <f t="shared" ca="1" si="102"/>
        <v>-26549.404965000005</v>
      </c>
      <c r="AN90" s="118">
        <f t="shared" ca="1" si="102"/>
        <v>-26549.404965000005</v>
      </c>
      <c r="AO90" s="118">
        <f t="shared" ca="1" si="102"/>
        <v>-26549.404965000005</v>
      </c>
      <c r="AP90" s="118">
        <f t="shared" ca="1" si="102"/>
        <v>0</v>
      </c>
      <c r="AQ90" s="118">
        <f t="shared" ca="1" si="102"/>
        <v>0</v>
      </c>
      <c r="AR90" s="118">
        <f t="shared" ca="1" si="102"/>
        <v>0</v>
      </c>
      <c r="AS90" s="118">
        <f t="shared" ca="1" si="102"/>
        <v>0</v>
      </c>
      <c r="AT90" s="118">
        <f t="shared" ca="1" si="102"/>
        <v>0</v>
      </c>
      <c r="AU90" s="118">
        <f t="shared" ca="1" si="102"/>
        <v>0</v>
      </c>
      <c r="AV90" s="118">
        <f t="shared" ca="1" si="102"/>
        <v>0</v>
      </c>
      <c r="AW90" s="118">
        <f t="shared" ca="1" si="102"/>
        <v>0</v>
      </c>
      <c r="AX90" s="118">
        <f t="shared" ca="1" si="102"/>
        <v>0</v>
      </c>
      <c r="AY90" s="118">
        <f t="shared" ca="1" si="102"/>
        <v>0</v>
      </c>
      <c r="AZ90" s="118">
        <f t="shared" ca="1" si="102"/>
        <v>0</v>
      </c>
      <c r="BA90" s="118">
        <f t="shared" ca="1" si="102"/>
        <v>0</v>
      </c>
      <c r="BB90" s="118">
        <f t="shared" ca="1" si="102"/>
        <v>0</v>
      </c>
      <c r="BC90" s="118">
        <f t="shared" ca="1" si="102"/>
        <v>0</v>
      </c>
      <c r="BD90" s="118">
        <f t="shared" ca="1" si="102"/>
        <v>0</v>
      </c>
      <c r="BE90" s="118">
        <f t="shared" ca="1" si="102"/>
        <v>0</v>
      </c>
      <c r="BF90" s="118">
        <f t="shared" ca="1" si="102"/>
        <v>0</v>
      </c>
      <c r="BG90" s="118">
        <f t="shared" ca="1" si="102"/>
        <v>0</v>
      </c>
      <c r="BH90" s="118">
        <f t="shared" ca="1" si="102"/>
        <v>0</v>
      </c>
      <c r="BI90" s="118">
        <f t="shared" ca="1" si="102"/>
        <v>0</v>
      </c>
      <c r="BJ90" s="118">
        <f t="shared" ca="1" si="102"/>
        <v>0</v>
      </c>
      <c r="BK90" s="118">
        <f t="shared" ca="1" si="102"/>
        <v>0</v>
      </c>
      <c r="BL90" s="118">
        <f t="shared" ca="1" si="102"/>
        <v>0</v>
      </c>
      <c r="BM90" s="118">
        <f t="shared" ca="1" si="102"/>
        <v>0</v>
      </c>
      <c r="BN90" s="118">
        <f t="shared" ca="1" si="102"/>
        <v>0</v>
      </c>
      <c r="BO90" s="118">
        <f t="shared" ca="1" si="102"/>
        <v>0</v>
      </c>
      <c r="BP90" s="118">
        <f t="shared" ca="1" si="102"/>
        <v>0</v>
      </c>
      <c r="BQ90" s="118">
        <f t="shared" ca="1" si="102"/>
        <v>0</v>
      </c>
      <c r="BR90" s="118">
        <f t="shared" ca="1" si="102"/>
        <v>0</v>
      </c>
      <c r="BS90" s="118">
        <f t="shared" ca="1" si="102"/>
        <v>0</v>
      </c>
      <c r="BT90" s="118">
        <f t="shared" ca="1" si="102"/>
        <v>0</v>
      </c>
      <c r="BU90" s="118">
        <f t="shared" ca="1" si="102"/>
        <v>0</v>
      </c>
      <c r="BV90" s="118">
        <f t="shared" ca="1" si="97"/>
        <v>0</v>
      </c>
      <c r="BW90" s="118">
        <f t="shared" ca="1" si="97"/>
        <v>0</v>
      </c>
      <c r="BX90" s="118">
        <f t="shared" ca="1" si="97"/>
        <v>0</v>
      </c>
      <c r="BY90" s="118">
        <f t="shared" ca="1" si="97"/>
        <v>0</v>
      </c>
      <c r="BZ90" s="118">
        <f t="shared" ca="1" si="97"/>
        <v>0</v>
      </c>
      <c r="CA90" s="118">
        <f t="shared" ca="1" si="97"/>
        <v>0</v>
      </c>
      <c r="CB90" s="118">
        <f t="shared" ca="1" si="97"/>
        <v>0</v>
      </c>
      <c r="CC90" s="118">
        <f t="shared" ca="1" si="97"/>
        <v>0</v>
      </c>
      <c r="CD90" s="118">
        <f t="shared" ca="1" si="97"/>
        <v>0</v>
      </c>
      <c r="CE90" s="118">
        <f t="shared" ca="1" si="97"/>
        <v>0</v>
      </c>
      <c r="CF90" s="118">
        <f t="shared" ca="1" si="97"/>
        <v>0</v>
      </c>
      <c r="CG90" s="118">
        <f t="shared" ca="1" si="97"/>
        <v>0</v>
      </c>
      <c r="CH90" s="118">
        <f t="shared" ca="1" si="97"/>
        <v>0</v>
      </c>
      <c r="CI90" s="118">
        <f t="shared" ca="1" si="97"/>
        <v>0</v>
      </c>
      <c r="CJ90" s="118">
        <f t="shared" ca="1" si="97"/>
        <v>0</v>
      </c>
      <c r="CK90" s="118">
        <f t="shared" ca="1" si="97"/>
        <v>0</v>
      </c>
      <c r="CL90" s="118">
        <f t="shared" ca="1" si="97"/>
        <v>0</v>
      </c>
      <c r="CM90" s="118">
        <f t="shared" ca="1" si="97"/>
        <v>0</v>
      </c>
      <c r="CN90" s="118">
        <f t="shared" ca="1" si="97"/>
        <v>0</v>
      </c>
      <c r="CO90" s="118">
        <f t="shared" ca="1" si="97"/>
        <v>0</v>
      </c>
      <c r="CP90" s="118">
        <f t="shared" ca="1" si="97"/>
        <v>0</v>
      </c>
      <c r="CQ90" s="118">
        <f t="shared" ca="1" si="97"/>
        <v>0</v>
      </c>
      <c r="CR90" s="118">
        <f t="shared" ca="1" si="97"/>
        <v>0</v>
      </c>
      <c r="CS90" s="118">
        <f t="shared" ca="1" si="97"/>
        <v>0</v>
      </c>
      <c r="CT90" s="118">
        <f t="shared" ca="1" si="97"/>
        <v>0</v>
      </c>
      <c r="CU90" s="118">
        <f t="shared" ca="1" si="97"/>
        <v>0</v>
      </c>
      <c r="CV90" s="118">
        <f t="shared" ca="1" si="97"/>
        <v>0</v>
      </c>
      <c r="CW90" s="118">
        <f t="shared" ca="1" si="97"/>
        <v>0</v>
      </c>
      <c r="CX90" s="118">
        <f t="shared" ca="1" si="97"/>
        <v>0</v>
      </c>
      <c r="CY90" s="118">
        <f t="shared" ca="1" si="97"/>
        <v>0</v>
      </c>
      <c r="CZ90" s="118">
        <f t="shared" ca="1" si="97"/>
        <v>0</v>
      </c>
    </row>
    <row r="91" spans="2:104" x14ac:dyDescent="0.2">
      <c r="B91" s="119" t="str">
        <f>'9. Development Costs'!B76</f>
        <v>Bank's Legal / Other charges</v>
      </c>
      <c r="C91" s="118">
        <f>-'9. Development Costs'!H76</f>
        <v>0</v>
      </c>
      <c r="D91" s="118">
        <f t="shared" ca="1" si="94"/>
        <v>0</v>
      </c>
      <c r="E91" s="118">
        <f t="shared" ca="1" si="95"/>
        <v>0</v>
      </c>
      <c r="F91" s="272">
        <f t="shared" ca="1" si="103"/>
        <v>46097</v>
      </c>
      <c r="G91" s="272">
        <f t="shared" ca="1" si="103"/>
        <v>47042</v>
      </c>
      <c r="H91" s="125">
        <f t="shared" ca="1" si="98"/>
        <v>32</v>
      </c>
      <c r="I91" s="118">
        <f t="shared" ca="1" si="99"/>
        <v>0</v>
      </c>
      <c r="J91" s="118">
        <f t="shared" ca="1" si="99"/>
        <v>0</v>
      </c>
      <c r="K91" s="118">
        <f t="shared" ca="1" si="99"/>
        <v>0</v>
      </c>
      <c r="L91" s="118">
        <f t="shared" ca="1" si="99"/>
        <v>0</v>
      </c>
      <c r="M91" s="118">
        <f t="shared" ca="1" si="99"/>
        <v>0</v>
      </c>
      <c r="N91" s="118">
        <f t="shared" ca="1" si="99"/>
        <v>0</v>
      </c>
      <c r="O91" s="118">
        <f t="shared" ca="1" si="99"/>
        <v>0</v>
      </c>
      <c r="P91" s="118">
        <f t="shared" ca="1" si="99"/>
        <v>0</v>
      </c>
      <c r="Q91" s="118">
        <f t="shared" ca="1" si="99"/>
        <v>0</v>
      </c>
      <c r="R91" s="118">
        <f t="shared" ca="1" si="99"/>
        <v>0</v>
      </c>
      <c r="S91" s="118">
        <f t="shared" ca="1" si="99"/>
        <v>0</v>
      </c>
      <c r="T91" s="118">
        <f t="shared" ca="1" si="99"/>
        <v>0</v>
      </c>
      <c r="U91" s="118">
        <f t="shared" ca="1" si="99"/>
        <v>0</v>
      </c>
      <c r="V91" s="118">
        <f t="shared" ca="1" si="99"/>
        <v>0</v>
      </c>
      <c r="W91" s="118">
        <f t="shared" ca="1" si="99"/>
        <v>0</v>
      </c>
      <c r="X91" s="118">
        <f t="shared" ca="1" si="99"/>
        <v>0</v>
      </c>
      <c r="Y91" s="118">
        <f t="shared" ca="1" si="102"/>
        <v>0</v>
      </c>
      <c r="Z91" s="118">
        <f t="shared" ca="1" si="102"/>
        <v>0</v>
      </c>
      <c r="AA91" s="118">
        <f t="shared" ca="1" si="102"/>
        <v>0</v>
      </c>
      <c r="AB91" s="118">
        <f t="shared" ca="1" si="102"/>
        <v>0</v>
      </c>
      <c r="AC91" s="118">
        <f t="shared" ca="1" si="102"/>
        <v>0</v>
      </c>
      <c r="AD91" s="118">
        <f t="shared" ca="1" si="102"/>
        <v>0</v>
      </c>
      <c r="AE91" s="118">
        <f t="shared" ca="1" si="102"/>
        <v>0</v>
      </c>
      <c r="AF91" s="118">
        <f t="shared" ca="1" si="102"/>
        <v>0</v>
      </c>
      <c r="AG91" s="118">
        <f t="shared" ca="1" si="102"/>
        <v>0</v>
      </c>
      <c r="AH91" s="118">
        <f t="shared" ca="1" si="102"/>
        <v>0</v>
      </c>
      <c r="AI91" s="118">
        <f t="shared" ca="1" si="102"/>
        <v>0</v>
      </c>
      <c r="AJ91" s="118">
        <f t="shared" ca="1" si="102"/>
        <v>0</v>
      </c>
      <c r="AK91" s="118">
        <f t="shared" ca="1" si="102"/>
        <v>0</v>
      </c>
      <c r="AL91" s="118">
        <f t="shared" ca="1" si="102"/>
        <v>0</v>
      </c>
      <c r="AM91" s="118">
        <f t="shared" ca="1" si="102"/>
        <v>0</v>
      </c>
      <c r="AN91" s="118">
        <f t="shared" ca="1" si="102"/>
        <v>0</v>
      </c>
      <c r="AO91" s="118">
        <f t="shared" ca="1" si="102"/>
        <v>0</v>
      </c>
      <c r="AP91" s="118">
        <f t="shared" ca="1" si="102"/>
        <v>0</v>
      </c>
      <c r="AQ91" s="118">
        <f t="shared" ca="1" si="102"/>
        <v>0</v>
      </c>
      <c r="AR91" s="118">
        <f t="shared" ca="1" si="102"/>
        <v>0</v>
      </c>
      <c r="AS91" s="118">
        <f t="shared" ca="1" si="102"/>
        <v>0</v>
      </c>
      <c r="AT91" s="118">
        <f t="shared" ca="1" si="102"/>
        <v>0</v>
      </c>
      <c r="AU91" s="118">
        <f t="shared" ca="1" si="102"/>
        <v>0</v>
      </c>
      <c r="AV91" s="118">
        <f t="shared" ca="1" si="102"/>
        <v>0</v>
      </c>
      <c r="AW91" s="118">
        <f t="shared" ca="1" si="102"/>
        <v>0</v>
      </c>
      <c r="AX91" s="118">
        <f t="shared" ca="1" si="102"/>
        <v>0</v>
      </c>
      <c r="AY91" s="118">
        <f t="shared" ca="1" si="102"/>
        <v>0</v>
      </c>
      <c r="AZ91" s="118">
        <f t="shared" ca="1" si="102"/>
        <v>0</v>
      </c>
      <c r="BA91" s="118">
        <f t="shared" ca="1" si="102"/>
        <v>0</v>
      </c>
      <c r="BB91" s="118">
        <f t="shared" ca="1" si="102"/>
        <v>0</v>
      </c>
      <c r="BC91" s="118">
        <f t="shared" ca="1" si="102"/>
        <v>0</v>
      </c>
      <c r="BD91" s="118">
        <f t="shared" ca="1" si="102"/>
        <v>0</v>
      </c>
      <c r="BE91" s="118">
        <f t="shared" ca="1" si="102"/>
        <v>0</v>
      </c>
      <c r="BF91" s="118">
        <f t="shared" ca="1" si="102"/>
        <v>0</v>
      </c>
      <c r="BG91" s="118">
        <f t="shared" ca="1" si="102"/>
        <v>0</v>
      </c>
      <c r="BH91" s="118">
        <f t="shared" ca="1" si="102"/>
        <v>0</v>
      </c>
      <c r="BI91" s="118">
        <f t="shared" ca="1" si="102"/>
        <v>0</v>
      </c>
      <c r="BJ91" s="118">
        <f t="shared" ca="1" si="102"/>
        <v>0</v>
      </c>
      <c r="BK91" s="118">
        <f t="shared" ca="1" si="102"/>
        <v>0</v>
      </c>
      <c r="BL91" s="118">
        <f t="shared" ca="1" si="102"/>
        <v>0</v>
      </c>
      <c r="BM91" s="118">
        <f t="shared" ca="1" si="102"/>
        <v>0</v>
      </c>
      <c r="BN91" s="118">
        <f t="shared" ca="1" si="102"/>
        <v>0</v>
      </c>
      <c r="BO91" s="118">
        <f t="shared" ca="1" si="102"/>
        <v>0</v>
      </c>
      <c r="BP91" s="118">
        <f t="shared" ca="1" si="102"/>
        <v>0</v>
      </c>
      <c r="BQ91" s="118">
        <f t="shared" ca="1" si="102"/>
        <v>0</v>
      </c>
      <c r="BR91" s="118">
        <f t="shared" ca="1" si="102"/>
        <v>0</v>
      </c>
      <c r="BS91" s="118">
        <f t="shared" ca="1" si="102"/>
        <v>0</v>
      </c>
      <c r="BT91" s="118">
        <f t="shared" ca="1" si="102"/>
        <v>0</v>
      </c>
      <c r="BU91" s="118">
        <f t="shared" ca="1" si="102"/>
        <v>0</v>
      </c>
      <c r="BV91" s="118">
        <f t="shared" ca="1" si="97"/>
        <v>0</v>
      </c>
      <c r="BW91" s="118">
        <f t="shared" ca="1" si="97"/>
        <v>0</v>
      </c>
      <c r="BX91" s="118">
        <f t="shared" ca="1" si="97"/>
        <v>0</v>
      </c>
      <c r="BY91" s="118">
        <f t="shared" ca="1" si="97"/>
        <v>0</v>
      </c>
      <c r="BZ91" s="118">
        <f t="shared" ca="1" si="97"/>
        <v>0</v>
      </c>
      <c r="CA91" s="118">
        <f t="shared" ca="1" si="97"/>
        <v>0</v>
      </c>
      <c r="CB91" s="118">
        <f t="shared" ca="1" si="97"/>
        <v>0</v>
      </c>
      <c r="CC91" s="118">
        <f t="shared" ca="1" si="97"/>
        <v>0</v>
      </c>
      <c r="CD91" s="118">
        <f t="shared" ca="1" si="97"/>
        <v>0</v>
      </c>
      <c r="CE91" s="118">
        <f t="shared" ca="1" si="97"/>
        <v>0</v>
      </c>
      <c r="CF91" s="118">
        <f t="shared" ca="1" si="97"/>
        <v>0</v>
      </c>
      <c r="CG91" s="118">
        <f t="shared" ca="1" si="97"/>
        <v>0</v>
      </c>
      <c r="CH91" s="118">
        <f t="shared" ca="1" si="97"/>
        <v>0</v>
      </c>
      <c r="CI91" s="118">
        <f t="shared" ca="1" si="97"/>
        <v>0</v>
      </c>
      <c r="CJ91" s="118">
        <f t="shared" ca="1" si="97"/>
        <v>0</v>
      </c>
      <c r="CK91" s="118">
        <f t="shared" ca="1" si="97"/>
        <v>0</v>
      </c>
      <c r="CL91" s="118">
        <f t="shared" ca="1" si="97"/>
        <v>0</v>
      </c>
      <c r="CM91" s="118">
        <f t="shared" ca="1" si="97"/>
        <v>0</v>
      </c>
      <c r="CN91" s="118">
        <f t="shared" ca="1" si="97"/>
        <v>0</v>
      </c>
      <c r="CO91" s="118">
        <f t="shared" ca="1" si="97"/>
        <v>0</v>
      </c>
      <c r="CP91" s="118">
        <f t="shared" ca="1" si="97"/>
        <v>0</v>
      </c>
      <c r="CQ91" s="118">
        <f t="shared" ca="1" si="97"/>
        <v>0</v>
      </c>
      <c r="CR91" s="118">
        <f t="shared" ca="1" si="97"/>
        <v>0</v>
      </c>
      <c r="CS91" s="118">
        <f t="shared" ca="1" si="97"/>
        <v>0</v>
      </c>
      <c r="CT91" s="118">
        <f t="shared" ca="1" si="97"/>
        <v>0</v>
      </c>
      <c r="CU91" s="118">
        <f t="shared" ca="1" si="97"/>
        <v>0</v>
      </c>
      <c r="CV91" s="118">
        <f t="shared" ca="1" si="97"/>
        <v>0</v>
      </c>
      <c r="CW91" s="118">
        <f t="shared" ca="1" si="97"/>
        <v>0</v>
      </c>
      <c r="CX91" s="118">
        <f t="shared" ca="1" si="97"/>
        <v>0</v>
      </c>
      <c r="CY91" s="118">
        <f t="shared" ca="1" si="97"/>
        <v>0</v>
      </c>
      <c r="CZ91" s="118">
        <f t="shared" ca="1" si="97"/>
        <v>0</v>
      </c>
    </row>
    <row r="92" spans="2:104" x14ac:dyDescent="0.2">
      <c r="B92" s="119" t="str">
        <f>'9. Development Costs'!B77</f>
        <v>HST</v>
      </c>
      <c r="C92" s="118">
        <f>-'9. Development Costs'!H77</f>
        <v>0</v>
      </c>
      <c r="D92" s="118">
        <f t="shared" ca="1" si="94"/>
        <v>0</v>
      </c>
      <c r="E92" s="118">
        <f t="shared" ca="1" si="95"/>
        <v>0</v>
      </c>
      <c r="F92" s="98">
        <f ca="1">F72</f>
        <v>47042</v>
      </c>
      <c r="G92" s="98">
        <f ca="1">G72</f>
        <v>47042</v>
      </c>
      <c r="H92" s="125">
        <f t="shared" ca="1" si="98"/>
        <v>1</v>
      </c>
      <c r="I92" s="118">
        <f t="shared" ca="1" si="99"/>
        <v>0</v>
      </c>
      <c r="J92" s="118">
        <f t="shared" ca="1" si="99"/>
        <v>0</v>
      </c>
      <c r="K92" s="118">
        <f t="shared" ca="1" si="99"/>
        <v>0</v>
      </c>
      <c r="L92" s="118">
        <f t="shared" ca="1" si="99"/>
        <v>0</v>
      </c>
      <c r="M92" s="118">
        <f t="shared" ca="1" si="99"/>
        <v>0</v>
      </c>
      <c r="N92" s="118">
        <f t="shared" ca="1" si="99"/>
        <v>0</v>
      </c>
      <c r="O92" s="118">
        <f t="shared" ca="1" si="99"/>
        <v>0</v>
      </c>
      <c r="P92" s="118">
        <f t="shared" ca="1" si="99"/>
        <v>0</v>
      </c>
      <c r="Q92" s="118">
        <f t="shared" ca="1" si="99"/>
        <v>0</v>
      </c>
      <c r="R92" s="118">
        <f t="shared" ca="1" si="99"/>
        <v>0</v>
      </c>
      <c r="S92" s="118">
        <f t="shared" ca="1" si="99"/>
        <v>0</v>
      </c>
      <c r="T92" s="118">
        <f t="shared" ca="1" si="99"/>
        <v>0</v>
      </c>
      <c r="U92" s="118">
        <f t="shared" ca="1" si="99"/>
        <v>0</v>
      </c>
      <c r="V92" s="118">
        <f t="shared" ca="1" si="99"/>
        <v>0</v>
      </c>
      <c r="W92" s="118">
        <f t="shared" ca="1" si="99"/>
        <v>0</v>
      </c>
      <c r="X92" s="118">
        <f t="shared" ca="1" si="99"/>
        <v>0</v>
      </c>
      <c r="Y92" s="118">
        <f t="shared" ca="1" si="102"/>
        <v>0</v>
      </c>
      <c r="Z92" s="118">
        <f t="shared" ca="1" si="102"/>
        <v>0</v>
      </c>
      <c r="AA92" s="118">
        <f t="shared" ca="1" si="102"/>
        <v>0</v>
      </c>
      <c r="AB92" s="118">
        <f t="shared" ca="1" si="102"/>
        <v>0</v>
      </c>
      <c r="AC92" s="118">
        <f t="shared" ca="1" si="102"/>
        <v>0</v>
      </c>
      <c r="AD92" s="118">
        <f t="shared" ca="1" si="102"/>
        <v>0</v>
      </c>
      <c r="AE92" s="118">
        <f t="shared" ca="1" si="102"/>
        <v>0</v>
      </c>
      <c r="AF92" s="118">
        <f t="shared" ca="1" si="102"/>
        <v>0</v>
      </c>
      <c r="AG92" s="118">
        <f t="shared" ca="1" si="102"/>
        <v>0</v>
      </c>
      <c r="AH92" s="118">
        <f t="shared" ca="1" si="102"/>
        <v>0</v>
      </c>
      <c r="AI92" s="118">
        <f t="shared" ca="1" si="102"/>
        <v>0</v>
      </c>
      <c r="AJ92" s="118">
        <f t="shared" ca="1" si="102"/>
        <v>0</v>
      </c>
      <c r="AK92" s="118">
        <f t="shared" ca="1" si="102"/>
        <v>0</v>
      </c>
      <c r="AL92" s="118">
        <f t="shared" ca="1" si="102"/>
        <v>0</v>
      </c>
      <c r="AM92" s="118">
        <f t="shared" ca="1" si="102"/>
        <v>0</v>
      </c>
      <c r="AN92" s="118">
        <f t="shared" ca="1" si="102"/>
        <v>0</v>
      </c>
      <c r="AO92" s="118">
        <f t="shared" ca="1" si="102"/>
        <v>0</v>
      </c>
      <c r="AP92" s="118">
        <f t="shared" ca="1" si="102"/>
        <v>0</v>
      </c>
      <c r="AQ92" s="118">
        <f t="shared" ca="1" si="102"/>
        <v>0</v>
      </c>
      <c r="AR92" s="118">
        <f t="shared" ca="1" si="102"/>
        <v>0</v>
      </c>
      <c r="AS92" s="118">
        <f t="shared" ca="1" si="102"/>
        <v>0</v>
      </c>
      <c r="AT92" s="118">
        <f t="shared" ca="1" si="102"/>
        <v>0</v>
      </c>
      <c r="AU92" s="118">
        <f t="shared" ca="1" si="102"/>
        <v>0</v>
      </c>
      <c r="AV92" s="118">
        <f t="shared" ca="1" si="102"/>
        <v>0</v>
      </c>
      <c r="AW92" s="118">
        <f t="shared" ca="1" si="102"/>
        <v>0</v>
      </c>
      <c r="AX92" s="118">
        <f t="shared" ca="1" si="102"/>
        <v>0</v>
      </c>
      <c r="AY92" s="118">
        <f t="shared" ca="1" si="102"/>
        <v>0</v>
      </c>
      <c r="AZ92" s="118">
        <f t="shared" ca="1" si="102"/>
        <v>0</v>
      </c>
      <c r="BA92" s="118">
        <f t="shared" ca="1" si="102"/>
        <v>0</v>
      </c>
      <c r="BB92" s="118">
        <f t="shared" ca="1" si="102"/>
        <v>0</v>
      </c>
      <c r="BC92" s="118">
        <f t="shared" ca="1" si="102"/>
        <v>0</v>
      </c>
      <c r="BD92" s="118">
        <f t="shared" ca="1" si="102"/>
        <v>0</v>
      </c>
      <c r="BE92" s="118">
        <f t="shared" ca="1" si="102"/>
        <v>0</v>
      </c>
      <c r="BF92" s="118">
        <f t="shared" ca="1" si="102"/>
        <v>0</v>
      </c>
      <c r="BG92" s="118">
        <f t="shared" ca="1" si="102"/>
        <v>0</v>
      </c>
      <c r="BH92" s="118">
        <f t="shared" ca="1" si="102"/>
        <v>0</v>
      </c>
      <c r="BI92" s="118">
        <f t="shared" ca="1" si="102"/>
        <v>0</v>
      </c>
      <c r="BJ92" s="118">
        <f t="shared" ca="1" si="102"/>
        <v>0</v>
      </c>
      <c r="BK92" s="118">
        <f t="shared" ca="1" si="102"/>
        <v>0</v>
      </c>
      <c r="BL92" s="118">
        <f t="shared" ca="1" si="102"/>
        <v>0</v>
      </c>
      <c r="BM92" s="118">
        <f t="shared" ca="1" si="102"/>
        <v>0</v>
      </c>
      <c r="BN92" s="118">
        <f t="shared" ca="1" si="102"/>
        <v>0</v>
      </c>
      <c r="BO92" s="118">
        <f t="shared" ca="1" si="102"/>
        <v>0</v>
      </c>
      <c r="BP92" s="118">
        <f t="shared" ca="1" si="102"/>
        <v>0</v>
      </c>
      <c r="BQ92" s="118">
        <f t="shared" ca="1" si="102"/>
        <v>0</v>
      </c>
      <c r="BR92" s="118">
        <f t="shared" ca="1" si="102"/>
        <v>0</v>
      </c>
      <c r="BS92" s="118">
        <f t="shared" ca="1" si="102"/>
        <v>0</v>
      </c>
      <c r="BT92" s="118">
        <f t="shared" ca="1" si="102"/>
        <v>0</v>
      </c>
      <c r="BU92" s="118">
        <f t="shared" ca="1" si="102"/>
        <v>0</v>
      </c>
      <c r="BV92" s="118">
        <f t="shared" ca="1" si="97"/>
        <v>0</v>
      </c>
      <c r="BW92" s="118">
        <f t="shared" ca="1" si="97"/>
        <v>0</v>
      </c>
      <c r="BX92" s="118">
        <f t="shared" ca="1" si="97"/>
        <v>0</v>
      </c>
      <c r="BY92" s="118">
        <f t="shared" ca="1" si="97"/>
        <v>0</v>
      </c>
      <c r="BZ92" s="118">
        <f t="shared" ca="1" si="97"/>
        <v>0</v>
      </c>
      <c r="CA92" s="118">
        <f t="shared" ca="1" si="97"/>
        <v>0</v>
      </c>
      <c r="CB92" s="118">
        <f t="shared" ca="1" si="97"/>
        <v>0</v>
      </c>
      <c r="CC92" s="118">
        <f t="shared" ca="1" si="97"/>
        <v>0</v>
      </c>
      <c r="CD92" s="118">
        <f t="shared" ca="1" si="97"/>
        <v>0</v>
      </c>
      <c r="CE92" s="118">
        <f t="shared" ca="1" si="97"/>
        <v>0</v>
      </c>
      <c r="CF92" s="118">
        <f t="shared" ca="1" si="97"/>
        <v>0</v>
      </c>
      <c r="CG92" s="118">
        <f t="shared" ca="1" si="97"/>
        <v>0</v>
      </c>
      <c r="CH92" s="118">
        <f t="shared" ca="1" si="97"/>
        <v>0</v>
      </c>
      <c r="CI92" s="118">
        <f t="shared" ca="1" si="97"/>
        <v>0</v>
      </c>
      <c r="CJ92" s="118">
        <f t="shared" ca="1" si="97"/>
        <v>0</v>
      </c>
      <c r="CK92" s="118">
        <f t="shared" ca="1" si="97"/>
        <v>0</v>
      </c>
      <c r="CL92" s="118">
        <f t="shared" ca="1" si="97"/>
        <v>0</v>
      </c>
      <c r="CM92" s="118">
        <f t="shared" ca="1" si="97"/>
        <v>0</v>
      </c>
      <c r="CN92" s="118">
        <f t="shared" ca="1" si="97"/>
        <v>0</v>
      </c>
      <c r="CO92" s="118">
        <f t="shared" ca="1" si="97"/>
        <v>0</v>
      </c>
      <c r="CP92" s="118">
        <f t="shared" ca="1" si="97"/>
        <v>0</v>
      </c>
      <c r="CQ92" s="118">
        <f t="shared" ca="1" si="97"/>
        <v>0</v>
      </c>
      <c r="CR92" s="118">
        <f t="shared" ca="1" si="97"/>
        <v>0</v>
      </c>
      <c r="CS92" s="118">
        <f t="shared" ca="1" si="97"/>
        <v>0</v>
      </c>
      <c r="CT92" s="118">
        <f t="shared" ca="1" si="97"/>
        <v>0</v>
      </c>
      <c r="CU92" s="118">
        <f t="shared" ca="1" si="97"/>
        <v>0</v>
      </c>
      <c r="CV92" s="118">
        <f t="shared" ca="1" si="97"/>
        <v>0</v>
      </c>
      <c r="CW92" s="118">
        <f t="shared" ca="1" si="97"/>
        <v>0</v>
      </c>
      <c r="CX92" s="118">
        <f t="shared" ca="1" si="97"/>
        <v>0</v>
      </c>
      <c r="CY92" s="118">
        <f t="shared" ca="1" si="97"/>
        <v>0</v>
      </c>
      <c r="CZ92" s="118">
        <f t="shared" ca="1" si="97"/>
        <v>0</v>
      </c>
    </row>
    <row r="93" spans="2:104" x14ac:dyDescent="0.2">
      <c r="B93" s="119" t="str">
        <f>'9. Development Costs'!B78</f>
        <v>Construction Loan Interest</v>
      </c>
      <c r="C93" s="118">
        <f ca="1">E93</f>
        <v>-7695700.3074020371</v>
      </c>
      <c r="D93" s="118">
        <f t="shared" ca="1" si="94"/>
        <v>0</v>
      </c>
      <c r="E93" s="118">
        <f t="shared" ca="1" si="95"/>
        <v>-7695700.3074020371</v>
      </c>
      <c r="F93" s="98"/>
      <c r="G93" s="98"/>
      <c r="H93" s="125"/>
      <c r="I93" s="118">
        <v>0</v>
      </c>
      <c r="J93" s="118">
        <f ca="1">IF(J110="PUD",-'9. Development Costs'!$G$78/12*I107,0)</f>
        <v>-4981.1687353688985</v>
      </c>
      <c r="K93" s="118">
        <f ca="1">IF(K110="PUD",-'9. Development Costs'!$G$78/12*J107,0)</f>
        <v>-5896.1417777777779</v>
      </c>
      <c r="L93" s="118">
        <f ca="1">IF(L110="PUD",-'9. Development Costs'!$G$78/12*K107,0)</f>
        <v>-6815.5902222222221</v>
      </c>
      <c r="M93" s="118">
        <f ca="1">IF(M110="PUD",-'9. Development Costs'!$G$78/12*L107,0)</f>
        <v>-7739.5315555555553</v>
      </c>
      <c r="N93" s="118">
        <f ca="1">IF(N110="PUD",-'9. Development Costs'!$G$78/12*M107,0)</f>
        <v>-8667.9902222222227</v>
      </c>
      <c r="O93" s="118">
        <f ca="1">IF(O110="PUD",-'9. Development Costs'!$G$78/12*N107,0)</f>
        <v>-9600.9906666666666</v>
      </c>
      <c r="P93" s="118">
        <f ca="1">IF(P110="PUD",-'9. Development Costs'!$G$78/12*O107,0)</f>
        <v>-10538.552444444444</v>
      </c>
      <c r="Q93" s="118">
        <f ca="1">IF(Q110="PUD",-'9. Development Costs'!$G$78/12*P107,0)</f>
        <v>-11480.69511111111</v>
      </c>
      <c r="R93" s="118">
        <f ca="1">IF(R110="PUD",-'9. Development Costs'!$G$78/12*Q107,0)</f>
        <v>-12427.443111111112</v>
      </c>
      <c r="S93" s="118">
        <f ca="1">IF(S110="PUD",-'9. Development Costs'!$G$78/12*R107,0)</f>
        <v>-13378.820888888889</v>
      </c>
      <c r="T93" s="118">
        <f ca="1">IF(T110="PUD",-'9. Development Costs'!$G$78/12*S107,0)</f>
        <v>-14334.852888888889</v>
      </c>
      <c r="U93" s="118">
        <f ca="1">IF(U110="PUD",-'9. Development Costs'!$G$78/12*T107,0)</f>
        <v>-15295.558666666666</v>
      </c>
      <c r="V93" s="118">
        <f ca="1">IF(V110="PUD",-'9. Development Costs'!$G$78/12*U107,0)</f>
        <v>-16260.957777777778</v>
      </c>
      <c r="W93" s="118">
        <f ca="1">IF(W110="PUD",-'9. Development Costs'!$G$78/12*V107,0)</f>
        <v>-17231.079555555556</v>
      </c>
      <c r="X93" s="118">
        <f ca="1">IF(X110="PUD",-'9. Development Costs'!$G$78/12*W107,0)</f>
        <v>-30764.966222222221</v>
      </c>
      <c r="Y93" s="118">
        <f ca="1">IF(Y110="PUD",-'9. Development Costs'!$G$78/12*X107,0)</f>
        <v>-45584.801777777779</v>
      </c>
      <c r="Z93" s="118">
        <f ca="1">IF(Z110="PUD",-'9. Development Costs'!$G$78/12*Y107,0)</f>
        <v>-61652.941777777778</v>
      </c>
      <c r="AA93" s="118">
        <f ca="1">IF(AA110="PUD",-'9. Development Costs'!$G$78/12*Z107,0)</f>
        <v>-78900.731555555554</v>
      </c>
      <c r="AB93" s="118">
        <f ca="1">IF(AB110="PUD",-'9. Development Costs'!$G$78/12*AA107,0)</f>
        <v>-97228.467111111109</v>
      </c>
      <c r="AC93" s="118">
        <f ca="1">IF(AC110="PUD",-'9. Development Costs'!$G$78/12*AB107,0)</f>
        <v>-116506.72</v>
      </c>
      <c r="AD93" s="118">
        <f ca="1">IF(AD110="PUD",-'9. Development Costs'!$G$78/12*AC107,0)</f>
        <v>-136579.11422222221</v>
      </c>
      <c r="AE93" s="118">
        <f ca="1">IF(AE110="PUD",-'9. Development Costs'!$G$78/12*AD107,0)</f>
        <v>-157266.42799999999</v>
      </c>
      <c r="AF93" s="118">
        <f ca="1">IF(AF110="PUD",-'9. Development Costs'!$G$78/12*AE107,0)</f>
        <v>-178371.88355555554</v>
      </c>
      <c r="AG93" s="118">
        <f ca="1">IF(AG110="PUD",-'9. Development Costs'!$G$78/12*AF107,0)</f>
        <v>-199687.36577777777</v>
      </c>
      <c r="AH93" s="118">
        <f ca="1">IF(AH110="PUD",-'9. Development Costs'!$G$78/12*AG107,0)</f>
        <v>-221000.2128888889</v>
      </c>
      <c r="AI93" s="118">
        <f ca="1">IF(AI110="PUD",-'9. Development Costs'!$G$78/12*AH107,0)</f>
        <v>-242100.25155555556</v>
      </c>
      <c r="AJ93" s="118">
        <f ca="1">IF(AJ110="PUD",-'9. Development Costs'!$G$78/12*AI107,0)</f>
        <v>-262786.65600000002</v>
      </c>
      <c r="AK93" s="118">
        <f ca="1">IF(AK110="PUD",-'9. Development Costs'!$G$78/12*AJ107,0)</f>
        <v>-282874.30844444444</v>
      </c>
      <c r="AL93" s="118">
        <f ca="1">IF(AL110="PUD",-'9. Development Costs'!$G$78/12*AK107,0)</f>
        <v>-302199.25022222224</v>
      </c>
      <c r="AM93" s="118">
        <f ca="1">IF(AM110="PUD",-'9. Development Costs'!$G$78/12*AL107,0)</f>
        <v>-320623.04755555553</v>
      </c>
      <c r="AN93" s="118">
        <f ca="1">IF(AN110="PUD",-'9. Development Costs'!$G$78/12*AM107,0)</f>
        <v>-338511.14488888887</v>
      </c>
      <c r="AO93" s="118">
        <f ca="1">IF(AO110="PUD",-'9. Development Costs'!$G$78/12*AN107,0)</f>
        <v>-355310.84355555556</v>
      </c>
      <c r="AP93" s="118">
        <f ca="1">IF(AP110="PUD",-'9. Development Costs'!$G$78/12*AO107,0)</f>
        <v>-405146.35333333333</v>
      </c>
      <c r="AQ93" s="118">
        <f ca="1">IF(AQ110="PUD",-'9. Development Costs'!$G$78/12*AP107,0)</f>
        <v>-406950.02577777777</v>
      </c>
      <c r="AR93" s="118">
        <f ca="1">IF(AR110="PUD",-'9. Development Costs'!$G$78/12*AQ107,0)</f>
        <v>-408599.41955555556</v>
      </c>
      <c r="AS93" s="118">
        <f ca="1">IF(AS110="PUD",-'9. Development Costs'!$G$78/12*AR107,0)</f>
        <v>-410070.0608888889</v>
      </c>
      <c r="AT93" s="118">
        <f ca="1">IF(AT110="PUD",-'9. Development Costs'!$G$78/12*AS107,0)</f>
        <v>-411381.53955555556</v>
      </c>
      <c r="AU93" s="118">
        <f ca="1">IF(AU110="PUD",-'9. Development Costs'!$G$78/12*AT107,0)</f>
        <v>-412533.0733333333</v>
      </c>
      <c r="AV93" s="118">
        <f ca="1">IF(AV110="PUD",-'9. Development Costs'!$G$78/12*AU107,0)</f>
        <v>-413523.88488888886</v>
      </c>
      <c r="AW93" s="118">
        <f ca="1">IF(AW110="PUD",-'9. Development Costs'!$G$78/12*AV107,0)</f>
        <v>-414353.18222222221</v>
      </c>
      <c r="AX93" s="118">
        <f ca="1">IF(AX110="PUD",-'9. Development Costs'!$G$78/12*AW107,0)</f>
        <v>-415020.1782222222</v>
      </c>
      <c r="AY93" s="118">
        <f ca="1">IF(AY110="PUD",-'9. Development Costs'!$G$78/12*AX107,0)</f>
        <v>-415524.08088888886</v>
      </c>
      <c r="AZ93" s="118">
        <f ca="1">IF(AZ110="PUD",-'9. Development Costs'!$G$78/12*AY107,0)</f>
        <v>0</v>
      </c>
      <c r="BA93" s="118">
        <f ca="1">IF(BA110="PUD",-'9. Development Costs'!$G$78/12*AZ107,0)</f>
        <v>0</v>
      </c>
      <c r="BB93" s="118">
        <f ca="1">IF(BB110="PUD",-'9. Development Costs'!$G$78/12*BA107,0)</f>
        <v>0</v>
      </c>
      <c r="BC93" s="118">
        <f ca="1">IF(BC110="PUD",-'9. Development Costs'!$G$78/12*BB107,0)</f>
        <v>0</v>
      </c>
      <c r="BD93" s="118">
        <f ca="1">IF(BD110="PUD",-'9. Development Costs'!$G$78/12*BC107,0)</f>
        <v>0</v>
      </c>
      <c r="BE93" s="118">
        <f ca="1">IF(BE110="PUD",-'9. Development Costs'!$G$78/12*BD107,0)</f>
        <v>0</v>
      </c>
      <c r="BF93" s="118">
        <f ca="1">IF(BF110="PUD",-'9. Development Costs'!$G$78/12*BE107,0)</f>
        <v>0</v>
      </c>
      <c r="BG93" s="118">
        <f ca="1">IF(BG110="PUD",-'9. Development Costs'!$G$78/12*BF107,0)</f>
        <v>0</v>
      </c>
      <c r="BH93" s="118">
        <f ca="1">IF(BH110="PUD",-'9. Development Costs'!$G$78/12*BG107,0)</f>
        <v>0</v>
      </c>
      <c r="BI93" s="118">
        <f ca="1">IF(BI110="PUD",-'9. Development Costs'!$G$78/12*BH107,0)</f>
        <v>0</v>
      </c>
      <c r="BJ93" s="118">
        <f ca="1">IF(BJ110="PUD",-'9. Development Costs'!$G$78/12*BI107,0)</f>
        <v>0</v>
      </c>
      <c r="BK93" s="118">
        <f ca="1">IF(BK110="PUD",-'9. Development Costs'!$G$78/12*BJ107,0)</f>
        <v>0</v>
      </c>
      <c r="BL93" s="118">
        <f ca="1">IF(BL110="PUD",-'9. Development Costs'!$G$78/12*BK107,0)</f>
        <v>0</v>
      </c>
      <c r="BM93" s="118">
        <f ca="1">IF(BM110="PUD",-'9. Development Costs'!$G$78/12*BL107,0)</f>
        <v>0</v>
      </c>
      <c r="BN93" s="118">
        <f ca="1">IF(BN110="PUD",-'9. Development Costs'!$G$78/12*BM107,0)</f>
        <v>0</v>
      </c>
      <c r="BO93" s="118">
        <f ca="1">IF(BO110="PUD",-'9. Development Costs'!$G$78/12*BN107,0)</f>
        <v>0</v>
      </c>
      <c r="BP93" s="118">
        <f ca="1">IF(BP110="PUD",-'9. Development Costs'!$G$78/12*BO107,0)</f>
        <v>0</v>
      </c>
      <c r="BQ93" s="118">
        <f ca="1">IF(BQ110="PUD",-'9. Development Costs'!$G$78/12*BP107,0)</f>
        <v>0</v>
      </c>
      <c r="BR93" s="118">
        <f ca="1">IF(BR110="PUD",-'9. Development Costs'!$G$78/12*BQ107,0)</f>
        <v>0</v>
      </c>
      <c r="BS93" s="118">
        <f ca="1">IF(BS110="PUD",-'9. Development Costs'!$G$78/12*BR107,0)</f>
        <v>0</v>
      </c>
      <c r="BT93" s="118">
        <f ca="1">IF(BT110="PUD",-'9. Development Costs'!$G$78/12*BS107,0)</f>
        <v>0</v>
      </c>
      <c r="BU93" s="118">
        <f ca="1">IF(BU110="PUD",-'9. Development Costs'!$G$78/12*BT107,0)</f>
        <v>0</v>
      </c>
      <c r="BV93" s="118">
        <f ca="1">IF(BV110="PUD",-'9. Development Costs'!$G$78/12*BU107,0)</f>
        <v>0</v>
      </c>
      <c r="BW93" s="118">
        <f ca="1">IF(BW110="PUD",-'9. Development Costs'!$G$78/12*BV107,0)</f>
        <v>0</v>
      </c>
      <c r="BX93" s="118">
        <f ca="1">IF(BX110="PUD",-'9. Development Costs'!$G$78/12*BW107,0)</f>
        <v>0</v>
      </c>
      <c r="BY93" s="118">
        <f ca="1">IF(BY110="PUD",-'9. Development Costs'!$G$78/12*BX107,0)</f>
        <v>0</v>
      </c>
      <c r="BZ93" s="118">
        <f ca="1">IF(BZ110="PUD",-'9. Development Costs'!$G$78/12*BY107,0)</f>
        <v>0</v>
      </c>
      <c r="CA93" s="118">
        <f ca="1">IF(CA110="PUD",-'9. Development Costs'!$G$78/12*BZ107,0)</f>
        <v>0</v>
      </c>
      <c r="CB93" s="118">
        <f ca="1">IF(CB110="PUD",-'9. Development Costs'!$G$78/12*CA107,0)</f>
        <v>0</v>
      </c>
      <c r="CC93" s="118">
        <f ca="1">IF(CC110="PUD",-'9. Development Costs'!$G$78/12*CB107,0)</f>
        <v>0</v>
      </c>
      <c r="CD93" s="118">
        <f ca="1">IF(CD110="PUD",-'9. Development Costs'!$G$78/12*CC107,0)</f>
        <v>0</v>
      </c>
      <c r="CE93" s="118">
        <f ca="1">IF(CE110="PUD",-'9. Development Costs'!$G$78/12*CD107,0)</f>
        <v>0</v>
      </c>
      <c r="CF93" s="118">
        <f ca="1">IF(CF110="PUD",-'9. Development Costs'!$G$78/12*CE107,0)</f>
        <v>0</v>
      </c>
      <c r="CG93" s="118">
        <f ca="1">IF(CG110="PUD",-'9. Development Costs'!$G$78/12*CF107,0)</f>
        <v>0</v>
      </c>
      <c r="CH93" s="118">
        <f ca="1">IF(CH110="PUD",-'9. Development Costs'!$G$78/12*CG107,0)</f>
        <v>0</v>
      </c>
      <c r="CI93" s="118">
        <f ca="1">IF(CI110="PUD",-'9. Development Costs'!$G$78/12*CH107,0)</f>
        <v>0</v>
      </c>
      <c r="CJ93" s="118">
        <f ca="1">IF(CJ110="PUD",-'9. Development Costs'!$G$78/12*CI107,0)</f>
        <v>0</v>
      </c>
      <c r="CK93" s="118">
        <f ca="1">IF(CK110="PUD",-'9. Development Costs'!$G$78/12*CJ107,0)</f>
        <v>0</v>
      </c>
      <c r="CL93" s="118">
        <f ca="1">IF(CL110="PUD",-'9. Development Costs'!$G$78/12*CK107,0)</f>
        <v>0</v>
      </c>
      <c r="CM93" s="118">
        <f ca="1">IF(CM110="PUD",-'9. Development Costs'!$G$78/12*CL107,0)</f>
        <v>0</v>
      </c>
      <c r="CN93" s="118">
        <f ca="1">IF(CN110="PUD",-'9. Development Costs'!$G$78/12*CM107,0)</f>
        <v>0</v>
      </c>
      <c r="CO93" s="118">
        <f ca="1">IF(CO110="PUD",-'9. Development Costs'!$G$78/12*CN107,0)</f>
        <v>0</v>
      </c>
      <c r="CP93" s="118">
        <f ca="1">IF(CP110="PUD",-'9. Development Costs'!$G$78/12*CO107,0)</f>
        <v>0</v>
      </c>
      <c r="CQ93" s="118">
        <f ca="1">IF(CQ110="PUD",-'9. Development Costs'!$G$78/12*CP107,0)</f>
        <v>0</v>
      </c>
      <c r="CR93" s="118">
        <f ca="1">IF(CR110="PUD",-'9. Development Costs'!$G$78/12*CQ107,0)</f>
        <v>0</v>
      </c>
      <c r="CS93" s="118">
        <f ca="1">IF(CS110="PUD",-'9. Development Costs'!$G$78/12*CR107,0)</f>
        <v>0</v>
      </c>
      <c r="CT93" s="118">
        <f ca="1">IF(CT110="PUD",-'9. Development Costs'!$G$78/12*CS107,0)</f>
        <v>0</v>
      </c>
      <c r="CU93" s="118">
        <f ca="1">IF(CU110="PUD",-'9. Development Costs'!$G$78/12*CT107,0)</f>
        <v>0</v>
      </c>
      <c r="CV93" s="118">
        <f ca="1">IF(CV110="PUD",-'9. Development Costs'!$G$78/12*CU107,0)</f>
        <v>0</v>
      </c>
      <c r="CW93" s="118">
        <f ca="1">IF(CW110="PUD",-'9. Development Costs'!$G$78/12*CV107,0)</f>
        <v>0</v>
      </c>
      <c r="CX93" s="118">
        <f ca="1">IF(CX110="PUD",-'9. Development Costs'!$G$78/12*CW107,0)</f>
        <v>0</v>
      </c>
      <c r="CY93" s="118">
        <f ca="1">IF(CY110="PUD",-'9. Development Costs'!$G$78/12*CX107,0)</f>
        <v>0</v>
      </c>
      <c r="CZ93" s="118">
        <f ca="1">IF(CZ110="PUD",-'9. Development Costs'!$G$78/12*CY107,0)</f>
        <v>0</v>
      </c>
    </row>
    <row r="94" spans="2:104" x14ac:dyDescent="0.2">
      <c r="B94" s="119" t="str">
        <f>'9. Development Costs'!B79</f>
        <v xml:space="preserve">Financing contingency </v>
      </c>
      <c r="C94" s="118">
        <f>-'9. Development Costs'!H79</f>
        <v>-424790.47944000008</v>
      </c>
      <c r="D94" s="118">
        <f t="shared" ca="1" si="94"/>
        <v>0</v>
      </c>
      <c r="E94" s="118">
        <f t="shared" ref="E94:E95" ca="1" si="104">SUM(I94:CZ94)</f>
        <v>-424790.47943999997</v>
      </c>
      <c r="F94" s="272">
        <f t="shared" ca="1" si="103"/>
        <v>46097</v>
      </c>
      <c r="G94" s="272">
        <f t="shared" ca="1" si="103"/>
        <v>47042</v>
      </c>
      <c r="H94" s="125">
        <f ca="1">DATEDIF(F94,G94,"m")+1</f>
        <v>32</v>
      </c>
      <c r="I94" s="118">
        <f t="shared" ca="1" si="99"/>
        <v>0</v>
      </c>
      <c r="J94" s="118">
        <f t="shared" ref="J94:BU94" ca="1" si="105">IF(AND(J$7&lt;=$G94,J$7&gt;=$F94,$H94&lt;&gt;0,$H94&lt;&gt;""),$C94/$H94,0)</f>
        <v>-13274.702482500003</v>
      </c>
      <c r="K94" s="118">
        <f t="shared" ca="1" si="105"/>
        <v>-13274.702482500003</v>
      </c>
      <c r="L94" s="118">
        <f t="shared" ca="1" si="105"/>
        <v>-13274.702482500003</v>
      </c>
      <c r="M94" s="118">
        <f t="shared" ca="1" si="105"/>
        <v>-13274.702482500003</v>
      </c>
      <c r="N94" s="118">
        <f t="shared" ca="1" si="105"/>
        <v>-13274.702482500003</v>
      </c>
      <c r="O94" s="118">
        <f t="shared" ca="1" si="105"/>
        <v>-13274.702482500003</v>
      </c>
      <c r="P94" s="118">
        <f t="shared" ca="1" si="105"/>
        <v>-13274.702482500003</v>
      </c>
      <c r="Q94" s="118">
        <f t="shared" ca="1" si="105"/>
        <v>-13274.702482500003</v>
      </c>
      <c r="R94" s="118">
        <f t="shared" ca="1" si="105"/>
        <v>-13274.702482500003</v>
      </c>
      <c r="S94" s="118">
        <f t="shared" ca="1" si="105"/>
        <v>-13274.702482500003</v>
      </c>
      <c r="T94" s="118">
        <f t="shared" ca="1" si="105"/>
        <v>-13274.702482500003</v>
      </c>
      <c r="U94" s="118">
        <f t="shared" ca="1" si="105"/>
        <v>-13274.702482500003</v>
      </c>
      <c r="V94" s="118">
        <f t="shared" ca="1" si="105"/>
        <v>-13274.702482500003</v>
      </c>
      <c r="W94" s="118">
        <f t="shared" ca="1" si="105"/>
        <v>-13274.702482500003</v>
      </c>
      <c r="X94" s="118">
        <f t="shared" ca="1" si="105"/>
        <v>-13274.702482500003</v>
      </c>
      <c r="Y94" s="118">
        <f t="shared" ca="1" si="105"/>
        <v>-13274.702482500003</v>
      </c>
      <c r="Z94" s="118">
        <f t="shared" ca="1" si="105"/>
        <v>-13274.702482500003</v>
      </c>
      <c r="AA94" s="118">
        <f t="shared" ca="1" si="105"/>
        <v>-13274.702482500003</v>
      </c>
      <c r="AB94" s="118">
        <f t="shared" ca="1" si="105"/>
        <v>-13274.702482500003</v>
      </c>
      <c r="AC94" s="118">
        <f t="shared" ca="1" si="105"/>
        <v>-13274.702482500003</v>
      </c>
      <c r="AD94" s="118">
        <f t="shared" ca="1" si="105"/>
        <v>-13274.702482500003</v>
      </c>
      <c r="AE94" s="118">
        <f t="shared" ca="1" si="105"/>
        <v>-13274.702482500003</v>
      </c>
      <c r="AF94" s="118">
        <f t="shared" ca="1" si="105"/>
        <v>-13274.702482500003</v>
      </c>
      <c r="AG94" s="118">
        <f t="shared" ca="1" si="105"/>
        <v>-13274.702482500003</v>
      </c>
      <c r="AH94" s="118">
        <f t="shared" ca="1" si="105"/>
        <v>-13274.702482500003</v>
      </c>
      <c r="AI94" s="118">
        <f t="shared" ca="1" si="105"/>
        <v>-13274.702482500003</v>
      </c>
      <c r="AJ94" s="118">
        <f t="shared" ca="1" si="105"/>
        <v>-13274.702482500003</v>
      </c>
      <c r="AK94" s="118">
        <f t="shared" ca="1" si="105"/>
        <v>-13274.702482500003</v>
      </c>
      <c r="AL94" s="118">
        <f t="shared" ca="1" si="105"/>
        <v>-13274.702482500003</v>
      </c>
      <c r="AM94" s="118">
        <f t="shared" ca="1" si="105"/>
        <v>-13274.702482500003</v>
      </c>
      <c r="AN94" s="118">
        <f t="shared" ca="1" si="105"/>
        <v>-13274.702482500003</v>
      </c>
      <c r="AO94" s="118">
        <f t="shared" ca="1" si="105"/>
        <v>-13274.702482500003</v>
      </c>
      <c r="AP94" s="118">
        <f t="shared" ca="1" si="105"/>
        <v>0</v>
      </c>
      <c r="AQ94" s="118">
        <f t="shared" ca="1" si="105"/>
        <v>0</v>
      </c>
      <c r="AR94" s="118">
        <f t="shared" ca="1" si="105"/>
        <v>0</v>
      </c>
      <c r="AS94" s="118">
        <f t="shared" ca="1" si="105"/>
        <v>0</v>
      </c>
      <c r="AT94" s="118">
        <f t="shared" ca="1" si="105"/>
        <v>0</v>
      </c>
      <c r="AU94" s="118">
        <f t="shared" ca="1" si="105"/>
        <v>0</v>
      </c>
      <c r="AV94" s="118">
        <f t="shared" ca="1" si="105"/>
        <v>0</v>
      </c>
      <c r="AW94" s="118">
        <f t="shared" ca="1" si="105"/>
        <v>0</v>
      </c>
      <c r="AX94" s="118">
        <f t="shared" ca="1" si="105"/>
        <v>0</v>
      </c>
      <c r="AY94" s="118">
        <f t="shared" ca="1" si="105"/>
        <v>0</v>
      </c>
      <c r="AZ94" s="118">
        <f t="shared" ca="1" si="105"/>
        <v>0</v>
      </c>
      <c r="BA94" s="118">
        <f t="shared" ca="1" si="105"/>
        <v>0</v>
      </c>
      <c r="BB94" s="118">
        <f t="shared" ca="1" si="105"/>
        <v>0</v>
      </c>
      <c r="BC94" s="118">
        <f t="shared" ca="1" si="105"/>
        <v>0</v>
      </c>
      <c r="BD94" s="118">
        <f t="shared" ca="1" si="105"/>
        <v>0</v>
      </c>
      <c r="BE94" s="118">
        <f t="shared" ca="1" si="105"/>
        <v>0</v>
      </c>
      <c r="BF94" s="118">
        <f t="shared" ca="1" si="105"/>
        <v>0</v>
      </c>
      <c r="BG94" s="118">
        <f t="shared" ca="1" si="105"/>
        <v>0</v>
      </c>
      <c r="BH94" s="118">
        <f t="shared" ca="1" si="105"/>
        <v>0</v>
      </c>
      <c r="BI94" s="118">
        <f t="shared" ca="1" si="105"/>
        <v>0</v>
      </c>
      <c r="BJ94" s="118">
        <f t="shared" ca="1" si="105"/>
        <v>0</v>
      </c>
      <c r="BK94" s="118">
        <f t="shared" ca="1" si="105"/>
        <v>0</v>
      </c>
      <c r="BL94" s="118">
        <f t="shared" ca="1" si="105"/>
        <v>0</v>
      </c>
      <c r="BM94" s="118">
        <f t="shared" ca="1" si="105"/>
        <v>0</v>
      </c>
      <c r="BN94" s="118">
        <f t="shared" ca="1" si="105"/>
        <v>0</v>
      </c>
      <c r="BO94" s="118">
        <f t="shared" ca="1" si="105"/>
        <v>0</v>
      </c>
      <c r="BP94" s="118">
        <f t="shared" ca="1" si="105"/>
        <v>0</v>
      </c>
      <c r="BQ94" s="118">
        <f t="shared" ca="1" si="105"/>
        <v>0</v>
      </c>
      <c r="BR94" s="118">
        <f t="shared" ca="1" si="105"/>
        <v>0</v>
      </c>
      <c r="BS94" s="118">
        <f t="shared" ca="1" si="105"/>
        <v>0</v>
      </c>
      <c r="BT94" s="118">
        <f t="shared" ca="1" si="105"/>
        <v>0</v>
      </c>
      <c r="BU94" s="118">
        <f t="shared" ca="1" si="105"/>
        <v>0</v>
      </c>
      <c r="BV94" s="118">
        <f t="shared" ref="BV94:CJ94" ca="1" si="106">IF(AND(BV$7&lt;=$G94,BV$7&gt;=$F94,$H94&lt;&gt;0,$H94&lt;&gt;""),$C94/$H94,0)</f>
        <v>0</v>
      </c>
      <c r="BW94" s="118">
        <f t="shared" ca="1" si="106"/>
        <v>0</v>
      </c>
      <c r="BX94" s="118">
        <f t="shared" ca="1" si="106"/>
        <v>0</v>
      </c>
      <c r="BY94" s="118">
        <f t="shared" ca="1" si="106"/>
        <v>0</v>
      </c>
      <c r="BZ94" s="118">
        <f t="shared" ca="1" si="106"/>
        <v>0</v>
      </c>
      <c r="CA94" s="118">
        <f t="shared" ca="1" si="106"/>
        <v>0</v>
      </c>
      <c r="CB94" s="118">
        <f t="shared" ca="1" si="106"/>
        <v>0</v>
      </c>
      <c r="CC94" s="118">
        <f t="shared" ca="1" si="106"/>
        <v>0</v>
      </c>
      <c r="CD94" s="118">
        <f t="shared" ca="1" si="106"/>
        <v>0</v>
      </c>
      <c r="CE94" s="118">
        <f t="shared" ca="1" si="106"/>
        <v>0</v>
      </c>
      <c r="CF94" s="118">
        <f t="shared" ca="1" si="106"/>
        <v>0</v>
      </c>
      <c r="CG94" s="118">
        <f t="shared" ca="1" si="106"/>
        <v>0</v>
      </c>
      <c r="CH94" s="118">
        <f t="shared" ca="1" si="106"/>
        <v>0</v>
      </c>
      <c r="CI94" s="118">
        <f t="shared" ca="1" si="106"/>
        <v>0</v>
      </c>
      <c r="CJ94" s="118">
        <f t="shared" ca="1" si="106"/>
        <v>0</v>
      </c>
      <c r="CK94" s="118">
        <f t="shared" ref="CK94:CZ94" ca="1" si="107">IF(AND(CK$7&lt;=$G94,CK$7&gt;=$F94,$H94&lt;&gt;0,$H94&lt;&gt;""),$C94/$H94,0)</f>
        <v>0</v>
      </c>
      <c r="CL94" s="118">
        <f t="shared" ca="1" si="107"/>
        <v>0</v>
      </c>
      <c r="CM94" s="118">
        <f t="shared" ca="1" si="107"/>
        <v>0</v>
      </c>
      <c r="CN94" s="118">
        <f t="shared" ca="1" si="107"/>
        <v>0</v>
      </c>
      <c r="CO94" s="118">
        <f t="shared" ca="1" si="107"/>
        <v>0</v>
      </c>
      <c r="CP94" s="118">
        <f t="shared" ca="1" si="107"/>
        <v>0</v>
      </c>
      <c r="CQ94" s="118">
        <f t="shared" ca="1" si="107"/>
        <v>0</v>
      </c>
      <c r="CR94" s="118">
        <f t="shared" ca="1" si="107"/>
        <v>0</v>
      </c>
      <c r="CS94" s="118">
        <f t="shared" ca="1" si="107"/>
        <v>0</v>
      </c>
      <c r="CT94" s="118">
        <f t="shared" ca="1" si="107"/>
        <v>0</v>
      </c>
      <c r="CU94" s="118">
        <f t="shared" ca="1" si="107"/>
        <v>0</v>
      </c>
      <c r="CV94" s="118">
        <f t="shared" ca="1" si="107"/>
        <v>0</v>
      </c>
      <c r="CW94" s="118">
        <f t="shared" ca="1" si="107"/>
        <v>0</v>
      </c>
      <c r="CX94" s="118">
        <f t="shared" ca="1" si="107"/>
        <v>0</v>
      </c>
      <c r="CY94" s="118">
        <f t="shared" ca="1" si="107"/>
        <v>0</v>
      </c>
      <c r="CZ94" s="118">
        <f t="shared" ca="1" si="107"/>
        <v>0</v>
      </c>
    </row>
    <row r="95" spans="2:104" x14ac:dyDescent="0.2">
      <c r="B95" s="127" t="str">
        <f>'9. Development Costs'!B80</f>
        <v>Total Financing and Interest Costs</v>
      </c>
      <c r="C95" s="128">
        <f ca="1">SUM(C84:C94)</f>
        <v>-8970071.7457220368</v>
      </c>
      <c r="D95" s="128">
        <f t="shared" ca="1" si="94"/>
        <v>0</v>
      </c>
      <c r="E95" s="128">
        <f t="shared" ca="1" si="104"/>
        <v>-8970071.7457220349</v>
      </c>
      <c r="F95" s="132"/>
      <c r="G95" s="132"/>
      <c r="H95" s="133"/>
      <c r="I95" s="128">
        <f ca="1">SUM(I84:I94)</f>
        <v>0</v>
      </c>
      <c r="J95" s="128">
        <f t="shared" ref="J95:BU95" ca="1" si="108">SUM(J84:J94)</f>
        <v>-44805.276182868904</v>
      </c>
      <c r="K95" s="128">
        <f t="shared" ca="1" si="108"/>
        <v>-45720.249225277788</v>
      </c>
      <c r="L95" s="128">
        <f t="shared" ca="1" si="108"/>
        <v>-46639.697669722234</v>
      </c>
      <c r="M95" s="128">
        <f t="shared" ca="1" si="108"/>
        <v>-47563.639003055563</v>
      </c>
      <c r="N95" s="128">
        <f t="shared" ca="1" si="108"/>
        <v>-48492.097669722229</v>
      </c>
      <c r="O95" s="128">
        <f t="shared" ca="1" si="108"/>
        <v>-49425.098114166678</v>
      </c>
      <c r="P95" s="128">
        <f t="shared" ca="1" si="108"/>
        <v>-50362.659891944451</v>
      </c>
      <c r="Q95" s="128">
        <f t="shared" ca="1" si="108"/>
        <v>-51304.802558611118</v>
      </c>
      <c r="R95" s="128">
        <f t="shared" ca="1" si="108"/>
        <v>-52251.550558611118</v>
      </c>
      <c r="S95" s="128">
        <f t="shared" ca="1" si="108"/>
        <v>-53202.928336388897</v>
      </c>
      <c r="T95" s="128">
        <f t="shared" ca="1" si="108"/>
        <v>-54158.960336388896</v>
      </c>
      <c r="U95" s="128">
        <f t="shared" ca="1" si="108"/>
        <v>-55119.666114166677</v>
      </c>
      <c r="V95" s="128">
        <f t="shared" ca="1" si="108"/>
        <v>-56085.065225277787</v>
      </c>
      <c r="W95" s="128">
        <f t="shared" ca="1" si="108"/>
        <v>-57055.187003055566</v>
      </c>
      <c r="X95" s="128">
        <f t="shared" ca="1" si="108"/>
        <v>-70589.073669722231</v>
      </c>
      <c r="Y95" s="128">
        <f t="shared" ca="1" si="108"/>
        <v>-85408.909225277777</v>
      </c>
      <c r="Z95" s="128">
        <f t="shared" ca="1" si="108"/>
        <v>-101477.04922527778</v>
      </c>
      <c r="AA95" s="128">
        <f t="shared" ca="1" si="108"/>
        <v>-118724.83900305556</v>
      </c>
      <c r="AB95" s="128">
        <f t="shared" ca="1" si="108"/>
        <v>-137052.57455861112</v>
      </c>
      <c r="AC95" s="128">
        <f t="shared" ca="1" si="108"/>
        <v>-156330.82744749999</v>
      </c>
      <c r="AD95" s="128">
        <f t="shared" ca="1" si="108"/>
        <v>-176403.2216697222</v>
      </c>
      <c r="AE95" s="128">
        <f t="shared" ca="1" si="108"/>
        <v>-197090.53544749998</v>
      </c>
      <c r="AF95" s="128">
        <f t="shared" ca="1" si="108"/>
        <v>-218195.99100305553</v>
      </c>
      <c r="AG95" s="128">
        <f t="shared" ca="1" si="108"/>
        <v>-239511.47322527776</v>
      </c>
      <c r="AH95" s="128">
        <f t="shared" ca="1" si="108"/>
        <v>-260824.32033638889</v>
      </c>
      <c r="AI95" s="128">
        <f t="shared" ca="1" si="108"/>
        <v>-281924.35900305555</v>
      </c>
      <c r="AJ95" s="128">
        <f t="shared" ca="1" si="108"/>
        <v>-302610.76344750001</v>
      </c>
      <c r="AK95" s="128">
        <f t="shared" ca="1" si="108"/>
        <v>-322698.41589194443</v>
      </c>
      <c r="AL95" s="128">
        <f t="shared" ca="1" si="108"/>
        <v>-342023.35766972223</v>
      </c>
      <c r="AM95" s="128">
        <f t="shared" ca="1" si="108"/>
        <v>-360447.15500305552</v>
      </c>
      <c r="AN95" s="128">
        <f t="shared" ca="1" si="108"/>
        <v>-378335.25233638886</v>
      </c>
      <c r="AO95" s="128">
        <f t="shared" ca="1" si="108"/>
        <v>-395134.95100305555</v>
      </c>
      <c r="AP95" s="128">
        <f t="shared" ca="1" si="108"/>
        <v>-405146.35333333333</v>
      </c>
      <c r="AQ95" s="128">
        <f t="shared" ca="1" si="108"/>
        <v>-406950.02577777777</v>
      </c>
      <c r="AR95" s="128">
        <f t="shared" ca="1" si="108"/>
        <v>-408599.41955555556</v>
      </c>
      <c r="AS95" s="128">
        <f t="shared" ca="1" si="108"/>
        <v>-410070.0608888889</v>
      </c>
      <c r="AT95" s="128">
        <f t="shared" ca="1" si="108"/>
        <v>-411381.53955555556</v>
      </c>
      <c r="AU95" s="128">
        <f t="shared" ca="1" si="108"/>
        <v>-412533.0733333333</v>
      </c>
      <c r="AV95" s="128">
        <f t="shared" ca="1" si="108"/>
        <v>-413523.88488888886</v>
      </c>
      <c r="AW95" s="128">
        <f t="shared" ca="1" si="108"/>
        <v>-414353.18222222221</v>
      </c>
      <c r="AX95" s="128">
        <f t="shared" ca="1" si="108"/>
        <v>-415020.1782222222</v>
      </c>
      <c r="AY95" s="128">
        <f t="shared" ca="1" si="108"/>
        <v>-415524.08088888886</v>
      </c>
      <c r="AZ95" s="128">
        <f t="shared" ca="1" si="108"/>
        <v>0</v>
      </c>
      <c r="BA95" s="128">
        <f t="shared" ca="1" si="108"/>
        <v>0</v>
      </c>
      <c r="BB95" s="128">
        <f t="shared" ca="1" si="108"/>
        <v>0</v>
      </c>
      <c r="BC95" s="128">
        <f t="shared" ca="1" si="108"/>
        <v>0</v>
      </c>
      <c r="BD95" s="128">
        <f t="shared" ca="1" si="108"/>
        <v>0</v>
      </c>
      <c r="BE95" s="128">
        <f t="shared" ca="1" si="108"/>
        <v>0</v>
      </c>
      <c r="BF95" s="128">
        <f t="shared" ca="1" si="108"/>
        <v>0</v>
      </c>
      <c r="BG95" s="128">
        <f t="shared" ca="1" si="108"/>
        <v>0</v>
      </c>
      <c r="BH95" s="128">
        <f t="shared" ca="1" si="108"/>
        <v>0</v>
      </c>
      <c r="BI95" s="128">
        <f t="shared" ca="1" si="108"/>
        <v>0</v>
      </c>
      <c r="BJ95" s="128">
        <f t="shared" ca="1" si="108"/>
        <v>0</v>
      </c>
      <c r="BK95" s="128">
        <f t="shared" ca="1" si="108"/>
        <v>0</v>
      </c>
      <c r="BL95" s="128">
        <f t="shared" ca="1" si="108"/>
        <v>0</v>
      </c>
      <c r="BM95" s="128">
        <f t="shared" ca="1" si="108"/>
        <v>0</v>
      </c>
      <c r="BN95" s="128">
        <f t="shared" ca="1" si="108"/>
        <v>0</v>
      </c>
      <c r="BO95" s="128">
        <f t="shared" ca="1" si="108"/>
        <v>0</v>
      </c>
      <c r="BP95" s="128">
        <f t="shared" ca="1" si="108"/>
        <v>0</v>
      </c>
      <c r="BQ95" s="128">
        <f t="shared" ca="1" si="108"/>
        <v>0</v>
      </c>
      <c r="BR95" s="128">
        <f t="shared" ca="1" si="108"/>
        <v>0</v>
      </c>
      <c r="BS95" s="128">
        <f t="shared" ca="1" si="108"/>
        <v>0</v>
      </c>
      <c r="BT95" s="128">
        <f t="shared" ca="1" si="108"/>
        <v>0</v>
      </c>
      <c r="BU95" s="128">
        <f t="shared" ca="1" si="108"/>
        <v>0</v>
      </c>
      <c r="BV95" s="128">
        <f t="shared" ref="BV95:CZ95" ca="1" si="109">SUM(BV84:BV94)</f>
        <v>0</v>
      </c>
      <c r="BW95" s="128">
        <f t="shared" ca="1" si="109"/>
        <v>0</v>
      </c>
      <c r="BX95" s="128">
        <f t="shared" ca="1" si="109"/>
        <v>0</v>
      </c>
      <c r="BY95" s="128">
        <f t="shared" ca="1" si="109"/>
        <v>0</v>
      </c>
      <c r="BZ95" s="128">
        <f t="shared" ca="1" si="109"/>
        <v>0</v>
      </c>
      <c r="CA95" s="128">
        <f t="shared" ca="1" si="109"/>
        <v>0</v>
      </c>
      <c r="CB95" s="128">
        <f t="shared" ca="1" si="109"/>
        <v>0</v>
      </c>
      <c r="CC95" s="128">
        <f t="shared" ca="1" si="109"/>
        <v>0</v>
      </c>
      <c r="CD95" s="128">
        <f t="shared" ca="1" si="109"/>
        <v>0</v>
      </c>
      <c r="CE95" s="128">
        <f t="shared" ca="1" si="109"/>
        <v>0</v>
      </c>
      <c r="CF95" s="128">
        <f t="shared" ca="1" si="109"/>
        <v>0</v>
      </c>
      <c r="CG95" s="128">
        <f t="shared" ca="1" si="109"/>
        <v>0</v>
      </c>
      <c r="CH95" s="128">
        <f t="shared" ca="1" si="109"/>
        <v>0</v>
      </c>
      <c r="CI95" s="128">
        <f t="shared" ca="1" si="109"/>
        <v>0</v>
      </c>
      <c r="CJ95" s="128">
        <f t="shared" ca="1" si="109"/>
        <v>0</v>
      </c>
      <c r="CK95" s="128">
        <f t="shared" ca="1" si="109"/>
        <v>0</v>
      </c>
      <c r="CL95" s="128">
        <f t="shared" ca="1" si="109"/>
        <v>0</v>
      </c>
      <c r="CM95" s="128">
        <f t="shared" ca="1" si="109"/>
        <v>0</v>
      </c>
      <c r="CN95" s="128">
        <f t="shared" ca="1" si="109"/>
        <v>0</v>
      </c>
      <c r="CO95" s="128">
        <f t="shared" ca="1" si="109"/>
        <v>0</v>
      </c>
      <c r="CP95" s="128">
        <f t="shared" ca="1" si="109"/>
        <v>0</v>
      </c>
      <c r="CQ95" s="128">
        <f t="shared" ca="1" si="109"/>
        <v>0</v>
      </c>
      <c r="CR95" s="128">
        <f t="shared" ca="1" si="109"/>
        <v>0</v>
      </c>
      <c r="CS95" s="128">
        <f t="shared" ca="1" si="109"/>
        <v>0</v>
      </c>
      <c r="CT95" s="128">
        <f t="shared" ca="1" si="109"/>
        <v>0</v>
      </c>
      <c r="CU95" s="128">
        <f t="shared" ca="1" si="109"/>
        <v>0</v>
      </c>
      <c r="CV95" s="128">
        <f t="shared" ca="1" si="109"/>
        <v>0</v>
      </c>
      <c r="CW95" s="128">
        <f t="shared" ca="1" si="109"/>
        <v>0</v>
      </c>
      <c r="CX95" s="128">
        <f t="shared" ca="1" si="109"/>
        <v>0</v>
      </c>
      <c r="CY95" s="128">
        <f t="shared" ca="1" si="109"/>
        <v>0</v>
      </c>
      <c r="CZ95" s="128">
        <f t="shared" ca="1" si="109"/>
        <v>0</v>
      </c>
    </row>
    <row r="96" spans="2:104" x14ac:dyDescent="0.2">
      <c r="B96" s="119"/>
      <c r="C96" s="134"/>
      <c r="D96" s="134"/>
      <c r="E96" s="134"/>
      <c r="F96" s="98"/>
      <c r="G96" s="98"/>
      <c r="H96" s="125"/>
      <c r="I96" s="134"/>
      <c r="J96" s="134"/>
      <c r="K96" s="134"/>
      <c r="L96" s="134"/>
      <c r="M96" s="134"/>
      <c r="N96" s="134"/>
      <c r="O96" s="134"/>
      <c r="P96" s="134"/>
      <c r="Q96" s="134"/>
      <c r="R96" s="134"/>
      <c r="S96" s="134"/>
      <c r="T96" s="134"/>
      <c r="U96" s="134"/>
      <c r="V96" s="134"/>
      <c r="W96" s="134"/>
      <c r="X96" s="134"/>
      <c r="Y96" s="134"/>
      <c r="Z96" s="134"/>
      <c r="AA96" s="134"/>
      <c r="AB96" s="134"/>
      <c r="AC96" s="134"/>
      <c r="AD96" s="134"/>
      <c r="AE96" s="134"/>
      <c r="AF96" s="134"/>
      <c r="AG96" s="134"/>
      <c r="AH96" s="134"/>
      <c r="AI96" s="134"/>
      <c r="AJ96" s="134"/>
      <c r="AK96" s="134"/>
      <c r="AL96" s="134"/>
      <c r="AM96" s="134"/>
      <c r="AN96" s="134"/>
      <c r="AO96" s="134"/>
      <c r="AP96" s="134"/>
      <c r="AQ96" s="134"/>
      <c r="AR96" s="134"/>
      <c r="AS96" s="134"/>
      <c r="AT96" s="134"/>
      <c r="AU96" s="134"/>
      <c r="AV96" s="134"/>
      <c r="AW96" s="134"/>
      <c r="AX96" s="134"/>
      <c r="AY96" s="134"/>
      <c r="AZ96" s="134"/>
      <c r="BA96" s="134"/>
      <c r="BB96" s="134"/>
      <c r="BC96" s="134"/>
      <c r="BD96" s="134"/>
      <c r="BE96" s="134"/>
      <c r="BF96" s="134"/>
      <c r="BG96" s="134"/>
      <c r="BH96" s="134"/>
      <c r="BI96" s="134"/>
      <c r="BJ96" s="134"/>
      <c r="BK96" s="134"/>
      <c r="BL96" s="134"/>
      <c r="BM96" s="134"/>
      <c r="BN96" s="134"/>
      <c r="BO96" s="134"/>
      <c r="BP96" s="134"/>
      <c r="BQ96" s="134"/>
      <c r="BR96" s="134"/>
      <c r="BS96" s="134"/>
      <c r="BT96" s="134"/>
      <c r="BU96" s="134"/>
      <c r="BV96" s="134"/>
      <c r="BW96" s="134"/>
      <c r="BX96" s="134"/>
      <c r="BY96" s="134"/>
      <c r="BZ96" s="134"/>
      <c r="CA96" s="134"/>
      <c r="CB96" s="134"/>
      <c r="CC96" s="134"/>
      <c r="CD96" s="134"/>
      <c r="CE96" s="134"/>
      <c r="CF96" s="134"/>
      <c r="CG96" s="134"/>
      <c r="CH96" s="134"/>
      <c r="CI96" s="134"/>
      <c r="CJ96" s="134"/>
      <c r="CK96" s="134"/>
      <c r="CL96" s="134"/>
      <c r="CM96" s="134"/>
      <c r="CN96" s="134"/>
      <c r="CO96" s="134"/>
      <c r="CP96" s="134"/>
      <c r="CQ96" s="134"/>
      <c r="CR96" s="134"/>
      <c r="CS96" s="134"/>
      <c r="CT96" s="134"/>
      <c r="CU96" s="134"/>
      <c r="CV96" s="134"/>
      <c r="CW96" s="134"/>
      <c r="CX96" s="134"/>
      <c r="CY96" s="134"/>
      <c r="CZ96" s="134"/>
    </row>
    <row r="97" spans="2:104" x14ac:dyDescent="0.2">
      <c r="B97" s="126" t="s">
        <v>62</v>
      </c>
      <c r="C97" s="33"/>
      <c r="D97" s="33"/>
      <c r="E97" s="33"/>
      <c r="F97" s="33"/>
      <c r="G97" s="108"/>
      <c r="H97" s="126"/>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c r="CW97" s="33"/>
      <c r="CX97" s="33"/>
      <c r="CY97" s="33"/>
      <c r="CZ97" s="33"/>
    </row>
    <row r="98" spans="2:104" s="164" customFormat="1" ht="11.25" x14ac:dyDescent="0.2">
      <c r="B98" s="166" t="s">
        <v>64</v>
      </c>
      <c r="C98" s="168">
        <f ca="1">SUM(C22,C26,C31,C44,C61,C64,C77,C81,C95)</f>
        <v>-94440550.796996295</v>
      </c>
      <c r="D98" s="168">
        <f t="shared" ref="D98" ca="1" si="110">ROUND(C98-E98,0)</f>
        <v>0</v>
      </c>
      <c r="E98" s="168">
        <f ca="1">SUM(E22,E26,E31,E44,E61,E64,E77,E81,E95)</f>
        <v>-94440550.796996281</v>
      </c>
      <c r="G98" s="165"/>
      <c r="H98" s="166"/>
      <c r="I98" s="168">
        <f ca="1">SUM(I22,I26,I31,I44,I61,I64,I77,I81,I95)</f>
        <v>-10458663.85514364</v>
      </c>
      <c r="J98" s="168">
        <f ca="1">SUM(J22,J26,J31,J44,J61,J64,J77,J81,J95)</f>
        <v>-187153.94682535142</v>
      </c>
      <c r="K98" s="168">
        <f t="shared" ref="K98:BV98" ca="1" si="111">SUM(K22,K26,K31,K44,K61,K64,K77,K81,K95)</f>
        <v>-188068.91986776033</v>
      </c>
      <c r="L98" s="168">
        <f t="shared" ca="1" si="111"/>
        <v>-188988.36831220475</v>
      </c>
      <c r="M98" s="168">
        <f t="shared" ca="1" si="111"/>
        <v>-189912.3096455381</v>
      </c>
      <c r="N98" s="168">
        <f t="shared" ca="1" si="111"/>
        <v>-190840.76831220475</v>
      </c>
      <c r="O98" s="168">
        <f t="shared" ca="1" si="111"/>
        <v>-191773.76875664919</v>
      </c>
      <c r="P98" s="168">
        <f t="shared" ca="1" si="111"/>
        <v>-192711.33053442696</v>
      </c>
      <c r="Q98" s="168">
        <f t="shared" ca="1" si="111"/>
        <v>-193653.47320109364</v>
      </c>
      <c r="R98" s="168">
        <f t="shared" ca="1" si="111"/>
        <v>-194600.22120109363</v>
      </c>
      <c r="S98" s="168">
        <f t="shared" ca="1" si="111"/>
        <v>-195551.59897887142</v>
      </c>
      <c r="T98" s="168">
        <f t="shared" ca="1" si="111"/>
        <v>-196507.63097887143</v>
      </c>
      <c r="U98" s="168">
        <f t="shared" ca="1" si="111"/>
        <v>-197468.33675664919</v>
      </c>
      <c r="V98" s="168">
        <f t="shared" ca="1" si="111"/>
        <v>-198433.73586776032</v>
      </c>
      <c r="W98" s="168">
        <f t="shared" ca="1" si="111"/>
        <v>-2768295.2593327323</v>
      </c>
      <c r="X98" s="168">
        <f t="shared" ca="1" si="111"/>
        <v>-3031330.3458580482</v>
      </c>
      <c r="Y98" s="168">
        <f t="shared" ca="1" si="111"/>
        <v>-3286664.5217133099</v>
      </c>
      <c r="Z98" s="168">
        <f t="shared" ca="1" si="111"/>
        <v>-3527957.2576742191</v>
      </c>
      <c r="AA98" s="168">
        <f t="shared" ca="1" si="111"/>
        <v>-3748855.1559920129</v>
      </c>
      <c r="AB98" s="168">
        <f t="shared" ca="1" si="111"/>
        <v>-3943279.3883225974</v>
      </c>
      <c r="AC98" s="168">
        <f t="shared" ca="1" si="111"/>
        <v>-4105716.8347206633</v>
      </c>
      <c r="AD98" s="168">
        <f t="shared" ca="1" si="111"/>
        <v>-4231495.5490487972</v>
      </c>
      <c r="AE98" s="168">
        <f t="shared" ca="1" si="111"/>
        <v>-4317025.206296429</v>
      </c>
      <c r="AF98" s="168">
        <f t="shared" ca="1" si="111"/>
        <v>-4359985.1528689601</v>
      </c>
      <c r="AG98" s="168">
        <f t="shared" ca="1" si="111"/>
        <v>-4359446.1440742137</v>
      </c>
      <c r="AH98" s="168">
        <f t="shared" ca="1" si="111"/>
        <v>-4315916.6477154531</v>
      </c>
      <c r="AI98" s="168">
        <f t="shared" ca="1" si="111"/>
        <v>-4231310.366276226</v>
      </c>
      <c r="AJ98" s="168">
        <f t="shared" ca="1" si="111"/>
        <v>-4108837.5772114825</v>
      </c>
      <c r="AK98" s="168">
        <f t="shared" ca="1" si="111"/>
        <v>-3952828.7328809039</v>
      </c>
      <c r="AL98" s="168">
        <f t="shared" ca="1" si="111"/>
        <v>-3768503.5661186655</v>
      </c>
      <c r="AM98" s="168">
        <f t="shared" ca="1" si="111"/>
        <v>-3658928.6058244123</v>
      </c>
      <c r="AN98" s="168">
        <f t="shared" ca="1" si="111"/>
        <v>-3436302.36285805</v>
      </c>
      <c r="AO98" s="168">
        <f t="shared" ca="1" si="111"/>
        <v>-10193627.148167567</v>
      </c>
      <c r="AP98" s="168">
        <f t="shared" ca="1" si="111"/>
        <v>-368932.57366866677</v>
      </c>
      <c r="AQ98" s="168">
        <f t="shared" ca="1" si="111"/>
        <v>-337376.34161361115</v>
      </c>
      <c r="AR98" s="168">
        <f t="shared" ca="1" si="111"/>
        <v>-300813.24245194893</v>
      </c>
      <c r="AS98" s="168">
        <f t="shared" ca="1" si="111"/>
        <v>-268256.78119579225</v>
      </c>
      <c r="AT98" s="168">
        <f t="shared" ca="1" si="111"/>
        <v>-235541.15727296894</v>
      </c>
      <c r="AU98" s="168">
        <f t="shared" ca="1" si="111"/>
        <v>-202665.58846125667</v>
      </c>
      <c r="AV98" s="168">
        <f t="shared" ca="1" si="111"/>
        <v>-169629.29742732216</v>
      </c>
      <c r="AW98" s="168">
        <f t="shared" ca="1" si="111"/>
        <v>-136431.49217116553</v>
      </c>
      <c r="AX98" s="168">
        <f t="shared" ca="1" si="111"/>
        <v>-103071.38558167551</v>
      </c>
      <c r="AY98" s="168">
        <f t="shared" ca="1" si="111"/>
        <v>-7198.8498150088708</v>
      </c>
      <c r="AZ98" s="168">
        <f t="shared" ca="1" si="111"/>
        <v>0</v>
      </c>
      <c r="BA98" s="168">
        <f t="shared" ca="1" si="111"/>
        <v>0</v>
      </c>
      <c r="BB98" s="168">
        <f t="shared" ca="1" si="111"/>
        <v>0</v>
      </c>
      <c r="BC98" s="168">
        <f t="shared" ca="1" si="111"/>
        <v>0</v>
      </c>
      <c r="BD98" s="168">
        <f t="shared" ca="1" si="111"/>
        <v>0</v>
      </c>
      <c r="BE98" s="168">
        <f t="shared" ca="1" si="111"/>
        <v>0</v>
      </c>
      <c r="BF98" s="168">
        <f t="shared" ca="1" si="111"/>
        <v>0</v>
      </c>
      <c r="BG98" s="168">
        <f t="shared" ca="1" si="111"/>
        <v>0</v>
      </c>
      <c r="BH98" s="168">
        <f t="shared" ca="1" si="111"/>
        <v>0</v>
      </c>
      <c r="BI98" s="168">
        <f t="shared" ca="1" si="111"/>
        <v>0</v>
      </c>
      <c r="BJ98" s="168">
        <f t="shared" ca="1" si="111"/>
        <v>0</v>
      </c>
      <c r="BK98" s="168">
        <f t="shared" ca="1" si="111"/>
        <v>0</v>
      </c>
      <c r="BL98" s="168">
        <f t="shared" ca="1" si="111"/>
        <v>0</v>
      </c>
      <c r="BM98" s="168">
        <f t="shared" ca="1" si="111"/>
        <v>0</v>
      </c>
      <c r="BN98" s="168">
        <f t="shared" ca="1" si="111"/>
        <v>0</v>
      </c>
      <c r="BO98" s="168">
        <f t="shared" ca="1" si="111"/>
        <v>0</v>
      </c>
      <c r="BP98" s="168">
        <f t="shared" ca="1" si="111"/>
        <v>0</v>
      </c>
      <c r="BQ98" s="168">
        <f t="shared" ca="1" si="111"/>
        <v>0</v>
      </c>
      <c r="BR98" s="168">
        <f t="shared" ca="1" si="111"/>
        <v>0</v>
      </c>
      <c r="BS98" s="168">
        <f t="shared" ca="1" si="111"/>
        <v>0</v>
      </c>
      <c r="BT98" s="168">
        <f t="shared" ca="1" si="111"/>
        <v>0</v>
      </c>
      <c r="BU98" s="168">
        <f t="shared" ca="1" si="111"/>
        <v>0</v>
      </c>
      <c r="BV98" s="168">
        <f t="shared" ca="1" si="111"/>
        <v>0</v>
      </c>
      <c r="BW98" s="168">
        <f t="shared" ref="BW98:CZ98" ca="1" si="112">SUM(BW22,BW26,BW31,BW44,BW61,BW64,BW77,BW81,BW95)</f>
        <v>0</v>
      </c>
      <c r="BX98" s="168">
        <f t="shared" ca="1" si="112"/>
        <v>0</v>
      </c>
      <c r="BY98" s="168">
        <f t="shared" ca="1" si="112"/>
        <v>0</v>
      </c>
      <c r="BZ98" s="168">
        <f t="shared" ca="1" si="112"/>
        <v>0</v>
      </c>
      <c r="CA98" s="168">
        <f t="shared" ca="1" si="112"/>
        <v>0</v>
      </c>
      <c r="CB98" s="168">
        <f t="shared" ca="1" si="112"/>
        <v>0</v>
      </c>
      <c r="CC98" s="168">
        <f t="shared" ca="1" si="112"/>
        <v>0</v>
      </c>
      <c r="CD98" s="168">
        <f t="shared" ca="1" si="112"/>
        <v>0</v>
      </c>
      <c r="CE98" s="168">
        <f t="shared" ca="1" si="112"/>
        <v>0</v>
      </c>
      <c r="CF98" s="168">
        <f t="shared" ca="1" si="112"/>
        <v>0</v>
      </c>
      <c r="CG98" s="168">
        <f t="shared" ca="1" si="112"/>
        <v>0</v>
      </c>
      <c r="CH98" s="168">
        <f t="shared" ca="1" si="112"/>
        <v>0</v>
      </c>
      <c r="CI98" s="168">
        <f t="shared" ca="1" si="112"/>
        <v>0</v>
      </c>
      <c r="CJ98" s="168">
        <f t="shared" ca="1" si="112"/>
        <v>0</v>
      </c>
      <c r="CK98" s="168">
        <f t="shared" ca="1" si="112"/>
        <v>0</v>
      </c>
      <c r="CL98" s="168">
        <f t="shared" ca="1" si="112"/>
        <v>0</v>
      </c>
      <c r="CM98" s="168">
        <f t="shared" ca="1" si="112"/>
        <v>0</v>
      </c>
      <c r="CN98" s="168">
        <f t="shared" ca="1" si="112"/>
        <v>0</v>
      </c>
      <c r="CO98" s="168">
        <f t="shared" ca="1" si="112"/>
        <v>0</v>
      </c>
      <c r="CP98" s="168">
        <f t="shared" ca="1" si="112"/>
        <v>0</v>
      </c>
      <c r="CQ98" s="168">
        <f t="shared" ca="1" si="112"/>
        <v>0</v>
      </c>
      <c r="CR98" s="168">
        <f t="shared" ca="1" si="112"/>
        <v>0</v>
      </c>
      <c r="CS98" s="168">
        <f t="shared" ca="1" si="112"/>
        <v>0</v>
      </c>
      <c r="CT98" s="168">
        <f t="shared" ca="1" si="112"/>
        <v>0</v>
      </c>
      <c r="CU98" s="168">
        <f t="shared" ca="1" si="112"/>
        <v>0</v>
      </c>
      <c r="CV98" s="168">
        <f t="shared" ca="1" si="112"/>
        <v>0</v>
      </c>
      <c r="CW98" s="168">
        <f t="shared" ca="1" si="112"/>
        <v>0</v>
      </c>
      <c r="CX98" s="168">
        <f t="shared" ca="1" si="112"/>
        <v>0</v>
      </c>
      <c r="CY98" s="168">
        <f t="shared" ca="1" si="112"/>
        <v>0</v>
      </c>
      <c r="CZ98" s="168">
        <f t="shared" ca="1" si="112"/>
        <v>0</v>
      </c>
    </row>
    <row r="99" spans="2:104" s="164" customFormat="1" ht="11.25" x14ac:dyDescent="0.2">
      <c r="B99" s="166" t="s">
        <v>63</v>
      </c>
      <c r="C99" s="168"/>
      <c r="D99" s="168"/>
      <c r="E99" s="168">
        <f t="shared" ref="E99:E100" ca="1" si="113">SUM(I99:CZ99)</f>
        <v>85000762.364996269</v>
      </c>
      <c r="G99" s="165"/>
      <c r="H99" s="166"/>
      <c r="I99" s="168">
        <f ca="1">-I114</f>
        <v>1018875.4231436383</v>
      </c>
      <c r="J99" s="168">
        <f t="shared" ref="J99:BU99" ca="1" si="114">-J114</f>
        <v>187153.94682535157</v>
      </c>
      <c r="K99" s="168">
        <f t="shared" ca="1" si="114"/>
        <v>188068.91986775957</v>
      </c>
      <c r="L99" s="168">
        <f t="shared" ca="1" si="114"/>
        <v>188988.36831220426</v>
      </c>
      <c r="M99" s="168">
        <f t="shared" ca="1" si="114"/>
        <v>189912.30964553729</v>
      </c>
      <c r="N99" s="168">
        <f t="shared" ca="1" si="114"/>
        <v>190840.76831220463</v>
      </c>
      <c r="O99" s="168">
        <f t="shared" ca="1" si="114"/>
        <v>191773.76875664853</v>
      </c>
      <c r="P99" s="168">
        <f t="shared" ca="1" si="114"/>
        <v>192711.3305344265</v>
      </c>
      <c r="Q99" s="168">
        <f t="shared" ca="1" si="114"/>
        <v>193653.4732010942</v>
      </c>
      <c r="R99" s="168">
        <f t="shared" ca="1" si="114"/>
        <v>194600.22120109387</v>
      </c>
      <c r="S99" s="168">
        <f t="shared" ca="1" si="114"/>
        <v>195551.59897887148</v>
      </c>
      <c r="T99" s="168">
        <f t="shared" ca="1" si="114"/>
        <v>196507.63097887114</v>
      </c>
      <c r="U99" s="168">
        <f t="shared" ca="1" si="114"/>
        <v>197468.3367566485</v>
      </c>
      <c r="V99" s="168">
        <f t="shared" ca="1" si="114"/>
        <v>198433.73586776108</v>
      </c>
      <c r="W99" s="168">
        <f t="shared" ca="1" si="114"/>
        <v>2768295.2593327314</v>
      </c>
      <c r="X99" s="168">
        <f t="shared" ca="1" si="114"/>
        <v>3031330.3458580486</v>
      </c>
      <c r="Y99" s="168">
        <f t="shared" ca="1" si="114"/>
        <v>3286664.521713309</v>
      </c>
      <c r="Z99" s="168">
        <f t="shared" ca="1" si="114"/>
        <v>3527957.2576742172</v>
      </c>
      <c r="AA99" s="168">
        <f t="shared" ca="1" si="114"/>
        <v>3748855.1559920143</v>
      </c>
      <c r="AB99" s="168">
        <f t="shared" ca="1" si="114"/>
        <v>3943279.3883225918</v>
      </c>
      <c r="AC99" s="168">
        <f t="shared" ca="1" si="114"/>
        <v>4105716.8347206637</v>
      </c>
      <c r="AD99" s="168">
        <f t="shared" ca="1" si="114"/>
        <v>4231495.5490487963</v>
      </c>
      <c r="AE99" s="168">
        <f t="shared" ca="1" si="114"/>
        <v>4317025.206296429</v>
      </c>
      <c r="AF99" s="168">
        <f t="shared" ca="1" si="114"/>
        <v>4359985.1528689563</v>
      </c>
      <c r="AG99" s="168">
        <f t="shared" ca="1" si="114"/>
        <v>4359446.1440742165</v>
      </c>
      <c r="AH99" s="168">
        <f t="shared" ca="1" si="114"/>
        <v>4315916.6477154493</v>
      </c>
      <c r="AI99" s="168">
        <f t="shared" ca="1" si="114"/>
        <v>4231310.3662762269</v>
      </c>
      <c r="AJ99" s="168">
        <f t="shared" ca="1" si="114"/>
        <v>4108837.5772114769</v>
      </c>
      <c r="AK99" s="168">
        <f t="shared" ca="1" si="114"/>
        <v>3952828.7328809053</v>
      </c>
      <c r="AL99" s="168">
        <f t="shared" ca="1" si="114"/>
        <v>3768503.5661186725</v>
      </c>
      <c r="AM99" s="168">
        <f t="shared" ca="1" si="114"/>
        <v>3658928.6058244184</v>
      </c>
      <c r="AN99" s="168">
        <f t="shared" ca="1" si="114"/>
        <v>3436302.362858057</v>
      </c>
      <c r="AO99" s="168">
        <f t="shared" ca="1" si="114"/>
        <v>10193627.148167565</v>
      </c>
      <c r="AP99" s="168">
        <f t="shared" ca="1" si="114"/>
        <v>368932.57366867363</v>
      </c>
      <c r="AQ99" s="168">
        <f t="shared" ca="1" si="114"/>
        <v>337376.34161360562</v>
      </c>
      <c r="AR99" s="168">
        <f t="shared" ca="1" si="114"/>
        <v>300813.24245195091</v>
      </c>
      <c r="AS99" s="168">
        <f t="shared" ca="1" si="114"/>
        <v>268256.78119578958</v>
      </c>
      <c r="AT99" s="168">
        <f t="shared" ca="1" si="114"/>
        <v>235541.15727296472</v>
      </c>
      <c r="AU99" s="168">
        <f t="shared" ca="1" si="114"/>
        <v>202665.58846125007</v>
      </c>
      <c r="AV99" s="168">
        <f t="shared" ca="1" si="114"/>
        <v>169629.29742732644</v>
      </c>
      <c r="AW99" s="168">
        <f t="shared" ca="1" si="114"/>
        <v>136431.49217116833</v>
      </c>
      <c r="AX99" s="168">
        <f t="shared" ca="1" si="114"/>
        <v>103071.38558167219</v>
      </c>
      <c r="AY99" s="168">
        <f t="shared" ca="1" si="114"/>
        <v>7198.8498150110245</v>
      </c>
      <c r="AZ99" s="168">
        <f t="shared" ca="1" si="114"/>
        <v>0</v>
      </c>
      <c r="BA99" s="168">
        <f t="shared" ca="1" si="114"/>
        <v>0</v>
      </c>
      <c r="BB99" s="168">
        <f t="shared" ca="1" si="114"/>
        <v>0</v>
      </c>
      <c r="BC99" s="168">
        <f t="shared" ca="1" si="114"/>
        <v>0</v>
      </c>
      <c r="BD99" s="168">
        <f t="shared" ca="1" si="114"/>
        <v>0</v>
      </c>
      <c r="BE99" s="168">
        <f t="shared" ca="1" si="114"/>
        <v>0</v>
      </c>
      <c r="BF99" s="168">
        <f t="shared" ca="1" si="114"/>
        <v>0</v>
      </c>
      <c r="BG99" s="168">
        <f t="shared" ca="1" si="114"/>
        <v>0</v>
      </c>
      <c r="BH99" s="168">
        <f t="shared" ca="1" si="114"/>
        <v>0</v>
      </c>
      <c r="BI99" s="168">
        <f t="shared" ca="1" si="114"/>
        <v>0</v>
      </c>
      <c r="BJ99" s="168">
        <f t="shared" ca="1" si="114"/>
        <v>0</v>
      </c>
      <c r="BK99" s="168">
        <f t="shared" ca="1" si="114"/>
        <v>0</v>
      </c>
      <c r="BL99" s="168">
        <f t="shared" ca="1" si="114"/>
        <v>0</v>
      </c>
      <c r="BM99" s="168">
        <f t="shared" ca="1" si="114"/>
        <v>0</v>
      </c>
      <c r="BN99" s="168">
        <f t="shared" ca="1" si="114"/>
        <v>0</v>
      </c>
      <c r="BO99" s="168">
        <f t="shared" ca="1" si="114"/>
        <v>0</v>
      </c>
      <c r="BP99" s="168">
        <f t="shared" ca="1" si="114"/>
        <v>0</v>
      </c>
      <c r="BQ99" s="168">
        <f t="shared" ca="1" si="114"/>
        <v>0</v>
      </c>
      <c r="BR99" s="168">
        <f t="shared" ca="1" si="114"/>
        <v>0</v>
      </c>
      <c r="BS99" s="168">
        <f t="shared" ca="1" si="114"/>
        <v>0</v>
      </c>
      <c r="BT99" s="168">
        <f t="shared" ca="1" si="114"/>
        <v>0</v>
      </c>
      <c r="BU99" s="168">
        <f t="shared" ca="1" si="114"/>
        <v>0</v>
      </c>
      <c r="BV99" s="168">
        <f t="shared" ref="BV99:CZ99" ca="1" si="115">-BV114</f>
        <v>0</v>
      </c>
      <c r="BW99" s="168">
        <f t="shared" ca="1" si="115"/>
        <v>0</v>
      </c>
      <c r="BX99" s="168">
        <f t="shared" ca="1" si="115"/>
        <v>0</v>
      </c>
      <c r="BY99" s="168">
        <f t="shared" ca="1" si="115"/>
        <v>0</v>
      </c>
      <c r="BZ99" s="168">
        <f t="shared" ca="1" si="115"/>
        <v>0</v>
      </c>
      <c r="CA99" s="168">
        <f t="shared" ca="1" si="115"/>
        <v>0</v>
      </c>
      <c r="CB99" s="168">
        <f t="shared" ca="1" si="115"/>
        <v>0</v>
      </c>
      <c r="CC99" s="168">
        <f t="shared" ca="1" si="115"/>
        <v>0</v>
      </c>
      <c r="CD99" s="168">
        <f t="shared" ca="1" si="115"/>
        <v>0</v>
      </c>
      <c r="CE99" s="168">
        <f t="shared" ca="1" si="115"/>
        <v>0</v>
      </c>
      <c r="CF99" s="168">
        <f t="shared" ca="1" si="115"/>
        <v>0</v>
      </c>
      <c r="CG99" s="168">
        <f t="shared" ca="1" si="115"/>
        <v>0</v>
      </c>
      <c r="CH99" s="168">
        <f t="shared" ca="1" si="115"/>
        <v>0</v>
      </c>
      <c r="CI99" s="168">
        <f t="shared" ca="1" si="115"/>
        <v>0</v>
      </c>
      <c r="CJ99" s="168">
        <f t="shared" ca="1" si="115"/>
        <v>0</v>
      </c>
      <c r="CK99" s="168">
        <f t="shared" ca="1" si="115"/>
        <v>0</v>
      </c>
      <c r="CL99" s="168">
        <f t="shared" ca="1" si="115"/>
        <v>0</v>
      </c>
      <c r="CM99" s="168">
        <f t="shared" ca="1" si="115"/>
        <v>0</v>
      </c>
      <c r="CN99" s="168">
        <f t="shared" ca="1" si="115"/>
        <v>0</v>
      </c>
      <c r="CO99" s="168">
        <f t="shared" ca="1" si="115"/>
        <v>0</v>
      </c>
      <c r="CP99" s="168">
        <f t="shared" ca="1" si="115"/>
        <v>0</v>
      </c>
      <c r="CQ99" s="168">
        <f t="shared" ca="1" si="115"/>
        <v>0</v>
      </c>
      <c r="CR99" s="168">
        <f t="shared" ca="1" si="115"/>
        <v>0</v>
      </c>
      <c r="CS99" s="168">
        <f t="shared" ca="1" si="115"/>
        <v>0</v>
      </c>
      <c r="CT99" s="168">
        <f t="shared" ca="1" si="115"/>
        <v>0</v>
      </c>
      <c r="CU99" s="168">
        <f t="shared" ca="1" si="115"/>
        <v>0</v>
      </c>
      <c r="CV99" s="168">
        <f t="shared" ca="1" si="115"/>
        <v>0</v>
      </c>
      <c r="CW99" s="168">
        <f t="shared" ca="1" si="115"/>
        <v>0</v>
      </c>
      <c r="CX99" s="168">
        <f t="shared" ca="1" si="115"/>
        <v>0</v>
      </c>
      <c r="CY99" s="168">
        <f t="shared" ca="1" si="115"/>
        <v>0</v>
      </c>
      <c r="CZ99" s="168">
        <f t="shared" ca="1" si="115"/>
        <v>0</v>
      </c>
    </row>
    <row r="100" spans="2:104" s="164" customFormat="1" ht="11.25" x14ac:dyDescent="0.2">
      <c r="B100" s="166" t="s">
        <v>177</v>
      </c>
      <c r="C100" s="168"/>
      <c r="D100" s="168"/>
      <c r="E100" s="168">
        <f t="shared" ca="1" si="113"/>
        <v>-85000761</v>
      </c>
      <c r="G100" s="165"/>
      <c r="H100" s="166"/>
      <c r="I100" s="168">
        <v>0</v>
      </c>
      <c r="J100" s="168">
        <f ca="1">IF(AND(I93&lt;0,J110="SLD"),-I107,0)</f>
        <v>0</v>
      </c>
      <c r="K100" s="168">
        <f t="shared" ref="K100:BV100" ca="1" si="116">IF(AND(J93&lt;0,K110="SLD"),-J107,0)</f>
        <v>0</v>
      </c>
      <c r="L100" s="168">
        <f t="shared" ca="1" si="116"/>
        <v>0</v>
      </c>
      <c r="M100" s="168">
        <f t="shared" ca="1" si="116"/>
        <v>0</v>
      </c>
      <c r="N100" s="168">
        <f t="shared" ca="1" si="116"/>
        <v>0</v>
      </c>
      <c r="O100" s="168">
        <f t="shared" ca="1" si="116"/>
        <v>0</v>
      </c>
      <c r="P100" s="168">
        <f t="shared" ca="1" si="116"/>
        <v>0</v>
      </c>
      <c r="Q100" s="168">
        <f t="shared" ca="1" si="116"/>
        <v>0</v>
      </c>
      <c r="R100" s="168">
        <f t="shared" ca="1" si="116"/>
        <v>0</v>
      </c>
      <c r="S100" s="168">
        <f t="shared" ca="1" si="116"/>
        <v>0</v>
      </c>
      <c r="T100" s="168">
        <f t="shared" ca="1" si="116"/>
        <v>0</v>
      </c>
      <c r="U100" s="168">
        <f t="shared" ca="1" si="116"/>
        <v>0</v>
      </c>
      <c r="V100" s="168">
        <f t="shared" ca="1" si="116"/>
        <v>0</v>
      </c>
      <c r="W100" s="168">
        <f t="shared" ca="1" si="116"/>
        <v>0</v>
      </c>
      <c r="X100" s="168">
        <f t="shared" ca="1" si="116"/>
        <v>0</v>
      </c>
      <c r="Y100" s="168">
        <f t="shared" ca="1" si="116"/>
        <v>0</v>
      </c>
      <c r="Z100" s="168">
        <f t="shared" ca="1" si="116"/>
        <v>0</v>
      </c>
      <c r="AA100" s="168">
        <f t="shared" ca="1" si="116"/>
        <v>0</v>
      </c>
      <c r="AB100" s="168">
        <f t="shared" ca="1" si="116"/>
        <v>0</v>
      </c>
      <c r="AC100" s="168">
        <f t="shared" ca="1" si="116"/>
        <v>0</v>
      </c>
      <c r="AD100" s="168">
        <f t="shared" ca="1" si="116"/>
        <v>0</v>
      </c>
      <c r="AE100" s="168">
        <f t="shared" ca="1" si="116"/>
        <v>0</v>
      </c>
      <c r="AF100" s="168">
        <f t="shared" ca="1" si="116"/>
        <v>0</v>
      </c>
      <c r="AG100" s="168">
        <f t="shared" ca="1" si="116"/>
        <v>0</v>
      </c>
      <c r="AH100" s="168">
        <f t="shared" ca="1" si="116"/>
        <v>0</v>
      </c>
      <c r="AI100" s="168">
        <f t="shared" ca="1" si="116"/>
        <v>0</v>
      </c>
      <c r="AJ100" s="168">
        <f t="shared" ca="1" si="116"/>
        <v>0</v>
      </c>
      <c r="AK100" s="168">
        <f t="shared" ca="1" si="116"/>
        <v>0</v>
      </c>
      <c r="AL100" s="168">
        <f t="shared" ca="1" si="116"/>
        <v>0</v>
      </c>
      <c r="AM100" s="168">
        <f t="shared" ca="1" si="116"/>
        <v>0</v>
      </c>
      <c r="AN100" s="168">
        <f t="shared" ca="1" si="116"/>
        <v>0</v>
      </c>
      <c r="AO100" s="168">
        <f t="shared" ca="1" si="116"/>
        <v>0</v>
      </c>
      <c r="AP100" s="168">
        <f t="shared" ca="1" si="116"/>
        <v>0</v>
      </c>
      <c r="AQ100" s="168">
        <f t="shared" ca="1" si="116"/>
        <v>0</v>
      </c>
      <c r="AR100" s="168">
        <f t="shared" ca="1" si="116"/>
        <v>0</v>
      </c>
      <c r="AS100" s="168">
        <f t="shared" ca="1" si="116"/>
        <v>0</v>
      </c>
      <c r="AT100" s="168">
        <f t="shared" ca="1" si="116"/>
        <v>0</v>
      </c>
      <c r="AU100" s="168">
        <f t="shared" ca="1" si="116"/>
        <v>0</v>
      </c>
      <c r="AV100" s="168">
        <f t="shared" ca="1" si="116"/>
        <v>0</v>
      </c>
      <c r="AW100" s="168">
        <f t="shared" ca="1" si="116"/>
        <v>0</v>
      </c>
      <c r="AX100" s="168">
        <f t="shared" ca="1" si="116"/>
        <v>0</v>
      </c>
      <c r="AY100" s="168">
        <f t="shared" ca="1" si="116"/>
        <v>0</v>
      </c>
      <c r="AZ100" s="168">
        <f t="shared" ca="1" si="116"/>
        <v>-85000761</v>
      </c>
      <c r="BA100" s="168">
        <f t="shared" ca="1" si="116"/>
        <v>0</v>
      </c>
      <c r="BB100" s="168">
        <f t="shared" ca="1" si="116"/>
        <v>0</v>
      </c>
      <c r="BC100" s="168">
        <f t="shared" ca="1" si="116"/>
        <v>0</v>
      </c>
      <c r="BD100" s="168">
        <f t="shared" ca="1" si="116"/>
        <v>0</v>
      </c>
      <c r="BE100" s="168">
        <f t="shared" ca="1" si="116"/>
        <v>0</v>
      </c>
      <c r="BF100" s="168">
        <f t="shared" ca="1" si="116"/>
        <v>0</v>
      </c>
      <c r="BG100" s="168">
        <f t="shared" ca="1" si="116"/>
        <v>0</v>
      </c>
      <c r="BH100" s="168">
        <f t="shared" ca="1" si="116"/>
        <v>0</v>
      </c>
      <c r="BI100" s="168">
        <f t="shared" ca="1" si="116"/>
        <v>0</v>
      </c>
      <c r="BJ100" s="168">
        <f t="shared" ca="1" si="116"/>
        <v>0</v>
      </c>
      <c r="BK100" s="168">
        <f t="shared" ca="1" si="116"/>
        <v>0</v>
      </c>
      <c r="BL100" s="168">
        <f t="shared" ca="1" si="116"/>
        <v>0</v>
      </c>
      <c r="BM100" s="168">
        <f t="shared" ca="1" si="116"/>
        <v>0</v>
      </c>
      <c r="BN100" s="168">
        <f t="shared" ca="1" si="116"/>
        <v>0</v>
      </c>
      <c r="BO100" s="168">
        <f t="shared" ca="1" si="116"/>
        <v>0</v>
      </c>
      <c r="BP100" s="168">
        <f t="shared" ca="1" si="116"/>
        <v>0</v>
      </c>
      <c r="BQ100" s="168">
        <f t="shared" ca="1" si="116"/>
        <v>0</v>
      </c>
      <c r="BR100" s="168">
        <f t="shared" ca="1" si="116"/>
        <v>0</v>
      </c>
      <c r="BS100" s="168">
        <f t="shared" ca="1" si="116"/>
        <v>0</v>
      </c>
      <c r="BT100" s="168">
        <f t="shared" ca="1" si="116"/>
        <v>0</v>
      </c>
      <c r="BU100" s="168">
        <f t="shared" ca="1" si="116"/>
        <v>0</v>
      </c>
      <c r="BV100" s="168">
        <f t="shared" ca="1" si="116"/>
        <v>0</v>
      </c>
      <c r="BW100" s="168">
        <f t="shared" ref="BW100:CZ100" ca="1" si="117">IF(AND(BV93&lt;0,BW110="SLD"),-BV107,0)</f>
        <v>0</v>
      </c>
      <c r="BX100" s="168">
        <f t="shared" ca="1" si="117"/>
        <v>0</v>
      </c>
      <c r="BY100" s="168">
        <f t="shared" ca="1" si="117"/>
        <v>0</v>
      </c>
      <c r="BZ100" s="168">
        <f t="shared" ca="1" si="117"/>
        <v>0</v>
      </c>
      <c r="CA100" s="168">
        <f t="shared" ca="1" si="117"/>
        <v>0</v>
      </c>
      <c r="CB100" s="168">
        <f t="shared" ca="1" si="117"/>
        <v>0</v>
      </c>
      <c r="CC100" s="168">
        <f t="shared" ca="1" si="117"/>
        <v>0</v>
      </c>
      <c r="CD100" s="168">
        <f t="shared" ca="1" si="117"/>
        <v>0</v>
      </c>
      <c r="CE100" s="168">
        <f t="shared" ca="1" si="117"/>
        <v>0</v>
      </c>
      <c r="CF100" s="168">
        <f t="shared" ca="1" si="117"/>
        <v>0</v>
      </c>
      <c r="CG100" s="168">
        <f t="shared" ca="1" si="117"/>
        <v>0</v>
      </c>
      <c r="CH100" s="168">
        <f t="shared" ca="1" si="117"/>
        <v>0</v>
      </c>
      <c r="CI100" s="168">
        <f t="shared" ca="1" si="117"/>
        <v>0</v>
      </c>
      <c r="CJ100" s="168">
        <f t="shared" ca="1" si="117"/>
        <v>0</v>
      </c>
      <c r="CK100" s="168">
        <f t="shared" ca="1" si="117"/>
        <v>0</v>
      </c>
      <c r="CL100" s="168">
        <f t="shared" ca="1" si="117"/>
        <v>0</v>
      </c>
      <c r="CM100" s="168">
        <f t="shared" ca="1" si="117"/>
        <v>0</v>
      </c>
      <c r="CN100" s="168">
        <f t="shared" ca="1" si="117"/>
        <v>0</v>
      </c>
      <c r="CO100" s="168">
        <f t="shared" ca="1" si="117"/>
        <v>0</v>
      </c>
      <c r="CP100" s="168">
        <f t="shared" ca="1" si="117"/>
        <v>0</v>
      </c>
      <c r="CQ100" s="168">
        <f t="shared" ca="1" si="117"/>
        <v>0</v>
      </c>
      <c r="CR100" s="168">
        <f t="shared" ca="1" si="117"/>
        <v>0</v>
      </c>
      <c r="CS100" s="168">
        <f t="shared" ca="1" si="117"/>
        <v>0</v>
      </c>
      <c r="CT100" s="168">
        <f t="shared" ca="1" si="117"/>
        <v>0</v>
      </c>
      <c r="CU100" s="168">
        <f t="shared" ca="1" si="117"/>
        <v>0</v>
      </c>
      <c r="CV100" s="168">
        <f t="shared" ca="1" si="117"/>
        <v>0</v>
      </c>
      <c r="CW100" s="168">
        <f t="shared" ca="1" si="117"/>
        <v>0</v>
      </c>
      <c r="CX100" s="168">
        <f t="shared" ca="1" si="117"/>
        <v>0</v>
      </c>
      <c r="CY100" s="168">
        <f t="shared" ca="1" si="117"/>
        <v>0</v>
      </c>
      <c r="CZ100" s="168">
        <f t="shared" ca="1" si="117"/>
        <v>0</v>
      </c>
    </row>
    <row r="101" spans="2:104" s="164" customFormat="1" ht="11.25" x14ac:dyDescent="0.2">
      <c r="B101" s="166"/>
      <c r="C101" s="168"/>
      <c r="D101" s="168"/>
      <c r="E101" s="168"/>
      <c r="G101" s="165"/>
      <c r="H101" s="166"/>
      <c r="I101" s="168"/>
      <c r="J101" s="168"/>
      <c r="K101" s="168"/>
      <c r="L101" s="168"/>
      <c r="M101" s="168"/>
      <c r="N101" s="168"/>
      <c r="O101" s="168"/>
      <c r="P101" s="168"/>
      <c r="Q101" s="168"/>
      <c r="R101" s="168"/>
      <c r="S101" s="168"/>
      <c r="T101" s="168"/>
      <c r="U101" s="168"/>
      <c r="V101" s="168"/>
      <c r="W101" s="168"/>
      <c r="X101" s="168"/>
      <c r="Y101" s="168"/>
      <c r="Z101" s="168"/>
      <c r="AA101" s="168"/>
      <c r="AB101" s="168"/>
      <c r="AC101" s="168"/>
      <c r="AD101" s="168"/>
      <c r="AE101" s="168"/>
      <c r="AF101" s="168"/>
      <c r="AG101" s="168"/>
      <c r="AH101" s="168"/>
      <c r="AI101" s="168"/>
      <c r="AJ101" s="168"/>
      <c r="AK101" s="168"/>
      <c r="AL101" s="168"/>
      <c r="AM101" s="168"/>
      <c r="AN101" s="168"/>
      <c r="AO101" s="168"/>
      <c r="AP101" s="168"/>
      <c r="AQ101" s="168"/>
      <c r="AR101" s="168"/>
      <c r="AS101" s="168"/>
      <c r="AT101" s="168"/>
      <c r="AU101" s="168"/>
      <c r="AV101" s="168"/>
      <c r="AW101" s="168"/>
      <c r="AX101" s="168"/>
      <c r="AY101" s="168"/>
      <c r="AZ101" s="168"/>
      <c r="BA101" s="168"/>
      <c r="BB101" s="168"/>
      <c r="BC101" s="168"/>
      <c r="BD101" s="168"/>
      <c r="BE101" s="168"/>
      <c r="BF101" s="168"/>
      <c r="BG101" s="168"/>
      <c r="BH101" s="168"/>
      <c r="BI101" s="168"/>
      <c r="BJ101" s="168"/>
      <c r="BK101" s="168"/>
      <c r="BL101" s="168"/>
      <c r="BM101" s="168"/>
      <c r="BN101" s="168"/>
      <c r="BO101" s="168"/>
      <c r="BP101" s="168"/>
      <c r="BQ101" s="168"/>
      <c r="BR101" s="168"/>
      <c r="BS101" s="168"/>
      <c r="BT101" s="168"/>
      <c r="BU101" s="168"/>
      <c r="BV101" s="168"/>
      <c r="BW101" s="168"/>
      <c r="BX101" s="168"/>
      <c r="BY101" s="168"/>
      <c r="BZ101" s="168"/>
      <c r="CA101" s="168"/>
      <c r="CB101" s="168"/>
      <c r="CC101" s="168"/>
      <c r="CD101" s="168"/>
      <c r="CE101" s="168"/>
      <c r="CF101" s="168"/>
      <c r="CG101" s="168"/>
      <c r="CH101" s="168"/>
      <c r="CI101" s="168"/>
      <c r="CJ101" s="168"/>
      <c r="CK101" s="168"/>
      <c r="CL101" s="168"/>
      <c r="CM101" s="168"/>
      <c r="CN101" s="168"/>
      <c r="CO101" s="168"/>
      <c r="CP101" s="168"/>
      <c r="CQ101" s="168"/>
      <c r="CR101" s="168"/>
      <c r="CS101" s="168"/>
      <c r="CT101" s="168"/>
      <c r="CU101" s="168"/>
      <c r="CV101" s="168"/>
      <c r="CW101" s="168"/>
      <c r="CX101" s="168"/>
      <c r="CY101" s="168"/>
      <c r="CZ101" s="168"/>
    </row>
    <row r="102" spans="2:104" s="164" customFormat="1" ht="11.25" x14ac:dyDescent="0.2">
      <c r="B102" s="166" t="s">
        <v>211</v>
      </c>
      <c r="C102" s="168"/>
      <c r="D102" s="168"/>
      <c r="E102" s="168"/>
      <c r="G102" s="165"/>
      <c r="H102" s="166"/>
      <c r="I102" s="168">
        <v>0</v>
      </c>
      <c r="J102" s="168">
        <f ca="1">I26*12/'12. Sensitivity'!$H$10*(J110="SLD")*(I93&lt;0)</f>
        <v>0</v>
      </c>
      <c r="K102" s="168">
        <f ca="1">J26*12/'12. Sensitivity'!$H$10*(K110="SLD")*(J93&lt;0)</f>
        <v>0</v>
      </c>
      <c r="L102" s="168">
        <f ca="1">K26*12/'12. Sensitivity'!$H$10*(L110="SLD")*(K93&lt;0)</f>
        <v>0</v>
      </c>
      <c r="M102" s="168">
        <f ca="1">L26*12/'12. Sensitivity'!$H$10*(M110="SLD")*(L93&lt;0)</f>
        <v>0</v>
      </c>
      <c r="N102" s="168">
        <f ca="1">M26*12/'12. Sensitivity'!$H$10*(N110="SLD")*(M93&lt;0)</f>
        <v>0</v>
      </c>
      <c r="O102" s="168">
        <f ca="1">N26*12/'12. Sensitivity'!$H$10*(O110="SLD")*(N93&lt;0)</f>
        <v>0</v>
      </c>
      <c r="P102" s="168">
        <f ca="1">O26*12/'12. Sensitivity'!$H$10*(P110="SLD")*(O93&lt;0)</f>
        <v>0</v>
      </c>
      <c r="Q102" s="168">
        <f ca="1">P26*12/'12. Sensitivity'!$H$10*(Q110="SLD")*(P93&lt;0)</f>
        <v>0</v>
      </c>
      <c r="R102" s="168">
        <f ca="1">Q26*12/'12. Sensitivity'!$H$10*(R110="SLD")*(Q93&lt;0)</f>
        <v>0</v>
      </c>
      <c r="S102" s="168">
        <f ca="1">R26*12/'12. Sensitivity'!$H$10*(S110="SLD")*(R93&lt;0)</f>
        <v>0</v>
      </c>
      <c r="T102" s="168">
        <f ca="1">S26*12/'12. Sensitivity'!$H$10*(T110="SLD")*(S93&lt;0)</f>
        <v>0</v>
      </c>
      <c r="U102" s="168">
        <f ca="1">T26*12/'12. Sensitivity'!$H$10*(U110="SLD")*(T93&lt;0)</f>
        <v>0</v>
      </c>
      <c r="V102" s="168">
        <f ca="1">U26*12/'12. Sensitivity'!$H$10*(V110="SLD")*(U93&lt;0)</f>
        <v>0</v>
      </c>
      <c r="W102" s="168">
        <f ca="1">V26*12/'12. Sensitivity'!$H$10*(W110="SLD")*(V93&lt;0)</f>
        <v>0</v>
      </c>
      <c r="X102" s="168">
        <f ca="1">W26*12/'12. Sensitivity'!$H$10*(X110="SLD")*(W93&lt;0)</f>
        <v>0</v>
      </c>
      <c r="Y102" s="168">
        <f ca="1">X26*12/'12. Sensitivity'!$H$10*(Y110="SLD")*(X93&lt;0)</f>
        <v>0</v>
      </c>
      <c r="Z102" s="168">
        <f ca="1">Y26*12/'12. Sensitivity'!$H$10*(Z110="SLD")*(Y93&lt;0)</f>
        <v>0</v>
      </c>
      <c r="AA102" s="168">
        <f ca="1">Z26*12/'12. Sensitivity'!$H$10*(AA110="SLD")*(Z93&lt;0)</f>
        <v>0</v>
      </c>
      <c r="AB102" s="168">
        <f ca="1">AA26*12/'12. Sensitivity'!$H$10*(AB110="SLD")*(AA93&lt;0)</f>
        <v>0</v>
      </c>
      <c r="AC102" s="168">
        <f ca="1">AB26*12/'12. Sensitivity'!$H$10*(AC110="SLD")*(AB93&lt;0)</f>
        <v>0</v>
      </c>
      <c r="AD102" s="168">
        <f ca="1">AC26*12/'12. Sensitivity'!$H$10*(AD110="SLD")*(AC93&lt;0)</f>
        <v>0</v>
      </c>
      <c r="AE102" s="168">
        <f ca="1">AD26*12/'12. Sensitivity'!$H$10*(AE110="SLD")*(AD93&lt;0)</f>
        <v>0</v>
      </c>
      <c r="AF102" s="168">
        <f ca="1">AE26*12/'12. Sensitivity'!$H$10*(AF110="SLD")*(AE93&lt;0)</f>
        <v>0</v>
      </c>
      <c r="AG102" s="168">
        <f ca="1">AF26*12/'12. Sensitivity'!$H$10*(AG110="SLD")*(AF93&lt;0)</f>
        <v>0</v>
      </c>
      <c r="AH102" s="168">
        <f ca="1">AG26*12/'12. Sensitivity'!$H$10*(AH110="SLD")*(AG93&lt;0)</f>
        <v>0</v>
      </c>
      <c r="AI102" s="168">
        <f ca="1">AH26*12/'12. Sensitivity'!$H$10*(AI110="SLD")*(AH93&lt;0)</f>
        <v>0</v>
      </c>
      <c r="AJ102" s="168">
        <f ca="1">AI26*12/'12. Sensitivity'!$H$10*(AJ110="SLD")*(AI93&lt;0)</f>
        <v>0</v>
      </c>
      <c r="AK102" s="168">
        <f ca="1">AJ26*12/'12. Sensitivity'!$H$10*(AK110="SLD")*(AJ93&lt;0)</f>
        <v>0</v>
      </c>
      <c r="AL102" s="168">
        <f ca="1">AK26*12/'12. Sensitivity'!$H$10*(AL110="SLD")*(AK93&lt;0)</f>
        <v>0</v>
      </c>
      <c r="AM102" s="168">
        <f ca="1">AL26*12/'12. Sensitivity'!$H$10*(AM110="SLD")*(AL93&lt;0)</f>
        <v>0</v>
      </c>
      <c r="AN102" s="168">
        <f ca="1">AM26*12/'12. Sensitivity'!$H$10*(AN110="SLD")*(AM93&lt;0)</f>
        <v>0</v>
      </c>
      <c r="AO102" s="168">
        <f ca="1">AN26*12/'12. Sensitivity'!$H$10*(AO110="SLD")*(AN93&lt;0)</f>
        <v>0</v>
      </c>
      <c r="AP102" s="168">
        <f ca="1">AO26*12/'12. Sensitivity'!$H$10*(AP110="SLD")*(AO93&lt;0)</f>
        <v>0</v>
      </c>
      <c r="AQ102" s="168">
        <f ca="1">AP26*12/'12. Sensitivity'!$H$10*(AQ110="SLD")*(AP93&lt;0)</f>
        <v>0</v>
      </c>
      <c r="AR102" s="168">
        <f ca="1">AQ26*12/'12. Sensitivity'!$H$10*(AR110="SLD")*(AQ93&lt;0)</f>
        <v>0</v>
      </c>
      <c r="AS102" s="168">
        <f ca="1">AR26*12/'12. Sensitivity'!$H$10*(AS110="SLD")*(AR93&lt;0)</f>
        <v>0</v>
      </c>
      <c r="AT102" s="168">
        <f ca="1">AS26*12/'12. Sensitivity'!$H$10*(AT110="SLD")*(AS93&lt;0)</f>
        <v>0</v>
      </c>
      <c r="AU102" s="168">
        <f ca="1">AT26*12/'12. Sensitivity'!$H$10*(AU110="SLD")*(AT93&lt;0)</f>
        <v>0</v>
      </c>
      <c r="AV102" s="168">
        <f ca="1">AU26*12/'12. Sensitivity'!$H$10*(AV110="SLD")*(AU93&lt;0)</f>
        <v>0</v>
      </c>
      <c r="AW102" s="168">
        <f ca="1">AV26*12/'12. Sensitivity'!$H$10*(AW110="SLD")*(AV93&lt;0)</f>
        <v>0</v>
      </c>
      <c r="AX102" s="168">
        <f ca="1">AW26*12/'12. Sensitivity'!$H$10*(AX110="SLD")*(AW93&lt;0)</f>
        <v>0</v>
      </c>
      <c r="AY102" s="168">
        <f ca="1">AX26*12/'12. Sensitivity'!$H$10*(AY110="SLD")*(AX93&lt;0)</f>
        <v>0</v>
      </c>
      <c r="AZ102" s="168">
        <f ca="1">AY26*12/'12. Sensitivity'!$H$10*(AZ110="SLD")*(AY93&lt;0)</f>
        <v>108886728.28636798</v>
      </c>
      <c r="BA102" s="168">
        <f ca="1">AZ26*12/'12. Sensitivity'!$H$10*(BA110="SLD")*(AZ93&lt;0)</f>
        <v>0</v>
      </c>
      <c r="BB102" s="168">
        <f ca="1">BA26*12/'12. Sensitivity'!$H$10*(BB110="SLD")*(BA93&lt;0)</f>
        <v>0</v>
      </c>
      <c r="BC102" s="168">
        <f ca="1">BB26*12/'12. Sensitivity'!$H$10*(BC110="SLD")*(BB93&lt;0)</f>
        <v>0</v>
      </c>
      <c r="BD102" s="168">
        <f ca="1">BC26*12/'12. Sensitivity'!$H$10*(BD110="SLD")*(BC93&lt;0)</f>
        <v>0</v>
      </c>
      <c r="BE102" s="168">
        <f ca="1">BD26*12/'12. Sensitivity'!$H$10*(BE110="SLD")*(BD93&lt;0)</f>
        <v>0</v>
      </c>
      <c r="BF102" s="168">
        <f ca="1">BE26*12/'12. Sensitivity'!$H$10*(BF110="SLD")*(BE93&lt;0)</f>
        <v>0</v>
      </c>
      <c r="BG102" s="168">
        <f ca="1">BF26*12/'12. Sensitivity'!$H$10*(BG110="SLD")*(BF93&lt;0)</f>
        <v>0</v>
      </c>
      <c r="BH102" s="168">
        <f ca="1">BG26*12/'12. Sensitivity'!$H$10*(BH110="SLD")*(BG93&lt;0)</f>
        <v>0</v>
      </c>
      <c r="BI102" s="168">
        <f ca="1">BH26*12/'12. Sensitivity'!$H$10*(BI110="SLD")*(BH93&lt;0)</f>
        <v>0</v>
      </c>
      <c r="BJ102" s="168">
        <f ca="1">BI26*12/'12. Sensitivity'!$H$10*(BJ110="SLD")*(BI93&lt;0)</f>
        <v>0</v>
      </c>
      <c r="BK102" s="168">
        <f ca="1">BJ26*12/'12. Sensitivity'!$H$10*(BK110="SLD")*(BJ93&lt;0)</f>
        <v>0</v>
      </c>
      <c r="BL102" s="168">
        <f ca="1">BK26*12/'12. Sensitivity'!$H$10*(BL110="SLD")*(BK93&lt;0)</f>
        <v>0</v>
      </c>
      <c r="BM102" s="168">
        <f ca="1">BL26*12/'12. Sensitivity'!$H$10*(BM110="SLD")*(BL93&lt;0)</f>
        <v>0</v>
      </c>
      <c r="BN102" s="168">
        <f ca="1">BM26*12/'12. Sensitivity'!$H$10*(BN110="SLD")*(BM93&lt;0)</f>
        <v>0</v>
      </c>
      <c r="BO102" s="168">
        <f ca="1">BN26*12/'12. Sensitivity'!$H$10*(BO110="SLD")*(BN93&lt;0)</f>
        <v>0</v>
      </c>
      <c r="BP102" s="168">
        <f ca="1">BO26*12/'12. Sensitivity'!$H$10*(BP110="SLD")*(BO93&lt;0)</f>
        <v>0</v>
      </c>
      <c r="BQ102" s="168">
        <f ca="1">BP26*12/'12. Sensitivity'!$H$10*(BQ110="SLD")*(BP93&lt;0)</f>
        <v>0</v>
      </c>
      <c r="BR102" s="168">
        <f ca="1">BQ26*12/'12. Sensitivity'!$H$10*(BR110="SLD")*(BQ93&lt;0)</f>
        <v>0</v>
      </c>
      <c r="BS102" s="168">
        <f ca="1">BR26*12/'12. Sensitivity'!$H$10*(BS110="SLD")*(BR93&lt;0)</f>
        <v>0</v>
      </c>
      <c r="BT102" s="168">
        <f ca="1">BS26*12/'12. Sensitivity'!$H$10*(BT110="SLD")*(BS93&lt;0)</f>
        <v>0</v>
      </c>
      <c r="BU102" s="168">
        <f ca="1">BT26*12/'12. Sensitivity'!$H$10*(BU110="SLD")*(BT93&lt;0)</f>
        <v>0</v>
      </c>
      <c r="BV102" s="168">
        <f ca="1">BU26*12/'12. Sensitivity'!$H$10*(BV110="SLD")*(BU93&lt;0)</f>
        <v>0</v>
      </c>
      <c r="BW102" s="168">
        <f ca="1">BV26*12/'12. Sensitivity'!$H$10*(BW110="SLD")*(BV93&lt;0)</f>
        <v>0</v>
      </c>
      <c r="BX102" s="168">
        <f ca="1">BW26*12/'12. Sensitivity'!$H$10*(BX110="SLD")*(BW93&lt;0)</f>
        <v>0</v>
      </c>
      <c r="BY102" s="168">
        <f ca="1">BX26*12/'12. Sensitivity'!$H$10*(BY110="SLD")*(BX93&lt;0)</f>
        <v>0</v>
      </c>
      <c r="BZ102" s="168">
        <f ca="1">BY26*12/'12. Sensitivity'!$H$10*(BZ110="SLD")*(BY93&lt;0)</f>
        <v>0</v>
      </c>
      <c r="CA102" s="168">
        <f ca="1">BZ26*12/'12. Sensitivity'!$H$10*(CA110="SLD")*(BZ93&lt;0)</f>
        <v>0</v>
      </c>
      <c r="CB102" s="168">
        <f ca="1">CA26*12/'12. Sensitivity'!$H$10*(CB110="SLD")*(CA93&lt;0)</f>
        <v>0</v>
      </c>
      <c r="CC102" s="168">
        <f ca="1">CB26*12/'12. Sensitivity'!$H$10*(CC110="SLD")*(CB93&lt;0)</f>
        <v>0</v>
      </c>
      <c r="CD102" s="168">
        <f ca="1">CC26*12/'12. Sensitivity'!$H$10*(CD110="SLD")*(CC93&lt;0)</f>
        <v>0</v>
      </c>
      <c r="CE102" s="168">
        <f ca="1">CD26*12/'12. Sensitivity'!$H$10*(CE110="SLD")*(CD93&lt;0)</f>
        <v>0</v>
      </c>
      <c r="CF102" s="168">
        <f ca="1">CE26*12/'12. Sensitivity'!$H$10*(CF110="SLD")*(CE93&lt;0)</f>
        <v>0</v>
      </c>
      <c r="CG102" s="168">
        <f ca="1">CF26*12/'12. Sensitivity'!$H$10*(CG110="SLD")*(CF93&lt;0)</f>
        <v>0</v>
      </c>
      <c r="CH102" s="168">
        <f ca="1">CG26*12/'12. Sensitivity'!$H$10*(CH110="SLD")*(CG93&lt;0)</f>
        <v>0</v>
      </c>
      <c r="CI102" s="168">
        <f ca="1">CH26*12/'12. Sensitivity'!$H$10*(CI110="SLD")*(CH93&lt;0)</f>
        <v>0</v>
      </c>
      <c r="CJ102" s="168">
        <f ca="1">CI26*12/'12. Sensitivity'!$H$10*(CJ110="SLD")*(CI93&lt;0)</f>
        <v>0</v>
      </c>
      <c r="CK102" s="168">
        <f ca="1">CJ26*12/'12. Sensitivity'!$H$10*(CK110="SLD")*(CJ93&lt;0)</f>
        <v>0</v>
      </c>
      <c r="CL102" s="168">
        <f ca="1">CK26*12/'12. Sensitivity'!$H$10*(CL110="SLD")*(CK93&lt;0)</f>
        <v>0</v>
      </c>
      <c r="CM102" s="168">
        <f ca="1">CL26*12/'12. Sensitivity'!$H$10*(CM110="SLD")*(CL93&lt;0)</f>
        <v>0</v>
      </c>
      <c r="CN102" s="168">
        <f ca="1">CM26*12/'12. Sensitivity'!$H$10*(CN110="SLD")*(CM93&lt;0)</f>
        <v>0</v>
      </c>
      <c r="CO102" s="168">
        <f ca="1">CN26*12/'12. Sensitivity'!$H$10*(CO110="SLD")*(CN93&lt;0)</f>
        <v>0</v>
      </c>
      <c r="CP102" s="168">
        <f ca="1">CO26*12/'12. Sensitivity'!$H$10*(CP110="SLD")*(CO93&lt;0)</f>
        <v>0</v>
      </c>
      <c r="CQ102" s="168">
        <f ca="1">CP26*12/'12. Sensitivity'!$H$10*(CQ110="SLD")*(CP93&lt;0)</f>
        <v>0</v>
      </c>
      <c r="CR102" s="168">
        <f ca="1">CQ26*12/'12. Sensitivity'!$H$10*(CR110="SLD")*(CQ93&lt;0)</f>
        <v>0</v>
      </c>
      <c r="CS102" s="168">
        <f ca="1">CR26*12/'12. Sensitivity'!$H$10*(CS110="SLD")*(CR93&lt;0)</f>
        <v>0</v>
      </c>
      <c r="CT102" s="168">
        <f ca="1">CS26*12/'12. Sensitivity'!$H$10*(CT110="SLD")*(CS93&lt;0)</f>
        <v>0</v>
      </c>
      <c r="CU102" s="168">
        <f ca="1">CT26*12/'12. Sensitivity'!$H$10*(CU110="SLD")*(CT93&lt;0)</f>
        <v>0</v>
      </c>
      <c r="CV102" s="168">
        <f ca="1">CU26*12/'12. Sensitivity'!$H$10*(CV110="SLD")*(CU93&lt;0)</f>
        <v>0</v>
      </c>
      <c r="CW102" s="168">
        <f ca="1">CV26*12/'12. Sensitivity'!$H$10*(CW110="SLD")*(CV93&lt;0)</f>
        <v>0</v>
      </c>
      <c r="CX102" s="168">
        <f ca="1">CW26*12/'12. Sensitivity'!$H$10*(CX110="SLD")*(CW93&lt;0)</f>
        <v>0</v>
      </c>
      <c r="CY102" s="168">
        <f ca="1">CX26*12/'12. Sensitivity'!$H$10*(CY110="SLD")*(CX93&lt;0)</f>
        <v>0</v>
      </c>
      <c r="CZ102" s="168">
        <f ca="1">CY26*12/'12. Sensitivity'!$H$10*(CZ110="SLD")*(CY93&lt;0)</f>
        <v>0</v>
      </c>
    </row>
    <row r="103" spans="2:104" s="164" customFormat="1" ht="11.25" x14ac:dyDescent="0.2">
      <c r="B103" s="166" t="s">
        <v>107</v>
      </c>
      <c r="C103" s="168"/>
      <c r="D103" s="168"/>
      <c r="E103" s="168"/>
      <c r="G103" s="165"/>
      <c r="H103" s="201"/>
      <c r="I103" s="168">
        <f>-'11. 10-Yr Cash Flow IRR'!$E$11*I102</f>
        <v>0</v>
      </c>
      <c r="J103" s="168">
        <f ca="1">-'11. 10-Yr Cash Flow IRR'!$E$11*J102</f>
        <v>0</v>
      </c>
      <c r="K103" s="168">
        <f ca="1">-'11. 10-Yr Cash Flow IRR'!$E$11*K102</f>
        <v>0</v>
      </c>
      <c r="L103" s="168">
        <f ca="1">-'11. 10-Yr Cash Flow IRR'!$E$11*L102</f>
        <v>0</v>
      </c>
      <c r="M103" s="168">
        <f ca="1">-'11. 10-Yr Cash Flow IRR'!$E$11*M102</f>
        <v>0</v>
      </c>
      <c r="N103" s="168">
        <f ca="1">-'11. 10-Yr Cash Flow IRR'!$E$11*N102</f>
        <v>0</v>
      </c>
      <c r="O103" s="168">
        <f ca="1">-'11. 10-Yr Cash Flow IRR'!$E$11*O102</f>
        <v>0</v>
      </c>
      <c r="P103" s="168">
        <f ca="1">-'11. 10-Yr Cash Flow IRR'!$E$11*P102</f>
        <v>0</v>
      </c>
      <c r="Q103" s="168">
        <f ca="1">-'11. 10-Yr Cash Flow IRR'!$E$11*Q102</f>
        <v>0</v>
      </c>
      <c r="R103" s="168">
        <f ca="1">-'11. 10-Yr Cash Flow IRR'!$E$11*R102</f>
        <v>0</v>
      </c>
      <c r="S103" s="168">
        <f ca="1">-'11. 10-Yr Cash Flow IRR'!$E$11*S102</f>
        <v>0</v>
      </c>
      <c r="T103" s="168">
        <f ca="1">-'11. 10-Yr Cash Flow IRR'!$E$11*T102</f>
        <v>0</v>
      </c>
      <c r="U103" s="168">
        <f ca="1">-'11. 10-Yr Cash Flow IRR'!$E$11*U102</f>
        <v>0</v>
      </c>
      <c r="V103" s="168">
        <f ca="1">-'11. 10-Yr Cash Flow IRR'!$E$11*V102</f>
        <v>0</v>
      </c>
      <c r="W103" s="168">
        <f ca="1">-'11. 10-Yr Cash Flow IRR'!$E$11*W102</f>
        <v>0</v>
      </c>
      <c r="X103" s="168">
        <f ca="1">-'11. 10-Yr Cash Flow IRR'!$E$11*X102</f>
        <v>0</v>
      </c>
      <c r="Y103" s="168">
        <f ca="1">-'11. 10-Yr Cash Flow IRR'!$E$11*Y102</f>
        <v>0</v>
      </c>
      <c r="Z103" s="168">
        <f ca="1">-'11. 10-Yr Cash Flow IRR'!$E$11*Z102</f>
        <v>0</v>
      </c>
      <c r="AA103" s="168">
        <f ca="1">-'11. 10-Yr Cash Flow IRR'!$E$11*AA102</f>
        <v>0</v>
      </c>
      <c r="AB103" s="168">
        <f ca="1">-'11. 10-Yr Cash Flow IRR'!$E$11*AB102</f>
        <v>0</v>
      </c>
      <c r="AC103" s="168">
        <f ca="1">-'11. 10-Yr Cash Flow IRR'!$E$11*AC102</f>
        <v>0</v>
      </c>
      <c r="AD103" s="168">
        <f ca="1">-'11. 10-Yr Cash Flow IRR'!$E$11*AD102</f>
        <v>0</v>
      </c>
      <c r="AE103" s="168">
        <f ca="1">-'11. 10-Yr Cash Flow IRR'!$E$11*AE102</f>
        <v>0</v>
      </c>
      <c r="AF103" s="168">
        <f ca="1">-'11. 10-Yr Cash Flow IRR'!$E$11*AF102</f>
        <v>0</v>
      </c>
      <c r="AG103" s="168">
        <f ca="1">-'11. 10-Yr Cash Flow IRR'!$E$11*AG102</f>
        <v>0</v>
      </c>
      <c r="AH103" s="168">
        <f ca="1">-'11. 10-Yr Cash Flow IRR'!$E$11*AH102</f>
        <v>0</v>
      </c>
      <c r="AI103" s="168">
        <f ca="1">-'11. 10-Yr Cash Flow IRR'!$E$11*AI102</f>
        <v>0</v>
      </c>
      <c r="AJ103" s="168">
        <f ca="1">-'11. 10-Yr Cash Flow IRR'!$E$11*AJ102</f>
        <v>0</v>
      </c>
      <c r="AK103" s="168">
        <f ca="1">-'11. 10-Yr Cash Flow IRR'!$E$11*AK102</f>
        <v>0</v>
      </c>
      <c r="AL103" s="168">
        <f ca="1">-'11. 10-Yr Cash Flow IRR'!$E$11*AL102</f>
        <v>0</v>
      </c>
      <c r="AM103" s="168">
        <f ca="1">-'11. 10-Yr Cash Flow IRR'!$E$11*AM102</f>
        <v>0</v>
      </c>
      <c r="AN103" s="168">
        <f ca="1">-'11. 10-Yr Cash Flow IRR'!$E$11*AN102</f>
        <v>0</v>
      </c>
      <c r="AO103" s="168">
        <f ca="1">-'11. 10-Yr Cash Flow IRR'!$E$11*AO102</f>
        <v>0</v>
      </c>
      <c r="AP103" s="168">
        <f ca="1">-'11. 10-Yr Cash Flow IRR'!$E$11*AP102</f>
        <v>0</v>
      </c>
      <c r="AQ103" s="168">
        <f ca="1">-'11. 10-Yr Cash Flow IRR'!$E$11*AQ102</f>
        <v>0</v>
      </c>
      <c r="AR103" s="168">
        <f ca="1">-'11. 10-Yr Cash Flow IRR'!$E$11*AR102</f>
        <v>0</v>
      </c>
      <c r="AS103" s="168">
        <f ca="1">-'11. 10-Yr Cash Flow IRR'!$E$11*AS102</f>
        <v>0</v>
      </c>
      <c r="AT103" s="168">
        <f ca="1">-'11. 10-Yr Cash Flow IRR'!$E$11*AT102</f>
        <v>0</v>
      </c>
      <c r="AU103" s="168">
        <f ca="1">-'11. 10-Yr Cash Flow IRR'!$E$11*AU102</f>
        <v>0</v>
      </c>
      <c r="AV103" s="168">
        <f ca="1">-'11. 10-Yr Cash Flow IRR'!$E$11*AV102</f>
        <v>0</v>
      </c>
      <c r="AW103" s="168">
        <f ca="1">-'11. 10-Yr Cash Flow IRR'!$E$11*AW102</f>
        <v>0</v>
      </c>
      <c r="AX103" s="168">
        <f ca="1">-'11. 10-Yr Cash Flow IRR'!$E$11*AX102</f>
        <v>0</v>
      </c>
      <c r="AY103" s="168">
        <f ca="1">-'11. 10-Yr Cash Flow IRR'!$E$11*AY102</f>
        <v>0</v>
      </c>
      <c r="AZ103" s="168">
        <f ca="1">-'11. 10-Yr Cash Flow IRR'!$E$11*AZ102</f>
        <v>-1088867.2828636798</v>
      </c>
      <c r="BA103" s="168">
        <f ca="1">-'11. 10-Yr Cash Flow IRR'!$E$11*BA102</f>
        <v>0</v>
      </c>
      <c r="BB103" s="168">
        <f ca="1">-'11. 10-Yr Cash Flow IRR'!$E$11*BB102</f>
        <v>0</v>
      </c>
      <c r="BC103" s="168">
        <f ca="1">-'11. 10-Yr Cash Flow IRR'!$E$11*BC102</f>
        <v>0</v>
      </c>
      <c r="BD103" s="168">
        <f ca="1">-'11. 10-Yr Cash Flow IRR'!$E$11*BD102</f>
        <v>0</v>
      </c>
      <c r="BE103" s="168">
        <f ca="1">-'11. 10-Yr Cash Flow IRR'!$E$11*BE102</f>
        <v>0</v>
      </c>
      <c r="BF103" s="168">
        <f ca="1">-'11. 10-Yr Cash Flow IRR'!$E$11*BF102</f>
        <v>0</v>
      </c>
      <c r="BG103" s="168">
        <f ca="1">-'11. 10-Yr Cash Flow IRR'!$E$11*BG102</f>
        <v>0</v>
      </c>
      <c r="BH103" s="168">
        <f ca="1">-'11. 10-Yr Cash Flow IRR'!$E$11*BH102</f>
        <v>0</v>
      </c>
      <c r="BI103" s="168">
        <f ca="1">-'11. 10-Yr Cash Flow IRR'!$E$11*BI102</f>
        <v>0</v>
      </c>
      <c r="BJ103" s="168">
        <f ca="1">-'11. 10-Yr Cash Flow IRR'!$E$11*BJ102</f>
        <v>0</v>
      </c>
      <c r="BK103" s="168">
        <f ca="1">-'11. 10-Yr Cash Flow IRR'!$E$11*BK102</f>
        <v>0</v>
      </c>
      <c r="BL103" s="168">
        <f ca="1">-'11. 10-Yr Cash Flow IRR'!$E$11*BL102</f>
        <v>0</v>
      </c>
      <c r="BM103" s="168">
        <f ca="1">-'11. 10-Yr Cash Flow IRR'!$E$11*BM102</f>
        <v>0</v>
      </c>
      <c r="BN103" s="168">
        <f ca="1">-'11. 10-Yr Cash Flow IRR'!$E$11*BN102</f>
        <v>0</v>
      </c>
      <c r="BO103" s="168">
        <f ca="1">-'11. 10-Yr Cash Flow IRR'!$E$11*BO102</f>
        <v>0</v>
      </c>
      <c r="BP103" s="168">
        <f ca="1">-'11. 10-Yr Cash Flow IRR'!$E$11*BP102</f>
        <v>0</v>
      </c>
      <c r="BQ103" s="168">
        <f ca="1">-'11. 10-Yr Cash Flow IRR'!$E$11*BQ102</f>
        <v>0</v>
      </c>
      <c r="BR103" s="168">
        <f ca="1">-'11. 10-Yr Cash Flow IRR'!$E$11*BR102</f>
        <v>0</v>
      </c>
      <c r="BS103" s="168">
        <f ca="1">-'11. 10-Yr Cash Flow IRR'!$E$11*BS102</f>
        <v>0</v>
      </c>
      <c r="BT103" s="168">
        <f ca="1">-'11. 10-Yr Cash Flow IRR'!$E$11*BT102</f>
        <v>0</v>
      </c>
      <c r="BU103" s="168">
        <f ca="1">-'11. 10-Yr Cash Flow IRR'!$E$11*BU102</f>
        <v>0</v>
      </c>
      <c r="BV103" s="168">
        <f ca="1">-'11. 10-Yr Cash Flow IRR'!$E$11*BV102</f>
        <v>0</v>
      </c>
      <c r="BW103" s="168">
        <f ca="1">-'11. 10-Yr Cash Flow IRR'!$E$11*BW102</f>
        <v>0</v>
      </c>
      <c r="BX103" s="168">
        <f ca="1">-'11. 10-Yr Cash Flow IRR'!$E$11*BX102</f>
        <v>0</v>
      </c>
      <c r="BY103" s="168">
        <f ca="1">-'11. 10-Yr Cash Flow IRR'!$E$11*BY102</f>
        <v>0</v>
      </c>
      <c r="BZ103" s="168">
        <f ca="1">-'11. 10-Yr Cash Flow IRR'!$E$11*BZ102</f>
        <v>0</v>
      </c>
      <c r="CA103" s="168">
        <f ca="1">-'11. 10-Yr Cash Flow IRR'!$E$11*CA102</f>
        <v>0</v>
      </c>
      <c r="CB103" s="168">
        <f ca="1">-'11. 10-Yr Cash Flow IRR'!$E$11*CB102</f>
        <v>0</v>
      </c>
      <c r="CC103" s="168">
        <f ca="1">-'11. 10-Yr Cash Flow IRR'!$E$11*CC102</f>
        <v>0</v>
      </c>
      <c r="CD103" s="168">
        <f ca="1">-'11. 10-Yr Cash Flow IRR'!$E$11*CD102</f>
        <v>0</v>
      </c>
      <c r="CE103" s="168">
        <f ca="1">-'11. 10-Yr Cash Flow IRR'!$E$11*CE102</f>
        <v>0</v>
      </c>
      <c r="CF103" s="168">
        <f ca="1">-'11. 10-Yr Cash Flow IRR'!$E$11*CF102</f>
        <v>0</v>
      </c>
      <c r="CG103" s="168">
        <f ca="1">-'11. 10-Yr Cash Flow IRR'!$E$11*CG102</f>
        <v>0</v>
      </c>
      <c r="CH103" s="168">
        <f ca="1">-'11. 10-Yr Cash Flow IRR'!$E$11*CH102</f>
        <v>0</v>
      </c>
      <c r="CI103" s="168">
        <f ca="1">-'11. 10-Yr Cash Flow IRR'!$E$11*CI102</f>
        <v>0</v>
      </c>
      <c r="CJ103" s="168">
        <f ca="1">-'11. 10-Yr Cash Flow IRR'!$E$11*CJ102</f>
        <v>0</v>
      </c>
      <c r="CK103" s="168">
        <f ca="1">-'11. 10-Yr Cash Flow IRR'!$E$11*CK102</f>
        <v>0</v>
      </c>
      <c r="CL103" s="168">
        <f ca="1">-'11. 10-Yr Cash Flow IRR'!$E$11*CL102</f>
        <v>0</v>
      </c>
      <c r="CM103" s="168">
        <f ca="1">-'11. 10-Yr Cash Flow IRR'!$E$11*CM102</f>
        <v>0</v>
      </c>
      <c r="CN103" s="168">
        <f ca="1">-'11. 10-Yr Cash Flow IRR'!$E$11*CN102</f>
        <v>0</v>
      </c>
      <c r="CO103" s="168">
        <f ca="1">-'11. 10-Yr Cash Flow IRR'!$E$11*CO102</f>
        <v>0</v>
      </c>
      <c r="CP103" s="168">
        <f ca="1">-'11. 10-Yr Cash Flow IRR'!$E$11*CP102</f>
        <v>0</v>
      </c>
      <c r="CQ103" s="168">
        <f ca="1">-'11. 10-Yr Cash Flow IRR'!$E$11*CQ102</f>
        <v>0</v>
      </c>
      <c r="CR103" s="168">
        <f ca="1">-'11. 10-Yr Cash Flow IRR'!$E$11*CR102</f>
        <v>0</v>
      </c>
      <c r="CS103" s="168">
        <f ca="1">-'11. 10-Yr Cash Flow IRR'!$E$11*CS102</f>
        <v>0</v>
      </c>
      <c r="CT103" s="168">
        <f ca="1">-'11. 10-Yr Cash Flow IRR'!$E$11*CT102</f>
        <v>0</v>
      </c>
      <c r="CU103" s="168">
        <f ca="1">-'11. 10-Yr Cash Flow IRR'!$E$11*CU102</f>
        <v>0</v>
      </c>
      <c r="CV103" s="168">
        <f ca="1">-'11. 10-Yr Cash Flow IRR'!$E$11*CV102</f>
        <v>0</v>
      </c>
      <c r="CW103" s="168">
        <f ca="1">-'11. 10-Yr Cash Flow IRR'!$E$11*CW102</f>
        <v>0</v>
      </c>
      <c r="CX103" s="168">
        <f ca="1">-'11. 10-Yr Cash Flow IRR'!$E$11*CX102</f>
        <v>0</v>
      </c>
      <c r="CY103" s="168">
        <f ca="1">-'11. 10-Yr Cash Flow IRR'!$E$11*CY102</f>
        <v>0</v>
      </c>
      <c r="CZ103" s="168">
        <f ca="1">-'11. 10-Yr Cash Flow IRR'!$E$11*CZ102</f>
        <v>0</v>
      </c>
    </row>
    <row r="104" spans="2:104" s="164" customFormat="1" ht="11.25" x14ac:dyDescent="0.2">
      <c r="B104" s="368" t="s">
        <v>66</v>
      </c>
      <c r="C104" s="199">
        <f ca="1">ROUND(SUM(C98:C103),0)</f>
        <v>-94440551</v>
      </c>
      <c r="D104" s="199">
        <f ca="1">SUM(D98:D99)</f>
        <v>0</v>
      </c>
      <c r="E104" s="367">
        <f ca="1">ROUND(SUM(I104:CZ104),0)</f>
        <v>13357312</v>
      </c>
      <c r="F104" s="199"/>
      <c r="G104" s="199"/>
      <c r="H104" s="236">
        <f>SUM(H98:H99)</f>
        <v>0</v>
      </c>
      <c r="I104" s="200">
        <f ca="1">SUM(I98:I103)</f>
        <v>-9439788.4320000019</v>
      </c>
      <c r="J104" s="199">
        <f t="shared" ref="J104:BU104" ca="1" si="118">SUM(J98:J103)</f>
        <v>1.4551915228366852E-10</v>
      </c>
      <c r="K104" s="199">
        <f t="shared" ca="1" si="118"/>
        <v>-7.5669959187507629E-10</v>
      </c>
      <c r="L104" s="199">
        <f t="shared" ca="1" si="118"/>
        <v>-4.9476511776447296E-10</v>
      </c>
      <c r="M104" s="199">
        <f t="shared" ca="1" si="118"/>
        <v>-8.149072527885437E-10</v>
      </c>
      <c r="N104" s="199">
        <f t="shared" ca="1" si="118"/>
        <v>-1.1641532182693481E-10</v>
      </c>
      <c r="O104" s="199">
        <f t="shared" ca="1" si="118"/>
        <v>-6.6938810050487518E-10</v>
      </c>
      <c r="P104" s="199">
        <f t="shared" ca="1" si="118"/>
        <v>-4.6566128730773926E-10</v>
      </c>
      <c r="Q104" s="199">
        <f t="shared" ca="1" si="118"/>
        <v>5.5297277867794037E-10</v>
      </c>
      <c r="R104" s="199">
        <f t="shared" ca="1" si="118"/>
        <v>2.3283064365386963E-10</v>
      </c>
      <c r="S104" s="199">
        <f t="shared" ca="1" si="118"/>
        <v>5.8207660913467407E-11</v>
      </c>
      <c r="T104" s="199">
        <f t="shared" ca="1" si="118"/>
        <v>-2.9103830456733704E-10</v>
      </c>
      <c r="U104" s="199">
        <f t="shared" ca="1" si="118"/>
        <v>-6.9849193096160889E-10</v>
      </c>
      <c r="V104" s="199">
        <f t="shared" ca="1" si="118"/>
        <v>7.5669959187507629E-10</v>
      </c>
      <c r="W104" s="199">
        <f t="shared" ca="1" si="118"/>
        <v>-9.3132257461547852E-10</v>
      </c>
      <c r="X104" s="199">
        <f t="shared" ca="1" si="118"/>
        <v>4.6566128730773926E-10</v>
      </c>
      <c r="Y104" s="199">
        <f t="shared" ca="1" si="118"/>
        <v>-9.3132257461547852E-10</v>
      </c>
      <c r="Z104" s="199">
        <f t="shared" ca="1" si="118"/>
        <v>-1.862645149230957E-9</v>
      </c>
      <c r="AA104" s="199">
        <f t="shared" ca="1" si="118"/>
        <v>1.3969838619232178E-9</v>
      </c>
      <c r="AB104" s="199">
        <f t="shared" ca="1" si="118"/>
        <v>-5.5879354476928711E-9</v>
      </c>
      <c r="AC104" s="199">
        <f t="shared" ca="1" si="118"/>
        <v>4.6566128730773926E-10</v>
      </c>
      <c r="AD104" s="199">
        <f t="shared" ca="1" si="118"/>
        <v>-9.3132257461547852E-10</v>
      </c>
      <c r="AE104" s="199">
        <f t="shared" ca="1" si="118"/>
        <v>0</v>
      </c>
      <c r="AF104" s="199">
        <f t="shared" ca="1" si="118"/>
        <v>-3.7252902984619141E-9</v>
      </c>
      <c r="AG104" s="199">
        <f t="shared" ca="1" si="118"/>
        <v>2.7939677238464355E-9</v>
      </c>
      <c r="AH104" s="199">
        <f t="shared" ca="1" si="118"/>
        <v>-3.7252902984619141E-9</v>
      </c>
      <c r="AI104" s="199">
        <f t="shared" ca="1" si="118"/>
        <v>9.3132257461547852E-10</v>
      </c>
      <c r="AJ104" s="199">
        <f t="shared" ca="1" si="118"/>
        <v>-5.5879354476928711E-9</v>
      </c>
      <c r="AK104" s="199">
        <f t="shared" ca="1" si="118"/>
        <v>1.3969838619232178E-9</v>
      </c>
      <c r="AL104" s="199">
        <f t="shared" ca="1" si="118"/>
        <v>6.9849193096160889E-9</v>
      </c>
      <c r="AM104" s="199">
        <f t="shared" ca="1" si="118"/>
        <v>6.0535967350006104E-9</v>
      </c>
      <c r="AN104" s="199">
        <f t="shared" ca="1" si="118"/>
        <v>6.9849193096160889E-9</v>
      </c>
      <c r="AO104" s="199">
        <f t="shared" ca="1" si="118"/>
        <v>-1.862645149230957E-9</v>
      </c>
      <c r="AP104" s="199">
        <f t="shared" ca="1" si="118"/>
        <v>6.8685039877891541E-9</v>
      </c>
      <c r="AQ104" s="199">
        <f t="shared" ca="1" si="118"/>
        <v>-5.5297277867794037E-9</v>
      </c>
      <c r="AR104" s="199">
        <f t="shared" ca="1" si="118"/>
        <v>1.9790604710578918E-9</v>
      </c>
      <c r="AS104" s="199">
        <f t="shared" ca="1" si="118"/>
        <v>-2.6775524020195007E-9</v>
      </c>
      <c r="AT104" s="199">
        <f t="shared" ca="1" si="118"/>
        <v>-4.220055416226387E-9</v>
      </c>
      <c r="AU104" s="199">
        <f t="shared" ca="1" si="118"/>
        <v>-6.6065695136785507E-9</v>
      </c>
      <c r="AV104" s="199">
        <f t="shared" ca="1" si="118"/>
        <v>4.2782630771398544E-9</v>
      </c>
      <c r="AW104" s="199">
        <f t="shared" ca="1" si="118"/>
        <v>2.7939677238464355E-9</v>
      </c>
      <c r="AX104" s="199">
        <f t="shared" ca="1" si="118"/>
        <v>-3.3178366720676422E-9</v>
      </c>
      <c r="AY104" s="199">
        <f t="shared" ca="1" si="118"/>
        <v>2.1536834537982941E-9</v>
      </c>
      <c r="AZ104" s="199">
        <f t="shared" ca="1" si="118"/>
        <v>22797100.003504302</v>
      </c>
      <c r="BA104" s="199">
        <f t="shared" ca="1" si="118"/>
        <v>0</v>
      </c>
      <c r="BB104" s="199">
        <f t="shared" ca="1" si="118"/>
        <v>0</v>
      </c>
      <c r="BC104" s="199">
        <f t="shared" ca="1" si="118"/>
        <v>0</v>
      </c>
      <c r="BD104" s="199">
        <f t="shared" ca="1" si="118"/>
        <v>0</v>
      </c>
      <c r="BE104" s="199">
        <f t="shared" ca="1" si="118"/>
        <v>0</v>
      </c>
      <c r="BF104" s="199">
        <f t="shared" ca="1" si="118"/>
        <v>0</v>
      </c>
      <c r="BG104" s="199">
        <f t="shared" ca="1" si="118"/>
        <v>0</v>
      </c>
      <c r="BH104" s="199">
        <f t="shared" ca="1" si="118"/>
        <v>0</v>
      </c>
      <c r="BI104" s="199">
        <f t="shared" ca="1" si="118"/>
        <v>0</v>
      </c>
      <c r="BJ104" s="199">
        <f t="shared" ca="1" si="118"/>
        <v>0</v>
      </c>
      <c r="BK104" s="199">
        <f t="shared" ca="1" si="118"/>
        <v>0</v>
      </c>
      <c r="BL104" s="199">
        <f t="shared" ca="1" si="118"/>
        <v>0</v>
      </c>
      <c r="BM104" s="199">
        <f t="shared" ca="1" si="118"/>
        <v>0</v>
      </c>
      <c r="BN104" s="199">
        <f t="shared" ca="1" si="118"/>
        <v>0</v>
      </c>
      <c r="BO104" s="199">
        <f t="shared" ca="1" si="118"/>
        <v>0</v>
      </c>
      <c r="BP104" s="199">
        <f t="shared" ca="1" si="118"/>
        <v>0</v>
      </c>
      <c r="BQ104" s="199">
        <f t="shared" ca="1" si="118"/>
        <v>0</v>
      </c>
      <c r="BR104" s="199">
        <f t="shared" ca="1" si="118"/>
        <v>0</v>
      </c>
      <c r="BS104" s="199">
        <f t="shared" ca="1" si="118"/>
        <v>0</v>
      </c>
      <c r="BT104" s="199">
        <f t="shared" ca="1" si="118"/>
        <v>0</v>
      </c>
      <c r="BU104" s="199">
        <f t="shared" ca="1" si="118"/>
        <v>0</v>
      </c>
      <c r="BV104" s="370">
        <f t="shared" ref="BV104:CZ104" ca="1" si="119">SUM(BV98:BV103)</f>
        <v>0</v>
      </c>
      <c r="BW104" s="199">
        <f t="shared" ca="1" si="119"/>
        <v>0</v>
      </c>
      <c r="BX104" s="199">
        <f t="shared" ca="1" si="119"/>
        <v>0</v>
      </c>
      <c r="BY104" s="199">
        <f t="shared" ca="1" si="119"/>
        <v>0</v>
      </c>
      <c r="BZ104" s="199">
        <f t="shared" ca="1" si="119"/>
        <v>0</v>
      </c>
      <c r="CA104" s="199">
        <f t="shared" ca="1" si="119"/>
        <v>0</v>
      </c>
      <c r="CB104" s="199">
        <f t="shared" ca="1" si="119"/>
        <v>0</v>
      </c>
      <c r="CC104" s="199">
        <f t="shared" ca="1" si="119"/>
        <v>0</v>
      </c>
      <c r="CD104" s="199">
        <f t="shared" ca="1" si="119"/>
        <v>0</v>
      </c>
      <c r="CE104" s="199">
        <f t="shared" ca="1" si="119"/>
        <v>0</v>
      </c>
      <c r="CF104" s="199">
        <f t="shared" ca="1" si="119"/>
        <v>0</v>
      </c>
      <c r="CG104" s="199">
        <f t="shared" ca="1" si="119"/>
        <v>0</v>
      </c>
      <c r="CH104" s="199">
        <f t="shared" ca="1" si="119"/>
        <v>0</v>
      </c>
      <c r="CI104" s="199">
        <f t="shared" ca="1" si="119"/>
        <v>0</v>
      </c>
      <c r="CJ104" s="199">
        <f t="shared" ca="1" si="119"/>
        <v>0</v>
      </c>
      <c r="CK104" s="199">
        <f t="shared" ca="1" si="119"/>
        <v>0</v>
      </c>
      <c r="CL104" s="199">
        <f t="shared" ca="1" si="119"/>
        <v>0</v>
      </c>
      <c r="CM104" s="199">
        <f t="shared" ca="1" si="119"/>
        <v>0</v>
      </c>
      <c r="CN104" s="199">
        <f t="shared" ca="1" si="119"/>
        <v>0</v>
      </c>
      <c r="CO104" s="199">
        <f t="shared" ca="1" si="119"/>
        <v>0</v>
      </c>
      <c r="CP104" s="199">
        <f t="shared" ca="1" si="119"/>
        <v>0</v>
      </c>
      <c r="CQ104" s="199">
        <f t="shared" ca="1" si="119"/>
        <v>0</v>
      </c>
      <c r="CR104" s="199">
        <f t="shared" ca="1" si="119"/>
        <v>0</v>
      </c>
      <c r="CS104" s="199">
        <f t="shared" ca="1" si="119"/>
        <v>0</v>
      </c>
      <c r="CT104" s="199">
        <f t="shared" ca="1" si="119"/>
        <v>0</v>
      </c>
      <c r="CU104" s="199">
        <f t="shared" ca="1" si="119"/>
        <v>0</v>
      </c>
      <c r="CV104" s="199">
        <f t="shared" ca="1" si="119"/>
        <v>0</v>
      </c>
      <c r="CW104" s="199">
        <f t="shared" ca="1" si="119"/>
        <v>0</v>
      </c>
      <c r="CX104" s="199">
        <f t="shared" ca="1" si="119"/>
        <v>0</v>
      </c>
      <c r="CY104" s="199">
        <f t="shared" ca="1" si="119"/>
        <v>0</v>
      </c>
      <c r="CZ104" s="199">
        <f t="shared" ca="1" si="119"/>
        <v>0</v>
      </c>
    </row>
    <row r="105" spans="2:104" x14ac:dyDescent="0.2">
      <c r="B105" s="123"/>
      <c r="F105" s="31" t="s">
        <v>187</v>
      </c>
      <c r="G105" s="369">
        <f ca="1">+(1+IRR(I104:CZ104,0.02))^12-1</f>
        <v>0.27897087281228417</v>
      </c>
      <c r="H105" s="123"/>
    </row>
    <row r="106" spans="2:104" s="164" customFormat="1" ht="11.25" x14ac:dyDescent="0.2">
      <c r="B106" s="163" t="s">
        <v>67</v>
      </c>
      <c r="D106" s="233" t="s">
        <v>198</v>
      </c>
      <c r="G106" s="165"/>
      <c r="H106" s="166"/>
      <c r="AT106" s="170"/>
    </row>
    <row r="107" spans="2:104" s="164" customFormat="1" ht="11.25" x14ac:dyDescent="0.2">
      <c r="B107" s="167" t="s">
        <v>69</v>
      </c>
      <c r="C107" s="168">
        <f ca="1">-MAX(I107:CZ107)</f>
        <v>-85000761</v>
      </c>
      <c r="D107" s="273">
        <f ca="1">+C107/C104</f>
        <v>0.90004516174413252</v>
      </c>
      <c r="G107" s="165"/>
      <c r="H107" s="166"/>
      <c r="I107" s="169">
        <f ca="1">I99</f>
        <v>1018875.4231436383</v>
      </c>
      <c r="J107" s="170">
        <f ca="1">ROUND(J99+I107+J100,0)</f>
        <v>1206029</v>
      </c>
      <c r="K107" s="170">
        <f t="shared" ref="K107:BV107" ca="1" si="120">ROUND(K99+J107+K100,0)</f>
        <v>1394098</v>
      </c>
      <c r="L107" s="170">
        <f t="shared" ca="1" si="120"/>
        <v>1583086</v>
      </c>
      <c r="M107" s="170">
        <f t="shared" ca="1" si="120"/>
        <v>1772998</v>
      </c>
      <c r="N107" s="170">
        <f t="shared" ca="1" si="120"/>
        <v>1963839</v>
      </c>
      <c r="O107" s="170">
        <f t="shared" ca="1" si="120"/>
        <v>2155613</v>
      </c>
      <c r="P107" s="170">
        <f t="shared" ca="1" si="120"/>
        <v>2348324</v>
      </c>
      <c r="Q107" s="170">
        <f t="shared" ca="1" si="120"/>
        <v>2541977</v>
      </c>
      <c r="R107" s="170">
        <f t="shared" ca="1" si="120"/>
        <v>2736577</v>
      </c>
      <c r="S107" s="170">
        <f t="shared" ca="1" si="120"/>
        <v>2932129</v>
      </c>
      <c r="T107" s="170">
        <f t="shared" ca="1" si="120"/>
        <v>3128637</v>
      </c>
      <c r="U107" s="170">
        <f t="shared" ca="1" si="120"/>
        <v>3326105</v>
      </c>
      <c r="V107" s="170">
        <f t="shared" ca="1" si="120"/>
        <v>3524539</v>
      </c>
      <c r="W107" s="170">
        <f t="shared" ca="1" si="120"/>
        <v>6292834</v>
      </c>
      <c r="X107" s="170">
        <f t="shared" ca="1" si="120"/>
        <v>9324164</v>
      </c>
      <c r="Y107" s="170">
        <f t="shared" ca="1" si="120"/>
        <v>12610829</v>
      </c>
      <c r="Z107" s="170">
        <f t="shared" ca="1" si="120"/>
        <v>16138786</v>
      </c>
      <c r="AA107" s="170">
        <f t="shared" ca="1" si="120"/>
        <v>19887641</v>
      </c>
      <c r="AB107" s="170">
        <f t="shared" ca="1" si="120"/>
        <v>23830920</v>
      </c>
      <c r="AC107" s="170">
        <f t="shared" ca="1" si="120"/>
        <v>27936637</v>
      </c>
      <c r="AD107" s="170">
        <f t="shared" ca="1" si="120"/>
        <v>32168133</v>
      </c>
      <c r="AE107" s="170">
        <f t="shared" ca="1" si="120"/>
        <v>36485158</v>
      </c>
      <c r="AF107" s="170">
        <f t="shared" ca="1" si="120"/>
        <v>40845143</v>
      </c>
      <c r="AG107" s="170">
        <f t="shared" ca="1" si="120"/>
        <v>45204589</v>
      </c>
      <c r="AH107" s="170">
        <f t="shared" ca="1" si="120"/>
        <v>49520506</v>
      </c>
      <c r="AI107" s="170">
        <f t="shared" ca="1" si="120"/>
        <v>53751816</v>
      </c>
      <c r="AJ107" s="170">
        <f t="shared" ca="1" si="120"/>
        <v>57860654</v>
      </c>
      <c r="AK107" s="170">
        <f t="shared" ca="1" si="120"/>
        <v>61813483</v>
      </c>
      <c r="AL107" s="170">
        <f t="shared" ca="1" si="120"/>
        <v>65581987</v>
      </c>
      <c r="AM107" s="170">
        <f t="shared" ca="1" si="120"/>
        <v>69240916</v>
      </c>
      <c r="AN107" s="170">
        <f t="shared" ca="1" si="120"/>
        <v>72677218</v>
      </c>
      <c r="AO107" s="170">
        <f t="shared" ca="1" si="120"/>
        <v>82870845</v>
      </c>
      <c r="AP107" s="170">
        <f t="shared" ca="1" si="120"/>
        <v>83239778</v>
      </c>
      <c r="AQ107" s="170">
        <f t="shared" ca="1" si="120"/>
        <v>83577154</v>
      </c>
      <c r="AR107" s="170">
        <f t="shared" ca="1" si="120"/>
        <v>83877967</v>
      </c>
      <c r="AS107" s="170">
        <f t="shared" ca="1" si="120"/>
        <v>84146224</v>
      </c>
      <c r="AT107" s="170">
        <f t="shared" ca="1" si="120"/>
        <v>84381765</v>
      </c>
      <c r="AU107" s="170">
        <f t="shared" ca="1" si="120"/>
        <v>84584431</v>
      </c>
      <c r="AV107" s="170">
        <f t="shared" ca="1" si="120"/>
        <v>84754060</v>
      </c>
      <c r="AW107" s="170">
        <f t="shared" ca="1" si="120"/>
        <v>84890491</v>
      </c>
      <c r="AX107" s="170">
        <f t="shared" ca="1" si="120"/>
        <v>84993562</v>
      </c>
      <c r="AY107" s="170">
        <f t="shared" ca="1" si="120"/>
        <v>85000761</v>
      </c>
      <c r="AZ107" s="170">
        <f t="shared" ca="1" si="120"/>
        <v>0</v>
      </c>
      <c r="BA107" s="170">
        <f t="shared" ca="1" si="120"/>
        <v>0</v>
      </c>
      <c r="BB107" s="170">
        <f t="shared" ca="1" si="120"/>
        <v>0</v>
      </c>
      <c r="BC107" s="170">
        <f t="shared" ca="1" si="120"/>
        <v>0</v>
      </c>
      <c r="BD107" s="170">
        <f t="shared" ca="1" si="120"/>
        <v>0</v>
      </c>
      <c r="BE107" s="170">
        <f t="shared" ca="1" si="120"/>
        <v>0</v>
      </c>
      <c r="BF107" s="170">
        <f t="shared" ca="1" si="120"/>
        <v>0</v>
      </c>
      <c r="BG107" s="170">
        <f t="shared" ca="1" si="120"/>
        <v>0</v>
      </c>
      <c r="BH107" s="170">
        <f t="shared" ca="1" si="120"/>
        <v>0</v>
      </c>
      <c r="BI107" s="170">
        <f t="shared" ca="1" si="120"/>
        <v>0</v>
      </c>
      <c r="BJ107" s="170">
        <f t="shared" ca="1" si="120"/>
        <v>0</v>
      </c>
      <c r="BK107" s="170">
        <f t="shared" ca="1" si="120"/>
        <v>0</v>
      </c>
      <c r="BL107" s="170">
        <f t="shared" ca="1" si="120"/>
        <v>0</v>
      </c>
      <c r="BM107" s="170">
        <f t="shared" ca="1" si="120"/>
        <v>0</v>
      </c>
      <c r="BN107" s="170">
        <f t="shared" ca="1" si="120"/>
        <v>0</v>
      </c>
      <c r="BO107" s="170">
        <f t="shared" ca="1" si="120"/>
        <v>0</v>
      </c>
      <c r="BP107" s="170">
        <f t="shared" ca="1" si="120"/>
        <v>0</v>
      </c>
      <c r="BQ107" s="170">
        <f t="shared" ca="1" si="120"/>
        <v>0</v>
      </c>
      <c r="BR107" s="170">
        <f t="shared" ca="1" si="120"/>
        <v>0</v>
      </c>
      <c r="BS107" s="170">
        <f t="shared" ca="1" si="120"/>
        <v>0</v>
      </c>
      <c r="BT107" s="170">
        <f t="shared" ca="1" si="120"/>
        <v>0</v>
      </c>
      <c r="BU107" s="170">
        <f t="shared" ca="1" si="120"/>
        <v>0</v>
      </c>
      <c r="BV107" s="170">
        <f t="shared" ca="1" si="120"/>
        <v>0</v>
      </c>
      <c r="BW107" s="170">
        <f t="shared" ref="BW107:CZ107" ca="1" si="121">ROUND(BW99+BV107+BW100,0)</f>
        <v>0</v>
      </c>
      <c r="BX107" s="170">
        <f t="shared" ca="1" si="121"/>
        <v>0</v>
      </c>
      <c r="BY107" s="170">
        <f t="shared" ca="1" si="121"/>
        <v>0</v>
      </c>
      <c r="BZ107" s="170">
        <f t="shared" ca="1" si="121"/>
        <v>0</v>
      </c>
      <c r="CA107" s="170">
        <f t="shared" ca="1" si="121"/>
        <v>0</v>
      </c>
      <c r="CB107" s="170">
        <f t="shared" ca="1" si="121"/>
        <v>0</v>
      </c>
      <c r="CC107" s="170">
        <f t="shared" ca="1" si="121"/>
        <v>0</v>
      </c>
      <c r="CD107" s="170">
        <f t="shared" ca="1" si="121"/>
        <v>0</v>
      </c>
      <c r="CE107" s="170">
        <f t="shared" ca="1" si="121"/>
        <v>0</v>
      </c>
      <c r="CF107" s="170">
        <f t="shared" ca="1" si="121"/>
        <v>0</v>
      </c>
      <c r="CG107" s="170">
        <f t="shared" ca="1" si="121"/>
        <v>0</v>
      </c>
      <c r="CH107" s="170">
        <f t="shared" ca="1" si="121"/>
        <v>0</v>
      </c>
      <c r="CI107" s="170">
        <f t="shared" ca="1" si="121"/>
        <v>0</v>
      </c>
      <c r="CJ107" s="170">
        <f t="shared" ca="1" si="121"/>
        <v>0</v>
      </c>
      <c r="CK107" s="170">
        <f t="shared" ca="1" si="121"/>
        <v>0</v>
      </c>
      <c r="CL107" s="170">
        <f t="shared" ca="1" si="121"/>
        <v>0</v>
      </c>
      <c r="CM107" s="170">
        <f t="shared" ca="1" si="121"/>
        <v>0</v>
      </c>
      <c r="CN107" s="170">
        <f t="shared" ca="1" si="121"/>
        <v>0</v>
      </c>
      <c r="CO107" s="170">
        <f t="shared" ca="1" si="121"/>
        <v>0</v>
      </c>
      <c r="CP107" s="170">
        <f t="shared" ca="1" si="121"/>
        <v>0</v>
      </c>
      <c r="CQ107" s="170">
        <f t="shared" ca="1" si="121"/>
        <v>0</v>
      </c>
      <c r="CR107" s="170">
        <f t="shared" ca="1" si="121"/>
        <v>0</v>
      </c>
      <c r="CS107" s="170">
        <f t="shared" ca="1" si="121"/>
        <v>0</v>
      </c>
      <c r="CT107" s="170">
        <f t="shared" ca="1" si="121"/>
        <v>0</v>
      </c>
      <c r="CU107" s="170">
        <f t="shared" ca="1" si="121"/>
        <v>0</v>
      </c>
      <c r="CV107" s="170">
        <f t="shared" ca="1" si="121"/>
        <v>0</v>
      </c>
      <c r="CW107" s="170">
        <f t="shared" ca="1" si="121"/>
        <v>0</v>
      </c>
      <c r="CX107" s="170">
        <f t="shared" ca="1" si="121"/>
        <v>0</v>
      </c>
      <c r="CY107" s="170">
        <f t="shared" ca="1" si="121"/>
        <v>0</v>
      </c>
      <c r="CZ107" s="170">
        <f t="shared" ca="1" si="121"/>
        <v>0</v>
      </c>
    </row>
    <row r="108" spans="2:104" s="164" customFormat="1" ht="11.25" x14ac:dyDescent="0.2">
      <c r="B108" s="205" t="s">
        <v>68</v>
      </c>
      <c r="C108" s="206">
        <f>E114</f>
        <v>-9439788.4320000019</v>
      </c>
      <c r="D108" s="282">
        <f ca="1">1-D107</f>
        <v>9.9954838255867484E-2</v>
      </c>
      <c r="G108" s="165"/>
      <c r="H108" s="166"/>
      <c r="I108" s="168">
        <f ca="1">-I104</f>
        <v>9439788.4320000019</v>
      </c>
      <c r="J108" s="168">
        <f ca="1">(I110="PUD")*(I108-J104)</f>
        <v>9439788.4320000019</v>
      </c>
      <c r="K108" s="168">
        <f t="shared" ref="K108:BV108" ca="1" si="122">(J110="PUD")*(J108-K104)</f>
        <v>9439788.4320000019</v>
      </c>
      <c r="L108" s="168">
        <f t="shared" ca="1" si="122"/>
        <v>9439788.4320000019</v>
      </c>
      <c r="M108" s="168">
        <f t="shared" ca="1" si="122"/>
        <v>9439788.4320000019</v>
      </c>
      <c r="N108" s="168">
        <f t="shared" ca="1" si="122"/>
        <v>9439788.4320000019</v>
      </c>
      <c r="O108" s="168">
        <f t="shared" ca="1" si="122"/>
        <v>9439788.4320000019</v>
      </c>
      <c r="P108" s="168">
        <f t="shared" ca="1" si="122"/>
        <v>9439788.4320000019</v>
      </c>
      <c r="Q108" s="168">
        <f t="shared" ca="1" si="122"/>
        <v>9439788.4320000019</v>
      </c>
      <c r="R108" s="168">
        <f t="shared" ca="1" si="122"/>
        <v>9439788.4320000019</v>
      </c>
      <c r="S108" s="168">
        <f t="shared" ca="1" si="122"/>
        <v>9439788.4320000019</v>
      </c>
      <c r="T108" s="168">
        <f t="shared" ca="1" si="122"/>
        <v>9439788.4320000019</v>
      </c>
      <c r="U108" s="168">
        <f t="shared" ca="1" si="122"/>
        <v>9439788.4320000019</v>
      </c>
      <c r="V108" s="168">
        <f t="shared" ca="1" si="122"/>
        <v>9439788.4320000019</v>
      </c>
      <c r="W108" s="168">
        <f t="shared" ca="1" si="122"/>
        <v>9439788.4320000038</v>
      </c>
      <c r="X108" s="168">
        <f t="shared" ca="1" si="122"/>
        <v>9439788.4320000038</v>
      </c>
      <c r="Y108" s="168">
        <f t="shared" ca="1" si="122"/>
        <v>9439788.4320000038</v>
      </c>
      <c r="Z108" s="168">
        <f t="shared" ca="1" si="122"/>
        <v>9439788.4320000056</v>
      </c>
      <c r="AA108" s="168">
        <f t="shared" ca="1" si="122"/>
        <v>9439788.4320000038</v>
      </c>
      <c r="AB108" s="168">
        <f t="shared" ca="1" si="122"/>
        <v>9439788.4320000093</v>
      </c>
      <c r="AC108" s="168">
        <f t="shared" ca="1" si="122"/>
        <v>9439788.4320000093</v>
      </c>
      <c r="AD108" s="168">
        <f t="shared" ca="1" si="122"/>
        <v>9439788.4320000112</v>
      </c>
      <c r="AE108" s="168">
        <f t="shared" ca="1" si="122"/>
        <v>9439788.4320000112</v>
      </c>
      <c r="AF108" s="168">
        <f t="shared" ca="1" si="122"/>
        <v>9439788.4320000149</v>
      </c>
      <c r="AG108" s="168">
        <f t="shared" ca="1" si="122"/>
        <v>9439788.4320000112</v>
      </c>
      <c r="AH108" s="168">
        <f t="shared" ca="1" si="122"/>
        <v>9439788.4320000149</v>
      </c>
      <c r="AI108" s="168">
        <f t="shared" ca="1" si="122"/>
        <v>9439788.4320000149</v>
      </c>
      <c r="AJ108" s="168">
        <f t="shared" ca="1" si="122"/>
        <v>9439788.4320000205</v>
      </c>
      <c r="AK108" s="168">
        <f t="shared" ca="1" si="122"/>
        <v>9439788.4320000187</v>
      </c>
      <c r="AL108" s="168">
        <f t="shared" ca="1" si="122"/>
        <v>9439788.4320000112</v>
      </c>
      <c r="AM108" s="168">
        <f t="shared" ca="1" si="122"/>
        <v>9439788.4320000056</v>
      </c>
      <c r="AN108" s="168">
        <f t="shared" ca="1" si="122"/>
        <v>9439788.4319999982</v>
      </c>
      <c r="AO108" s="168">
        <f t="shared" ca="1" si="122"/>
        <v>9439788.432</v>
      </c>
      <c r="AP108" s="168">
        <f t="shared" ca="1" si="122"/>
        <v>9439788.4319999926</v>
      </c>
      <c r="AQ108" s="168">
        <f t="shared" ca="1" si="122"/>
        <v>9439788.4319999982</v>
      </c>
      <c r="AR108" s="168">
        <f t="shared" ca="1" si="122"/>
        <v>9439788.4319999963</v>
      </c>
      <c r="AS108" s="168">
        <f t="shared" ca="1" si="122"/>
        <v>9439788.4319999982</v>
      </c>
      <c r="AT108" s="168">
        <f t="shared" ca="1" si="122"/>
        <v>9439788.4320000019</v>
      </c>
      <c r="AU108" s="168">
        <f t="shared" ca="1" si="122"/>
        <v>9439788.4320000093</v>
      </c>
      <c r="AV108" s="168">
        <f t="shared" ca="1" si="122"/>
        <v>9439788.4320000056</v>
      </c>
      <c r="AW108" s="168">
        <f t="shared" ca="1" si="122"/>
        <v>9439788.4320000038</v>
      </c>
      <c r="AX108" s="168">
        <f t="shared" ca="1" si="122"/>
        <v>9439788.4320000075</v>
      </c>
      <c r="AY108" s="168">
        <f t="shared" ca="1" si="122"/>
        <v>9439788.4320000056</v>
      </c>
      <c r="AZ108" s="168">
        <f t="shared" ca="1" si="122"/>
        <v>-13357311.571504297</v>
      </c>
      <c r="BA108" s="168">
        <f t="shared" ca="1" si="122"/>
        <v>0</v>
      </c>
      <c r="BB108" s="168">
        <f t="shared" ca="1" si="122"/>
        <v>0</v>
      </c>
      <c r="BC108" s="168">
        <f t="shared" ca="1" si="122"/>
        <v>0</v>
      </c>
      <c r="BD108" s="168">
        <f t="shared" ca="1" si="122"/>
        <v>0</v>
      </c>
      <c r="BE108" s="168">
        <f t="shared" ca="1" si="122"/>
        <v>0</v>
      </c>
      <c r="BF108" s="168">
        <f t="shared" ca="1" si="122"/>
        <v>0</v>
      </c>
      <c r="BG108" s="168">
        <f t="shared" ca="1" si="122"/>
        <v>0</v>
      </c>
      <c r="BH108" s="168">
        <f t="shared" ca="1" si="122"/>
        <v>0</v>
      </c>
      <c r="BI108" s="168">
        <f t="shared" ca="1" si="122"/>
        <v>0</v>
      </c>
      <c r="BJ108" s="168">
        <f t="shared" ca="1" si="122"/>
        <v>0</v>
      </c>
      <c r="BK108" s="168">
        <f t="shared" ca="1" si="122"/>
        <v>0</v>
      </c>
      <c r="BL108" s="168">
        <f t="shared" ca="1" si="122"/>
        <v>0</v>
      </c>
      <c r="BM108" s="168">
        <f t="shared" ca="1" si="122"/>
        <v>0</v>
      </c>
      <c r="BN108" s="168">
        <f t="shared" ca="1" si="122"/>
        <v>0</v>
      </c>
      <c r="BO108" s="168">
        <f t="shared" ca="1" si="122"/>
        <v>0</v>
      </c>
      <c r="BP108" s="168">
        <f t="shared" ca="1" si="122"/>
        <v>0</v>
      </c>
      <c r="BQ108" s="168">
        <f t="shared" ca="1" si="122"/>
        <v>0</v>
      </c>
      <c r="BR108" s="168">
        <f t="shared" ca="1" si="122"/>
        <v>0</v>
      </c>
      <c r="BS108" s="168">
        <f t="shared" ca="1" si="122"/>
        <v>0</v>
      </c>
      <c r="BT108" s="168">
        <f t="shared" ca="1" si="122"/>
        <v>0</v>
      </c>
      <c r="BU108" s="168">
        <f t="shared" ca="1" si="122"/>
        <v>0</v>
      </c>
      <c r="BV108" s="168">
        <f t="shared" ca="1" si="122"/>
        <v>0</v>
      </c>
      <c r="BW108" s="168">
        <f t="shared" ref="BW108:CZ108" ca="1" si="123">(BV110="PUD")*(BV108-BW104)</f>
        <v>0</v>
      </c>
      <c r="BX108" s="168">
        <f t="shared" ca="1" si="123"/>
        <v>0</v>
      </c>
      <c r="BY108" s="168">
        <f t="shared" ca="1" si="123"/>
        <v>0</v>
      </c>
      <c r="BZ108" s="168">
        <f t="shared" ca="1" si="123"/>
        <v>0</v>
      </c>
      <c r="CA108" s="168">
        <f t="shared" ca="1" si="123"/>
        <v>0</v>
      </c>
      <c r="CB108" s="168">
        <f t="shared" ca="1" si="123"/>
        <v>0</v>
      </c>
      <c r="CC108" s="168">
        <f t="shared" ca="1" si="123"/>
        <v>0</v>
      </c>
      <c r="CD108" s="168">
        <f t="shared" ca="1" si="123"/>
        <v>0</v>
      </c>
      <c r="CE108" s="168">
        <f t="shared" ca="1" si="123"/>
        <v>0</v>
      </c>
      <c r="CF108" s="168">
        <f t="shared" ca="1" si="123"/>
        <v>0</v>
      </c>
      <c r="CG108" s="168">
        <f t="shared" ca="1" si="123"/>
        <v>0</v>
      </c>
      <c r="CH108" s="168">
        <f t="shared" ca="1" si="123"/>
        <v>0</v>
      </c>
      <c r="CI108" s="168">
        <f t="shared" ca="1" si="123"/>
        <v>0</v>
      </c>
      <c r="CJ108" s="168">
        <f t="shared" ca="1" si="123"/>
        <v>0</v>
      </c>
      <c r="CK108" s="168">
        <f t="shared" ca="1" si="123"/>
        <v>0</v>
      </c>
      <c r="CL108" s="168">
        <f t="shared" ca="1" si="123"/>
        <v>0</v>
      </c>
      <c r="CM108" s="168">
        <f t="shared" ca="1" si="123"/>
        <v>0</v>
      </c>
      <c r="CN108" s="168">
        <f t="shared" ca="1" si="123"/>
        <v>0</v>
      </c>
      <c r="CO108" s="168">
        <f t="shared" ca="1" si="123"/>
        <v>0</v>
      </c>
      <c r="CP108" s="168">
        <f t="shared" ca="1" si="123"/>
        <v>0</v>
      </c>
      <c r="CQ108" s="168">
        <f t="shared" ca="1" si="123"/>
        <v>0</v>
      </c>
      <c r="CR108" s="168">
        <f t="shared" ca="1" si="123"/>
        <v>0</v>
      </c>
      <c r="CS108" s="168">
        <f t="shared" ca="1" si="123"/>
        <v>0</v>
      </c>
      <c r="CT108" s="168">
        <f t="shared" ca="1" si="123"/>
        <v>0</v>
      </c>
      <c r="CU108" s="168">
        <f t="shared" ca="1" si="123"/>
        <v>0</v>
      </c>
      <c r="CV108" s="168">
        <f t="shared" ca="1" si="123"/>
        <v>0</v>
      </c>
      <c r="CW108" s="168">
        <f t="shared" ca="1" si="123"/>
        <v>0</v>
      </c>
      <c r="CX108" s="168">
        <f t="shared" ca="1" si="123"/>
        <v>0</v>
      </c>
      <c r="CY108" s="168">
        <f t="shared" ca="1" si="123"/>
        <v>0</v>
      </c>
      <c r="CZ108" s="168">
        <f t="shared" ca="1" si="123"/>
        <v>0</v>
      </c>
    </row>
    <row r="109" spans="2:104" s="164" customFormat="1" ht="11.25" x14ac:dyDescent="0.2">
      <c r="B109" s="166"/>
      <c r="C109" s="168"/>
      <c r="D109" s="171"/>
      <c r="E109" s="170"/>
      <c r="F109" s="170"/>
      <c r="G109" s="165"/>
      <c r="H109" s="166"/>
    </row>
    <row r="110" spans="2:104" x14ac:dyDescent="0.2">
      <c r="B110" s="123" t="s">
        <v>162</v>
      </c>
      <c r="H110" s="123"/>
      <c r="I110" s="146" t="str">
        <f ca="1">IF(I7&lt;='8. Schedule'!$E$21,"PUD","SLD")</f>
        <v>PUD</v>
      </c>
      <c r="J110" s="45" t="str">
        <f ca="1">IF(J7&lt;='8. Schedule'!$E$21,"PUD","SLD")</f>
        <v>PUD</v>
      </c>
      <c r="K110" s="45" t="str">
        <f ca="1">IF(K7&lt;='8. Schedule'!$E$21,"PUD","SLD")</f>
        <v>PUD</v>
      </c>
      <c r="L110" s="45" t="str">
        <f ca="1">IF(L7&lt;='8. Schedule'!$E$21,"PUD","SLD")</f>
        <v>PUD</v>
      </c>
      <c r="M110" s="45" t="str">
        <f ca="1">IF(M7&lt;='8. Schedule'!$E$21,"PUD","SLD")</f>
        <v>PUD</v>
      </c>
      <c r="N110" s="45" t="str">
        <f ca="1">IF(N7&lt;='8. Schedule'!$E$21,"PUD","SLD")</f>
        <v>PUD</v>
      </c>
      <c r="O110" s="45" t="str">
        <f ca="1">IF(O7&lt;='8. Schedule'!$E$21,"PUD","SLD")</f>
        <v>PUD</v>
      </c>
      <c r="P110" s="45" t="str">
        <f ca="1">IF(P7&lt;='8. Schedule'!$E$21,"PUD","SLD")</f>
        <v>PUD</v>
      </c>
      <c r="Q110" s="45" t="str">
        <f ca="1">IF(Q7&lt;='8. Schedule'!$E$21,"PUD","SLD")</f>
        <v>PUD</v>
      </c>
      <c r="R110" s="45" t="str">
        <f ca="1">IF(R7&lt;='8. Schedule'!$E$21,"PUD","SLD")</f>
        <v>PUD</v>
      </c>
      <c r="S110" s="45" t="str">
        <f ca="1">IF(S7&lt;='8. Schedule'!$E$21,"PUD","SLD")</f>
        <v>PUD</v>
      </c>
      <c r="T110" s="45" t="str">
        <f ca="1">IF(T7&lt;='8. Schedule'!$E$21,"PUD","SLD")</f>
        <v>PUD</v>
      </c>
      <c r="U110" s="45" t="str">
        <f ca="1">IF(U7&lt;='8. Schedule'!$E$21,"PUD","SLD")</f>
        <v>PUD</v>
      </c>
      <c r="V110" s="45" t="str">
        <f ca="1">IF(V7&lt;='8. Schedule'!$E$21,"PUD","SLD")</f>
        <v>PUD</v>
      </c>
      <c r="W110" s="45" t="str">
        <f ca="1">IF(W7&lt;='8. Schedule'!$E$21,"PUD","SLD")</f>
        <v>PUD</v>
      </c>
      <c r="X110" s="45" t="str">
        <f ca="1">IF(X7&lt;='8. Schedule'!$E$21,"PUD","SLD")</f>
        <v>PUD</v>
      </c>
      <c r="Y110" s="45" t="str">
        <f ca="1">IF(Y7&lt;='8. Schedule'!$E$21,"PUD","SLD")</f>
        <v>PUD</v>
      </c>
      <c r="Z110" s="45" t="str">
        <f ca="1">IF(Z7&lt;='8. Schedule'!$E$21,"PUD","SLD")</f>
        <v>PUD</v>
      </c>
      <c r="AA110" s="45" t="str">
        <f ca="1">IF(AA7&lt;='8. Schedule'!$E$21,"PUD","SLD")</f>
        <v>PUD</v>
      </c>
      <c r="AB110" s="45" t="str">
        <f ca="1">IF(AB7&lt;='8. Schedule'!$E$21,"PUD","SLD")</f>
        <v>PUD</v>
      </c>
      <c r="AC110" s="45" t="str">
        <f ca="1">IF(AC7&lt;='8. Schedule'!$E$21,"PUD","SLD")</f>
        <v>PUD</v>
      </c>
      <c r="AD110" s="45" t="str">
        <f ca="1">IF(AD7&lt;='8. Schedule'!$E$21,"PUD","SLD")</f>
        <v>PUD</v>
      </c>
      <c r="AE110" s="45" t="str">
        <f ca="1">IF(AE7&lt;='8. Schedule'!$E$21,"PUD","SLD")</f>
        <v>PUD</v>
      </c>
      <c r="AF110" s="45" t="str">
        <f ca="1">IF(AF7&lt;='8. Schedule'!$E$21,"PUD","SLD")</f>
        <v>PUD</v>
      </c>
      <c r="AG110" s="45" t="str">
        <f ca="1">IF(AG7&lt;='8. Schedule'!$E$21,"PUD","SLD")</f>
        <v>PUD</v>
      </c>
      <c r="AH110" s="45" t="str">
        <f ca="1">IF(AH7&lt;='8. Schedule'!$E$21,"PUD","SLD")</f>
        <v>PUD</v>
      </c>
      <c r="AI110" s="45" t="str">
        <f ca="1">IF(AI7&lt;='8. Schedule'!$E$21,"PUD","SLD")</f>
        <v>PUD</v>
      </c>
      <c r="AJ110" s="45" t="str">
        <f ca="1">IF(AJ7&lt;='8. Schedule'!$E$21,"PUD","SLD")</f>
        <v>PUD</v>
      </c>
      <c r="AK110" s="45" t="str">
        <f ca="1">IF(AK7&lt;='8. Schedule'!$E$21,"PUD","SLD")</f>
        <v>PUD</v>
      </c>
      <c r="AL110" s="45" t="str">
        <f ca="1">IF(AL7&lt;='8. Schedule'!$E$21,"PUD","SLD")</f>
        <v>PUD</v>
      </c>
      <c r="AM110" s="45" t="str">
        <f ca="1">IF(AM7&lt;='8. Schedule'!$E$21,"PUD","SLD")</f>
        <v>PUD</v>
      </c>
      <c r="AN110" s="45" t="str">
        <f ca="1">IF(AN7&lt;='8. Schedule'!$E$21,"PUD","SLD")</f>
        <v>PUD</v>
      </c>
      <c r="AO110" s="45" t="str">
        <f ca="1">IF(AO7&lt;='8. Schedule'!$E$21,"PUD","SLD")</f>
        <v>PUD</v>
      </c>
      <c r="AP110" s="45" t="str">
        <f ca="1">IF(AP7&lt;='8. Schedule'!$E$21,"PUD","SLD")</f>
        <v>PUD</v>
      </c>
      <c r="AQ110" s="45" t="str">
        <f ca="1">IF(AQ7&lt;='8. Schedule'!$E$21,"PUD","SLD")</f>
        <v>PUD</v>
      </c>
      <c r="AR110" s="45" t="str">
        <f ca="1">IF(AR7&lt;='8. Schedule'!$E$21,"PUD","SLD")</f>
        <v>PUD</v>
      </c>
      <c r="AS110" s="45" t="str">
        <f ca="1">IF(AS7&lt;='8. Schedule'!$E$21,"PUD","SLD")</f>
        <v>PUD</v>
      </c>
      <c r="AT110" s="45" t="str">
        <f ca="1">IF(AT7&lt;='8. Schedule'!$E$21,"PUD","SLD")</f>
        <v>PUD</v>
      </c>
      <c r="AU110" s="45" t="str">
        <f ca="1">IF(AU7&lt;='8. Schedule'!$E$21,"PUD","SLD")</f>
        <v>PUD</v>
      </c>
      <c r="AV110" s="45" t="str">
        <f ca="1">IF(AV7&lt;='8. Schedule'!$E$21,"PUD","SLD")</f>
        <v>PUD</v>
      </c>
      <c r="AW110" s="45" t="str">
        <f ca="1">IF(AW7&lt;='8. Schedule'!$E$21,"PUD","SLD")</f>
        <v>PUD</v>
      </c>
      <c r="AX110" s="45" t="str">
        <f ca="1">IF(AX7&lt;='8. Schedule'!$E$21,"PUD","SLD")</f>
        <v>PUD</v>
      </c>
      <c r="AY110" s="45" t="str">
        <f ca="1">IF(AY7&lt;='8. Schedule'!$E$21,"PUD","SLD")</f>
        <v>PUD</v>
      </c>
      <c r="AZ110" s="45" t="str">
        <f ca="1">IF(AZ7&lt;='8. Schedule'!$E$21,"PUD","SLD")</f>
        <v>SLD</v>
      </c>
      <c r="BA110" s="45" t="str">
        <f ca="1">IF(BA7&lt;='8. Schedule'!$E$21,"PUD","SLD")</f>
        <v>SLD</v>
      </c>
      <c r="BB110" s="45" t="str">
        <f ca="1">IF(BB7&lt;='8. Schedule'!$E$21,"PUD","SLD")</f>
        <v>SLD</v>
      </c>
      <c r="BC110" s="45" t="str">
        <f ca="1">IF(BC7&lt;='8. Schedule'!$E$21,"PUD","SLD")</f>
        <v>SLD</v>
      </c>
      <c r="BD110" s="45" t="str">
        <f ca="1">IF(BD7&lt;='8. Schedule'!$E$21,"PUD","SLD")</f>
        <v>SLD</v>
      </c>
      <c r="BE110" s="45" t="str">
        <f ca="1">IF(BE7&lt;='8. Schedule'!$E$21,"PUD","SLD")</f>
        <v>SLD</v>
      </c>
      <c r="BF110" s="45" t="str">
        <f ca="1">IF(BF7&lt;='8. Schedule'!$E$21,"PUD","SLD")</f>
        <v>SLD</v>
      </c>
      <c r="BG110" s="45" t="str">
        <f ca="1">IF(BG7&lt;='8. Schedule'!$E$21,"PUD","SLD")</f>
        <v>SLD</v>
      </c>
      <c r="BH110" s="45" t="str">
        <f ca="1">IF(BH7&lt;='8. Schedule'!$E$21,"PUD","SLD")</f>
        <v>SLD</v>
      </c>
      <c r="BI110" s="45" t="str">
        <f ca="1">IF(BI7&lt;='8. Schedule'!$E$21,"PUD","SLD")</f>
        <v>SLD</v>
      </c>
      <c r="BJ110" s="45" t="str">
        <f ca="1">IF(BJ7&lt;='8. Schedule'!$E$21,"PUD","SLD")</f>
        <v>SLD</v>
      </c>
      <c r="BK110" s="45" t="str">
        <f ca="1">IF(BK7&lt;='8. Schedule'!$E$21,"PUD","SLD")</f>
        <v>SLD</v>
      </c>
      <c r="BL110" s="45" t="str">
        <f ca="1">IF(BL7&lt;='8. Schedule'!$E$21,"PUD","SLD")</f>
        <v>SLD</v>
      </c>
      <c r="BM110" s="45" t="str">
        <f ca="1">IF(BM7&lt;='8. Schedule'!$E$21,"PUD","SLD")</f>
        <v>SLD</v>
      </c>
      <c r="BN110" s="45" t="str">
        <f ca="1">IF(BN7&lt;='8. Schedule'!$E$21,"PUD","SLD")</f>
        <v>SLD</v>
      </c>
      <c r="BO110" s="45" t="str">
        <f ca="1">IF(BO7&lt;='8. Schedule'!$E$21,"PUD","SLD")</f>
        <v>SLD</v>
      </c>
      <c r="BP110" s="45" t="str">
        <f ca="1">IF(BP7&lt;='8. Schedule'!$E$21,"PUD","SLD")</f>
        <v>SLD</v>
      </c>
      <c r="BQ110" s="45" t="str">
        <f ca="1">IF(BQ7&lt;='8. Schedule'!$E$21,"PUD","SLD")</f>
        <v>SLD</v>
      </c>
      <c r="BR110" s="45" t="str">
        <f ca="1">IF(BR7&lt;='8. Schedule'!$E$21,"PUD","SLD")</f>
        <v>SLD</v>
      </c>
      <c r="BS110" s="45" t="str">
        <f ca="1">IF(BS7&lt;='8. Schedule'!$E$21,"PUD","SLD")</f>
        <v>SLD</v>
      </c>
      <c r="BT110" s="45" t="str">
        <f ca="1">IF(BT7&lt;='8. Schedule'!$E$21,"PUD","SLD")</f>
        <v>SLD</v>
      </c>
      <c r="BU110" s="45" t="str">
        <f ca="1">IF(BU7&lt;='8. Schedule'!$E$21,"PUD","SLD")</f>
        <v>SLD</v>
      </c>
      <c r="BV110" s="45" t="str">
        <f ca="1">IF(BV7&lt;='8. Schedule'!$E$21,"PUD","SLD")</f>
        <v>SLD</v>
      </c>
      <c r="BW110" s="45" t="str">
        <f ca="1">IF(BW7&lt;='8. Schedule'!$E$21,"PUD","SLD")</f>
        <v>SLD</v>
      </c>
      <c r="BX110" s="45" t="str">
        <f ca="1">IF(BX7&lt;='8. Schedule'!$E$21,"PUD","SLD")</f>
        <v>SLD</v>
      </c>
      <c r="BY110" s="45" t="str">
        <f ca="1">IF(BY7&lt;='8. Schedule'!$E$21,"PUD","SLD")</f>
        <v>SLD</v>
      </c>
      <c r="BZ110" s="45" t="str">
        <f ca="1">IF(BZ7&lt;='8. Schedule'!$E$21,"PUD","SLD")</f>
        <v>SLD</v>
      </c>
      <c r="CA110" s="45" t="str">
        <f ca="1">IF(CA7&lt;='8. Schedule'!$E$21,"PUD","SLD")</f>
        <v>SLD</v>
      </c>
      <c r="CB110" s="45" t="str">
        <f ca="1">IF(CB7&lt;='8. Schedule'!$E$21,"PUD","SLD")</f>
        <v>SLD</v>
      </c>
      <c r="CC110" s="45" t="str">
        <f ca="1">IF(CC7&lt;='8. Schedule'!$E$21,"PUD","SLD")</f>
        <v>SLD</v>
      </c>
      <c r="CD110" s="45" t="str">
        <f ca="1">IF(CD7&lt;='8. Schedule'!$E$21,"PUD","SLD")</f>
        <v>SLD</v>
      </c>
      <c r="CE110" s="45" t="str">
        <f ca="1">IF(CE7&lt;='8. Schedule'!$E$21,"PUD","SLD")</f>
        <v>SLD</v>
      </c>
      <c r="CF110" s="45" t="str">
        <f ca="1">IF(CF7&lt;='8. Schedule'!$E$21,"PUD","SLD")</f>
        <v>SLD</v>
      </c>
      <c r="CG110" s="45" t="str">
        <f ca="1">IF(CG7&lt;='8. Schedule'!$E$21,"PUD","SLD")</f>
        <v>SLD</v>
      </c>
      <c r="CH110" s="45" t="str">
        <f ca="1">IF(CH7&lt;='8. Schedule'!$E$21,"PUD","SLD")</f>
        <v>SLD</v>
      </c>
      <c r="CI110" s="45" t="str">
        <f ca="1">IF(CI7&lt;='8. Schedule'!$E$21,"PUD","SLD")</f>
        <v>SLD</v>
      </c>
      <c r="CJ110" s="45" t="str">
        <f ca="1">IF(CJ7&lt;='8. Schedule'!$E$21,"PUD","SLD")</f>
        <v>SLD</v>
      </c>
      <c r="CK110" s="45" t="str">
        <f ca="1">IF(CK7&lt;='8. Schedule'!$E$21,"PUD","SLD")</f>
        <v>SLD</v>
      </c>
      <c r="CL110" s="45" t="str">
        <f ca="1">IF(CL7&lt;='8. Schedule'!$E$21,"PUD","SLD")</f>
        <v>SLD</v>
      </c>
      <c r="CM110" s="45" t="str">
        <f ca="1">IF(CM7&lt;='8. Schedule'!$E$21,"PUD","SLD")</f>
        <v>SLD</v>
      </c>
      <c r="CN110" s="45" t="str">
        <f ca="1">IF(CN7&lt;='8. Schedule'!$E$21,"PUD","SLD")</f>
        <v>SLD</v>
      </c>
      <c r="CO110" s="45" t="str">
        <f ca="1">IF(CO7&lt;='8. Schedule'!$E$21,"PUD","SLD")</f>
        <v>SLD</v>
      </c>
      <c r="CP110" s="45" t="str">
        <f ca="1">IF(CP7&lt;='8. Schedule'!$E$21,"PUD","SLD")</f>
        <v>SLD</v>
      </c>
      <c r="CQ110" s="45" t="str">
        <f ca="1">IF(CQ7&lt;='8. Schedule'!$E$21,"PUD","SLD")</f>
        <v>SLD</v>
      </c>
      <c r="CR110" s="45" t="str">
        <f ca="1">IF(CR7&lt;='8. Schedule'!$E$21,"PUD","SLD")</f>
        <v>SLD</v>
      </c>
      <c r="CS110" s="45" t="str">
        <f ca="1">IF(CS7&lt;='8. Schedule'!$E$21,"PUD","SLD")</f>
        <v>SLD</v>
      </c>
      <c r="CT110" s="45" t="str">
        <f ca="1">IF(CT7&lt;='8. Schedule'!$E$21,"PUD","SLD")</f>
        <v>SLD</v>
      </c>
      <c r="CU110" s="45" t="str">
        <f ca="1">IF(CU7&lt;='8. Schedule'!$E$21,"PUD","SLD")</f>
        <v>SLD</v>
      </c>
      <c r="CV110" s="45" t="str">
        <f ca="1">IF(CV7&lt;='8. Schedule'!$E$21,"PUD","SLD")</f>
        <v>SLD</v>
      </c>
      <c r="CW110" s="45" t="str">
        <f ca="1">IF(CW7&lt;='8. Schedule'!$E$21,"PUD","SLD")</f>
        <v>SLD</v>
      </c>
      <c r="CX110" s="45" t="str">
        <f ca="1">IF(CX7&lt;='8. Schedule'!$E$21,"PUD","SLD")</f>
        <v>SLD</v>
      </c>
      <c r="CY110" s="45" t="str">
        <f ca="1">IF(CY7&lt;='8. Schedule'!$E$21,"PUD","SLD")</f>
        <v>SLD</v>
      </c>
      <c r="CZ110" s="45" t="str">
        <f ca="1">IF(CZ7&lt;='8. Schedule'!$E$21,"PUD","SLD")</f>
        <v>SLD</v>
      </c>
    </row>
    <row r="111" spans="2:104" x14ac:dyDescent="0.2">
      <c r="B111" s="123"/>
      <c r="C111" s="120"/>
      <c r="H111" s="123"/>
    </row>
    <row r="112" spans="2:104" x14ac:dyDescent="0.2">
      <c r="B112" s="123" t="s">
        <v>164</v>
      </c>
      <c r="H112" s="123"/>
      <c r="I112" s="147">
        <f ca="1">IF(I110="PUD",I98,0)</f>
        <v>-10458663.85514364</v>
      </c>
      <c r="J112" s="142">
        <f t="shared" ref="J112:AO112" ca="1" si="124">IF(J110="PUD",I112+J98,0)</f>
        <v>-10645817.801968992</v>
      </c>
      <c r="K112" s="142">
        <f t="shared" ca="1" si="124"/>
        <v>-10833886.721836751</v>
      </c>
      <c r="L112" s="142">
        <f t="shared" ca="1" si="124"/>
        <v>-11022875.090148956</v>
      </c>
      <c r="M112" s="142">
        <f t="shared" ca="1" si="124"/>
        <v>-11212787.399794493</v>
      </c>
      <c r="N112" s="142">
        <f t="shared" ca="1" si="124"/>
        <v>-11403628.168106697</v>
      </c>
      <c r="O112" s="142">
        <f t="shared" ca="1" si="124"/>
        <v>-11595401.936863346</v>
      </c>
      <c r="P112" s="142">
        <f t="shared" ca="1" si="124"/>
        <v>-11788113.267397773</v>
      </c>
      <c r="Q112" s="142">
        <f t="shared" ca="1" si="124"/>
        <v>-11981766.740598867</v>
      </c>
      <c r="R112" s="142">
        <f t="shared" ca="1" si="124"/>
        <v>-12176366.961799961</v>
      </c>
      <c r="S112" s="142">
        <f t="shared" ca="1" si="124"/>
        <v>-12371918.560778832</v>
      </c>
      <c r="T112" s="142">
        <f t="shared" ca="1" si="124"/>
        <v>-12568426.191757703</v>
      </c>
      <c r="U112" s="142">
        <f t="shared" ca="1" si="124"/>
        <v>-12765894.528514352</v>
      </c>
      <c r="V112" s="142">
        <f t="shared" ca="1" si="124"/>
        <v>-12964328.264382113</v>
      </c>
      <c r="W112" s="142">
        <f t="shared" ca="1" si="124"/>
        <v>-15732623.523714844</v>
      </c>
      <c r="X112" s="142">
        <f t="shared" ca="1" si="124"/>
        <v>-18763953.869572893</v>
      </c>
      <c r="Y112" s="142">
        <f t="shared" ca="1" si="124"/>
        <v>-22050618.391286202</v>
      </c>
      <c r="Z112" s="142">
        <f t="shared" ca="1" si="124"/>
        <v>-25578575.648960419</v>
      </c>
      <c r="AA112" s="142">
        <f t="shared" ca="1" si="124"/>
        <v>-29327430.804952431</v>
      </c>
      <c r="AB112" s="142">
        <f t="shared" ca="1" si="124"/>
        <v>-33270710.193275027</v>
      </c>
      <c r="AC112" s="142">
        <f t="shared" ca="1" si="124"/>
        <v>-37376427.027995691</v>
      </c>
      <c r="AD112" s="142">
        <f t="shared" ca="1" si="124"/>
        <v>-41607922.577044487</v>
      </c>
      <c r="AE112" s="142">
        <f t="shared" ca="1" si="124"/>
        <v>-45924947.783340916</v>
      </c>
      <c r="AF112" s="142">
        <f t="shared" ca="1" si="124"/>
        <v>-50284932.936209872</v>
      </c>
      <c r="AG112" s="142">
        <f t="shared" ca="1" si="124"/>
        <v>-54644379.080284089</v>
      </c>
      <c r="AH112" s="142">
        <f t="shared" ca="1" si="124"/>
        <v>-58960295.727999538</v>
      </c>
      <c r="AI112" s="142">
        <f t="shared" ca="1" si="124"/>
        <v>-63191606.094275765</v>
      </c>
      <c r="AJ112" s="142">
        <f t="shared" ca="1" si="124"/>
        <v>-67300443.671487242</v>
      </c>
      <c r="AK112" s="142">
        <f t="shared" ca="1" si="124"/>
        <v>-71253272.404368147</v>
      </c>
      <c r="AL112" s="142">
        <f t="shared" ca="1" si="124"/>
        <v>-75021775.97048682</v>
      </c>
      <c r="AM112" s="142">
        <f t="shared" ca="1" si="124"/>
        <v>-78680704.576311231</v>
      </c>
      <c r="AN112" s="142">
        <f t="shared" ca="1" si="124"/>
        <v>-82117006.939169288</v>
      </c>
      <c r="AO112" s="142">
        <f t="shared" ca="1" si="124"/>
        <v>-92310634.087336853</v>
      </c>
      <c r="AP112" s="142">
        <f t="shared" ref="AP112:BU112" ca="1" si="125">IF(AP110="PUD",AO112+AP98,0)</f>
        <v>-92679566.661005527</v>
      </c>
      <c r="AQ112" s="142">
        <f t="shared" ca="1" si="125"/>
        <v>-93016943.002619132</v>
      </c>
      <c r="AR112" s="142">
        <f t="shared" ca="1" si="125"/>
        <v>-93317756.245071083</v>
      </c>
      <c r="AS112" s="142">
        <f t="shared" ca="1" si="125"/>
        <v>-93586013.026266873</v>
      </c>
      <c r="AT112" s="142">
        <f t="shared" ca="1" si="125"/>
        <v>-93821554.183539838</v>
      </c>
      <c r="AU112" s="142">
        <f t="shared" ca="1" si="125"/>
        <v>-94024219.772001088</v>
      </c>
      <c r="AV112" s="142">
        <f t="shared" ca="1" si="125"/>
        <v>-94193849.069428414</v>
      </c>
      <c r="AW112" s="142">
        <f t="shared" ca="1" si="125"/>
        <v>-94330280.561599582</v>
      </c>
      <c r="AX112" s="142">
        <f t="shared" ca="1" si="125"/>
        <v>-94433351.947181255</v>
      </c>
      <c r="AY112" s="142">
        <f t="shared" ca="1" si="125"/>
        <v>-94440550.796996266</v>
      </c>
      <c r="AZ112" s="142">
        <f t="shared" ca="1" si="125"/>
        <v>0</v>
      </c>
      <c r="BA112" s="142">
        <f t="shared" ca="1" si="125"/>
        <v>0</v>
      </c>
      <c r="BB112" s="142">
        <f t="shared" ca="1" si="125"/>
        <v>0</v>
      </c>
      <c r="BC112" s="142">
        <f t="shared" ca="1" si="125"/>
        <v>0</v>
      </c>
      <c r="BD112" s="142">
        <f t="shared" ca="1" si="125"/>
        <v>0</v>
      </c>
      <c r="BE112" s="142">
        <f t="shared" ca="1" si="125"/>
        <v>0</v>
      </c>
      <c r="BF112" s="142">
        <f t="shared" ca="1" si="125"/>
        <v>0</v>
      </c>
      <c r="BG112" s="142">
        <f t="shared" ca="1" si="125"/>
        <v>0</v>
      </c>
      <c r="BH112" s="142">
        <f t="shared" ca="1" si="125"/>
        <v>0</v>
      </c>
      <c r="BI112" s="142">
        <f t="shared" ca="1" si="125"/>
        <v>0</v>
      </c>
      <c r="BJ112" s="142">
        <f t="shared" ca="1" si="125"/>
        <v>0</v>
      </c>
      <c r="BK112" s="142">
        <f t="shared" ca="1" si="125"/>
        <v>0</v>
      </c>
      <c r="BL112" s="142">
        <f t="shared" ca="1" si="125"/>
        <v>0</v>
      </c>
      <c r="BM112" s="142">
        <f t="shared" ca="1" si="125"/>
        <v>0</v>
      </c>
      <c r="BN112" s="142">
        <f t="shared" ca="1" si="125"/>
        <v>0</v>
      </c>
      <c r="BO112" s="142">
        <f t="shared" ca="1" si="125"/>
        <v>0</v>
      </c>
      <c r="BP112" s="142">
        <f t="shared" ca="1" si="125"/>
        <v>0</v>
      </c>
      <c r="BQ112" s="142">
        <f t="shared" ca="1" si="125"/>
        <v>0</v>
      </c>
      <c r="BR112" s="142">
        <f t="shared" ca="1" si="125"/>
        <v>0</v>
      </c>
      <c r="BS112" s="142">
        <f t="shared" ca="1" si="125"/>
        <v>0</v>
      </c>
      <c r="BT112" s="142">
        <f t="shared" ca="1" si="125"/>
        <v>0</v>
      </c>
      <c r="BU112" s="142">
        <f t="shared" ca="1" si="125"/>
        <v>0</v>
      </c>
      <c r="BV112" s="142">
        <f t="shared" ref="BV112:CZ112" ca="1" si="126">IF(BV110="PUD",BU112+BV98,0)</f>
        <v>0</v>
      </c>
      <c r="BW112" s="142">
        <f t="shared" ca="1" si="126"/>
        <v>0</v>
      </c>
      <c r="BX112" s="142">
        <f t="shared" ca="1" si="126"/>
        <v>0</v>
      </c>
      <c r="BY112" s="142">
        <f t="shared" ca="1" si="126"/>
        <v>0</v>
      </c>
      <c r="BZ112" s="142">
        <f t="shared" ca="1" si="126"/>
        <v>0</v>
      </c>
      <c r="CA112" s="142">
        <f t="shared" ca="1" si="126"/>
        <v>0</v>
      </c>
      <c r="CB112" s="142">
        <f t="shared" ca="1" si="126"/>
        <v>0</v>
      </c>
      <c r="CC112" s="142">
        <f t="shared" ca="1" si="126"/>
        <v>0</v>
      </c>
      <c r="CD112" s="142">
        <f t="shared" ca="1" si="126"/>
        <v>0</v>
      </c>
      <c r="CE112" s="142">
        <f t="shared" ca="1" si="126"/>
        <v>0</v>
      </c>
      <c r="CF112" s="142">
        <f t="shared" ca="1" si="126"/>
        <v>0</v>
      </c>
      <c r="CG112" s="142">
        <f t="shared" ca="1" si="126"/>
        <v>0</v>
      </c>
      <c r="CH112" s="142">
        <f t="shared" ca="1" si="126"/>
        <v>0</v>
      </c>
      <c r="CI112" s="142">
        <f t="shared" ca="1" si="126"/>
        <v>0</v>
      </c>
      <c r="CJ112" s="142">
        <f t="shared" ca="1" si="126"/>
        <v>0</v>
      </c>
      <c r="CK112" s="142">
        <f t="shared" ca="1" si="126"/>
        <v>0</v>
      </c>
      <c r="CL112" s="142">
        <f t="shared" ca="1" si="126"/>
        <v>0</v>
      </c>
      <c r="CM112" s="142">
        <f t="shared" ca="1" si="126"/>
        <v>0</v>
      </c>
      <c r="CN112" s="142">
        <f t="shared" ca="1" si="126"/>
        <v>0</v>
      </c>
      <c r="CO112" s="142">
        <f t="shared" ca="1" si="126"/>
        <v>0</v>
      </c>
      <c r="CP112" s="142">
        <f t="shared" ca="1" si="126"/>
        <v>0</v>
      </c>
      <c r="CQ112" s="142">
        <f t="shared" ca="1" si="126"/>
        <v>0</v>
      </c>
      <c r="CR112" s="142">
        <f t="shared" ca="1" si="126"/>
        <v>0</v>
      </c>
      <c r="CS112" s="142">
        <f t="shared" ca="1" si="126"/>
        <v>0</v>
      </c>
      <c r="CT112" s="142">
        <f t="shared" ca="1" si="126"/>
        <v>0</v>
      </c>
      <c r="CU112" s="142">
        <f t="shared" ca="1" si="126"/>
        <v>0</v>
      </c>
      <c r="CV112" s="142">
        <f t="shared" ca="1" si="126"/>
        <v>0</v>
      </c>
      <c r="CW112" s="142">
        <f t="shared" ca="1" si="126"/>
        <v>0</v>
      </c>
      <c r="CX112" s="142">
        <f t="shared" ca="1" si="126"/>
        <v>0</v>
      </c>
      <c r="CY112" s="142">
        <f t="shared" ca="1" si="126"/>
        <v>0</v>
      </c>
      <c r="CZ112" s="142">
        <f t="shared" ca="1" si="126"/>
        <v>0</v>
      </c>
    </row>
    <row r="113" spans="2:104" x14ac:dyDescent="0.2">
      <c r="B113" s="123"/>
      <c r="H113" s="123"/>
    </row>
    <row r="114" spans="2:104" x14ac:dyDescent="0.2">
      <c r="B114" s="123" t="s">
        <v>165</v>
      </c>
      <c r="D114" s="36">
        <f ca="1">C104*(1-D107)-E114</f>
        <v>-1.5680000018328428</v>
      </c>
      <c r="E114" s="310">
        <f>-'5. Key Assumptions'!F67</f>
        <v>-9439788.4320000019</v>
      </c>
      <c r="H114" s="123"/>
      <c r="I114" s="147">
        <f ca="1">IF(AND(I110="PUD",I112&lt;$E$114),I112-$E$114,0)</f>
        <v>-1018875.4231436383</v>
      </c>
      <c r="J114" s="142">
        <f ca="1">IF(AND(J110="PUD",J112&lt;$E$114),J112-$E$114-SUM($I$114:I114),0)</f>
        <v>-187153.94682535157</v>
      </c>
      <c r="K114" s="142">
        <f ca="1">IF(AND(K110="PUD",K112&lt;$E$114),K112-$E$114-SUM($I$114:J114),0)</f>
        <v>-188068.91986775957</v>
      </c>
      <c r="L114" s="142">
        <f ca="1">IF(AND(L110="PUD",L112&lt;$E$114),L112-$E$114-SUM($I$114:K114),0)</f>
        <v>-188988.36831220426</v>
      </c>
      <c r="M114" s="142">
        <f ca="1">IF(AND(M110="PUD",M112&lt;$E$114),M112-$E$114-SUM($I$114:L114),0)</f>
        <v>-189912.30964553729</v>
      </c>
      <c r="N114" s="142">
        <f ca="1">IF(AND(N110="PUD",N112&lt;$E$114),N112-$E$114-SUM($I$114:M114),0)</f>
        <v>-190840.76831220463</v>
      </c>
      <c r="O114" s="142">
        <f ca="1">IF(AND(O110="PUD",O112&lt;$E$114),O112-$E$114-SUM($I$114:N114),0)</f>
        <v>-191773.76875664853</v>
      </c>
      <c r="P114" s="142">
        <f ca="1">IF(AND(P110="PUD",P112&lt;$E$114),P112-$E$114-SUM($I$114:O114),0)</f>
        <v>-192711.3305344265</v>
      </c>
      <c r="Q114" s="142">
        <f ca="1">IF(AND(Q110="PUD",Q112&lt;$E$114),Q112-$E$114-SUM($I$114:P114),0)</f>
        <v>-193653.4732010942</v>
      </c>
      <c r="R114" s="142">
        <f ca="1">IF(AND(R110="PUD",R112&lt;$E$114),R112-$E$114-SUM($I$114:Q114),0)</f>
        <v>-194600.22120109387</v>
      </c>
      <c r="S114" s="142">
        <f ca="1">IF(AND(S110="PUD",S112&lt;$E$114),S112-$E$114-SUM($I$114:R114),0)</f>
        <v>-195551.59897887148</v>
      </c>
      <c r="T114" s="142">
        <f ca="1">IF(AND(T110="PUD",T112&lt;$E$114),T112-$E$114-SUM($I$114:S114),0)</f>
        <v>-196507.63097887114</v>
      </c>
      <c r="U114" s="142">
        <f ca="1">IF(AND(U110="PUD",U112&lt;$E$114),U112-$E$114-SUM($I$114:T114),0)</f>
        <v>-197468.3367566485</v>
      </c>
      <c r="V114" s="142">
        <f ca="1">IF(AND(V110="PUD",V112&lt;$E$114),V112-$E$114-SUM($I$114:U114),0)</f>
        <v>-198433.73586776108</v>
      </c>
      <c r="W114" s="142">
        <f ca="1">IF(AND(W110="PUD",W112&lt;$E$114),W112-$E$114-SUM($I$114:V114),0)</f>
        <v>-2768295.2593327314</v>
      </c>
      <c r="X114" s="142">
        <f ca="1">IF(AND(X110="PUD",X112&lt;$E$114),X112-$E$114-SUM($I$114:W114),0)</f>
        <v>-3031330.3458580486</v>
      </c>
      <c r="Y114" s="142">
        <f ca="1">IF(AND(Y110="PUD",Y112&lt;$E$114),Y112-$E$114-SUM($I$114:X114),0)</f>
        <v>-3286664.521713309</v>
      </c>
      <c r="Z114" s="142">
        <f ca="1">IF(AND(Z110="PUD",Z112&lt;$E$114),Z112-$E$114-SUM($I$114:Y114),0)</f>
        <v>-3527957.2576742172</v>
      </c>
      <c r="AA114" s="142">
        <f ca="1">IF(AND(AA110="PUD",AA112&lt;$E$114),AA112-$E$114-SUM($I$114:Z114),0)</f>
        <v>-3748855.1559920143</v>
      </c>
      <c r="AB114" s="142">
        <f ca="1">IF(AND(AB110="PUD",AB112&lt;$E$114),AB112-$E$114-SUM($I$114:AA114),0)</f>
        <v>-3943279.3883225918</v>
      </c>
      <c r="AC114" s="142">
        <f ca="1">IF(AND(AC110="PUD",AC112&lt;$E$114),AC112-$E$114-SUM($I$114:AB114),0)</f>
        <v>-4105716.8347206637</v>
      </c>
      <c r="AD114" s="142">
        <f ca="1">IF(AND(AD110="PUD",AD112&lt;$E$114),AD112-$E$114-SUM($I$114:AC114),0)</f>
        <v>-4231495.5490487963</v>
      </c>
      <c r="AE114" s="142">
        <f ca="1">IF(AND(AE110="PUD",AE112&lt;$E$114),AE112-$E$114-SUM($I$114:AD114),0)</f>
        <v>-4317025.206296429</v>
      </c>
      <c r="AF114" s="142">
        <f ca="1">IF(AND(AF110="PUD",AF112&lt;$E$114),AF112-$E$114-SUM($I$114:AE114),0)</f>
        <v>-4359985.1528689563</v>
      </c>
      <c r="AG114" s="142">
        <f ca="1">IF(AND(AG110="PUD",AG112&lt;$E$114),AG112-$E$114-SUM($I$114:AF114),0)</f>
        <v>-4359446.1440742165</v>
      </c>
      <c r="AH114" s="142">
        <f ca="1">IF(AND(AH110="PUD",AH112&lt;$E$114),AH112-$E$114-SUM($I$114:AG114),0)</f>
        <v>-4315916.6477154493</v>
      </c>
      <c r="AI114" s="142">
        <f ca="1">IF(AND(AI110="PUD",AI112&lt;$E$114),AI112-$E$114-SUM($I$114:AH114),0)</f>
        <v>-4231310.3662762269</v>
      </c>
      <c r="AJ114" s="142">
        <f ca="1">IF(AND(AJ110="PUD",AJ112&lt;$E$114),AJ112-$E$114-SUM($I$114:AI114),0)</f>
        <v>-4108837.5772114769</v>
      </c>
      <c r="AK114" s="142">
        <f ca="1">IF(AND(AK110="PUD",AK112&lt;$E$114),AK112-$E$114-SUM($I$114:AJ114),0)</f>
        <v>-3952828.7328809053</v>
      </c>
      <c r="AL114" s="142">
        <f ca="1">IF(AND(AL110="PUD",AL112&lt;$E$114),AL112-$E$114-SUM($I$114:AK114),0)</f>
        <v>-3768503.5661186725</v>
      </c>
      <c r="AM114" s="142">
        <f ca="1">IF(AND(AM110="PUD",AM112&lt;$E$114),AM112-$E$114-SUM($I$114:AL114),0)</f>
        <v>-3658928.6058244184</v>
      </c>
      <c r="AN114" s="142">
        <f ca="1">IF(AND(AN110="PUD",AN112&lt;$E$114),AN112-$E$114-SUM($I$114:AM114),0)</f>
        <v>-3436302.362858057</v>
      </c>
      <c r="AO114" s="142">
        <f ca="1">IF(AND(AO110="PUD",AO112&lt;$E$114),AO112-$E$114-SUM($I$114:AN114),0)</f>
        <v>-10193627.148167565</v>
      </c>
      <c r="AP114" s="142">
        <f ca="1">IF(AND(AP110="PUD",AP112&lt;$E$114),AP112-$E$114-SUM($I$114:AO114),0)</f>
        <v>-368932.57366867363</v>
      </c>
      <c r="AQ114" s="142">
        <f ca="1">IF(AND(AQ110="PUD",AQ112&lt;$E$114),AQ112-$E$114-SUM($I$114:AP114),0)</f>
        <v>-337376.34161360562</v>
      </c>
      <c r="AR114" s="142">
        <f ca="1">IF(AND(AR110="PUD",AR112&lt;$E$114),AR112-$E$114-SUM($I$114:AQ114),0)</f>
        <v>-300813.24245195091</v>
      </c>
      <c r="AS114" s="142">
        <f ca="1">IF(AND(AS110="PUD",AS112&lt;$E$114),AS112-$E$114-SUM($I$114:AR114),0)</f>
        <v>-268256.78119578958</v>
      </c>
      <c r="AT114" s="142">
        <f ca="1">IF(AND(AT110="PUD",AT112&lt;$E$114),AT112-$E$114-SUM($I$114:AS114),0)</f>
        <v>-235541.15727296472</v>
      </c>
      <c r="AU114" s="142">
        <f ca="1">IF(AND(AU110="PUD",AU112&lt;$E$114),AU112-$E$114-SUM($I$114:AT114),0)</f>
        <v>-202665.58846125007</v>
      </c>
      <c r="AV114" s="142">
        <f ca="1">IF(AND(AV110="PUD",AV112&lt;$E$114),AV112-$E$114-SUM($I$114:AU114),0)</f>
        <v>-169629.29742732644</v>
      </c>
      <c r="AW114" s="142">
        <f ca="1">IF(AND(AW110="PUD",AW112&lt;$E$114),AW112-$E$114-SUM($I$114:AV114),0)</f>
        <v>-136431.49217116833</v>
      </c>
      <c r="AX114" s="142">
        <f ca="1">IF(AND(AX110="PUD",AX112&lt;$E$114),AX112-$E$114-SUM($I$114:AW114),0)</f>
        <v>-103071.38558167219</v>
      </c>
      <c r="AY114" s="142">
        <f ca="1">IF(AND(AY110="PUD",AY112&lt;$E$114),AY112-$E$114-SUM($I$114:AX114),0)</f>
        <v>-7198.8498150110245</v>
      </c>
      <c r="AZ114" s="142">
        <f ca="1">IF(AND(AZ110="PUD",AZ112&lt;$E$114),AZ112-$E$114-SUM($I$114:AY114),0)</f>
        <v>0</v>
      </c>
      <c r="BA114" s="142">
        <f ca="1">IF(AND(BA110="PUD",BA112&lt;$E$114),BA112-$E$114-SUM($I$114:AZ114),0)</f>
        <v>0</v>
      </c>
      <c r="BB114" s="142">
        <f ca="1">IF(AND(BB110="PUD",BB112&lt;$E$114),BB112-$E$114-SUM($I$114:BA114),0)</f>
        <v>0</v>
      </c>
      <c r="BC114" s="142">
        <f ca="1">IF(AND(BC110="PUD",BC112&lt;$E$114),BC112-$E$114-SUM($I$114:BB114),0)</f>
        <v>0</v>
      </c>
      <c r="BD114" s="142">
        <f ca="1">IF(AND(BD110="PUD",BD112&lt;$E$114),BD112-$E$114-SUM($I$114:BC114),0)</f>
        <v>0</v>
      </c>
      <c r="BE114" s="142">
        <f ca="1">IF(AND(BE110="PUD",BE112&lt;$E$114),BE112-$E$114-SUM($I$114:BD114),0)</f>
        <v>0</v>
      </c>
      <c r="BF114" s="142">
        <f ca="1">IF(AND(BF110="PUD",BF112&lt;$E$114),BF112-$E$114-SUM($I$114:BE114),0)</f>
        <v>0</v>
      </c>
      <c r="BG114" s="142">
        <f ca="1">IF(AND(BG110="PUD",BG112&lt;$E$114),BG112-$E$114-SUM($I$114:BF114),0)</f>
        <v>0</v>
      </c>
      <c r="BH114" s="142">
        <f ca="1">IF(AND(BH110="PUD",BH112&lt;$E$114),BH112-$E$114-SUM($I$114:BG114),0)</f>
        <v>0</v>
      </c>
      <c r="BI114" s="142">
        <f ca="1">IF(AND(BI110="PUD",BI112&lt;$E$114),BI112-$E$114-SUM($I$114:BH114),0)</f>
        <v>0</v>
      </c>
      <c r="BJ114" s="142">
        <f ca="1">IF(AND(BJ110="PUD",BJ112&lt;$E$114),BJ112-$E$114-SUM($I$114:BI114),0)</f>
        <v>0</v>
      </c>
      <c r="BK114" s="142">
        <f ca="1">IF(AND(BK110="PUD",BK112&lt;$E$114),BK112-$E$114-SUM($I$114:BJ114),0)</f>
        <v>0</v>
      </c>
      <c r="BL114" s="142">
        <f ca="1">IF(AND(BL110="PUD",BL112&lt;$E$114),BL112-$E$114-SUM($I$114:BK114),0)</f>
        <v>0</v>
      </c>
      <c r="BM114" s="142">
        <f ca="1">IF(AND(BM110="PUD",BM112&lt;$E$114),BM112-$E$114-SUM($I$114:BL114),0)</f>
        <v>0</v>
      </c>
      <c r="BN114" s="142">
        <f ca="1">IF(AND(BN110="PUD",BN112&lt;$E$114),BN112-$E$114-SUM($I$114:BM114),0)</f>
        <v>0</v>
      </c>
      <c r="BO114" s="142">
        <f ca="1">IF(AND(BO110="PUD",BO112&lt;$E$114),BO112-$E$114-SUM($I$114:BN114),0)</f>
        <v>0</v>
      </c>
      <c r="BP114" s="142">
        <f ca="1">IF(AND(BP110="PUD",BP112&lt;$E$114),BP112-$E$114-SUM($I$114:BO114),0)</f>
        <v>0</v>
      </c>
      <c r="BQ114" s="142">
        <f ca="1">IF(AND(BQ110="PUD",BQ112&lt;$E$114),BQ112-$E$114-SUM($I$114:BP114),0)</f>
        <v>0</v>
      </c>
      <c r="BR114" s="142">
        <f ca="1">IF(AND(BR110="PUD",BR112&lt;$E$114),BR112-$E$114-SUM($I$114:BQ114),0)</f>
        <v>0</v>
      </c>
      <c r="BS114" s="142">
        <f ca="1">IF(AND(BS110="PUD",BS112&lt;$E$114),BS112-$E$114-SUM($I$114:BR114),0)</f>
        <v>0</v>
      </c>
      <c r="BT114" s="142">
        <f ca="1">IF(AND(BT110="PUD",BT112&lt;$E$114),BT112-$E$114-SUM($I$114:BS114),0)</f>
        <v>0</v>
      </c>
      <c r="BU114" s="142">
        <f ca="1">IF(AND(BU110="PUD",BU112&lt;$E$114),BU112-$E$114-SUM($I$114:BT114),0)</f>
        <v>0</v>
      </c>
      <c r="BV114" s="142">
        <f ca="1">IF(AND(BV110="PUD",BV112&lt;$E$114),BV112-$E$114-SUM($I$114:BU114),0)</f>
        <v>0</v>
      </c>
      <c r="BW114" s="142">
        <f ca="1">IF(AND(BW110="PUD",BW112&lt;$E$114),BW112-$E$114-SUM($I$114:BV114),0)</f>
        <v>0</v>
      </c>
      <c r="BX114" s="142">
        <f ca="1">IF(AND(BX110="PUD",BX112&lt;$E$114),BX112-$E$114-SUM($I$114:BW114),0)</f>
        <v>0</v>
      </c>
      <c r="BY114" s="142">
        <f ca="1">IF(AND(BY110="PUD",BY112&lt;$E$114),BY112-$E$114-SUM($I$114:BX114),0)</f>
        <v>0</v>
      </c>
      <c r="BZ114" s="142">
        <f ca="1">IF(AND(BZ110="PUD",BZ112&lt;$E$114),BZ112-$E$114-SUM($I$114:BY114),0)</f>
        <v>0</v>
      </c>
      <c r="CA114" s="142">
        <f ca="1">IF(AND(CA110="PUD",CA112&lt;$E$114),CA112-$E$114-SUM($I$114:BZ114),0)</f>
        <v>0</v>
      </c>
      <c r="CB114" s="142">
        <f ca="1">IF(AND(CB110="PUD",CB112&lt;$E$114),CB112-$E$114-SUM($I$114:CA114),0)</f>
        <v>0</v>
      </c>
      <c r="CC114" s="142">
        <f ca="1">IF(AND(CC110="PUD",CC112&lt;$E$114),CC112-$E$114-SUM($I$114:CB114),0)</f>
        <v>0</v>
      </c>
      <c r="CD114" s="142">
        <f ca="1">IF(AND(CD110="PUD",CD112&lt;$E$114),CD112-$E$114-SUM($I$114:CC114),0)</f>
        <v>0</v>
      </c>
      <c r="CE114" s="142">
        <f ca="1">IF(AND(CE110="PUD",CE112&lt;$E$114),CE112-$E$114-SUM($I$114:CD114),0)</f>
        <v>0</v>
      </c>
      <c r="CF114" s="142">
        <f ca="1">IF(AND(CF110="PUD",CF112&lt;$E$114),CF112-$E$114-SUM($I$114:CE114),0)</f>
        <v>0</v>
      </c>
      <c r="CG114" s="142">
        <f ca="1">IF(AND(CG110="PUD",CG112&lt;$E$114),CG112-$E$114-SUM($I$114:CF114),0)</f>
        <v>0</v>
      </c>
      <c r="CH114" s="142">
        <f ca="1">IF(AND(CH110="PUD",CH112&lt;$E$114),CH112-$E$114-SUM($I$114:CG114),0)</f>
        <v>0</v>
      </c>
      <c r="CI114" s="142">
        <f ca="1">IF(AND(CI110="PUD",CI112&lt;$E$114),CI112-$E$114-SUM($I$114:CH114),0)</f>
        <v>0</v>
      </c>
      <c r="CJ114" s="142">
        <f ca="1">IF(AND(CJ110="PUD",CJ112&lt;$E$114),CJ112-$E$114-SUM($I$114:CI114),0)</f>
        <v>0</v>
      </c>
      <c r="CK114" s="142">
        <f ca="1">IF(AND(CK110="PUD",CK112&lt;$E$114),CK112-$E$114-SUM($I$114:CJ114),0)</f>
        <v>0</v>
      </c>
      <c r="CL114" s="142">
        <f ca="1">IF(AND(CL110="PUD",CL112&lt;$E$114),CL112-$E$114-SUM($I$114:CK114),0)</f>
        <v>0</v>
      </c>
      <c r="CM114" s="142">
        <f ca="1">IF(AND(CM110="PUD",CM112&lt;$E$114),CM112-$E$114-SUM($I$114:CL114),0)</f>
        <v>0</v>
      </c>
      <c r="CN114" s="142">
        <f ca="1">IF(AND(CN110="PUD",CN112&lt;$E$114),CN112-$E$114-SUM($I$114:CM114),0)</f>
        <v>0</v>
      </c>
      <c r="CO114" s="142">
        <f ca="1">IF(AND(CO110="PUD",CO112&lt;$E$114),CO112-$E$114-SUM($I$114:CN114),0)</f>
        <v>0</v>
      </c>
      <c r="CP114" s="142">
        <f ca="1">IF(AND(CP110="PUD",CP112&lt;$E$114),CP112-$E$114-SUM($I$114:CO114),0)</f>
        <v>0</v>
      </c>
      <c r="CQ114" s="142">
        <f ca="1">IF(AND(CQ110="PUD",CQ112&lt;$E$114),CQ112-$E$114-SUM($I$114:CP114),0)</f>
        <v>0</v>
      </c>
      <c r="CR114" s="142">
        <f ca="1">IF(AND(CR110="PUD",CR112&lt;$E$114),CR112-$E$114-SUM($I$114:CQ114),0)</f>
        <v>0</v>
      </c>
      <c r="CS114" s="142">
        <f ca="1">IF(AND(CS110="PUD",CS112&lt;$E$114),CS112-$E$114-SUM($I$114:CR114),0)</f>
        <v>0</v>
      </c>
      <c r="CT114" s="142">
        <f ca="1">IF(AND(CT110="PUD",CT112&lt;$E$114),CT112-$E$114-SUM($I$114:CS114),0)</f>
        <v>0</v>
      </c>
      <c r="CU114" s="142">
        <f ca="1">IF(AND(CU110="PUD",CU112&lt;$E$114),CU112-$E$114-SUM($I$114:CT114),0)</f>
        <v>0</v>
      </c>
      <c r="CV114" s="142">
        <f ca="1">IF(AND(CV110="PUD",CV112&lt;$E$114),CV112-$E$114-SUM($I$114:CU114),0)</f>
        <v>0</v>
      </c>
      <c r="CW114" s="142">
        <f ca="1">IF(AND(CW110="PUD",CW112&lt;$E$114),CW112-$E$114-SUM($I$114:CV114),0)</f>
        <v>0</v>
      </c>
      <c r="CX114" s="142">
        <f ca="1">IF(AND(CX110="PUD",CX112&lt;$E$114),CX112-$E$114-SUM($I$114:CW114),0)</f>
        <v>0</v>
      </c>
      <c r="CY114" s="142">
        <f ca="1">IF(AND(CY110="PUD",CY112&lt;$E$114),CY112-$E$114-SUM($I$114:CX114),0)</f>
        <v>0</v>
      </c>
      <c r="CZ114" s="142">
        <f ca="1">IF(AND(CZ110="PUD",CZ112&lt;$E$114),CZ112-$E$114-SUM($I$114:CY114),0)</f>
        <v>0</v>
      </c>
    </row>
    <row r="115" spans="2:104" x14ac:dyDescent="0.2">
      <c r="H115" s="123"/>
    </row>
    <row r="116" spans="2:104" x14ac:dyDescent="0.2">
      <c r="D116" s="266" t="s">
        <v>226</v>
      </c>
    </row>
    <row r="118" spans="2:104" x14ac:dyDescent="0.2">
      <c r="C118" s="32"/>
    </row>
    <row r="122" spans="2:104" x14ac:dyDescent="0.2">
      <c r="D122" s="284"/>
    </row>
  </sheetData>
  <pageMargins left="0.23622047244094491" right="0.23622047244094491" top="0.74803149606299213" bottom="0.74803149606299213" header="0.31496062992125984" footer="0.31496062992125984"/>
  <pageSetup paperSize="3" scale="49" fitToWidth="0" orientation="landscape" r:id="rId1"/>
  <ignoredErrors>
    <ignoredError sqref="E12 E15 D98 D104 J93:CZ93"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5362" r:id="rId4" name="Drop Down 2">
              <controlPr defaultSize="0" autoLine="0" autoPict="0">
                <anchor moveWithCells="1">
                  <from>
                    <xdr:col>1</xdr:col>
                    <xdr:colOff>180975</xdr:colOff>
                    <xdr:row>34</xdr:row>
                    <xdr:rowOff>0</xdr:rowOff>
                  </from>
                  <to>
                    <xdr:col>1</xdr:col>
                    <xdr:colOff>1552575</xdr:colOff>
                    <xdr:row>35</xdr:row>
                    <xdr:rowOff>28575</xdr:rowOff>
                  </to>
                </anchor>
              </controlPr>
            </control>
          </mc:Choice>
        </mc:AlternateContent>
        <mc:AlternateContent xmlns:mc="http://schemas.openxmlformats.org/markup-compatibility/2006">
          <mc:Choice Requires="x14">
            <control shapeId="15361" r:id="rId5" name="Drop Down 1">
              <controlPr defaultSize="0" autoLine="0" autoPict="0">
                <anchor moveWithCells="1">
                  <from>
                    <xdr:col>1</xdr:col>
                    <xdr:colOff>142875</xdr:colOff>
                    <xdr:row>38</xdr:row>
                    <xdr:rowOff>28575</xdr:rowOff>
                  </from>
                  <to>
                    <xdr:col>1</xdr:col>
                    <xdr:colOff>1552575</xdr:colOff>
                    <xdr:row>39</xdr:row>
                    <xdr:rowOff>28575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theme="9" tint="0.59999389629810485"/>
    <pageSetUpPr fitToPage="1"/>
  </sheetPr>
  <dimension ref="A1:T197"/>
  <sheetViews>
    <sheetView showGridLines="0" topLeftCell="A39" zoomScale="120" zoomScaleNormal="120" zoomScaleSheetLayoutView="115" workbookViewId="0">
      <selection activeCell="N29" sqref="N29"/>
    </sheetView>
  </sheetViews>
  <sheetFormatPr defaultRowHeight="15" outlineLevelRow="1" x14ac:dyDescent="0.25"/>
  <cols>
    <col min="1" max="1" width="7.140625" customWidth="1"/>
    <col min="2" max="2" width="9.85546875" customWidth="1"/>
    <col min="3" max="5" width="9.5703125" customWidth="1"/>
    <col min="6" max="6" width="11.140625" customWidth="1"/>
    <col min="7" max="7" width="10.85546875" bestFit="1" customWidth="1"/>
    <col min="8" max="8" width="10.42578125" customWidth="1"/>
    <col min="9" max="12" width="10.85546875" bestFit="1" customWidth="1"/>
    <col min="13" max="13" width="8.85546875" customWidth="1"/>
    <col min="15" max="15" width="10.85546875" bestFit="1" customWidth="1"/>
  </cols>
  <sheetData>
    <row r="1" spans="1:19" s="164" customFormat="1" ht="10.35" customHeight="1" x14ac:dyDescent="0.2">
      <c r="M1" s="59" t="str">
        <f>"Currently running: "&amp;CHOOSE('12. Sensitivity'!$E$8,'12. Sensitivity'!$B$11,'12. Sensitivity'!$B$12,'12. Sensitivity'!$B$13)</f>
        <v>Currently running: Base Case</v>
      </c>
    </row>
    <row r="2" spans="1:19" s="164" customFormat="1" ht="10.35" customHeight="1" x14ac:dyDescent="0.2">
      <c r="A2" s="962" t="str">
        <f>'3. Headline #s'!A10</f>
        <v>Apartment Development Model 
Reverse 1B</v>
      </c>
      <c r="B2" s="962"/>
      <c r="C2" s="962"/>
      <c r="D2" s="962"/>
      <c r="E2" s="962"/>
      <c r="F2" s="962"/>
      <c r="G2" s="962"/>
      <c r="H2" s="962"/>
      <c r="I2" s="962"/>
      <c r="J2" s="962"/>
      <c r="K2" s="962"/>
      <c r="L2" s="962"/>
      <c r="M2" s="962"/>
    </row>
    <row r="3" spans="1:19" s="164" customFormat="1" ht="10.35" customHeight="1" x14ac:dyDescent="0.2">
      <c r="A3" s="962" t="str">
        <f>'3. Headline #s'!A12</f>
        <v>2240 Birchmount Road, Scarborough, ON</v>
      </c>
      <c r="B3" s="962"/>
      <c r="C3" s="962"/>
      <c r="D3" s="962"/>
      <c r="E3" s="962"/>
      <c r="F3" s="962"/>
      <c r="G3" s="962"/>
      <c r="H3" s="962"/>
      <c r="I3" s="962"/>
      <c r="J3" s="962"/>
      <c r="K3" s="962"/>
      <c r="L3" s="962"/>
      <c r="M3" s="962"/>
    </row>
    <row r="4" spans="1:19" s="164" customFormat="1" ht="10.35" customHeight="1" x14ac:dyDescent="0.2">
      <c r="A4" s="963" t="s">
        <v>214</v>
      </c>
      <c r="B4" s="963"/>
      <c r="C4" s="963"/>
      <c r="D4" s="963"/>
      <c r="E4" s="963"/>
      <c r="F4" s="963"/>
      <c r="G4" s="963"/>
      <c r="H4" s="963"/>
      <c r="I4" s="963"/>
      <c r="J4" s="963"/>
      <c r="K4" s="963"/>
      <c r="L4" s="963"/>
      <c r="M4" s="963"/>
    </row>
    <row r="5" spans="1:19" ht="3.6" customHeight="1" thickBot="1" x14ac:dyDescent="0.3">
      <c r="A5" s="1"/>
      <c r="B5" s="1"/>
      <c r="C5" s="1"/>
      <c r="D5" s="1"/>
      <c r="E5" s="1"/>
      <c r="F5" s="1"/>
      <c r="G5" s="1"/>
      <c r="H5" s="1"/>
      <c r="I5" s="1"/>
      <c r="J5" s="1"/>
      <c r="K5" s="1"/>
      <c r="L5" s="1"/>
      <c r="M5" s="1"/>
    </row>
    <row r="6" spans="1:19" ht="4.3499999999999996" customHeight="1" x14ac:dyDescent="0.25"/>
    <row r="7" spans="1:19" ht="36.6" customHeight="1" x14ac:dyDescent="0.25"/>
    <row r="8" spans="1:19" s="164" customFormat="1" ht="11.25" x14ac:dyDescent="0.2">
      <c r="A8" s="218"/>
      <c r="B8" s="226" t="s">
        <v>287</v>
      </c>
      <c r="C8" s="219"/>
      <c r="D8" s="219"/>
      <c r="E8" s="219"/>
      <c r="F8" s="219"/>
      <c r="G8" s="219"/>
      <c r="H8" s="226"/>
      <c r="I8" s="219"/>
      <c r="J8" s="219"/>
      <c r="K8" s="219"/>
      <c r="L8" s="219"/>
      <c r="M8" s="219"/>
    </row>
    <row r="9" spans="1:19" s="164" customFormat="1" ht="11.25" x14ac:dyDescent="0.2">
      <c r="B9" s="164" t="s">
        <v>190</v>
      </c>
      <c r="E9" s="273">
        <v>0.02</v>
      </c>
      <c r="H9" s="164" t="s">
        <v>212</v>
      </c>
      <c r="K9" s="221">
        <f ca="1">'7. Op Rev and Exp'!H57</f>
        <v>4899902.7728865594</v>
      </c>
      <c r="O9" s="225"/>
    </row>
    <row r="10" spans="1:19" s="164" customFormat="1" ht="11.25" x14ac:dyDescent="0.2">
      <c r="B10" s="164" t="s">
        <v>191</v>
      </c>
      <c r="E10" s="273">
        <v>0.02</v>
      </c>
      <c r="H10" s="164" t="s">
        <v>19</v>
      </c>
      <c r="K10" s="285">
        <f>'7. Op Rev and Exp'!D56</f>
        <v>4.4999999999999998E-2</v>
      </c>
    </row>
    <row r="11" spans="1:19" s="164" customFormat="1" ht="11.25" x14ac:dyDescent="0.2">
      <c r="B11" s="164" t="s">
        <v>107</v>
      </c>
      <c r="E11" s="273">
        <v>0.01</v>
      </c>
      <c r="H11" s="164" t="s">
        <v>23</v>
      </c>
      <c r="K11" s="222">
        <f ca="1">K9/K10</f>
        <v>108886728.28636798</v>
      </c>
    </row>
    <row r="12" spans="1:19" s="164" customFormat="1" ht="11.25" x14ac:dyDescent="0.2">
      <c r="B12" s="164" t="s">
        <v>225</v>
      </c>
      <c r="E12" s="887">
        <f>'6. Debt Stack &amp; Financing'!D32</f>
        <v>1.1000000000000001</v>
      </c>
      <c r="H12" s="164" t="s">
        <v>231</v>
      </c>
      <c r="K12" s="222">
        <f ca="1">MIN(E13*K11,-PV(E14,E15,K9/E12))</f>
        <v>92243039.030557334</v>
      </c>
    </row>
    <row r="13" spans="1:19" s="164" customFormat="1" ht="11.25" x14ac:dyDescent="0.2">
      <c r="B13" s="164" t="s">
        <v>18</v>
      </c>
      <c r="E13" s="220">
        <f>'6. Debt Stack &amp; Financing'!D31</f>
        <v>0.95</v>
      </c>
      <c r="H13" s="164" t="s">
        <v>229</v>
      </c>
      <c r="K13" s="164">
        <v>1</v>
      </c>
      <c r="S13" s="164" t="s">
        <v>230</v>
      </c>
    </row>
    <row r="14" spans="1:19" s="164" customFormat="1" ht="11.25" x14ac:dyDescent="0.2">
      <c r="B14" s="164" t="s">
        <v>188</v>
      </c>
      <c r="E14" s="275">
        <f>'6. Debt Stack &amp; Financing'!D34</f>
        <v>3.6999999999999998E-2</v>
      </c>
      <c r="H14" s="164" t="s">
        <v>213</v>
      </c>
      <c r="K14" s="222">
        <f ca="1">IF(K13=1,K12,MIN(K12,'10. Development Cash Flow'!E99))</f>
        <v>92243039.030557334</v>
      </c>
      <c r="S14" s="164" t="s">
        <v>228</v>
      </c>
    </row>
    <row r="15" spans="1:19" s="164" customFormat="1" ht="11.25" x14ac:dyDescent="0.2">
      <c r="B15" s="164" t="s">
        <v>17</v>
      </c>
      <c r="E15" s="223">
        <f>'6. Debt Stack &amp; Financing'!D33</f>
        <v>40</v>
      </c>
      <c r="H15" s="164" t="s">
        <v>227</v>
      </c>
      <c r="K15" s="222">
        <f ca="1">'9. Development Costs'!H89-'11. 10-Yr Cash Flow IRR'!K14</f>
        <v>2197511.766438961</v>
      </c>
      <c r="L15" s="264">
        <f ca="1">K14/K11</f>
        <v>0.84714675959370944</v>
      </c>
      <c r="M15" s="227" t="s">
        <v>222</v>
      </c>
    </row>
    <row r="16" spans="1:19" s="164" customFormat="1" ht="11.25" x14ac:dyDescent="0.2">
      <c r="B16" s="164" t="s">
        <v>292</v>
      </c>
      <c r="E16" s="346">
        <f ca="1">+'10. Development Cash Flow'!D107</f>
        <v>0.90004516174413252</v>
      </c>
      <c r="H16" s="164" t="s">
        <v>20</v>
      </c>
      <c r="K16" s="224">
        <f ca="1">-PMT(E14/12,E15*12,K14)*12</f>
        <v>4421871.6847100994</v>
      </c>
      <c r="L16" s="267">
        <f ca="1">K9/K16</f>
        <v>1.1081060515232477</v>
      </c>
      <c r="M16" s="227" t="s">
        <v>224</v>
      </c>
    </row>
    <row r="17" spans="1:14" s="164" customFormat="1" ht="4.3499999999999996" customHeight="1" x14ac:dyDescent="0.2">
      <c r="A17" s="229"/>
      <c r="B17" s="229"/>
      <c r="C17" s="229"/>
      <c r="D17" s="229"/>
      <c r="E17" s="229"/>
      <c r="F17" s="229"/>
      <c r="G17" s="229"/>
      <c r="H17" s="229"/>
      <c r="I17" s="229"/>
      <c r="J17" s="229"/>
      <c r="K17" s="229"/>
      <c r="L17" s="229"/>
      <c r="M17" s="229"/>
    </row>
    <row r="18" spans="1:14" s="164" customFormat="1" ht="4.3499999999999996" customHeight="1" x14ac:dyDescent="0.2"/>
    <row r="19" spans="1:14" s="164" customFormat="1" ht="11.25" x14ac:dyDescent="0.2">
      <c r="A19" s="239"/>
      <c r="B19" s="226" t="s">
        <v>219</v>
      </c>
      <c r="C19" s="240">
        <v>1</v>
      </c>
      <c r="D19" s="240">
        <v>2</v>
      </c>
      <c r="E19" s="240">
        <v>3</v>
      </c>
      <c r="F19" s="240">
        <v>4</v>
      </c>
      <c r="G19" s="240">
        <v>5</v>
      </c>
      <c r="H19" s="240">
        <v>6</v>
      </c>
      <c r="I19" s="240">
        <v>7</v>
      </c>
      <c r="J19" s="240">
        <v>8</v>
      </c>
      <c r="K19" s="240">
        <v>9</v>
      </c>
      <c r="L19" s="240">
        <v>10</v>
      </c>
      <c r="M19" s="259"/>
      <c r="N19" s="165"/>
    </row>
    <row r="20" spans="1:14" s="164" customFormat="1" ht="11.25" x14ac:dyDescent="0.2">
      <c r="A20" s="256"/>
      <c r="B20" s="256"/>
      <c r="C20" s="257">
        <f ca="1">YEAR('8. Schedule'!D8)</f>
        <v>2026</v>
      </c>
      <c r="D20" s="257">
        <f ca="1">C20+1</f>
        <v>2027</v>
      </c>
      <c r="E20" s="257">
        <f t="shared" ref="E20:L20" ca="1" si="0">D20+1</f>
        <v>2028</v>
      </c>
      <c r="F20" s="257">
        <f t="shared" ca="1" si="0"/>
        <v>2029</v>
      </c>
      <c r="G20" s="257">
        <f t="shared" ca="1" si="0"/>
        <v>2030</v>
      </c>
      <c r="H20" s="257">
        <f t="shared" ca="1" si="0"/>
        <v>2031</v>
      </c>
      <c r="I20" s="257">
        <f t="shared" ca="1" si="0"/>
        <v>2032</v>
      </c>
      <c r="J20" s="257">
        <f t="shared" ca="1" si="0"/>
        <v>2033</v>
      </c>
      <c r="K20" s="257">
        <f t="shared" ca="1" si="0"/>
        <v>2034</v>
      </c>
      <c r="L20" s="257">
        <f t="shared" ca="1" si="0"/>
        <v>2035</v>
      </c>
      <c r="M20" s="260"/>
      <c r="N20" s="165"/>
    </row>
    <row r="21" spans="1:14" s="227" customFormat="1" ht="12" customHeight="1" x14ac:dyDescent="0.2">
      <c r="A21" s="227" t="s">
        <v>199</v>
      </c>
      <c r="C21" s="258">
        <f ca="1">IF(C$20&lt;YEAR('8. Schedule'!$E$21),0,IF(C$20=YEAR('8. Schedule'!$E$21),12-MONTH('8. Schedule'!$E$21),12))</f>
        <v>0</v>
      </c>
      <c r="D21" s="258">
        <f ca="1">IF(D$20&lt;YEAR('8. Schedule'!$E$21),0,IF(D$20=YEAR('8. Schedule'!$E$21),12-MONTH('8. Schedule'!$E$21),12))</f>
        <v>0</v>
      </c>
      <c r="E21" s="258">
        <f ca="1">IF(E$20&lt;YEAR('8. Schedule'!$E$21),0,IF(E$20=YEAR('8. Schedule'!$E$21),12-MONTH('8. Schedule'!$E$21),12))</f>
        <v>0</v>
      </c>
      <c r="F21" s="258">
        <f ca="1">IF(F$20&lt;YEAR('8. Schedule'!$E$21),0,IF(F$20=YEAR('8. Schedule'!$E$21),12-MONTH('8. Schedule'!$E$21),12))</f>
        <v>4</v>
      </c>
      <c r="G21" s="258">
        <f ca="1">IF(G$20&lt;YEAR('8. Schedule'!$E$21),0,IF(G$20=YEAR('8. Schedule'!$E$21),12-MONTH('8. Schedule'!$E$21),12))</f>
        <v>12</v>
      </c>
      <c r="H21" s="258">
        <f ca="1">IF(H$20&lt;YEAR('8. Schedule'!$E$21),0,IF(H$20=YEAR('8. Schedule'!$E$21),12-MONTH('8. Schedule'!$E$21),12))</f>
        <v>12</v>
      </c>
      <c r="I21" s="258">
        <f ca="1">IF(I$20&lt;YEAR('8. Schedule'!$E$21),0,IF(I$20=YEAR('8. Schedule'!$E$21),12-MONTH('8. Schedule'!$E$21),12))</f>
        <v>12</v>
      </c>
      <c r="J21" s="258">
        <f ca="1">IF(J$20&lt;YEAR('8. Schedule'!$E$21),0,IF(J$20=YEAR('8. Schedule'!$E$21),12-MONTH('8. Schedule'!$E$21),12))</f>
        <v>12</v>
      </c>
      <c r="K21" s="258">
        <f ca="1">IF(K$20&lt;YEAR('8. Schedule'!$E$21),0,IF(K$20=YEAR('8. Schedule'!$E$21),12-MONTH('8. Schedule'!$E$21),12))</f>
        <v>12</v>
      </c>
      <c r="L21" s="258">
        <f ca="1">IF(L$20&lt;YEAR('8. Schedule'!$E$21),0,IF(L$20=YEAR('8. Schedule'!$E$21),12-MONTH('8. Schedule'!$E$21),12))</f>
        <v>12</v>
      </c>
      <c r="M21" s="261"/>
    </row>
    <row r="22" spans="1:14" s="227" customFormat="1" ht="11.25" outlineLevel="1" x14ac:dyDescent="0.2">
      <c r="A22" s="227" t="s">
        <v>192</v>
      </c>
      <c r="C22" s="231">
        <f ca="1">(1+$E$9)^(C20-YEAR('8. Schedule'!$D$8))</f>
        <v>1</v>
      </c>
      <c r="D22" s="231">
        <f ca="1">(1+$E$9)^(D20-YEAR('8. Schedule'!$D$8))</f>
        <v>1.02</v>
      </c>
      <c r="E22" s="231">
        <f ca="1">(1+$E$9)^(E20-YEAR('8. Schedule'!$D$8))</f>
        <v>1.0404</v>
      </c>
      <c r="F22" s="231">
        <f ca="1">(1+$E$9)^(F20-YEAR('8. Schedule'!$D$8))</f>
        <v>1.0612079999999999</v>
      </c>
      <c r="G22" s="231">
        <f ca="1">(1+$E$9)^(G20-YEAR('8. Schedule'!$D$8))</f>
        <v>1.08243216</v>
      </c>
      <c r="H22" s="231">
        <f ca="1">(1+$E$9)^(H20-YEAR('8. Schedule'!$D$8))</f>
        <v>1.1040808032</v>
      </c>
      <c r="I22" s="231">
        <f ca="1">(1+$E$9)^(I20-YEAR('8. Schedule'!$D$8))</f>
        <v>1.1261624192640001</v>
      </c>
      <c r="J22" s="231">
        <f ca="1">(1+$E$9)^(J20-YEAR('8. Schedule'!$D$8))</f>
        <v>1.1486856676492798</v>
      </c>
      <c r="K22" s="231">
        <f ca="1">(1+$E$9)^(K20-YEAR('8. Schedule'!$D$8))</f>
        <v>1.1716593810022655</v>
      </c>
      <c r="L22" s="231">
        <f ca="1">(1+$E$9)^(L20-YEAR('8. Schedule'!$D$8))</f>
        <v>1.1950925686223108</v>
      </c>
      <c r="M22" s="231"/>
    </row>
    <row r="23" spans="1:14" s="227" customFormat="1" ht="11.25" outlineLevel="1" x14ac:dyDescent="0.2">
      <c r="A23" s="227" t="s">
        <v>193</v>
      </c>
      <c r="C23" s="231">
        <f ca="1">(1+$E$10)^(C20-YEAR('8. Schedule'!$D$8))</f>
        <v>1</v>
      </c>
      <c r="D23" s="231">
        <f ca="1">(1+$E$10)^(D20-YEAR('8. Schedule'!$D$8))</f>
        <v>1.02</v>
      </c>
      <c r="E23" s="231">
        <f ca="1">(1+$E$10)^(E20-YEAR('8. Schedule'!$D$8))</f>
        <v>1.0404</v>
      </c>
      <c r="F23" s="231">
        <f ca="1">(1+$E$10)^(F20-YEAR('8. Schedule'!$D$8))</f>
        <v>1.0612079999999999</v>
      </c>
      <c r="G23" s="231">
        <f ca="1">(1+$E$10)^(G20-YEAR('8. Schedule'!$D$8))</f>
        <v>1.08243216</v>
      </c>
      <c r="H23" s="231">
        <f ca="1">(1+$E$10)^(H20-YEAR('8. Schedule'!$D$8))</f>
        <v>1.1040808032</v>
      </c>
      <c r="I23" s="231">
        <f ca="1">(1+$E$10)^(I20-YEAR('8. Schedule'!$D$8))</f>
        <v>1.1261624192640001</v>
      </c>
      <c r="J23" s="231">
        <f ca="1">(1+$E$10)^(J20-YEAR('8. Schedule'!$D$8))</f>
        <v>1.1486856676492798</v>
      </c>
      <c r="K23" s="231">
        <f ca="1">(1+$E$10)^(K20-YEAR('8. Schedule'!$D$8))</f>
        <v>1.1716593810022655</v>
      </c>
      <c r="L23" s="231">
        <f ca="1">(1+$E$10)^(L20-YEAR('8. Schedule'!$D$8))</f>
        <v>1.1950925686223108</v>
      </c>
      <c r="M23" s="231"/>
    </row>
    <row r="24" spans="1:14" s="227" customFormat="1" ht="4.5" customHeight="1" outlineLevel="1" x14ac:dyDescent="0.2">
      <c r="C24" s="231"/>
      <c r="D24" s="231"/>
      <c r="E24" s="231"/>
      <c r="F24" s="231"/>
      <c r="G24" s="231"/>
      <c r="H24" s="231"/>
      <c r="I24" s="231"/>
      <c r="J24" s="231"/>
      <c r="K24" s="231"/>
      <c r="L24" s="231"/>
      <c r="M24" s="231"/>
    </row>
    <row r="25" spans="1:14" s="227" customFormat="1" ht="4.5" customHeight="1" x14ac:dyDescent="0.2">
      <c r="C25" s="231"/>
      <c r="D25" s="231"/>
      <c r="E25" s="231"/>
      <c r="F25" s="231"/>
      <c r="G25" s="231"/>
      <c r="H25" s="231"/>
      <c r="I25" s="231"/>
      <c r="J25" s="231"/>
      <c r="K25" s="231"/>
      <c r="L25" s="231"/>
      <c r="M25" s="231"/>
    </row>
    <row r="26" spans="1:14" s="164" customFormat="1" ht="11.25" x14ac:dyDescent="0.2">
      <c r="A26" s="164" t="s">
        <v>41</v>
      </c>
      <c r="C26" s="204">
        <f ca="1">C$21/12*C$22*'7. Op Rev and Exp'!$H$32</f>
        <v>0</v>
      </c>
      <c r="D26" s="204">
        <f ca="1">D$21/12*D$22*'7. Op Rev and Exp'!$H$32</f>
        <v>0</v>
      </c>
      <c r="E26" s="204">
        <f ca="1">E$21/12*E$22*'7. Op Rev and Exp'!$H$32</f>
        <v>0</v>
      </c>
      <c r="F26" s="204">
        <f ca="1">F$21/12*F$22*'7. Op Rev and Exp'!$H$32</f>
        <v>2310108.3215999994</v>
      </c>
      <c r="G26" s="204">
        <f ca="1">G$21/12*G$22*'7. Op Rev and Exp'!$H$32</f>
        <v>7068931.4640959995</v>
      </c>
      <c r="H26" s="204">
        <f ca="1">H$21/12*H$22*'7. Op Rev and Exp'!$H$32</f>
        <v>7210310.0933779199</v>
      </c>
      <c r="I26" s="204">
        <f ca="1">I$21/12*I$22*'7. Op Rev and Exp'!$H$32</f>
        <v>7354516.2952454789</v>
      </c>
      <c r="J26" s="204">
        <f ca="1">J$21/12*J$22*'7. Op Rev and Exp'!$H$32</f>
        <v>7501606.6211503865</v>
      </c>
      <c r="K26" s="204">
        <f ca="1">K$21/12*K$22*'7. Op Rev and Exp'!$H$32</f>
        <v>7651638.7535733953</v>
      </c>
      <c r="L26" s="204">
        <f ca="1">L$21/12*L$22*'7. Op Rev and Exp'!$H$32</f>
        <v>7804671.5286448635</v>
      </c>
      <c r="M26" s="204"/>
    </row>
    <row r="27" spans="1:14" s="164" customFormat="1" ht="11.25" x14ac:dyDescent="0.2">
      <c r="A27" s="164" t="s">
        <v>160</v>
      </c>
      <c r="C27" s="168">
        <f ca="1">-C$21/12*C$22*'7. Op Rev and Exp'!$H$33</f>
        <v>0</v>
      </c>
      <c r="D27" s="168">
        <f ca="1">-D$21/12*D$22*'7. Op Rev and Exp'!$H$33</f>
        <v>0</v>
      </c>
      <c r="E27" s="168">
        <f ca="1">-E$21/12*E$22*'7. Op Rev and Exp'!$H$33</f>
        <v>0</v>
      </c>
      <c r="F27" s="168">
        <f ca="1">-F$21/12*F$22*'7. Op Rev and Exp'!$H$33</f>
        <v>-69303.249647999983</v>
      </c>
      <c r="G27" s="168">
        <f ca="1">-G$21/12*G$22*'7. Op Rev and Exp'!$H$33</f>
        <v>-212067.94392287999</v>
      </c>
      <c r="H27" s="168">
        <f ca="1">-H$21/12*H$22*'7. Op Rev and Exp'!$H$33</f>
        <v>-216309.30280133762</v>
      </c>
      <c r="I27" s="168">
        <f ca="1">-I$21/12*I$22*'7. Op Rev and Exp'!$H$33</f>
        <v>-220635.48885736437</v>
      </c>
      <c r="J27" s="168">
        <f ca="1">-J$21/12*J$22*'7. Op Rev and Exp'!$H$33</f>
        <v>-225048.19863451162</v>
      </c>
      <c r="K27" s="168">
        <f ca="1">-K$21/12*K$22*'7. Op Rev and Exp'!$H$33</f>
        <v>-229549.16260720187</v>
      </c>
      <c r="L27" s="168">
        <f ca="1">-L$21/12*L$22*'7. Op Rev and Exp'!$H$33</f>
        <v>-234140.14585934588</v>
      </c>
      <c r="M27" s="168"/>
    </row>
    <row r="28" spans="1:14" s="164" customFormat="1" ht="11.25" x14ac:dyDescent="0.2">
      <c r="A28" s="229" t="s">
        <v>30</v>
      </c>
      <c r="B28" s="229"/>
      <c r="C28" s="232">
        <f ca="1">-C$21/12*C$23*'7. Op Rev and Exp'!$H$50</f>
        <v>0</v>
      </c>
      <c r="D28" s="232">
        <f ca="1">-D$21/12*D$23*'7. Op Rev and Exp'!$H$50</f>
        <v>0</v>
      </c>
      <c r="E28" s="232">
        <f ca="1">-E$21/12*E$23*'7. Op Rev and Exp'!$H$50</f>
        <v>0</v>
      </c>
      <c r="F28" s="232">
        <f ca="1">-F$21/12*F$23*'7. Op Rev and Exp'!$H$50</f>
        <v>-607504.14765647985</v>
      </c>
      <c r="G28" s="232">
        <f ca="1">-G$21/12*G$23*'7. Op Rev and Exp'!$H$50</f>
        <v>-1858962.6918288288</v>
      </c>
      <c r="H28" s="232">
        <f ca="1">-H$21/12*H$23*'7. Op Rev and Exp'!$H$50</f>
        <v>-1896141.9456654054</v>
      </c>
      <c r="I28" s="232">
        <f ca="1">-I$21/12*I$23*'7. Op Rev and Exp'!$H$50</f>
        <v>-1934064.7845787136</v>
      </c>
      <c r="J28" s="232">
        <f ca="1">-J$21/12*J$23*'7. Op Rev and Exp'!$H$50</f>
        <v>-1972746.0802702873</v>
      </c>
      <c r="K28" s="232">
        <f ca="1">-K$21/12*K$23*'7. Op Rev and Exp'!$H$50</f>
        <v>-2012201.0018756932</v>
      </c>
      <c r="L28" s="232">
        <f ca="1">-L$21/12*L$23*'7. Op Rev and Exp'!$H$50</f>
        <v>-2052445.0219132071</v>
      </c>
      <c r="M28" s="232"/>
    </row>
    <row r="29" spans="1:14" s="164" customFormat="1" ht="11.25" x14ac:dyDescent="0.2">
      <c r="A29" s="164" t="s">
        <v>206</v>
      </c>
      <c r="C29" s="168">
        <f ca="1">SUM(C26:C28)</f>
        <v>0</v>
      </c>
      <c r="D29" s="168">
        <f t="shared" ref="D29:L29" ca="1" si="1">SUM(D26:D28)</f>
        <v>0</v>
      </c>
      <c r="E29" s="168">
        <f t="shared" ca="1" si="1"/>
        <v>0</v>
      </c>
      <c r="F29" s="168">
        <f t="shared" ca="1" si="1"/>
        <v>1633300.9242955195</v>
      </c>
      <c r="G29" s="168">
        <f t="shared" ca="1" si="1"/>
        <v>4997900.8283442911</v>
      </c>
      <c r="H29" s="168">
        <f t="shared" ca="1" si="1"/>
        <v>5097858.8449111767</v>
      </c>
      <c r="I29" s="168">
        <f t="shared" ca="1" si="1"/>
        <v>5199816.021809401</v>
      </c>
      <c r="J29" s="168">
        <f t="shared" ca="1" si="1"/>
        <v>5303812.3422455871</v>
      </c>
      <c r="K29" s="168">
        <f t="shared" ca="1" si="1"/>
        <v>5409888.5890905</v>
      </c>
      <c r="L29" s="168">
        <f t="shared" ca="1" si="1"/>
        <v>5518086.3608723106</v>
      </c>
      <c r="M29" s="168"/>
    </row>
    <row r="30" spans="1:14" s="164" customFormat="1" ht="11.25" x14ac:dyDescent="0.2">
      <c r="G30" s="222"/>
    </row>
    <row r="31" spans="1:14" s="164" customFormat="1" ht="11.25" x14ac:dyDescent="0.2">
      <c r="A31" s="164" t="s">
        <v>209</v>
      </c>
      <c r="C31" s="168">
        <f ca="1">IF(C20&lt;=YEAR('8. Schedule'!$E$21),SUMIFS('10. Development Cash Flow'!$I98:$CZ98,'10. Development Cash Flow'!$I5:$CZ5,C$20,'10. Development Cash Flow'!$I110:$CZ110,"PUD"),0)</f>
        <v>-12371918.560778832</v>
      </c>
      <c r="D31" s="168">
        <f ca="1">IF(D20&lt;=YEAR('8. Schedule'!$E$21),SUMIFS('10. Development Cash Flow'!$I98:$CZ98,'10. Development Cash Flow'!$I5:$CZ5,D$20,'10. Development Cash Flow'!$I110:$CZ110,"PUD"),0)</f>
        <v>-33553029.22256209</v>
      </c>
      <c r="E31" s="168">
        <f ca="1">IF(E20&lt;=YEAR('8. Schedule'!$E$21),SUMIFS('10. Development Cash Flow'!$I98:$CZ98,'10. Development Cash Flow'!$I5:$CZ5,E$20,'10. Development Cash Flow'!$I110:$CZ110,"PUD"),0)</f>
        <v>-47091995.219278209</v>
      </c>
      <c r="F31" s="168">
        <f ca="1">IF(F20&lt;=YEAR('8. Schedule'!$E$21),SUMIFS('10. Development Cash Flow'!$I98:$CZ98,'10. Development Cash Flow'!$I5:$CZ5,F$20,'10. Development Cash Flow'!$I110:$CZ110,"PUD"),0)</f>
        <v>-1423607.7943771388</v>
      </c>
      <c r="G31" s="168">
        <f ca="1">IF(G20&lt;=YEAR('8. Schedule'!$E$21),SUMIFS('10. Development Cash Flow'!$I98:$CZ98,'10. Development Cash Flow'!$I5:$CZ5,G$20,'10. Development Cash Flow'!$I110:$CZ110,"PUD"),0)</f>
        <v>0</v>
      </c>
      <c r="H31" s="168">
        <f ca="1">IF(H20&lt;=YEAR('8. Schedule'!$E$21),SUMIFS('10. Development Cash Flow'!$I98:$CZ98,'10. Development Cash Flow'!$I5:$CZ5,H$20,'10. Development Cash Flow'!$I110:$CZ110,"PUD"),0)</f>
        <v>0</v>
      </c>
      <c r="I31" s="168">
        <f ca="1">IF(I20&lt;=YEAR('8. Schedule'!$E$21),SUMIFS('10. Development Cash Flow'!$I98:$CZ98,'10. Development Cash Flow'!$I5:$CZ5,I$20,'10. Development Cash Flow'!$I110:$CZ110,"PUD"),0)</f>
        <v>0</v>
      </c>
      <c r="J31" s="168">
        <f ca="1">IF(J20&lt;=YEAR('8. Schedule'!$E$21),SUMIFS('10. Development Cash Flow'!$I98:$CZ98,'10. Development Cash Flow'!$I5:$CZ5,J$20,'10. Development Cash Flow'!$I110:$CZ110,"PUD"),0)</f>
        <v>0</v>
      </c>
      <c r="K31" s="168">
        <f ca="1">IF(K20&lt;=YEAR('8. Schedule'!$E$21),SUMIFS('10. Development Cash Flow'!$I98:$CZ98,'10. Development Cash Flow'!$I5:$CZ5,K$20,'10. Development Cash Flow'!$I110:$CZ110,"PUD"),0)</f>
        <v>0</v>
      </c>
      <c r="L31" s="168">
        <f ca="1">IF(L20&lt;=YEAR('8. Schedule'!$E$21),SUMIFS('10. Development Cash Flow'!$I98:$CZ98,'10. Development Cash Flow'!$I5:$CZ5,L$20,'10. Development Cash Flow'!$I110:$CZ110,"PUD"),0)</f>
        <v>0</v>
      </c>
    </row>
    <row r="32" spans="1:14" s="164" customFormat="1" ht="11.25" x14ac:dyDescent="0.2">
      <c r="A32" s="164" t="s">
        <v>189</v>
      </c>
      <c r="C32" s="168">
        <f t="shared" ref="C32:L32" ca="1" si="2">IF(C34=MAX($C$34:$L$34),C57-C31-C34,C57-C31)</f>
        <v>2932130.5607788321</v>
      </c>
      <c r="D32" s="168">
        <f t="shared" ca="1" si="2"/>
        <v>33553029.22256209</v>
      </c>
      <c r="E32" s="168">
        <f t="shared" ca="1" si="2"/>
        <v>47091995.219278209</v>
      </c>
      <c r="F32" s="168">
        <f t="shared" ca="1" si="2"/>
        <v>-88355344.657963067</v>
      </c>
      <c r="G32" s="168">
        <f ca="1">IF(G34=MAX($C$34:$L$34),G57-G31-G34,G57-G31)</f>
        <v>0</v>
      </c>
      <c r="H32" s="168">
        <f t="shared" ca="1" si="2"/>
        <v>0</v>
      </c>
      <c r="I32" s="168">
        <f t="shared" ca="1" si="2"/>
        <v>0</v>
      </c>
      <c r="J32" s="168">
        <f t="shared" ca="1" si="2"/>
        <v>0</v>
      </c>
      <c r="K32" s="168">
        <f t="shared" ca="1" si="2"/>
        <v>0</v>
      </c>
      <c r="L32" s="168">
        <f t="shared" ca="1" si="2"/>
        <v>0</v>
      </c>
      <c r="M32" s="168"/>
    </row>
    <row r="33" spans="1:20" s="164" customFormat="1" ht="11.25" x14ac:dyDescent="0.2">
      <c r="A33" s="164" t="s">
        <v>69</v>
      </c>
      <c r="C33" s="170">
        <f ca="1">C32</f>
        <v>2932130.5607788321</v>
      </c>
      <c r="D33" s="170">
        <f ca="1">IF(AND(C33+D32&lt;10,C33+D32&gt;-10),0,C33+D32)</f>
        <v>36485159.783340923</v>
      </c>
      <c r="E33" s="170">
        <f t="shared" ref="E33:L33" ca="1" si="3">IF(AND(D33+E32&lt;10,D33+E32&gt;-10),0,D33+E32)</f>
        <v>83577155.002619132</v>
      </c>
      <c r="F33" s="170">
        <f t="shared" ca="1" si="3"/>
        <v>-4778189.6553439349</v>
      </c>
      <c r="G33" s="170">
        <f t="shared" ca="1" si="3"/>
        <v>-4778189.6553439349</v>
      </c>
      <c r="H33" s="170">
        <f t="shared" ca="1" si="3"/>
        <v>-4778189.6553439349</v>
      </c>
      <c r="I33" s="170">
        <f t="shared" ca="1" si="3"/>
        <v>-4778189.6553439349</v>
      </c>
      <c r="J33" s="170">
        <f t="shared" ca="1" si="3"/>
        <v>-4778189.6553439349</v>
      </c>
      <c r="K33" s="170">
        <f t="shared" ca="1" si="3"/>
        <v>-4778189.6553439349</v>
      </c>
      <c r="L33" s="170">
        <f t="shared" ca="1" si="3"/>
        <v>-4778189.6553439349</v>
      </c>
      <c r="M33" s="170"/>
    </row>
    <row r="34" spans="1:20" s="164" customFormat="1" ht="11.25" x14ac:dyDescent="0.2">
      <c r="A34" s="371" t="s">
        <v>194</v>
      </c>
      <c r="B34" s="371"/>
      <c r="C34" s="372">
        <v>0</v>
      </c>
      <c r="D34" s="372">
        <f ca="1">IF(D20&lt;YEAR('8. Schedule'!$E$21),0,IF(D20=YEAR('8. Schedule'!$E$21),$K$14,'11. 10-Yr Cash Flow IRR'!C34+'11. 10-Yr Cash Flow IRR'!C38))</f>
        <v>0</v>
      </c>
      <c r="E34" s="372">
        <f ca="1">IF(E20&lt;YEAR('8. Schedule'!$E$21),0,IF(E20=YEAR('8. Schedule'!$E$21),$K$14,'11. 10-Yr Cash Flow IRR'!D34+'11. 10-Yr Cash Flow IRR'!D38))</f>
        <v>0</v>
      </c>
      <c r="F34" s="372">
        <f ca="1">IF(F20&lt;YEAR('8. Schedule'!$E$21),0,IF(F20=YEAR('8. Schedule'!$E$21),$K$14,'11. 10-Yr Cash Flow IRR'!E34+'11. 10-Yr Cash Flow IRR'!E38))</f>
        <v>92243039.030557334</v>
      </c>
      <c r="G34" s="372">
        <f ca="1">IF(G20&lt;YEAR('8. Schedule'!$E$21),0,IF(G20=YEAR('8. Schedule'!$E$21),$K$14,'11. 10-Yr Cash Flow IRR'!F34+'11. 10-Yr Cash Flow IRR'!F38))</f>
        <v>91905187.395284206</v>
      </c>
      <c r="H34" s="372">
        <f ca="1">IF(H20&lt;YEAR('8. Schedule'!$E$21),0,IF(H20=YEAR('8. Schedule'!$E$21),$K$14,'11. 10-Yr Cash Flow IRR'!G34+'11. 10-Yr Cash Flow IRR'!G38))</f>
        <v>90866307.48444654</v>
      </c>
      <c r="I34" s="372">
        <f ca="1">IF(I20&lt;YEAR('8. Schedule'!$E$21),0,IF(I20=YEAR('8. Schedule'!$E$21),$K$14,'11. 10-Yr Cash Flow IRR'!H34+'11. 10-Yr Cash Flow IRR'!H38))</f>
        <v>89788330.416732743</v>
      </c>
      <c r="J34" s="372">
        <f ca="1">IF(J20&lt;YEAR('8. Schedule'!$E$21),0,IF(J20=YEAR('8. Schedule'!$E$21),$K$14,'11. 10-Yr Cash Flow IRR'!I34+'11. 10-Yr Cash Flow IRR'!I38))</f>
        <v>88669784.811610907</v>
      </c>
      <c r="K34" s="372">
        <f ca="1">IF(K20&lt;YEAR('8. Schedule'!$E$21),0,IF(K20=YEAR('8. Schedule'!$E$21),$K$14,'11. 10-Yr Cash Flow IRR'!J34+'11. 10-Yr Cash Flow IRR'!J38))</f>
        <v>87509143.914684564</v>
      </c>
      <c r="L34" s="372">
        <f ca="1">IF(L20&lt;YEAR('8. Schedule'!$E$21),0,IF(L20=YEAR('8. Schedule'!$E$21),$K$14,'11. 10-Yr Cash Flow IRR'!K34+'11. 10-Yr Cash Flow IRR'!K38))</f>
        <v>86304823.513755307</v>
      </c>
      <c r="M34" s="372"/>
    </row>
    <row r="35" spans="1:20" s="164" customFormat="1" ht="11.25" x14ac:dyDescent="0.2">
      <c r="C35" s="168"/>
      <c r="D35" s="168"/>
      <c r="E35" s="168"/>
      <c r="F35" s="168"/>
      <c r="G35" s="168"/>
      <c r="H35" s="168"/>
      <c r="I35" s="168"/>
      <c r="J35" s="168"/>
      <c r="K35" s="168"/>
      <c r="L35" s="168"/>
      <c r="M35" s="168"/>
    </row>
    <row r="36" spans="1:20" s="164" customFormat="1" ht="11.25" x14ac:dyDescent="0.2">
      <c r="A36" s="371" t="s">
        <v>206</v>
      </c>
      <c r="B36" s="371"/>
      <c r="C36" s="372">
        <f ca="1">C29</f>
        <v>0</v>
      </c>
      <c r="D36" s="372">
        <f t="shared" ref="D36:L36" ca="1" si="4">D29</f>
        <v>0</v>
      </c>
      <c r="E36" s="372">
        <f t="shared" ca="1" si="4"/>
        <v>0</v>
      </c>
      <c r="F36" s="372">
        <f t="shared" ca="1" si="4"/>
        <v>1633300.9242955195</v>
      </c>
      <c r="G36" s="372">
        <f t="shared" ca="1" si="4"/>
        <v>4997900.8283442911</v>
      </c>
      <c r="H36" s="372">
        <f t="shared" ca="1" si="4"/>
        <v>5097858.8449111767</v>
      </c>
      <c r="I36" s="372">
        <f t="shared" ca="1" si="4"/>
        <v>5199816.021809401</v>
      </c>
      <c r="J36" s="372">
        <f t="shared" ca="1" si="4"/>
        <v>5303812.3422455871</v>
      </c>
      <c r="K36" s="372">
        <f t="shared" ca="1" si="4"/>
        <v>5409888.5890905</v>
      </c>
      <c r="L36" s="372">
        <f t="shared" ca="1" si="4"/>
        <v>5518086.3608723106</v>
      </c>
      <c r="M36" s="372"/>
    </row>
    <row r="37" spans="1:20" s="164" customFormat="1" ht="11.25" x14ac:dyDescent="0.2">
      <c r="A37" s="164" t="s">
        <v>207</v>
      </c>
      <c r="C37" s="168">
        <f t="shared" ref="C37:L37" ca="1" si="5">SUMIF($C$76:$C$195,C$20,$E76:$E195)</f>
        <v>0</v>
      </c>
      <c r="D37" s="168">
        <f t="shared" ca="1" si="5"/>
        <v>0</v>
      </c>
      <c r="E37" s="168">
        <f t="shared" ca="1" si="5"/>
        <v>0</v>
      </c>
      <c r="F37" s="168">
        <f t="shared" ca="1" si="5"/>
        <v>-1136105.5929635703</v>
      </c>
      <c r="G37" s="168">
        <f t="shared" ca="1" si="5"/>
        <v>-3382991.7738724314</v>
      </c>
      <c r="H37" s="168">
        <f t="shared" ca="1" si="5"/>
        <v>-3343894.6169963009</v>
      </c>
      <c r="I37" s="168">
        <f t="shared" ca="1" si="5"/>
        <v>-3303326.0795882624</v>
      </c>
      <c r="J37" s="168">
        <f t="shared" ca="1" si="5"/>
        <v>-3261230.7877837527</v>
      </c>
      <c r="K37" s="168">
        <f t="shared" ca="1" si="5"/>
        <v>-3217551.2837808374</v>
      </c>
      <c r="L37" s="168">
        <f t="shared" ca="1" si="5"/>
        <v>-3172227.9474134138</v>
      </c>
      <c r="O37" s="964" t="s">
        <v>804</v>
      </c>
      <c r="P37" s="965"/>
      <c r="Q37" s="965"/>
      <c r="R37" s="965"/>
      <c r="S37" s="965"/>
      <c r="T37" s="966"/>
    </row>
    <row r="38" spans="1:20" s="164" customFormat="1" ht="11.25" x14ac:dyDescent="0.2">
      <c r="A38" s="229" t="s">
        <v>197</v>
      </c>
      <c r="B38" s="229"/>
      <c r="C38" s="232">
        <f t="shared" ref="C38:L38" ca="1" si="6">SUMIF($C$76:$C$195,C$20,$D76:$D195)</f>
        <v>0</v>
      </c>
      <c r="D38" s="232">
        <f t="shared" ca="1" si="6"/>
        <v>0</v>
      </c>
      <c r="E38" s="232">
        <f t="shared" ca="1" si="6"/>
        <v>0</v>
      </c>
      <c r="F38" s="232">
        <f t="shared" ca="1" si="6"/>
        <v>-337851.63527312945</v>
      </c>
      <c r="G38" s="232">
        <f t="shared" ca="1" si="6"/>
        <v>-1038879.9108376676</v>
      </c>
      <c r="H38" s="232">
        <f t="shared" ca="1" si="6"/>
        <v>-1077977.067713798</v>
      </c>
      <c r="I38" s="232">
        <f t="shared" ca="1" si="6"/>
        <v>-1118545.6051218363</v>
      </c>
      <c r="J38" s="232">
        <f t="shared" ca="1" si="6"/>
        <v>-1160640.8969263465</v>
      </c>
      <c r="K38" s="232">
        <f t="shared" ca="1" si="6"/>
        <v>-1204320.4009292615</v>
      </c>
      <c r="L38" s="232">
        <f t="shared" ca="1" si="6"/>
        <v>-1249643.7372966858</v>
      </c>
      <c r="M38" s="232"/>
      <c r="O38" s="889">
        <f>G19</f>
        <v>5</v>
      </c>
      <c r="P38" s="164">
        <f t="shared" ref="P38:T38" si="7">H19</f>
        <v>6</v>
      </c>
      <c r="Q38" s="164">
        <f t="shared" si="7"/>
        <v>7</v>
      </c>
      <c r="R38" s="164">
        <f t="shared" si="7"/>
        <v>8</v>
      </c>
      <c r="S38" s="164">
        <f t="shared" si="7"/>
        <v>9</v>
      </c>
      <c r="T38" s="166">
        <f t="shared" si="7"/>
        <v>10</v>
      </c>
    </row>
    <row r="39" spans="1:20" s="164" customFormat="1" ht="11.25" x14ac:dyDescent="0.2">
      <c r="A39" s="164" t="s">
        <v>210</v>
      </c>
      <c r="C39" s="168">
        <f ca="1">SUM(C36:C38)</f>
        <v>0</v>
      </c>
      <c r="D39" s="168">
        <f t="shared" ref="D39:L39" ca="1" si="8">SUM(D36:D38)</f>
        <v>0</v>
      </c>
      <c r="E39" s="168">
        <f t="shared" ca="1" si="8"/>
        <v>0</v>
      </c>
      <c r="F39" s="168">
        <f t="shared" ca="1" si="8"/>
        <v>159343.69605881977</v>
      </c>
      <c r="G39" s="168">
        <f t="shared" ca="1" si="8"/>
        <v>576029.14363419206</v>
      </c>
      <c r="H39" s="168">
        <f t="shared" ca="1" si="8"/>
        <v>675987.16020107782</v>
      </c>
      <c r="I39" s="168">
        <f t="shared" ca="1" si="8"/>
        <v>777944.33709930233</v>
      </c>
      <c r="J39" s="168">
        <f t="shared" ca="1" si="8"/>
        <v>881940.65753548802</v>
      </c>
      <c r="K39" s="168">
        <f t="shared" ca="1" si="8"/>
        <v>988016.90438040113</v>
      </c>
      <c r="L39" s="168">
        <f t="shared" ca="1" si="8"/>
        <v>1096214.676162211</v>
      </c>
      <c r="M39" s="168"/>
      <c r="O39" s="892">
        <f ca="1">-G36/(G37+G38)</f>
        <v>1.1302681725537127</v>
      </c>
      <c r="P39" s="890">
        <f t="shared" ref="P39:T39" ca="1" si="9">-H36/(H37+H38)</f>
        <v>1.1528735360047873</v>
      </c>
      <c r="Q39" s="890">
        <f t="shared" ca="1" si="9"/>
        <v>1.1759310067248832</v>
      </c>
      <c r="R39" s="890">
        <f t="shared" ca="1" si="9"/>
        <v>1.1994496268593802</v>
      </c>
      <c r="S39" s="890">
        <f t="shared" ca="1" si="9"/>
        <v>1.2234386193965683</v>
      </c>
      <c r="T39" s="891">
        <f t="shared" ca="1" si="9"/>
        <v>1.2479073917844994</v>
      </c>
    </row>
    <row r="40" spans="1:20" s="164" customFormat="1" ht="5.25" customHeight="1" thickBot="1" x14ac:dyDescent="0.25">
      <c r="C40" s="168"/>
      <c r="D40" s="168"/>
      <c r="E40" s="168"/>
      <c r="F40" s="168"/>
      <c r="G40" s="168"/>
      <c r="H40" s="168"/>
      <c r="I40" s="168"/>
      <c r="J40" s="168"/>
      <c r="K40" s="168"/>
      <c r="L40" s="168"/>
      <c r="M40" s="168"/>
    </row>
    <row r="41" spans="1:20" s="164" customFormat="1" ht="11.25" x14ac:dyDescent="0.2">
      <c r="A41" s="241" t="str">
        <f>"Valuation @ "&amp;TEXT('12. Sensitivity'!H13,"0.00%")&amp;" Cap rate"</f>
        <v>Valuation @ 4.75% Cap rate</v>
      </c>
      <c r="B41" s="242"/>
      <c r="C41" s="243">
        <f ca="1">IF(AND(C21&lt;&gt;0,C20&gt;=YEAR('8. Schedule'!$E$21)),'11. 10-Yr Cash Flow IRR'!C36/'11. 10-Yr Cash Flow IRR'!C21*12/'12. Sensitivity'!$H$13,0)</f>
        <v>0</v>
      </c>
      <c r="D41" s="243">
        <f ca="1">IF(AND(D21&lt;&gt;0,D20&gt;=YEAR('8. Schedule'!$E$21)),'11. 10-Yr Cash Flow IRR'!D36/'11. 10-Yr Cash Flow IRR'!D21*12/'12. Sensitivity'!$H$13,0)</f>
        <v>0</v>
      </c>
      <c r="E41" s="243">
        <f ca="1">IF(AND(E21&lt;&gt;0,E20&gt;=YEAR('8. Schedule'!$E$21)),'11. 10-Yr Cash Flow IRR'!E36/'11. 10-Yr Cash Flow IRR'!E21*12/'12. Sensitivity'!$H$13,0)</f>
        <v>0</v>
      </c>
      <c r="F41" s="243">
        <f ca="1">IF(AND(F21&lt;&gt;0,F20&gt;=YEAR('8. Schedule'!$E$21)),'11. 10-Yr Cash Flow IRR'!F36/'11. 10-Yr Cash Flow IRR'!F21*12/'12. Sensitivity'!$H$13,0)</f>
        <v>103155847.85024333</v>
      </c>
      <c r="G41" s="243">
        <f ca="1">IF(AND(G21&lt;&gt;0,G20&gt;=YEAR('8. Schedule'!$E$21)),'11. 10-Yr Cash Flow IRR'!G36/'11. 10-Yr Cash Flow IRR'!G21*12/'12. Sensitivity'!$H$13,0)</f>
        <v>105218964.80724823</v>
      </c>
      <c r="H41" s="243">
        <f ca="1">IF(AND(H21&lt;&gt;0,H20&gt;=YEAR('8. Schedule'!$E$21)),'11. 10-Yr Cash Flow IRR'!H36/'11. 10-Yr Cash Flow IRR'!H21*12/'12. Sensitivity'!$H$13,0)</f>
        <v>107323344.1033932</v>
      </c>
      <c r="I41" s="243">
        <f ca="1">IF(AND(I21&lt;&gt;0,I20&gt;=YEAR('8. Schedule'!$E$21)),'11. 10-Yr Cash Flow IRR'!I36/'11. 10-Yr Cash Flow IRR'!I21*12/'12. Sensitivity'!$H$13,0)</f>
        <v>109469810.98546107</v>
      </c>
      <c r="J41" s="243">
        <f ca="1">IF(AND(J21&lt;&gt;0,J20&gt;=YEAR('8. Schedule'!$E$21)),'11. 10-Yr Cash Flow IRR'!J36/'11. 10-Yr Cash Flow IRR'!J21*12/'12. Sensitivity'!$H$13,0)</f>
        <v>111659207.20517026</v>
      </c>
      <c r="K41" s="243">
        <f ca="1">IF(AND(K21&lt;&gt;0,K20&gt;=YEAR('8. Schedule'!$E$21)),'11. 10-Yr Cash Flow IRR'!K36/'11. 10-Yr Cash Flow IRR'!K21*12/'12. Sensitivity'!$H$13,0)</f>
        <v>113892391.34927368</v>
      </c>
      <c r="L41" s="243">
        <f ca="1">IF(AND(L21&lt;&gt;0,L20&gt;=YEAR('8. Schedule'!$E$21)),'11. 10-Yr Cash Flow IRR'!L36/'11. 10-Yr Cash Flow IRR'!L21*12/'12. Sensitivity'!$H$13,0)</f>
        <v>116170239.17625917</v>
      </c>
      <c r="M41" s="244"/>
    </row>
    <row r="42" spans="1:20" s="164" customFormat="1" ht="11.25" x14ac:dyDescent="0.2">
      <c r="A42" s="245" t="str">
        <f>"Less: Selling Cost @ "&amp;TEXT($E$11,"0.00%")</f>
        <v>Less: Selling Cost @ 1.00%</v>
      </c>
      <c r="C42" s="204">
        <f t="shared" ref="C42" ca="1" si="10">-$E$11*C41</f>
        <v>0</v>
      </c>
      <c r="D42" s="204">
        <f t="shared" ref="D42" ca="1" si="11">-$E$11*D41</f>
        <v>0</v>
      </c>
      <c r="E42" s="204">
        <f t="shared" ref="E42" ca="1" si="12">-$E$11*E41</f>
        <v>0</v>
      </c>
      <c r="F42" s="204">
        <f t="shared" ref="F42" ca="1" si="13">-$E$11*F41</f>
        <v>-1031558.4785024333</v>
      </c>
      <c r="G42" s="204">
        <f t="shared" ref="G42" ca="1" si="14">-$E$11*G41</f>
        <v>-1052189.6480724823</v>
      </c>
      <c r="H42" s="204">
        <f t="shared" ref="H42:L42" ca="1" si="15">-$E$11*H41</f>
        <v>-1073233.4410339319</v>
      </c>
      <c r="I42" s="204">
        <f t="shared" ref="I42" ca="1" si="16">-$E$11*I41</f>
        <v>-1094698.1098546106</v>
      </c>
      <c r="J42" s="204">
        <f t="shared" ref="J42" ca="1" si="17">-$E$11*J41</f>
        <v>-1116592.0720517025</v>
      </c>
      <c r="K42" s="204">
        <f t="shared" ref="K42" ca="1" si="18">-$E$11*K41</f>
        <v>-1138923.9134927369</v>
      </c>
      <c r="L42" s="204">
        <f t="shared" ca="1" si="15"/>
        <v>-1161702.3917625917</v>
      </c>
      <c r="M42" s="246"/>
    </row>
    <row r="43" spans="1:20" s="164" customFormat="1" ht="11.25" x14ac:dyDescent="0.2">
      <c r="A43" s="247" t="s">
        <v>216</v>
      </c>
      <c r="B43" s="229"/>
      <c r="C43" s="235">
        <f t="shared" ref="C43:L43" si="19">-C$34</f>
        <v>0</v>
      </c>
      <c r="D43" s="235">
        <f t="shared" ca="1" si="19"/>
        <v>0</v>
      </c>
      <c r="E43" s="235">
        <f t="shared" ca="1" si="19"/>
        <v>0</v>
      </c>
      <c r="F43" s="235">
        <f t="shared" ca="1" si="19"/>
        <v>-92243039.030557334</v>
      </c>
      <c r="G43" s="235">
        <f t="shared" ca="1" si="19"/>
        <v>-91905187.395284206</v>
      </c>
      <c r="H43" s="235">
        <f t="shared" ca="1" si="19"/>
        <v>-90866307.48444654</v>
      </c>
      <c r="I43" s="235">
        <f t="shared" ca="1" si="19"/>
        <v>-89788330.416732743</v>
      </c>
      <c r="J43" s="235">
        <f t="shared" ca="1" si="19"/>
        <v>-88669784.811610907</v>
      </c>
      <c r="K43" s="235">
        <f t="shared" ca="1" si="19"/>
        <v>-87509143.914684564</v>
      </c>
      <c r="L43" s="235">
        <f t="shared" ca="1" si="19"/>
        <v>-86304823.513755307</v>
      </c>
      <c r="M43" s="248"/>
    </row>
    <row r="44" spans="1:20" s="164" customFormat="1" ht="12" thickBot="1" x14ac:dyDescent="0.25">
      <c r="A44" s="249" t="s">
        <v>215</v>
      </c>
      <c r="B44" s="250"/>
      <c r="C44" s="251">
        <f t="shared" ref="C44" ca="1" si="20">SUM(C41:C43)</f>
        <v>0</v>
      </c>
      <c r="D44" s="251">
        <f t="shared" ref="D44" ca="1" si="21">SUM(D41:D43)</f>
        <v>0</v>
      </c>
      <c r="E44" s="251">
        <f t="shared" ref="E44" ca="1" si="22">SUM(E41:E43)</f>
        <v>0</v>
      </c>
      <c r="F44" s="251">
        <f t="shared" ref="F44" ca="1" si="23">SUM(F41:F43)</f>
        <v>9881250.3411835581</v>
      </c>
      <c r="G44" s="251">
        <f t="shared" ref="G44" ca="1" si="24">SUM(G41:G43)</f>
        <v>12261587.763891548</v>
      </c>
      <c r="H44" s="251">
        <f t="shared" ref="H44:L44" ca="1" si="25">SUM(H41:H43)</f>
        <v>15383803.177912727</v>
      </c>
      <c r="I44" s="251">
        <f t="shared" ref="I44" ca="1" si="26">SUM(I41:I43)</f>
        <v>18586782.458873719</v>
      </c>
      <c r="J44" s="251">
        <f t="shared" ref="J44" ca="1" si="27">SUM(J41:J43)</f>
        <v>21872830.321507648</v>
      </c>
      <c r="K44" s="251">
        <f t="shared" ref="K44" ca="1" si="28">SUM(K41:K43)</f>
        <v>25244323.521096379</v>
      </c>
      <c r="L44" s="251">
        <f t="shared" ca="1" si="25"/>
        <v>28703713.270741284</v>
      </c>
      <c r="M44" s="252"/>
    </row>
    <row r="45" spans="1:20" s="164" customFormat="1" ht="12" thickBot="1" x14ac:dyDescent="0.25"/>
    <row r="46" spans="1:20" s="164" customFormat="1" ht="11.25" x14ac:dyDescent="0.2">
      <c r="A46" s="379" t="str">
        <f>"Valuation @ "&amp;TEXT('12. Sensitivity'!H10,"0.00%")&amp;" Cap rate"</f>
        <v>Valuation @ 4.50% Cap rate</v>
      </c>
      <c r="B46" s="380"/>
      <c r="C46" s="381">
        <f ca="1">IF(AND(C21&lt;&gt;0,C20&gt;=YEAR('8. Schedule'!$E$21)),'11. 10-Yr Cash Flow IRR'!C36/'11. 10-Yr Cash Flow IRR'!C21*12/'12. Sensitivity'!$H$10,0)</f>
        <v>0</v>
      </c>
      <c r="D46" s="381">
        <f ca="1">IF(AND(D21&lt;&gt;0,D20&gt;=YEAR('8. Schedule'!$E$21)),'11. 10-Yr Cash Flow IRR'!D36/'11. 10-Yr Cash Flow IRR'!D21*12/'12. Sensitivity'!$H$10,0)</f>
        <v>0</v>
      </c>
      <c r="E46" s="381">
        <f ca="1">IF(AND(E21&lt;&gt;0,E20&gt;=YEAR('8. Schedule'!$E$21)),'11. 10-Yr Cash Flow IRR'!E36/'11. 10-Yr Cash Flow IRR'!E21*12/'12. Sensitivity'!$H$10,0)</f>
        <v>0</v>
      </c>
      <c r="F46" s="381">
        <f ca="1">IF(AND(F21&lt;&gt;0,F20&gt;=YEAR('8. Schedule'!$E$21)),'11. 10-Yr Cash Flow IRR'!F36/'11. 10-Yr Cash Flow IRR'!F21*12/'12. Sensitivity'!$H$10,0)</f>
        <v>108886728.28636797</v>
      </c>
      <c r="G46" s="381">
        <f ca="1">IF(AND(G21&lt;&gt;0,G20&gt;=YEAR('8. Schedule'!$E$21)),'11. 10-Yr Cash Flow IRR'!G36/'11. 10-Yr Cash Flow IRR'!G21*12/'12. Sensitivity'!$H$10,0)</f>
        <v>111064462.85209537</v>
      </c>
      <c r="H46" s="381">
        <f ca="1">IF(AND(H21&lt;&gt;0,H20&gt;=YEAR('8. Schedule'!$E$21)),'11. 10-Yr Cash Flow IRR'!H36/'11. 10-Yr Cash Flow IRR'!H21*12/'12. Sensitivity'!$H$10,0)</f>
        <v>113285752.10913727</v>
      </c>
      <c r="I46" s="381">
        <f ca="1">IF(AND(I21&lt;&gt;0,I20&gt;=YEAR('8. Schedule'!$E$21)),'11. 10-Yr Cash Flow IRR'!I36/'11. 10-Yr Cash Flow IRR'!I21*12/'12. Sensitivity'!$H$10,0)</f>
        <v>115551467.15132003</v>
      </c>
      <c r="J46" s="381">
        <f ca="1">IF(AND(J21&lt;&gt;0,J20&gt;=YEAR('8. Schedule'!$E$21)),'11. 10-Yr Cash Flow IRR'!J36/'11. 10-Yr Cash Flow IRR'!J21*12/'12. Sensitivity'!$H$10,0)</f>
        <v>117862496.49434638</v>
      </c>
      <c r="K46" s="381">
        <f ca="1">IF(AND(K21&lt;&gt;0,K20&gt;=YEAR('8. Schedule'!$E$21)),'11. 10-Yr Cash Flow IRR'!K36/'11. 10-Yr Cash Flow IRR'!K21*12/'12. Sensitivity'!$H$10,0)</f>
        <v>120219746.42423333</v>
      </c>
      <c r="L46" s="381">
        <f ca="1">IF(AND(L21&lt;&gt;0,L20&gt;=YEAR('8. Schedule'!$E$21)),'11. 10-Yr Cash Flow IRR'!L36/'11. 10-Yr Cash Flow IRR'!L21*12/'12. Sensitivity'!$H$10,0)</f>
        <v>122624141.35271801</v>
      </c>
      <c r="M46" s="382"/>
    </row>
    <row r="47" spans="1:20" s="164" customFormat="1" ht="11.25" x14ac:dyDescent="0.2">
      <c r="A47" s="245" t="str">
        <f>"Less: Selling Cost @ "&amp;TEXT($E$11,"0.00%")</f>
        <v>Less: Selling Cost @ 1.00%</v>
      </c>
      <c r="C47" s="204">
        <f t="shared" ref="C47" ca="1" si="29">-$E$11*C46</f>
        <v>0</v>
      </c>
      <c r="D47" s="204">
        <f t="shared" ref="D47" ca="1" si="30">-$E$11*D46</f>
        <v>0</v>
      </c>
      <c r="E47" s="204">
        <f t="shared" ref="E47" ca="1" si="31">-$E$11*E46</f>
        <v>0</v>
      </c>
      <c r="F47" s="204">
        <f t="shared" ref="F47" ca="1" si="32">-$E$11*F46</f>
        <v>-1088867.2828636798</v>
      </c>
      <c r="G47" s="204">
        <f t="shared" ref="G47" ca="1" si="33">-$E$11*G46</f>
        <v>-1110644.6285209537</v>
      </c>
      <c r="H47" s="204">
        <f t="shared" ref="H47" ca="1" si="34">-$E$11*H46</f>
        <v>-1132857.5210913727</v>
      </c>
      <c r="I47" s="204">
        <f t="shared" ref="I47" ca="1" si="35">-$E$11*I46</f>
        <v>-1155514.6715132003</v>
      </c>
      <c r="J47" s="204">
        <f t="shared" ref="J47" ca="1" si="36">-$E$11*J46</f>
        <v>-1178624.9649434639</v>
      </c>
      <c r="K47" s="204">
        <f t="shared" ref="K47" ca="1" si="37">-$E$11*K46</f>
        <v>-1202197.4642423333</v>
      </c>
      <c r="L47" s="204">
        <f t="shared" ref="L47" ca="1" si="38">-$E$11*L46</f>
        <v>-1226241.4135271802</v>
      </c>
      <c r="M47" s="246"/>
    </row>
    <row r="48" spans="1:20" s="164" customFormat="1" ht="11.25" x14ac:dyDescent="0.2">
      <c r="A48" s="247" t="s">
        <v>216</v>
      </c>
      <c r="B48" s="229"/>
      <c r="C48" s="235">
        <f t="shared" ref="C48:L48" si="39">-C$34</f>
        <v>0</v>
      </c>
      <c r="D48" s="235">
        <f t="shared" ca="1" si="39"/>
        <v>0</v>
      </c>
      <c r="E48" s="235">
        <f t="shared" ca="1" si="39"/>
        <v>0</v>
      </c>
      <c r="F48" s="235">
        <f t="shared" ca="1" si="39"/>
        <v>-92243039.030557334</v>
      </c>
      <c r="G48" s="235">
        <f t="shared" ca="1" si="39"/>
        <v>-91905187.395284206</v>
      </c>
      <c r="H48" s="235">
        <f t="shared" ca="1" si="39"/>
        <v>-90866307.48444654</v>
      </c>
      <c r="I48" s="235">
        <f t="shared" ca="1" si="39"/>
        <v>-89788330.416732743</v>
      </c>
      <c r="J48" s="235">
        <f t="shared" ca="1" si="39"/>
        <v>-88669784.811610907</v>
      </c>
      <c r="K48" s="235">
        <f t="shared" ca="1" si="39"/>
        <v>-87509143.914684564</v>
      </c>
      <c r="L48" s="235">
        <f t="shared" ca="1" si="39"/>
        <v>-86304823.513755307</v>
      </c>
      <c r="M48" s="248"/>
    </row>
    <row r="49" spans="1:15" s="164" customFormat="1" ht="12" thickBot="1" x14ac:dyDescent="0.25">
      <c r="A49" s="373" t="s">
        <v>215</v>
      </c>
      <c r="B49" s="374"/>
      <c r="C49" s="375">
        <f t="shared" ref="C49" ca="1" si="40">SUM(C46:C48)</f>
        <v>0</v>
      </c>
      <c r="D49" s="375">
        <f t="shared" ref="D49" ca="1" si="41">SUM(D46:D48)</f>
        <v>0</v>
      </c>
      <c r="E49" s="375">
        <f t="shared" ref="E49" ca="1" si="42">SUM(E46:E48)</f>
        <v>0</v>
      </c>
      <c r="F49" s="375">
        <f t="shared" ref="F49" ca="1" si="43">SUM(F46:F48)</f>
        <v>15554821.972946957</v>
      </c>
      <c r="G49" s="375">
        <f t="shared" ref="G49" ca="1" si="44">SUM(G46:G48)</f>
        <v>18048630.828290209</v>
      </c>
      <c r="H49" s="375">
        <f t="shared" ref="H49" ca="1" si="45">SUM(H46:H48)</f>
        <v>21286587.103599355</v>
      </c>
      <c r="I49" s="375">
        <f t="shared" ref="I49" ca="1" si="46">SUM(I46:I48)</f>
        <v>24607622.063074082</v>
      </c>
      <c r="J49" s="375">
        <f t="shared" ref="J49" ca="1" si="47">SUM(J46:J48)</f>
        <v>28014086.717792004</v>
      </c>
      <c r="K49" s="375">
        <f t="shared" ref="K49" ca="1" si="48">SUM(K46:K48)</f>
        <v>31508405.045306429</v>
      </c>
      <c r="L49" s="375">
        <f t="shared" ref="L49" ca="1" si="49">SUM(L46:L48)</f>
        <v>35093076.425435528</v>
      </c>
      <c r="M49" s="376"/>
      <c r="O49" s="170"/>
    </row>
    <row r="50" spans="1:15" s="164" customFormat="1" ht="12" thickBot="1" x14ac:dyDescent="0.25"/>
    <row r="51" spans="1:15" s="164" customFormat="1" ht="11.25" x14ac:dyDescent="0.2">
      <c r="A51" s="241" t="str">
        <f>"Valuation @ "&amp;TEXT('12. Sensitivity'!H12,"0.00%")&amp;" Cap rate"</f>
        <v>Valuation @ 4.25% Cap rate</v>
      </c>
      <c r="B51" s="242"/>
      <c r="C51" s="243">
        <f ca="1">IF(AND(C21&lt;&gt;0,C20&gt;=YEAR('8. Schedule'!$E$21)),'11. 10-Yr Cash Flow IRR'!C36/'11. 10-Yr Cash Flow IRR'!C21*12/'12. Sensitivity'!$H$12,0)</f>
        <v>0</v>
      </c>
      <c r="D51" s="243">
        <f ca="1">IF(AND(D21&lt;&gt;0,D20&gt;=YEAR('8. Schedule'!$E$21)),'11. 10-Yr Cash Flow IRR'!D36/'11. 10-Yr Cash Flow IRR'!D21*12/'12. Sensitivity'!$H$12,0)</f>
        <v>0</v>
      </c>
      <c r="E51" s="243">
        <f ca="1">IF(AND(E21&lt;&gt;0,E20&gt;=YEAR('8. Schedule'!$E$21)),'11. 10-Yr Cash Flow IRR'!E36/'11. 10-Yr Cash Flow IRR'!E21*12/'12. Sensitivity'!$H$12,0)</f>
        <v>0</v>
      </c>
      <c r="F51" s="243">
        <f ca="1">IF(AND(F21&lt;&gt;0,F20&gt;=YEAR('8. Schedule'!$E$21)),'11. 10-Yr Cash Flow IRR'!F36/'11. 10-Yr Cash Flow IRR'!F21*12/'12. Sensitivity'!$H$12,0)</f>
        <v>115291829.95027195</v>
      </c>
      <c r="G51" s="243">
        <f ca="1">IF(AND(G21&lt;&gt;0,G20&gt;=YEAR('8. Schedule'!$E$21)),'11. 10-Yr Cash Flow IRR'!G36/'11. 10-Yr Cash Flow IRR'!G21*12/'12. Sensitivity'!$H$12,0)</f>
        <v>117597666.54927742</v>
      </c>
      <c r="H51" s="243">
        <f ca="1">IF(AND(H21&lt;&gt;0,H20&gt;=YEAR('8. Schedule'!$E$21)),'11. 10-Yr Cash Flow IRR'!H36/'11. 10-Yr Cash Flow IRR'!H21*12/'12. Sensitivity'!$H$12,0)</f>
        <v>119949619.88026297</v>
      </c>
      <c r="I51" s="243">
        <f ca="1">IF(AND(I21&lt;&gt;0,I20&gt;=YEAR('8. Schedule'!$E$21)),'11. 10-Yr Cash Flow IRR'!I36/'11. 10-Yr Cash Flow IRR'!I21*12/'12. Sensitivity'!$H$12,0)</f>
        <v>122348612.27786826</v>
      </c>
      <c r="J51" s="243">
        <f ca="1">IF(AND(J21&lt;&gt;0,J20&gt;=YEAR('8. Schedule'!$E$21)),'11. 10-Yr Cash Flow IRR'!J36/'11. 10-Yr Cash Flow IRR'!J21*12/'12. Sensitivity'!$H$12,0)</f>
        <v>124795584.52342556</v>
      </c>
      <c r="K51" s="243">
        <f ca="1">IF(AND(K21&lt;&gt;0,K20&gt;=YEAR('8. Schedule'!$E$21)),'11. 10-Yr Cash Flow IRR'!K36/'11. 10-Yr Cash Flow IRR'!K21*12/'12. Sensitivity'!$H$12,0)</f>
        <v>127291496.21389411</v>
      </c>
      <c r="L51" s="243">
        <f ca="1">IF(AND(L21&lt;&gt;0,L20&gt;=YEAR('8. Schedule'!$E$21)),'11. 10-Yr Cash Flow IRR'!L36/'11. 10-Yr Cash Flow IRR'!L21*12/'12. Sensitivity'!$H$12,0)</f>
        <v>129837326.138172</v>
      </c>
      <c r="M51" s="244"/>
    </row>
    <row r="52" spans="1:15" s="164" customFormat="1" ht="11.25" x14ac:dyDescent="0.2">
      <c r="A52" s="245" t="str">
        <f>"Less: Selling Cost @ "&amp;TEXT($E$11,"0.00%")</f>
        <v>Less: Selling Cost @ 1.00%</v>
      </c>
      <c r="C52" s="204">
        <f t="shared" ref="C52" ca="1" si="50">-$E$11*C51</f>
        <v>0</v>
      </c>
      <c r="D52" s="204">
        <f t="shared" ref="D52" ca="1" si="51">-$E$11*D51</f>
        <v>0</v>
      </c>
      <c r="E52" s="204">
        <f t="shared" ref="E52" ca="1" si="52">-$E$11*E51</f>
        <v>0</v>
      </c>
      <c r="F52" s="204">
        <f t="shared" ref="F52" ca="1" si="53">-$E$11*F51</f>
        <v>-1152918.2995027194</v>
      </c>
      <c r="G52" s="204">
        <f t="shared" ref="G52" ca="1" si="54">-$E$11*G51</f>
        <v>-1175976.6654927742</v>
      </c>
      <c r="H52" s="204">
        <f t="shared" ref="H52" ca="1" si="55">-$E$11*H51</f>
        <v>-1199496.1988026297</v>
      </c>
      <c r="I52" s="204">
        <f t="shared" ref="I52" ca="1" si="56">-$E$11*I51</f>
        <v>-1223486.1227786825</v>
      </c>
      <c r="J52" s="204">
        <f t="shared" ref="J52" ca="1" si="57">-$E$11*J51</f>
        <v>-1247955.8452342558</v>
      </c>
      <c r="K52" s="204">
        <f t="shared" ref="K52" ca="1" si="58">-$E$11*K51</f>
        <v>-1272914.9621389413</v>
      </c>
      <c r="L52" s="204">
        <f t="shared" ref="L52" ca="1" si="59">-$E$11*L51</f>
        <v>-1298373.26138172</v>
      </c>
      <c r="M52" s="246"/>
    </row>
    <row r="53" spans="1:15" s="164" customFormat="1" ht="11.25" x14ac:dyDescent="0.2">
      <c r="A53" s="247" t="s">
        <v>216</v>
      </c>
      <c r="B53" s="229"/>
      <c r="C53" s="235">
        <f t="shared" ref="C53:L53" si="60">-C$34</f>
        <v>0</v>
      </c>
      <c r="D53" s="235">
        <f t="shared" ca="1" si="60"/>
        <v>0</v>
      </c>
      <c r="E53" s="235">
        <f t="shared" ca="1" si="60"/>
        <v>0</v>
      </c>
      <c r="F53" s="235">
        <f t="shared" ca="1" si="60"/>
        <v>-92243039.030557334</v>
      </c>
      <c r="G53" s="235">
        <f t="shared" ca="1" si="60"/>
        <v>-91905187.395284206</v>
      </c>
      <c r="H53" s="235">
        <f t="shared" ca="1" si="60"/>
        <v>-90866307.48444654</v>
      </c>
      <c r="I53" s="235">
        <f t="shared" ca="1" si="60"/>
        <v>-89788330.416732743</v>
      </c>
      <c r="J53" s="235">
        <f t="shared" ca="1" si="60"/>
        <v>-88669784.811610907</v>
      </c>
      <c r="K53" s="235">
        <f t="shared" ca="1" si="60"/>
        <v>-87509143.914684564</v>
      </c>
      <c r="L53" s="235">
        <f t="shared" ca="1" si="60"/>
        <v>-86304823.513755307</v>
      </c>
      <c r="M53" s="248"/>
    </row>
    <row r="54" spans="1:15" s="164" customFormat="1" ht="12" thickBot="1" x14ac:dyDescent="0.25">
      <c r="A54" s="249" t="s">
        <v>215</v>
      </c>
      <c r="B54" s="250"/>
      <c r="C54" s="251">
        <f t="shared" ref="C54" ca="1" si="61">SUM(C51:C53)</f>
        <v>0</v>
      </c>
      <c r="D54" s="251">
        <f t="shared" ref="D54" ca="1" si="62">SUM(D51:D53)</f>
        <v>0</v>
      </c>
      <c r="E54" s="251">
        <f t="shared" ref="E54" ca="1" si="63">SUM(E51:E53)</f>
        <v>0</v>
      </c>
      <c r="F54" s="251">
        <f t="shared" ref="F54" ca="1" si="64">SUM(F51:F53)</f>
        <v>21895872.620211899</v>
      </c>
      <c r="G54" s="251">
        <f t="shared" ref="G54" ca="1" si="65">SUM(G51:G53)</f>
        <v>24516502.488500446</v>
      </c>
      <c r="H54" s="251">
        <f t="shared" ref="H54" ca="1" si="66">SUM(H51:H53)</f>
        <v>27883816.197013795</v>
      </c>
      <c r="I54" s="251">
        <f t="shared" ref="I54" ca="1" si="67">SUM(I51:I53)</f>
        <v>31336795.738356829</v>
      </c>
      <c r="J54" s="251">
        <f t="shared" ref="J54" ca="1" si="68">SUM(J51:J53)</f>
        <v>34877843.866580397</v>
      </c>
      <c r="K54" s="251">
        <f t="shared" ref="K54" ca="1" si="69">SUM(K51:K53)</f>
        <v>38509437.337070614</v>
      </c>
      <c r="L54" s="251">
        <f t="shared" ref="L54" ca="1" si="70">SUM(L51:L53)</f>
        <v>42234129.363034979</v>
      </c>
      <c r="M54" s="252"/>
    </row>
    <row r="55" spans="1:15" s="164" customFormat="1" ht="11.25" x14ac:dyDescent="0.2"/>
    <row r="56" spans="1:15" s="164" customFormat="1" ht="11.25" x14ac:dyDescent="0.2">
      <c r="A56" s="240"/>
      <c r="B56" s="253" t="s">
        <v>217</v>
      </c>
      <c r="C56" s="240"/>
      <c r="D56" s="255" t="str">
        <f>"Based on valuation @ "&amp;TEXT('12. Sensitivity'!H10,"0.00%")&amp;" Cap rate"</f>
        <v>Based on valuation @ 4.50% Cap rate</v>
      </c>
      <c r="E56" s="254"/>
      <c r="F56" s="240"/>
      <c r="G56" s="240"/>
      <c r="H56" s="240"/>
      <c r="I56" s="240"/>
      <c r="J56" s="240"/>
      <c r="K56" s="240"/>
      <c r="L56" s="240"/>
      <c r="M56" s="240"/>
    </row>
    <row r="57" spans="1:15" s="164" customFormat="1" ht="11.25" x14ac:dyDescent="0.2">
      <c r="A57" s="164" t="s">
        <v>208</v>
      </c>
      <c r="C57" s="168">
        <f ca="1">ROUND(SUMIFS('10. Development Cash Flow'!$I104:$CZ104,'10. Development Cash Flow'!$I5:$CZ5,C$20,'10. Development Cash Flow'!$I110:$CZ110,"PUD"),0)</f>
        <v>-9439788</v>
      </c>
      <c r="D57" s="168">
        <f ca="1">ROUND(IF(D34=MAX($C34:$L34),-$K$15-SUM($C$57:C57),0)+SUMIFS('10. Development Cash Flow'!$I104:$CZ104,'10. Development Cash Flow'!$I5:$CZ5,D$20,'10. Development Cash Flow'!$I110:$CZ110,"PUD"),0)</f>
        <v>0</v>
      </c>
      <c r="E57" s="168">
        <f ca="1">ROUND(IF(E34=MAX($C34:$L34),-$K$15-SUM($C$57:D57),0)+SUMIFS('10. Development Cash Flow'!$I104:$CZ104,'10. Development Cash Flow'!$I5:$CZ5,E$20,'10. Development Cash Flow'!$I110:$CZ110,"PUD"),0)</f>
        <v>0</v>
      </c>
      <c r="F57" s="168">
        <f ca="1">ROUND(IF(F34=MAX($C34:$L34),-$K$15-SUM($C$57:E57),0)+SUMIFS('10. Development Cash Flow'!$I104:$CZ104,'10. Development Cash Flow'!$I5:$CZ5,F$20,'10. Development Cash Flow'!$I110:$CZ110,"PUD"),0)-'6. Debt Stack &amp; Financing'!D40</f>
        <v>2464086.5782171302</v>
      </c>
      <c r="G57" s="168">
        <f ca="1">ROUND(IF(G34=MAX($C34:$L34),-$K$15-SUM($C$57:F57),0)+SUMIFS('10. Development Cash Flow'!$I104:$CZ104,'10. Development Cash Flow'!$I5:$CZ5,G$20,'10. Development Cash Flow'!$I110:$CZ110,"PUD"),0)</f>
        <v>0</v>
      </c>
      <c r="H57" s="372">
        <f ca="1">ROUND(IF(H34=MAX($C34:$L34),-$K$15-SUM($C$57:G57),0)+SUMIFS('10. Development Cash Flow'!$I104:$CZ104,'10. Development Cash Flow'!$I5:$CZ5,H$20,'10. Development Cash Flow'!$I110:$CZ110,"PUD"),0)</f>
        <v>0</v>
      </c>
      <c r="I57" s="168">
        <f ca="1">ROUND(IF(I34=MAX($C34:$L34),-$K$15-SUM($C$57:H57),0)+SUMIFS('10. Development Cash Flow'!$I104:$CZ104,'10. Development Cash Flow'!$I5:$CZ5,I$20,'10. Development Cash Flow'!$I110:$CZ110,"PUD"),0)</f>
        <v>0</v>
      </c>
      <c r="J57" s="168">
        <f ca="1">ROUND(IF(J34=MAX($C34:$L34),-$K$15-SUM($C$57:I57),0)+SUMIFS('10. Development Cash Flow'!$I104:$CZ104,'10. Development Cash Flow'!$I5:$CZ5,J$20,'10. Development Cash Flow'!$I110:$CZ110,"PUD"),0)</f>
        <v>0</v>
      </c>
      <c r="K57" s="168">
        <f ca="1">ROUND(IF(K34=MAX($C34:$L34),-$K$15-SUM($C$57:J57),0)+SUMIFS('10. Development Cash Flow'!$I104:$CZ104,'10. Development Cash Flow'!$I5:$CZ5,K$20,'10. Development Cash Flow'!$I110:$CZ110,"PUD"),0)</f>
        <v>0</v>
      </c>
      <c r="L57" s="168">
        <f ca="1">ROUND(IF(L34=MAX($C34:$L34),-$K$15-SUM($C$57:K57),0)+SUMIFS('10. Development Cash Flow'!$I104:$CZ104,'10. Development Cash Flow'!$I5:$CZ5,L$20,'10. Development Cash Flow'!$I110:$CZ110,"PUD"),0)</f>
        <v>0</v>
      </c>
      <c r="M57" s="168"/>
    </row>
    <row r="58" spans="1:15" s="164" customFormat="1" ht="11.25" x14ac:dyDescent="0.2">
      <c r="A58" s="229" t="s">
        <v>210</v>
      </c>
      <c r="B58" s="229"/>
      <c r="C58" s="232">
        <f t="shared" ref="C58:L58" ca="1" si="71">C39</f>
        <v>0</v>
      </c>
      <c r="D58" s="232">
        <f t="shared" ca="1" si="71"/>
        <v>0</v>
      </c>
      <c r="E58" s="232">
        <f t="shared" ca="1" si="71"/>
        <v>0</v>
      </c>
      <c r="F58" s="232">
        <f t="shared" ca="1" si="71"/>
        <v>159343.69605881977</v>
      </c>
      <c r="G58" s="232">
        <f t="shared" ca="1" si="71"/>
        <v>576029.14363419206</v>
      </c>
      <c r="H58" s="232">
        <f t="shared" ca="1" si="71"/>
        <v>675987.16020107782</v>
      </c>
      <c r="I58" s="232">
        <f t="shared" ca="1" si="71"/>
        <v>777944.33709930233</v>
      </c>
      <c r="J58" s="232">
        <f t="shared" ca="1" si="71"/>
        <v>881940.65753548802</v>
      </c>
      <c r="K58" s="232">
        <f t="shared" ca="1" si="71"/>
        <v>988016.90438040113</v>
      </c>
      <c r="L58" s="232">
        <f t="shared" ca="1" si="71"/>
        <v>1096214.676162211</v>
      </c>
      <c r="M58" s="232"/>
    </row>
    <row r="59" spans="1:15" s="164" customFormat="1" ht="11.25" x14ac:dyDescent="0.2">
      <c r="C59" s="168"/>
      <c r="D59" s="168"/>
      <c r="E59" s="168"/>
      <c r="F59" s="168"/>
      <c r="G59" s="168"/>
      <c r="H59" s="168"/>
      <c r="I59" s="168"/>
      <c r="J59" s="168"/>
      <c r="K59" s="168"/>
      <c r="L59" s="168"/>
      <c r="M59" s="168"/>
    </row>
    <row r="60" spans="1:15" s="164" customFormat="1" ht="11.25" x14ac:dyDescent="0.2">
      <c r="A60" s="262">
        <v>5</v>
      </c>
      <c r="B60" s="263" t="s">
        <v>218</v>
      </c>
      <c r="C60" s="168">
        <f t="shared" ref="C60:L60" ca="1" si="72">IF(C$19&lt;=$A60,SUM(C$57:C$58),0)+IF(C$19=$A60,C$49,0)</f>
        <v>-9439788</v>
      </c>
      <c r="D60" s="168">
        <f t="shared" ca="1" si="72"/>
        <v>0</v>
      </c>
      <c r="E60" s="168">
        <f t="shared" ca="1" si="72"/>
        <v>0</v>
      </c>
      <c r="F60" s="168">
        <f t="shared" ca="1" si="72"/>
        <v>2623430.2742759502</v>
      </c>
      <c r="G60" s="372">
        <f t="shared" ca="1" si="72"/>
        <v>18624659.971924402</v>
      </c>
      <c r="H60" s="168">
        <f t="shared" si="72"/>
        <v>0</v>
      </c>
      <c r="I60" s="168">
        <f t="shared" si="72"/>
        <v>0</v>
      </c>
      <c r="J60" s="168">
        <f t="shared" si="72"/>
        <v>0</v>
      </c>
      <c r="K60" s="168">
        <f t="shared" si="72"/>
        <v>0</v>
      </c>
      <c r="L60" s="168">
        <f t="shared" si="72"/>
        <v>0</v>
      </c>
      <c r="M60" s="168"/>
    </row>
    <row r="61" spans="1:15" s="164" customFormat="1" ht="11.25" x14ac:dyDescent="0.2">
      <c r="A61" s="416" t="s">
        <v>187</v>
      </c>
      <c r="B61" s="417">
        <f ca="1">IFERROR(IRR(C60:L60),"-")</f>
        <v>0.23360650532074456</v>
      </c>
      <c r="C61" s="229"/>
      <c r="D61" s="229"/>
      <c r="E61" s="229"/>
      <c r="F61" s="229"/>
      <c r="G61" s="229"/>
      <c r="H61" s="229"/>
      <c r="I61" s="229"/>
      <c r="J61" s="229"/>
      <c r="K61" s="229"/>
      <c r="L61" s="229"/>
      <c r="M61" s="229"/>
    </row>
    <row r="62" spans="1:15" s="164" customFormat="1" ht="11.25" x14ac:dyDescent="0.2"/>
    <row r="63" spans="1:15" s="164" customFormat="1" ht="11.25" x14ac:dyDescent="0.2">
      <c r="A63" s="262">
        <v>7</v>
      </c>
      <c r="B63" s="263" t="s">
        <v>218</v>
      </c>
      <c r="C63" s="168">
        <f t="shared" ref="C63:L63" ca="1" si="73">IF(C$19&lt;=$A63,SUM(C$57:C$58),0)+IF(C$19=$A63,C$49,0)</f>
        <v>-9439788</v>
      </c>
      <c r="D63" s="168">
        <f t="shared" ca="1" si="73"/>
        <v>0</v>
      </c>
      <c r="E63" s="168">
        <f t="shared" ca="1" si="73"/>
        <v>0</v>
      </c>
      <c r="F63" s="168">
        <f t="shared" ca="1" si="73"/>
        <v>2623430.2742759502</v>
      </c>
      <c r="G63" s="168">
        <f t="shared" ca="1" si="73"/>
        <v>576029.14363419206</v>
      </c>
      <c r="H63" s="168">
        <f t="shared" ca="1" si="73"/>
        <v>675987.16020107782</v>
      </c>
      <c r="I63" s="372">
        <f t="shared" ca="1" si="73"/>
        <v>25385566.400173385</v>
      </c>
      <c r="J63" s="168">
        <f t="shared" si="73"/>
        <v>0</v>
      </c>
      <c r="K63" s="168">
        <f t="shared" si="73"/>
        <v>0</v>
      </c>
      <c r="L63" s="168">
        <f t="shared" si="73"/>
        <v>0</v>
      </c>
      <c r="M63" s="168"/>
    </row>
    <row r="64" spans="1:15" s="164" customFormat="1" ht="11.25" x14ac:dyDescent="0.2">
      <c r="A64" s="377" t="s">
        <v>187</v>
      </c>
      <c r="B64" s="378">
        <f ca="1">IRR(C63:L63)</f>
        <v>0.22501047373395067</v>
      </c>
      <c r="C64" s="229"/>
      <c r="D64" s="229"/>
      <c r="E64" s="229"/>
      <c r="F64" s="229"/>
      <c r="G64" s="229"/>
      <c r="H64" s="229"/>
      <c r="I64" s="229"/>
      <c r="J64" s="229"/>
      <c r="K64" s="229"/>
      <c r="L64" s="229"/>
      <c r="M64" s="229"/>
    </row>
    <row r="65" spans="1:13" s="164" customFormat="1" ht="11.25" x14ac:dyDescent="0.2"/>
    <row r="66" spans="1:13" s="164" customFormat="1" ht="11.25" x14ac:dyDescent="0.2">
      <c r="A66" s="262">
        <v>10</v>
      </c>
      <c r="B66" s="263" t="s">
        <v>218</v>
      </c>
      <c r="C66" s="168">
        <f t="shared" ref="C66:L66" ca="1" si="74">IF(C$19&lt;=$A66,SUM(C$57:C$58),0)+IF(C$19=$A66,C$49,0)</f>
        <v>-9439788</v>
      </c>
      <c r="D66" s="168">
        <f t="shared" ca="1" si="74"/>
        <v>0</v>
      </c>
      <c r="E66" s="168">
        <f t="shared" ca="1" si="74"/>
        <v>0</v>
      </c>
      <c r="F66" s="168">
        <f t="shared" ca="1" si="74"/>
        <v>2623430.2742759502</v>
      </c>
      <c r="G66" s="168">
        <f t="shared" ca="1" si="74"/>
        <v>576029.14363419206</v>
      </c>
      <c r="H66" s="168">
        <f t="shared" ca="1" si="74"/>
        <v>675987.16020107782</v>
      </c>
      <c r="I66" s="168">
        <f t="shared" ca="1" si="74"/>
        <v>777944.33709930233</v>
      </c>
      <c r="J66" s="168">
        <f t="shared" ca="1" si="74"/>
        <v>881940.65753548802</v>
      </c>
      <c r="K66" s="168">
        <f t="shared" ca="1" si="74"/>
        <v>988016.90438040113</v>
      </c>
      <c r="L66" s="372">
        <f t="shared" ca="1" si="74"/>
        <v>36189291.101597741</v>
      </c>
      <c r="M66" s="168"/>
    </row>
    <row r="67" spans="1:13" s="164" customFormat="1" ht="11.25" x14ac:dyDescent="0.2">
      <c r="A67" s="377" t="s">
        <v>187</v>
      </c>
      <c r="B67" s="378">
        <f ca="1">IRR(C66:L66)</f>
        <v>0.20617252519027907</v>
      </c>
      <c r="C67" s="229"/>
      <c r="D67" s="229"/>
      <c r="E67" s="229"/>
      <c r="F67" s="229"/>
      <c r="G67" s="229"/>
      <c r="H67" s="229"/>
      <c r="I67" s="229"/>
      <c r="J67" s="229"/>
      <c r="K67" s="229"/>
      <c r="L67" s="229"/>
      <c r="M67" s="229"/>
    </row>
    <row r="68" spans="1:13" s="164" customFormat="1" ht="11.25" x14ac:dyDescent="0.2"/>
    <row r="69" spans="1:13" s="164" customFormat="1" ht="11.25" x14ac:dyDescent="0.2"/>
    <row r="70" spans="1:13" s="164" customFormat="1" ht="11.25" x14ac:dyDescent="0.2">
      <c r="B70" s="282"/>
    </row>
    <row r="71" spans="1:13" s="164" customFormat="1" ht="11.25" x14ac:dyDescent="0.2"/>
    <row r="72" spans="1:13" s="164" customFormat="1" ht="11.25" x14ac:dyDescent="0.2"/>
    <row r="73" spans="1:13" s="164" customFormat="1" ht="11.25" x14ac:dyDescent="0.2"/>
    <row r="74" spans="1:13" s="164" customFormat="1" ht="11.25" x14ac:dyDescent="0.2">
      <c r="A74" s="164" t="s">
        <v>200</v>
      </c>
    </row>
    <row r="75" spans="1:13" s="164" customFormat="1" ht="11.25" x14ac:dyDescent="0.2">
      <c r="A75" s="228" t="s">
        <v>201</v>
      </c>
      <c r="B75" s="228" t="s">
        <v>202</v>
      </c>
      <c r="C75" s="228" t="s">
        <v>205</v>
      </c>
      <c r="D75" s="228" t="s">
        <v>195</v>
      </c>
      <c r="E75" s="228" t="s">
        <v>196</v>
      </c>
      <c r="F75" s="228" t="s">
        <v>203</v>
      </c>
      <c r="G75" s="228" t="s">
        <v>204</v>
      </c>
    </row>
    <row r="76" spans="1:13" s="164" customFormat="1" ht="11.25" x14ac:dyDescent="0.2">
      <c r="A76" s="165">
        <v>1</v>
      </c>
      <c r="B76" s="234">
        <f ca="1">EDATE('8. Schedule'!$E$21,1)</f>
        <v>47377</v>
      </c>
      <c r="C76" s="165">
        <f ca="1">YEAR(B76)</f>
        <v>2029</v>
      </c>
      <c r="D76" s="168">
        <f t="shared" ref="D76:D107" ca="1" si="75">PPMT($E$14/12,A76,$E$15*12,$F$76)</f>
        <v>-84073.270048289822</v>
      </c>
      <c r="E76" s="168">
        <f t="shared" ref="E76:E107" ca="1" si="76">IPMT($E$14/12,A76,$E$15*12,$F$76)</f>
        <v>-284416.03701088513</v>
      </c>
      <c r="F76" s="168">
        <f ca="1">K14</f>
        <v>92243039.030557334</v>
      </c>
      <c r="G76" s="168">
        <f ca="1">F76+D76</f>
        <v>92158965.760509044</v>
      </c>
    </row>
    <row r="77" spans="1:13" s="164" customFormat="1" ht="11.25" x14ac:dyDescent="0.2">
      <c r="A77" s="165">
        <v>2</v>
      </c>
      <c r="B77" s="234">
        <f ca="1">EDATE(B76,1)</f>
        <v>47407</v>
      </c>
      <c r="C77" s="165">
        <f t="shared" ref="C77:C140" ca="1" si="77">YEAR(B77)</f>
        <v>2029</v>
      </c>
      <c r="D77" s="168">
        <f t="shared" ca="1" si="75"/>
        <v>-84332.495964272035</v>
      </c>
      <c r="E77" s="168">
        <f t="shared" ca="1" si="76"/>
        <v>-284156.81109490286</v>
      </c>
      <c r="F77" s="168">
        <f ca="1">G76</f>
        <v>92158965.760509044</v>
      </c>
      <c r="G77" s="168">
        <f t="shared" ref="G77:G140" ca="1" si="78">F77+D77</f>
        <v>92074633.26454477</v>
      </c>
    </row>
    <row r="78" spans="1:13" s="164" customFormat="1" ht="11.25" x14ac:dyDescent="0.2">
      <c r="A78" s="165">
        <v>3</v>
      </c>
      <c r="B78" s="234">
        <f t="shared" ref="B78:B141" ca="1" si="79">EDATE(B77,1)</f>
        <v>47438</v>
      </c>
      <c r="C78" s="165">
        <f t="shared" ca="1" si="77"/>
        <v>2029</v>
      </c>
      <c r="D78" s="168">
        <f t="shared" ca="1" si="75"/>
        <v>-84592.521160161879</v>
      </c>
      <c r="E78" s="168">
        <f t="shared" ca="1" si="76"/>
        <v>-283896.78589901305</v>
      </c>
      <c r="F78" s="168">
        <f t="shared" ref="F78:F141" ca="1" si="80">G77</f>
        <v>92074633.26454477</v>
      </c>
      <c r="G78" s="168">
        <f t="shared" ca="1" si="78"/>
        <v>91990040.743384615</v>
      </c>
    </row>
    <row r="79" spans="1:13" s="164" customFormat="1" ht="11.25" x14ac:dyDescent="0.2">
      <c r="A79" s="165">
        <v>4</v>
      </c>
      <c r="B79" s="234">
        <f t="shared" ca="1" si="79"/>
        <v>47468</v>
      </c>
      <c r="C79" s="165">
        <f t="shared" ca="1" si="77"/>
        <v>2029</v>
      </c>
      <c r="D79" s="168">
        <f t="shared" ca="1" si="75"/>
        <v>-84853.34810040571</v>
      </c>
      <c r="E79" s="168">
        <f t="shared" ca="1" si="76"/>
        <v>-283635.95895876922</v>
      </c>
      <c r="F79" s="168">
        <f t="shared" ca="1" si="80"/>
        <v>91990040.743384615</v>
      </c>
      <c r="G79" s="168">
        <f t="shared" ca="1" si="78"/>
        <v>91905187.395284206</v>
      </c>
    </row>
    <row r="80" spans="1:13" s="164" customFormat="1" ht="11.25" x14ac:dyDescent="0.2">
      <c r="A80" s="165">
        <v>5</v>
      </c>
      <c r="B80" s="234">
        <f t="shared" ca="1" si="79"/>
        <v>47499</v>
      </c>
      <c r="C80" s="165">
        <f t="shared" ca="1" si="77"/>
        <v>2030</v>
      </c>
      <c r="D80" s="168">
        <f t="shared" ca="1" si="75"/>
        <v>-85114.979257048646</v>
      </c>
      <c r="E80" s="168">
        <f t="shared" ca="1" si="76"/>
        <v>-283374.3278021263</v>
      </c>
      <c r="F80" s="168">
        <f t="shared" ca="1" si="80"/>
        <v>91905187.395284206</v>
      </c>
      <c r="G80" s="168">
        <f t="shared" ca="1" si="78"/>
        <v>91820072.416027158</v>
      </c>
    </row>
    <row r="81" spans="1:7" s="164" customFormat="1" ht="11.25" x14ac:dyDescent="0.2">
      <c r="A81" s="165">
        <v>6</v>
      </c>
      <c r="B81" s="234">
        <f t="shared" ca="1" si="79"/>
        <v>47530</v>
      </c>
      <c r="C81" s="165">
        <f t="shared" ca="1" si="77"/>
        <v>2030</v>
      </c>
      <c r="D81" s="168">
        <f t="shared" ca="1" si="75"/>
        <v>-85377.417109757851</v>
      </c>
      <c r="E81" s="168">
        <f t="shared" ca="1" si="76"/>
        <v>-283111.88994941709</v>
      </c>
      <c r="F81" s="168">
        <f t="shared" ca="1" si="80"/>
        <v>91820072.416027158</v>
      </c>
      <c r="G81" s="168">
        <f t="shared" ca="1" si="78"/>
        <v>91734694.998917401</v>
      </c>
    </row>
    <row r="82" spans="1:7" s="164" customFormat="1" ht="11.25" x14ac:dyDescent="0.2">
      <c r="A82" s="165">
        <v>7</v>
      </c>
      <c r="B82" s="234">
        <f t="shared" ca="1" si="79"/>
        <v>47558</v>
      </c>
      <c r="C82" s="165">
        <f t="shared" ca="1" si="77"/>
        <v>2030</v>
      </c>
      <c r="D82" s="168">
        <f t="shared" ca="1" si="75"/>
        <v>-85640.664145846284</v>
      </c>
      <c r="E82" s="168">
        <f t="shared" ca="1" si="76"/>
        <v>-282848.64291332866</v>
      </c>
      <c r="F82" s="168">
        <f t="shared" ca="1" si="80"/>
        <v>91734694.998917401</v>
      </c>
      <c r="G82" s="168">
        <f t="shared" ca="1" si="78"/>
        <v>91649054.334771559</v>
      </c>
    </row>
    <row r="83" spans="1:7" s="164" customFormat="1" ht="11.25" x14ac:dyDescent="0.2">
      <c r="A83" s="165">
        <v>8</v>
      </c>
      <c r="B83" s="234">
        <f t="shared" ca="1" si="79"/>
        <v>47589</v>
      </c>
      <c r="C83" s="165">
        <f t="shared" ca="1" si="77"/>
        <v>2030</v>
      </c>
      <c r="D83" s="168">
        <f t="shared" ca="1" si="75"/>
        <v>-85904.722860295995</v>
      </c>
      <c r="E83" s="168">
        <f t="shared" ca="1" si="76"/>
        <v>-282584.58419887896</v>
      </c>
      <c r="F83" s="168">
        <f t="shared" ca="1" si="80"/>
        <v>91649054.334771559</v>
      </c>
      <c r="G83" s="168">
        <f t="shared" ca="1" si="78"/>
        <v>91563149.611911267</v>
      </c>
    </row>
    <row r="84" spans="1:7" s="164" customFormat="1" ht="11.25" x14ac:dyDescent="0.2">
      <c r="A84" s="165">
        <v>9</v>
      </c>
      <c r="B84" s="234">
        <f t="shared" ca="1" si="79"/>
        <v>47619</v>
      </c>
      <c r="C84" s="165">
        <f t="shared" ca="1" si="77"/>
        <v>2030</v>
      </c>
      <c r="D84" s="168">
        <f t="shared" ca="1" si="75"/>
        <v>-86169.595755781877</v>
      </c>
      <c r="E84" s="168">
        <f t="shared" ca="1" si="76"/>
        <v>-282319.71130339301</v>
      </c>
      <c r="F84" s="168">
        <f t="shared" ca="1" si="80"/>
        <v>91563149.611911267</v>
      </c>
      <c r="G84" s="168">
        <f t="shared" ca="1" si="78"/>
        <v>91476980.016155481</v>
      </c>
    </row>
    <row r="85" spans="1:7" s="164" customFormat="1" ht="11.25" x14ac:dyDescent="0.2">
      <c r="A85" s="165">
        <v>10</v>
      </c>
      <c r="B85" s="234">
        <f t="shared" ca="1" si="79"/>
        <v>47650</v>
      </c>
      <c r="C85" s="165">
        <f t="shared" ca="1" si="77"/>
        <v>2030</v>
      </c>
      <c r="D85" s="168">
        <f t="shared" ca="1" si="75"/>
        <v>-86435.285342695555</v>
      </c>
      <c r="E85" s="168">
        <f t="shared" ca="1" si="76"/>
        <v>-282054.02171647939</v>
      </c>
      <c r="F85" s="168">
        <f t="shared" ca="1" si="80"/>
        <v>91476980.016155481</v>
      </c>
      <c r="G85" s="168">
        <f t="shared" ca="1" si="78"/>
        <v>91390544.730812788</v>
      </c>
    </row>
    <row r="86" spans="1:7" s="164" customFormat="1" ht="11.25" x14ac:dyDescent="0.2">
      <c r="A86" s="165">
        <v>11</v>
      </c>
      <c r="B86" s="234">
        <f t="shared" ca="1" si="79"/>
        <v>47680</v>
      </c>
      <c r="C86" s="165">
        <f t="shared" ca="1" si="77"/>
        <v>2030</v>
      </c>
      <c r="D86" s="168">
        <f t="shared" ca="1" si="75"/>
        <v>-86701.794139168866</v>
      </c>
      <c r="E86" s="168">
        <f t="shared" ca="1" si="76"/>
        <v>-281787.51292000606</v>
      </c>
      <c r="F86" s="168">
        <f t="shared" ca="1" si="80"/>
        <v>91390544.730812788</v>
      </c>
      <c r="G86" s="168">
        <f t="shared" ca="1" si="78"/>
        <v>91303842.936673626</v>
      </c>
    </row>
    <row r="87" spans="1:7" s="164" customFormat="1" ht="11.25" x14ac:dyDescent="0.2">
      <c r="A87" s="165">
        <v>12</v>
      </c>
      <c r="B87" s="234">
        <f t="shared" ca="1" si="79"/>
        <v>47711</v>
      </c>
      <c r="C87" s="165">
        <f t="shared" ca="1" si="77"/>
        <v>2030</v>
      </c>
      <c r="D87" s="168">
        <f t="shared" ca="1" si="75"/>
        <v>-86969.124671097976</v>
      </c>
      <c r="E87" s="168">
        <f t="shared" ca="1" si="76"/>
        <v>-281520.18238807691</v>
      </c>
      <c r="F87" s="168">
        <f t="shared" ca="1" si="80"/>
        <v>91303842.936673626</v>
      </c>
      <c r="G87" s="168">
        <f t="shared" ca="1" si="78"/>
        <v>91216873.812002525</v>
      </c>
    </row>
    <row r="88" spans="1:7" s="164" customFormat="1" ht="11.25" x14ac:dyDescent="0.2">
      <c r="A88" s="165">
        <v>13</v>
      </c>
      <c r="B88" s="234">
        <f t="shared" ca="1" si="79"/>
        <v>47742</v>
      </c>
      <c r="C88" s="165">
        <f t="shared" ca="1" si="77"/>
        <v>2030</v>
      </c>
      <c r="D88" s="168">
        <f t="shared" ca="1" si="75"/>
        <v>-87237.279472167182</v>
      </c>
      <c r="E88" s="168">
        <f t="shared" ca="1" si="76"/>
        <v>-281252.02758700773</v>
      </c>
      <c r="F88" s="168">
        <f t="shared" ca="1" si="80"/>
        <v>91216873.812002525</v>
      </c>
      <c r="G88" s="168">
        <f t="shared" ca="1" si="78"/>
        <v>91129636.532530352</v>
      </c>
    </row>
    <row r="89" spans="1:7" s="164" customFormat="1" ht="11.25" x14ac:dyDescent="0.2">
      <c r="A89" s="165">
        <v>14</v>
      </c>
      <c r="B89" s="234">
        <f t="shared" ca="1" si="79"/>
        <v>47772</v>
      </c>
      <c r="C89" s="165">
        <f t="shared" ca="1" si="77"/>
        <v>2030</v>
      </c>
      <c r="D89" s="168">
        <f t="shared" ca="1" si="75"/>
        <v>-87506.261083873032</v>
      </c>
      <c r="E89" s="168">
        <f t="shared" ca="1" si="76"/>
        <v>-280983.04597530188</v>
      </c>
      <c r="F89" s="168">
        <f t="shared" ca="1" si="80"/>
        <v>91129636.532530352</v>
      </c>
      <c r="G89" s="168">
        <f t="shared" ca="1" si="78"/>
        <v>91042130.271446481</v>
      </c>
    </row>
    <row r="90" spans="1:7" s="164" customFormat="1" ht="11.25" x14ac:dyDescent="0.2">
      <c r="A90" s="165">
        <v>15</v>
      </c>
      <c r="B90" s="234">
        <f t="shared" ca="1" si="79"/>
        <v>47803</v>
      </c>
      <c r="C90" s="165">
        <f t="shared" ca="1" si="77"/>
        <v>2030</v>
      </c>
      <c r="D90" s="168">
        <f t="shared" ca="1" si="75"/>
        <v>-87776.072055548313</v>
      </c>
      <c r="E90" s="168">
        <f t="shared" ca="1" si="76"/>
        <v>-280713.23500362661</v>
      </c>
      <c r="F90" s="168">
        <f t="shared" ca="1" si="80"/>
        <v>91042130.271446481</v>
      </c>
      <c r="G90" s="168">
        <f t="shared" ca="1" si="78"/>
        <v>90954354.199390933</v>
      </c>
    </row>
    <row r="91" spans="1:7" s="164" customFormat="1" ht="11.25" x14ac:dyDescent="0.2">
      <c r="A91" s="165">
        <v>16</v>
      </c>
      <c r="B91" s="234">
        <f t="shared" ca="1" si="79"/>
        <v>47833</v>
      </c>
      <c r="C91" s="165">
        <f t="shared" ca="1" si="77"/>
        <v>2030</v>
      </c>
      <c r="D91" s="168">
        <f t="shared" ca="1" si="75"/>
        <v>-88046.714944386244</v>
      </c>
      <c r="E91" s="168">
        <f t="shared" ca="1" si="76"/>
        <v>-280442.59211478871</v>
      </c>
      <c r="F91" s="168">
        <f t="shared" ca="1" si="80"/>
        <v>90954354.199390933</v>
      </c>
      <c r="G91" s="168">
        <f t="shared" ca="1" si="78"/>
        <v>90866307.48444654</v>
      </c>
    </row>
    <row r="92" spans="1:7" s="164" customFormat="1" ht="11.25" x14ac:dyDescent="0.2">
      <c r="A92" s="165">
        <v>17</v>
      </c>
      <c r="B92" s="234">
        <f t="shared" ca="1" si="79"/>
        <v>47864</v>
      </c>
      <c r="C92" s="165">
        <f t="shared" ca="1" si="77"/>
        <v>2031</v>
      </c>
      <c r="D92" s="168">
        <f t="shared" ca="1" si="75"/>
        <v>-88318.192315464767</v>
      </c>
      <c r="E92" s="168">
        <f t="shared" ca="1" si="76"/>
        <v>-280171.11474371015</v>
      </c>
      <c r="F92" s="168">
        <f t="shared" ca="1" si="80"/>
        <v>90866307.48444654</v>
      </c>
      <c r="G92" s="168">
        <f t="shared" ca="1" si="78"/>
        <v>90777989.292131081</v>
      </c>
    </row>
    <row r="93" spans="1:7" s="164" customFormat="1" ht="11.25" x14ac:dyDescent="0.2">
      <c r="A93" s="165">
        <v>18</v>
      </c>
      <c r="B93" s="234">
        <f t="shared" ca="1" si="79"/>
        <v>47895</v>
      </c>
      <c r="C93" s="165">
        <f t="shared" ca="1" si="77"/>
        <v>2031</v>
      </c>
      <c r="D93" s="168">
        <f t="shared" ca="1" si="75"/>
        <v>-88590.506741770791</v>
      </c>
      <c r="E93" s="168">
        <f t="shared" ca="1" si="76"/>
        <v>-279898.80031740409</v>
      </c>
      <c r="F93" s="168">
        <f t="shared" ca="1" si="80"/>
        <v>90777989.292131081</v>
      </c>
      <c r="G93" s="168">
        <f t="shared" ca="1" si="78"/>
        <v>90689398.785389304</v>
      </c>
    </row>
    <row r="94" spans="1:7" s="164" customFormat="1" ht="11.25" x14ac:dyDescent="0.2">
      <c r="A94" s="165">
        <v>19</v>
      </c>
      <c r="B94" s="234">
        <f t="shared" ca="1" si="79"/>
        <v>47923</v>
      </c>
      <c r="C94" s="165">
        <f t="shared" ca="1" si="77"/>
        <v>2031</v>
      </c>
      <c r="D94" s="168">
        <f t="shared" ca="1" si="75"/>
        <v>-88863.660804224593</v>
      </c>
      <c r="E94" s="168">
        <f t="shared" ca="1" si="76"/>
        <v>-279625.64625495038</v>
      </c>
      <c r="F94" s="168">
        <f t="shared" ca="1" si="80"/>
        <v>90689398.785389304</v>
      </c>
      <c r="G94" s="168">
        <f t="shared" ca="1" si="78"/>
        <v>90600535.124585077</v>
      </c>
    </row>
    <row r="95" spans="1:7" s="164" customFormat="1" ht="11.25" x14ac:dyDescent="0.2">
      <c r="A95" s="165">
        <v>20</v>
      </c>
      <c r="B95" s="234">
        <f t="shared" ca="1" si="79"/>
        <v>47954</v>
      </c>
      <c r="C95" s="165">
        <f t="shared" ca="1" si="77"/>
        <v>2031</v>
      </c>
      <c r="D95" s="168">
        <f t="shared" ca="1" si="75"/>
        <v>-89137.65709170427</v>
      </c>
      <c r="E95" s="168">
        <f t="shared" ca="1" si="76"/>
        <v>-279351.64996747067</v>
      </c>
      <c r="F95" s="168">
        <f t="shared" ca="1" si="80"/>
        <v>90600535.124585077</v>
      </c>
      <c r="G95" s="168">
        <f t="shared" ca="1" si="78"/>
        <v>90511397.46749337</v>
      </c>
    </row>
    <row r="96" spans="1:7" s="164" customFormat="1" ht="11.25" x14ac:dyDescent="0.2">
      <c r="A96" s="165">
        <v>21</v>
      </c>
      <c r="B96" s="234">
        <f t="shared" ca="1" si="79"/>
        <v>47984</v>
      </c>
      <c r="C96" s="165">
        <f t="shared" ca="1" si="77"/>
        <v>2031</v>
      </c>
      <c r="D96" s="168">
        <f t="shared" ca="1" si="75"/>
        <v>-89412.498201070353</v>
      </c>
      <c r="E96" s="168">
        <f t="shared" ca="1" si="76"/>
        <v>-279076.80885810457</v>
      </c>
      <c r="F96" s="168">
        <f t="shared" ca="1" si="80"/>
        <v>90511397.46749337</v>
      </c>
      <c r="G96" s="168">
        <f t="shared" ca="1" si="78"/>
        <v>90421984.969292298</v>
      </c>
    </row>
    <row r="97" spans="1:7" s="164" customFormat="1" ht="11.25" x14ac:dyDescent="0.2">
      <c r="A97" s="165">
        <v>22</v>
      </c>
      <c r="B97" s="234">
        <f t="shared" ca="1" si="79"/>
        <v>48015</v>
      </c>
      <c r="C97" s="165">
        <f t="shared" ca="1" si="77"/>
        <v>2031</v>
      </c>
      <c r="D97" s="168">
        <f t="shared" ca="1" si="75"/>
        <v>-89688.186737190335</v>
      </c>
      <c r="E97" s="168">
        <f t="shared" ca="1" si="76"/>
        <v>-278801.12032198458</v>
      </c>
      <c r="F97" s="168">
        <f t="shared" ca="1" si="80"/>
        <v>90421984.969292298</v>
      </c>
      <c r="G97" s="168">
        <f t="shared" ca="1" si="78"/>
        <v>90332296.782555103</v>
      </c>
    </row>
    <row r="98" spans="1:7" s="164" customFormat="1" ht="11.25" x14ac:dyDescent="0.2">
      <c r="A98" s="165">
        <v>23</v>
      </c>
      <c r="B98" s="234">
        <f t="shared" ca="1" si="79"/>
        <v>48045</v>
      </c>
      <c r="C98" s="165">
        <f t="shared" ca="1" si="77"/>
        <v>2031</v>
      </c>
      <c r="D98" s="168">
        <f t="shared" ca="1" si="75"/>
        <v>-89964.725312963317</v>
      </c>
      <c r="E98" s="168">
        <f t="shared" ca="1" si="76"/>
        <v>-278524.58174621162</v>
      </c>
      <c r="F98" s="168">
        <f t="shared" ca="1" si="80"/>
        <v>90332296.782555103</v>
      </c>
      <c r="G98" s="168">
        <f t="shared" ca="1" si="78"/>
        <v>90242332.05724214</v>
      </c>
    </row>
    <row r="99" spans="1:7" s="164" customFormat="1" ht="11.25" x14ac:dyDescent="0.2">
      <c r="A99" s="165">
        <v>24</v>
      </c>
      <c r="B99" s="234">
        <f t="shared" ca="1" si="79"/>
        <v>48076</v>
      </c>
      <c r="C99" s="165">
        <f t="shared" ca="1" si="77"/>
        <v>2031</v>
      </c>
      <c r="D99" s="168">
        <f t="shared" ca="1" si="75"/>
        <v>-90242.116549344966</v>
      </c>
      <c r="E99" s="168">
        <f t="shared" ca="1" si="76"/>
        <v>-278247.19050982996</v>
      </c>
      <c r="F99" s="168">
        <f t="shared" ca="1" si="80"/>
        <v>90242332.05724214</v>
      </c>
      <c r="G99" s="168">
        <f t="shared" ca="1" si="78"/>
        <v>90152089.940692797</v>
      </c>
    </row>
    <row r="100" spans="1:7" s="164" customFormat="1" ht="11.25" x14ac:dyDescent="0.2">
      <c r="A100" s="165">
        <v>25</v>
      </c>
      <c r="B100" s="234">
        <f t="shared" ca="1" si="79"/>
        <v>48107</v>
      </c>
      <c r="C100" s="165">
        <f t="shared" ca="1" si="77"/>
        <v>2031</v>
      </c>
      <c r="D100" s="168">
        <f t="shared" ca="1" si="75"/>
        <v>-90520.363075372123</v>
      </c>
      <c r="E100" s="168">
        <f t="shared" ca="1" si="76"/>
        <v>-277968.9439838028</v>
      </c>
      <c r="F100" s="168">
        <f t="shared" ca="1" si="80"/>
        <v>90152089.940692797</v>
      </c>
      <c r="G100" s="168">
        <f t="shared" ca="1" si="78"/>
        <v>90061569.577617422</v>
      </c>
    </row>
    <row r="101" spans="1:7" s="164" customFormat="1" ht="11.25" x14ac:dyDescent="0.2">
      <c r="A101" s="165">
        <v>26</v>
      </c>
      <c r="B101" s="234">
        <f t="shared" ca="1" si="79"/>
        <v>48137</v>
      </c>
      <c r="C101" s="165">
        <f t="shared" ca="1" si="77"/>
        <v>2031</v>
      </c>
      <c r="D101" s="168">
        <f t="shared" ca="1" si="75"/>
        <v>-90799.467528187859</v>
      </c>
      <c r="E101" s="168">
        <f t="shared" ca="1" si="76"/>
        <v>-277689.83953098708</v>
      </c>
      <c r="F101" s="168">
        <f t="shared" ca="1" si="80"/>
        <v>90061569.577617422</v>
      </c>
      <c r="G101" s="168">
        <f t="shared" ca="1" si="78"/>
        <v>89970770.110089228</v>
      </c>
    </row>
    <row r="102" spans="1:7" s="164" customFormat="1" ht="11.25" x14ac:dyDescent="0.2">
      <c r="A102" s="165">
        <v>27</v>
      </c>
      <c r="B102" s="234">
        <f t="shared" ca="1" si="79"/>
        <v>48168</v>
      </c>
      <c r="C102" s="165">
        <f t="shared" ca="1" si="77"/>
        <v>2031</v>
      </c>
      <c r="D102" s="168">
        <f t="shared" ca="1" si="75"/>
        <v>-91079.432553066436</v>
      </c>
      <c r="E102" s="168">
        <f t="shared" ca="1" si="76"/>
        <v>-277409.87450610852</v>
      </c>
      <c r="F102" s="168">
        <f t="shared" ca="1" si="80"/>
        <v>89970770.110089228</v>
      </c>
      <c r="G102" s="168">
        <f t="shared" ca="1" si="78"/>
        <v>89879690.67753616</v>
      </c>
    </row>
    <row r="103" spans="1:7" s="164" customFormat="1" ht="11.25" x14ac:dyDescent="0.2">
      <c r="A103" s="165">
        <v>28</v>
      </c>
      <c r="B103" s="234">
        <f t="shared" ca="1" si="79"/>
        <v>48198</v>
      </c>
      <c r="C103" s="165">
        <f t="shared" ca="1" si="77"/>
        <v>2031</v>
      </c>
      <c r="D103" s="168">
        <f t="shared" ca="1" si="75"/>
        <v>-91360.260803438374</v>
      </c>
      <c r="E103" s="168">
        <f t="shared" ca="1" si="76"/>
        <v>-277129.04625573655</v>
      </c>
      <c r="F103" s="168">
        <f t="shared" ca="1" si="80"/>
        <v>89879690.67753616</v>
      </c>
      <c r="G103" s="168">
        <f t="shared" ca="1" si="78"/>
        <v>89788330.416732728</v>
      </c>
    </row>
    <row r="104" spans="1:7" s="164" customFormat="1" ht="11.25" x14ac:dyDescent="0.2">
      <c r="A104" s="165">
        <v>29</v>
      </c>
      <c r="B104" s="234">
        <f t="shared" ca="1" si="79"/>
        <v>48229</v>
      </c>
      <c r="C104" s="165">
        <f t="shared" ca="1" si="77"/>
        <v>2032</v>
      </c>
      <c r="D104" s="168">
        <f t="shared" ca="1" si="75"/>
        <v>-91641.954940915661</v>
      </c>
      <c r="E104" s="168">
        <f t="shared" ca="1" si="76"/>
        <v>-276847.35211825924</v>
      </c>
      <c r="F104" s="168">
        <f t="shared" ca="1" si="80"/>
        <v>89788330.416732728</v>
      </c>
      <c r="G104" s="168">
        <f t="shared" ca="1" si="78"/>
        <v>89696688.461791813</v>
      </c>
    </row>
    <row r="105" spans="1:7" s="164" customFormat="1" ht="11.25" x14ac:dyDescent="0.2">
      <c r="A105" s="165">
        <v>30</v>
      </c>
      <c r="B105" s="234">
        <f t="shared" ca="1" si="79"/>
        <v>48260</v>
      </c>
      <c r="C105" s="165">
        <f t="shared" ca="1" si="77"/>
        <v>2032</v>
      </c>
      <c r="D105" s="168">
        <f t="shared" ca="1" si="75"/>
        <v>-91924.517635316806</v>
      </c>
      <c r="E105" s="168">
        <f t="shared" ca="1" si="76"/>
        <v>-276564.78942385816</v>
      </c>
      <c r="F105" s="168">
        <f t="shared" ca="1" si="80"/>
        <v>89696688.461791813</v>
      </c>
      <c r="G105" s="168">
        <f t="shared" ca="1" si="78"/>
        <v>89604763.944156498</v>
      </c>
    </row>
    <row r="106" spans="1:7" s="164" customFormat="1" ht="11.25" x14ac:dyDescent="0.2">
      <c r="A106" s="165">
        <v>31</v>
      </c>
      <c r="B106" s="234">
        <f t="shared" ca="1" si="79"/>
        <v>48289</v>
      </c>
      <c r="C106" s="165">
        <f t="shared" ca="1" si="77"/>
        <v>2032</v>
      </c>
      <c r="D106" s="168">
        <f t="shared" ca="1" si="75"/>
        <v>-92207.951564692354</v>
      </c>
      <c r="E106" s="168">
        <f t="shared" ca="1" si="76"/>
        <v>-276281.35549448256</v>
      </c>
      <c r="F106" s="168">
        <f t="shared" ca="1" si="80"/>
        <v>89604763.944156498</v>
      </c>
      <c r="G106" s="168">
        <f t="shared" ca="1" si="78"/>
        <v>89512555.992591798</v>
      </c>
    </row>
    <row r="107" spans="1:7" s="164" customFormat="1" ht="11.25" x14ac:dyDescent="0.2">
      <c r="A107" s="165">
        <v>32</v>
      </c>
      <c r="B107" s="234">
        <f t="shared" ca="1" si="79"/>
        <v>48320</v>
      </c>
      <c r="C107" s="165">
        <f t="shared" ca="1" si="77"/>
        <v>2032</v>
      </c>
      <c r="D107" s="168">
        <f t="shared" ca="1" si="75"/>
        <v>-92492.25941535017</v>
      </c>
      <c r="E107" s="168">
        <f t="shared" ca="1" si="76"/>
        <v>-275997.04764382477</v>
      </c>
      <c r="F107" s="168">
        <f t="shared" ca="1" si="80"/>
        <v>89512555.992591798</v>
      </c>
      <c r="G107" s="168">
        <f t="shared" ca="1" si="78"/>
        <v>89420063.733176455</v>
      </c>
    </row>
    <row r="108" spans="1:7" s="164" customFormat="1" ht="11.25" x14ac:dyDescent="0.2">
      <c r="A108" s="165">
        <v>33</v>
      </c>
      <c r="B108" s="234">
        <f t="shared" ca="1" si="79"/>
        <v>48350</v>
      </c>
      <c r="C108" s="165">
        <f t="shared" ca="1" si="77"/>
        <v>2032</v>
      </c>
      <c r="D108" s="168">
        <f t="shared" ref="D108:D139" ca="1" si="81">PPMT($E$14/12,A108,$E$15*12,$F$76)</f>
        <v>-92777.443881880841</v>
      </c>
      <c r="E108" s="168">
        <f t="shared" ref="E108:E139" ca="1" si="82">IPMT($E$14/12,A108,$E$15*12,$F$76)</f>
        <v>-275711.86317729409</v>
      </c>
      <c r="F108" s="168">
        <f t="shared" ca="1" si="80"/>
        <v>89420063.733176455</v>
      </c>
      <c r="G108" s="168">
        <f t="shared" ca="1" si="78"/>
        <v>89327286.289294571</v>
      </c>
    </row>
    <row r="109" spans="1:7" s="164" customFormat="1" ht="11.25" x14ac:dyDescent="0.2">
      <c r="A109" s="165">
        <v>34</v>
      </c>
      <c r="B109" s="234">
        <f t="shared" ca="1" si="79"/>
        <v>48381</v>
      </c>
      <c r="C109" s="165">
        <f t="shared" ca="1" si="77"/>
        <v>2032</v>
      </c>
      <c r="D109" s="168">
        <f t="shared" ca="1" si="81"/>
        <v>-93063.507667183294</v>
      </c>
      <c r="E109" s="168">
        <f t="shared" ca="1" si="82"/>
        <v>-275425.79939199163</v>
      </c>
      <c r="F109" s="168">
        <f t="shared" ca="1" si="80"/>
        <v>89327286.289294571</v>
      </c>
      <c r="G109" s="168">
        <f t="shared" ca="1" si="78"/>
        <v>89234222.781627387</v>
      </c>
    </row>
    <row r="110" spans="1:7" s="164" customFormat="1" ht="11.25" x14ac:dyDescent="0.2">
      <c r="A110" s="165">
        <v>35</v>
      </c>
      <c r="B110" s="234">
        <f t="shared" ca="1" si="79"/>
        <v>48411</v>
      </c>
      <c r="C110" s="165">
        <f t="shared" ca="1" si="77"/>
        <v>2032</v>
      </c>
      <c r="D110" s="168">
        <f t="shared" ca="1" si="81"/>
        <v>-93350.453482490455</v>
      </c>
      <c r="E110" s="168">
        <f t="shared" ca="1" si="82"/>
        <v>-275138.85357668449</v>
      </c>
      <c r="F110" s="168">
        <f t="shared" ca="1" si="80"/>
        <v>89234222.781627387</v>
      </c>
      <c r="G110" s="168">
        <f t="shared" ca="1" si="78"/>
        <v>89140872.328144893</v>
      </c>
    </row>
    <row r="111" spans="1:7" s="164" customFormat="1" ht="11.25" x14ac:dyDescent="0.2">
      <c r="A111" s="165">
        <v>36</v>
      </c>
      <c r="B111" s="234">
        <f t="shared" ca="1" si="79"/>
        <v>48442</v>
      </c>
      <c r="C111" s="165">
        <f t="shared" ca="1" si="77"/>
        <v>2032</v>
      </c>
      <c r="D111" s="168">
        <f t="shared" ca="1" si="81"/>
        <v>-93638.284047394802</v>
      </c>
      <c r="E111" s="168">
        <f t="shared" ca="1" si="82"/>
        <v>-274851.02301178011</v>
      </c>
      <c r="F111" s="168">
        <f t="shared" ca="1" si="80"/>
        <v>89140872.328144893</v>
      </c>
      <c r="G111" s="168">
        <f t="shared" ca="1" si="78"/>
        <v>89047234.044097498</v>
      </c>
    </row>
    <row r="112" spans="1:7" s="164" customFormat="1" ht="11.25" x14ac:dyDescent="0.2">
      <c r="A112" s="165">
        <v>37</v>
      </c>
      <c r="B112" s="234">
        <f t="shared" ca="1" si="79"/>
        <v>48473</v>
      </c>
      <c r="C112" s="165">
        <f t="shared" ca="1" si="77"/>
        <v>2032</v>
      </c>
      <c r="D112" s="168">
        <f t="shared" ca="1" si="81"/>
        <v>-93927.002089874266</v>
      </c>
      <c r="E112" s="168">
        <f t="shared" ca="1" si="82"/>
        <v>-274562.30496930069</v>
      </c>
      <c r="F112" s="168">
        <f t="shared" ca="1" si="80"/>
        <v>89047234.044097498</v>
      </c>
      <c r="G112" s="168">
        <f t="shared" ca="1" si="78"/>
        <v>88953307.042007625</v>
      </c>
    </row>
    <row r="113" spans="1:7" s="164" customFormat="1" ht="11.25" x14ac:dyDescent="0.2">
      <c r="A113" s="165">
        <v>38</v>
      </c>
      <c r="B113" s="234">
        <f t="shared" ca="1" si="79"/>
        <v>48503</v>
      </c>
      <c r="C113" s="165">
        <f t="shared" ca="1" si="77"/>
        <v>2032</v>
      </c>
      <c r="D113" s="168">
        <f t="shared" ca="1" si="81"/>
        <v>-94216.610346318033</v>
      </c>
      <c r="E113" s="168">
        <f t="shared" ca="1" si="82"/>
        <v>-274272.69671285694</v>
      </c>
      <c r="F113" s="168">
        <f t="shared" ca="1" si="80"/>
        <v>88953307.042007625</v>
      </c>
      <c r="G113" s="168">
        <f t="shared" ca="1" si="78"/>
        <v>88859090.431661308</v>
      </c>
    </row>
    <row r="114" spans="1:7" s="164" customFormat="1" ht="11.25" x14ac:dyDescent="0.2">
      <c r="A114" s="165">
        <v>39</v>
      </c>
      <c r="B114" s="234">
        <f t="shared" ca="1" si="79"/>
        <v>48534</v>
      </c>
      <c r="C114" s="165">
        <f t="shared" ca="1" si="77"/>
        <v>2032</v>
      </c>
      <c r="D114" s="168">
        <f t="shared" ca="1" si="81"/>
        <v>-94507.11156155252</v>
      </c>
      <c r="E114" s="168">
        <f t="shared" ca="1" si="82"/>
        <v>-273982.19549762242</v>
      </c>
      <c r="F114" s="168">
        <f t="shared" ca="1" si="80"/>
        <v>88859090.431661308</v>
      </c>
      <c r="G114" s="168">
        <f t="shared" ca="1" si="78"/>
        <v>88764583.320099756</v>
      </c>
    </row>
    <row r="115" spans="1:7" s="164" customFormat="1" ht="11.25" x14ac:dyDescent="0.2">
      <c r="A115" s="165">
        <v>40</v>
      </c>
      <c r="B115" s="234">
        <f t="shared" ca="1" si="79"/>
        <v>48564</v>
      </c>
      <c r="C115" s="165">
        <f t="shared" ca="1" si="77"/>
        <v>2032</v>
      </c>
      <c r="D115" s="168">
        <f t="shared" ca="1" si="81"/>
        <v>-94798.508488867301</v>
      </c>
      <c r="E115" s="168">
        <f t="shared" ca="1" si="82"/>
        <v>-273690.79857030761</v>
      </c>
      <c r="F115" s="168">
        <f t="shared" ca="1" si="80"/>
        <v>88764583.320099756</v>
      </c>
      <c r="G115" s="168">
        <f t="shared" ca="1" si="78"/>
        <v>88669784.811610892</v>
      </c>
    </row>
    <row r="116" spans="1:7" s="164" customFormat="1" ht="11.25" x14ac:dyDescent="0.2">
      <c r="A116" s="165">
        <v>41</v>
      </c>
      <c r="B116" s="234">
        <f t="shared" ca="1" si="79"/>
        <v>48595</v>
      </c>
      <c r="C116" s="165">
        <f t="shared" ca="1" si="77"/>
        <v>2033</v>
      </c>
      <c r="D116" s="168">
        <f t="shared" ca="1" si="81"/>
        <v>-95090.803890041323</v>
      </c>
      <c r="E116" s="168">
        <f t="shared" ca="1" si="82"/>
        <v>-273398.50316913362</v>
      </c>
      <c r="F116" s="168">
        <f t="shared" ca="1" si="80"/>
        <v>88669784.811610892</v>
      </c>
      <c r="G116" s="168">
        <f t="shared" ca="1" si="78"/>
        <v>88574694.007720858</v>
      </c>
    </row>
    <row r="117" spans="1:7" s="164" customFormat="1" ht="11.25" x14ac:dyDescent="0.2">
      <c r="A117" s="165">
        <v>42</v>
      </c>
      <c r="B117" s="234">
        <f t="shared" ca="1" si="79"/>
        <v>48626</v>
      </c>
      <c r="C117" s="165">
        <f t="shared" ca="1" si="77"/>
        <v>2033</v>
      </c>
      <c r="D117" s="168">
        <f t="shared" ca="1" si="81"/>
        <v>-95384.000535368934</v>
      </c>
      <c r="E117" s="168">
        <f t="shared" ca="1" si="82"/>
        <v>-273105.30652380595</v>
      </c>
      <c r="F117" s="168">
        <f t="shared" ca="1" si="80"/>
        <v>88574694.007720858</v>
      </c>
      <c r="G117" s="168">
        <f t="shared" ca="1" si="78"/>
        <v>88479310.007185489</v>
      </c>
    </row>
    <row r="118" spans="1:7" s="164" customFormat="1" ht="11.25" x14ac:dyDescent="0.2">
      <c r="A118" s="165">
        <v>43</v>
      </c>
      <c r="B118" s="234">
        <f t="shared" ca="1" si="79"/>
        <v>48654</v>
      </c>
      <c r="C118" s="165">
        <f t="shared" ca="1" si="77"/>
        <v>2033</v>
      </c>
      <c r="D118" s="168">
        <f t="shared" ca="1" si="81"/>
        <v>-95678.101203686339</v>
      </c>
      <c r="E118" s="168">
        <f t="shared" ca="1" si="82"/>
        <v>-272811.20585548866</v>
      </c>
      <c r="F118" s="168">
        <f t="shared" ca="1" si="80"/>
        <v>88479310.007185489</v>
      </c>
      <c r="G118" s="168">
        <f t="shared" ca="1" si="78"/>
        <v>88383631.905981809</v>
      </c>
    </row>
    <row r="119" spans="1:7" s="164" customFormat="1" ht="11.25" x14ac:dyDescent="0.2">
      <c r="A119" s="165">
        <v>44</v>
      </c>
      <c r="B119" s="234">
        <f t="shared" ca="1" si="79"/>
        <v>48685</v>
      </c>
      <c r="C119" s="165">
        <f t="shared" ca="1" si="77"/>
        <v>2033</v>
      </c>
      <c r="D119" s="168">
        <f t="shared" ca="1" si="81"/>
        <v>-95973.10868239768</v>
      </c>
      <c r="E119" s="168">
        <f t="shared" ca="1" si="82"/>
        <v>-272516.19837677723</v>
      </c>
      <c r="F119" s="168">
        <f t="shared" ca="1" si="80"/>
        <v>88383631.905981809</v>
      </c>
      <c r="G119" s="168">
        <f t="shared" ca="1" si="78"/>
        <v>88287658.797299415</v>
      </c>
    </row>
    <row r="120" spans="1:7" s="164" customFormat="1" ht="11.25" x14ac:dyDescent="0.2">
      <c r="A120" s="165">
        <v>45</v>
      </c>
      <c r="B120" s="234">
        <f t="shared" ca="1" si="79"/>
        <v>48715</v>
      </c>
      <c r="C120" s="165">
        <f t="shared" ca="1" si="77"/>
        <v>2033</v>
      </c>
      <c r="D120" s="168">
        <f t="shared" ca="1" si="81"/>
        <v>-96269.025767501749</v>
      </c>
      <c r="E120" s="168">
        <f t="shared" ca="1" si="82"/>
        <v>-272220.28129167319</v>
      </c>
      <c r="F120" s="168">
        <f t="shared" ca="1" si="80"/>
        <v>88287658.797299415</v>
      </c>
      <c r="G120" s="168">
        <f t="shared" ca="1" si="78"/>
        <v>88191389.77153191</v>
      </c>
    </row>
    <row r="121" spans="1:7" s="164" customFormat="1" ht="11.25" x14ac:dyDescent="0.2">
      <c r="A121" s="165">
        <v>46</v>
      </c>
      <c r="B121" s="234">
        <f t="shared" ca="1" si="79"/>
        <v>48746</v>
      </c>
      <c r="C121" s="165">
        <f t="shared" ca="1" si="77"/>
        <v>2033</v>
      </c>
      <c r="D121" s="168">
        <f t="shared" ca="1" si="81"/>
        <v>-96565.855263618228</v>
      </c>
      <c r="E121" s="168">
        <f t="shared" ca="1" si="82"/>
        <v>-271923.4517955567</v>
      </c>
      <c r="F121" s="168">
        <f t="shared" ca="1" si="80"/>
        <v>88191389.77153191</v>
      </c>
      <c r="G121" s="168">
        <f t="shared" ca="1" si="78"/>
        <v>88094823.916268289</v>
      </c>
    </row>
    <row r="122" spans="1:7" s="164" customFormat="1" ht="11.25" x14ac:dyDescent="0.2">
      <c r="A122" s="165">
        <v>47</v>
      </c>
      <c r="B122" s="234">
        <f t="shared" ca="1" si="79"/>
        <v>48776</v>
      </c>
      <c r="C122" s="165">
        <f t="shared" ca="1" si="77"/>
        <v>2033</v>
      </c>
      <c r="D122" s="168">
        <f t="shared" ca="1" si="81"/>
        <v>-96863.599984014363</v>
      </c>
      <c r="E122" s="168">
        <f t="shared" ca="1" si="82"/>
        <v>-271625.70707516058</v>
      </c>
      <c r="F122" s="168">
        <f t="shared" ca="1" si="80"/>
        <v>88094823.916268289</v>
      </c>
      <c r="G122" s="168">
        <f t="shared" ca="1" si="78"/>
        <v>87997960.316284269</v>
      </c>
    </row>
    <row r="123" spans="1:7" s="164" customFormat="1" ht="11.25" x14ac:dyDescent="0.2">
      <c r="A123" s="165">
        <v>48</v>
      </c>
      <c r="B123" s="234">
        <f t="shared" ca="1" si="79"/>
        <v>48807</v>
      </c>
      <c r="C123" s="165">
        <f t="shared" ca="1" si="77"/>
        <v>2033</v>
      </c>
      <c r="D123" s="168">
        <f t="shared" ca="1" si="81"/>
        <v>-97162.262750631751</v>
      </c>
      <c r="E123" s="168">
        <f t="shared" ca="1" si="82"/>
        <v>-271327.04430854315</v>
      </c>
      <c r="F123" s="168">
        <f t="shared" ca="1" si="80"/>
        <v>87997960.316284269</v>
      </c>
      <c r="G123" s="168">
        <f t="shared" ca="1" si="78"/>
        <v>87900798.053533643</v>
      </c>
    </row>
    <row r="124" spans="1:7" s="164" customFormat="1" ht="11.25" x14ac:dyDescent="0.2">
      <c r="A124" s="165">
        <v>49</v>
      </c>
      <c r="B124" s="234">
        <f t="shared" ca="1" si="79"/>
        <v>48838</v>
      </c>
      <c r="C124" s="165">
        <f t="shared" ca="1" si="77"/>
        <v>2033</v>
      </c>
      <c r="D124" s="168">
        <f t="shared" ca="1" si="81"/>
        <v>-97461.846394112872</v>
      </c>
      <c r="E124" s="168">
        <f t="shared" ca="1" si="82"/>
        <v>-271027.46066506207</v>
      </c>
      <c r="F124" s="168">
        <f t="shared" ca="1" si="80"/>
        <v>87900798.053533643</v>
      </c>
      <c r="G124" s="168">
        <f t="shared" ca="1" si="78"/>
        <v>87803336.207139537</v>
      </c>
    </row>
    <row r="125" spans="1:7" s="164" customFormat="1" ht="11.25" x14ac:dyDescent="0.2">
      <c r="A125" s="165">
        <v>50</v>
      </c>
      <c r="B125" s="234">
        <f t="shared" ca="1" si="79"/>
        <v>48868</v>
      </c>
      <c r="C125" s="165">
        <f t="shared" ca="1" si="77"/>
        <v>2033</v>
      </c>
      <c r="D125" s="168">
        <f t="shared" ca="1" si="81"/>
        <v>-97762.353753828051</v>
      </c>
      <c r="E125" s="168">
        <f t="shared" ca="1" si="82"/>
        <v>-270726.95330534689</v>
      </c>
      <c r="F125" s="168">
        <f t="shared" ca="1" si="80"/>
        <v>87803336.207139537</v>
      </c>
      <c r="G125" s="168">
        <f t="shared" ca="1" si="78"/>
        <v>87705573.853385702</v>
      </c>
    </row>
    <row r="126" spans="1:7" s="164" customFormat="1" ht="11.25" x14ac:dyDescent="0.2">
      <c r="A126" s="165">
        <v>51</v>
      </c>
      <c r="B126" s="234">
        <f t="shared" ca="1" si="79"/>
        <v>48899</v>
      </c>
      <c r="C126" s="165">
        <f t="shared" ca="1" si="77"/>
        <v>2033</v>
      </c>
      <c r="D126" s="168">
        <f t="shared" ca="1" si="81"/>
        <v>-98063.78767790235</v>
      </c>
      <c r="E126" s="168">
        <f t="shared" ca="1" si="82"/>
        <v>-270425.51938127261</v>
      </c>
      <c r="F126" s="168">
        <f t="shared" ca="1" si="80"/>
        <v>87705573.853385702</v>
      </c>
      <c r="G126" s="168">
        <f t="shared" ca="1" si="78"/>
        <v>87607510.065707803</v>
      </c>
    </row>
    <row r="127" spans="1:7" s="164" customFormat="1" ht="11.25" x14ac:dyDescent="0.2">
      <c r="A127" s="165">
        <v>52</v>
      </c>
      <c r="B127" s="234">
        <f t="shared" ca="1" si="79"/>
        <v>48929</v>
      </c>
      <c r="C127" s="165">
        <f t="shared" ca="1" si="77"/>
        <v>2033</v>
      </c>
      <c r="D127" s="168">
        <f t="shared" ca="1" si="81"/>
        <v>-98366.15102324255</v>
      </c>
      <c r="E127" s="168">
        <f t="shared" ca="1" si="82"/>
        <v>-270123.15603593236</v>
      </c>
      <c r="F127" s="168">
        <f t="shared" ca="1" si="80"/>
        <v>87607510.065707803</v>
      </c>
      <c r="G127" s="168">
        <f t="shared" ca="1" si="78"/>
        <v>87509143.914684564</v>
      </c>
    </row>
    <row r="128" spans="1:7" s="164" customFormat="1" ht="11.25" x14ac:dyDescent="0.2">
      <c r="A128" s="165">
        <v>53</v>
      </c>
      <c r="B128" s="234">
        <f t="shared" ca="1" si="79"/>
        <v>48960</v>
      </c>
      <c r="C128" s="165">
        <f t="shared" ca="1" si="77"/>
        <v>2034</v>
      </c>
      <c r="D128" s="168">
        <f t="shared" ca="1" si="81"/>
        <v>-98669.446655564228</v>
      </c>
      <c r="E128" s="168">
        <f t="shared" ca="1" si="82"/>
        <v>-269819.86040361068</v>
      </c>
      <c r="F128" s="168">
        <f t="shared" ca="1" si="80"/>
        <v>87509143.914684564</v>
      </c>
      <c r="G128" s="168">
        <f t="shared" ca="1" si="78"/>
        <v>87410474.468028992</v>
      </c>
    </row>
    <row r="129" spans="1:7" s="164" customFormat="1" ht="11.25" x14ac:dyDescent="0.2">
      <c r="A129" s="165">
        <v>54</v>
      </c>
      <c r="B129" s="234">
        <f t="shared" ca="1" si="79"/>
        <v>48991</v>
      </c>
      <c r="C129" s="165">
        <f t="shared" ca="1" si="77"/>
        <v>2034</v>
      </c>
      <c r="D129" s="168">
        <f t="shared" ca="1" si="81"/>
        <v>-98973.677449418858</v>
      </c>
      <c r="E129" s="168">
        <f t="shared" ca="1" si="82"/>
        <v>-269515.62960975606</v>
      </c>
      <c r="F129" s="168">
        <f t="shared" ca="1" si="80"/>
        <v>87410474.468028992</v>
      </c>
      <c r="G129" s="168">
        <f t="shared" ca="1" si="78"/>
        <v>87311500.790579572</v>
      </c>
    </row>
    <row r="130" spans="1:7" s="164" customFormat="1" ht="11.25" x14ac:dyDescent="0.2">
      <c r="A130" s="165">
        <v>55</v>
      </c>
      <c r="B130" s="234">
        <f t="shared" ca="1" si="79"/>
        <v>49019</v>
      </c>
      <c r="C130" s="165">
        <f t="shared" ca="1" si="77"/>
        <v>2034</v>
      </c>
      <c r="D130" s="168">
        <f t="shared" ca="1" si="81"/>
        <v>-99278.846288221233</v>
      </c>
      <c r="E130" s="168">
        <f t="shared" ca="1" si="82"/>
        <v>-269210.46077095368</v>
      </c>
      <c r="F130" s="168">
        <f t="shared" ca="1" si="80"/>
        <v>87311500.790579572</v>
      </c>
      <c r="G130" s="168">
        <f t="shared" ca="1" si="78"/>
        <v>87212221.944291353</v>
      </c>
    </row>
    <row r="131" spans="1:7" s="164" customFormat="1" ht="11.25" x14ac:dyDescent="0.2">
      <c r="A131" s="165">
        <v>56</v>
      </c>
      <c r="B131" s="234">
        <f t="shared" ca="1" si="79"/>
        <v>49050</v>
      </c>
      <c r="C131" s="165">
        <f t="shared" ca="1" si="77"/>
        <v>2034</v>
      </c>
      <c r="D131" s="168">
        <f t="shared" ca="1" si="81"/>
        <v>-99584.956064276586</v>
      </c>
      <c r="E131" s="168">
        <f t="shared" ca="1" si="82"/>
        <v>-268904.35099489836</v>
      </c>
      <c r="F131" s="168">
        <f t="shared" ca="1" si="80"/>
        <v>87212221.944291353</v>
      </c>
      <c r="G131" s="168">
        <f t="shared" ca="1" si="78"/>
        <v>87112636.988227069</v>
      </c>
    </row>
    <row r="132" spans="1:7" s="164" customFormat="1" ht="11.25" x14ac:dyDescent="0.2">
      <c r="A132" s="165">
        <v>57</v>
      </c>
      <c r="B132" s="234">
        <f t="shared" ca="1" si="79"/>
        <v>49080</v>
      </c>
      <c r="C132" s="165">
        <f t="shared" ca="1" si="77"/>
        <v>2034</v>
      </c>
      <c r="D132" s="168">
        <f t="shared" ca="1" si="81"/>
        <v>-99892.009678808114</v>
      </c>
      <c r="E132" s="168">
        <f t="shared" ca="1" si="82"/>
        <v>-268597.29738036677</v>
      </c>
      <c r="F132" s="168">
        <f t="shared" ca="1" si="80"/>
        <v>87112636.988227069</v>
      </c>
      <c r="G132" s="168">
        <f t="shared" ca="1" si="78"/>
        <v>87012744.978548259</v>
      </c>
    </row>
    <row r="133" spans="1:7" s="164" customFormat="1" ht="11.25" x14ac:dyDescent="0.2">
      <c r="A133" s="165">
        <v>58</v>
      </c>
      <c r="B133" s="234">
        <f t="shared" ca="1" si="79"/>
        <v>49111</v>
      </c>
      <c r="C133" s="165">
        <f t="shared" ca="1" si="77"/>
        <v>2034</v>
      </c>
      <c r="D133" s="168">
        <f t="shared" ca="1" si="81"/>
        <v>-100200.01004198444</v>
      </c>
      <c r="E133" s="168">
        <f t="shared" ca="1" si="82"/>
        <v>-268289.29701719049</v>
      </c>
      <c r="F133" s="168">
        <f t="shared" ca="1" si="80"/>
        <v>87012744.978548259</v>
      </c>
      <c r="G133" s="168">
        <f t="shared" ca="1" si="78"/>
        <v>86912544.968506277</v>
      </c>
    </row>
    <row r="134" spans="1:7" s="164" customFormat="1" ht="11.25" x14ac:dyDescent="0.2">
      <c r="A134" s="165">
        <v>59</v>
      </c>
      <c r="B134" s="234">
        <f t="shared" ca="1" si="79"/>
        <v>49141</v>
      </c>
      <c r="C134" s="165">
        <f t="shared" ca="1" si="77"/>
        <v>2034</v>
      </c>
      <c r="D134" s="168">
        <f t="shared" ca="1" si="81"/>
        <v>-100508.96007294721</v>
      </c>
      <c r="E134" s="168">
        <f t="shared" ca="1" si="82"/>
        <v>-267980.34698622767</v>
      </c>
      <c r="F134" s="168">
        <f t="shared" ca="1" si="80"/>
        <v>86912544.968506277</v>
      </c>
      <c r="G134" s="168">
        <f t="shared" ca="1" si="78"/>
        <v>86812036.008433327</v>
      </c>
    </row>
    <row r="135" spans="1:7" s="164" customFormat="1" ht="11.25" x14ac:dyDescent="0.2">
      <c r="A135" s="165">
        <v>60</v>
      </c>
      <c r="B135" s="234">
        <f t="shared" ca="1" si="79"/>
        <v>49172</v>
      </c>
      <c r="C135" s="165">
        <f t="shared" ca="1" si="77"/>
        <v>2034</v>
      </c>
      <c r="D135" s="168">
        <f t="shared" ca="1" si="81"/>
        <v>-100818.86269983882</v>
      </c>
      <c r="E135" s="168">
        <f t="shared" ca="1" si="82"/>
        <v>-267670.44435933611</v>
      </c>
      <c r="F135" s="168">
        <f t="shared" ca="1" si="80"/>
        <v>86812036.008433327</v>
      </c>
      <c r="G135" s="168">
        <f t="shared" ca="1" si="78"/>
        <v>86711217.145733491</v>
      </c>
    </row>
    <row r="136" spans="1:7" s="164" customFormat="1" ht="11.25" x14ac:dyDescent="0.2">
      <c r="A136" s="165">
        <v>61</v>
      </c>
      <c r="B136" s="234">
        <f t="shared" ca="1" si="79"/>
        <v>49203</v>
      </c>
      <c r="C136" s="165">
        <f t="shared" ca="1" si="77"/>
        <v>2034</v>
      </c>
      <c r="D136" s="168">
        <f t="shared" ca="1" si="81"/>
        <v>-101129.72085982998</v>
      </c>
      <c r="E136" s="168">
        <f t="shared" ca="1" si="82"/>
        <v>-267359.58619934495</v>
      </c>
      <c r="F136" s="168">
        <f t="shared" ca="1" si="80"/>
        <v>86711217.145733491</v>
      </c>
      <c r="G136" s="168">
        <f t="shared" ca="1" si="78"/>
        <v>86610087.424873665</v>
      </c>
    </row>
    <row r="137" spans="1:7" s="164" customFormat="1" ht="11.25" x14ac:dyDescent="0.2">
      <c r="A137" s="165">
        <v>62</v>
      </c>
      <c r="B137" s="234">
        <f t="shared" ca="1" si="79"/>
        <v>49233</v>
      </c>
      <c r="C137" s="165">
        <f t="shared" ca="1" si="77"/>
        <v>2034</v>
      </c>
      <c r="D137" s="168">
        <f t="shared" ca="1" si="81"/>
        <v>-101441.53749914779</v>
      </c>
      <c r="E137" s="168">
        <f t="shared" ca="1" si="82"/>
        <v>-267047.76956002711</v>
      </c>
      <c r="F137" s="168">
        <f t="shared" ca="1" si="80"/>
        <v>86610087.424873665</v>
      </c>
      <c r="G137" s="168">
        <f t="shared" ca="1" si="78"/>
        <v>86508645.88737452</v>
      </c>
    </row>
    <row r="138" spans="1:7" s="164" customFormat="1" ht="11.25" x14ac:dyDescent="0.2">
      <c r="A138" s="165">
        <v>63</v>
      </c>
      <c r="B138" s="234">
        <f t="shared" ca="1" si="79"/>
        <v>49264</v>
      </c>
      <c r="C138" s="165">
        <f t="shared" ca="1" si="77"/>
        <v>2034</v>
      </c>
      <c r="D138" s="168">
        <f t="shared" ca="1" si="81"/>
        <v>-101754.31557310349</v>
      </c>
      <c r="E138" s="168">
        <f t="shared" ca="1" si="82"/>
        <v>-266734.99148607138</v>
      </c>
      <c r="F138" s="168">
        <f t="shared" ca="1" si="80"/>
        <v>86508645.88737452</v>
      </c>
      <c r="G138" s="168">
        <f t="shared" ca="1" si="78"/>
        <v>86406891.571801424</v>
      </c>
    </row>
    <row r="139" spans="1:7" s="164" customFormat="1" ht="11.25" x14ac:dyDescent="0.2">
      <c r="A139" s="165">
        <v>64</v>
      </c>
      <c r="B139" s="234">
        <f t="shared" ca="1" si="79"/>
        <v>49294</v>
      </c>
      <c r="C139" s="165">
        <f t="shared" ca="1" si="77"/>
        <v>2034</v>
      </c>
      <c r="D139" s="168">
        <f t="shared" ca="1" si="81"/>
        <v>-102068.05804612058</v>
      </c>
      <c r="E139" s="168">
        <f t="shared" ca="1" si="82"/>
        <v>-266421.24901305436</v>
      </c>
      <c r="F139" s="168">
        <f t="shared" ca="1" si="80"/>
        <v>86406891.571801424</v>
      </c>
      <c r="G139" s="168">
        <f t="shared" ca="1" si="78"/>
        <v>86304823.513755307</v>
      </c>
    </row>
    <row r="140" spans="1:7" s="164" customFormat="1" ht="11.25" x14ac:dyDescent="0.2">
      <c r="A140" s="165">
        <v>65</v>
      </c>
      <c r="B140" s="234">
        <f t="shared" ca="1" si="79"/>
        <v>49325</v>
      </c>
      <c r="C140" s="165">
        <f t="shared" ca="1" si="77"/>
        <v>2035</v>
      </c>
      <c r="D140" s="168">
        <f t="shared" ref="D140:D171" ca="1" si="83">PPMT($E$14/12,A140,$E$15*12,$F$76)</f>
        <v>-102382.76789176276</v>
      </c>
      <c r="E140" s="168">
        <f t="shared" ref="E140:E171" ca="1" si="84">IPMT($E$14/12,A140,$E$15*12,$F$76)</f>
        <v>-266106.53916741215</v>
      </c>
      <c r="F140" s="168">
        <f t="shared" ca="1" si="80"/>
        <v>86304823.513755307</v>
      </c>
      <c r="G140" s="168">
        <f t="shared" ca="1" si="78"/>
        <v>86202440.745863542</v>
      </c>
    </row>
    <row r="141" spans="1:7" s="164" customFormat="1" ht="11.25" x14ac:dyDescent="0.2">
      <c r="A141" s="165">
        <v>66</v>
      </c>
      <c r="B141" s="234">
        <f t="shared" ca="1" si="79"/>
        <v>49356</v>
      </c>
      <c r="C141" s="165">
        <f t="shared" ref="C141:C195" ca="1" si="85">YEAR(B141)</f>
        <v>2035</v>
      </c>
      <c r="D141" s="168">
        <f t="shared" ca="1" si="83"/>
        <v>-102698.44809276237</v>
      </c>
      <c r="E141" s="168">
        <f t="shared" ca="1" si="84"/>
        <v>-265790.85896641255</v>
      </c>
      <c r="F141" s="168">
        <f t="shared" ca="1" si="80"/>
        <v>86202440.745863542</v>
      </c>
      <c r="G141" s="168">
        <f t="shared" ref="G141:G195" ca="1" si="86">F141+D141</f>
        <v>86099742.297770783</v>
      </c>
    </row>
    <row r="142" spans="1:7" s="164" customFormat="1" ht="11.25" x14ac:dyDescent="0.2">
      <c r="A142" s="165">
        <v>67</v>
      </c>
      <c r="B142" s="234">
        <f t="shared" ref="B142:B195" ca="1" si="87">EDATE(B141,1)</f>
        <v>49384</v>
      </c>
      <c r="C142" s="165">
        <f t="shared" ca="1" si="85"/>
        <v>2035</v>
      </c>
      <c r="D142" s="168">
        <f t="shared" ca="1" si="83"/>
        <v>-103015.10164104839</v>
      </c>
      <c r="E142" s="168">
        <f t="shared" ca="1" si="84"/>
        <v>-265474.20541812654</v>
      </c>
      <c r="F142" s="168">
        <f t="shared" ref="F142:F195" ca="1" si="88">G141</f>
        <v>86099742.297770783</v>
      </c>
      <c r="G142" s="168">
        <f t="shared" ca="1" si="86"/>
        <v>85996727.196129739</v>
      </c>
    </row>
    <row r="143" spans="1:7" s="164" customFormat="1" ht="11.25" x14ac:dyDescent="0.2">
      <c r="A143" s="165">
        <v>68</v>
      </c>
      <c r="B143" s="234">
        <f t="shared" ca="1" si="87"/>
        <v>49415</v>
      </c>
      <c r="C143" s="165">
        <f t="shared" ca="1" si="85"/>
        <v>2035</v>
      </c>
      <c r="D143" s="168">
        <f t="shared" ca="1" si="83"/>
        <v>-103332.73153777495</v>
      </c>
      <c r="E143" s="168">
        <f t="shared" ca="1" si="84"/>
        <v>-265156.57552139997</v>
      </c>
      <c r="F143" s="168">
        <f t="shared" ca="1" si="88"/>
        <v>85996727.196129739</v>
      </c>
      <c r="G143" s="168">
        <f t="shared" ca="1" si="86"/>
        <v>85893394.464591965</v>
      </c>
    </row>
    <row r="144" spans="1:7" s="164" customFormat="1" ht="11.25" x14ac:dyDescent="0.2">
      <c r="A144" s="165">
        <v>69</v>
      </c>
      <c r="B144" s="234">
        <f t="shared" ca="1" si="87"/>
        <v>49445</v>
      </c>
      <c r="C144" s="165">
        <f t="shared" ca="1" si="85"/>
        <v>2035</v>
      </c>
      <c r="D144" s="168">
        <f t="shared" ca="1" si="83"/>
        <v>-103651.34079334977</v>
      </c>
      <c r="E144" s="168">
        <f t="shared" ca="1" si="84"/>
        <v>-264837.96626582521</v>
      </c>
      <c r="F144" s="168">
        <f t="shared" ca="1" si="88"/>
        <v>85893394.464591965</v>
      </c>
      <c r="G144" s="168">
        <f t="shared" ca="1" si="86"/>
        <v>85789743.123798609</v>
      </c>
    </row>
    <row r="145" spans="1:7" s="164" customFormat="1" ht="11.25" x14ac:dyDescent="0.2">
      <c r="A145" s="165">
        <v>70</v>
      </c>
      <c r="B145" s="234">
        <f t="shared" ca="1" si="87"/>
        <v>49476</v>
      </c>
      <c r="C145" s="165">
        <f t="shared" ca="1" si="85"/>
        <v>2035</v>
      </c>
      <c r="D145" s="168">
        <f t="shared" ca="1" si="83"/>
        <v>-103970.9324274626</v>
      </c>
      <c r="E145" s="168">
        <f t="shared" ca="1" si="84"/>
        <v>-264518.37463171233</v>
      </c>
      <c r="F145" s="168">
        <f t="shared" ca="1" si="88"/>
        <v>85789743.123798609</v>
      </c>
      <c r="G145" s="168">
        <f t="shared" ca="1" si="86"/>
        <v>85685772.191371143</v>
      </c>
    </row>
    <row r="146" spans="1:7" s="164" customFormat="1" ht="11.25" x14ac:dyDescent="0.2">
      <c r="A146" s="165">
        <v>71</v>
      </c>
      <c r="B146" s="234">
        <f t="shared" ca="1" si="87"/>
        <v>49506</v>
      </c>
      <c r="C146" s="165">
        <f t="shared" ca="1" si="85"/>
        <v>2035</v>
      </c>
      <c r="D146" s="168">
        <f t="shared" ca="1" si="83"/>
        <v>-104291.50946911395</v>
      </c>
      <c r="E146" s="168">
        <f t="shared" ca="1" si="84"/>
        <v>-264197.79759006097</v>
      </c>
      <c r="F146" s="168">
        <f t="shared" ca="1" si="88"/>
        <v>85685772.191371143</v>
      </c>
      <c r="G146" s="168">
        <f t="shared" ca="1" si="86"/>
        <v>85581480.681902036</v>
      </c>
    </row>
    <row r="147" spans="1:7" s="164" customFormat="1" ht="11.25" x14ac:dyDescent="0.2">
      <c r="A147" s="165">
        <v>72</v>
      </c>
      <c r="B147" s="234">
        <f t="shared" ca="1" si="87"/>
        <v>49537</v>
      </c>
      <c r="C147" s="165">
        <f t="shared" ca="1" si="85"/>
        <v>2035</v>
      </c>
      <c r="D147" s="168">
        <f t="shared" ca="1" si="83"/>
        <v>-104613.0749566437</v>
      </c>
      <c r="E147" s="168">
        <f t="shared" ca="1" si="84"/>
        <v>-263876.23210253124</v>
      </c>
      <c r="F147" s="168">
        <f t="shared" ca="1" si="88"/>
        <v>85581480.681902036</v>
      </c>
      <c r="G147" s="168">
        <f t="shared" ca="1" si="86"/>
        <v>85476867.606945395</v>
      </c>
    </row>
    <row r="148" spans="1:7" s="164" customFormat="1" ht="11.25" x14ac:dyDescent="0.2">
      <c r="A148" s="165">
        <v>73</v>
      </c>
      <c r="B148" s="234">
        <f t="shared" ca="1" si="87"/>
        <v>49568</v>
      </c>
      <c r="C148" s="165">
        <f t="shared" ca="1" si="85"/>
        <v>2035</v>
      </c>
      <c r="D148" s="168">
        <f t="shared" ca="1" si="83"/>
        <v>-104935.63193776003</v>
      </c>
      <c r="E148" s="168">
        <f t="shared" ca="1" si="84"/>
        <v>-263553.67512141494</v>
      </c>
      <c r="F148" s="168">
        <f t="shared" ca="1" si="88"/>
        <v>85476867.606945395</v>
      </c>
      <c r="G148" s="168">
        <f t="shared" ca="1" si="86"/>
        <v>85371931.975007638</v>
      </c>
    </row>
    <row r="149" spans="1:7" s="164" customFormat="1" ht="11.25" x14ac:dyDescent="0.2">
      <c r="A149" s="165">
        <v>74</v>
      </c>
      <c r="B149" s="234">
        <f t="shared" ca="1" si="87"/>
        <v>49598</v>
      </c>
      <c r="C149" s="165">
        <f t="shared" ca="1" si="85"/>
        <v>2035</v>
      </c>
      <c r="D149" s="168">
        <f t="shared" ca="1" si="83"/>
        <v>-105259.18346956812</v>
      </c>
      <c r="E149" s="168">
        <f t="shared" ca="1" si="84"/>
        <v>-263230.12358960678</v>
      </c>
      <c r="F149" s="168">
        <f t="shared" ca="1" si="88"/>
        <v>85371931.975007638</v>
      </c>
      <c r="G149" s="168">
        <f t="shared" ca="1" si="86"/>
        <v>85266672.791538075</v>
      </c>
    </row>
    <row r="150" spans="1:7" s="164" customFormat="1" ht="11.25" x14ac:dyDescent="0.2">
      <c r="A150" s="165">
        <v>75</v>
      </c>
      <c r="B150" s="234">
        <f t="shared" ca="1" si="87"/>
        <v>49629</v>
      </c>
      <c r="C150" s="165">
        <f t="shared" ca="1" si="85"/>
        <v>2035</v>
      </c>
      <c r="D150" s="168">
        <f t="shared" ca="1" si="83"/>
        <v>-105583.73261859929</v>
      </c>
      <c r="E150" s="168">
        <f t="shared" ca="1" si="84"/>
        <v>-262905.57444057561</v>
      </c>
      <c r="F150" s="168">
        <f t="shared" ca="1" si="88"/>
        <v>85266672.791538075</v>
      </c>
      <c r="G150" s="168">
        <f t="shared" ca="1" si="86"/>
        <v>85161089.058919474</v>
      </c>
    </row>
    <row r="151" spans="1:7" s="164" customFormat="1" ht="11.25" x14ac:dyDescent="0.2">
      <c r="A151" s="165">
        <v>76</v>
      </c>
      <c r="B151" s="234">
        <f t="shared" ca="1" si="87"/>
        <v>49659</v>
      </c>
      <c r="C151" s="165">
        <f t="shared" ca="1" si="85"/>
        <v>2035</v>
      </c>
      <c r="D151" s="168">
        <f t="shared" ca="1" si="83"/>
        <v>-105909.28246083995</v>
      </c>
      <c r="E151" s="168">
        <f t="shared" ca="1" si="84"/>
        <v>-262580.02459833497</v>
      </c>
      <c r="F151" s="168">
        <f t="shared" ca="1" si="88"/>
        <v>85161089.058919474</v>
      </c>
      <c r="G151" s="168">
        <f t="shared" ca="1" si="86"/>
        <v>85055179.776458636</v>
      </c>
    </row>
    <row r="152" spans="1:7" s="164" customFormat="1" ht="11.25" x14ac:dyDescent="0.2">
      <c r="A152" s="165">
        <v>77</v>
      </c>
      <c r="B152" s="234">
        <f t="shared" ca="1" si="87"/>
        <v>49690</v>
      </c>
      <c r="C152" s="165">
        <f t="shared" ca="1" si="85"/>
        <v>2036</v>
      </c>
      <c r="D152" s="168">
        <f t="shared" ca="1" si="83"/>
        <v>-106235.83608176089</v>
      </c>
      <c r="E152" s="168">
        <f t="shared" ca="1" si="84"/>
        <v>-262253.47097741405</v>
      </c>
      <c r="F152" s="168">
        <f t="shared" ca="1" si="88"/>
        <v>85055179.776458636</v>
      </c>
      <c r="G152" s="168">
        <f t="shared" ca="1" si="86"/>
        <v>84948943.940376878</v>
      </c>
    </row>
    <row r="153" spans="1:7" s="164" customFormat="1" ht="11.25" x14ac:dyDescent="0.2">
      <c r="A153" s="165">
        <v>78</v>
      </c>
      <c r="B153" s="234">
        <f t="shared" ca="1" si="87"/>
        <v>49721</v>
      </c>
      <c r="C153" s="165">
        <f t="shared" ca="1" si="85"/>
        <v>2036</v>
      </c>
      <c r="D153" s="168">
        <f t="shared" ca="1" si="83"/>
        <v>-106563.39657634629</v>
      </c>
      <c r="E153" s="168">
        <f t="shared" ca="1" si="84"/>
        <v>-261925.91048282862</v>
      </c>
      <c r="F153" s="168">
        <f t="shared" ca="1" si="88"/>
        <v>84948943.940376878</v>
      </c>
      <c r="G153" s="168">
        <f t="shared" ca="1" si="86"/>
        <v>84842380.543800533</v>
      </c>
    </row>
    <row r="154" spans="1:7" s="164" customFormat="1" ht="11.25" x14ac:dyDescent="0.2">
      <c r="A154" s="165">
        <v>79</v>
      </c>
      <c r="B154" s="234">
        <f t="shared" ca="1" si="87"/>
        <v>49750</v>
      </c>
      <c r="C154" s="165">
        <f t="shared" ca="1" si="85"/>
        <v>2036</v>
      </c>
      <c r="D154" s="168">
        <f t="shared" ca="1" si="83"/>
        <v>-106891.96704912337</v>
      </c>
      <c r="E154" s="168">
        <f t="shared" ca="1" si="84"/>
        <v>-261597.34001005156</v>
      </c>
      <c r="F154" s="168">
        <f t="shared" ca="1" si="88"/>
        <v>84842380.543800533</v>
      </c>
      <c r="G154" s="168">
        <f t="shared" ca="1" si="86"/>
        <v>84735488.576751411</v>
      </c>
    </row>
    <row r="155" spans="1:7" s="164" customFormat="1" ht="11.25" x14ac:dyDescent="0.2">
      <c r="A155" s="165">
        <v>80</v>
      </c>
      <c r="B155" s="234">
        <f t="shared" ca="1" si="87"/>
        <v>49781</v>
      </c>
      <c r="C155" s="165">
        <f t="shared" ca="1" si="85"/>
        <v>2036</v>
      </c>
      <c r="D155" s="168">
        <f t="shared" ca="1" si="83"/>
        <v>-107221.55061419152</v>
      </c>
      <c r="E155" s="168">
        <f t="shared" ca="1" si="84"/>
        <v>-261267.75644498342</v>
      </c>
      <c r="F155" s="168">
        <f t="shared" ca="1" si="88"/>
        <v>84735488.576751411</v>
      </c>
      <c r="G155" s="168">
        <f t="shared" ca="1" si="86"/>
        <v>84628267.026137218</v>
      </c>
    </row>
    <row r="156" spans="1:7" s="164" customFormat="1" ht="11.25" x14ac:dyDescent="0.2">
      <c r="A156" s="165">
        <v>81</v>
      </c>
      <c r="B156" s="234">
        <f t="shared" ca="1" si="87"/>
        <v>49811</v>
      </c>
      <c r="C156" s="165">
        <f t="shared" ca="1" si="85"/>
        <v>2036</v>
      </c>
      <c r="D156" s="168">
        <f t="shared" ca="1" si="83"/>
        <v>-107552.15039525193</v>
      </c>
      <c r="E156" s="168">
        <f t="shared" ca="1" si="84"/>
        <v>-260937.156663923</v>
      </c>
      <c r="F156" s="168">
        <f t="shared" ca="1" si="88"/>
        <v>84628267.026137218</v>
      </c>
      <c r="G156" s="168">
        <f t="shared" ca="1" si="86"/>
        <v>84520714.875741959</v>
      </c>
    </row>
    <row r="157" spans="1:7" s="164" customFormat="1" ht="11.25" x14ac:dyDescent="0.2">
      <c r="A157" s="165">
        <v>82</v>
      </c>
      <c r="B157" s="234">
        <f t="shared" ca="1" si="87"/>
        <v>49842</v>
      </c>
      <c r="C157" s="165">
        <f t="shared" ca="1" si="85"/>
        <v>2036</v>
      </c>
      <c r="D157" s="168">
        <f t="shared" ca="1" si="83"/>
        <v>-107883.76952563728</v>
      </c>
      <c r="E157" s="168">
        <f t="shared" ca="1" si="84"/>
        <v>-260605.53753353766</v>
      </c>
      <c r="F157" s="168">
        <f t="shared" ca="1" si="88"/>
        <v>84520714.875741959</v>
      </c>
      <c r="G157" s="168">
        <f t="shared" ca="1" si="86"/>
        <v>84412831.106216326</v>
      </c>
    </row>
    <row r="158" spans="1:7" s="164" customFormat="1" ht="11.25" x14ac:dyDescent="0.2">
      <c r="A158" s="165">
        <v>83</v>
      </c>
      <c r="B158" s="234">
        <f t="shared" ca="1" si="87"/>
        <v>49872</v>
      </c>
      <c r="C158" s="165">
        <f t="shared" ca="1" si="85"/>
        <v>2036</v>
      </c>
      <c r="D158" s="168">
        <f t="shared" ca="1" si="83"/>
        <v>-108216.41114834134</v>
      </c>
      <c r="E158" s="168">
        <f t="shared" ca="1" si="84"/>
        <v>-260272.89591083358</v>
      </c>
      <c r="F158" s="168">
        <f t="shared" ca="1" si="88"/>
        <v>84412831.106216326</v>
      </c>
      <c r="G158" s="168">
        <f t="shared" ca="1" si="86"/>
        <v>84304614.695067987</v>
      </c>
    </row>
    <row r="159" spans="1:7" s="164" customFormat="1" ht="11.25" x14ac:dyDescent="0.2">
      <c r="A159" s="165">
        <v>84</v>
      </c>
      <c r="B159" s="234">
        <f t="shared" ca="1" si="87"/>
        <v>49903</v>
      </c>
      <c r="C159" s="165">
        <f t="shared" ca="1" si="85"/>
        <v>2036</v>
      </c>
      <c r="D159" s="168">
        <f t="shared" ca="1" si="83"/>
        <v>-108550.07841604875</v>
      </c>
      <c r="E159" s="168">
        <f t="shared" ca="1" si="84"/>
        <v>-259939.2286431262</v>
      </c>
      <c r="F159" s="168">
        <f t="shared" ca="1" si="88"/>
        <v>84304614.695067987</v>
      </c>
      <c r="G159" s="168">
        <f t="shared" ca="1" si="86"/>
        <v>84196064.616651937</v>
      </c>
    </row>
    <row r="160" spans="1:7" s="164" customFormat="1" ht="11.25" x14ac:dyDescent="0.2">
      <c r="A160" s="165">
        <v>85</v>
      </c>
      <c r="B160" s="234">
        <f t="shared" ca="1" si="87"/>
        <v>49934</v>
      </c>
      <c r="C160" s="165">
        <f t="shared" ca="1" si="85"/>
        <v>2036</v>
      </c>
      <c r="D160" s="168">
        <f t="shared" ca="1" si="83"/>
        <v>-108884.77449116488</v>
      </c>
      <c r="E160" s="168">
        <f t="shared" ca="1" si="84"/>
        <v>-259604.53256801004</v>
      </c>
      <c r="F160" s="168">
        <f t="shared" ca="1" si="88"/>
        <v>84196064.616651937</v>
      </c>
      <c r="G160" s="168">
        <f t="shared" ca="1" si="86"/>
        <v>84087179.842160776</v>
      </c>
    </row>
    <row r="161" spans="1:7" s="164" customFormat="1" ht="11.25" x14ac:dyDescent="0.2">
      <c r="A161" s="165">
        <v>86</v>
      </c>
      <c r="B161" s="234">
        <f t="shared" ca="1" si="87"/>
        <v>49964</v>
      </c>
      <c r="C161" s="165">
        <f t="shared" ca="1" si="85"/>
        <v>2036</v>
      </c>
      <c r="D161" s="168">
        <f t="shared" ca="1" si="83"/>
        <v>-109220.50254584599</v>
      </c>
      <c r="E161" s="168">
        <f t="shared" ca="1" si="84"/>
        <v>-259268.80451332891</v>
      </c>
      <c r="F161" s="168">
        <f t="shared" ca="1" si="88"/>
        <v>84087179.842160776</v>
      </c>
      <c r="G161" s="168">
        <f t="shared" ca="1" si="86"/>
        <v>83977959.339614928</v>
      </c>
    </row>
    <row r="162" spans="1:7" s="164" customFormat="1" ht="11.25" x14ac:dyDescent="0.2">
      <c r="A162" s="165">
        <v>87</v>
      </c>
      <c r="B162" s="234">
        <f t="shared" ca="1" si="87"/>
        <v>49995</v>
      </c>
      <c r="C162" s="165">
        <f t="shared" ca="1" si="85"/>
        <v>2036</v>
      </c>
      <c r="D162" s="168">
        <f t="shared" ca="1" si="83"/>
        <v>-109557.265762029</v>
      </c>
      <c r="E162" s="168">
        <f t="shared" ca="1" si="84"/>
        <v>-258932.04129714597</v>
      </c>
      <c r="F162" s="168">
        <f t="shared" ca="1" si="88"/>
        <v>83977959.339614928</v>
      </c>
      <c r="G162" s="168">
        <f t="shared" ca="1" si="86"/>
        <v>83868402.073852897</v>
      </c>
    </row>
    <row r="163" spans="1:7" s="164" customFormat="1" ht="11.25" x14ac:dyDescent="0.2">
      <c r="A163" s="165">
        <v>88</v>
      </c>
      <c r="B163" s="234">
        <f t="shared" ca="1" si="87"/>
        <v>50025</v>
      </c>
      <c r="C163" s="165">
        <f t="shared" ca="1" si="85"/>
        <v>2036</v>
      </c>
      <c r="D163" s="168">
        <f t="shared" ca="1" si="83"/>
        <v>-109895.06733146192</v>
      </c>
      <c r="E163" s="168">
        <f t="shared" ca="1" si="84"/>
        <v>-258594.23972771299</v>
      </c>
      <c r="F163" s="168">
        <f t="shared" ca="1" si="88"/>
        <v>83868402.073852897</v>
      </c>
      <c r="G163" s="168">
        <f t="shared" ca="1" si="86"/>
        <v>83758507.006521434</v>
      </c>
    </row>
    <row r="164" spans="1:7" s="164" customFormat="1" ht="11.25" x14ac:dyDescent="0.2">
      <c r="A164" s="165">
        <v>89</v>
      </c>
      <c r="B164" s="234">
        <f t="shared" ca="1" si="87"/>
        <v>50056</v>
      </c>
      <c r="C164" s="165">
        <f t="shared" ca="1" si="85"/>
        <v>2037</v>
      </c>
      <c r="D164" s="168">
        <f t="shared" ca="1" si="83"/>
        <v>-110233.91045573393</v>
      </c>
      <c r="E164" s="168">
        <f t="shared" ca="1" si="84"/>
        <v>-258255.39660344098</v>
      </c>
      <c r="F164" s="168">
        <f t="shared" ca="1" si="88"/>
        <v>83758507.006521434</v>
      </c>
      <c r="G164" s="168">
        <f t="shared" ca="1" si="86"/>
        <v>83648273.0960657</v>
      </c>
    </row>
    <row r="165" spans="1:7" s="164" customFormat="1" ht="11.25" x14ac:dyDescent="0.2">
      <c r="A165" s="165">
        <v>90</v>
      </c>
      <c r="B165" s="234">
        <f t="shared" ca="1" si="87"/>
        <v>50087</v>
      </c>
      <c r="C165" s="165">
        <f t="shared" ca="1" si="85"/>
        <v>2037</v>
      </c>
      <c r="D165" s="168">
        <f t="shared" ca="1" si="83"/>
        <v>-110573.79834630575</v>
      </c>
      <c r="E165" s="168">
        <f t="shared" ca="1" si="84"/>
        <v>-257915.5087128692</v>
      </c>
      <c r="F165" s="168">
        <f t="shared" ca="1" si="88"/>
        <v>83648273.0960657</v>
      </c>
      <c r="G165" s="168">
        <f t="shared" ca="1" si="86"/>
        <v>83537699.297719389</v>
      </c>
    </row>
    <row r="166" spans="1:7" s="164" customFormat="1" ht="11.25" x14ac:dyDescent="0.2">
      <c r="A166" s="165">
        <v>91</v>
      </c>
      <c r="B166" s="234">
        <f t="shared" ca="1" si="87"/>
        <v>50115</v>
      </c>
      <c r="C166" s="165">
        <f t="shared" ca="1" si="85"/>
        <v>2037</v>
      </c>
      <c r="D166" s="168">
        <f t="shared" ca="1" si="83"/>
        <v>-110914.73422454021</v>
      </c>
      <c r="E166" s="168">
        <f t="shared" ca="1" si="84"/>
        <v>-257574.57283463469</v>
      </c>
      <c r="F166" s="168">
        <f t="shared" ca="1" si="88"/>
        <v>83537699.297719389</v>
      </c>
      <c r="G166" s="168">
        <f t="shared" ca="1" si="86"/>
        <v>83426784.563494846</v>
      </c>
    </row>
    <row r="167" spans="1:7" s="164" customFormat="1" ht="11.25" x14ac:dyDescent="0.2">
      <c r="A167" s="165">
        <v>92</v>
      </c>
      <c r="B167" s="234">
        <f t="shared" ca="1" si="87"/>
        <v>50146</v>
      </c>
      <c r="C167" s="165">
        <f t="shared" ca="1" si="85"/>
        <v>2037</v>
      </c>
      <c r="D167" s="168">
        <f t="shared" ca="1" si="83"/>
        <v>-111256.72132173253</v>
      </c>
      <c r="E167" s="168">
        <f t="shared" ca="1" si="84"/>
        <v>-257232.58573744239</v>
      </c>
      <c r="F167" s="168">
        <f t="shared" ca="1" si="88"/>
        <v>83426784.563494846</v>
      </c>
      <c r="G167" s="168">
        <f t="shared" ca="1" si="86"/>
        <v>83315527.842173114</v>
      </c>
    </row>
    <row r="168" spans="1:7" s="164" customFormat="1" ht="11.25" x14ac:dyDescent="0.2">
      <c r="A168" s="165">
        <v>93</v>
      </c>
      <c r="B168" s="234">
        <f t="shared" ca="1" si="87"/>
        <v>50176</v>
      </c>
      <c r="C168" s="165">
        <f t="shared" ca="1" si="85"/>
        <v>2037</v>
      </c>
      <c r="D168" s="168">
        <f t="shared" ca="1" si="83"/>
        <v>-111599.7628791412</v>
      </c>
      <c r="E168" s="168">
        <f t="shared" ca="1" si="84"/>
        <v>-256889.54418003373</v>
      </c>
      <c r="F168" s="168">
        <f t="shared" ca="1" si="88"/>
        <v>83315527.842173114</v>
      </c>
      <c r="G168" s="168">
        <f t="shared" ca="1" si="86"/>
        <v>83203928.079293966</v>
      </c>
    </row>
    <row r="169" spans="1:7" s="164" customFormat="1" ht="11.25" x14ac:dyDescent="0.2">
      <c r="A169" s="165">
        <v>94</v>
      </c>
      <c r="B169" s="234">
        <f t="shared" ca="1" si="87"/>
        <v>50207</v>
      </c>
      <c r="C169" s="165">
        <f t="shared" ca="1" si="85"/>
        <v>2037</v>
      </c>
      <c r="D169" s="168">
        <f t="shared" ca="1" si="83"/>
        <v>-111943.86214801858</v>
      </c>
      <c r="E169" s="168">
        <f t="shared" ca="1" si="84"/>
        <v>-256545.44491115634</v>
      </c>
      <c r="F169" s="168">
        <f t="shared" ca="1" si="88"/>
        <v>83203928.079293966</v>
      </c>
      <c r="G169" s="168">
        <f t="shared" ca="1" si="86"/>
        <v>83091984.21714595</v>
      </c>
    </row>
    <row r="170" spans="1:7" s="164" customFormat="1" ht="11.25" x14ac:dyDescent="0.2">
      <c r="A170" s="165">
        <v>95</v>
      </c>
      <c r="B170" s="234">
        <f t="shared" ca="1" si="87"/>
        <v>50237</v>
      </c>
      <c r="C170" s="165">
        <f t="shared" ca="1" si="85"/>
        <v>2037</v>
      </c>
      <c r="D170" s="168">
        <f t="shared" ca="1" si="83"/>
        <v>-112289.02238964166</v>
      </c>
      <c r="E170" s="168">
        <f t="shared" ca="1" si="84"/>
        <v>-256200.28466953326</v>
      </c>
      <c r="F170" s="168">
        <f t="shared" ca="1" si="88"/>
        <v>83091984.21714595</v>
      </c>
      <c r="G170" s="168">
        <f t="shared" ca="1" si="86"/>
        <v>82979695.194756314</v>
      </c>
    </row>
    <row r="171" spans="1:7" s="164" customFormat="1" ht="11.25" x14ac:dyDescent="0.2">
      <c r="A171" s="165">
        <v>96</v>
      </c>
      <c r="B171" s="234">
        <f t="shared" ca="1" si="87"/>
        <v>50268</v>
      </c>
      <c r="C171" s="165">
        <f t="shared" ca="1" si="85"/>
        <v>2037</v>
      </c>
      <c r="D171" s="168">
        <f t="shared" ca="1" si="83"/>
        <v>-112635.246875343</v>
      </c>
      <c r="E171" s="168">
        <f t="shared" ca="1" si="84"/>
        <v>-255854.06018383187</v>
      </c>
      <c r="F171" s="168">
        <f t="shared" ca="1" si="88"/>
        <v>82979695.194756314</v>
      </c>
      <c r="G171" s="168">
        <f t="shared" ca="1" si="86"/>
        <v>82867059.947880968</v>
      </c>
    </row>
    <row r="172" spans="1:7" s="164" customFormat="1" ht="11.25" x14ac:dyDescent="0.2">
      <c r="A172" s="165">
        <v>97</v>
      </c>
      <c r="B172" s="234">
        <f t="shared" ca="1" si="87"/>
        <v>50299</v>
      </c>
      <c r="C172" s="165">
        <f t="shared" ca="1" si="85"/>
        <v>2037</v>
      </c>
      <c r="D172" s="168">
        <f t="shared" ref="D172:D195" ca="1" si="89">PPMT($E$14/12,A172,$E$15*12,$F$76)</f>
        <v>-112982.53888654198</v>
      </c>
      <c r="E172" s="168">
        <f t="shared" ref="E172:E195" ca="1" si="90">IPMT($E$14/12,A172,$E$15*12,$F$76)</f>
        <v>-255506.76817263293</v>
      </c>
      <c r="F172" s="168">
        <f t="shared" ca="1" si="88"/>
        <v>82867059.947880968</v>
      </c>
      <c r="G172" s="168">
        <f t="shared" ca="1" si="86"/>
        <v>82754077.408994421</v>
      </c>
    </row>
    <row r="173" spans="1:7" s="164" customFormat="1" ht="11.25" x14ac:dyDescent="0.2">
      <c r="A173" s="165">
        <v>98</v>
      </c>
      <c r="B173" s="234">
        <f t="shared" ca="1" si="87"/>
        <v>50329</v>
      </c>
      <c r="C173" s="165">
        <f t="shared" ca="1" si="85"/>
        <v>2037</v>
      </c>
      <c r="D173" s="168">
        <f t="shared" ca="1" si="89"/>
        <v>-113330.90171477551</v>
      </c>
      <c r="E173" s="168">
        <f t="shared" ca="1" si="90"/>
        <v>-255158.40534439936</v>
      </c>
      <c r="F173" s="168">
        <f t="shared" ca="1" si="88"/>
        <v>82754077.408994421</v>
      </c>
      <c r="G173" s="168">
        <f t="shared" ca="1" si="86"/>
        <v>82640746.507279649</v>
      </c>
    </row>
    <row r="174" spans="1:7" s="164" customFormat="1" ht="11.25" x14ac:dyDescent="0.2">
      <c r="A174" s="165">
        <v>99</v>
      </c>
      <c r="B174" s="234">
        <f t="shared" ca="1" si="87"/>
        <v>50360</v>
      </c>
      <c r="C174" s="165">
        <f t="shared" ca="1" si="85"/>
        <v>2037</v>
      </c>
      <c r="D174" s="168">
        <f t="shared" ca="1" si="89"/>
        <v>-113680.33866172939</v>
      </c>
      <c r="E174" s="168">
        <f t="shared" ca="1" si="90"/>
        <v>-254808.96839744554</v>
      </c>
      <c r="F174" s="168">
        <f t="shared" ca="1" si="88"/>
        <v>82640746.507279649</v>
      </c>
      <c r="G174" s="168">
        <f t="shared" ca="1" si="86"/>
        <v>82527066.168617919</v>
      </c>
    </row>
    <row r="175" spans="1:7" s="164" customFormat="1" ht="11.25" x14ac:dyDescent="0.2">
      <c r="A175" s="165">
        <v>100</v>
      </c>
      <c r="B175" s="234">
        <f t="shared" ca="1" si="87"/>
        <v>50390</v>
      </c>
      <c r="C175" s="165">
        <f t="shared" ca="1" si="85"/>
        <v>2037</v>
      </c>
      <c r="D175" s="168">
        <f t="shared" ca="1" si="89"/>
        <v>-114030.85303926973</v>
      </c>
      <c r="E175" s="168">
        <f t="shared" ca="1" si="90"/>
        <v>-254458.45401990521</v>
      </c>
      <c r="F175" s="168">
        <f t="shared" ca="1" si="88"/>
        <v>82527066.168617919</v>
      </c>
      <c r="G175" s="168">
        <f t="shared" ca="1" si="86"/>
        <v>82413035.315578654</v>
      </c>
    </row>
    <row r="176" spans="1:7" s="164" customFormat="1" ht="11.25" x14ac:dyDescent="0.2">
      <c r="A176" s="165">
        <v>101</v>
      </c>
      <c r="B176" s="234">
        <f t="shared" ca="1" si="87"/>
        <v>50421</v>
      </c>
      <c r="C176" s="165">
        <f t="shared" ca="1" si="85"/>
        <v>2038</v>
      </c>
      <c r="D176" s="168">
        <f t="shared" ca="1" si="89"/>
        <v>-114382.44816947414</v>
      </c>
      <c r="E176" s="168">
        <f t="shared" ca="1" si="90"/>
        <v>-254106.85888970076</v>
      </c>
      <c r="F176" s="168">
        <f t="shared" ca="1" si="88"/>
        <v>82413035.315578654</v>
      </c>
      <c r="G176" s="168">
        <f t="shared" ca="1" si="86"/>
        <v>82298652.867409185</v>
      </c>
    </row>
    <row r="177" spans="1:7" s="164" customFormat="1" ht="11.25" x14ac:dyDescent="0.2">
      <c r="A177" s="165">
        <v>102</v>
      </c>
      <c r="B177" s="234">
        <f t="shared" ca="1" si="87"/>
        <v>50452</v>
      </c>
      <c r="C177" s="165">
        <f t="shared" ca="1" si="85"/>
        <v>2038</v>
      </c>
      <c r="D177" s="168">
        <f t="shared" ca="1" si="89"/>
        <v>-114735.12738466337</v>
      </c>
      <c r="E177" s="168">
        <f t="shared" ca="1" si="90"/>
        <v>-253754.1796745116</v>
      </c>
      <c r="F177" s="168">
        <f t="shared" ca="1" si="88"/>
        <v>82298652.867409185</v>
      </c>
      <c r="G177" s="168">
        <f t="shared" ca="1" si="86"/>
        <v>82183917.740024522</v>
      </c>
    </row>
    <row r="178" spans="1:7" s="164" customFormat="1" ht="11.25" x14ac:dyDescent="0.2">
      <c r="A178" s="165">
        <v>103</v>
      </c>
      <c r="B178" s="234">
        <f t="shared" ca="1" si="87"/>
        <v>50480</v>
      </c>
      <c r="C178" s="165">
        <f t="shared" ca="1" si="85"/>
        <v>2038</v>
      </c>
      <c r="D178" s="168">
        <f t="shared" ca="1" si="89"/>
        <v>-115088.89402743272</v>
      </c>
      <c r="E178" s="168">
        <f t="shared" ca="1" si="90"/>
        <v>-253400.41303174224</v>
      </c>
      <c r="F178" s="168">
        <f t="shared" ca="1" si="88"/>
        <v>82183917.740024522</v>
      </c>
      <c r="G178" s="168">
        <f t="shared" ca="1" si="86"/>
        <v>82068828.845997095</v>
      </c>
    </row>
    <row r="179" spans="1:7" s="164" customFormat="1" ht="11.25" x14ac:dyDescent="0.2">
      <c r="A179" s="165">
        <v>104</v>
      </c>
      <c r="B179" s="234">
        <f t="shared" ca="1" si="87"/>
        <v>50511</v>
      </c>
      <c r="C179" s="165">
        <f t="shared" ca="1" si="85"/>
        <v>2038</v>
      </c>
      <c r="D179" s="168">
        <f t="shared" ca="1" si="89"/>
        <v>-115443.75145068399</v>
      </c>
      <c r="E179" s="168">
        <f t="shared" ca="1" si="90"/>
        <v>-253045.55560849095</v>
      </c>
      <c r="F179" s="168">
        <f t="shared" ca="1" si="88"/>
        <v>82068828.845997095</v>
      </c>
      <c r="G179" s="168">
        <f t="shared" ca="1" si="86"/>
        <v>81953385.094546407</v>
      </c>
    </row>
    <row r="180" spans="1:7" s="164" customFormat="1" ht="11.25" x14ac:dyDescent="0.2">
      <c r="A180" s="165">
        <v>105</v>
      </c>
      <c r="B180" s="234">
        <f t="shared" ca="1" si="87"/>
        <v>50541</v>
      </c>
      <c r="C180" s="165">
        <f t="shared" ca="1" si="85"/>
        <v>2038</v>
      </c>
      <c r="D180" s="168">
        <f t="shared" ca="1" si="89"/>
        <v>-115799.70301765692</v>
      </c>
      <c r="E180" s="168">
        <f t="shared" ca="1" si="90"/>
        <v>-252689.604041518</v>
      </c>
      <c r="F180" s="168">
        <f t="shared" ca="1" si="88"/>
        <v>81953385.094546407</v>
      </c>
      <c r="G180" s="168">
        <f t="shared" ca="1" si="86"/>
        <v>81837585.391528755</v>
      </c>
    </row>
    <row r="181" spans="1:7" s="164" customFormat="1" ht="11.25" x14ac:dyDescent="0.2">
      <c r="A181" s="165">
        <v>106</v>
      </c>
      <c r="B181" s="234">
        <f t="shared" ca="1" si="87"/>
        <v>50572</v>
      </c>
      <c r="C181" s="165">
        <f t="shared" ca="1" si="85"/>
        <v>2038</v>
      </c>
      <c r="D181" s="168">
        <f t="shared" ca="1" si="89"/>
        <v>-116156.75210196135</v>
      </c>
      <c r="E181" s="168">
        <f t="shared" ca="1" si="90"/>
        <v>-252332.55495721358</v>
      </c>
      <c r="F181" s="168">
        <f t="shared" ca="1" si="88"/>
        <v>81837585.391528755</v>
      </c>
      <c r="G181" s="168">
        <f t="shared" ca="1" si="86"/>
        <v>81721428.639426798</v>
      </c>
    </row>
    <row r="182" spans="1:7" s="164" customFormat="1" ht="11.25" x14ac:dyDescent="0.2">
      <c r="A182" s="165">
        <v>107</v>
      </c>
      <c r="B182" s="234">
        <f t="shared" ca="1" si="87"/>
        <v>50602</v>
      </c>
      <c r="C182" s="165">
        <f t="shared" ca="1" si="85"/>
        <v>2038</v>
      </c>
      <c r="D182" s="168">
        <f t="shared" ca="1" si="89"/>
        <v>-116514.90208760908</v>
      </c>
      <c r="E182" s="168">
        <f t="shared" ca="1" si="90"/>
        <v>-251974.40497156582</v>
      </c>
      <c r="F182" s="168">
        <f t="shared" ca="1" si="88"/>
        <v>81721428.639426798</v>
      </c>
      <c r="G182" s="168">
        <f t="shared" ca="1" si="86"/>
        <v>81604913.737339184</v>
      </c>
    </row>
    <row r="183" spans="1:7" s="164" customFormat="1" ht="11.25" x14ac:dyDescent="0.2">
      <c r="A183" s="165">
        <v>108</v>
      </c>
      <c r="B183" s="234">
        <f t="shared" ca="1" si="87"/>
        <v>50633</v>
      </c>
      <c r="C183" s="165">
        <f t="shared" ca="1" si="85"/>
        <v>2038</v>
      </c>
      <c r="D183" s="168">
        <f t="shared" ca="1" si="89"/>
        <v>-116874.15636904589</v>
      </c>
      <c r="E183" s="168">
        <f t="shared" ca="1" si="90"/>
        <v>-251615.15069012906</v>
      </c>
      <c r="F183" s="168">
        <f t="shared" ca="1" si="88"/>
        <v>81604913.737339184</v>
      </c>
      <c r="G183" s="168">
        <f t="shared" ca="1" si="86"/>
        <v>81488039.580970138</v>
      </c>
    </row>
    <row r="184" spans="1:7" s="164" customFormat="1" ht="11.25" x14ac:dyDescent="0.2">
      <c r="A184" s="165">
        <v>109</v>
      </c>
      <c r="B184" s="234">
        <f t="shared" ca="1" si="87"/>
        <v>50664</v>
      </c>
      <c r="C184" s="165">
        <f t="shared" ca="1" si="85"/>
        <v>2038</v>
      </c>
      <c r="D184" s="168">
        <f t="shared" ca="1" si="89"/>
        <v>-117234.51835118378</v>
      </c>
      <c r="E184" s="168">
        <f t="shared" ca="1" si="90"/>
        <v>-251254.78870799113</v>
      </c>
      <c r="F184" s="168">
        <f t="shared" ca="1" si="88"/>
        <v>81488039.580970138</v>
      </c>
      <c r="G184" s="168">
        <f t="shared" ca="1" si="86"/>
        <v>81370805.062618956</v>
      </c>
    </row>
    <row r="185" spans="1:7" s="164" customFormat="1" ht="11.25" x14ac:dyDescent="0.2">
      <c r="A185" s="165">
        <v>110</v>
      </c>
      <c r="B185" s="234">
        <f t="shared" ca="1" si="87"/>
        <v>50694</v>
      </c>
      <c r="C185" s="165">
        <f t="shared" ca="1" si="85"/>
        <v>2038</v>
      </c>
      <c r="D185" s="168">
        <f t="shared" ca="1" si="89"/>
        <v>-117595.99144943326</v>
      </c>
      <c r="E185" s="168">
        <f t="shared" ca="1" si="90"/>
        <v>-250893.31560974164</v>
      </c>
      <c r="F185" s="168">
        <f t="shared" ca="1" si="88"/>
        <v>81370805.062618956</v>
      </c>
      <c r="G185" s="168">
        <f t="shared" ca="1" si="86"/>
        <v>81253209.071169525</v>
      </c>
    </row>
    <row r="186" spans="1:7" s="164" customFormat="1" ht="11.25" x14ac:dyDescent="0.2">
      <c r="A186" s="165">
        <v>111</v>
      </c>
      <c r="B186" s="234">
        <f t="shared" ca="1" si="87"/>
        <v>50725</v>
      </c>
      <c r="C186" s="165">
        <f t="shared" ca="1" si="85"/>
        <v>2038</v>
      </c>
      <c r="D186" s="168">
        <f t="shared" ca="1" si="89"/>
        <v>-117958.57908973566</v>
      </c>
      <c r="E186" s="168">
        <f t="shared" ca="1" si="90"/>
        <v>-250530.72796943926</v>
      </c>
      <c r="F186" s="168">
        <f t="shared" ca="1" si="88"/>
        <v>81253209.071169525</v>
      </c>
      <c r="G186" s="168">
        <f t="shared" ca="1" si="86"/>
        <v>81135250.492079794</v>
      </c>
    </row>
    <row r="187" spans="1:7" s="164" customFormat="1" ht="11.25" x14ac:dyDescent="0.2">
      <c r="A187" s="165">
        <v>112</v>
      </c>
      <c r="B187" s="234">
        <f t="shared" ca="1" si="87"/>
        <v>50755</v>
      </c>
      <c r="C187" s="165">
        <f t="shared" ca="1" si="85"/>
        <v>2038</v>
      </c>
      <c r="D187" s="168">
        <f t="shared" ca="1" si="89"/>
        <v>-118322.2847085957</v>
      </c>
      <c r="E187" s="168">
        <f t="shared" ca="1" si="90"/>
        <v>-250167.02235057918</v>
      </c>
      <c r="F187" s="168">
        <f t="shared" ca="1" si="88"/>
        <v>81135250.492079794</v>
      </c>
      <c r="G187" s="168">
        <f t="shared" ca="1" si="86"/>
        <v>81016928.207371205</v>
      </c>
    </row>
    <row r="188" spans="1:7" s="164" customFormat="1" ht="11.25" x14ac:dyDescent="0.2">
      <c r="A188" s="165">
        <v>113</v>
      </c>
      <c r="B188" s="234">
        <f t="shared" ca="1" si="87"/>
        <v>50786</v>
      </c>
      <c r="C188" s="165">
        <f t="shared" ca="1" si="85"/>
        <v>2039</v>
      </c>
      <c r="D188" s="168">
        <f t="shared" ca="1" si="89"/>
        <v>-118687.11175311384</v>
      </c>
      <c r="E188" s="168">
        <f t="shared" ca="1" si="90"/>
        <v>-249802.19530606113</v>
      </c>
      <c r="F188" s="168">
        <f t="shared" ca="1" si="88"/>
        <v>81016928.207371205</v>
      </c>
      <c r="G188" s="168">
        <f t="shared" ca="1" si="86"/>
        <v>80898241.095618084</v>
      </c>
    </row>
    <row r="189" spans="1:7" s="164" customFormat="1" ht="11.25" x14ac:dyDescent="0.2">
      <c r="A189" s="165">
        <v>114</v>
      </c>
      <c r="B189" s="234">
        <f t="shared" ca="1" si="87"/>
        <v>50817</v>
      </c>
      <c r="C189" s="165">
        <f t="shared" ca="1" si="85"/>
        <v>2039</v>
      </c>
      <c r="D189" s="168">
        <f t="shared" ca="1" si="89"/>
        <v>-119053.06368101928</v>
      </c>
      <c r="E189" s="168">
        <f t="shared" ca="1" si="90"/>
        <v>-249436.24337815563</v>
      </c>
      <c r="F189" s="168">
        <f t="shared" ca="1" si="88"/>
        <v>80898241.095618084</v>
      </c>
      <c r="G189" s="168">
        <f t="shared" ca="1" si="86"/>
        <v>80779188.031937063</v>
      </c>
    </row>
    <row r="190" spans="1:7" s="164" customFormat="1" ht="11.25" x14ac:dyDescent="0.2">
      <c r="A190" s="165">
        <v>115</v>
      </c>
      <c r="B190" s="234">
        <f t="shared" ca="1" si="87"/>
        <v>50845</v>
      </c>
      <c r="C190" s="165">
        <f t="shared" ca="1" si="85"/>
        <v>2039</v>
      </c>
      <c r="D190" s="168">
        <f t="shared" ca="1" si="89"/>
        <v>-119420.14396070244</v>
      </c>
      <c r="E190" s="168">
        <f t="shared" ca="1" si="90"/>
        <v>-249069.16309847252</v>
      </c>
      <c r="F190" s="168">
        <f t="shared" ca="1" si="88"/>
        <v>80779188.031937063</v>
      </c>
      <c r="G190" s="168">
        <f t="shared" ca="1" si="86"/>
        <v>80659767.887976363</v>
      </c>
    </row>
    <row r="191" spans="1:7" s="164" customFormat="1" ht="11.25" x14ac:dyDescent="0.2">
      <c r="A191" s="165">
        <v>116</v>
      </c>
      <c r="B191" s="234">
        <f t="shared" ca="1" si="87"/>
        <v>50876</v>
      </c>
      <c r="C191" s="165">
        <f t="shared" ca="1" si="85"/>
        <v>2039</v>
      </c>
      <c r="D191" s="168">
        <f t="shared" ca="1" si="89"/>
        <v>-119788.35607124794</v>
      </c>
      <c r="E191" s="168">
        <f t="shared" ca="1" si="90"/>
        <v>-248700.95098792698</v>
      </c>
      <c r="F191" s="168">
        <f t="shared" ca="1" si="88"/>
        <v>80659767.887976363</v>
      </c>
      <c r="G191" s="168">
        <f t="shared" ca="1" si="86"/>
        <v>80539979.531905115</v>
      </c>
    </row>
    <row r="192" spans="1:7" s="164" customFormat="1" ht="11.25" x14ac:dyDescent="0.2">
      <c r="A192" s="165">
        <v>117</v>
      </c>
      <c r="B192" s="234">
        <f t="shared" ca="1" si="87"/>
        <v>50906</v>
      </c>
      <c r="C192" s="165">
        <f t="shared" ca="1" si="85"/>
        <v>2039</v>
      </c>
      <c r="D192" s="168">
        <f t="shared" ca="1" si="89"/>
        <v>-120157.7035024676</v>
      </c>
      <c r="E192" s="168">
        <f t="shared" ca="1" si="90"/>
        <v>-248331.60355670736</v>
      </c>
      <c r="F192" s="168">
        <f t="shared" ca="1" si="88"/>
        <v>80539979.531905115</v>
      </c>
      <c r="G192" s="168">
        <f t="shared" ca="1" si="86"/>
        <v>80419821.828402653</v>
      </c>
    </row>
    <row r="193" spans="1:7" s="164" customFormat="1" ht="11.25" x14ac:dyDescent="0.2">
      <c r="A193" s="165">
        <v>118</v>
      </c>
      <c r="B193" s="234">
        <f t="shared" ca="1" si="87"/>
        <v>50937</v>
      </c>
      <c r="C193" s="165">
        <f t="shared" ca="1" si="85"/>
        <v>2039</v>
      </c>
      <c r="D193" s="168">
        <f t="shared" ca="1" si="89"/>
        <v>-120528.18975493356</v>
      </c>
      <c r="E193" s="168">
        <f t="shared" ca="1" si="90"/>
        <v>-247961.11730424137</v>
      </c>
      <c r="F193" s="168">
        <f t="shared" ca="1" si="88"/>
        <v>80419821.828402653</v>
      </c>
      <c r="G193" s="168">
        <f t="shared" ca="1" si="86"/>
        <v>80299293.63864772</v>
      </c>
    </row>
    <row r="194" spans="1:7" s="164" customFormat="1" ht="11.25" x14ac:dyDescent="0.2">
      <c r="A194" s="165">
        <v>119</v>
      </c>
      <c r="B194" s="234">
        <f t="shared" ca="1" si="87"/>
        <v>50967</v>
      </c>
      <c r="C194" s="165">
        <f t="shared" ca="1" si="85"/>
        <v>2039</v>
      </c>
      <c r="D194" s="168">
        <f t="shared" ca="1" si="89"/>
        <v>-120899.81834001128</v>
      </c>
      <c r="E194" s="168">
        <f t="shared" ca="1" si="90"/>
        <v>-247589.48871916367</v>
      </c>
      <c r="F194" s="168">
        <f t="shared" ca="1" si="88"/>
        <v>80299293.63864772</v>
      </c>
      <c r="G194" s="168">
        <f t="shared" ca="1" si="86"/>
        <v>80178393.820307702</v>
      </c>
    </row>
    <row r="195" spans="1:7" s="164" customFormat="1" ht="11.25" x14ac:dyDescent="0.2">
      <c r="A195" s="165">
        <v>120</v>
      </c>
      <c r="B195" s="234">
        <f t="shared" ca="1" si="87"/>
        <v>50998</v>
      </c>
      <c r="C195" s="165">
        <f t="shared" ca="1" si="85"/>
        <v>2039</v>
      </c>
      <c r="D195" s="168">
        <f t="shared" ca="1" si="89"/>
        <v>-121272.59277989296</v>
      </c>
      <c r="E195" s="168">
        <f t="shared" ca="1" si="90"/>
        <v>-247216.71427928194</v>
      </c>
      <c r="F195" s="168">
        <f t="shared" ca="1" si="88"/>
        <v>80178393.820307702</v>
      </c>
      <c r="G195" s="168">
        <f t="shared" ca="1" si="86"/>
        <v>80057121.227527812</v>
      </c>
    </row>
    <row r="196" spans="1:7" s="164" customFormat="1" ht="11.25" x14ac:dyDescent="0.2"/>
    <row r="197" spans="1:7" s="164" customFormat="1" ht="11.25" x14ac:dyDescent="0.2"/>
  </sheetData>
  <mergeCells count="4">
    <mergeCell ref="A2:M2"/>
    <mergeCell ref="A3:M3"/>
    <mergeCell ref="A4:M4"/>
    <mergeCell ref="O37:T37"/>
  </mergeCells>
  <printOptions horizontalCentered="1"/>
  <pageMargins left="0.78740157480314998" right="0.78740157480314998" top="0.27559055118110198" bottom="0.196850393700787" header="0.31496062992126" footer="0.31496062992126"/>
  <pageSetup scale="87"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1507" r:id="rId4" name="Drop Down 3">
              <controlPr defaultSize="0" autoLine="0" autoPict="0">
                <anchor moveWithCells="1">
                  <from>
                    <xdr:col>8</xdr:col>
                    <xdr:colOff>266700</xdr:colOff>
                    <xdr:row>11</xdr:row>
                    <xdr:rowOff>142875</xdr:rowOff>
                  </from>
                  <to>
                    <xdr:col>11</xdr:col>
                    <xdr:colOff>219075</xdr:colOff>
                    <xdr:row>13</xdr:row>
                    <xdr:rowOff>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9" tint="0.59999389629810485"/>
  </sheetPr>
  <dimension ref="A1:J33"/>
  <sheetViews>
    <sheetView showGridLines="0" topLeftCell="A2" zoomScaleNormal="100" zoomScaleSheetLayoutView="85" workbookViewId="0">
      <selection activeCell="N15" sqref="N15"/>
    </sheetView>
  </sheetViews>
  <sheetFormatPr defaultRowHeight="15" x14ac:dyDescent="0.25"/>
  <cols>
    <col min="9" max="9" width="14.85546875" customWidth="1"/>
    <col min="10" max="10" width="0.5703125" customWidth="1"/>
  </cols>
  <sheetData>
    <row r="1" spans="1:10" ht="12" customHeight="1" x14ac:dyDescent="0.25">
      <c r="J1" s="59" t="str">
        <f>"Currently running: "&amp;CHOOSE('12. Sensitivity'!$E$8,'12. Sensitivity'!$B$11,'12. Sensitivity'!$B$12,'12. Sensitivity'!$B$13)</f>
        <v>Currently running: Base Case</v>
      </c>
    </row>
    <row r="2" spans="1:10" ht="48.6" customHeight="1" x14ac:dyDescent="0.25">
      <c r="J2" s="59"/>
    </row>
    <row r="3" spans="1:10" ht="15.75" x14ac:dyDescent="0.25">
      <c r="B3" s="953" t="str">
        <f>'3. Headline #s'!A10</f>
        <v>Apartment Development Model 
Reverse 1B</v>
      </c>
      <c r="C3" s="953"/>
      <c r="D3" s="953"/>
      <c r="E3" s="953"/>
      <c r="F3" s="953"/>
      <c r="G3" s="953"/>
      <c r="H3" s="953"/>
      <c r="I3" s="953"/>
    </row>
    <row r="4" spans="1:10" x14ac:dyDescent="0.25">
      <c r="B4" s="951" t="str">
        <f>'3. Headline #s'!A12</f>
        <v>2240 Birchmount Road, Scarborough, ON</v>
      </c>
      <c r="C4" s="951"/>
      <c r="D4" s="951"/>
      <c r="E4" s="951"/>
      <c r="F4" s="951"/>
      <c r="G4" s="951"/>
      <c r="H4" s="951"/>
      <c r="I4" s="951"/>
    </row>
    <row r="5" spans="1:10" x14ac:dyDescent="0.25">
      <c r="B5" s="923" t="s">
        <v>24</v>
      </c>
      <c r="C5" s="923"/>
      <c r="D5" s="923"/>
      <c r="E5" s="923"/>
      <c r="F5" s="923"/>
      <c r="G5" s="923"/>
      <c r="H5" s="923"/>
      <c r="I5" s="923"/>
    </row>
    <row r="6" spans="1:10" ht="3.6" customHeight="1" thickBot="1" x14ac:dyDescent="0.3">
      <c r="A6" s="1"/>
      <c r="B6" s="1"/>
      <c r="C6" s="1"/>
      <c r="D6" s="1"/>
      <c r="E6" s="1"/>
      <c r="F6" s="1"/>
      <c r="G6" s="1"/>
      <c r="H6" s="1"/>
      <c r="I6" s="1"/>
      <c r="J6" s="1"/>
    </row>
    <row r="8" spans="1:10" x14ac:dyDescent="0.25">
      <c r="D8" s="58" t="s">
        <v>96</v>
      </c>
      <c r="E8">
        <v>1</v>
      </c>
    </row>
    <row r="9" spans="1:10" ht="15.75" x14ac:dyDescent="0.25">
      <c r="A9" s="218"/>
      <c r="B9" s="344" t="s">
        <v>288</v>
      </c>
      <c r="C9" s="226"/>
      <c r="D9" s="219"/>
      <c r="E9" s="219"/>
      <c r="F9" s="218"/>
      <c r="G9" s="218"/>
      <c r="H9" s="218"/>
      <c r="I9" s="218"/>
    </row>
    <row r="10" spans="1:10" x14ac:dyDescent="0.25">
      <c r="A10" s="25"/>
      <c r="B10" s="26" t="s">
        <v>19</v>
      </c>
      <c r="C10" s="25"/>
      <c r="D10" s="25"/>
      <c r="E10" s="25"/>
      <c r="F10" s="25"/>
      <c r="G10" s="25"/>
      <c r="H10" s="56">
        <f>CHOOSE($E$8,H11,H12,H13)</f>
        <v>4.4999999999999998E-2</v>
      </c>
      <c r="I10" s="25"/>
      <c r="J10" s="25"/>
    </row>
    <row r="11" spans="1:10" x14ac:dyDescent="0.25">
      <c r="B11" t="s">
        <v>79</v>
      </c>
      <c r="H11" s="53">
        <f>'1. 1A Proforma'!H47</f>
        <v>4.4999999999999998E-2</v>
      </c>
    </row>
    <row r="12" spans="1:10" x14ac:dyDescent="0.25">
      <c r="B12" t="s">
        <v>80</v>
      </c>
      <c r="H12" s="53">
        <f>'1. 1A Proforma'!H46</f>
        <v>4.2500000000000003E-2</v>
      </c>
    </row>
    <row r="13" spans="1:10" x14ac:dyDescent="0.25">
      <c r="B13" t="s">
        <v>81</v>
      </c>
      <c r="H13" s="53">
        <f>'1. 1A Proforma'!H48</f>
        <v>4.7500000000000001E-2</v>
      </c>
    </row>
    <row r="15" spans="1:10" x14ac:dyDescent="0.25">
      <c r="B15" s="27" t="s">
        <v>95</v>
      </c>
      <c r="H15" s="56">
        <f>CHOOSE($E$8,H16,H17,H18)</f>
        <v>5.8666666666666666E-2</v>
      </c>
    </row>
    <row r="16" spans="1:10" x14ac:dyDescent="0.25">
      <c r="B16" t="s">
        <v>79</v>
      </c>
      <c r="H16" s="53">
        <f>+'6. Debt Stack &amp; Financing'!D20</f>
        <v>5.8666666666666666E-2</v>
      </c>
    </row>
    <row r="17" spans="2:8" x14ac:dyDescent="0.25">
      <c r="B17" t="s">
        <v>80</v>
      </c>
      <c r="H17" s="53">
        <f>+H16-0.0025</f>
        <v>5.6166666666666663E-2</v>
      </c>
    </row>
    <row r="18" spans="2:8" x14ac:dyDescent="0.25">
      <c r="B18" t="s">
        <v>81</v>
      </c>
      <c r="H18" s="53">
        <f>+H16+0.0025</f>
        <v>6.1166666666666668E-2</v>
      </c>
    </row>
    <row r="20" spans="2:8" x14ac:dyDescent="0.25">
      <c r="B20" s="27" t="s">
        <v>82</v>
      </c>
      <c r="H20" s="54">
        <f>CHOOSE($E$8,H21,H22,H23)</f>
        <v>18</v>
      </c>
    </row>
    <row r="21" spans="2:8" x14ac:dyDescent="0.25">
      <c r="B21" t="s">
        <v>79</v>
      </c>
      <c r="H21" s="12">
        <f>'5. Key Assumptions'!E14</f>
        <v>18</v>
      </c>
    </row>
    <row r="22" spans="2:8" x14ac:dyDescent="0.25">
      <c r="B22" t="s">
        <v>80</v>
      </c>
      <c r="H22" s="12">
        <f>H21-3</f>
        <v>15</v>
      </c>
    </row>
    <row r="23" spans="2:8" x14ac:dyDescent="0.25">
      <c r="B23" t="s">
        <v>81</v>
      </c>
      <c r="H23" s="12">
        <f>H21+3</f>
        <v>21</v>
      </c>
    </row>
    <row r="25" spans="2:8" x14ac:dyDescent="0.25">
      <c r="B25" s="27" t="s">
        <v>105</v>
      </c>
      <c r="H25" s="54">
        <f>CHOOSE($E$8,H26,H27,H28)</f>
        <v>11.333333333333334</v>
      </c>
    </row>
    <row r="26" spans="2:8" x14ac:dyDescent="0.25">
      <c r="B26" t="s">
        <v>79</v>
      </c>
      <c r="H26" s="12">
        <f>'5. Key Assumptions'!E15</f>
        <v>11.333333333333334</v>
      </c>
    </row>
    <row r="27" spans="2:8" x14ac:dyDescent="0.25">
      <c r="B27" t="s">
        <v>80</v>
      </c>
      <c r="H27" s="12">
        <f>H26-2</f>
        <v>9.3333333333333339</v>
      </c>
    </row>
    <row r="28" spans="2:8" x14ac:dyDescent="0.25">
      <c r="B28" t="s">
        <v>81</v>
      </c>
      <c r="H28" s="12">
        <f>H26+2</f>
        <v>13.333333333333334</v>
      </c>
    </row>
    <row r="30" spans="2:8" x14ac:dyDescent="0.25">
      <c r="B30" s="27" t="s">
        <v>94</v>
      </c>
      <c r="H30" s="55">
        <f>CHOOSE($E$8,H31,H32,H33)</f>
        <v>0</v>
      </c>
    </row>
    <row r="31" spans="2:8" x14ac:dyDescent="0.25">
      <c r="B31" t="s">
        <v>79</v>
      </c>
      <c r="H31" s="57">
        <v>0</v>
      </c>
    </row>
    <row r="32" spans="2:8" x14ac:dyDescent="0.25">
      <c r="B32" t="s">
        <v>80</v>
      </c>
      <c r="H32" s="57">
        <v>-0.05</v>
      </c>
    </row>
    <row r="33" spans="2:8" x14ac:dyDescent="0.25">
      <c r="B33" t="s">
        <v>81</v>
      </c>
      <c r="H33" s="57">
        <v>0.05</v>
      </c>
    </row>
  </sheetData>
  <mergeCells count="3">
    <mergeCell ref="B3:I3"/>
    <mergeCell ref="B4:I4"/>
    <mergeCell ref="B5:I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Drop Down 1">
              <controlPr defaultSize="0" autoLine="0" autoPict="0">
                <anchor moveWithCells="1">
                  <from>
                    <xdr:col>4</xdr:col>
                    <xdr:colOff>28575</xdr:colOff>
                    <xdr:row>6</xdr:row>
                    <xdr:rowOff>152400</xdr:rowOff>
                  </from>
                  <to>
                    <xdr:col>6</xdr:col>
                    <xdr:colOff>28575</xdr:colOff>
                    <xdr:row>8</xdr:row>
                    <xdr:rowOff>28575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4C46F-6161-44B1-81BE-4D65BCE162C6}">
  <sheetPr>
    <tabColor theme="9" tint="0.59999389629810485"/>
  </sheetPr>
  <dimension ref="A1:K57"/>
  <sheetViews>
    <sheetView workbookViewId="0">
      <selection activeCell="A47" sqref="A47"/>
    </sheetView>
  </sheetViews>
  <sheetFormatPr defaultRowHeight="15" x14ac:dyDescent="0.25"/>
  <cols>
    <col min="1" max="1" width="35" customWidth="1"/>
    <col min="2" max="11" width="12" customWidth="1"/>
  </cols>
  <sheetData>
    <row r="1" spans="1:11" ht="18.75" x14ac:dyDescent="0.3">
      <c r="A1" s="971" t="s">
        <v>382</v>
      </c>
      <c r="B1" s="970"/>
      <c r="C1" s="970"/>
      <c r="D1" s="970"/>
      <c r="E1" s="970"/>
      <c r="F1" s="970"/>
      <c r="G1" s="970"/>
      <c r="H1" s="970"/>
      <c r="I1" s="970"/>
      <c r="J1" s="970"/>
      <c r="K1" s="970"/>
    </row>
    <row r="2" spans="1:11" ht="15.75" x14ac:dyDescent="0.25">
      <c r="A2" s="972" t="s">
        <v>383</v>
      </c>
      <c r="B2" s="970"/>
      <c r="C2" s="970"/>
      <c r="D2" s="970"/>
      <c r="E2" s="970"/>
      <c r="F2" s="970"/>
      <c r="G2" s="970"/>
      <c r="H2" s="970"/>
      <c r="I2" s="970"/>
      <c r="J2" s="970"/>
      <c r="K2" s="970"/>
    </row>
    <row r="4" spans="1:11" ht="30" x14ac:dyDescent="0.25">
      <c r="A4" s="431" t="s">
        <v>384</v>
      </c>
      <c r="B4" s="431" t="s">
        <v>385</v>
      </c>
      <c r="C4" s="431" t="s">
        <v>386</v>
      </c>
      <c r="D4" s="431" t="s">
        <v>387</v>
      </c>
      <c r="E4" s="431" t="s">
        <v>388</v>
      </c>
      <c r="F4" s="434" t="s">
        <v>389</v>
      </c>
      <c r="G4" s="433" t="s">
        <v>390</v>
      </c>
      <c r="H4" s="431" t="s">
        <v>391</v>
      </c>
      <c r="I4" s="431" t="s">
        <v>392</v>
      </c>
      <c r="J4" s="431" t="s">
        <v>393</v>
      </c>
      <c r="K4" s="431" t="s">
        <v>394</v>
      </c>
    </row>
    <row r="5" spans="1:11" x14ac:dyDescent="0.25">
      <c r="A5" s="967" t="s">
        <v>395</v>
      </c>
      <c r="B5" s="968"/>
      <c r="C5" s="968"/>
      <c r="D5" s="968"/>
      <c r="E5" s="968"/>
      <c r="F5" s="968"/>
      <c r="G5" s="968"/>
      <c r="H5" s="968"/>
      <c r="I5" s="968"/>
      <c r="J5" s="968"/>
      <c r="K5" s="968"/>
    </row>
    <row r="6" spans="1:11" x14ac:dyDescent="0.25">
      <c r="A6" t="s">
        <v>396</v>
      </c>
      <c r="B6" t="s">
        <v>397</v>
      </c>
      <c r="C6" t="s">
        <v>398</v>
      </c>
      <c r="D6" t="s">
        <v>399</v>
      </c>
      <c r="E6" t="s">
        <v>400</v>
      </c>
      <c r="F6" s="435" t="s">
        <v>401</v>
      </c>
      <c r="G6" s="309" t="s">
        <v>402</v>
      </c>
      <c r="H6" t="s">
        <v>403</v>
      </c>
      <c r="I6" t="s">
        <v>404</v>
      </c>
      <c r="J6" t="s">
        <v>405</v>
      </c>
      <c r="K6" t="s">
        <v>406</v>
      </c>
    </row>
    <row r="7" spans="1:11" x14ac:dyDescent="0.25">
      <c r="A7" t="s">
        <v>407</v>
      </c>
      <c r="B7" t="s">
        <v>408</v>
      </c>
      <c r="C7" t="s">
        <v>409</v>
      </c>
      <c r="D7" t="s">
        <v>410</v>
      </c>
      <c r="E7" t="s">
        <v>408</v>
      </c>
      <c r="F7" s="435" t="s">
        <v>399</v>
      </c>
      <c r="G7" s="309" t="s">
        <v>411</v>
      </c>
      <c r="H7" t="s">
        <v>412</v>
      </c>
      <c r="I7" t="s">
        <v>413</v>
      </c>
      <c r="J7" t="s">
        <v>414</v>
      </c>
      <c r="K7" t="s">
        <v>415</v>
      </c>
    </row>
    <row r="8" spans="1:11" x14ac:dyDescent="0.25">
      <c r="A8" t="s">
        <v>416</v>
      </c>
      <c r="B8" t="s">
        <v>408</v>
      </c>
      <c r="C8" t="s">
        <v>417</v>
      </c>
      <c r="D8" t="s">
        <v>412</v>
      </c>
      <c r="E8" t="s">
        <v>418</v>
      </c>
      <c r="F8" s="435" t="s">
        <v>397</v>
      </c>
      <c r="G8" s="309" t="s">
        <v>419</v>
      </c>
      <c r="H8" t="s">
        <v>415</v>
      </c>
      <c r="I8" t="s">
        <v>418</v>
      </c>
      <c r="J8" t="s">
        <v>412</v>
      </c>
      <c r="K8" t="s">
        <v>420</v>
      </c>
    </row>
    <row r="9" spans="1:11" x14ac:dyDescent="0.25">
      <c r="A9" t="s">
        <v>421</v>
      </c>
      <c r="B9" t="s">
        <v>422</v>
      </c>
      <c r="C9" t="s">
        <v>423</v>
      </c>
      <c r="D9" t="s">
        <v>424</v>
      </c>
      <c r="E9" t="s">
        <v>424</v>
      </c>
      <c r="F9" s="435" t="s">
        <v>418</v>
      </c>
      <c r="G9" s="309" t="s">
        <v>417</v>
      </c>
      <c r="H9" t="s">
        <v>424</v>
      </c>
      <c r="I9" t="s">
        <v>424</v>
      </c>
      <c r="J9" t="s">
        <v>424</v>
      </c>
      <c r="K9" t="s">
        <v>424</v>
      </c>
    </row>
    <row r="10" spans="1:11" x14ac:dyDescent="0.25">
      <c r="A10" t="s">
        <v>425</v>
      </c>
      <c r="B10" t="s">
        <v>426</v>
      </c>
      <c r="D10" t="s">
        <v>427</v>
      </c>
      <c r="F10" s="435" t="s">
        <v>428</v>
      </c>
      <c r="G10" s="309"/>
      <c r="H10" t="s">
        <v>429</v>
      </c>
      <c r="J10" t="s">
        <v>430</v>
      </c>
    </row>
    <row r="11" spans="1:11" x14ac:dyDescent="0.25">
      <c r="A11" s="969"/>
      <c r="B11" s="970"/>
      <c r="C11" s="970"/>
      <c r="D11" s="970"/>
      <c r="E11" s="970"/>
      <c r="F11" s="970"/>
      <c r="G11" s="970"/>
      <c r="H11" s="970"/>
      <c r="I11" s="970"/>
      <c r="J11" s="970"/>
      <c r="K11" s="970"/>
    </row>
    <row r="12" spans="1:11" x14ac:dyDescent="0.25">
      <c r="A12" s="969" t="s">
        <v>431</v>
      </c>
      <c r="B12" s="970"/>
      <c r="C12" s="970"/>
      <c r="D12" s="970"/>
      <c r="E12" s="970"/>
      <c r="F12" s="970"/>
      <c r="G12" s="970"/>
      <c r="H12" s="970"/>
      <c r="I12" s="970"/>
      <c r="J12" s="970"/>
      <c r="K12" s="970"/>
    </row>
    <row r="13" spans="1:11" x14ac:dyDescent="0.25">
      <c r="A13" t="s">
        <v>432</v>
      </c>
      <c r="B13" t="s">
        <v>433</v>
      </c>
      <c r="C13" t="s">
        <v>412</v>
      </c>
      <c r="D13" t="s">
        <v>434</v>
      </c>
      <c r="E13" t="s">
        <v>435</v>
      </c>
      <c r="F13" t="s">
        <v>433</v>
      </c>
      <c r="G13" t="s">
        <v>436</v>
      </c>
      <c r="H13" t="s">
        <v>437</v>
      </c>
      <c r="I13" t="s">
        <v>438</v>
      </c>
      <c r="J13" t="s">
        <v>439</v>
      </c>
      <c r="K13" t="s">
        <v>434</v>
      </c>
    </row>
    <row r="14" spans="1:11" x14ac:dyDescent="0.25">
      <c r="A14" t="s">
        <v>440</v>
      </c>
      <c r="B14" t="s">
        <v>441</v>
      </c>
      <c r="C14" t="s">
        <v>406</v>
      </c>
      <c r="D14" t="s">
        <v>442</v>
      </c>
      <c r="E14" t="s">
        <v>436</v>
      </c>
      <c r="F14" t="s">
        <v>441</v>
      </c>
      <c r="G14" t="s">
        <v>443</v>
      </c>
      <c r="H14" t="s">
        <v>444</v>
      </c>
      <c r="I14" t="s">
        <v>445</v>
      </c>
      <c r="J14" t="s">
        <v>446</v>
      </c>
      <c r="K14" t="s">
        <v>433</v>
      </c>
    </row>
    <row r="15" spans="1:11" x14ac:dyDescent="0.25">
      <c r="A15" t="s">
        <v>447</v>
      </c>
      <c r="B15" t="s">
        <v>445</v>
      </c>
      <c r="C15" t="s">
        <v>415</v>
      </c>
      <c r="D15" t="s">
        <v>448</v>
      </c>
      <c r="E15" t="s">
        <v>449</v>
      </c>
      <c r="F15" t="s">
        <v>450</v>
      </c>
      <c r="G15" t="s">
        <v>403</v>
      </c>
      <c r="H15" t="s">
        <v>451</v>
      </c>
      <c r="I15" t="s">
        <v>433</v>
      </c>
      <c r="J15" t="s">
        <v>452</v>
      </c>
      <c r="K15" t="s">
        <v>433</v>
      </c>
    </row>
    <row r="16" spans="1:11" x14ac:dyDescent="0.25">
      <c r="A16" t="s">
        <v>453</v>
      </c>
      <c r="B16" t="s">
        <v>443</v>
      </c>
      <c r="C16" t="s">
        <v>418</v>
      </c>
      <c r="D16" t="s">
        <v>454</v>
      </c>
      <c r="E16" t="s">
        <v>404</v>
      </c>
      <c r="F16" t="s">
        <v>435</v>
      </c>
      <c r="G16" t="s">
        <v>397</v>
      </c>
      <c r="H16" t="s">
        <v>455</v>
      </c>
      <c r="I16" t="s">
        <v>456</v>
      </c>
      <c r="J16" t="s">
        <v>457</v>
      </c>
      <c r="K16" t="s">
        <v>443</v>
      </c>
    </row>
    <row r="17" spans="1:11" x14ac:dyDescent="0.25">
      <c r="A17" s="969"/>
      <c r="B17" s="970"/>
      <c r="C17" s="970"/>
      <c r="D17" s="970"/>
      <c r="E17" s="970"/>
      <c r="F17" s="970"/>
      <c r="G17" s="970"/>
      <c r="H17" s="970"/>
      <c r="I17" s="970"/>
      <c r="J17" s="970"/>
      <c r="K17" s="970"/>
    </row>
    <row r="18" spans="1:11" x14ac:dyDescent="0.25">
      <c r="A18" s="969" t="s">
        <v>458</v>
      </c>
      <c r="B18" s="970"/>
      <c r="C18" s="970"/>
      <c r="D18" s="970"/>
      <c r="E18" s="970"/>
      <c r="F18" s="970"/>
      <c r="G18" s="970"/>
      <c r="H18" s="970"/>
      <c r="I18" s="970"/>
      <c r="J18" s="970"/>
      <c r="K18" s="970"/>
    </row>
    <row r="19" spans="1:11" x14ac:dyDescent="0.25">
      <c r="A19" t="s">
        <v>459</v>
      </c>
      <c r="B19" t="s">
        <v>414</v>
      </c>
      <c r="C19" t="s">
        <v>460</v>
      </c>
      <c r="D19" t="s">
        <v>461</v>
      </c>
      <c r="E19" t="s">
        <v>462</v>
      </c>
      <c r="F19" t="s">
        <v>405</v>
      </c>
      <c r="G19" t="s">
        <v>420</v>
      </c>
      <c r="H19" t="s">
        <v>461</v>
      </c>
      <c r="I19" t="s">
        <v>412</v>
      </c>
      <c r="J19" t="s">
        <v>441</v>
      </c>
      <c r="K19" t="s">
        <v>403</v>
      </c>
    </row>
    <row r="20" spans="1:11" x14ac:dyDescent="0.25">
      <c r="A20" t="s">
        <v>463</v>
      </c>
      <c r="B20" t="s">
        <v>414</v>
      </c>
      <c r="C20" t="s">
        <v>464</v>
      </c>
      <c r="D20" t="s">
        <v>435</v>
      </c>
      <c r="E20" t="s">
        <v>397</v>
      </c>
      <c r="F20" t="s">
        <v>403</v>
      </c>
      <c r="G20" t="s">
        <v>460</v>
      </c>
      <c r="H20" t="s">
        <v>465</v>
      </c>
      <c r="I20" t="s">
        <v>413</v>
      </c>
      <c r="J20" t="s">
        <v>433</v>
      </c>
      <c r="K20" t="s">
        <v>456</v>
      </c>
    </row>
    <row r="21" spans="1:11" x14ac:dyDescent="0.25">
      <c r="A21" t="s">
        <v>466</v>
      </c>
      <c r="B21" t="s">
        <v>404</v>
      </c>
      <c r="C21" t="s">
        <v>467</v>
      </c>
      <c r="D21" t="s">
        <v>403</v>
      </c>
      <c r="E21" t="s">
        <v>464</v>
      </c>
      <c r="F21" t="s">
        <v>410</v>
      </c>
      <c r="G21" t="s">
        <v>468</v>
      </c>
      <c r="H21" t="s">
        <v>399</v>
      </c>
      <c r="I21" t="s">
        <v>411</v>
      </c>
      <c r="J21" t="s">
        <v>436</v>
      </c>
      <c r="K21" t="s">
        <v>420</v>
      </c>
    </row>
    <row r="22" spans="1:11" x14ac:dyDescent="0.25">
      <c r="A22" t="s">
        <v>469</v>
      </c>
      <c r="B22" t="s">
        <v>422</v>
      </c>
      <c r="C22" t="s">
        <v>470</v>
      </c>
      <c r="D22" t="s">
        <v>410</v>
      </c>
      <c r="E22" t="s">
        <v>471</v>
      </c>
      <c r="F22" t="s">
        <v>420</v>
      </c>
      <c r="G22" t="s">
        <v>472</v>
      </c>
      <c r="H22" t="s">
        <v>424</v>
      </c>
      <c r="I22" t="s">
        <v>424</v>
      </c>
      <c r="J22" t="s">
        <v>415</v>
      </c>
      <c r="K22" t="s">
        <v>473</v>
      </c>
    </row>
    <row r="23" spans="1:11" x14ac:dyDescent="0.25">
      <c r="A23" s="969"/>
      <c r="B23" s="970"/>
      <c r="C23" s="970"/>
      <c r="D23" s="970"/>
      <c r="E23" s="970"/>
      <c r="F23" s="970"/>
      <c r="G23" s="970"/>
      <c r="H23" s="970"/>
      <c r="I23" s="970"/>
      <c r="J23" s="970"/>
      <c r="K23" s="970"/>
    </row>
    <row r="24" spans="1:11" x14ac:dyDescent="0.25">
      <c r="A24" s="969" t="s">
        <v>474</v>
      </c>
      <c r="B24" s="970"/>
      <c r="C24" s="970"/>
      <c r="D24" s="970"/>
      <c r="E24" s="970"/>
      <c r="F24" s="970"/>
      <c r="G24" s="970"/>
      <c r="H24" s="970"/>
      <c r="I24" s="970"/>
      <c r="J24" s="970"/>
      <c r="K24" s="970"/>
    </row>
    <row r="25" spans="1:11" x14ac:dyDescent="0.25">
      <c r="A25" t="s">
        <v>475</v>
      </c>
      <c r="B25" t="s">
        <v>457</v>
      </c>
      <c r="C25" t="s">
        <v>414</v>
      </c>
      <c r="D25" t="s">
        <v>476</v>
      </c>
      <c r="E25" t="s">
        <v>414</v>
      </c>
      <c r="F25" t="s">
        <v>454</v>
      </c>
      <c r="G25" t="s">
        <v>399</v>
      </c>
      <c r="H25" t="s">
        <v>451</v>
      </c>
      <c r="I25" t="s">
        <v>435</v>
      </c>
      <c r="J25" t="s">
        <v>452</v>
      </c>
      <c r="K25" t="s">
        <v>445</v>
      </c>
    </row>
    <row r="26" spans="1:11" x14ac:dyDescent="0.25">
      <c r="A26" t="s">
        <v>477</v>
      </c>
      <c r="B26" t="s">
        <v>455</v>
      </c>
      <c r="C26" t="s">
        <v>403</v>
      </c>
      <c r="D26" t="s">
        <v>457</v>
      </c>
      <c r="E26" t="s">
        <v>405</v>
      </c>
      <c r="F26" t="s">
        <v>442</v>
      </c>
      <c r="G26" t="s">
        <v>405</v>
      </c>
      <c r="H26" t="s">
        <v>438</v>
      </c>
      <c r="I26" t="s">
        <v>405</v>
      </c>
      <c r="J26" t="s">
        <v>442</v>
      </c>
      <c r="K26" t="s">
        <v>450</v>
      </c>
    </row>
    <row r="27" spans="1:11" x14ac:dyDescent="0.25">
      <c r="A27" t="s">
        <v>478</v>
      </c>
      <c r="B27" t="s">
        <v>433</v>
      </c>
      <c r="C27" t="s">
        <v>403</v>
      </c>
      <c r="D27" t="s">
        <v>441</v>
      </c>
      <c r="E27" t="s">
        <v>449</v>
      </c>
      <c r="F27" t="s">
        <v>479</v>
      </c>
      <c r="G27" t="s">
        <v>461</v>
      </c>
      <c r="H27" t="s">
        <v>442</v>
      </c>
      <c r="I27" t="s">
        <v>445</v>
      </c>
      <c r="J27" t="s">
        <v>479</v>
      </c>
      <c r="K27" t="s">
        <v>476</v>
      </c>
    </row>
    <row r="28" spans="1:11" x14ac:dyDescent="0.25">
      <c r="A28" t="s">
        <v>480</v>
      </c>
      <c r="B28" t="s">
        <v>400</v>
      </c>
      <c r="C28" t="s">
        <v>470</v>
      </c>
      <c r="D28" t="s">
        <v>403</v>
      </c>
      <c r="E28" t="s">
        <v>481</v>
      </c>
      <c r="F28" t="s">
        <v>443</v>
      </c>
      <c r="G28" t="s">
        <v>417</v>
      </c>
      <c r="H28" t="s">
        <v>435</v>
      </c>
      <c r="I28" t="s">
        <v>415</v>
      </c>
      <c r="J28" t="s">
        <v>435</v>
      </c>
      <c r="K28" t="s">
        <v>397</v>
      </c>
    </row>
    <row r="29" spans="1:11" x14ac:dyDescent="0.25">
      <c r="A29" s="969"/>
      <c r="B29" s="970"/>
      <c r="C29" s="970"/>
      <c r="D29" s="970"/>
      <c r="E29" s="970"/>
      <c r="F29" s="970"/>
      <c r="G29" s="970"/>
      <c r="H29" s="970"/>
      <c r="I29" s="970"/>
      <c r="J29" s="970"/>
      <c r="K29" s="970"/>
    </row>
    <row r="30" spans="1:11" x14ac:dyDescent="0.25">
      <c r="A30" s="969" t="s">
        <v>482</v>
      </c>
      <c r="B30" s="970"/>
      <c r="C30" s="970"/>
      <c r="D30" s="970"/>
      <c r="E30" s="970"/>
      <c r="F30" s="970"/>
      <c r="G30" s="970"/>
      <c r="H30" s="970"/>
      <c r="I30" s="970"/>
      <c r="J30" s="970"/>
      <c r="K30" s="970"/>
    </row>
    <row r="31" spans="1:11" x14ac:dyDescent="0.25">
      <c r="A31" t="s">
        <v>58</v>
      </c>
      <c r="B31" t="s">
        <v>461</v>
      </c>
      <c r="C31" t="s">
        <v>412</v>
      </c>
      <c r="D31" t="s">
        <v>461</v>
      </c>
      <c r="E31" t="s">
        <v>462</v>
      </c>
      <c r="F31" t="s">
        <v>435</v>
      </c>
      <c r="G31" t="s">
        <v>462</v>
      </c>
      <c r="H31" t="s">
        <v>476</v>
      </c>
      <c r="I31" t="s">
        <v>483</v>
      </c>
      <c r="J31" t="s">
        <v>448</v>
      </c>
      <c r="K31" t="s">
        <v>436</v>
      </c>
    </row>
    <row r="32" spans="1:11" x14ac:dyDescent="0.25">
      <c r="A32" t="s">
        <v>484</v>
      </c>
      <c r="B32" t="s">
        <v>413</v>
      </c>
      <c r="C32" t="s">
        <v>467</v>
      </c>
      <c r="D32" t="s">
        <v>414</v>
      </c>
      <c r="E32" t="s">
        <v>419</v>
      </c>
      <c r="F32" t="s">
        <v>404</v>
      </c>
      <c r="G32" t="s">
        <v>481</v>
      </c>
      <c r="H32" t="s">
        <v>401</v>
      </c>
      <c r="I32" t="s">
        <v>411</v>
      </c>
      <c r="J32" t="s">
        <v>435</v>
      </c>
      <c r="K32" t="s">
        <v>462</v>
      </c>
    </row>
    <row r="33" spans="1:11" x14ac:dyDescent="0.25">
      <c r="A33" t="s">
        <v>485</v>
      </c>
      <c r="B33" t="s">
        <v>486</v>
      </c>
      <c r="C33" t="s">
        <v>487</v>
      </c>
      <c r="D33" t="s">
        <v>406</v>
      </c>
      <c r="E33" t="s">
        <v>488</v>
      </c>
      <c r="F33" t="s">
        <v>402</v>
      </c>
      <c r="G33" t="s">
        <v>489</v>
      </c>
      <c r="H33" t="s">
        <v>404</v>
      </c>
      <c r="I33" t="s">
        <v>490</v>
      </c>
      <c r="J33" t="s">
        <v>412</v>
      </c>
      <c r="K33" t="s">
        <v>409</v>
      </c>
    </row>
    <row r="34" spans="1:11" x14ac:dyDescent="0.25">
      <c r="A34" s="969"/>
      <c r="B34" s="970"/>
      <c r="C34" s="970"/>
      <c r="D34" s="970"/>
      <c r="E34" s="970"/>
      <c r="F34" s="970"/>
      <c r="G34" s="970"/>
      <c r="H34" s="970"/>
      <c r="I34" s="970"/>
      <c r="J34" s="970"/>
      <c r="K34" s="970"/>
    </row>
    <row r="35" spans="1:11" x14ac:dyDescent="0.25">
      <c r="A35" s="967" t="s">
        <v>491</v>
      </c>
      <c r="B35" s="968"/>
      <c r="C35" s="968"/>
      <c r="D35" s="968"/>
      <c r="E35" s="968"/>
      <c r="F35" s="968"/>
      <c r="G35" s="968"/>
      <c r="H35" s="968"/>
      <c r="I35" s="968"/>
      <c r="J35" s="968"/>
      <c r="K35" s="968"/>
    </row>
    <row r="36" spans="1:11" x14ac:dyDescent="0.25">
      <c r="A36" t="s">
        <v>492</v>
      </c>
      <c r="B36" t="s">
        <v>493</v>
      </c>
      <c r="C36" t="s">
        <v>494</v>
      </c>
      <c r="D36" t="s">
        <v>495</v>
      </c>
      <c r="E36" t="s">
        <v>496</v>
      </c>
      <c r="F36" s="435" t="s">
        <v>497</v>
      </c>
      <c r="G36" s="309" t="s">
        <v>498</v>
      </c>
      <c r="H36" t="s">
        <v>499</v>
      </c>
      <c r="I36" t="s">
        <v>500</v>
      </c>
      <c r="J36" t="s">
        <v>495</v>
      </c>
      <c r="K36" t="s">
        <v>501</v>
      </c>
    </row>
    <row r="37" spans="1:11" x14ac:dyDescent="0.25">
      <c r="A37" t="s">
        <v>502</v>
      </c>
      <c r="B37" t="s">
        <v>437</v>
      </c>
      <c r="C37" t="s">
        <v>457</v>
      </c>
      <c r="D37" t="s">
        <v>503</v>
      </c>
      <c r="E37" t="s">
        <v>442</v>
      </c>
      <c r="F37" s="435" t="s">
        <v>504</v>
      </c>
      <c r="G37" s="309" t="s">
        <v>441</v>
      </c>
      <c r="H37" t="s">
        <v>503</v>
      </c>
      <c r="I37" t="s">
        <v>479</v>
      </c>
      <c r="J37" t="s">
        <v>505</v>
      </c>
      <c r="K37" t="s">
        <v>452</v>
      </c>
    </row>
    <row r="38" spans="1:11" x14ac:dyDescent="0.25">
      <c r="A38" t="s">
        <v>506</v>
      </c>
      <c r="B38" t="s">
        <v>451</v>
      </c>
      <c r="C38" t="s">
        <v>401</v>
      </c>
      <c r="D38" t="s">
        <v>507</v>
      </c>
      <c r="E38" t="s">
        <v>476</v>
      </c>
      <c r="F38" s="435" t="s">
        <v>442</v>
      </c>
      <c r="G38" s="309" t="s">
        <v>483</v>
      </c>
      <c r="H38" t="s">
        <v>441</v>
      </c>
      <c r="I38" t="s">
        <v>401</v>
      </c>
      <c r="J38" t="s">
        <v>446</v>
      </c>
      <c r="K38" t="s">
        <v>448</v>
      </c>
    </row>
    <row r="39" spans="1:11" x14ac:dyDescent="0.25">
      <c r="A39" s="969"/>
      <c r="B39" s="970"/>
      <c r="C39" s="970"/>
      <c r="D39" s="970"/>
      <c r="E39" s="970"/>
      <c r="F39" s="970"/>
      <c r="G39" s="970"/>
      <c r="H39" s="970"/>
      <c r="I39" s="970"/>
      <c r="J39" s="970"/>
      <c r="K39" s="970"/>
    </row>
    <row r="40" spans="1:11" x14ac:dyDescent="0.25">
      <c r="A40" s="969" t="s">
        <v>508</v>
      </c>
      <c r="B40" s="970"/>
      <c r="C40" s="970"/>
      <c r="D40" s="970"/>
      <c r="E40" s="970"/>
      <c r="F40" s="970"/>
      <c r="G40" s="970"/>
      <c r="H40" s="970"/>
      <c r="I40" s="970"/>
      <c r="J40" s="970"/>
      <c r="K40" s="970"/>
    </row>
    <row r="41" spans="1:11" x14ac:dyDescent="0.25">
      <c r="A41" t="s">
        <v>509</v>
      </c>
      <c r="B41" t="s">
        <v>504</v>
      </c>
      <c r="C41" t="s">
        <v>457</v>
      </c>
      <c r="D41" t="s">
        <v>504</v>
      </c>
      <c r="E41" t="s">
        <v>479</v>
      </c>
      <c r="F41" t="s">
        <v>510</v>
      </c>
      <c r="G41" t="s">
        <v>438</v>
      </c>
      <c r="H41" t="s">
        <v>511</v>
      </c>
      <c r="I41" t="s">
        <v>451</v>
      </c>
      <c r="J41" t="s">
        <v>503</v>
      </c>
      <c r="K41" t="s">
        <v>442</v>
      </c>
    </row>
    <row r="42" spans="1:11" x14ac:dyDescent="0.25">
      <c r="A42" t="s">
        <v>512</v>
      </c>
      <c r="B42" t="s">
        <v>441</v>
      </c>
      <c r="C42" t="s">
        <v>423</v>
      </c>
      <c r="D42" t="s">
        <v>513</v>
      </c>
      <c r="E42" t="s">
        <v>468</v>
      </c>
      <c r="F42" t="s">
        <v>438</v>
      </c>
      <c r="G42" t="s">
        <v>417</v>
      </c>
      <c r="H42" t="s">
        <v>479</v>
      </c>
      <c r="I42" t="s">
        <v>514</v>
      </c>
      <c r="J42" t="s">
        <v>507</v>
      </c>
      <c r="K42" t="s">
        <v>473</v>
      </c>
    </row>
    <row r="49" spans="1:2" x14ac:dyDescent="0.25">
      <c r="A49" t="s">
        <v>515</v>
      </c>
      <c r="B49" t="s">
        <v>516</v>
      </c>
    </row>
    <row r="51" spans="1:2" ht="15.75" x14ac:dyDescent="0.25">
      <c r="A51" s="432" t="s">
        <v>517</v>
      </c>
    </row>
    <row r="52" spans="1:2" x14ac:dyDescent="0.25">
      <c r="A52" t="s">
        <v>518</v>
      </c>
    </row>
    <row r="53" spans="1:2" x14ac:dyDescent="0.25">
      <c r="A53" t="s">
        <v>519</v>
      </c>
    </row>
    <row r="54" spans="1:2" x14ac:dyDescent="0.25">
      <c r="A54" t="s">
        <v>520</v>
      </c>
    </row>
    <row r="55" spans="1:2" x14ac:dyDescent="0.25">
      <c r="A55" t="s">
        <v>521</v>
      </c>
    </row>
    <row r="56" spans="1:2" x14ac:dyDescent="0.25">
      <c r="A56" t="s">
        <v>522</v>
      </c>
    </row>
    <row r="57" spans="1:2" x14ac:dyDescent="0.25">
      <c r="A57" t="s">
        <v>523</v>
      </c>
    </row>
  </sheetData>
  <mergeCells count="15">
    <mergeCell ref="A17:K17"/>
    <mergeCell ref="A1:K1"/>
    <mergeCell ref="A2:K2"/>
    <mergeCell ref="A5:K5"/>
    <mergeCell ref="A11:K11"/>
    <mergeCell ref="A12:K12"/>
    <mergeCell ref="A35:K35"/>
    <mergeCell ref="A39:K39"/>
    <mergeCell ref="A40:K40"/>
    <mergeCell ref="A18:K18"/>
    <mergeCell ref="A23:K23"/>
    <mergeCell ref="A24:K24"/>
    <mergeCell ref="A29:K29"/>
    <mergeCell ref="A30:K30"/>
    <mergeCell ref="A34:K3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9CF6-68EA-4287-BBD6-43AE27986299}">
  <sheetPr>
    <tabColor theme="9" tint="0.59999389629810485"/>
  </sheetPr>
  <dimension ref="B2:D14"/>
  <sheetViews>
    <sheetView workbookViewId="0">
      <selection activeCell="B15" sqref="B15"/>
    </sheetView>
  </sheetViews>
  <sheetFormatPr defaultRowHeight="15" x14ac:dyDescent="0.25"/>
  <sheetData>
    <row r="2" spans="2:4" x14ac:dyDescent="0.25">
      <c r="B2" s="952" t="s">
        <v>834</v>
      </c>
      <c r="C2" s="952"/>
      <c r="D2" s="952"/>
    </row>
    <row r="4" spans="2:4" x14ac:dyDescent="0.25">
      <c r="D4" s="309" t="s">
        <v>273</v>
      </c>
    </row>
    <row r="5" spans="2:4" x14ac:dyDescent="0.25">
      <c r="D5" s="309"/>
    </row>
    <row r="6" spans="2:4" x14ac:dyDescent="0.25">
      <c r="B6" t="s">
        <v>270</v>
      </c>
      <c r="D6" s="319">
        <v>1</v>
      </c>
    </row>
    <row r="7" spans="2:4" x14ac:dyDescent="0.25">
      <c r="D7" s="309"/>
    </row>
    <row r="8" spans="2:4" x14ac:dyDescent="0.25">
      <c r="B8" t="s">
        <v>271</v>
      </c>
      <c r="D8" s="319">
        <v>1</v>
      </c>
    </row>
    <row r="9" spans="2:4" x14ac:dyDescent="0.25">
      <c r="D9" s="309"/>
    </row>
    <row r="10" spans="2:4" x14ac:dyDescent="0.25">
      <c r="B10" t="s">
        <v>272</v>
      </c>
      <c r="D10" s="319">
        <v>1</v>
      </c>
    </row>
    <row r="11" spans="2:4" x14ac:dyDescent="0.25">
      <c r="D11" s="309"/>
    </row>
    <row r="13" spans="2:4" x14ac:dyDescent="0.25">
      <c r="B13" t="s">
        <v>835</v>
      </c>
    </row>
    <row r="14" spans="2:4" x14ac:dyDescent="0.25">
      <c r="B14" t="s">
        <v>836</v>
      </c>
    </row>
  </sheetData>
  <mergeCells count="1">
    <mergeCell ref="B2:D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AED6E-11BB-4CE5-8744-2041F807AAE6}">
  <sheetPr>
    <tabColor theme="9" tint="0.39997558519241921"/>
  </sheetPr>
  <dimension ref="A5:K58"/>
  <sheetViews>
    <sheetView showGridLines="0" view="pageBreakPreview" topLeftCell="A24" zoomScale="110" zoomScaleNormal="90" zoomScaleSheetLayoutView="110" workbookViewId="0">
      <selection activeCell="G39" sqref="G39"/>
    </sheetView>
  </sheetViews>
  <sheetFormatPr defaultColWidth="8.85546875" defaultRowHeight="15" x14ac:dyDescent="0.25"/>
  <cols>
    <col min="2" max="2" width="7" customWidth="1"/>
    <col min="6" max="6" width="18.140625" customWidth="1"/>
    <col min="7" max="7" width="15.140625" customWidth="1"/>
    <col min="8" max="8" width="2.85546875" customWidth="1"/>
    <col min="9" max="9" width="12.5703125" bestFit="1" customWidth="1"/>
    <col min="10" max="10" width="2.5703125" customWidth="1"/>
    <col min="11" max="11" width="12.5703125" bestFit="1" customWidth="1"/>
  </cols>
  <sheetData>
    <row r="5" spans="1:10" ht="14.85" customHeight="1" x14ac:dyDescent="0.25">
      <c r="A5" s="921">
        <f ca="1">TODAY()</f>
        <v>46069</v>
      </c>
      <c r="B5" s="921"/>
      <c r="C5" s="921"/>
      <c r="D5" s="921"/>
      <c r="E5" s="921"/>
      <c r="F5" s="921"/>
      <c r="G5" s="921"/>
      <c r="H5" s="921"/>
      <c r="I5" s="921"/>
      <c r="J5" s="921"/>
    </row>
    <row r="9" spans="1:10" ht="1.5" customHeight="1" x14ac:dyDescent="0.25"/>
    <row r="10" spans="1:10" ht="69.75" customHeight="1" x14ac:dyDescent="0.35">
      <c r="A10" s="922" t="s">
        <v>258</v>
      </c>
      <c r="B10" s="922"/>
      <c r="C10" s="922"/>
      <c r="D10" s="922"/>
      <c r="E10" s="922"/>
      <c r="F10" s="922"/>
      <c r="G10" s="922"/>
      <c r="H10" s="922"/>
      <c r="I10" s="922"/>
      <c r="J10" s="922"/>
    </row>
    <row r="12" spans="1:10" ht="14.85" customHeight="1" x14ac:dyDescent="0.25">
      <c r="A12" s="924" t="s">
        <v>274</v>
      </c>
      <c r="B12" s="924"/>
      <c r="C12" s="924"/>
      <c r="D12" s="924"/>
      <c r="E12" s="924"/>
      <c r="F12" s="924"/>
      <c r="G12" s="924"/>
      <c r="H12" s="924"/>
      <c r="I12" s="924"/>
      <c r="J12" s="924"/>
    </row>
    <row r="14" spans="1:10" x14ac:dyDescent="0.25">
      <c r="A14" s="923" t="str">
        <f>'2. Rev 1B Exec Summary'!F34&amp;" Units"</f>
        <v>170 Units</v>
      </c>
      <c r="B14" s="923"/>
      <c r="C14" s="923"/>
      <c r="D14" s="923"/>
      <c r="E14" s="923"/>
      <c r="F14" s="923"/>
      <c r="G14" s="923"/>
      <c r="H14" s="923"/>
      <c r="I14" s="923"/>
      <c r="J14" s="923"/>
    </row>
    <row r="17" spans="1:11" x14ac:dyDescent="0.25">
      <c r="A17" s="923" t="s">
        <v>0</v>
      </c>
      <c r="B17" s="923"/>
      <c r="C17" s="923"/>
      <c r="D17" s="923"/>
      <c r="E17" s="923"/>
      <c r="F17" s="923"/>
      <c r="G17" s="923"/>
      <c r="H17" s="923"/>
      <c r="I17" s="923"/>
      <c r="J17" s="923"/>
    </row>
    <row r="20" spans="1:11" x14ac:dyDescent="0.25">
      <c r="A20" s="923" t="s">
        <v>1</v>
      </c>
      <c r="B20" s="923"/>
      <c r="C20" s="923"/>
      <c r="D20" s="923"/>
      <c r="E20" s="923"/>
      <c r="F20" s="923"/>
      <c r="G20" s="923"/>
      <c r="H20" s="923"/>
      <c r="I20" s="923"/>
      <c r="J20" s="923"/>
    </row>
    <row r="22" spans="1:11" x14ac:dyDescent="0.25">
      <c r="A22" s="924" t="s">
        <v>232</v>
      </c>
      <c r="B22" s="924"/>
      <c r="C22" s="924"/>
      <c r="D22" s="924"/>
      <c r="E22" s="924"/>
      <c r="F22" s="924"/>
      <c r="G22" s="924"/>
      <c r="H22" s="924"/>
      <c r="I22" s="924"/>
      <c r="J22" s="924"/>
    </row>
    <row r="24" spans="1:11" ht="15.75" x14ac:dyDescent="0.25">
      <c r="C24" s="920" t="s">
        <v>833</v>
      </c>
      <c r="D24" s="920"/>
      <c r="E24" s="920"/>
      <c r="F24" s="920"/>
      <c r="G24" s="920"/>
      <c r="H24" s="920"/>
      <c r="I24" s="920"/>
      <c r="J24" s="920"/>
      <c r="K24" s="920"/>
    </row>
    <row r="25" spans="1:11" x14ac:dyDescent="0.25">
      <c r="H25" s="345"/>
    </row>
    <row r="26" spans="1:11" x14ac:dyDescent="0.25">
      <c r="G26" s="320" t="s">
        <v>299</v>
      </c>
      <c r="I26" s="320" t="s">
        <v>79</v>
      </c>
      <c r="K26" s="320" t="s">
        <v>60</v>
      </c>
    </row>
    <row r="27" spans="1:11" x14ac:dyDescent="0.25">
      <c r="H27" s="345"/>
    </row>
    <row r="28" spans="1:11" x14ac:dyDescent="0.25">
      <c r="C28" t="s">
        <v>184</v>
      </c>
      <c r="G28" s="207">
        <f ca="1">'2. Rev 1B Exec Summary'!H9</f>
        <v>4899902.7728865594</v>
      </c>
      <c r="I28" s="207">
        <v>4899902.7728865594</v>
      </c>
      <c r="K28" s="347">
        <f t="shared" ref="K28:K34" ca="1" si="0">+G28-I28</f>
        <v>0</v>
      </c>
    </row>
    <row r="29" spans="1:11" x14ac:dyDescent="0.25">
      <c r="C29" s="17" t="s">
        <v>19</v>
      </c>
      <c r="D29" s="17"/>
      <c r="E29" s="17"/>
      <c r="F29" s="17"/>
      <c r="G29" s="208">
        <f>'2. Rev 1B Exec Summary'!H10</f>
        <v>4.4999999999999998E-2</v>
      </c>
      <c r="I29" s="208">
        <v>4.4999999999999998E-2</v>
      </c>
      <c r="K29" s="208">
        <f t="shared" si="0"/>
        <v>0</v>
      </c>
    </row>
    <row r="30" spans="1:11" x14ac:dyDescent="0.25">
      <c r="C30" t="s">
        <v>155</v>
      </c>
      <c r="D30" s="217" t="s">
        <v>40</v>
      </c>
      <c r="E30" s="216">
        <f ca="1">'2. Rev 1B Exec Summary'!D11</f>
        <v>4.4820546202965863</v>
      </c>
      <c r="F30" s="215" t="s">
        <v>291</v>
      </c>
      <c r="G30" s="209">
        <f ca="1">'2. Rev 1B Exec Summary'!H11</f>
        <v>108886728.28636798</v>
      </c>
      <c r="I30" s="209">
        <v>108886728.28636798</v>
      </c>
      <c r="J30" s="280"/>
      <c r="K30" s="347">
        <f t="shared" ca="1" si="0"/>
        <v>0</v>
      </c>
    </row>
    <row r="31" spans="1:11" x14ac:dyDescent="0.25">
      <c r="C31" s="17" t="s">
        <v>2</v>
      </c>
      <c r="D31" s="17"/>
      <c r="E31" s="17"/>
      <c r="F31" s="17"/>
      <c r="G31" s="144">
        <f ca="1">'2. Rev 1B Exec Summary'!H12</f>
        <v>-1088867.2828636798</v>
      </c>
      <c r="I31" s="144">
        <v>-1088867.2828636798</v>
      </c>
      <c r="K31" s="144">
        <f t="shared" ca="1" si="0"/>
        <v>0</v>
      </c>
    </row>
    <row r="32" spans="1:11" x14ac:dyDescent="0.25">
      <c r="C32" t="s">
        <v>185</v>
      </c>
      <c r="G32" s="209">
        <f ca="1">'2. Rev 1B Exec Summary'!H13</f>
        <v>107797861.00350431</v>
      </c>
      <c r="I32" s="209">
        <v>107797861.00350431</v>
      </c>
      <c r="K32" s="347">
        <f t="shared" ca="1" si="0"/>
        <v>0</v>
      </c>
    </row>
    <row r="33" spans="1:11" x14ac:dyDescent="0.25">
      <c r="C33" s="17" t="s">
        <v>3</v>
      </c>
      <c r="D33" s="17"/>
      <c r="E33" s="17"/>
      <c r="F33" s="17"/>
      <c r="G33" s="144">
        <f ca="1">'2. Rev 1B Exec Summary'!H14</f>
        <v>-94440550.796996295</v>
      </c>
      <c r="I33" s="144">
        <v>-94440550.796996295</v>
      </c>
      <c r="K33" s="144">
        <f t="shared" ca="1" si="0"/>
        <v>0</v>
      </c>
    </row>
    <row r="34" spans="1:11" x14ac:dyDescent="0.25">
      <c r="C34" t="s">
        <v>183</v>
      </c>
      <c r="G34" s="209">
        <f ca="1">'2. Rev 1B Exec Summary'!H15</f>
        <v>13357310.206508011</v>
      </c>
      <c r="I34" s="209">
        <v>13357310.206508011</v>
      </c>
      <c r="K34" s="349">
        <f t="shared" ca="1" si="0"/>
        <v>0</v>
      </c>
    </row>
    <row r="35" spans="1:11" x14ac:dyDescent="0.25">
      <c r="G35" s="210"/>
      <c r="I35" s="210"/>
      <c r="K35" s="210"/>
    </row>
    <row r="36" spans="1:11" x14ac:dyDescent="0.25">
      <c r="C36" t="s">
        <v>186</v>
      </c>
      <c r="G36" s="211">
        <f ca="1">'2. Rev 1B Exec Summary'!H17</f>
        <v>0.14143617433172406</v>
      </c>
      <c r="I36" s="211">
        <v>0.14143617433172406</v>
      </c>
      <c r="K36" s="348">
        <f ca="1">+G36-I36</f>
        <v>0</v>
      </c>
    </row>
    <row r="37" spans="1:11" x14ac:dyDescent="0.25">
      <c r="C37" t="s">
        <v>239</v>
      </c>
      <c r="G37" s="278">
        <f ca="1">G28/(-G33)</f>
        <v>5.1883462469623824E-2</v>
      </c>
      <c r="I37" s="278">
        <v>5.1883462469623824E-2</v>
      </c>
      <c r="K37" s="211">
        <f ca="1">+G37-I37</f>
        <v>0</v>
      </c>
    </row>
    <row r="39" spans="1:11" x14ac:dyDescent="0.25">
      <c r="C39" t="s">
        <v>156</v>
      </c>
      <c r="G39" s="211">
        <f ca="1">'2. Rev 1B Exec Summary'!H18</f>
        <v>0.27897087281228417</v>
      </c>
      <c r="I39" s="211">
        <v>0.27897087281228417</v>
      </c>
      <c r="K39" s="211">
        <f t="shared" ref="K39:K40" ca="1" si="1">+G39-I39</f>
        <v>0</v>
      </c>
    </row>
    <row r="40" spans="1:11" x14ac:dyDescent="0.25">
      <c r="C40" t="str">
        <f>"IRR "&amp;'11. 10-Yr Cash Flow IRR'!A66&amp;"-Year"</f>
        <v>IRR 10-Year</v>
      </c>
      <c r="G40" s="211">
        <f ca="1">'2. Rev 1B Exec Summary'!H19</f>
        <v>0.20617252519027907</v>
      </c>
      <c r="I40" s="211">
        <v>0.20617252519027907</v>
      </c>
      <c r="K40" s="211">
        <f t="shared" ca="1" si="1"/>
        <v>0</v>
      </c>
    </row>
    <row r="42" spans="1:11" x14ac:dyDescent="0.25">
      <c r="C42" t="s">
        <v>240</v>
      </c>
      <c r="G42" s="19">
        <f ca="1">'9. Development Costs'!I89</f>
        <v>555532.65174703707</v>
      </c>
      <c r="I42" s="19">
        <v>555532.65174703707</v>
      </c>
      <c r="K42" s="347">
        <f ca="1">+G42-I42</f>
        <v>0</v>
      </c>
    </row>
    <row r="43" spans="1:11" x14ac:dyDescent="0.25">
      <c r="C43" t="s">
        <v>242</v>
      </c>
      <c r="G43" s="19">
        <f ca="1">'9. Development Costs'!J89</f>
        <v>732.93135752155399</v>
      </c>
      <c r="I43" s="19">
        <v>732.93135752155399</v>
      </c>
      <c r="K43" s="347">
        <f t="shared" ref="K43:K45" ca="1" si="2">+G43-I43</f>
        <v>0</v>
      </c>
    </row>
    <row r="44" spans="1:11" x14ac:dyDescent="0.25">
      <c r="C44" t="s">
        <v>241</v>
      </c>
      <c r="G44" s="280">
        <f ca="1">G30/'7. Op Rev and Exp'!E20</f>
        <v>640510.16639039991</v>
      </c>
      <c r="I44" s="280">
        <v>640510.16639039991</v>
      </c>
      <c r="K44" s="347">
        <f t="shared" ca="1" si="2"/>
        <v>0</v>
      </c>
    </row>
    <row r="45" spans="1:11" x14ac:dyDescent="0.25">
      <c r="C45" t="s">
        <v>243</v>
      </c>
      <c r="G45" s="280">
        <f ca="1">G30/'9. Development Costs'!I10</f>
        <v>845.04481290622186</v>
      </c>
      <c r="I45" s="280">
        <v>845.04481290622186</v>
      </c>
      <c r="K45" s="347">
        <f t="shared" ca="1" si="2"/>
        <v>0</v>
      </c>
    </row>
    <row r="46" spans="1:11" ht="81.599999999999994" customHeight="1" x14ac:dyDescent="0.25">
      <c r="G46" s="279"/>
    </row>
    <row r="47" spans="1:11" x14ac:dyDescent="0.25">
      <c r="G47" s="279"/>
    </row>
    <row r="48" spans="1:11" x14ac:dyDescent="0.25">
      <c r="A48" s="293" t="s">
        <v>246</v>
      </c>
    </row>
    <row r="49" spans="1:10" ht="54.6" customHeight="1" x14ac:dyDescent="0.25">
      <c r="A49" s="925" t="s">
        <v>247</v>
      </c>
      <c r="B49" s="925"/>
      <c r="C49" s="925"/>
      <c r="D49" s="925"/>
      <c r="E49" s="925"/>
      <c r="F49" s="925"/>
      <c r="G49" s="925"/>
      <c r="H49" s="925"/>
      <c r="I49" s="925"/>
      <c r="J49" s="925"/>
    </row>
    <row r="50" spans="1:10" x14ac:dyDescent="0.25">
      <c r="A50" s="293" t="s">
        <v>248</v>
      </c>
    </row>
    <row r="51" spans="1:10" x14ac:dyDescent="0.25">
      <c r="A51" s="164" t="s">
        <v>249</v>
      </c>
    </row>
    <row r="52" spans="1:10" x14ac:dyDescent="0.25">
      <c r="A52" s="293" t="s">
        <v>250</v>
      </c>
    </row>
    <row r="53" spans="1:10" ht="27" customHeight="1" x14ac:dyDescent="0.25">
      <c r="A53" s="925" t="s">
        <v>251</v>
      </c>
      <c r="B53" s="925"/>
      <c r="C53" s="925"/>
      <c r="D53" s="925"/>
      <c r="E53" s="925"/>
      <c r="F53" s="925"/>
      <c r="G53" s="925"/>
      <c r="H53" s="925"/>
      <c r="I53" s="925"/>
      <c r="J53" s="925"/>
    </row>
    <row r="54" spans="1:10" x14ac:dyDescent="0.25">
      <c r="A54" s="164" t="s">
        <v>252</v>
      </c>
    </row>
    <row r="55" spans="1:10" ht="33" customHeight="1" x14ac:dyDescent="0.25">
      <c r="A55" s="925" t="s">
        <v>256</v>
      </c>
      <c r="B55" s="925"/>
      <c r="C55" s="925"/>
      <c r="D55" s="925"/>
      <c r="E55" s="925"/>
      <c r="F55" s="925"/>
      <c r="G55" s="925"/>
      <c r="H55" s="925"/>
      <c r="I55" s="925"/>
      <c r="J55" s="925"/>
    </row>
    <row r="56" spans="1:10" x14ac:dyDescent="0.25">
      <c r="A56" s="293" t="s">
        <v>254</v>
      </c>
      <c r="B56" s="293"/>
    </row>
    <row r="57" spans="1:10" ht="57" customHeight="1" x14ac:dyDescent="0.25">
      <c r="A57" s="925" t="s">
        <v>253</v>
      </c>
      <c r="B57" s="925"/>
      <c r="C57" s="925"/>
      <c r="D57" s="925"/>
      <c r="E57" s="925"/>
      <c r="F57" s="925"/>
      <c r="G57" s="925"/>
      <c r="H57" s="925"/>
      <c r="I57" s="925"/>
      <c r="J57" s="925"/>
    </row>
    <row r="58" spans="1:10" x14ac:dyDescent="0.25">
      <c r="A58" s="925" t="s">
        <v>255</v>
      </c>
      <c r="B58" s="925"/>
      <c r="C58" s="925"/>
      <c r="D58" s="925"/>
      <c r="E58" s="925"/>
      <c r="F58" s="925"/>
      <c r="G58" s="925"/>
      <c r="H58" s="925"/>
      <c r="I58" s="925"/>
      <c r="J58" s="925"/>
    </row>
  </sheetData>
  <mergeCells count="13">
    <mergeCell ref="A58:J58"/>
    <mergeCell ref="C24:K24"/>
    <mergeCell ref="A22:J22"/>
    <mergeCell ref="A49:J49"/>
    <mergeCell ref="A53:J53"/>
    <mergeCell ref="A55:J55"/>
    <mergeCell ref="A57:J57"/>
    <mergeCell ref="A20:J20"/>
    <mergeCell ref="A5:J5"/>
    <mergeCell ref="A10:J10"/>
    <mergeCell ref="A12:J12"/>
    <mergeCell ref="A14:J14"/>
    <mergeCell ref="A17:J17"/>
  </mergeCells>
  <pageMargins left="0.7" right="0.7" top="0.75" bottom="0.75" header="0.3" footer="0.3"/>
  <pageSetup scale="7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8</vt:i4>
      </vt:variant>
    </vt:vector>
  </HeadingPairs>
  <TitlesOfParts>
    <vt:vector size="23" baseType="lpstr">
      <vt:lpstr>1. 1A Proforma</vt:lpstr>
      <vt:lpstr>2. Rev 1B Exec Summary</vt:lpstr>
      <vt:lpstr>3. Headline #s</vt:lpstr>
      <vt:lpstr>4. Area Schedule</vt:lpstr>
      <vt:lpstr>5. Key Assumptions</vt:lpstr>
      <vt:lpstr>6. Debt Stack &amp; Financing</vt:lpstr>
      <vt:lpstr>7. Op Rev and Exp</vt:lpstr>
      <vt:lpstr>8. Schedule</vt:lpstr>
      <vt:lpstr>9. Development Costs</vt:lpstr>
      <vt:lpstr>10. Development Cash Flow</vt:lpstr>
      <vt:lpstr>11. 10-Yr Cash Flow IRR</vt:lpstr>
      <vt:lpstr>12. Sensitivity</vt:lpstr>
      <vt:lpstr>13. Altus Cost Guide 25</vt:lpstr>
      <vt:lpstr>14. Sensitivity 2</vt:lpstr>
      <vt:lpstr>15. Headline #s</vt:lpstr>
      <vt:lpstr>'1. 1A Proforma'!Print_Area</vt:lpstr>
      <vt:lpstr>'10. Development Cash Flow'!Print_Area</vt:lpstr>
      <vt:lpstr>'11. 10-Yr Cash Flow IRR'!Print_Area</vt:lpstr>
      <vt:lpstr>'15. Headline #s'!Print_Area</vt:lpstr>
      <vt:lpstr>'2. Rev 1B Exec Summary'!Print_Area</vt:lpstr>
      <vt:lpstr>'3. Headline #s'!Print_Area</vt:lpstr>
      <vt:lpstr>'10. Development Cash Flow'!Print_Titles</vt:lpstr>
      <vt:lpstr>'9. Development Costs'!Print_Titles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schedulerrock@svn.com</dc:creator>
  <cp:lastModifiedBy>Noor</cp:lastModifiedBy>
  <cp:lastPrinted>2019-02-04T21:25:39Z</cp:lastPrinted>
  <dcterms:created xsi:type="dcterms:W3CDTF">2016-10-27T18:40:36Z</dcterms:created>
  <dcterms:modified xsi:type="dcterms:W3CDTF">2026-02-16T19:34:21Z</dcterms:modified>
</cp:coreProperties>
</file>