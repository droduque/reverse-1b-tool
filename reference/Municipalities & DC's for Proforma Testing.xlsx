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/>
  <mc:AlternateContent xmlns:mc="http://schemas.openxmlformats.org/markup-compatibility/2006">
    <mc:Choice Requires="x15">
      <x15ac:absPath xmlns:x15ac="http://schemas.microsoft.com/office/spreadsheetml/2010/11/ac" url="/Users/alejoduque/Desktop/projects/svn-rock/reference/"/>
    </mc:Choice>
  </mc:AlternateContent>
  <xr:revisionPtr revIDLastSave="0" documentId="13_ncr:1_{34920C96-FFB6-334C-BDA0-D1A5BBD4E50F}" xr6:coauthVersionLast="47" xr6:coauthVersionMax="47" xr10:uidLastSave="{00000000-0000-0000-0000-000000000000}"/>
  <bookViews>
    <workbookView xWindow="0" yWindow="600" windowWidth="28800" windowHeight="15560" activeTab="1" xr2:uid="{6C1B8CFE-6418-FE4D-A430-C802DBFD3A47}"/>
  </bookViews>
  <sheets>
    <sheet name="Research Projects 22-26" sheetId="1" r:id="rId1"/>
    <sheet name="2026 DC's" sheetId="3" r:id="rId2"/>
  </sheets>
  <definedNames>
    <definedName name="_xlnm._FilterDatabase" localSheetId="0" hidden="1">'Research Projects 22-26'!$F$2:$G$2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6" i="1" l="1"/>
  <c r="G21" i="1"/>
  <c r="G12" i="1"/>
  <c r="G37" i="1"/>
  <c r="G38" i="1"/>
  <c r="G22" i="1"/>
  <c r="G16" i="1"/>
  <c r="G39" i="1"/>
  <c r="G40" i="1"/>
  <c r="G23" i="1"/>
  <c r="G24" i="1"/>
  <c r="G25" i="1"/>
  <c r="G41" i="1"/>
  <c r="G17" i="1"/>
  <c r="G42" i="1"/>
  <c r="G43" i="1"/>
  <c r="G26" i="1"/>
  <c r="G27" i="1"/>
  <c r="G44" i="1"/>
  <c r="G45" i="1"/>
  <c r="G10" i="1"/>
  <c r="G28" i="1"/>
  <c r="G46" i="1"/>
  <c r="G47" i="1"/>
  <c r="G5" i="1"/>
  <c r="G48" i="1"/>
  <c r="G49" i="1"/>
  <c r="G6" i="1"/>
  <c r="G11" i="1"/>
  <c r="G29" i="1"/>
  <c r="G4" i="1"/>
  <c r="G50" i="1"/>
  <c r="G51" i="1"/>
  <c r="G30" i="1"/>
  <c r="G9" i="1"/>
  <c r="G13" i="1"/>
  <c r="G7" i="1"/>
  <c r="G31" i="1"/>
  <c r="G52" i="1"/>
  <c r="G53" i="1"/>
  <c r="G8" i="1"/>
  <c r="G54" i="1"/>
  <c r="G55" i="1"/>
  <c r="G56" i="1"/>
  <c r="G57" i="1"/>
  <c r="G58" i="1"/>
  <c r="G32" i="1"/>
  <c r="G59" i="1"/>
  <c r="G14" i="1"/>
  <c r="G60" i="1"/>
  <c r="G61" i="1"/>
  <c r="G15" i="1"/>
  <c r="G62" i="1"/>
  <c r="G63" i="1"/>
  <c r="G64" i="1"/>
  <c r="G33" i="1"/>
  <c r="G65" i="1"/>
  <c r="G66" i="1"/>
  <c r="G3" i="1"/>
  <c r="G67" i="1"/>
  <c r="G18" i="1"/>
  <c r="G68" i="1"/>
  <c r="G19" i="1"/>
  <c r="G69" i="1"/>
  <c r="G70" i="1"/>
  <c r="G34" i="1"/>
  <c r="G71" i="1"/>
  <c r="G35" i="1"/>
  <c r="G72" i="1"/>
  <c r="G73" i="1"/>
  <c r="G74" i="1"/>
  <c r="G75" i="1"/>
  <c r="G20" i="1"/>
</calcChain>
</file>

<file path=xl/sharedStrings.xml><?xml version="1.0" encoding="utf-8"?>
<sst xmlns="http://schemas.openxmlformats.org/spreadsheetml/2006/main" count="613" uniqueCount="161">
  <si>
    <t>City</t>
  </si>
  <si>
    <t>Kitchener</t>
  </si>
  <si>
    <t>Ottawa</t>
  </si>
  <si>
    <t>Pembroke</t>
  </si>
  <si>
    <t>Toronto</t>
  </si>
  <si>
    <t>Hamilton</t>
  </si>
  <si>
    <t>Niagara Falls</t>
  </si>
  <si>
    <t>Waterloo</t>
  </si>
  <si>
    <t>Leamington</t>
  </si>
  <si>
    <t>Brampton</t>
  </si>
  <si>
    <t>London</t>
  </si>
  <si>
    <t>Vaughan</t>
  </si>
  <si>
    <t>St. George</t>
  </si>
  <si>
    <t>Saint John</t>
  </si>
  <si>
    <t>Province</t>
  </si>
  <si>
    <t>ON</t>
  </si>
  <si>
    <t>NB</t>
  </si>
  <si>
    <t>Cambridge</t>
  </si>
  <si>
    <t>Mississauga</t>
  </si>
  <si>
    <t>Oshawa</t>
  </si>
  <si>
    <t>Welland</t>
  </si>
  <si>
    <t>Milton</t>
  </si>
  <si>
    <t>Chatham</t>
  </si>
  <si>
    <t>Vancouver</t>
  </si>
  <si>
    <t>BC</t>
  </si>
  <si>
    <t>Burks Falls</t>
  </si>
  <si>
    <t>Omemee</t>
  </si>
  <si>
    <t>Barrie</t>
  </si>
  <si>
    <t>Kingston</t>
  </si>
  <si>
    <t>Markahm</t>
  </si>
  <si>
    <t>North York</t>
  </si>
  <si>
    <t>Dartmouth</t>
  </si>
  <si>
    <t>NS</t>
  </si>
  <si>
    <t>Smithcille</t>
  </si>
  <si>
    <t>Richard's Landing</t>
  </si>
  <si>
    <t>North Bay</t>
  </si>
  <si>
    <t>Burlington</t>
  </si>
  <si>
    <t>Brantford</t>
  </si>
  <si>
    <t>St. Catharines</t>
  </si>
  <si>
    <t>Rodney</t>
  </si>
  <si>
    <t>Langford</t>
  </si>
  <si>
    <t>Stratford</t>
  </si>
  <si>
    <t>Pelham</t>
  </si>
  <si>
    <t>Winsdor</t>
  </si>
  <si>
    <t>Winnipeg</t>
  </si>
  <si>
    <t>MB</t>
  </si>
  <si>
    <t>Victoria</t>
  </si>
  <si>
    <t>Deep River</t>
  </si>
  <si>
    <t>Whitby</t>
  </si>
  <si>
    <t>Ailsa Craig</t>
  </si>
  <si>
    <t>Wasaga Beach</t>
  </si>
  <si>
    <t>Beamsville</t>
  </si>
  <si>
    <t>Trenton</t>
  </si>
  <si>
    <t>Windsor</t>
  </si>
  <si>
    <t>Edmonton</t>
  </si>
  <si>
    <t>Guelph</t>
  </si>
  <si>
    <t>Newmarket</t>
  </si>
  <si>
    <t>Scarborough</t>
  </si>
  <si>
    <t>Wallaceburg</t>
  </si>
  <si>
    <t>AB</t>
  </si>
  <si>
    <t>Stouffville</t>
  </si>
  <si>
    <t>Caledon</t>
  </si>
  <si>
    <t>St. John</t>
  </si>
  <si>
    <t>NFLD</t>
  </si>
  <si>
    <t>Uxbridge</t>
  </si>
  <si>
    <t>Fort Erie</t>
  </si>
  <si>
    <t>Etobicoke</t>
  </si>
  <si>
    <t>Clarington</t>
  </si>
  <si>
    <t>Calgary</t>
  </si>
  <si>
    <t>Kincardine</t>
  </si>
  <si>
    <t>Longueil</t>
  </si>
  <si>
    <t>QC</t>
  </si>
  <si>
    <t>Aurora</t>
  </si>
  <si>
    <t>Belleville</t>
  </si>
  <si>
    <t>Arnprior</t>
  </si>
  <si>
    <t>Cobourg</t>
  </si>
  <si>
    <t>Bradford</t>
  </si>
  <si>
    <t>Clarence-Rockland</t>
  </si>
  <si>
    <t>Port Elgin</t>
  </si>
  <si>
    <t>Wingham</t>
  </si>
  <si>
    <t>Peterborough</t>
  </si>
  <si>
    <t>Burligton</t>
  </si>
  <si>
    <t>Gatineau</t>
  </si>
  <si>
    <t>Central Saanich</t>
  </si>
  <si>
    <t>Markham</t>
  </si>
  <si>
    <t>Sudbury</t>
  </si>
  <si>
    <t>Tilbury</t>
  </si>
  <si>
    <t>Shediac</t>
  </si>
  <si>
    <t>Smithville</t>
  </si>
  <si>
    <t>Count</t>
  </si>
  <si>
    <t>1 Bed &amp; Bachelor Apts</t>
  </si>
  <si>
    <t>2 Bed Apt</t>
  </si>
  <si>
    <t>3 Bed + Apt</t>
  </si>
  <si>
    <t>2 Bed + Apt</t>
  </si>
  <si>
    <t>3 Bed Apt</t>
  </si>
  <si>
    <t>1 Bed + Den Apt</t>
  </si>
  <si>
    <t>1 Bed Apt</t>
  </si>
  <si>
    <t>Bachelor/Studio Apt</t>
  </si>
  <si>
    <t>Notes</t>
  </si>
  <si>
    <t>Chatham (Standard)</t>
  </si>
  <si>
    <t>Major Rental Project = 50+ Units</t>
  </si>
  <si>
    <t>Chatham (Major Rental Projects)</t>
  </si>
  <si>
    <t>(Sized Based)</t>
  </si>
  <si>
    <t>(Flat Rate Per Apt)</t>
  </si>
  <si>
    <t>DC Elimination (2026-2028) - Region + Education still apply</t>
  </si>
  <si>
    <t>Airport District/ new Hospital Area; Schedule B)</t>
  </si>
  <si>
    <t>Toronto, ON</t>
  </si>
  <si>
    <t>Hamilton, ON (Urban Area A)</t>
  </si>
  <si>
    <t>Hamilton, ON (Urban Area B)</t>
  </si>
  <si>
    <t>Kitchener, ON (Suburban Area)</t>
  </si>
  <si>
    <t>London, ON (Inside Urban Growth Area)</t>
  </si>
  <si>
    <t>London, ON (Outside Urban Growth Area)</t>
  </si>
  <si>
    <t>Niagara Falls, ON (Inside Urban Area)</t>
  </si>
  <si>
    <t>Niagara Falls, ON (Outside Urban Area)</t>
  </si>
  <si>
    <t>Ottawa, ON (Inside Greenbelt)</t>
  </si>
  <si>
    <t>Ottawa, ON (Outside Greenbelt)</t>
  </si>
  <si>
    <t>Mississauga, ON</t>
  </si>
  <si>
    <t>1B+D /2B/3B Full 100% Waiver of City + Region DCs - Only School, 1B/Bachelor 50% reduction City + 50% Region</t>
  </si>
  <si>
    <t>Etobicoke, ON</t>
  </si>
  <si>
    <t>Langford, BC</t>
  </si>
  <si>
    <t>Barrie, ON</t>
  </si>
  <si>
    <t>(Size Based)</t>
  </si>
  <si>
    <t>Kitchener, ON (Central / Urban Area)</t>
  </si>
  <si>
    <t>Newmarket, ON</t>
  </si>
  <si>
    <t>Scarborough, ON</t>
  </si>
  <si>
    <t>St. Catharines, ON</t>
  </si>
  <si>
    <t>Brampton, ON</t>
  </si>
  <si>
    <t>(Sizes Based)</t>
  </si>
  <si>
    <t>Vancouver, BC (City-wide)</t>
  </si>
  <si>
    <t>Vancouver, BC (High-Rate Zones)</t>
  </si>
  <si>
    <t>Downtown, Broadway, SEFC) (Size Based)</t>
  </si>
  <si>
    <t>Victoria, BC</t>
  </si>
  <si>
    <t>Burlington, ON (Built Boundary)</t>
  </si>
  <si>
    <t>Burlington, ON (Built Boundary) - DC Elimination</t>
  </si>
  <si>
    <t>Burlington, ON (Greenfield)</t>
  </si>
  <si>
    <t>Burlington, ON (Greenfield) - DC Elimination</t>
  </si>
  <si>
    <t>Burlington, ON (Rural)</t>
  </si>
  <si>
    <t>Burlington, ON (Rural) - DC Elimination</t>
  </si>
  <si>
    <t>Oakville, ON (Built Boundary)</t>
  </si>
  <si>
    <t>Oakville, ON (Greenfield Urban)</t>
  </si>
  <si>
    <t>Oakville, ON (Rural)</t>
  </si>
  <si>
    <t>Milton, ON (Built Boundary)</t>
  </si>
  <si>
    <t>Milton, ON (Greenfield)</t>
  </si>
  <si>
    <t>Milton, ON (Rural)</t>
  </si>
  <si>
    <t>Windor, ON (City Wide)</t>
  </si>
  <si>
    <t>Windsor, ON (Sandwich South)</t>
  </si>
  <si>
    <t>Peterborough, ON</t>
  </si>
  <si>
    <t>Cambridge, ON</t>
  </si>
  <si>
    <t>4 Bed + Apt</t>
  </si>
  <si>
    <t>Waterloo, ON</t>
  </si>
  <si>
    <t>Guelph, ON</t>
  </si>
  <si>
    <t>Vaughan, ON</t>
  </si>
  <si>
    <t>Markham, ON</t>
  </si>
  <si>
    <t>Oshawa, ON</t>
  </si>
  <si>
    <t>Ajax, ON</t>
  </si>
  <si>
    <t>Whitby, ON</t>
  </si>
  <si>
    <t>Pickering, ON</t>
  </si>
  <si>
    <t>Richmond Hill, ON</t>
  </si>
  <si>
    <t>Aurora, ON</t>
  </si>
  <si>
    <t>Brantford, ON</t>
  </si>
  <si>
    <t>2026 DEVELOPMENT CHARGES BY MUNICIPALITY PER UNIT TYPE (City + Region + Education)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</si>
</sst>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2" borderId="0" xfId="0" applyFill="1"/>
    <xf numFmtId="6" fontId="0" fillId="2" borderId="0" xfId="0" applyNumberFormat="1" applyFill="1" applyAlignment="1">
      <alignment horizont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8" fontId="0" fillId="2" borderId="0" xfId="0" applyNumberFormat="1" applyFill="1" applyAlignment="1">
      <alignment horizontal="center"/>
    </xf>
    <xf numFmtId="0" fontId="1" fillId="2" borderId="0" xfId="0" applyFont="1" applyFill="1" applyAlignment="1">
      <alignment horizontal="left"/>
    </xf>
    <xf numFmtId="6" fontId="0" fillId="2" borderId="0" xfId="0" applyNumberFormat="1" applyFill="1"/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Research</a:t>
            </a:r>
            <a:r>
              <a:rPr lang="en-US" baseline="0"/>
              <a:t> Projects: 2022- 2026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'Research Projects 22-26'!$G$2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'Research Projects 22-26'!$F$3:$F$19</c:f>
              <c:strCache>
                <c:ptCount val="17"/>
                <c:pt idx="0">
                  <c:v>Toronto</c:v>
                </c:pt>
                <c:pt idx="1">
                  <c:v>London</c:v>
                </c:pt>
                <c:pt idx="2">
                  <c:v>Hamilton</c:v>
                </c:pt>
                <c:pt idx="3">
                  <c:v>Kitchener</c:v>
                </c:pt>
                <c:pt idx="4">
                  <c:v>Niagara Falls</c:v>
                </c:pt>
                <c:pt idx="5">
                  <c:v>Ottawa</c:v>
                </c:pt>
                <c:pt idx="6">
                  <c:v>Mississauga</c:v>
                </c:pt>
                <c:pt idx="7">
                  <c:v>Etobicoke</c:v>
                </c:pt>
                <c:pt idx="8">
                  <c:v>Langford</c:v>
                </c:pt>
                <c:pt idx="9">
                  <c:v>Barrie</c:v>
                </c:pt>
                <c:pt idx="10">
                  <c:v>Newmarket</c:v>
                </c:pt>
                <c:pt idx="11">
                  <c:v>Scarborough</c:v>
                </c:pt>
                <c:pt idx="12">
                  <c:v>St. Catharines</c:v>
                </c:pt>
                <c:pt idx="13">
                  <c:v>Brampton</c:v>
                </c:pt>
                <c:pt idx="14">
                  <c:v>Chatham</c:v>
                </c:pt>
                <c:pt idx="15">
                  <c:v>Vancouver</c:v>
                </c:pt>
                <c:pt idx="16">
                  <c:v>Victoria</c:v>
                </c:pt>
              </c:strCache>
            </c:strRef>
          </c:cat>
          <c:val>
            <c:numRef>
              <c:f>'Research Projects 22-26'!$G$3:$G$19</c:f>
              <c:numCache>
                <c:formatCode>General</c:formatCode>
                <c:ptCount val="17"/>
                <c:pt idx="0">
                  <c:v>33</c:v>
                </c:pt>
                <c:pt idx="1">
                  <c:v>15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6</c:v>
                </c:pt>
                <c:pt idx="7">
                  <c:v>5</c:v>
                </c:pt>
                <c:pt idx="8">
                  <c:v>5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DD-3348-BDCF-D8199B8AA9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6394703"/>
        <c:axId val="506089039"/>
      </c:barChart>
      <c:catAx>
        <c:axId val="486394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Cities with 3 or more projects completed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089039"/>
        <c:crosses val="autoZero"/>
        <c:auto val="1"/>
        <c:lblAlgn val="ctr"/>
        <c:lblOffset val="100"/>
        <c:noMultiLvlLbl val="0"/>
      </c:catAx>
      <c:valAx>
        <c:axId val="506089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Projects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394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495436</xdr:colOff>
      <xdr:row>1</xdr:row>
      <xdr:rowOff>100653</xdr:rowOff>
    </xdr:from>
    <xdr:to>
      <xdr:col>17</xdr:col>
      <xdr:colOff>635000</xdr:colOff>
      <xdr:row>26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D2F0DD-64B4-374F-3B77-AAF3B73895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1B0E4-3FA1-F549-839C-C48373B2A1B3}">
  <dimension ref="A2:G212"/>
  <sheetViews>
    <sheetView topLeftCell="E1" zoomScaleNormal="100" workbookViewId="0">
      <selection activeCell="J30" sqref="J30"/>
    </sheetView>
  </sheetViews>
  <sheetFormatPr baseColWidth="10" defaultRowHeight="15" x14ac:dyDescent="0.2"/>
  <cols>
    <col min="1" max="4" width="10.83203125" hidden="1" customWidth="1"/>
  </cols>
  <sheetData>
    <row r="2" spans="2:7" x14ac:dyDescent="0.2">
      <c r="B2" t="s">
        <v>0</v>
      </c>
      <c r="C2" t="s">
        <v>14</v>
      </c>
      <c r="F2" t="s">
        <v>0</v>
      </c>
      <c r="G2" t="s">
        <v>89</v>
      </c>
    </row>
    <row r="3" spans="2:7" x14ac:dyDescent="0.2">
      <c r="B3" t="s">
        <v>49</v>
      </c>
      <c r="C3" t="s">
        <v>15</v>
      </c>
      <c r="F3" t="s">
        <v>4</v>
      </c>
      <c r="G3">
        <f t="shared" ref="G3:G22" si="0">COUNTIF($B$3:$B$212,F3)</f>
        <v>33</v>
      </c>
    </row>
    <row r="4" spans="2:7" x14ac:dyDescent="0.2">
      <c r="B4" t="s">
        <v>49</v>
      </c>
      <c r="C4" t="s">
        <v>15</v>
      </c>
      <c r="F4" t="s">
        <v>10</v>
      </c>
      <c r="G4">
        <f t="shared" si="0"/>
        <v>15</v>
      </c>
    </row>
    <row r="5" spans="2:7" x14ac:dyDescent="0.2">
      <c r="B5" t="s">
        <v>74</v>
      </c>
      <c r="C5" s="1" t="s">
        <v>15</v>
      </c>
      <c r="F5" t="s">
        <v>5</v>
      </c>
      <c r="G5">
        <f t="shared" si="0"/>
        <v>9</v>
      </c>
    </row>
    <row r="6" spans="2:7" x14ac:dyDescent="0.2">
      <c r="B6" t="s">
        <v>72</v>
      </c>
      <c r="C6" s="1" t="s">
        <v>15</v>
      </c>
      <c r="F6" t="s">
        <v>1</v>
      </c>
      <c r="G6">
        <f t="shared" si="0"/>
        <v>8</v>
      </c>
    </row>
    <row r="7" spans="2:7" x14ac:dyDescent="0.2">
      <c r="B7" t="s">
        <v>72</v>
      </c>
      <c r="C7" s="1" t="s">
        <v>15</v>
      </c>
      <c r="F7" t="s">
        <v>6</v>
      </c>
      <c r="G7">
        <f t="shared" si="0"/>
        <v>8</v>
      </c>
    </row>
    <row r="8" spans="2:7" x14ac:dyDescent="0.2">
      <c r="B8" t="s">
        <v>27</v>
      </c>
      <c r="C8" t="s">
        <v>15</v>
      </c>
      <c r="F8" t="s">
        <v>2</v>
      </c>
      <c r="G8">
        <f t="shared" si="0"/>
        <v>8</v>
      </c>
    </row>
    <row r="9" spans="2:7" x14ac:dyDescent="0.2">
      <c r="B9" t="s">
        <v>27</v>
      </c>
      <c r="C9" t="s">
        <v>15</v>
      </c>
      <c r="F9" t="s">
        <v>18</v>
      </c>
      <c r="G9">
        <f t="shared" si="0"/>
        <v>6</v>
      </c>
    </row>
    <row r="10" spans="2:7" x14ac:dyDescent="0.2">
      <c r="B10" t="s">
        <v>27</v>
      </c>
      <c r="C10" s="1" t="s">
        <v>15</v>
      </c>
      <c r="F10" t="s">
        <v>66</v>
      </c>
      <c r="G10">
        <f t="shared" si="0"/>
        <v>5</v>
      </c>
    </row>
    <row r="11" spans="2:7" x14ac:dyDescent="0.2">
      <c r="B11" t="s">
        <v>27</v>
      </c>
      <c r="C11" s="1" t="s">
        <v>15</v>
      </c>
      <c r="F11" t="s">
        <v>40</v>
      </c>
      <c r="G11">
        <f t="shared" si="0"/>
        <v>5</v>
      </c>
    </row>
    <row r="12" spans="2:7" x14ac:dyDescent="0.2">
      <c r="B12" t="s">
        <v>51</v>
      </c>
      <c r="C12" t="s">
        <v>15</v>
      </c>
      <c r="F12" t="s">
        <v>27</v>
      </c>
      <c r="G12">
        <f t="shared" si="0"/>
        <v>4</v>
      </c>
    </row>
    <row r="13" spans="2:7" x14ac:dyDescent="0.2">
      <c r="B13" t="s">
        <v>73</v>
      </c>
      <c r="C13" s="1" t="s">
        <v>15</v>
      </c>
      <c r="F13" t="s">
        <v>56</v>
      </c>
      <c r="G13">
        <f t="shared" si="0"/>
        <v>4</v>
      </c>
    </row>
    <row r="14" spans="2:7" x14ac:dyDescent="0.2">
      <c r="B14" t="s">
        <v>76</v>
      </c>
      <c r="C14" s="1" t="s">
        <v>15</v>
      </c>
      <c r="F14" t="s">
        <v>57</v>
      </c>
      <c r="G14">
        <f t="shared" si="0"/>
        <v>4</v>
      </c>
    </row>
    <row r="15" spans="2:7" x14ac:dyDescent="0.2">
      <c r="B15" t="s">
        <v>76</v>
      </c>
      <c r="C15" s="1" t="s">
        <v>15</v>
      </c>
      <c r="F15" t="s">
        <v>38</v>
      </c>
      <c r="G15">
        <f t="shared" si="0"/>
        <v>4</v>
      </c>
    </row>
    <row r="16" spans="2:7" x14ac:dyDescent="0.2">
      <c r="B16" t="s">
        <v>9</v>
      </c>
      <c r="C16" t="s">
        <v>15</v>
      </c>
      <c r="F16" t="s">
        <v>9</v>
      </c>
      <c r="G16">
        <f t="shared" si="0"/>
        <v>3</v>
      </c>
    </row>
    <row r="17" spans="2:7" x14ac:dyDescent="0.2">
      <c r="B17" t="s">
        <v>9</v>
      </c>
      <c r="C17" t="s">
        <v>15</v>
      </c>
      <c r="F17" t="s">
        <v>22</v>
      </c>
      <c r="G17">
        <f t="shared" si="0"/>
        <v>3</v>
      </c>
    </row>
    <row r="18" spans="2:7" x14ac:dyDescent="0.2">
      <c r="B18" t="s">
        <v>9</v>
      </c>
      <c r="C18" t="s">
        <v>15</v>
      </c>
      <c r="F18" t="s">
        <v>23</v>
      </c>
      <c r="G18">
        <f t="shared" si="0"/>
        <v>3</v>
      </c>
    </row>
    <row r="19" spans="2:7" x14ac:dyDescent="0.2">
      <c r="B19" t="s">
        <v>37</v>
      </c>
      <c r="C19" t="s">
        <v>15</v>
      </c>
      <c r="F19" t="s">
        <v>46</v>
      </c>
      <c r="G19">
        <f t="shared" si="0"/>
        <v>3</v>
      </c>
    </row>
    <row r="20" spans="2:7" x14ac:dyDescent="0.2">
      <c r="B20" t="s">
        <v>37</v>
      </c>
      <c r="C20" t="s">
        <v>15</v>
      </c>
      <c r="F20" t="s">
        <v>49</v>
      </c>
      <c r="G20">
        <f t="shared" si="0"/>
        <v>2</v>
      </c>
    </row>
    <row r="21" spans="2:7" x14ac:dyDescent="0.2">
      <c r="B21" t="s">
        <v>25</v>
      </c>
      <c r="C21" t="s">
        <v>15</v>
      </c>
      <c r="F21" t="s">
        <v>72</v>
      </c>
      <c r="G21">
        <f t="shared" si="0"/>
        <v>2</v>
      </c>
    </row>
    <row r="22" spans="2:7" x14ac:dyDescent="0.2">
      <c r="B22" t="s">
        <v>81</v>
      </c>
      <c r="C22" s="1" t="s">
        <v>15</v>
      </c>
      <c r="F22" t="s">
        <v>76</v>
      </c>
      <c r="G22">
        <f t="shared" si="0"/>
        <v>2</v>
      </c>
    </row>
    <row r="23" spans="2:7" x14ac:dyDescent="0.2">
      <c r="B23" t="s">
        <v>36</v>
      </c>
      <c r="C23" t="s">
        <v>15</v>
      </c>
      <c r="F23" t="s">
        <v>61</v>
      </c>
      <c r="G23">
        <f t="shared" ref="G23:G33" si="1">COUNTIF($B$3:$B$212,F23)</f>
        <v>2</v>
      </c>
    </row>
    <row r="24" spans="2:7" x14ac:dyDescent="0.2">
      <c r="B24" t="s">
        <v>36</v>
      </c>
      <c r="C24" s="1" t="s">
        <v>15</v>
      </c>
      <c r="F24" t="s">
        <v>68</v>
      </c>
      <c r="G24">
        <f t="shared" si="1"/>
        <v>2</v>
      </c>
    </row>
    <row r="25" spans="2:7" x14ac:dyDescent="0.2">
      <c r="B25" t="s">
        <v>36</v>
      </c>
      <c r="C25" s="1" t="s">
        <v>15</v>
      </c>
      <c r="F25" t="s">
        <v>17</v>
      </c>
      <c r="G25">
        <f t="shared" si="1"/>
        <v>2</v>
      </c>
    </row>
    <row r="26" spans="2:7" x14ac:dyDescent="0.2">
      <c r="B26" t="s">
        <v>36</v>
      </c>
      <c r="C26" s="1" t="s">
        <v>15</v>
      </c>
      <c r="F26" t="s">
        <v>75</v>
      </c>
      <c r="G26">
        <f t="shared" si="1"/>
        <v>2</v>
      </c>
    </row>
    <row r="27" spans="2:7" x14ac:dyDescent="0.2">
      <c r="B27" t="s">
        <v>36</v>
      </c>
      <c r="C27" s="1" t="s">
        <v>15</v>
      </c>
      <c r="F27" t="s">
        <v>31</v>
      </c>
      <c r="G27">
        <f t="shared" si="1"/>
        <v>2</v>
      </c>
    </row>
    <row r="28" spans="2:7" x14ac:dyDescent="0.2">
      <c r="B28" t="s">
        <v>36</v>
      </c>
      <c r="C28" s="1" t="s">
        <v>15</v>
      </c>
      <c r="F28" t="s">
        <v>65</v>
      </c>
      <c r="G28">
        <f t="shared" si="1"/>
        <v>2</v>
      </c>
    </row>
    <row r="29" spans="2:7" x14ac:dyDescent="0.2">
      <c r="B29" t="s">
        <v>36</v>
      </c>
      <c r="C29" s="1" t="s">
        <v>15</v>
      </c>
      <c r="F29" t="s">
        <v>8</v>
      </c>
      <c r="G29">
        <f t="shared" si="1"/>
        <v>2</v>
      </c>
    </row>
    <row r="30" spans="2:7" x14ac:dyDescent="0.2">
      <c r="B30" t="s">
        <v>61</v>
      </c>
      <c r="C30" s="1" t="s">
        <v>15</v>
      </c>
      <c r="F30" t="s">
        <v>21</v>
      </c>
      <c r="G30">
        <f t="shared" si="1"/>
        <v>2</v>
      </c>
    </row>
    <row r="31" spans="2:7" x14ac:dyDescent="0.2">
      <c r="B31" t="s">
        <v>61</v>
      </c>
      <c r="C31" s="1" t="s">
        <v>15</v>
      </c>
      <c r="F31" t="s">
        <v>35</v>
      </c>
      <c r="G31">
        <f t="shared" si="1"/>
        <v>2</v>
      </c>
    </row>
    <row r="32" spans="2:7" x14ac:dyDescent="0.2">
      <c r="B32" t="s">
        <v>68</v>
      </c>
      <c r="C32" t="s">
        <v>59</v>
      </c>
      <c r="F32" t="s">
        <v>39</v>
      </c>
      <c r="G32">
        <f t="shared" si="1"/>
        <v>2</v>
      </c>
    </row>
    <row r="33" spans="2:7" x14ac:dyDescent="0.2">
      <c r="B33" t="s">
        <v>68</v>
      </c>
      <c r="C33" t="s">
        <v>59</v>
      </c>
      <c r="F33" t="s">
        <v>41</v>
      </c>
      <c r="G33">
        <f t="shared" si="1"/>
        <v>2</v>
      </c>
    </row>
    <row r="34" spans="2:7" x14ac:dyDescent="0.2">
      <c r="B34" t="s">
        <v>17</v>
      </c>
      <c r="C34" t="s">
        <v>15</v>
      </c>
      <c r="F34" t="s">
        <v>7</v>
      </c>
      <c r="G34">
        <f t="shared" ref="G34:G65" si="2">COUNTIF($B$3:$B$212,F34)</f>
        <v>2</v>
      </c>
    </row>
    <row r="35" spans="2:7" x14ac:dyDescent="0.2">
      <c r="B35" t="s">
        <v>17</v>
      </c>
      <c r="C35" s="1" t="s">
        <v>15</v>
      </c>
      <c r="F35" t="s">
        <v>48</v>
      </c>
      <c r="G35">
        <f t="shared" si="2"/>
        <v>2</v>
      </c>
    </row>
    <row r="36" spans="2:7" x14ac:dyDescent="0.2">
      <c r="B36" t="s">
        <v>83</v>
      </c>
      <c r="C36" s="1" t="s">
        <v>24</v>
      </c>
      <c r="F36" t="s">
        <v>74</v>
      </c>
      <c r="G36">
        <f t="shared" si="2"/>
        <v>1</v>
      </c>
    </row>
    <row r="37" spans="2:7" x14ac:dyDescent="0.2">
      <c r="B37" t="s">
        <v>22</v>
      </c>
      <c r="C37" t="s">
        <v>15</v>
      </c>
      <c r="F37" t="s">
        <v>51</v>
      </c>
      <c r="G37">
        <f t="shared" si="2"/>
        <v>1</v>
      </c>
    </row>
    <row r="38" spans="2:7" x14ac:dyDescent="0.2">
      <c r="B38" t="s">
        <v>22</v>
      </c>
      <c r="C38" t="s">
        <v>15</v>
      </c>
      <c r="F38" t="s">
        <v>73</v>
      </c>
      <c r="G38">
        <f t="shared" si="2"/>
        <v>1</v>
      </c>
    </row>
    <row r="39" spans="2:7" x14ac:dyDescent="0.2">
      <c r="B39" t="s">
        <v>22</v>
      </c>
      <c r="C39" s="1" t="s">
        <v>15</v>
      </c>
      <c r="F39" t="s">
        <v>25</v>
      </c>
      <c r="G39">
        <f t="shared" si="2"/>
        <v>1</v>
      </c>
    </row>
    <row r="40" spans="2:7" x14ac:dyDescent="0.2">
      <c r="B40" t="s">
        <v>77</v>
      </c>
      <c r="C40" s="1" t="s">
        <v>15</v>
      </c>
      <c r="F40" t="s">
        <v>81</v>
      </c>
      <c r="G40">
        <f t="shared" si="2"/>
        <v>1</v>
      </c>
    </row>
    <row r="41" spans="2:7" x14ac:dyDescent="0.2">
      <c r="B41" t="s">
        <v>67</v>
      </c>
      <c r="C41" s="1" t="s">
        <v>15</v>
      </c>
      <c r="F41" t="s">
        <v>83</v>
      </c>
      <c r="G41">
        <f t="shared" si="2"/>
        <v>1</v>
      </c>
    </row>
    <row r="42" spans="2:7" x14ac:dyDescent="0.2">
      <c r="B42" t="s">
        <v>75</v>
      </c>
      <c r="C42" s="1" t="s">
        <v>15</v>
      </c>
      <c r="F42" t="s">
        <v>77</v>
      </c>
      <c r="G42">
        <f t="shared" si="2"/>
        <v>1</v>
      </c>
    </row>
    <row r="43" spans="2:7" x14ac:dyDescent="0.2">
      <c r="B43" t="s">
        <v>75</v>
      </c>
      <c r="C43" s="1" t="s">
        <v>15</v>
      </c>
      <c r="F43" t="s">
        <v>67</v>
      </c>
      <c r="G43">
        <f t="shared" si="2"/>
        <v>1</v>
      </c>
    </row>
    <row r="44" spans="2:7" x14ac:dyDescent="0.2">
      <c r="B44" t="s">
        <v>31</v>
      </c>
      <c r="C44" t="s">
        <v>32</v>
      </c>
      <c r="F44" t="s">
        <v>47</v>
      </c>
      <c r="G44">
        <f t="shared" si="2"/>
        <v>1</v>
      </c>
    </row>
    <row r="45" spans="2:7" x14ac:dyDescent="0.2">
      <c r="B45" t="s">
        <v>31</v>
      </c>
      <c r="C45" t="s">
        <v>32</v>
      </c>
      <c r="F45" t="s">
        <v>54</v>
      </c>
      <c r="G45">
        <f t="shared" si="2"/>
        <v>1</v>
      </c>
    </row>
    <row r="46" spans="2:7" x14ac:dyDescent="0.2">
      <c r="B46" t="s">
        <v>47</v>
      </c>
      <c r="C46" t="s">
        <v>15</v>
      </c>
      <c r="F46" t="s">
        <v>82</v>
      </c>
      <c r="G46">
        <f t="shared" si="2"/>
        <v>1</v>
      </c>
    </row>
    <row r="47" spans="2:7" x14ac:dyDescent="0.2">
      <c r="B47" t="s">
        <v>54</v>
      </c>
      <c r="C47" t="s">
        <v>59</v>
      </c>
      <c r="F47" t="s">
        <v>55</v>
      </c>
      <c r="G47">
        <f t="shared" si="2"/>
        <v>1</v>
      </c>
    </row>
    <row r="48" spans="2:7" x14ac:dyDescent="0.2">
      <c r="B48" t="s">
        <v>66</v>
      </c>
      <c r="C48" s="1" t="s">
        <v>15</v>
      </c>
      <c r="F48" t="s">
        <v>69</v>
      </c>
      <c r="G48">
        <f t="shared" si="2"/>
        <v>1</v>
      </c>
    </row>
    <row r="49" spans="2:7" x14ac:dyDescent="0.2">
      <c r="B49" t="s">
        <v>66</v>
      </c>
      <c r="C49" s="1" t="s">
        <v>15</v>
      </c>
      <c r="F49" t="s">
        <v>28</v>
      </c>
      <c r="G49">
        <f t="shared" si="2"/>
        <v>1</v>
      </c>
    </row>
    <row r="50" spans="2:7" x14ac:dyDescent="0.2">
      <c r="B50" t="s">
        <v>66</v>
      </c>
      <c r="C50" s="1" t="s">
        <v>15</v>
      </c>
      <c r="F50" t="s">
        <v>70</v>
      </c>
      <c r="G50">
        <f t="shared" si="2"/>
        <v>1</v>
      </c>
    </row>
    <row r="51" spans="2:7" x14ac:dyDescent="0.2">
      <c r="B51" t="s">
        <v>66</v>
      </c>
      <c r="C51" s="1" t="s">
        <v>15</v>
      </c>
      <c r="F51" t="s">
        <v>29</v>
      </c>
      <c r="G51">
        <f t="shared" si="2"/>
        <v>1</v>
      </c>
    </row>
    <row r="52" spans="2:7" x14ac:dyDescent="0.2">
      <c r="B52" t="s">
        <v>66</v>
      </c>
      <c r="C52" s="1" t="s">
        <v>15</v>
      </c>
      <c r="F52" t="s">
        <v>26</v>
      </c>
      <c r="G52">
        <f t="shared" si="2"/>
        <v>1</v>
      </c>
    </row>
    <row r="53" spans="2:7" x14ac:dyDescent="0.2">
      <c r="B53" t="s">
        <v>65</v>
      </c>
      <c r="C53" s="1" t="s">
        <v>15</v>
      </c>
      <c r="F53" t="s">
        <v>19</v>
      </c>
      <c r="G53">
        <f t="shared" si="2"/>
        <v>1</v>
      </c>
    </row>
    <row r="54" spans="2:7" x14ac:dyDescent="0.2">
      <c r="B54" t="s">
        <v>65</v>
      </c>
      <c r="C54" s="1" t="s">
        <v>15</v>
      </c>
      <c r="F54" t="s">
        <v>42</v>
      </c>
      <c r="G54">
        <f t="shared" si="2"/>
        <v>1</v>
      </c>
    </row>
    <row r="55" spans="2:7" x14ac:dyDescent="0.2">
      <c r="B55" t="s">
        <v>82</v>
      </c>
      <c r="C55" s="1" t="s">
        <v>71</v>
      </c>
      <c r="F55" t="s">
        <v>3</v>
      </c>
      <c r="G55">
        <f t="shared" si="2"/>
        <v>1</v>
      </c>
    </row>
    <row r="56" spans="2:7" x14ac:dyDescent="0.2">
      <c r="B56" t="s">
        <v>55</v>
      </c>
      <c r="C56" s="1" t="s">
        <v>15</v>
      </c>
      <c r="F56" t="s">
        <v>80</v>
      </c>
      <c r="G56">
        <f t="shared" si="2"/>
        <v>1</v>
      </c>
    </row>
    <row r="57" spans="2:7" x14ac:dyDescent="0.2">
      <c r="B57" t="s">
        <v>5</v>
      </c>
      <c r="C57" s="1" t="s">
        <v>15</v>
      </c>
      <c r="F57" t="s">
        <v>78</v>
      </c>
      <c r="G57">
        <f t="shared" si="2"/>
        <v>1</v>
      </c>
    </row>
    <row r="58" spans="2:7" x14ac:dyDescent="0.2">
      <c r="B58" t="s">
        <v>5</v>
      </c>
      <c r="C58" t="s">
        <v>15</v>
      </c>
      <c r="F58" t="s">
        <v>34</v>
      </c>
      <c r="G58">
        <f t="shared" si="2"/>
        <v>1</v>
      </c>
    </row>
    <row r="59" spans="2:7" x14ac:dyDescent="0.2">
      <c r="B59" t="s">
        <v>5</v>
      </c>
      <c r="C59" t="s">
        <v>15</v>
      </c>
      <c r="F59" t="s">
        <v>13</v>
      </c>
      <c r="G59">
        <f t="shared" si="2"/>
        <v>1</v>
      </c>
    </row>
    <row r="60" spans="2:7" x14ac:dyDescent="0.2">
      <c r="B60" t="s">
        <v>5</v>
      </c>
      <c r="C60" t="s">
        <v>15</v>
      </c>
      <c r="F60" t="s">
        <v>87</v>
      </c>
      <c r="G60">
        <f t="shared" si="2"/>
        <v>1</v>
      </c>
    </row>
    <row r="61" spans="2:7" x14ac:dyDescent="0.2">
      <c r="B61" t="s">
        <v>5</v>
      </c>
      <c r="C61" t="s">
        <v>15</v>
      </c>
      <c r="F61" t="s">
        <v>88</v>
      </c>
      <c r="G61">
        <f t="shared" si="2"/>
        <v>1</v>
      </c>
    </row>
    <row r="62" spans="2:7" x14ac:dyDescent="0.2">
      <c r="B62" t="s">
        <v>5</v>
      </c>
      <c r="C62" t="s">
        <v>15</v>
      </c>
      <c r="F62" t="s">
        <v>12</v>
      </c>
      <c r="G62">
        <f t="shared" si="2"/>
        <v>1</v>
      </c>
    </row>
    <row r="63" spans="2:7" x14ac:dyDescent="0.2">
      <c r="B63" t="s">
        <v>5</v>
      </c>
      <c r="C63" t="s">
        <v>15</v>
      </c>
      <c r="F63" t="s">
        <v>62</v>
      </c>
      <c r="G63">
        <f t="shared" si="2"/>
        <v>1</v>
      </c>
    </row>
    <row r="64" spans="2:7" x14ac:dyDescent="0.2">
      <c r="B64" t="s">
        <v>5</v>
      </c>
      <c r="C64" s="1" t="s">
        <v>15</v>
      </c>
      <c r="F64" t="s">
        <v>60</v>
      </c>
      <c r="G64">
        <f t="shared" si="2"/>
        <v>1</v>
      </c>
    </row>
    <row r="65" spans="2:7" x14ac:dyDescent="0.2">
      <c r="B65" t="s">
        <v>5</v>
      </c>
      <c r="C65" s="1" t="s">
        <v>15</v>
      </c>
      <c r="F65" t="s">
        <v>85</v>
      </c>
      <c r="G65">
        <f t="shared" si="2"/>
        <v>1</v>
      </c>
    </row>
    <row r="66" spans="2:7" x14ac:dyDescent="0.2">
      <c r="B66" t="s">
        <v>69</v>
      </c>
      <c r="C66" s="1" t="s">
        <v>15</v>
      </c>
      <c r="F66" t="s">
        <v>86</v>
      </c>
      <c r="G66">
        <f t="shared" ref="G66:G75" si="3">COUNTIF($B$3:$B$212,F66)</f>
        <v>1</v>
      </c>
    </row>
    <row r="67" spans="2:7" x14ac:dyDescent="0.2">
      <c r="B67" t="s">
        <v>28</v>
      </c>
      <c r="C67" t="s">
        <v>15</v>
      </c>
      <c r="F67" t="s">
        <v>64</v>
      </c>
      <c r="G67">
        <f t="shared" si="3"/>
        <v>1</v>
      </c>
    </row>
    <row r="68" spans="2:7" x14ac:dyDescent="0.2">
      <c r="B68" t="s">
        <v>1</v>
      </c>
      <c r="C68" t="s">
        <v>15</v>
      </c>
      <c r="F68" t="s">
        <v>11</v>
      </c>
      <c r="G68">
        <f t="shared" si="3"/>
        <v>1</v>
      </c>
    </row>
    <row r="69" spans="2:7" x14ac:dyDescent="0.2">
      <c r="B69" t="s">
        <v>1</v>
      </c>
      <c r="C69" t="s">
        <v>15</v>
      </c>
      <c r="F69" t="s">
        <v>58</v>
      </c>
      <c r="G69">
        <f t="shared" si="3"/>
        <v>1</v>
      </c>
    </row>
    <row r="70" spans="2:7" x14ac:dyDescent="0.2">
      <c r="B70" t="s">
        <v>1</v>
      </c>
      <c r="C70" t="s">
        <v>15</v>
      </c>
      <c r="F70" t="s">
        <v>50</v>
      </c>
      <c r="G70">
        <f t="shared" si="3"/>
        <v>1</v>
      </c>
    </row>
    <row r="71" spans="2:7" x14ac:dyDescent="0.2">
      <c r="B71" t="s">
        <v>1</v>
      </c>
      <c r="C71" t="s">
        <v>15</v>
      </c>
      <c r="F71" t="s">
        <v>20</v>
      </c>
      <c r="G71">
        <f t="shared" si="3"/>
        <v>1</v>
      </c>
    </row>
    <row r="72" spans="2:7" x14ac:dyDescent="0.2">
      <c r="B72" t="s">
        <v>1</v>
      </c>
      <c r="C72" s="1" t="s">
        <v>15</v>
      </c>
      <c r="F72" t="s">
        <v>53</v>
      </c>
      <c r="G72">
        <f t="shared" si="3"/>
        <v>1</v>
      </c>
    </row>
    <row r="73" spans="2:7" x14ac:dyDescent="0.2">
      <c r="B73" t="s">
        <v>1</v>
      </c>
      <c r="C73" s="1" t="s">
        <v>15</v>
      </c>
      <c r="F73" t="s">
        <v>79</v>
      </c>
      <c r="G73">
        <f t="shared" si="3"/>
        <v>1</v>
      </c>
    </row>
    <row r="74" spans="2:7" x14ac:dyDescent="0.2">
      <c r="B74" t="s">
        <v>1</v>
      </c>
      <c r="C74" s="1" t="s">
        <v>15</v>
      </c>
      <c r="F74" t="s">
        <v>44</v>
      </c>
      <c r="G74">
        <f t="shared" si="3"/>
        <v>1</v>
      </c>
    </row>
    <row r="75" spans="2:7" x14ac:dyDescent="0.2">
      <c r="B75" t="s">
        <v>1</v>
      </c>
      <c r="C75" s="1" t="s">
        <v>15</v>
      </c>
      <c r="F75" t="s">
        <v>43</v>
      </c>
      <c r="G75">
        <f t="shared" si="3"/>
        <v>1</v>
      </c>
    </row>
    <row r="76" spans="2:7" x14ac:dyDescent="0.2">
      <c r="B76" t="s">
        <v>40</v>
      </c>
      <c r="C76" t="s">
        <v>24</v>
      </c>
    </row>
    <row r="77" spans="2:7" x14ac:dyDescent="0.2">
      <c r="B77" t="s">
        <v>40</v>
      </c>
      <c r="C77" t="s">
        <v>24</v>
      </c>
    </row>
    <row r="78" spans="2:7" x14ac:dyDescent="0.2">
      <c r="B78" t="s">
        <v>40</v>
      </c>
      <c r="C78" t="s">
        <v>24</v>
      </c>
    </row>
    <row r="79" spans="2:7" x14ac:dyDescent="0.2">
      <c r="B79" t="s">
        <v>40</v>
      </c>
      <c r="C79" s="1" t="s">
        <v>24</v>
      </c>
    </row>
    <row r="80" spans="2:7" x14ac:dyDescent="0.2">
      <c r="B80" t="s">
        <v>40</v>
      </c>
      <c r="C80" t="s">
        <v>24</v>
      </c>
    </row>
    <row r="81" spans="2:3" x14ac:dyDescent="0.2">
      <c r="B81" t="s">
        <v>8</v>
      </c>
      <c r="C81" t="s">
        <v>15</v>
      </c>
    </row>
    <row r="82" spans="2:3" x14ac:dyDescent="0.2">
      <c r="B82" t="s">
        <v>8</v>
      </c>
      <c r="C82" t="s">
        <v>15</v>
      </c>
    </row>
    <row r="83" spans="2:3" x14ac:dyDescent="0.2">
      <c r="B83" t="s">
        <v>10</v>
      </c>
      <c r="C83" t="s">
        <v>15</v>
      </c>
    </row>
    <row r="84" spans="2:3" x14ac:dyDescent="0.2">
      <c r="B84" t="s">
        <v>10</v>
      </c>
      <c r="C84" t="s">
        <v>15</v>
      </c>
    </row>
    <row r="85" spans="2:3" x14ac:dyDescent="0.2">
      <c r="B85" t="s">
        <v>10</v>
      </c>
      <c r="C85" t="s">
        <v>15</v>
      </c>
    </row>
    <row r="86" spans="2:3" x14ac:dyDescent="0.2">
      <c r="B86" t="s">
        <v>10</v>
      </c>
      <c r="C86" t="s">
        <v>15</v>
      </c>
    </row>
    <row r="87" spans="2:3" x14ac:dyDescent="0.2">
      <c r="B87" t="s">
        <v>10</v>
      </c>
      <c r="C87" t="s">
        <v>15</v>
      </c>
    </row>
    <row r="88" spans="2:3" x14ac:dyDescent="0.2">
      <c r="B88" t="s">
        <v>10</v>
      </c>
      <c r="C88" t="s">
        <v>15</v>
      </c>
    </row>
    <row r="89" spans="2:3" x14ac:dyDescent="0.2">
      <c r="B89" t="s">
        <v>10</v>
      </c>
      <c r="C89" t="s">
        <v>15</v>
      </c>
    </row>
    <row r="90" spans="2:3" x14ac:dyDescent="0.2">
      <c r="B90" t="s">
        <v>10</v>
      </c>
      <c r="C90" t="s">
        <v>15</v>
      </c>
    </row>
    <row r="91" spans="2:3" x14ac:dyDescent="0.2">
      <c r="B91" t="s">
        <v>10</v>
      </c>
      <c r="C91" t="s">
        <v>15</v>
      </c>
    </row>
    <row r="92" spans="2:3" x14ac:dyDescent="0.2">
      <c r="B92" t="s">
        <v>10</v>
      </c>
      <c r="C92" t="s">
        <v>15</v>
      </c>
    </row>
    <row r="93" spans="2:3" x14ac:dyDescent="0.2">
      <c r="B93" t="s">
        <v>10</v>
      </c>
      <c r="C93" t="s">
        <v>15</v>
      </c>
    </row>
    <row r="94" spans="2:3" x14ac:dyDescent="0.2">
      <c r="B94" t="s">
        <v>10</v>
      </c>
      <c r="C94" s="1" t="s">
        <v>15</v>
      </c>
    </row>
    <row r="95" spans="2:3" x14ac:dyDescent="0.2">
      <c r="B95" t="s">
        <v>10</v>
      </c>
      <c r="C95" s="1" t="s">
        <v>15</v>
      </c>
    </row>
    <row r="96" spans="2:3" x14ac:dyDescent="0.2">
      <c r="B96" t="s">
        <v>10</v>
      </c>
      <c r="C96" s="1" t="s">
        <v>15</v>
      </c>
    </row>
    <row r="97" spans="2:4" x14ac:dyDescent="0.2">
      <c r="B97" t="s">
        <v>10</v>
      </c>
      <c r="C97" s="1" t="s">
        <v>15</v>
      </c>
    </row>
    <row r="98" spans="2:4" x14ac:dyDescent="0.2">
      <c r="B98" t="s">
        <v>70</v>
      </c>
      <c r="C98" s="1" t="s">
        <v>71</v>
      </c>
      <c r="D98" t="s">
        <v>70</v>
      </c>
    </row>
    <row r="99" spans="2:4" x14ac:dyDescent="0.2">
      <c r="B99" t="s">
        <v>29</v>
      </c>
      <c r="C99" t="s">
        <v>15</v>
      </c>
      <c r="D99" t="s">
        <v>29</v>
      </c>
    </row>
    <row r="100" spans="2:4" x14ac:dyDescent="0.2">
      <c r="B100" t="s">
        <v>84</v>
      </c>
      <c r="C100" s="1" t="s">
        <v>15</v>
      </c>
    </row>
    <row r="101" spans="2:4" x14ac:dyDescent="0.2">
      <c r="B101" t="s">
        <v>84</v>
      </c>
      <c r="C101" s="1" t="s">
        <v>15</v>
      </c>
    </row>
    <row r="102" spans="2:4" x14ac:dyDescent="0.2">
      <c r="B102" t="s">
        <v>21</v>
      </c>
      <c r="C102" t="s">
        <v>15</v>
      </c>
      <c r="D102" t="s">
        <v>21</v>
      </c>
    </row>
    <row r="103" spans="2:4" x14ac:dyDescent="0.2">
      <c r="B103" t="s">
        <v>21</v>
      </c>
      <c r="C103" s="1" t="s">
        <v>15</v>
      </c>
    </row>
    <row r="104" spans="2:4" x14ac:dyDescent="0.2">
      <c r="B104" t="s">
        <v>18</v>
      </c>
      <c r="C104" t="s">
        <v>15</v>
      </c>
      <c r="D104" t="s">
        <v>18</v>
      </c>
    </row>
    <row r="105" spans="2:4" x14ac:dyDescent="0.2">
      <c r="B105" t="s">
        <v>18</v>
      </c>
      <c r="C105" t="s">
        <v>15</v>
      </c>
    </row>
    <row r="106" spans="2:4" x14ac:dyDescent="0.2">
      <c r="B106" t="s">
        <v>18</v>
      </c>
      <c r="C106" t="s">
        <v>15</v>
      </c>
    </row>
    <row r="107" spans="2:4" x14ac:dyDescent="0.2">
      <c r="B107" t="s">
        <v>18</v>
      </c>
      <c r="C107" t="s">
        <v>15</v>
      </c>
    </row>
    <row r="108" spans="2:4" x14ac:dyDescent="0.2">
      <c r="B108" t="s">
        <v>18</v>
      </c>
      <c r="C108" s="1" t="s">
        <v>15</v>
      </c>
    </row>
    <row r="109" spans="2:4" x14ac:dyDescent="0.2">
      <c r="B109" t="s">
        <v>18</v>
      </c>
      <c r="C109" s="1" t="s">
        <v>15</v>
      </c>
    </row>
    <row r="110" spans="2:4" x14ac:dyDescent="0.2">
      <c r="B110" t="s">
        <v>56</v>
      </c>
      <c r="C110" s="1" t="s">
        <v>15</v>
      </c>
      <c r="D110" t="s">
        <v>56</v>
      </c>
    </row>
    <row r="111" spans="2:4" x14ac:dyDescent="0.2">
      <c r="B111" t="s">
        <v>56</v>
      </c>
      <c r="C111" s="1" t="s">
        <v>15</v>
      </c>
    </row>
    <row r="112" spans="2:4" x14ac:dyDescent="0.2">
      <c r="B112" t="s">
        <v>56</v>
      </c>
      <c r="C112" s="1" t="s">
        <v>15</v>
      </c>
    </row>
    <row r="113" spans="2:4" x14ac:dyDescent="0.2">
      <c r="B113" t="s">
        <v>56</v>
      </c>
      <c r="C113" s="1" t="s">
        <v>15</v>
      </c>
    </row>
    <row r="114" spans="2:4" x14ac:dyDescent="0.2">
      <c r="B114" t="s">
        <v>6</v>
      </c>
      <c r="C114" t="s">
        <v>15</v>
      </c>
      <c r="D114" t="s">
        <v>6</v>
      </c>
    </row>
    <row r="115" spans="2:4" x14ac:dyDescent="0.2">
      <c r="B115" t="s">
        <v>6</v>
      </c>
      <c r="C115" t="s">
        <v>15</v>
      </c>
    </row>
    <row r="116" spans="2:4" x14ac:dyDescent="0.2">
      <c r="B116" t="s">
        <v>6</v>
      </c>
      <c r="C116" t="s">
        <v>15</v>
      </c>
    </row>
    <row r="117" spans="2:4" x14ac:dyDescent="0.2">
      <c r="B117" t="s">
        <v>6</v>
      </c>
      <c r="C117" t="s">
        <v>15</v>
      </c>
    </row>
    <row r="118" spans="2:4" x14ac:dyDescent="0.2">
      <c r="B118" t="s">
        <v>6</v>
      </c>
      <c r="C118" t="s">
        <v>15</v>
      </c>
    </row>
    <row r="119" spans="2:4" x14ac:dyDescent="0.2">
      <c r="B119" t="s">
        <v>6</v>
      </c>
      <c r="C119" s="1" t="s">
        <v>15</v>
      </c>
    </row>
    <row r="120" spans="2:4" x14ac:dyDescent="0.2">
      <c r="B120" t="s">
        <v>6</v>
      </c>
      <c r="C120" s="1" t="s">
        <v>15</v>
      </c>
    </row>
    <row r="121" spans="2:4" x14ac:dyDescent="0.2">
      <c r="B121" t="s">
        <v>6</v>
      </c>
      <c r="C121" s="1" t="s">
        <v>15</v>
      </c>
    </row>
    <row r="122" spans="2:4" x14ac:dyDescent="0.2">
      <c r="B122" t="s">
        <v>35</v>
      </c>
      <c r="C122" t="s">
        <v>15</v>
      </c>
    </row>
    <row r="123" spans="2:4" x14ac:dyDescent="0.2">
      <c r="B123" t="s">
        <v>35</v>
      </c>
      <c r="C123" s="1" t="s">
        <v>15</v>
      </c>
      <c r="D123" t="s">
        <v>35</v>
      </c>
    </row>
    <row r="124" spans="2:4" x14ac:dyDescent="0.2">
      <c r="B124" t="s">
        <v>30</v>
      </c>
      <c r="C124" t="s">
        <v>15</v>
      </c>
    </row>
    <row r="125" spans="2:4" x14ac:dyDescent="0.2">
      <c r="B125" t="s">
        <v>26</v>
      </c>
      <c r="C125" t="s">
        <v>15</v>
      </c>
      <c r="D125" t="s">
        <v>26</v>
      </c>
    </row>
    <row r="126" spans="2:4" x14ac:dyDescent="0.2">
      <c r="B126" t="s">
        <v>19</v>
      </c>
      <c r="C126" t="s">
        <v>15</v>
      </c>
      <c r="D126" t="s">
        <v>19</v>
      </c>
    </row>
    <row r="127" spans="2:4" x14ac:dyDescent="0.2">
      <c r="B127" t="s">
        <v>2</v>
      </c>
      <c r="C127" t="s">
        <v>15</v>
      </c>
      <c r="D127" t="s">
        <v>2</v>
      </c>
    </row>
    <row r="128" spans="2:4" x14ac:dyDescent="0.2">
      <c r="B128" t="s">
        <v>2</v>
      </c>
      <c r="C128" t="s">
        <v>15</v>
      </c>
    </row>
    <row r="129" spans="2:4" x14ac:dyDescent="0.2">
      <c r="B129" t="s">
        <v>2</v>
      </c>
      <c r="C129" t="s">
        <v>15</v>
      </c>
    </row>
    <row r="130" spans="2:4" x14ac:dyDescent="0.2">
      <c r="B130" t="s">
        <v>2</v>
      </c>
      <c r="C130" t="s">
        <v>15</v>
      </c>
    </row>
    <row r="131" spans="2:4" x14ac:dyDescent="0.2">
      <c r="B131" t="s">
        <v>2</v>
      </c>
      <c r="C131" s="1" t="s">
        <v>15</v>
      </c>
    </row>
    <row r="132" spans="2:4" x14ac:dyDescent="0.2">
      <c r="B132" t="s">
        <v>2</v>
      </c>
      <c r="C132" s="1" t="s">
        <v>15</v>
      </c>
    </row>
    <row r="133" spans="2:4" x14ac:dyDescent="0.2">
      <c r="B133" t="s">
        <v>2</v>
      </c>
      <c r="C133" s="1" t="s">
        <v>15</v>
      </c>
    </row>
    <row r="134" spans="2:4" x14ac:dyDescent="0.2">
      <c r="B134" t="s">
        <v>2</v>
      </c>
      <c r="C134" s="1" t="s">
        <v>15</v>
      </c>
    </row>
    <row r="135" spans="2:4" x14ac:dyDescent="0.2">
      <c r="B135" t="s">
        <v>42</v>
      </c>
      <c r="C135" t="s">
        <v>15</v>
      </c>
      <c r="D135" t="s">
        <v>42</v>
      </c>
    </row>
    <row r="136" spans="2:4" x14ac:dyDescent="0.2">
      <c r="B136" t="s">
        <v>3</v>
      </c>
      <c r="C136" t="s">
        <v>15</v>
      </c>
      <c r="D136" t="s">
        <v>3</v>
      </c>
    </row>
    <row r="137" spans="2:4" x14ac:dyDescent="0.2">
      <c r="B137" t="s">
        <v>80</v>
      </c>
      <c r="C137" s="1" t="s">
        <v>15</v>
      </c>
      <c r="D137" t="s">
        <v>80</v>
      </c>
    </row>
    <row r="138" spans="2:4" x14ac:dyDescent="0.2">
      <c r="B138" t="s">
        <v>78</v>
      </c>
      <c r="C138" s="1" t="s">
        <v>15</v>
      </c>
      <c r="D138" t="s">
        <v>78</v>
      </c>
    </row>
    <row r="139" spans="2:4" x14ac:dyDescent="0.2">
      <c r="B139" t="s">
        <v>34</v>
      </c>
      <c r="C139" t="s">
        <v>15</v>
      </c>
      <c r="D139" t="s">
        <v>34</v>
      </c>
    </row>
    <row r="140" spans="2:4" x14ac:dyDescent="0.2">
      <c r="B140" t="s">
        <v>39</v>
      </c>
      <c r="C140" t="s">
        <v>15</v>
      </c>
      <c r="D140" t="s">
        <v>39</v>
      </c>
    </row>
    <row r="141" spans="2:4" x14ac:dyDescent="0.2">
      <c r="B141" t="s">
        <v>39</v>
      </c>
      <c r="C141" s="1" t="s">
        <v>15</v>
      </c>
    </row>
    <row r="142" spans="2:4" x14ac:dyDescent="0.2">
      <c r="B142" t="s">
        <v>13</v>
      </c>
      <c r="C142" t="s">
        <v>16</v>
      </c>
      <c r="D142" t="s">
        <v>13</v>
      </c>
    </row>
    <row r="143" spans="2:4" x14ac:dyDescent="0.2">
      <c r="B143" t="s">
        <v>57</v>
      </c>
      <c r="C143" s="1" t="s">
        <v>15</v>
      </c>
      <c r="D143" t="s">
        <v>57</v>
      </c>
    </row>
    <row r="144" spans="2:4" x14ac:dyDescent="0.2">
      <c r="B144" t="s">
        <v>57</v>
      </c>
      <c r="C144" s="1" t="s">
        <v>15</v>
      </c>
    </row>
    <row r="145" spans="2:4" x14ac:dyDescent="0.2">
      <c r="B145" t="s">
        <v>57</v>
      </c>
      <c r="C145" s="1" t="s">
        <v>15</v>
      </c>
    </row>
    <row r="146" spans="2:4" x14ac:dyDescent="0.2">
      <c r="B146" t="s">
        <v>57</v>
      </c>
      <c r="C146" s="1" t="s">
        <v>15</v>
      </c>
    </row>
    <row r="147" spans="2:4" x14ac:dyDescent="0.2">
      <c r="B147" t="s">
        <v>87</v>
      </c>
      <c r="C147" t="s">
        <v>16</v>
      </c>
      <c r="D147" t="s">
        <v>87</v>
      </c>
    </row>
    <row r="148" spans="2:4" x14ac:dyDescent="0.2">
      <c r="B148" t="s">
        <v>88</v>
      </c>
      <c r="C148" t="s">
        <v>15</v>
      </c>
      <c r="D148" t="s">
        <v>33</v>
      </c>
    </row>
    <row r="149" spans="2:4" x14ac:dyDescent="0.2">
      <c r="B149" t="s">
        <v>38</v>
      </c>
      <c r="C149" t="s">
        <v>15</v>
      </c>
      <c r="D149" t="s">
        <v>38</v>
      </c>
    </row>
    <row r="150" spans="2:4" x14ac:dyDescent="0.2">
      <c r="B150" t="s">
        <v>38</v>
      </c>
      <c r="C150" t="s">
        <v>15</v>
      </c>
    </row>
    <row r="151" spans="2:4" x14ac:dyDescent="0.2">
      <c r="B151" t="s">
        <v>38</v>
      </c>
      <c r="C151" s="1" t="s">
        <v>15</v>
      </c>
    </row>
    <row r="152" spans="2:4" x14ac:dyDescent="0.2">
      <c r="B152" t="s">
        <v>38</v>
      </c>
      <c r="C152" s="1" t="s">
        <v>15</v>
      </c>
    </row>
    <row r="153" spans="2:4" x14ac:dyDescent="0.2">
      <c r="B153" t="s">
        <v>12</v>
      </c>
      <c r="C153" t="s">
        <v>15</v>
      </c>
      <c r="D153" t="s">
        <v>12</v>
      </c>
    </row>
    <row r="154" spans="2:4" x14ac:dyDescent="0.2">
      <c r="B154" t="s">
        <v>62</v>
      </c>
      <c r="C154" t="s">
        <v>63</v>
      </c>
      <c r="D154" t="s">
        <v>62</v>
      </c>
    </row>
    <row r="155" spans="2:4" x14ac:dyDescent="0.2">
      <c r="B155" t="s">
        <v>60</v>
      </c>
      <c r="C155" s="1" t="s">
        <v>15</v>
      </c>
      <c r="D155" t="s">
        <v>60</v>
      </c>
    </row>
    <row r="156" spans="2:4" x14ac:dyDescent="0.2">
      <c r="B156" t="s">
        <v>41</v>
      </c>
      <c r="C156" t="s">
        <v>15</v>
      </c>
      <c r="D156" t="s">
        <v>41</v>
      </c>
    </row>
    <row r="157" spans="2:4" x14ac:dyDescent="0.2">
      <c r="B157" t="s">
        <v>41</v>
      </c>
      <c r="C157" s="1" t="s">
        <v>15</v>
      </c>
    </row>
    <row r="158" spans="2:4" x14ac:dyDescent="0.2">
      <c r="B158" t="s">
        <v>85</v>
      </c>
      <c r="C158" s="1" t="s">
        <v>15</v>
      </c>
      <c r="D158" t="s">
        <v>85</v>
      </c>
    </row>
    <row r="159" spans="2:4" x14ac:dyDescent="0.2">
      <c r="B159" t="s">
        <v>86</v>
      </c>
      <c r="C159" s="1" t="s">
        <v>15</v>
      </c>
      <c r="D159" t="s">
        <v>86</v>
      </c>
    </row>
    <row r="160" spans="2:4" x14ac:dyDescent="0.2">
      <c r="B160" t="s">
        <v>4</v>
      </c>
      <c r="C160" t="s">
        <v>15</v>
      </c>
      <c r="D160" t="s">
        <v>4</v>
      </c>
    </row>
    <row r="161" spans="2:3" x14ac:dyDescent="0.2">
      <c r="B161" t="s">
        <v>4</v>
      </c>
      <c r="C161" t="s">
        <v>15</v>
      </c>
    </row>
    <row r="162" spans="2:3" x14ac:dyDescent="0.2">
      <c r="B162" t="s">
        <v>4</v>
      </c>
      <c r="C162" t="s">
        <v>15</v>
      </c>
    </row>
    <row r="163" spans="2:3" x14ac:dyDescent="0.2">
      <c r="B163" t="s">
        <v>4</v>
      </c>
      <c r="C163" t="s">
        <v>15</v>
      </c>
    </row>
    <row r="164" spans="2:3" x14ac:dyDescent="0.2">
      <c r="B164" t="s">
        <v>4</v>
      </c>
      <c r="C164" t="s">
        <v>15</v>
      </c>
    </row>
    <row r="165" spans="2:3" x14ac:dyDescent="0.2">
      <c r="B165" t="s">
        <v>4</v>
      </c>
      <c r="C165" t="s">
        <v>15</v>
      </c>
    </row>
    <row r="166" spans="2:3" x14ac:dyDescent="0.2">
      <c r="B166" t="s">
        <v>4</v>
      </c>
      <c r="C166" t="s">
        <v>15</v>
      </c>
    </row>
    <row r="167" spans="2:3" x14ac:dyDescent="0.2">
      <c r="B167" t="s">
        <v>4</v>
      </c>
      <c r="C167" t="s">
        <v>15</v>
      </c>
    </row>
    <row r="168" spans="2:3" x14ac:dyDescent="0.2">
      <c r="B168" t="s">
        <v>4</v>
      </c>
      <c r="C168" t="s">
        <v>15</v>
      </c>
    </row>
    <row r="169" spans="2:3" x14ac:dyDescent="0.2">
      <c r="B169" t="s">
        <v>4</v>
      </c>
      <c r="C169" t="s">
        <v>15</v>
      </c>
    </row>
    <row r="170" spans="2:3" x14ac:dyDescent="0.2">
      <c r="B170" t="s">
        <v>4</v>
      </c>
      <c r="C170" t="s">
        <v>15</v>
      </c>
    </row>
    <row r="171" spans="2:3" x14ac:dyDescent="0.2">
      <c r="B171" t="s">
        <v>4</v>
      </c>
      <c r="C171" t="s">
        <v>15</v>
      </c>
    </row>
    <row r="172" spans="2:3" x14ac:dyDescent="0.2">
      <c r="B172" t="s">
        <v>4</v>
      </c>
      <c r="C172" t="s">
        <v>15</v>
      </c>
    </row>
    <row r="173" spans="2:3" x14ac:dyDescent="0.2">
      <c r="B173" t="s">
        <v>4</v>
      </c>
      <c r="C173" t="s">
        <v>15</v>
      </c>
    </row>
    <row r="174" spans="2:3" x14ac:dyDescent="0.2">
      <c r="B174" t="s">
        <v>4</v>
      </c>
      <c r="C174" t="s">
        <v>15</v>
      </c>
    </row>
    <row r="175" spans="2:3" x14ac:dyDescent="0.2">
      <c r="B175" t="s">
        <v>4</v>
      </c>
      <c r="C175" t="s">
        <v>15</v>
      </c>
    </row>
    <row r="176" spans="2:3" x14ac:dyDescent="0.2">
      <c r="B176" t="s">
        <v>4</v>
      </c>
      <c r="C176" t="s">
        <v>15</v>
      </c>
    </row>
    <row r="177" spans="2:3" x14ac:dyDescent="0.2">
      <c r="B177" t="s">
        <v>4</v>
      </c>
      <c r="C177" t="s">
        <v>15</v>
      </c>
    </row>
    <row r="178" spans="2:3" x14ac:dyDescent="0.2">
      <c r="B178" t="s">
        <v>4</v>
      </c>
      <c r="C178" t="s">
        <v>15</v>
      </c>
    </row>
    <row r="179" spans="2:3" x14ac:dyDescent="0.2">
      <c r="B179" t="s">
        <v>4</v>
      </c>
      <c r="C179" t="s">
        <v>15</v>
      </c>
    </row>
    <row r="180" spans="2:3" x14ac:dyDescent="0.2">
      <c r="B180" t="s">
        <v>4</v>
      </c>
      <c r="C180" t="s">
        <v>15</v>
      </c>
    </row>
    <row r="181" spans="2:3" x14ac:dyDescent="0.2">
      <c r="B181" t="s">
        <v>4</v>
      </c>
      <c r="C181" s="1" t="s">
        <v>15</v>
      </c>
    </row>
    <row r="182" spans="2:3" x14ac:dyDescent="0.2">
      <c r="B182" t="s">
        <v>4</v>
      </c>
      <c r="C182" s="1" t="s">
        <v>15</v>
      </c>
    </row>
    <row r="183" spans="2:3" x14ac:dyDescent="0.2">
      <c r="B183" t="s">
        <v>4</v>
      </c>
      <c r="C183" s="1" t="s">
        <v>15</v>
      </c>
    </row>
    <row r="184" spans="2:3" x14ac:dyDescent="0.2">
      <c r="B184" t="s">
        <v>4</v>
      </c>
      <c r="C184" s="1" t="s">
        <v>15</v>
      </c>
    </row>
    <row r="185" spans="2:3" x14ac:dyDescent="0.2">
      <c r="B185" t="s">
        <v>4</v>
      </c>
      <c r="C185" s="1" t="s">
        <v>15</v>
      </c>
    </row>
    <row r="186" spans="2:3" x14ac:dyDescent="0.2">
      <c r="B186" t="s">
        <v>4</v>
      </c>
      <c r="C186" s="1" t="s">
        <v>15</v>
      </c>
    </row>
    <row r="187" spans="2:3" x14ac:dyDescent="0.2">
      <c r="B187" t="s">
        <v>4</v>
      </c>
      <c r="C187" s="1" t="s">
        <v>15</v>
      </c>
    </row>
    <row r="188" spans="2:3" x14ac:dyDescent="0.2">
      <c r="B188" t="s">
        <v>4</v>
      </c>
      <c r="C188" s="1" t="s">
        <v>15</v>
      </c>
    </row>
    <row r="189" spans="2:3" x14ac:dyDescent="0.2">
      <c r="B189" t="s">
        <v>4</v>
      </c>
      <c r="C189" s="1" t="s">
        <v>15</v>
      </c>
    </row>
    <row r="190" spans="2:3" x14ac:dyDescent="0.2">
      <c r="B190" t="s">
        <v>4</v>
      </c>
      <c r="C190" s="1" t="s">
        <v>15</v>
      </c>
    </row>
    <row r="191" spans="2:3" x14ac:dyDescent="0.2">
      <c r="B191" t="s">
        <v>4</v>
      </c>
      <c r="C191" s="1" t="s">
        <v>15</v>
      </c>
    </row>
    <row r="192" spans="2:3" x14ac:dyDescent="0.2">
      <c r="B192" t="s">
        <v>4</v>
      </c>
      <c r="C192" s="1" t="s">
        <v>15</v>
      </c>
    </row>
    <row r="193" spans="2:4" x14ac:dyDescent="0.2">
      <c r="B193" t="s">
        <v>52</v>
      </c>
      <c r="C193" t="s">
        <v>15</v>
      </c>
    </row>
    <row r="194" spans="2:4" x14ac:dyDescent="0.2">
      <c r="B194" t="s">
        <v>64</v>
      </c>
      <c r="C194" s="1" t="s">
        <v>15</v>
      </c>
      <c r="D194" t="s">
        <v>64</v>
      </c>
    </row>
    <row r="195" spans="2:4" x14ac:dyDescent="0.2">
      <c r="B195" t="s">
        <v>23</v>
      </c>
      <c r="C195" t="s">
        <v>24</v>
      </c>
      <c r="D195" t="s">
        <v>23</v>
      </c>
    </row>
    <row r="196" spans="2:4" x14ac:dyDescent="0.2">
      <c r="B196" t="s">
        <v>23</v>
      </c>
      <c r="C196" t="s">
        <v>24</v>
      </c>
    </row>
    <row r="197" spans="2:4" x14ac:dyDescent="0.2">
      <c r="B197" t="s">
        <v>23</v>
      </c>
      <c r="C197" t="s">
        <v>24</v>
      </c>
    </row>
    <row r="198" spans="2:4" x14ac:dyDescent="0.2">
      <c r="B198" t="s">
        <v>11</v>
      </c>
      <c r="C198" t="s">
        <v>15</v>
      </c>
      <c r="D198" t="s">
        <v>11</v>
      </c>
    </row>
    <row r="199" spans="2:4" x14ac:dyDescent="0.2">
      <c r="B199" t="s">
        <v>46</v>
      </c>
      <c r="C199" t="s">
        <v>24</v>
      </c>
      <c r="D199" t="s">
        <v>46</v>
      </c>
    </row>
    <row r="200" spans="2:4" x14ac:dyDescent="0.2">
      <c r="B200" t="s">
        <v>46</v>
      </c>
      <c r="C200" t="s">
        <v>24</v>
      </c>
    </row>
    <row r="201" spans="2:4" x14ac:dyDescent="0.2">
      <c r="B201" t="s">
        <v>46</v>
      </c>
      <c r="C201" t="s">
        <v>24</v>
      </c>
    </row>
    <row r="202" spans="2:4" x14ac:dyDescent="0.2">
      <c r="B202" t="s">
        <v>58</v>
      </c>
      <c r="C202" s="1" t="s">
        <v>15</v>
      </c>
      <c r="D202" t="s">
        <v>58</v>
      </c>
    </row>
    <row r="203" spans="2:4" x14ac:dyDescent="0.2">
      <c r="B203" t="s">
        <v>50</v>
      </c>
      <c r="C203" t="s">
        <v>15</v>
      </c>
      <c r="D203" t="s">
        <v>50</v>
      </c>
    </row>
    <row r="204" spans="2:4" x14ac:dyDescent="0.2">
      <c r="B204" t="s">
        <v>7</v>
      </c>
      <c r="C204" t="s">
        <v>15</v>
      </c>
      <c r="D204" t="s">
        <v>7</v>
      </c>
    </row>
    <row r="205" spans="2:4" x14ac:dyDescent="0.2">
      <c r="B205" t="s">
        <v>7</v>
      </c>
      <c r="C205" s="1" t="s">
        <v>15</v>
      </c>
    </row>
    <row r="206" spans="2:4" x14ac:dyDescent="0.2">
      <c r="B206" t="s">
        <v>20</v>
      </c>
      <c r="C206" t="s">
        <v>15</v>
      </c>
      <c r="D206" t="s">
        <v>20</v>
      </c>
    </row>
    <row r="207" spans="2:4" x14ac:dyDescent="0.2">
      <c r="B207" t="s">
        <v>48</v>
      </c>
      <c r="C207" t="s">
        <v>15</v>
      </c>
      <c r="D207" t="s">
        <v>48</v>
      </c>
    </row>
    <row r="208" spans="2:4" x14ac:dyDescent="0.2">
      <c r="B208" t="s">
        <v>48</v>
      </c>
      <c r="C208" s="1" t="s">
        <v>15</v>
      </c>
    </row>
    <row r="209" spans="2:4" x14ac:dyDescent="0.2">
      <c r="B209" t="s">
        <v>53</v>
      </c>
      <c r="C209" t="s">
        <v>15</v>
      </c>
      <c r="D209" t="s">
        <v>53</v>
      </c>
    </row>
    <row r="210" spans="2:4" x14ac:dyDescent="0.2">
      <c r="B210" t="s">
        <v>79</v>
      </c>
      <c r="C210" s="1" t="s">
        <v>15</v>
      </c>
      <c r="D210" t="s">
        <v>79</v>
      </c>
    </row>
    <row r="211" spans="2:4" x14ac:dyDescent="0.2">
      <c r="B211" t="s">
        <v>44</v>
      </c>
      <c r="C211" t="s">
        <v>45</v>
      </c>
      <c r="D211" t="s">
        <v>44</v>
      </c>
    </row>
    <row r="212" spans="2:4" x14ac:dyDescent="0.2">
      <c r="B212" t="s">
        <v>43</v>
      </c>
      <c r="C212" t="s">
        <v>15</v>
      </c>
      <c r="D212" t="s">
        <v>43</v>
      </c>
    </row>
  </sheetData>
  <autoFilter ref="F2:G2" xr:uid="{FBD1B0E4-3FA1-F549-839C-C48373B2A1B3}">
    <sortState xmlns:xlrd2="http://schemas.microsoft.com/office/spreadsheetml/2017/richdata2" ref="F3:G76">
      <sortCondition descending="1" ref="G2:G76"/>
    </sortState>
  </autoFilter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FC699-5AB1-614F-8F67-1935BCE1F347}">
  <dimension ref="B2:L67"/>
  <sheetViews>
    <sheetView tabSelected="1" topLeftCell="A22" zoomScale="85" workbookViewId="0">
      <selection activeCell="D29" sqref="D29"/>
    </sheetView>
  </sheetViews>
  <sheetFormatPr baseColWidth="10" defaultRowHeight="15" x14ac:dyDescent="0.2"/>
  <cols>
    <col min="1" max="1" width="4.5" style="2" customWidth="1"/>
    <col min="2" max="2" width="37.33203125" style="2" bestFit="1" customWidth="1"/>
    <col min="3" max="3" width="19" style="2" bestFit="1" customWidth="1"/>
    <col min="4" max="4" width="18.83203125" style="2" bestFit="1" customWidth="1"/>
    <col min="5" max="5" width="11" style="2" bestFit="1" customWidth="1"/>
    <col min="6" max="6" width="13.6640625" style="2" bestFit="1" customWidth="1"/>
    <col min="7" max="7" width="11" style="2" bestFit="1" customWidth="1"/>
    <col min="8" max="8" width="19" style="2" bestFit="1" customWidth="1"/>
    <col min="9" max="10" width="11" style="2" bestFit="1" customWidth="1"/>
    <col min="11" max="11" width="11" style="2" customWidth="1"/>
    <col min="12" max="12" width="10.83203125" style="4"/>
    <col min="13" max="16384" width="10.83203125" style="2"/>
  </cols>
  <sheetData>
    <row r="2" spans="2:12" x14ac:dyDescent="0.2">
      <c r="B2" s="10" t="s">
        <v>160</v>
      </c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2:12" x14ac:dyDescent="0.2">
      <c r="B3" s="9" t="s">
        <v>0</v>
      </c>
      <c r="C3" s="9" t="s">
        <v>97</v>
      </c>
      <c r="D3" s="9" t="s">
        <v>90</v>
      </c>
      <c r="E3" s="9" t="s">
        <v>96</v>
      </c>
      <c r="F3" s="9" t="s">
        <v>95</v>
      </c>
      <c r="G3" s="9" t="s">
        <v>91</v>
      </c>
      <c r="H3" s="9" t="s">
        <v>93</v>
      </c>
      <c r="I3" s="9" t="s">
        <v>94</v>
      </c>
      <c r="J3" s="9" t="s">
        <v>92</v>
      </c>
      <c r="K3" s="9" t="s">
        <v>148</v>
      </c>
      <c r="L3" s="9" t="s">
        <v>98</v>
      </c>
    </row>
    <row r="4" spans="2:12" x14ac:dyDescent="0.2">
      <c r="B4" s="2" t="s">
        <v>106</v>
      </c>
      <c r="D4" s="3">
        <v>33497</v>
      </c>
      <c r="G4" s="3">
        <v>48299</v>
      </c>
      <c r="H4" s="8"/>
      <c r="J4" s="3">
        <v>45280</v>
      </c>
      <c r="K4" s="3"/>
    </row>
    <row r="5" spans="2:12" x14ac:dyDescent="0.2">
      <c r="B5" s="2" t="s">
        <v>110</v>
      </c>
      <c r="D5" s="3">
        <v>22364</v>
      </c>
      <c r="G5" s="3"/>
      <c r="H5" s="3">
        <v>30306</v>
      </c>
      <c r="J5" s="3"/>
      <c r="K5" s="3"/>
    </row>
    <row r="6" spans="2:12" x14ac:dyDescent="0.2">
      <c r="B6" s="2" t="s">
        <v>111</v>
      </c>
      <c r="D6" s="3">
        <v>14362</v>
      </c>
      <c r="G6" s="3"/>
      <c r="H6" s="3">
        <v>19360</v>
      </c>
      <c r="J6" s="3"/>
      <c r="K6" s="3"/>
    </row>
    <row r="7" spans="2:12" x14ac:dyDescent="0.2">
      <c r="B7" s="2" t="s">
        <v>107</v>
      </c>
      <c r="D7" s="3">
        <v>31808</v>
      </c>
      <c r="G7" s="3">
        <v>48313</v>
      </c>
      <c r="H7" s="8"/>
      <c r="J7" s="3">
        <v>45293</v>
      </c>
      <c r="K7" s="3"/>
    </row>
    <row r="8" spans="2:12" x14ac:dyDescent="0.2">
      <c r="B8" s="2" t="s">
        <v>108</v>
      </c>
      <c r="D8" s="3">
        <v>25243</v>
      </c>
      <c r="G8" s="3">
        <v>38340</v>
      </c>
      <c r="H8" s="8"/>
      <c r="J8" s="3">
        <v>35944</v>
      </c>
      <c r="K8" s="3"/>
    </row>
    <row r="9" spans="2:12" x14ac:dyDescent="0.2">
      <c r="B9" s="2" t="s">
        <v>122</v>
      </c>
      <c r="D9" s="3">
        <v>53845</v>
      </c>
      <c r="G9" s="3">
        <v>53309</v>
      </c>
      <c r="H9" s="8"/>
      <c r="J9" s="3">
        <v>52772</v>
      </c>
      <c r="K9" s="3"/>
    </row>
    <row r="10" spans="2:12" x14ac:dyDescent="0.2">
      <c r="B10" s="2" t="s">
        <v>109</v>
      </c>
      <c r="D10" s="3">
        <v>58302</v>
      </c>
      <c r="G10" s="3">
        <v>57503</v>
      </c>
      <c r="H10" s="8"/>
      <c r="J10" s="3">
        <v>56705</v>
      </c>
      <c r="K10" s="3"/>
    </row>
    <row r="11" spans="2:12" x14ac:dyDescent="0.2">
      <c r="B11" s="2" t="s">
        <v>112</v>
      </c>
      <c r="D11" s="3">
        <v>32729</v>
      </c>
      <c r="G11" s="3"/>
      <c r="H11" s="3">
        <v>41295</v>
      </c>
      <c r="J11" s="3"/>
      <c r="K11" s="3"/>
    </row>
    <row r="12" spans="2:12" x14ac:dyDescent="0.2">
      <c r="B12" s="2" t="s">
        <v>113</v>
      </c>
      <c r="D12" s="3">
        <v>26443</v>
      </c>
      <c r="G12" s="3"/>
      <c r="H12" s="3">
        <v>30919</v>
      </c>
      <c r="J12" s="3"/>
      <c r="K12" s="3"/>
    </row>
    <row r="13" spans="2:12" x14ac:dyDescent="0.2">
      <c r="B13" s="2" t="s">
        <v>114</v>
      </c>
      <c r="C13" s="5"/>
      <c r="D13" s="3">
        <v>19450</v>
      </c>
      <c r="E13" s="5"/>
      <c r="F13" s="5"/>
      <c r="G13" s="3">
        <v>25750</v>
      </c>
      <c r="H13" s="3"/>
      <c r="I13" s="5"/>
      <c r="J13" s="3">
        <v>24140</v>
      </c>
      <c r="K13" s="3"/>
    </row>
    <row r="14" spans="2:12" x14ac:dyDescent="0.2">
      <c r="B14" s="2" t="s">
        <v>115</v>
      </c>
      <c r="C14" s="5"/>
      <c r="D14" s="3">
        <v>21468</v>
      </c>
      <c r="E14" s="5"/>
      <c r="F14" s="5"/>
      <c r="G14" s="3">
        <v>28425</v>
      </c>
      <c r="H14" s="3"/>
      <c r="I14" s="5"/>
      <c r="J14" s="3">
        <v>26648</v>
      </c>
      <c r="K14" s="3"/>
    </row>
    <row r="15" spans="2:12" x14ac:dyDescent="0.2">
      <c r="B15" s="2" t="s">
        <v>116</v>
      </c>
      <c r="C15" s="3"/>
      <c r="D15" s="3">
        <v>54858.879999999997</v>
      </c>
      <c r="E15" s="3"/>
      <c r="F15" s="3">
        <v>5376</v>
      </c>
      <c r="G15" s="3">
        <v>5376</v>
      </c>
      <c r="H15" s="3"/>
      <c r="I15" s="3">
        <v>5376</v>
      </c>
      <c r="J15" s="3"/>
      <c r="K15" s="5"/>
      <c r="L15" s="4" t="s">
        <v>117</v>
      </c>
    </row>
    <row r="16" spans="2:12" x14ac:dyDescent="0.2">
      <c r="B16" s="2" t="s">
        <v>118</v>
      </c>
      <c r="C16" s="5"/>
      <c r="D16" s="3">
        <v>33497</v>
      </c>
      <c r="E16" s="5"/>
      <c r="F16" s="5"/>
      <c r="G16" s="3">
        <v>48299</v>
      </c>
      <c r="H16" s="3"/>
      <c r="I16" s="5"/>
      <c r="J16" s="3">
        <v>45280</v>
      </c>
      <c r="K16" s="3"/>
    </row>
    <row r="17" spans="2:12" x14ac:dyDescent="0.2">
      <c r="B17" s="2" t="s">
        <v>119</v>
      </c>
      <c r="C17" s="3"/>
      <c r="D17" s="3">
        <v>22134</v>
      </c>
      <c r="E17" s="5"/>
      <c r="F17" s="3"/>
      <c r="G17" s="3">
        <v>22134</v>
      </c>
      <c r="H17" s="3"/>
      <c r="I17" s="5"/>
      <c r="J17" s="3">
        <v>22134</v>
      </c>
      <c r="K17" s="3"/>
      <c r="L17" s="4" t="s">
        <v>121</v>
      </c>
    </row>
    <row r="18" spans="2:12" x14ac:dyDescent="0.2">
      <c r="B18" s="2" t="s">
        <v>120</v>
      </c>
      <c r="C18" s="3"/>
      <c r="D18" s="3">
        <v>52519</v>
      </c>
      <c r="E18" s="5"/>
      <c r="F18" s="3"/>
      <c r="G18" s="3"/>
      <c r="H18" s="3">
        <v>77520</v>
      </c>
      <c r="I18" s="5"/>
      <c r="J18" s="3"/>
      <c r="K18" s="3"/>
    </row>
    <row r="19" spans="2:12" x14ac:dyDescent="0.2">
      <c r="B19" s="2" t="s">
        <v>123</v>
      </c>
      <c r="C19" s="3"/>
      <c r="D19" s="3">
        <v>66278</v>
      </c>
      <c r="E19" s="5"/>
      <c r="F19" s="3"/>
      <c r="G19" s="3"/>
      <c r="H19" s="3">
        <v>94732</v>
      </c>
      <c r="I19" s="5"/>
      <c r="J19" s="3">
        <v>19682</v>
      </c>
      <c r="K19" s="3"/>
    </row>
    <row r="20" spans="2:12" x14ac:dyDescent="0.2">
      <c r="B20" s="2" t="s">
        <v>124</v>
      </c>
      <c r="C20" s="5"/>
      <c r="D20" s="3">
        <v>33497</v>
      </c>
      <c r="E20" s="5"/>
      <c r="F20" s="5"/>
      <c r="G20" s="3">
        <v>48299</v>
      </c>
      <c r="H20" s="3"/>
      <c r="I20" s="5"/>
      <c r="J20" s="3">
        <v>45280</v>
      </c>
      <c r="K20" s="3"/>
    </row>
    <row r="21" spans="2:12" x14ac:dyDescent="0.2">
      <c r="B21" s="2" t="s">
        <v>125</v>
      </c>
      <c r="C21" s="3"/>
      <c r="D21" s="3">
        <v>44998</v>
      </c>
      <c r="E21" s="5"/>
      <c r="F21" s="3"/>
      <c r="G21" s="3"/>
      <c r="H21" s="3">
        <v>63532</v>
      </c>
      <c r="I21" s="5"/>
      <c r="J21" s="3"/>
      <c r="K21" s="3"/>
    </row>
    <row r="22" spans="2:12" x14ac:dyDescent="0.2">
      <c r="B22" s="2" t="s">
        <v>126</v>
      </c>
      <c r="C22" s="3"/>
      <c r="D22" s="3">
        <v>59084</v>
      </c>
      <c r="E22" s="6"/>
      <c r="F22" s="3"/>
      <c r="G22" s="3"/>
      <c r="H22" s="3">
        <v>100660</v>
      </c>
      <c r="I22" s="6"/>
      <c r="J22" s="3"/>
      <c r="K22" s="6"/>
      <c r="L22" s="4" t="s">
        <v>127</v>
      </c>
    </row>
    <row r="23" spans="2:12" x14ac:dyDescent="0.2">
      <c r="B23" s="2" t="s">
        <v>99</v>
      </c>
      <c r="C23" s="3"/>
      <c r="D23" s="3">
        <v>3246.96</v>
      </c>
      <c r="E23" s="5"/>
      <c r="F23" s="3"/>
      <c r="G23" s="3">
        <v>5915.84</v>
      </c>
      <c r="H23" s="3"/>
      <c r="I23" s="5"/>
      <c r="J23" s="3">
        <v>5546.1</v>
      </c>
      <c r="K23" s="6"/>
    </row>
    <row r="24" spans="2:12" x14ac:dyDescent="0.2">
      <c r="B24" s="2" t="s">
        <v>101</v>
      </c>
      <c r="C24" s="5"/>
      <c r="D24" s="3">
        <v>1909.98</v>
      </c>
      <c r="E24" s="5"/>
      <c r="F24" s="5"/>
      <c r="G24" s="3">
        <v>3697.4</v>
      </c>
      <c r="H24" s="3"/>
      <c r="I24" s="5"/>
      <c r="J24" s="3">
        <v>3697.4</v>
      </c>
      <c r="K24" s="6"/>
      <c r="L24" s="4" t="s">
        <v>100</v>
      </c>
    </row>
    <row r="25" spans="2:12" x14ac:dyDescent="0.2">
      <c r="B25" s="2" t="s">
        <v>128</v>
      </c>
      <c r="C25" s="3">
        <v>2000</v>
      </c>
      <c r="D25" s="3">
        <v>2000</v>
      </c>
      <c r="E25" s="3">
        <v>2750</v>
      </c>
      <c r="F25" s="3">
        <v>3250</v>
      </c>
      <c r="G25" s="3">
        <v>4000</v>
      </c>
      <c r="H25" s="3">
        <v>4500</v>
      </c>
      <c r="I25" s="3">
        <v>5000</v>
      </c>
      <c r="J25" s="3">
        <v>5500</v>
      </c>
      <c r="K25" s="3"/>
      <c r="L25" s="4" t="s">
        <v>102</v>
      </c>
    </row>
    <row r="26" spans="2:12" x14ac:dyDescent="0.2">
      <c r="B26" s="2" t="s">
        <v>129</v>
      </c>
      <c r="C26" s="3">
        <v>7600</v>
      </c>
      <c r="D26" s="3">
        <v>7600</v>
      </c>
      <c r="E26" s="3">
        <v>10450</v>
      </c>
      <c r="F26" s="3">
        <v>12350</v>
      </c>
      <c r="G26" s="3">
        <v>15200</v>
      </c>
      <c r="H26" s="3">
        <v>17100</v>
      </c>
      <c r="I26" s="3">
        <v>19000</v>
      </c>
      <c r="J26" s="3">
        <v>20900</v>
      </c>
      <c r="K26" s="3"/>
      <c r="L26" s="4" t="s">
        <v>130</v>
      </c>
    </row>
    <row r="27" spans="2:12" x14ac:dyDescent="0.2">
      <c r="B27" s="2" t="s">
        <v>131</v>
      </c>
      <c r="C27" s="5"/>
      <c r="D27" s="3">
        <v>10207</v>
      </c>
      <c r="E27" s="5"/>
      <c r="F27" s="5"/>
      <c r="G27" s="3">
        <v>10207</v>
      </c>
      <c r="H27" s="3"/>
      <c r="I27" s="5"/>
      <c r="J27" s="3">
        <v>10207</v>
      </c>
      <c r="K27" s="3"/>
      <c r="L27" s="4" t="s">
        <v>103</v>
      </c>
    </row>
    <row r="28" spans="2:12" x14ac:dyDescent="0.2">
      <c r="B28" s="2" t="s">
        <v>132</v>
      </c>
      <c r="C28" s="5"/>
      <c r="D28" s="3">
        <v>39088.07</v>
      </c>
      <c r="E28" s="5"/>
      <c r="F28" s="5"/>
      <c r="G28" s="3"/>
      <c r="H28" s="3">
        <v>48555.67</v>
      </c>
      <c r="I28" s="5"/>
      <c r="J28" s="3"/>
      <c r="K28" s="5"/>
    </row>
    <row r="29" spans="2:12" x14ac:dyDescent="0.2">
      <c r="B29" s="2" t="s">
        <v>133</v>
      </c>
      <c r="C29" s="5"/>
      <c r="D29" s="3">
        <v>30356.07</v>
      </c>
      <c r="E29" s="5"/>
      <c r="F29" s="5"/>
      <c r="G29" s="3"/>
      <c r="H29" s="3">
        <v>37008.67</v>
      </c>
      <c r="I29" s="5"/>
      <c r="J29" s="3"/>
      <c r="K29" s="5"/>
      <c r="L29" s="4" t="s">
        <v>104</v>
      </c>
    </row>
    <row r="30" spans="2:12" x14ac:dyDescent="0.2">
      <c r="B30" s="2" t="s">
        <v>134</v>
      </c>
      <c r="C30" s="5"/>
      <c r="D30" s="3">
        <v>47813</v>
      </c>
      <c r="E30" s="5"/>
      <c r="F30" s="5"/>
      <c r="G30" s="3"/>
      <c r="H30" s="3">
        <v>60338.71</v>
      </c>
      <c r="I30" s="5"/>
      <c r="J30" s="3"/>
      <c r="K30" s="5"/>
    </row>
    <row r="31" spans="2:12" x14ac:dyDescent="0.2">
      <c r="B31" s="2" t="s">
        <v>135</v>
      </c>
      <c r="C31" s="5"/>
      <c r="D31" s="3">
        <v>39081</v>
      </c>
      <c r="E31" s="5"/>
      <c r="F31" s="5"/>
      <c r="G31" s="3"/>
      <c r="H31" s="3">
        <v>48791.71</v>
      </c>
      <c r="I31" s="5"/>
      <c r="J31" s="3"/>
      <c r="K31" s="5"/>
      <c r="L31" s="7" t="s">
        <v>104</v>
      </c>
    </row>
    <row r="32" spans="2:12" x14ac:dyDescent="0.2">
      <c r="B32" s="2" t="s">
        <v>136</v>
      </c>
      <c r="C32" s="5"/>
      <c r="D32" s="3">
        <v>34456.050000000003</v>
      </c>
      <c r="E32" s="5"/>
      <c r="F32" s="5"/>
      <c r="G32" s="3"/>
      <c r="H32" s="3">
        <v>42298.63</v>
      </c>
      <c r="I32" s="5"/>
      <c r="J32" s="3"/>
      <c r="K32" s="5"/>
    </row>
    <row r="33" spans="2:12" x14ac:dyDescent="0.2">
      <c r="B33" s="2" t="s">
        <v>137</v>
      </c>
      <c r="C33" s="5"/>
      <c r="D33" s="3">
        <v>25724.05</v>
      </c>
      <c r="E33" s="5"/>
      <c r="F33" s="5"/>
      <c r="G33" s="3"/>
      <c r="H33" s="3">
        <v>30751.63</v>
      </c>
      <c r="I33" s="5"/>
      <c r="J33" s="3"/>
      <c r="K33" s="5"/>
      <c r="L33" s="7" t="s">
        <v>104</v>
      </c>
    </row>
    <row r="34" spans="2:12" x14ac:dyDescent="0.2">
      <c r="B34" s="2" t="s">
        <v>138</v>
      </c>
      <c r="C34" s="5"/>
      <c r="D34" s="3">
        <v>45628.87</v>
      </c>
      <c r="E34" s="5"/>
      <c r="F34" s="5"/>
      <c r="G34" s="3">
        <v>53622.29</v>
      </c>
      <c r="H34" s="3"/>
      <c r="I34" s="5"/>
      <c r="J34" s="3">
        <v>52025.18</v>
      </c>
      <c r="K34" s="6"/>
    </row>
    <row r="35" spans="2:12" x14ac:dyDescent="0.2">
      <c r="B35" s="2" t="s">
        <v>139</v>
      </c>
      <c r="C35" s="5"/>
      <c r="D35" s="3">
        <v>53760.79</v>
      </c>
      <c r="E35" s="5"/>
      <c r="F35" s="5"/>
      <c r="G35" s="3">
        <v>68821.17</v>
      </c>
      <c r="H35" s="3"/>
      <c r="I35" s="5"/>
      <c r="J35" s="3">
        <v>67224.06</v>
      </c>
      <c r="K35" s="6"/>
    </row>
    <row r="36" spans="2:12" x14ac:dyDescent="0.2">
      <c r="B36" s="2" t="s">
        <v>140</v>
      </c>
      <c r="C36" s="5"/>
      <c r="D36" s="3">
        <v>43569.09</v>
      </c>
      <c r="E36" s="5"/>
      <c r="F36" s="5"/>
      <c r="G36" s="3">
        <v>54435.519999999997</v>
      </c>
      <c r="H36" s="3"/>
      <c r="I36" s="5"/>
      <c r="J36" s="3">
        <v>52838.41</v>
      </c>
      <c r="K36" s="6"/>
    </row>
    <row r="37" spans="2:12" x14ac:dyDescent="0.2">
      <c r="B37" s="2" t="s">
        <v>141</v>
      </c>
      <c r="C37" s="5"/>
      <c r="D37" s="3">
        <v>39083.019999999997</v>
      </c>
      <c r="E37" s="5"/>
      <c r="F37" s="5"/>
      <c r="G37" s="3">
        <v>48147.77</v>
      </c>
      <c r="H37" s="3"/>
      <c r="I37" s="5"/>
      <c r="J37" s="3">
        <v>47449.52</v>
      </c>
      <c r="K37" s="6"/>
    </row>
    <row r="38" spans="2:12" x14ac:dyDescent="0.2">
      <c r="B38" s="2" t="s">
        <v>142</v>
      </c>
      <c r="C38" s="5"/>
      <c r="D38" s="3">
        <v>47807.94</v>
      </c>
      <c r="E38" s="5"/>
      <c r="F38" s="5"/>
      <c r="G38" s="3">
        <v>59932</v>
      </c>
      <c r="H38" s="3"/>
      <c r="I38" s="5"/>
      <c r="J38" s="3">
        <v>59234.75</v>
      </c>
      <c r="K38" s="6"/>
    </row>
    <row r="39" spans="2:12" x14ac:dyDescent="0.2">
      <c r="B39" s="2" t="s">
        <v>143</v>
      </c>
      <c r="C39" s="5"/>
      <c r="D39" s="3">
        <v>34451</v>
      </c>
      <c r="E39" s="5"/>
      <c r="F39" s="5"/>
      <c r="G39" s="3">
        <v>41892.629999999997</v>
      </c>
      <c r="H39" s="3"/>
      <c r="I39" s="5"/>
      <c r="J39" s="3">
        <v>41195.379999999997</v>
      </c>
      <c r="K39" s="6"/>
    </row>
    <row r="40" spans="2:12" x14ac:dyDescent="0.2">
      <c r="B40" s="2" t="s">
        <v>144</v>
      </c>
      <c r="C40" s="5"/>
      <c r="D40" s="3">
        <v>20853</v>
      </c>
      <c r="E40" s="5"/>
      <c r="F40" s="5"/>
      <c r="G40" s="3">
        <v>20853</v>
      </c>
      <c r="H40" s="3"/>
      <c r="I40" s="5"/>
      <c r="J40" s="3">
        <v>20853</v>
      </c>
      <c r="K40" s="3"/>
    </row>
    <row r="41" spans="2:12" x14ac:dyDescent="0.2">
      <c r="B41" s="2" t="s">
        <v>145</v>
      </c>
      <c r="C41" s="5"/>
      <c r="D41" s="3">
        <v>32691</v>
      </c>
      <c r="E41" s="5"/>
      <c r="F41" s="5"/>
      <c r="G41" s="3">
        <v>32691</v>
      </c>
      <c r="H41" s="3"/>
      <c r="I41" s="5"/>
      <c r="J41" s="3">
        <v>32691</v>
      </c>
      <c r="K41" s="3"/>
      <c r="L41" s="4" t="s">
        <v>105</v>
      </c>
    </row>
    <row r="42" spans="2:12" x14ac:dyDescent="0.2">
      <c r="B42" s="2" t="s">
        <v>146</v>
      </c>
      <c r="C42" s="5"/>
      <c r="D42" s="3">
        <v>42555</v>
      </c>
      <c r="E42" s="5"/>
      <c r="F42" s="5"/>
      <c r="G42" s="3">
        <v>42555</v>
      </c>
      <c r="H42" s="3"/>
      <c r="I42" s="5"/>
      <c r="J42" s="3">
        <v>42555</v>
      </c>
      <c r="K42" s="3"/>
    </row>
    <row r="43" spans="2:12" x14ac:dyDescent="0.2">
      <c r="B43" s="2" t="s">
        <v>147</v>
      </c>
      <c r="C43" s="5"/>
      <c r="D43" s="3">
        <v>82401</v>
      </c>
      <c r="E43" s="5"/>
      <c r="F43" s="5"/>
      <c r="G43" s="3">
        <v>82401</v>
      </c>
      <c r="H43" s="3"/>
      <c r="I43" s="5"/>
      <c r="J43" s="3">
        <v>82401</v>
      </c>
      <c r="K43" s="3"/>
    </row>
    <row r="44" spans="2:12" x14ac:dyDescent="0.2">
      <c r="B44" s="2" t="s">
        <v>149</v>
      </c>
      <c r="C44" s="5"/>
      <c r="D44" s="3">
        <v>70555</v>
      </c>
      <c r="E44" s="5"/>
      <c r="F44" s="5"/>
      <c r="G44" s="3"/>
      <c r="H44" s="3"/>
      <c r="I44" s="5"/>
      <c r="J44" s="3"/>
      <c r="K44" s="3">
        <v>85794</v>
      </c>
    </row>
    <row r="45" spans="2:12" x14ac:dyDescent="0.2">
      <c r="B45" s="2" t="s">
        <v>150</v>
      </c>
      <c r="C45" s="5"/>
      <c r="D45" s="3">
        <v>12295</v>
      </c>
      <c r="E45" s="5"/>
      <c r="F45" s="5"/>
      <c r="G45" s="3">
        <v>15683</v>
      </c>
      <c r="H45" s="3"/>
      <c r="I45" s="3">
        <v>15683</v>
      </c>
      <c r="J45" s="3"/>
      <c r="K45" s="3">
        <v>30536</v>
      </c>
    </row>
    <row r="46" spans="2:12" x14ac:dyDescent="0.2">
      <c r="B46" s="2" t="s">
        <v>151</v>
      </c>
      <c r="C46" s="5"/>
      <c r="D46" s="3">
        <v>79012</v>
      </c>
      <c r="E46" s="5"/>
      <c r="F46" s="5"/>
      <c r="G46" s="3">
        <v>105248</v>
      </c>
      <c r="H46" s="3"/>
      <c r="I46" s="5"/>
      <c r="J46" s="3">
        <v>99204</v>
      </c>
      <c r="K46" s="5"/>
      <c r="L46" s="4" t="s">
        <v>121</v>
      </c>
    </row>
    <row r="47" spans="2:12" x14ac:dyDescent="0.2">
      <c r="B47" s="2" t="s">
        <v>152</v>
      </c>
      <c r="C47" s="5"/>
      <c r="D47" s="3">
        <v>81130</v>
      </c>
      <c r="E47" s="5"/>
      <c r="F47" s="5"/>
      <c r="G47" s="3"/>
      <c r="H47" s="3">
        <v>116081</v>
      </c>
      <c r="I47" s="5"/>
      <c r="J47" s="3"/>
      <c r="K47" s="5"/>
    </row>
    <row r="48" spans="2:12" x14ac:dyDescent="0.2">
      <c r="B48" s="2" t="s">
        <v>153</v>
      </c>
      <c r="C48" s="5"/>
      <c r="D48" s="3">
        <v>51339</v>
      </c>
      <c r="E48" s="5"/>
      <c r="F48" s="5"/>
      <c r="G48" s="3"/>
      <c r="H48" s="3">
        <v>77700</v>
      </c>
      <c r="I48" s="5"/>
      <c r="J48" s="3"/>
      <c r="K48" s="5"/>
    </row>
    <row r="49" spans="2:11" x14ac:dyDescent="0.2">
      <c r="B49" s="2" t="s">
        <v>154</v>
      </c>
      <c r="C49" s="5"/>
      <c r="D49" s="3">
        <v>48416</v>
      </c>
      <c r="E49" s="5"/>
      <c r="F49" s="5"/>
      <c r="G49" s="3"/>
      <c r="H49" s="3">
        <v>76945</v>
      </c>
      <c r="I49" s="5"/>
      <c r="J49" s="3"/>
      <c r="K49" s="5"/>
    </row>
    <row r="50" spans="2:11" x14ac:dyDescent="0.2">
      <c r="B50" s="2" t="s">
        <v>155</v>
      </c>
      <c r="C50" s="5"/>
      <c r="D50" s="3">
        <v>49714</v>
      </c>
      <c r="E50" s="5"/>
      <c r="F50" s="5"/>
      <c r="G50" s="3"/>
      <c r="H50" s="3">
        <v>71366</v>
      </c>
      <c r="I50" s="5"/>
      <c r="J50" s="3"/>
      <c r="K50" s="5"/>
    </row>
    <row r="51" spans="2:11" x14ac:dyDescent="0.2">
      <c r="B51" s="2" t="s">
        <v>156</v>
      </c>
      <c r="C51" s="5"/>
      <c r="D51" s="3">
        <v>50061</v>
      </c>
      <c r="E51" s="5"/>
      <c r="F51" s="5"/>
      <c r="G51" s="3"/>
      <c r="H51" s="3">
        <v>79548</v>
      </c>
      <c r="I51" s="5"/>
      <c r="J51" s="3"/>
      <c r="K51" s="5"/>
    </row>
    <row r="52" spans="2:11" x14ac:dyDescent="0.2">
      <c r="B52" s="2" t="s">
        <v>157</v>
      </c>
      <c r="C52" s="5"/>
      <c r="D52" s="3">
        <v>69652</v>
      </c>
      <c r="E52" s="5"/>
      <c r="F52" s="5"/>
      <c r="G52" s="3"/>
      <c r="H52" s="3">
        <v>99650</v>
      </c>
      <c r="I52" s="5"/>
      <c r="J52" s="3"/>
      <c r="K52" s="5"/>
    </row>
    <row r="53" spans="2:11" x14ac:dyDescent="0.2">
      <c r="B53" s="2" t="s">
        <v>158</v>
      </c>
      <c r="C53" s="5"/>
      <c r="D53" s="3">
        <v>63344</v>
      </c>
      <c r="E53" s="5"/>
      <c r="F53" s="5"/>
      <c r="G53" s="3"/>
      <c r="H53" s="3">
        <v>91496</v>
      </c>
      <c r="I53" s="5"/>
      <c r="J53" s="3"/>
      <c r="K53" s="5"/>
    </row>
    <row r="54" spans="2:11" x14ac:dyDescent="0.2">
      <c r="B54" s="2" t="s">
        <v>159</v>
      </c>
      <c r="C54" s="5"/>
      <c r="D54" s="3">
        <v>12295</v>
      </c>
      <c r="E54" s="5"/>
      <c r="F54" s="5"/>
      <c r="G54" s="3"/>
      <c r="H54" s="3">
        <v>15683</v>
      </c>
      <c r="I54" s="5"/>
      <c r="J54" s="3">
        <v>30536</v>
      </c>
      <c r="K54" s="5"/>
    </row>
    <row r="55" spans="2:11" x14ac:dyDescent="0.2">
      <c r="C55" s="5"/>
      <c r="D55" s="5"/>
      <c r="E55" s="5"/>
      <c r="F55" s="5"/>
      <c r="G55" s="5"/>
      <c r="H55" s="5"/>
      <c r="I55" s="5"/>
      <c r="J55" s="5"/>
      <c r="K55" s="5"/>
    </row>
    <row r="56" spans="2:11" x14ac:dyDescent="0.2">
      <c r="C56" s="5"/>
      <c r="D56" s="5"/>
      <c r="E56" s="5"/>
      <c r="F56" s="5"/>
      <c r="G56" s="5"/>
      <c r="H56" s="5"/>
      <c r="I56" s="5"/>
      <c r="J56" s="5"/>
      <c r="K56" s="5"/>
    </row>
    <row r="57" spans="2:11" x14ac:dyDescent="0.2">
      <c r="C57" s="5"/>
      <c r="D57" s="5"/>
      <c r="E57" s="5"/>
      <c r="F57" s="5"/>
      <c r="G57" s="5"/>
      <c r="H57" s="5"/>
      <c r="I57" s="5"/>
      <c r="J57" s="5"/>
      <c r="K57" s="5"/>
    </row>
    <row r="58" spans="2:11" x14ac:dyDescent="0.2">
      <c r="C58" s="5"/>
      <c r="D58" s="5"/>
      <c r="E58" s="5"/>
      <c r="F58" s="5"/>
      <c r="G58" s="5"/>
      <c r="H58" s="5"/>
      <c r="I58" s="5"/>
      <c r="J58" s="5"/>
      <c r="K58" s="5"/>
    </row>
    <row r="59" spans="2:11" x14ac:dyDescent="0.2">
      <c r="C59" s="5"/>
      <c r="D59" s="5"/>
      <c r="E59" s="5"/>
      <c r="F59" s="5"/>
      <c r="G59" s="5"/>
      <c r="H59" s="5"/>
      <c r="I59" s="5"/>
      <c r="J59" s="5"/>
      <c r="K59" s="5"/>
    </row>
    <row r="60" spans="2:11" x14ac:dyDescent="0.2">
      <c r="C60" s="5"/>
      <c r="D60" s="5"/>
      <c r="E60" s="5"/>
      <c r="F60" s="5"/>
      <c r="G60" s="5"/>
      <c r="H60" s="5"/>
      <c r="I60" s="5"/>
      <c r="J60" s="5"/>
      <c r="K60" s="5"/>
    </row>
    <row r="61" spans="2:11" x14ac:dyDescent="0.2">
      <c r="C61" s="5"/>
      <c r="D61" s="5"/>
      <c r="E61" s="5"/>
      <c r="F61" s="5"/>
      <c r="G61" s="5"/>
      <c r="H61" s="5"/>
      <c r="I61" s="5"/>
      <c r="J61" s="5"/>
      <c r="K61" s="5"/>
    </row>
    <row r="62" spans="2:11" x14ac:dyDescent="0.2">
      <c r="C62" s="5"/>
      <c r="D62" s="5"/>
      <c r="E62" s="5"/>
      <c r="F62" s="5"/>
      <c r="G62" s="5"/>
      <c r="H62" s="5"/>
      <c r="I62" s="5"/>
      <c r="J62" s="5"/>
      <c r="K62" s="5"/>
    </row>
    <row r="63" spans="2:11" x14ac:dyDescent="0.2">
      <c r="C63" s="5"/>
      <c r="D63" s="5"/>
      <c r="E63" s="5"/>
      <c r="F63" s="5"/>
      <c r="G63" s="5"/>
      <c r="H63" s="5"/>
      <c r="I63" s="5"/>
      <c r="J63" s="5"/>
      <c r="K63" s="5"/>
    </row>
    <row r="64" spans="2:11" x14ac:dyDescent="0.2">
      <c r="C64" s="5"/>
      <c r="D64" s="5"/>
      <c r="E64" s="5"/>
      <c r="F64" s="5"/>
      <c r="G64" s="5"/>
      <c r="H64" s="5"/>
      <c r="I64" s="5"/>
      <c r="J64" s="5"/>
      <c r="K64" s="5"/>
    </row>
    <row r="65" spans="3:11" x14ac:dyDescent="0.2">
      <c r="C65" s="5"/>
      <c r="D65" s="5"/>
      <c r="E65" s="5"/>
      <c r="F65" s="5"/>
      <c r="G65" s="5"/>
      <c r="H65" s="5"/>
      <c r="I65" s="5"/>
      <c r="J65" s="5"/>
      <c r="K65" s="5"/>
    </row>
    <row r="66" spans="3:11" x14ac:dyDescent="0.2">
      <c r="C66" s="5"/>
      <c r="D66" s="5"/>
      <c r="E66" s="5"/>
      <c r="F66" s="5"/>
      <c r="G66" s="5"/>
      <c r="H66" s="5"/>
      <c r="I66" s="5"/>
      <c r="J66" s="5"/>
      <c r="K66" s="5"/>
    </row>
    <row r="67" spans="3:11" x14ac:dyDescent="0.2">
      <c r="C67" s="5"/>
      <c r="D67" s="5"/>
      <c r="E67" s="5"/>
      <c r="F67" s="5"/>
      <c r="G67" s="5"/>
      <c r="H67" s="5"/>
      <c r="I67" s="5"/>
      <c r="J67" s="5"/>
      <c r="K67" s="5"/>
    </row>
  </sheetData>
  <mergeCells count="1">
    <mergeCell ref="B2:L2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Research Projects 22-26</vt:lpstr>
      <vt:lpstr>2026 DC's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kanen maclellan</dc:creator>
  <cp:lastModifiedBy>Alejandro Duque</cp:lastModifiedBy>
  <dcterms:created xsi:type="dcterms:W3CDTF">2026-03-05T20:00:15Z</dcterms:created>
  <dcterms:modified xsi:type="dcterms:W3CDTF">2026-03-09T17:49:11Z</dcterms:modified>
</cp:coreProperties>
</file>