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ntsmart/Survey/Research Resources/Study Templates/Reverse 1B/"/>
    </mc:Choice>
  </mc:AlternateContent>
  <xr:revisionPtr revIDLastSave="0" documentId="8_{4266A092-F1EC-8F49-8473-19FC4D3B653E}" xr6:coauthVersionLast="47" xr6:coauthVersionMax="47" xr10:uidLastSave="{00000000-0000-0000-0000-000000000000}"/>
  <bookViews>
    <workbookView xWindow="960" yWindow="1180" windowWidth="26840" windowHeight="14480" xr2:uid="{3278F5B6-5F7F-FF4E-8F86-590D9C60C10E}"/>
  </bookViews>
  <sheets>
    <sheet name="Sheet1" sheetId="1" r:id="rId1"/>
  </sheets>
  <externalReferences>
    <externalReference r:id="rId2"/>
  </externalReferences>
  <definedNames>
    <definedName name="bg_data_reverse_1b_is_ok_outputs">[1]BG_DATA!$CC$7</definedName>
    <definedName name="bg_data_reverse_1b_outputs_average_rent">[1]BG_DATA!$CC$82</definedName>
    <definedName name="bg_data_reverse_1b_outputs_average_rent_1_bed">[1]BG_DATA!$CC$84</definedName>
    <definedName name="bg_data_reverse_1b_outputs_average_rent_1_bed_plus_den">[1]BG_DATA!$CC$85</definedName>
    <definedName name="bg_data_reverse_1b_outputs_average_rent_2_bed">[1]BG_DATA!$CC$86</definedName>
    <definedName name="bg_data_reverse_1b_outputs_average_rent_2_bed_plus_den">[1]BG_DATA!$CC$87</definedName>
    <definedName name="bg_data_reverse_1b_outputs_average_rent_3_bed">[1]BG_DATA!$CC$88</definedName>
    <definedName name="bg_data_reverse_1b_outputs_average_rent_3_bed_plus_den">[1]BG_DATA!$CC$89</definedName>
    <definedName name="bg_data_reverse_1b_outputs_average_rent_4_bed">[1]BG_DATA!$CC$90</definedName>
    <definedName name="bg_data_reverse_1b_outputs_average_rent_4_bed_plus_den">[1]BG_DATA!$CC$91</definedName>
    <definedName name="bg_data_reverse_1b_outputs_average_rent_bachelor">[1]BG_DATA!$CC$83</definedName>
    <definedName name="bg_data_reverse_1b_outputs_average_rent_per_sf">[1]BG_DATA!$CC$92</definedName>
    <definedName name="bg_data_reverse_1b_outputs_average_rent_per_sf_1_bed">[1]BG_DATA!$CC$94</definedName>
    <definedName name="bg_data_reverse_1b_outputs_average_rent_per_sf_1_bed_plus_den">[1]BG_DATA!$CC$95</definedName>
    <definedName name="bg_data_reverse_1b_outputs_average_rent_per_sf_2_bed">[1]BG_DATA!$CC$96</definedName>
    <definedName name="bg_data_reverse_1b_outputs_average_rent_per_sf_2_bed_plus_den">[1]BG_DATA!$CC$97</definedName>
    <definedName name="bg_data_reverse_1b_outputs_average_rent_per_sf_3_bed">[1]BG_DATA!$CC$98</definedName>
    <definedName name="bg_data_reverse_1b_outputs_average_rent_per_sf_3_bed_plus_den">[1]BG_DATA!$CC$99</definedName>
    <definedName name="bg_data_reverse_1b_outputs_average_rent_per_sf_4_bed">[1]BG_DATA!$CC$100</definedName>
    <definedName name="bg_data_reverse_1b_outputs_average_rent_per_sf_4_bed_plus_den">[1]BG_DATA!$CC$101</definedName>
    <definedName name="bg_data_reverse_1b_outputs_average_rent_per_sf_bachelor">[1]BG_DATA!$CC$93</definedName>
    <definedName name="bg_data_reverse_1b_outputs_capitalization_rate">[1]BG_DATA!$CC$112</definedName>
    <definedName name="bg_data_reverse_1b_outputs_capitalization_rate_base">[1]BG_DATA!$CC$114</definedName>
    <definedName name="bg_data_reverse_1b_outputs_capitalization_rate_best">[1]BG_DATA!$CC$113</definedName>
    <definedName name="bg_data_reverse_1b_outputs_capitalization_rate_worst">[1]BG_DATA!$CC$115</definedName>
    <definedName name="bg_data_reverse_1b_outputs_construction_financing">[1]BG_DATA!$CC$56</definedName>
    <definedName name="bg_data_reverse_1b_outputs_construction_financing_equity">[1]BG_DATA!$CC$58</definedName>
    <definedName name="bg_data_reverse_1b_outputs_construction_financing_loan">[1]BG_DATA!$CC$57</definedName>
    <definedName name="bg_data_reverse_1b_outputs_construction_financing_percentage">[1]BG_DATA!$CC$59</definedName>
    <definedName name="bg_data_reverse_1b_outputs_construction_financing_percentage_equity">[1]BG_DATA!$CC$61</definedName>
    <definedName name="bg_data_reverse_1b_outputs_construction_financing_percentage_loan">[1]BG_DATA!$CC$60</definedName>
    <definedName name="bg_data_reverse_1b_outputs_development_cost">[1]BG_DATA!$CC$16</definedName>
    <definedName name="bg_data_reverse_1b_outputs_development_cost_construction">[1]BG_DATA!$CC$18</definedName>
    <definedName name="bg_data_reverse_1b_outputs_development_cost_development_management">[1]BG_DATA!$CC$20</definedName>
    <definedName name="bg_data_reverse_1b_outputs_development_cost_financing_and_interest">[1]BG_DATA!$CC$23</definedName>
    <definedName name="bg_data_reverse_1b_outputs_development_cost_land">[1]BG_DATA!$CC$17</definedName>
    <definedName name="bg_data_reverse_1b_outputs_development_cost_liability">[1]BG_DATA!$CC$14</definedName>
    <definedName name="bg_data_reverse_1b_outputs_development_cost_marketing_and_leasing">[1]BG_DATA!$CC$22</definedName>
    <definedName name="bg_data_reverse_1b_outputs_development_cost_operating_income_during_lease_up">[1]BG_DATA!$CC$25</definedName>
    <definedName name="bg_data_reverse_1b_outputs_development_cost_per_sf">[1]BG_DATA!$CC$36</definedName>
    <definedName name="bg_data_reverse_1b_outputs_development_cost_per_sf_construction">[1]BG_DATA!$CC$38</definedName>
    <definedName name="bg_data_reverse_1b_outputs_development_cost_per_sf_development_management">[1]BG_DATA!$CC$40</definedName>
    <definedName name="bg_data_reverse_1b_outputs_development_cost_per_sf_financing_and_interest">[1]BG_DATA!$CC$43</definedName>
    <definedName name="bg_data_reverse_1b_outputs_development_cost_per_sf_land">[1]BG_DATA!$CC$37</definedName>
    <definedName name="bg_data_reverse_1b_outputs_development_cost_per_sf_marketing_and_leasing">[1]BG_DATA!$CC$42</definedName>
    <definedName name="bg_data_reverse_1b_outputs_development_cost_per_sf_operating_income_during_lease_up">[1]BG_DATA!$CC$45</definedName>
    <definedName name="bg_data_reverse_1b_outputs_development_cost_per_sf_permits_and_approvals">[1]BG_DATA!$CC$41</definedName>
    <definedName name="bg_data_reverse_1b_outputs_development_cost_per_sf_professional_fees">[1]BG_DATA!$CC$39</definedName>
    <definedName name="bg_data_reverse_1b_outputs_development_cost_per_sf_taxes">[1]BG_DATA!$CC$44</definedName>
    <definedName name="bg_data_reverse_1b_outputs_development_cost_per_unit">[1]BG_DATA!$CC$26</definedName>
    <definedName name="bg_data_reverse_1b_outputs_development_cost_per_unit_construction">[1]BG_DATA!$CC$28</definedName>
    <definedName name="bg_data_reverse_1b_outputs_development_cost_per_unit_development_management">[1]BG_DATA!$CC$30</definedName>
    <definedName name="bg_data_reverse_1b_outputs_development_cost_per_unit_financing_and_interest">[1]BG_DATA!$CC$33</definedName>
    <definedName name="bg_data_reverse_1b_outputs_development_cost_per_unit_land">[1]BG_DATA!$CC$27</definedName>
    <definedName name="bg_data_reverse_1b_outputs_development_cost_per_unit_marketing_and_leasing">[1]BG_DATA!$CC$32</definedName>
    <definedName name="bg_data_reverse_1b_outputs_development_cost_per_unit_operating_income_during_lease_up">[1]BG_DATA!$CC$35</definedName>
    <definedName name="bg_data_reverse_1b_outputs_development_cost_per_unit_permits_and_approvals">[1]BG_DATA!$CC$31</definedName>
    <definedName name="bg_data_reverse_1b_outputs_development_cost_per_unit_professional_fees">[1]BG_DATA!$CC$29</definedName>
    <definedName name="bg_data_reverse_1b_outputs_development_cost_per_unit_taxes">[1]BG_DATA!$CC$34</definedName>
    <definedName name="bg_data_reverse_1b_outputs_development_cost_percentage">[1]BG_DATA!$CC$46</definedName>
    <definedName name="bg_data_reverse_1b_outputs_development_cost_percentage_construction">[1]BG_DATA!$CC$48</definedName>
    <definedName name="bg_data_reverse_1b_outputs_development_cost_percentage_development_management">[1]BG_DATA!$CC$50</definedName>
    <definedName name="bg_data_reverse_1b_outputs_development_cost_percentage_financing_and_interest">[1]BG_DATA!$CC$53</definedName>
    <definedName name="bg_data_reverse_1b_outputs_development_cost_percentage_land">[1]BG_DATA!$CC$47</definedName>
    <definedName name="bg_data_reverse_1b_outputs_development_cost_percentage_marketing_and_leasing">[1]BG_DATA!$CC$52</definedName>
    <definedName name="bg_data_reverse_1b_outputs_development_cost_percentage_operating_income_during_lease_up">[1]BG_DATA!$CC$55</definedName>
    <definedName name="bg_data_reverse_1b_outputs_development_cost_percentage_permits_and_approvals">[1]BG_DATA!$CC$51</definedName>
    <definedName name="bg_data_reverse_1b_outputs_development_cost_percentage_professional_fees">[1]BG_DATA!$CC$49</definedName>
    <definedName name="bg_data_reverse_1b_outputs_development_cost_percentage_taxes">[1]BG_DATA!$CC$54</definedName>
    <definedName name="bg_data_reverse_1b_outputs_development_cost_permits_and_approvals">[1]BG_DATA!$CC$21</definedName>
    <definedName name="bg_data_reverse_1b_outputs_development_cost_professional_fees">[1]BG_DATA!$CC$19</definedName>
    <definedName name="bg_data_reverse_1b_outputs_development_cost_taxes">[1]BG_DATA!$CC$24</definedName>
    <definedName name="bg_data_reverse_1b_outputs_development_yield">[1]BG_DATA!$CC$13</definedName>
    <definedName name="bg_data_reverse_1b_outputs_irr_10_year">[1]BG_DATA!$CC$12</definedName>
    <definedName name="bg_data_reverse_1b_outputs_irr_at_stabilization_if_sold">[1]BG_DATA!$CC$11</definedName>
    <definedName name="bg_data_reverse_1b_outputs_noi_at_stabilization">[1]BG_DATA!$CC$10</definedName>
    <definedName name="bg_data_reverse_1b_outputs_profit_before_taxes">[1]BG_DATA!$CC$130</definedName>
    <definedName name="bg_data_reverse_1b_outputs_profit_before_taxes_base">[1]BG_DATA!$CC$132</definedName>
    <definedName name="bg_data_reverse_1b_outputs_profit_before_taxes_best">[1]BG_DATA!$CC$131</definedName>
    <definedName name="bg_data_reverse_1b_outputs_profit_before_taxes_worst">[1]BG_DATA!$CC$133</definedName>
    <definedName name="bg_data_reverse_1b_outputs_return_on_cost">[1]BG_DATA!$CC$134</definedName>
    <definedName name="bg_data_reverse_1b_outputs_return_on_cost_base">[1]BG_DATA!$CC$136</definedName>
    <definedName name="bg_data_reverse_1b_outputs_return_on_cost_best">[1]BG_DATA!$CC$135</definedName>
    <definedName name="bg_data_reverse_1b_outputs_return_on_cost_worst">[1]BG_DATA!$CC$137</definedName>
    <definedName name="bg_data_reverse_1b_outputs_sales_proceeds">[1]BG_DATA!$CC$126</definedName>
    <definedName name="bg_data_reverse_1b_outputs_sales_proceeds_base">[1]BG_DATA!$CC$128</definedName>
    <definedName name="bg_data_reverse_1b_outputs_sales_proceeds_best">[1]BG_DATA!$CC$127</definedName>
    <definedName name="bg_data_reverse_1b_outputs_sales_proceeds_worst">[1]BG_DATA!$CC$129</definedName>
    <definedName name="bg_data_reverse_1b_outputs_schedule_end">[1]BG_DATA!$CC$144</definedName>
    <definedName name="bg_data_reverse_1b_outputs_schedule_end_construction">[1]BG_DATA!$CC$147</definedName>
    <definedName name="bg_data_reverse_1b_outputs_schedule_end_land_purchase">[1]BG_DATA!$CC$145</definedName>
    <definedName name="bg_data_reverse_1b_outputs_schedule_end_lease_up">[1]BG_DATA!$CC$148</definedName>
    <definedName name="bg_data_reverse_1b_outputs_schedule_end_pre_development">[1]BG_DATA!$CC$146</definedName>
    <definedName name="bg_data_reverse_1b_outputs_schedule_end_stabilization">[1]BG_DATA!$CC$149</definedName>
    <definedName name="bg_data_reverse_1b_outputs_schedule_months">[1]BG_DATA!$CC$150</definedName>
    <definedName name="bg_data_reverse_1b_outputs_schedule_months_construction">[1]BG_DATA!$CC$153</definedName>
    <definedName name="bg_data_reverse_1b_outputs_schedule_months_land_purchase">[1]BG_DATA!$CC$151</definedName>
    <definedName name="bg_data_reverse_1b_outputs_schedule_months_lease_up">[1]BG_DATA!$CC$154</definedName>
    <definedName name="bg_data_reverse_1b_outputs_schedule_months_pre_development">[1]BG_DATA!$CC$152</definedName>
    <definedName name="bg_data_reverse_1b_outputs_schedule_months_stabilization">[1]BG_DATA!$CC$155</definedName>
    <definedName name="bg_data_reverse_1b_outputs_schedule_start">[1]BG_DATA!$CC$138</definedName>
    <definedName name="bg_data_reverse_1b_outputs_schedule_start_construction">[1]BG_DATA!$CC$141</definedName>
    <definedName name="bg_data_reverse_1b_outputs_schedule_start_land_purchase">[1]BG_DATA!$CC$139</definedName>
    <definedName name="bg_data_reverse_1b_outputs_schedule_start_lease_up">[1]BG_DATA!$CC$142</definedName>
    <definedName name="bg_data_reverse_1b_outputs_schedule_start_pre_development">[1]BG_DATA!$CC$140</definedName>
    <definedName name="bg_data_reverse_1b_outputs_schedule_start_stabilization">[1]BG_DATA!$CC$143</definedName>
    <definedName name="bg_data_reverse_1b_outputs_selling_costs">[1]BG_DATA!$CC$122</definedName>
    <definedName name="bg_data_reverse_1b_outputs_selling_costs_base">[1]BG_DATA!$CC$124</definedName>
    <definedName name="bg_data_reverse_1b_outputs_selling_costs_best">[1]BG_DATA!$CC$123</definedName>
    <definedName name="bg_data_reverse_1b_outputs_selling_costs_worst">[1]BG_DATA!$CC$125</definedName>
    <definedName name="bg_data_reverse_1b_outputs_total_sf">[1]BG_DATA!$CC$72</definedName>
    <definedName name="bg_data_reverse_1b_outputs_total_sf_1_bed">[1]BG_DATA!$CC$74</definedName>
    <definedName name="bg_data_reverse_1b_outputs_total_sf_1_bed_plus_den">[1]BG_DATA!$CC$75</definedName>
    <definedName name="bg_data_reverse_1b_outputs_total_sf_2_bed">[1]BG_DATA!$CC$76</definedName>
    <definedName name="bg_data_reverse_1b_outputs_total_sf_2_bed_plus_den">[1]BG_DATA!$CC$77</definedName>
    <definedName name="bg_data_reverse_1b_outputs_total_sf_3_bed">[1]BG_DATA!$CC$78</definedName>
    <definedName name="bg_data_reverse_1b_outputs_total_sf_3_bed_plus_den">[1]BG_DATA!$CC$79</definedName>
    <definedName name="bg_data_reverse_1b_outputs_total_sf_4_bed">[1]BG_DATA!$CC$80</definedName>
    <definedName name="bg_data_reverse_1b_outputs_total_sf_4_bed_plus_den">[1]BG_DATA!$CC$81</definedName>
    <definedName name="bg_data_reverse_1b_outputs_total_sf_bachelor">[1]BG_DATA!$CC$73</definedName>
    <definedName name="bg_data_reverse_1b_outputs_total_units">[1]BG_DATA!$CC$62</definedName>
    <definedName name="bg_data_reverse_1b_outputs_total_units_1_bed">[1]BG_DATA!$CC$64</definedName>
    <definedName name="bg_data_reverse_1b_outputs_total_units_1_bed_plus_den">[1]BG_DATA!$CC$65</definedName>
    <definedName name="bg_data_reverse_1b_outputs_total_units_2_bed">[1]BG_DATA!$CC$66</definedName>
    <definedName name="bg_data_reverse_1b_outputs_total_units_2_bed_plus_den">[1]BG_DATA!$CC$67</definedName>
    <definedName name="bg_data_reverse_1b_outputs_total_units_3_bed">[1]BG_DATA!$CC$68</definedName>
    <definedName name="bg_data_reverse_1b_outputs_total_units_3_bed_plus_den">[1]BG_DATA!$CC$69</definedName>
    <definedName name="bg_data_reverse_1b_outputs_total_units_4_bed">[1]BG_DATA!$CC$70</definedName>
    <definedName name="bg_data_reverse_1b_outputs_total_units_4_bed_plus_den">[1]BG_DATA!$CC$71</definedName>
    <definedName name="bg_data_reverse_1b_outputs_total_units_bachelor">[1]BG_DATA!$CC$63</definedName>
    <definedName name="bg_data_reverse_1b_outputs_unit_mix">[1]BG_DATA!$CC$102</definedName>
    <definedName name="bg_data_reverse_1b_outputs_unit_mix_1_bed">[1]BG_DATA!$CC$104</definedName>
    <definedName name="bg_data_reverse_1b_outputs_unit_mix_1_bed_plus_den">[1]BG_DATA!$CC$105</definedName>
    <definedName name="bg_data_reverse_1b_outputs_unit_mix_2_bed">[1]BG_DATA!$CC$106</definedName>
    <definedName name="bg_data_reverse_1b_outputs_unit_mix_2_bed_plus_den">[1]BG_DATA!$CC$107</definedName>
    <definedName name="bg_data_reverse_1b_outputs_unit_mix_3_bed">[1]BG_DATA!$CC$108</definedName>
    <definedName name="bg_data_reverse_1b_outputs_unit_mix_3_bed_plus_den">[1]BG_DATA!$CC$109</definedName>
    <definedName name="bg_data_reverse_1b_outputs_unit_mix_4_bed">[1]BG_DATA!$CC$110</definedName>
    <definedName name="bg_data_reverse_1b_outputs_unit_mix_4_bed_plus_den">[1]BG_DATA!$CC$111</definedName>
    <definedName name="bg_data_reverse_1b_outputs_unit_mix_bachelor">[1]BG_DATA!$CC$103</definedName>
    <definedName name="bg_data_reverse_1b_outputs_valuation_at_stabilization">[1]BG_DATA!$CC$116</definedName>
    <definedName name="bg_data_reverse_1b_outputs_valuation_at_stabilization_base">[1]BG_DATA!$CC$120</definedName>
    <definedName name="bg_data_reverse_1b_outputs_valuation_at_stabilization_best">[1]BG_DATA!$CC$119</definedName>
    <definedName name="bg_data_reverse_1b_outputs_valuation_at_stabilization_per_sf">[1]BG_DATA!$CC$118</definedName>
    <definedName name="bg_data_reverse_1b_outputs_valuation_at_stabilization_per_unit">[1]BG_DATA!$CC$117</definedName>
    <definedName name="bg_data_reverse_1b_outputs_valuation_at_stabilization_worst">[1]BG_DATA!$CC$121</definedName>
    <definedName name="proposal_reverse_1b_assumptions_selling_cost_percentage">Sheet1!$D$211</definedName>
    <definedName name="setup_report_info_include_reverse_1B">'[1]1) Setup'!$D$69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7" i="1" l="1"/>
  <c r="R57" i="1"/>
  <c r="S56" i="1"/>
  <c r="R56" i="1"/>
  <c r="S55" i="1"/>
  <c r="R55" i="1"/>
  <c r="U52" i="1"/>
  <c r="T52" i="1"/>
  <c r="R52" i="1"/>
  <c r="Q52" i="1"/>
  <c r="U51" i="1"/>
  <c r="T51" i="1"/>
  <c r="R51" i="1"/>
  <c r="Q51" i="1"/>
  <c r="U50" i="1"/>
  <c r="T50" i="1"/>
  <c r="R50" i="1"/>
  <c r="Q50" i="1"/>
  <c r="U49" i="1"/>
  <c r="T49" i="1"/>
  <c r="R49" i="1"/>
  <c r="Q49" i="1"/>
  <c r="U48" i="1"/>
  <c r="T48" i="1"/>
  <c r="R48" i="1"/>
  <c r="Q48" i="1"/>
  <c r="U47" i="1"/>
  <c r="T47" i="1"/>
  <c r="R47" i="1"/>
  <c r="Q47" i="1"/>
  <c r="U46" i="1"/>
  <c r="T46" i="1"/>
  <c r="R46" i="1"/>
  <c r="Q46" i="1"/>
  <c r="U45" i="1"/>
  <c r="T45" i="1"/>
  <c r="R45" i="1"/>
  <c r="Q45" i="1"/>
  <c r="U44" i="1"/>
  <c r="T44" i="1"/>
  <c r="R44" i="1"/>
  <c r="Q44" i="1"/>
  <c r="U43" i="1"/>
  <c r="T43" i="1"/>
  <c r="R43" i="1"/>
  <c r="Q43" i="1"/>
  <c r="U40" i="1"/>
  <c r="T40" i="1"/>
  <c r="S40" i="1"/>
  <c r="R40" i="1"/>
  <c r="Q40" i="1"/>
  <c r="U39" i="1"/>
  <c r="T39" i="1"/>
  <c r="S39" i="1"/>
  <c r="R39" i="1"/>
  <c r="Q39" i="1"/>
  <c r="U38" i="1"/>
  <c r="T38" i="1"/>
  <c r="S38" i="1"/>
  <c r="R38" i="1"/>
  <c r="Q38" i="1"/>
  <c r="U37" i="1"/>
  <c r="T37" i="1"/>
  <c r="S37" i="1"/>
  <c r="R37" i="1"/>
  <c r="Q37" i="1"/>
  <c r="U36" i="1"/>
  <c r="T36" i="1"/>
  <c r="S36" i="1"/>
  <c r="R36" i="1"/>
  <c r="Q36" i="1"/>
  <c r="U35" i="1"/>
  <c r="T35" i="1"/>
  <c r="S35" i="1"/>
  <c r="R35" i="1"/>
  <c r="Q35" i="1"/>
  <c r="U34" i="1"/>
  <c r="T34" i="1"/>
  <c r="S34" i="1"/>
  <c r="R34" i="1"/>
  <c r="Q34" i="1"/>
  <c r="U33" i="1"/>
  <c r="T33" i="1"/>
  <c r="S33" i="1"/>
  <c r="R33" i="1"/>
  <c r="Q33" i="1"/>
  <c r="U32" i="1"/>
  <c r="T32" i="1"/>
  <c r="S32" i="1"/>
  <c r="R32" i="1"/>
  <c r="Q32" i="1"/>
  <c r="U31" i="1"/>
  <c r="T31" i="1"/>
  <c r="S31" i="1"/>
  <c r="R31" i="1"/>
  <c r="Q31" i="1"/>
  <c r="U28" i="1"/>
  <c r="S28" i="1"/>
  <c r="Q28" i="1"/>
  <c r="U27" i="1"/>
  <c r="S27" i="1"/>
  <c r="Q27" i="1"/>
  <c r="U26" i="1"/>
  <c r="S26" i="1"/>
  <c r="Q26" i="1"/>
  <c r="U25" i="1"/>
  <c r="S25" i="1"/>
  <c r="Q25" i="1"/>
  <c r="U24" i="1"/>
  <c r="S24" i="1"/>
  <c r="Q24" i="1"/>
  <c r="U23" i="1"/>
  <c r="S23" i="1"/>
  <c r="Q23" i="1"/>
  <c r="S20" i="1"/>
  <c r="S19" i="1"/>
  <c r="U18" i="1"/>
  <c r="S18" i="1"/>
  <c r="Q18" i="1"/>
  <c r="U17" i="1"/>
  <c r="S17" i="1"/>
  <c r="Q17" i="1"/>
  <c r="U16" i="1"/>
  <c r="S16" i="1"/>
  <c r="Q16" i="1"/>
  <c r="U15" i="1"/>
  <c r="S15" i="1"/>
  <c r="Q15" i="1"/>
  <c r="U14" i="1"/>
  <c r="S14" i="1"/>
  <c r="Q14" i="1"/>
  <c r="O14" i="1"/>
  <c r="U13" i="1"/>
  <c r="S13" i="1"/>
  <c r="Q13" i="1"/>
  <c r="O13" i="1"/>
  <c r="U12" i="1"/>
  <c r="S12" i="1"/>
  <c r="Q12" i="1"/>
  <c r="U11" i="1"/>
  <c r="S11" i="1"/>
  <c r="Q11" i="1"/>
  <c r="M27" i="1"/>
  <c r="M26" i="1"/>
  <c r="M25" i="1"/>
  <c r="M24" i="1"/>
  <c r="M22" i="1"/>
  <c r="M21" i="1"/>
  <c r="M19" i="1"/>
  <c r="M18" i="1"/>
  <c r="M16" i="1"/>
  <c r="M15" i="1"/>
  <c r="M14" i="1"/>
  <c r="M13" i="1"/>
  <c r="M12" i="1"/>
  <c r="K12" i="1"/>
  <c r="M11" i="1"/>
  <c r="M10" i="1"/>
</calcChain>
</file>

<file path=xl/sharedStrings.xml><?xml version="1.0" encoding="utf-8"?>
<sst xmlns="http://schemas.openxmlformats.org/spreadsheetml/2006/main" count="172" uniqueCount="148">
  <si>
    <t>OPEN</t>
  </si>
  <si>
    <t>NO</t>
  </si>
  <si>
    <t>5.  Reverse 1B</t>
  </si>
  <si>
    <t/>
  </si>
  <si>
    <t>What Reverse 1B assumptions are you making?</t>
  </si>
  <si>
    <t>Enter the Reverse 1B information below.</t>
  </si>
  <si>
    <t>Project Start Date</t>
  </si>
  <si>
    <t>Sensitivity</t>
  </si>
  <si>
    <t>General</t>
  </si>
  <si>
    <t>Sensitivity Rent Percentage</t>
  </si>
  <si>
    <t>Sensitivity Operating Expenses Percentage</t>
  </si>
  <si>
    <t>Operating Expense Variance Percentage (Base)</t>
  </si>
  <si>
    <t>Construction S-Curve Option</t>
  </si>
  <si>
    <t>Construction Cost Option</t>
  </si>
  <si>
    <t>Loan Option</t>
  </si>
  <si>
    <t>Assumptions</t>
  </si>
  <si>
    <t>Selling Cost Percentage</t>
  </si>
  <si>
    <t>Profit Percentage</t>
  </si>
  <si>
    <t>Annual Revenue Inflation Percentage</t>
  </si>
  <si>
    <t>Annual Cost Inflation Percentage</t>
  </si>
  <si>
    <t>Minimum NOI Coverage</t>
  </si>
  <si>
    <t>Maximum LTV at Stabilization Percentage</t>
  </si>
  <si>
    <t>Permanent Loan Interest Rate Percentage</t>
  </si>
  <si>
    <t>Loan Term, in Years</t>
  </si>
  <si>
    <t>Development Costs Adjustment Percentage</t>
  </si>
  <si>
    <t>P</t>
  </si>
  <si>
    <t>Tax Calculations  (retrieve numbers from ….)</t>
  </si>
  <si>
    <t>Consideration Cutoff Level 1</t>
  </si>
  <si>
    <t>Consideration Cutoff Level 2</t>
  </si>
  <si>
    <t>Consideration Cutoff Level 3</t>
  </si>
  <si>
    <t>Consideration Cutoff Level 4</t>
  </si>
  <si>
    <t>Consideration Addition Level 1</t>
  </si>
  <si>
    <t>Consideration Addition Level 2</t>
  </si>
  <si>
    <t>Consideration Addition Level 3</t>
  </si>
  <si>
    <t>Consideration Addition Level 4</t>
  </si>
  <si>
    <t>Consideration Divisor Level 1</t>
  </si>
  <si>
    <t>Consideration Divisor Level 2</t>
  </si>
  <si>
    <t>Consideration Divisor Level 3</t>
  </si>
  <si>
    <t>Consideration Divisor Level 4</t>
  </si>
  <si>
    <t>Federal Rebate Cutoff</t>
  </si>
  <si>
    <t>Federal Rebate Base</t>
  </si>
  <si>
    <t>Federal Rebate Multiplier</t>
  </si>
  <si>
    <t>Federal Rebate Divisor</t>
  </si>
  <si>
    <t>Federal Rebate Percentage 1</t>
  </si>
  <si>
    <t>Federal Rebate Percentage 2</t>
  </si>
  <si>
    <t>Provincial Rebate Cutoff</t>
  </si>
  <si>
    <t>Schedule Monthly Offsets</t>
  </si>
  <si>
    <t>Land Purchase</t>
  </si>
  <si>
    <t>Pre-Development</t>
  </si>
  <si>
    <t>Construction</t>
  </si>
  <si>
    <t>Lease-Up</t>
  </si>
  <si>
    <t>Stabilization</t>
  </si>
  <si>
    <t>Schedule Monthly Durations</t>
  </si>
  <si>
    <t>Development Costs</t>
  </si>
  <si>
    <t>Land:  Land Percentage</t>
  </si>
  <si>
    <t>Land:  Closing/Other Percentage</t>
  </si>
  <si>
    <t>Construction:  Non-Contingency Adjustment Bump-Down Percentage</t>
  </si>
  <si>
    <t>Construction:  Hard Costs Percentage</t>
  </si>
  <si>
    <t>Construction:  Offsite/Site Work Percentage</t>
  </si>
  <si>
    <t>Construction:  Contingency Percentage</t>
  </si>
  <si>
    <t>Professional Fees:  All Fees Percentage</t>
  </si>
  <si>
    <t>Professional Fees:  Contingency Percentage</t>
  </si>
  <si>
    <t>Development Management:  Development Management Fee Percentage</t>
  </si>
  <si>
    <t>Permits and Approvals:  City Development Charges Less than 700 SF</t>
  </si>
  <si>
    <t>Permits and Approvals:  City Development Charges Greater than 700 SF</t>
  </si>
  <si>
    <t>Permits and Approvals:  Submeter Installation Fee Credit</t>
  </si>
  <si>
    <t>Permits and Approvals:  Other (Pre-Development) Percentage</t>
  </si>
  <si>
    <t>Permits and Approvals:  Other (Through Construction) Percentage</t>
  </si>
  <si>
    <t>Permits and Approvals:  Contingency Percentage</t>
  </si>
  <si>
    <t>Marketing and Leasing:  Tenant Inducement Months of Revenue</t>
  </si>
  <si>
    <t>Marketing and Leasing:  Commissions and Incentive Months of Revenue</t>
  </si>
  <si>
    <t>Marketing and Leasing:  Sales Staff Months of Revenue</t>
  </si>
  <si>
    <t>Marketing and Leasing:  Marketing Months of Revenue</t>
  </si>
  <si>
    <t>Financing and Interest:  Mezzanine Debt Percentage</t>
  </si>
  <si>
    <t>Financing and Interest:  Regular Debt Percentage</t>
  </si>
  <si>
    <t>Financing and Interest:  Mezzanine Debt Interest Rate Percentage</t>
  </si>
  <si>
    <t>Financing and Interest:  Regular Debt Interest Rate Percentage</t>
  </si>
  <si>
    <t>Financing and Interest:  Theoretical Equity Bump Up ($)</t>
  </si>
  <si>
    <t>Financing and Interest:  Financing Fees Percentage</t>
  </si>
  <si>
    <t>Financing and Interest:  Other (Land Purchase) Percentage</t>
  </si>
  <si>
    <t>Financing and Interest:  Other (Through Construction) Percentage</t>
  </si>
  <si>
    <t>Financing and Interest:  Contingency Percentage</t>
  </si>
  <si>
    <t>Yes</t>
  </si>
  <si>
    <t>Financing and Interest:  Include HST?</t>
  </si>
  <si>
    <t>Flat</t>
  </si>
  <si>
    <t>S Curve</t>
  </si>
  <si>
    <t>Lesser</t>
  </si>
  <si>
    <t xml:space="preserve">Example Inputs For Reverse 1B in Report Generator </t>
  </si>
  <si>
    <t>Reverse 1B:  Cover Page</t>
  </si>
  <si>
    <t>NOI At Stabilization</t>
  </si>
  <si>
    <t>Capitalization Rate</t>
  </si>
  <si>
    <t>Selling Costs</t>
  </si>
  <si>
    <t>Sales Proceeds</t>
  </si>
  <si>
    <t>Development Cost</t>
  </si>
  <si>
    <t>Profit Before Taxes, If Sold At Stabilization</t>
  </si>
  <si>
    <t>Return On Cost</t>
  </si>
  <si>
    <t>Development Yield</t>
  </si>
  <si>
    <t>IRR Upon Stabilization, If Sold</t>
  </si>
  <si>
    <t>IRR 10-Year</t>
  </si>
  <si>
    <t>Construction Costs Per Unit</t>
  </si>
  <si>
    <t>Construction Costs Per SF</t>
  </si>
  <si>
    <t>Value Per Unit At Stabilization</t>
  </si>
  <si>
    <t>Value Per SF At Stabilization</t>
  </si>
  <si>
    <t>Reverse 1B:  Executive Summary</t>
  </si>
  <si>
    <t>OVERVIEW</t>
  </si>
  <si>
    <t>Best Case</t>
  </si>
  <si>
    <t>Base Case</t>
  </si>
  <si>
    <t>Worst Case</t>
  </si>
  <si>
    <t>Net Operating Income At Stabilization</t>
  </si>
  <si>
    <t>RETURN ON COST</t>
  </si>
  <si>
    <t>SCHEDULE</t>
  </si>
  <si>
    <t>From</t>
  </si>
  <si>
    <t>To</t>
  </si>
  <si>
    <t>Months</t>
  </si>
  <si>
    <t>TOTAL</t>
  </si>
  <si>
    <t>UNIT MIX</t>
  </si>
  <si>
    <t>Total Units</t>
  </si>
  <si>
    <t>Total SF</t>
  </si>
  <si>
    <t>Unit Mix</t>
  </si>
  <si>
    <t>Avg Rent</t>
  </si>
  <si>
    <t>Avg $ Per SF</t>
  </si>
  <si>
    <t>Bachelor</t>
  </si>
  <si>
    <t>1-Bed</t>
  </si>
  <si>
    <t>1-Bed Plus Den</t>
  </si>
  <si>
    <t>2-Bed</t>
  </si>
  <si>
    <t>2-Bed Plus Den</t>
  </si>
  <si>
    <t>3-Bed</t>
  </si>
  <si>
    <t>3-Bed Plus Den</t>
  </si>
  <si>
    <t>4-Bed</t>
  </si>
  <si>
    <t>4-Bed Plus Den</t>
  </si>
  <si>
    <t>DEVELOPMENT COSTS</t>
  </si>
  <si>
    <t>%</t>
  </si>
  <si>
    <t>Total Cost</t>
  </si>
  <si>
    <t>Per Unit Cost</t>
  </si>
  <si>
    <t>Per SF Cost</t>
  </si>
  <si>
    <t>Land</t>
  </si>
  <si>
    <t>Professional Fees</t>
  </si>
  <si>
    <t>Development Management</t>
  </si>
  <si>
    <t>Permits And Approvals</t>
  </si>
  <si>
    <t>Marketing And Leasing</t>
  </si>
  <si>
    <t>Financing And Interest</t>
  </si>
  <si>
    <t>Taxes, HST, VAT</t>
  </si>
  <si>
    <t>Operating Income During Lease-Up</t>
  </si>
  <si>
    <t>CONSTRUCTION FINANCING</t>
  </si>
  <si>
    <t>Percentage</t>
  </si>
  <si>
    <t>Dollars</t>
  </si>
  <si>
    <t>Construction Loan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</si>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</sst>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;[Red]\(0.0%\);\-"/>
    <numFmt numFmtId="165" formatCode="0.00%;[Red]\(0.00%\);\-"/>
    <numFmt numFmtId="166" formatCode="#,##0.0;[Red]\(#,##0.0\);\-"/>
    <numFmt numFmtId="167" formatCode="0%;[Red]\(0%\);\-"/>
    <numFmt numFmtId="168" formatCode="0.000%;[Red]\(0.000%\);\-"/>
    <numFmt numFmtId="169" formatCode="#,##0;[Red]\(#,##0\);\-"/>
    <numFmt numFmtId="170" formatCode="&quot;$&quot;#,##0;[Red]\(&quot;$&quot;#,##0\);\-"/>
    <numFmt numFmtId="171" formatCode="#,##0.000;[Red]\(#,##0.000\);\-"/>
    <numFmt numFmtId="172" formatCode="&quot;$&quot;#,##0.00;[Red]\(&quot;$&quot;#,##0.00\);\-"/>
    <numFmt numFmtId="173" formatCode="0.0%"/>
    <numFmt numFmtId="174" formatCode="mmm/yy;\(mmm/yy\);\-"/>
  </numFmts>
  <fonts count="14" x14ac:knownFonts="1">
    <font>
      <sz val="12"/>
      <color theme="1"/>
      <name val="Aptos Narrow"/>
      <family val="2"/>
      <scheme val="minor"/>
    </font>
    <font>
      <b/>
      <sz val="26"/>
      <color rgb="FFFF6600"/>
      <name val="Calibri"/>
      <family val="2"/>
    </font>
    <font>
      <b/>
      <sz val="11"/>
      <color rgb="FFFF6600"/>
      <name val="Calibri"/>
      <family val="2"/>
    </font>
    <font>
      <sz val="11"/>
      <color rgb="FFFF6600"/>
      <name val="Calibri"/>
      <family val="2"/>
    </font>
    <font>
      <sz val="11"/>
      <color theme="0"/>
      <name val="Aptos Narrow"/>
      <family val="2"/>
      <scheme val="minor"/>
    </font>
    <font>
      <b/>
      <sz val="18"/>
      <color theme="4"/>
      <name val="Daytona"/>
      <family val="2"/>
    </font>
    <font>
      <b/>
      <sz val="25"/>
      <color rgb="FF00B050"/>
      <name val="Wingdings 2"/>
      <family val="1"/>
      <charset val="2"/>
    </font>
    <font>
      <b/>
      <sz val="14"/>
      <color theme="5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25"/>
      <color theme="1"/>
      <name val="Aptos Display"/>
      <scheme val="major"/>
    </font>
    <font>
      <b/>
      <sz val="11"/>
      <color theme="1"/>
      <name val="Aptos Narrow"/>
      <family val="2"/>
      <scheme val="minor"/>
    </font>
    <font>
      <b/>
      <sz val="13"/>
      <color theme="5"/>
      <name val="Aptos Narrow"/>
      <family val="2"/>
      <scheme val="minor"/>
    </font>
    <font>
      <b/>
      <sz val="12"/>
      <color theme="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 style="thick">
        <color theme="5"/>
      </left>
      <right/>
      <top/>
      <bottom style="dotted">
        <color theme="4"/>
      </bottom>
      <diagonal/>
    </border>
    <border>
      <left/>
      <right/>
      <top/>
      <bottom style="dotted">
        <color theme="4"/>
      </bottom>
      <diagonal/>
    </border>
    <border>
      <left/>
      <right style="thick">
        <color theme="5"/>
      </right>
      <top/>
      <bottom/>
      <diagonal/>
    </border>
    <border>
      <left/>
      <right/>
      <top/>
      <bottom style="thick">
        <color theme="5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 applyProtection="1">
      <alignment horizontal="left" vertical="center" indent="1"/>
      <protection hidden="1"/>
    </xf>
    <xf numFmtId="0" fontId="8" fillId="2" borderId="1" xfId="0" applyFont="1" applyFill="1" applyBorder="1" applyAlignment="1" applyProtection="1">
      <alignment horizontal="left" vertical="center" indent="1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4" fontId="8" fillId="2" borderId="1" xfId="0" applyNumberFormat="1" applyFont="1" applyFill="1" applyBorder="1" applyAlignment="1" applyProtection="1">
      <alignment horizontal="left" vertical="center" indent="1"/>
      <protection locked="0"/>
    </xf>
    <xf numFmtId="165" fontId="8" fillId="2" borderId="1" xfId="0" applyNumberFormat="1" applyFont="1" applyFill="1" applyBorder="1" applyAlignment="1" applyProtection="1">
      <alignment horizontal="left" vertical="center" indent="1"/>
      <protection locked="0"/>
    </xf>
    <xf numFmtId="166" fontId="8" fillId="2" borderId="1" xfId="0" applyNumberFormat="1" applyFont="1" applyFill="1" applyBorder="1" applyAlignment="1" applyProtection="1">
      <alignment horizontal="left" vertical="center" indent="1"/>
      <protection locked="0"/>
    </xf>
    <xf numFmtId="167" fontId="8" fillId="2" borderId="1" xfId="0" applyNumberFormat="1" applyFont="1" applyFill="1" applyBorder="1" applyAlignment="1" applyProtection="1">
      <alignment horizontal="left" vertical="center" indent="1"/>
      <protection locked="0"/>
    </xf>
    <xf numFmtId="168" fontId="8" fillId="2" borderId="1" xfId="0" applyNumberFormat="1" applyFont="1" applyFill="1" applyBorder="1" applyAlignment="1" applyProtection="1">
      <alignment horizontal="left" vertical="center" indent="1"/>
      <protection locked="0"/>
    </xf>
    <xf numFmtId="169" fontId="8" fillId="2" borderId="1" xfId="0" applyNumberFormat="1" applyFont="1" applyFill="1" applyBorder="1" applyAlignment="1" applyProtection="1">
      <alignment horizontal="left" vertical="center" indent="1"/>
      <protection locked="0"/>
    </xf>
    <xf numFmtId="170" fontId="8" fillId="2" borderId="1" xfId="0" applyNumberFormat="1" applyFont="1" applyFill="1" applyBorder="1" applyAlignment="1" applyProtection="1">
      <alignment horizontal="left" vertical="center" indent="1"/>
      <protection locked="0"/>
    </xf>
    <xf numFmtId="171" fontId="8" fillId="2" borderId="1" xfId="0" applyNumberFormat="1" applyFont="1" applyFill="1" applyBorder="1" applyAlignment="1" applyProtection="1">
      <alignment horizontal="left" vertical="center" indent="1"/>
      <protection locked="0"/>
    </xf>
    <xf numFmtId="0" fontId="4" fillId="3" borderId="0" xfId="0" applyFont="1" applyFill="1" applyAlignment="1" applyProtection="1">
      <alignment horizontal="left" vertical="center" indent="1"/>
      <protection hidden="1"/>
    </xf>
    <xf numFmtId="0" fontId="0" fillId="3" borderId="0" xfId="0" applyFill="1" applyAlignment="1" applyProtection="1">
      <alignment horizontal="left" vertical="center" indent="1"/>
      <protection hidden="1"/>
    </xf>
    <xf numFmtId="0" fontId="0" fillId="3" borderId="0" xfId="0" applyFill="1" applyAlignment="1" applyProtection="1">
      <alignment horizontal="left" vertical="center" indent="2"/>
      <protection hidden="1"/>
    </xf>
    <xf numFmtId="0" fontId="0" fillId="3" borderId="0" xfId="0" applyFill="1"/>
    <xf numFmtId="0" fontId="5" fillId="3" borderId="0" xfId="0" applyFont="1" applyFill="1" applyAlignment="1" applyProtection="1">
      <alignment horizontal="left" vertical="center" indent="1"/>
      <protection hidden="1"/>
    </xf>
    <xf numFmtId="0" fontId="7" fillId="3" borderId="0" xfId="0" applyFont="1" applyFill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left" vertical="top" indent="1"/>
      <protection hidden="1"/>
    </xf>
    <xf numFmtId="14" fontId="8" fillId="3" borderId="1" xfId="0" applyNumberFormat="1" applyFont="1" applyFill="1" applyBorder="1" applyAlignment="1" applyProtection="1">
      <alignment horizontal="left" vertical="center" indent="1"/>
      <protection locked="0"/>
    </xf>
    <xf numFmtId="0" fontId="8" fillId="3" borderId="0" xfId="0" applyFont="1" applyFill="1" applyAlignment="1" applyProtection="1">
      <alignment horizontal="left" vertical="center" indent="2"/>
      <protection hidden="1"/>
    </xf>
    <xf numFmtId="0" fontId="8" fillId="3" borderId="1" xfId="0" applyFont="1" applyFill="1" applyBorder="1" applyAlignment="1" applyProtection="1">
      <alignment horizontal="left" vertical="center" indent="1"/>
      <protection locked="0"/>
    </xf>
    <xf numFmtId="0" fontId="9" fillId="3" borderId="0" xfId="0" applyFont="1" applyFill="1" applyAlignment="1" applyProtection="1">
      <alignment horizontal="left" vertical="center" indent="2"/>
      <protection hidden="1"/>
    </xf>
    <xf numFmtId="0" fontId="0" fillId="2" borderId="0" xfId="0" applyFill="1"/>
    <xf numFmtId="0" fontId="10" fillId="2" borderId="0" xfId="0" applyFont="1" applyFill="1" applyAlignment="1" applyProtection="1">
      <alignment horizontal="left" vertical="center" indent="1"/>
      <protection hidden="1"/>
    </xf>
    <xf numFmtId="0" fontId="7" fillId="4" borderId="0" xfId="0" applyFont="1" applyFill="1" applyAlignment="1" applyProtection="1">
      <alignment horizontal="left" vertical="center" indent="1"/>
      <protection hidden="1"/>
    </xf>
    <xf numFmtId="0" fontId="7" fillId="4" borderId="0" xfId="0" applyFont="1" applyFill="1" applyAlignment="1" applyProtection="1">
      <alignment vertical="center"/>
      <protection hidden="1"/>
    </xf>
    <xf numFmtId="0" fontId="0" fillId="4" borderId="0" xfId="0" applyFill="1" applyAlignment="1" applyProtection="1">
      <alignment horizontal="left" vertical="center" indent="1"/>
      <protection hidden="1"/>
    </xf>
    <xf numFmtId="0" fontId="0" fillId="4" borderId="0" xfId="0" applyFill="1" applyAlignment="1" applyProtection="1">
      <alignment horizontal="left" vertical="center" indent="2"/>
      <protection hidden="1"/>
    </xf>
    <xf numFmtId="0" fontId="11" fillId="4" borderId="2" xfId="0" applyFont="1" applyFill="1" applyBorder="1" applyAlignment="1" applyProtection="1">
      <alignment horizontal="left" vertical="center" indent="1"/>
      <protection hidden="1"/>
    </xf>
    <xf numFmtId="0" fontId="0" fillId="4" borderId="3" xfId="0" applyFill="1" applyBorder="1" applyAlignment="1" applyProtection="1">
      <alignment horizontal="left" vertical="center" indent="1"/>
      <protection hidden="1"/>
    </xf>
    <xf numFmtId="170" fontId="0" fillId="4" borderId="3" xfId="0" applyNumberFormat="1" applyFill="1" applyBorder="1" applyAlignment="1" applyProtection="1">
      <alignment horizontal="right" vertical="center" indent="1"/>
      <protection hidden="1"/>
    </xf>
    <xf numFmtId="0" fontId="11" fillId="4" borderId="4" xfId="0" applyFont="1" applyFill="1" applyBorder="1" applyAlignment="1" applyProtection="1">
      <alignment horizontal="left" vertical="center" indent="1"/>
      <protection hidden="1"/>
    </xf>
    <xf numFmtId="165" fontId="0" fillId="4" borderId="0" xfId="0" applyNumberFormat="1" applyFill="1" applyAlignment="1" applyProtection="1">
      <alignment horizontal="right" vertical="center" indent="1"/>
      <protection hidden="1"/>
    </xf>
    <xf numFmtId="0" fontId="11" fillId="5" borderId="4" xfId="0" applyFont="1" applyFill="1" applyBorder="1" applyAlignment="1" applyProtection="1">
      <alignment horizontal="left" vertical="center" indent="1"/>
      <protection hidden="1"/>
    </xf>
    <xf numFmtId="0" fontId="0" fillId="5" borderId="0" xfId="0" applyFill="1" applyAlignment="1" applyProtection="1">
      <alignment horizontal="left" vertical="center" indent="1"/>
      <protection hidden="1"/>
    </xf>
    <xf numFmtId="170" fontId="11" fillId="5" borderId="0" xfId="0" applyNumberFormat="1" applyFont="1" applyFill="1" applyAlignment="1" applyProtection="1">
      <alignment horizontal="right" vertical="center" indent="1"/>
      <protection hidden="1"/>
    </xf>
    <xf numFmtId="0" fontId="11" fillId="4" borderId="5" xfId="0" applyFont="1" applyFill="1" applyBorder="1" applyAlignment="1" applyProtection="1">
      <alignment horizontal="left" vertical="center" indent="1"/>
      <protection hidden="1"/>
    </xf>
    <xf numFmtId="0" fontId="0" fillId="4" borderId="6" xfId="0" applyFill="1" applyBorder="1" applyAlignment="1" applyProtection="1">
      <alignment horizontal="left" vertical="center" indent="1"/>
      <protection hidden="1"/>
    </xf>
    <xf numFmtId="170" fontId="0" fillId="4" borderId="6" xfId="0" applyNumberFormat="1" applyFill="1" applyBorder="1" applyAlignment="1" applyProtection="1">
      <alignment horizontal="right" vertical="center" indent="1"/>
      <protection hidden="1"/>
    </xf>
    <xf numFmtId="170" fontId="0" fillId="4" borderId="0" xfId="0" applyNumberFormat="1" applyFill="1" applyAlignment="1" applyProtection="1">
      <alignment horizontal="right" vertical="center" indent="1"/>
      <protection hidden="1"/>
    </xf>
    <xf numFmtId="0" fontId="0" fillId="4" borderId="0" xfId="0" applyFill="1" applyAlignment="1" applyProtection="1">
      <alignment horizontal="right" vertical="center" indent="1"/>
      <protection hidden="1"/>
    </xf>
    <xf numFmtId="164" fontId="0" fillId="4" borderId="0" xfId="0" applyNumberFormat="1" applyFill="1" applyAlignment="1" applyProtection="1">
      <alignment horizontal="right" vertical="center" indent="1"/>
      <protection hidden="1"/>
    </xf>
    <xf numFmtId="164" fontId="11" fillId="5" borderId="0" xfId="0" applyNumberFormat="1" applyFont="1" applyFill="1" applyAlignment="1" applyProtection="1">
      <alignment horizontal="right" vertical="center" indent="1"/>
      <protection hidden="1"/>
    </xf>
    <xf numFmtId="172" fontId="11" fillId="5" borderId="0" xfId="0" applyNumberFormat="1" applyFont="1" applyFill="1" applyAlignment="1" applyProtection="1">
      <alignment horizontal="right" vertical="center" indent="1"/>
      <protection hidden="1"/>
    </xf>
    <xf numFmtId="0" fontId="12" fillId="4" borderId="0" xfId="0" applyFont="1" applyFill="1" applyAlignment="1" applyProtection="1">
      <alignment vertical="center"/>
      <protection hidden="1"/>
    </xf>
    <xf numFmtId="0" fontId="13" fillId="4" borderId="0" xfId="0" applyFont="1" applyFill="1" applyAlignment="1" applyProtection="1">
      <alignment horizontal="left" vertical="center" indent="1"/>
      <protection hidden="1"/>
    </xf>
    <xf numFmtId="0" fontId="11" fillId="4" borderId="0" xfId="0" applyFont="1" applyFill="1" applyAlignment="1" applyProtection="1">
      <alignment horizontal="right" vertical="center"/>
      <protection hidden="1"/>
    </xf>
    <xf numFmtId="0" fontId="11" fillId="4" borderId="0" xfId="0" applyFont="1" applyFill="1" applyAlignment="1" applyProtection="1">
      <alignment horizontal="right" vertical="center" indent="1"/>
      <protection hidden="1"/>
    </xf>
    <xf numFmtId="0" fontId="11" fillId="4" borderId="0" xfId="0" applyFont="1" applyFill="1" applyAlignment="1" applyProtection="1">
      <alignment horizontal="left" vertical="center" indent="1"/>
      <protection hidden="1"/>
    </xf>
    <xf numFmtId="170" fontId="0" fillId="4" borderId="2" xfId="0" applyNumberFormat="1" applyFill="1" applyBorder="1" applyAlignment="1" applyProtection="1">
      <alignment horizontal="right" vertical="center"/>
      <protection hidden="1"/>
    </xf>
    <xf numFmtId="170" fontId="0" fillId="4" borderId="3" xfId="0" applyNumberFormat="1" applyFill="1" applyBorder="1" applyAlignment="1" applyProtection="1">
      <alignment horizontal="right" vertical="center"/>
      <protection hidden="1"/>
    </xf>
    <xf numFmtId="165" fontId="0" fillId="4" borderId="4" xfId="0" applyNumberFormat="1" applyFill="1" applyBorder="1" applyAlignment="1" applyProtection="1">
      <alignment horizontal="right" vertical="center"/>
      <protection hidden="1"/>
    </xf>
    <xf numFmtId="165" fontId="0" fillId="4" borderId="0" xfId="0" applyNumberFormat="1" applyFill="1" applyAlignment="1" applyProtection="1">
      <alignment horizontal="right" vertical="center"/>
      <protection hidden="1"/>
    </xf>
    <xf numFmtId="170" fontId="0" fillId="4" borderId="4" xfId="0" applyNumberFormat="1" applyFill="1" applyBorder="1" applyAlignment="1" applyProtection="1">
      <alignment horizontal="right" vertical="center"/>
      <protection hidden="1"/>
    </xf>
    <xf numFmtId="170" fontId="0" fillId="4" borderId="0" xfId="0" applyNumberFormat="1" applyFill="1" applyAlignment="1" applyProtection="1">
      <alignment horizontal="right" vertical="center"/>
      <protection hidden="1"/>
    </xf>
    <xf numFmtId="0" fontId="11" fillId="4" borderId="6" xfId="0" applyFont="1" applyFill="1" applyBorder="1" applyAlignment="1" applyProtection="1">
      <alignment horizontal="left" vertical="center" indent="1"/>
      <protection hidden="1"/>
    </xf>
    <xf numFmtId="0" fontId="0" fillId="4" borderId="6" xfId="0" applyFill="1" applyBorder="1" applyAlignment="1" applyProtection="1">
      <alignment horizontal="left" vertical="center" indent="2"/>
      <protection hidden="1"/>
    </xf>
    <xf numFmtId="170" fontId="0" fillId="4" borderId="5" xfId="0" applyNumberFormat="1" applyFill="1" applyBorder="1" applyAlignment="1" applyProtection="1">
      <alignment horizontal="right" vertical="center"/>
      <protection hidden="1"/>
    </xf>
    <xf numFmtId="170" fontId="0" fillId="4" borderId="6" xfId="0" applyNumberFormat="1" applyFill="1" applyBorder="1" applyAlignment="1" applyProtection="1">
      <alignment horizontal="right" vertical="center"/>
      <protection hidden="1"/>
    </xf>
    <xf numFmtId="0" fontId="11" fillId="5" borderId="0" xfId="0" applyFont="1" applyFill="1" applyAlignment="1" applyProtection="1">
      <alignment horizontal="left" vertical="center" indent="1"/>
      <protection hidden="1"/>
    </xf>
    <xf numFmtId="0" fontId="0" fillId="5" borderId="0" xfId="0" applyFill="1" applyAlignment="1" applyProtection="1">
      <alignment horizontal="left" vertical="center" indent="2"/>
      <protection hidden="1"/>
    </xf>
    <xf numFmtId="164" fontId="11" fillId="5" borderId="4" xfId="0" applyNumberFormat="1" applyFont="1" applyFill="1" applyBorder="1" applyAlignment="1" applyProtection="1">
      <alignment horizontal="right" vertical="center"/>
      <protection hidden="1"/>
    </xf>
    <xf numFmtId="0" fontId="0" fillId="5" borderId="0" xfId="0" applyFill="1" applyAlignment="1" applyProtection="1">
      <alignment horizontal="right" vertical="center" indent="1"/>
      <protection hidden="1"/>
    </xf>
    <xf numFmtId="164" fontId="11" fillId="5" borderId="0" xfId="0" applyNumberFormat="1" applyFont="1" applyFill="1" applyAlignment="1" applyProtection="1">
      <alignment horizontal="right" vertical="center"/>
      <protection hidden="1"/>
    </xf>
    <xf numFmtId="0" fontId="0" fillId="4" borderId="7" xfId="0" applyFill="1" applyBorder="1" applyAlignment="1" applyProtection="1">
      <alignment horizontal="left" vertical="center" indent="2"/>
      <protection hidden="1"/>
    </xf>
    <xf numFmtId="164" fontId="11" fillId="4" borderId="0" xfId="0" applyNumberFormat="1" applyFont="1" applyFill="1" applyAlignment="1" applyProtection="1">
      <alignment horizontal="center" vertical="center"/>
      <protection hidden="1"/>
    </xf>
    <xf numFmtId="164" fontId="11" fillId="4" borderId="0" xfId="0" applyNumberFormat="1" applyFont="1" applyFill="1" applyAlignment="1" applyProtection="1">
      <alignment horizontal="right" vertical="center"/>
      <protection hidden="1"/>
    </xf>
    <xf numFmtId="173" fontId="11" fillId="4" borderId="0" xfId="0" applyNumberFormat="1" applyFont="1" applyFill="1" applyAlignment="1" applyProtection="1">
      <alignment horizontal="right" vertical="center" indent="1"/>
      <protection hidden="1"/>
    </xf>
    <xf numFmtId="0" fontId="11" fillId="4" borderId="0" xfId="0" applyFont="1" applyFill="1" applyAlignment="1" applyProtection="1">
      <alignment horizontal="left" vertical="center" wrapText="1" indent="1"/>
      <protection hidden="1"/>
    </xf>
    <xf numFmtId="174" fontId="0" fillId="4" borderId="2" xfId="0" applyNumberFormat="1" applyFill="1" applyBorder="1" applyAlignment="1" applyProtection="1">
      <alignment horizontal="right" vertical="center" indent="1"/>
      <protection hidden="1"/>
    </xf>
    <xf numFmtId="0" fontId="0" fillId="4" borderId="3" xfId="0" applyFill="1" applyBorder="1" applyAlignment="1" applyProtection="1">
      <alignment horizontal="right" vertical="center" indent="1"/>
      <protection hidden="1"/>
    </xf>
    <xf numFmtId="174" fontId="0" fillId="4" borderId="3" xfId="0" applyNumberFormat="1" applyFill="1" applyBorder="1" applyAlignment="1" applyProtection="1">
      <alignment horizontal="right" vertical="center" indent="1"/>
      <protection hidden="1"/>
    </xf>
    <xf numFmtId="169" fontId="0" fillId="4" borderId="3" xfId="0" applyNumberFormat="1" applyFill="1" applyBorder="1" applyAlignment="1" applyProtection="1">
      <alignment horizontal="right" vertical="center" indent="1"/>
      <protection hidden="1"/>
    </xf>
    <xf numFmtId="174" fontId="0" fillId="4" borderId="4" xfId="0" applyNumberFormat="1" applyFill="1" applyBorder="1" applyAlignment="1" applyProtection="1">
      <alignment horizontal="right" vertical="center" indent="1"/>
      <protection hidden="1"/>
    </xf>
    <xf numFmtId="174" fontId="0" fillId="4" borderId="0" xfId="0" applyNumberFormat="1" applyFill="1" applyAlignment="1" applyProtection="1">
      <alignment horizontal="right" vertical="center" indent="1"/>
      <protection hidden="1"/>
    </xf>
    <xf numFmtId="169" fontId="0" fillId="4" borderId="0" xfId="0" applyNumberFormat="1" applyFill="1" applyAlignment="1" applyProtection="1">
      <alignment horizontal="right" vertical="center" indent="1"/>
      <protection hidden="1"/>
    </xf>
    <xf numFmtId="0" fontId="11" fillId="5" borderId="0" xfId="0" applyFont="1" applyFill="1" applyAlignment="1" applyProtection="1">
      <alignment horizontal="left" vertical="center" wrapText="1" indent="1"/>
      <protection hidden="1"/>
    </xf>
    <xf numFmtId="174" fontId="11" fillId="5" borderId="4" xfId="0" applyNumberFormat="1" applyFont="1" applyFill="1" applyBorder="1" applyAlignment="1" applyProtection="1">
      <alignment horizontal="right" vertical="center" indent="1"/>
      <protection hidden="1"/>
    </xf>
    <xf numFmtId="174" fontId="11" fillId="5" borderId="0" xfId="0" applyNumberFormat="1" applyFont="1" applyFill="1" applyAlignment="1" applyProtection="1">
      <alignment horizontal="right" vertical="center" indent="1"/>
      <protection hidden="1"/>
    </xf>
    <xf numFmtId="169" fontId="11" fillId="5" borderId="0" xfId="0" applyNumberFormat="1" applyFont="1" applyFill="1" applyAlignment="1" applyProtection="1">
      <alignment horizontal="right" vertical="center" indent="1"/>
      <protection hidden="1"/>
    </xf>
    <xf numFmtId="169" fontId="0" fillId="4" borderId="2" xfId="0" applyNumberFormat="1" applyFill="1" applyBorder="1" applyAlignment="1" applyProtection="1">
      <alignment horizontal="right" vertical="center" indent="1"/>
      <protection hidden="1"/>
    </xf>
    <xf numFmtId="167" fontId="0" fillId="4" borderId="3" xfId="0" applyNumberFormat="1" applyFill="1" applyBorder="1" applyAlignment="1" applyProtection="1">
      <alignment horizontal="right" vertical="center" indent="1"/>
      <protection hidden="1"/>
    </xf>
    <xf numFmtId="172" fontId="0" fillId="4" borderId="3" xfId="0" applyNumberFormat="1" applyFill="1" applyBorder="1" applyAlignment="1" applyProtection="1">
      <alignment horizontal="right" vertical="center" indent="1"/>
      <protection hidden="1"/>
    </xf>
    <xf numFmtId="169" fontId="0" fillId="4" borderId="4" xfId="0" applyNumberFormat="1" applyFill="1" applyBorder="1" applyAlignment="1" applyProtection="1">
      <alignment horizontal="right" vertical="center" indent="1"/>
      <protection hidden="1"/>
    </xf>
    <xf numFmtId="167" fontId="0" fillId="4" borderId="0" xfId="0" applyNumberFormat="1" applyFill="1" applyAlignment="1" applyProtection="1">
      <alignment horizontal="right" vertical="center" indent="1"/>
      <protection hidden="1"/>
    </xf>
    <xf numFmtId="172" fontId="0" fillId="4" borderId="0" xfId="0" applyNumberFormat="1" applyFill="1" applyAlignment="1" applyProtection="1">
      <alignment horizontal="right" vertical="center" indent="1"/>
      <protection hidden="1"/>
    </xf>
    <xf numFmtId="169" fontId="11" fillId="5" borderId="4" xfId="0" applyNumberFormat="1" applyFont="1" applyFill="1" applyBorder="1" applyAlignment="1" applyProtection="1">
      <alignment horizontal="right" vertical="center" indent="1"/>
      <protection hidden="1"/>
    </xf>
    <xf numFmtId="167" fontId="11" fillId="5" borderId="0" xfId="0" applyNumberFormat="1" applyFont="1" applyFill="1" applyAlignment="1" applyProtection="1">
      <alignment horizontal="right" vertical="center" indent="1"/>
      <protection hidden="1"/>
    </xf>
    <xf numFmtId="0" fontId="11" fillId="4" borderId="8" xfId="0" applyFont="1" applyFill="1" applyBorder="1" applyAlignment="1" applyProtection="1">
      <alignment horizontal="right" vertical="center" indent="5"/>
      <protection hidden="1"/>
    </xf>
    <xf numFmtId="164" fontId="0" fillId="4" borderId="2" xfId="0" applyNumberFormat="1" applyFill="1" applyBorder="1" applyAlignment="1" applyProtection="1">
      <alignment horizontal="right" vertical="center" indent="1"/>
      <protection hidden="1"/>
    </xf>
    <xf numFmtId="170" fontId="0" fillId="4" borderId="3" xfId="0" applyNumberFormat="1" applyFill="1" applyBorder="1" applyAlignment="1" applyProtection="1">
      <alignment horizontal="right" vertical="center" indent="5"/>
      <protection hidden="1"/>
    </xf>
    <xf numFmtId="164" fontId="0" fillId="4" borderId="4" xfId="0" applyNumberFormat="1" applyFill="1" applyBorder="1" applyAlignment="1" applyProtection="1">
      <alignment horizontal="right" vertical="center" indent="1"/>
      <protection hidden="1"/>
    </xf>
    <xf numFmtId="170" fontId="0" fillId="4" borderId="0" xfId="0" applyNumberFormat="1" applyFill="1" applyAlignment="1" applyProtection="1">
      <alignment horizontal="right" vertical="center" indent="5"/>
      <protection hidden="1"/>
    </xf>
    <xf numFmtId="167" fontId="11" fillId="5" borderId="4" xfId="0" applyNumberFormat="1" applyFont="1" applyFill="1" applyBorder="1" applyAlignment="1" applyProtection="1">
      <alignment horizontal="right" vertical="center" indent="1"/>
      <protection hidden="1"/>
    </xf>
    <xf numFmtId="170" fontId="11" fillId="5" borderId="0" xfId="0" applyNumberFormat="1" applyFont="1" applyFill="1" applyAlignment="1" applyProtection="1">
      <alignment horizontal="right" vertical="center" indent="5"/>
      <protection hidden="1"/>
    </xf>
    <xf numFmtId="0" fontId="0" fillId="4" borderId="2" xfId="0" applyFill="1" applyBorder="1" applyAlignment="1" applyProtection="1">
      <alignment horizontal="left" vertical="center" indent="1"/>
      <protection hidden="1"/>
    </xf>
    <xf numFmtId="167" fontId="0" fillId="4" borderId="3" xfId="0" applyNumberFormat="1" applyFill="1" applyBorder="1" applyAlignment="1" applyProtection="1">
      <alignment horizontal="right" vertical="center"/>
      <protection hidden="1"/>
    </xf>
    <xf numFmtId="0" fontId="0" fillId="4" borderId="4" xfId="0" applyFill="1" applyBorder="1" applyAlignment="1" applyProtection="1">
      <alignment horizontal="left" vertical="center" indent="1"/>
      <protection hidden="1"/>
    </xf>
    <xf numFmtId="167" fontId="0" fillId="4" borderId="0" xfId="0" applyNumberFormat="1" applyFill="1" applyAlignment="1" applyProtection="1">
      <alignment horizontal="right" vertical="center"/>
      <protection hidden="1"/>
    </xf>
    <xf numFmtId="0" fontId="0" fillId="5" borderId="4" xfId="0" applyFill="1" applyBorder="1" applyAlignment="1" applyProtection="1">
      <alignment horizontal="left" vertical="center" indent="1"/>
      <protection hidden="1"/>
    </xf>
    <xf numFmtId="167" fontId="11" fillId="5" borderId="0" xfId="0" applyNumberFormat="1" applyFont="1" applyFill="1" applyAlignment="1" applyProtection="1">
      <alignment horizontal="right" vertical="center"/>
      <protection hidden="1"/>
    </xf>
  </cellXfs>
  <cellStyles count="1">
    <cellStyle name="Normal" xfId="0" builtinId="0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63500</xdr:colOff>
          <xdr:row>2</xdr:row>
          <xdr:rowOff>12700</xdr:rowOff>
        </xdr:from>
        <xdr:to>
          <xdr:col>1</xdr:col>
          <xdr:colOff>342900</xdr:colOff>
          <xdr:row>2</xdr:row>
          <xdr:rowOff>304800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2917B81-EC55-AB46-AAE2-03C86BD7B2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0" tIns="0" rIns="0" bIns="54000" anchor="ctr" upright="1"/>
            <a:lstStyle/>
            <a:p>
              <a:pPr algn="ctr" rtl="0">
                <a:defRPr sz="1000"/>
              </a:pPr>
              <a:r>
                <a:rPr lang="en-US" sz="2600" b="1" i="0" u="none" strike="noStrike" baseline="0">
                  <a:solidFill>
                    <a:srgbClr val="FF6600"/>
                  </a:solidFill>
                  <a:latin typeface="Calibri" pitchFamily="2" charset="0"/>
                  <a:cs typeface="Calibri" pitchFamily="2" charset="0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177800</xdr:colOff>
          <xdr:row>14</xdr:row>
          <xdr:rowOff>12700</xdr:rowOff>
        </xdr:from>
        <xdr:to>
          <xdr:col>8</xdr:col>
          <xdr:colOff>12700</xdr:colOff>
          <xdr:row>16</xdr:row>
          <xdr:rowOff>12700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E35C2AA-4529-BA46-9EB1-FDD23B0837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FF6600"/>
                  </a:solidFill>
                  <a:latin typeface="Calibri" pitchFamily="2" charset="0"/>
                  <a:cs typeface="Calibri" pitchFamily="2" charset="0"/>
                </a:rPr>
                <a:t>CLICK TO ENTER DEFAULT REVERSE 1B ASSUMPTIONS</a:t>
              </a:r>
            </a:p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FF6600"/>
                  </a:solidFill>
                  <a:latin typeface="Calibri" pitchFamily="2" charset="0"/>
                  <a:cs typeface="Calibri" pitchFamily="2" charset="0"/>
                </a:rPr>
                <a:t>(enter updated assumptions, as required)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rentsmart/Survey/# Research Projects/2025 Completed/25-0050 First Source Financial - 80 Bronte Rd S Milton, ON/Report/Report Generator/PROGRAM - 1A - Feasibility Study.xlsm" TargetMode="External"/><Relationship Id="rId1" Type="http://schemas.openxmlformats.org/officeDocument/2006/relationships/externalLinkPath" Target="/Volumes/rentsmart/Survey/# Research Projects/2025 Completed/25-0050 First Source Financial - 80 Bronte Rd S Milton, ON/Report/Report Generator/PROGRAM - 1A - Feasibility Stud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G_DATA"/>
      <sheetName val="HIDDEN"/>
      <sheetName val="INFO MAP"/>
      <sheetName val="TABLES"/>
      <sheetName val="CHARTS"/>
      <sheetName val="1) Setup"/>
      <sheetName val="2) Analysis"/>
      <sheetName val="3) Proposal"/>
      <sheetName val="4) Maps"/>
      <sheetName val="5) Finish"/>
      <sheetName val="HELP"/>
      <sheetName val="ENVIRONICS PASTE"/>
      <sheetName val="NEW RENTAL COMPS PASTE"/>
      <sheetName val="OLD RENTAL COMPS PASTE"/>
      <sheetName val="CONDO COMPS PASTE"/>
      <sheetName val="COMPS INFO"/>
      <sheetName val="DROPDOWN INFO"/>
      <sheetName val="ENVIRONICS INFO"/>
      <sheetName val="CMHC INFO"/>
      <sheetName val="PRIZM INFO"/>
      <sheetName val="CASE STUDY INFO"/>
      <sheetName val="R 1B REVENUES EXPENSES"/>
      <sheetName val="R 1B DEVELOPMENT COSTS"/>
      <sheetName val="R 1B IRR"/>
    </sheetNames>
    <definedNames>
      <definedName name="Button_Unique_LoadInfo_Defaults_Reverse1BAssumptions"/>
      <definedName name="Button_Unique_ToggleView_Section"/>
    </definedNames>
    <sheetDataSet>
      <sheetData sheetId="0">
        <row r="7">
          <cell r="CC7" t="b">
            <v>0</v>
          </cell>
        </row>
        <row r="10">
          <cell r="CC10" t="e">
            <v>#VALUE!</v>
          </cell>
        </row>
        <row r="11">
          <cell r="CC11" t="e">
            <v>#VALUE!</v>
          </cell>
        </row>
        <row r="12">
          <cell r="CC12" t="str">
            <v>--</v>
          </cell>
        </row>
        <row r="13">
          <cell r="CC13" t="e">
            <v>#VALUE!</v>
          </cell>
        </row>
        <row r="14">
          <cell r="CC14" t="e">
            <v>#VALUE!</v>
          </cell>
        </row>
        <row r="16">
          <cell r="CC16" t="e">
            <v>#VALUE!</v>
          </cell>
        </row>
        <row r="17">
          <cell r="CC17">
            <v>13071527.760937501</v>
          </cell>
        </row>
        <row r="18">
          <cell r="CC18">
            <v>73670542.976249993</v>
          </cell>
        </row>
        <row r="19">
          <cell r="CC19">
            <v>3950506.16775</v>
          </cell>
        </row>
        <row r="20">
          <cell r="CC20">
            <v>2904783.9468749999</v>
          </cell>
        </row>
        <row r="21">
          <cell r="CC21">
            <v>18751406.578749999</v>
          </cell>
        </row>
        <row r="22">
          <cell r="CC22">
            <v>1688007.375</v>
          </cell>
        </row>
        <row r="23">
          <cell r="CC23" t="e">
            <v>#VALUE!</v>
          </cell>
        </row>
        <row r="24">
          <cell r="CC24" t="e">
            <v>#VALUE!</v>
          </cell>
        </row>
        <row r="25">
          <cell r="CC25" t="e">
            <v>#VALUE!</v>
          </cell>
        </row>
        <row r="26">
          <cell r="CC26" t="e">
            <v>#VALUE!</v>
          </cell>
        </row>
        <row r="27">
          <cell r="CC27">
            <v>52707.773229586703</v>
          </cell>
        </row>
        <row r="28">
          <cell r="CC28">
            <v>297058.64103326609</v>
          </cell>
        </row>
        <row r="29">
          <cell r="CC29">
            <v>15929.460353830646</v>
          </cell>
        </row>
        <row r="30">
          <cell r="CC30">
            <v>11712.838495463709</v>
          </cell>
        </row>
        <row r="31">
          <cell r="CC31">
            <v>75610.510398185477</v>
          </cell>
        </row>
        <row r="32">
          <cell r="CC32">
            <v>6806.4813508064517</v>
          </cell>
        </row>
        <row r="33">
          <cell r="CC33" t="e">
            <v>#VALUE!</v>
          </cell>
        </row>
        <row r="34">
          <cell r="CC34" t="e">
            <v>#VALUE!</v>
          </cell>
        </row>
        <row r="35">
          <cell r="CC35" t="e">
            <v>#VALUE!</v>
          </cell>
        </row>
        <row r="36">
          <cell r="CC36" t="e">
            <v>#VALUE!</v>
          </cell>
        </row>
        <row r="37">
          <cell r="CC37">
            <v>70.633586278311469</v>
          </cell>
        </row>
        <row r="38">
          <cell r="CC38">
            <v>398.08771772135981</v>
          </cell>
        </row>
        <row r="39">
          <cell r="CC39">
            <v>21.347039408556352</v>
          </cell>
        </row>
        <row r="40">
          <cell r="CC40">
            <v>15.696352506291435</v>
          </cell>
        </row>
        <row r="41">
          <cell r="CC41">
            <v>101.32550063335846</v>
          </cell>
        </row>
        <row r="42">
          <cell r="CC42">
            <v>9.1213526636719067</v>
          </cell>
        </row>
        <row r="43">
          <cell r="CC43" t="e">
            <v>#VALUE!</v>
          </cell>
        </row>
        <row r="44">
          <cell r="CC44" t="e">
            <v>#VALUE!</v>
          </cell>
        </row>
        <row r="45">
          <cell r="CC45" t="e">
            <v>#VALUE!</v>
          </cell>
        </row>
        <row r="46">
          <cell r="CC46">
            <v>1</v>
          </cell>
        </row>
        <row r="47">
          <cell r="CC47" t="e">
            <v>#VALUE!</v>
          </cell>
        </row>
        <row r="48">
          <cell r="CC48" t="e">
            <v>#VALUE!</v>
          </cell>
        </row>
        <row r="49">
          <cell r="CC49" t="e">
            <v>#VALUE!</v>
          </cell>
        </row>
        <row r="50">
          <cell r="CC50" t="e">
            <v>#VALUE!</v>
          </cell>
        </row>
        <row r="51">
          <cell r="CC51" t="e">
            <v>#VALUE!</v>
          </cell>
        </row>
        <row r="52">
          <cell r="CC52" t="e">
            <v>#VALUE!</v>
          </cell>
        </row>
        <row r="53">
          <cell r="CC53" t="e">
            <v>#VALUE!</v>
          </cell>
        </row>
        <row r="54">
          <cell r="CC54" t="e">
            <v>#VALUE!</v>
          </cell>
        </row>
        <row r="55">
          <cell r="CC55" t="e">
            <v>#VALUE!</v>
          </cell>
        </row>
        <row r="56">
          <cell r="CC56" t="e">
            <v>#VALUE!</v>
          </cell>
        </row>
        <row r="57">
          <cell r="CC57" t="e">
            <v>#VALUE!</v>
          </cell>
        </row>
        <row r="58">
          <cell r="CC58">
            <v>14055208.749999996</v>
          </cell>
        </row>
        <row r="59">
          <cell r="CC59">
            <v>1</v>
          </cell>
        </row>
        <row r="60">
          <cell r="CC60" t="e">
            <v>#VALUE!</v>
          </cell>
        </row>
        <row r="61">
          <cell r="CC61" t="e">
            <v>#VALUE!</v>
          </cell>
        </row>
        <row r="62">
          <cell r="CC62">
            <v>248</v>
          </cell>
        </row>
        <row r="63">
          <cell r="CC63">
            <v>0</v>
          </cell>
        </row>
        <row r="64">
          <cell r="CC64">
            <v>59</v>
          </cell>
        </row>
        <row r="65">
          <cell r="CC65">
            <v>52</v>
          </cell>
        </row>
        <row r="66">
          <cell r="CC66">
            <v>70</v>
          </cell>
        </row>
        <row r="67">
          <cell r="CC67">
            <v>37</v>
          </cell>
        </row>
        <row r="68">
          <cell r="CC68">
            <v>30</v>
          </cell>
        </row>
        <row r="69">
          <cell r="CC69">
            <v>0</v>
          </cell>
        </row>
        <row r="70">
          <cell r="CC70">
            <v>0</v>
          </cell>
        </row>
        <row r="71">
          <cell r="CC71">
            <v>0</v>
          </cell>
        </row>
        <row r="72">
          <cell r="CC72">
            <v>185061.08000000002</v>
          </cell>
        </row>
        <row r="73">
          <cell r="CC73">
            <v>0</v>
          </cell>
        </row>
        <row r="74">
          <cell r="CC74">
            <v>35400</v>
          </cell>
        </row>
        <row r="75">
          <cell r="CC75">
            <v>35899.760000000002</v>
          </cell>
        </row>
        <row r="76">
          <cell r="CC76">
            <v>53585</v>
          </cell>
        </row>
        <row r="77">
          <cell r="CC77">
            <v>31063.719999999998</v>
          </cell>
        </row>
        <row r="78">
          <cell r="CC78">
            <v>29112.6</v>
          </cell>
        </row>
        <row r="79">
          <cell r="CC79">
            <v>0</v>
          </cell>
        </row>
        <row r="80">
          <cell r="CC80">
            <v>0</v>
          </cell>
        </row>
        <row r="81">
          <cell r="CC81">
            <v>0</v>
          </cell>
        </row>
        <row r="82">
          <cell r="CC82">
            <v>2601.3104838709678</v>
          </cell>
        </row>
        <row r="83">
          <cell r="CC83">
            <v>0</v>
          </cell>
        </row>
        <row r="84">
          <cell r="CC84">
            <v>2300</v>
          </cell>
        </row>
        <row r="85">
          <cell r="CC85">
            <v>2500</v>
          </cell>
        </row>
        <row r="86">
          <cell r="CC86">
            <v>2625</v>
          </cell>
        </row>
        <row r="87">
          <cell r="CC87">
            <v>2775</v>
          </cell>
        </row>
        <row r="88">
          <cell r="CC88">
            <v>3100</v>
          </cell>
        </row>
        <row r="89">
          <cell r="CC89">
            <v>0</v>
          </cell>
        </row>
        <row r="90">
          <cell r="CC90">
            <v>0</v>
          </cell>
        </row>
        <row r="91">
          <cell r="CC91">
            <v>0</v>
          </cell>
        </row>
        <row r="92">
          <cell r="CC92">
            <v>3.4860112131627026</v>
          </cell>
        </row>
        <row r="93">
          <cell r="CC93">
            <v>0</v>
          </cell>
        </row>
        <row r="94">
          <cell r="CC94">
            <v>3.8333333333333335</v>
          </cell>
        </row>
        <row r="95">
          <cell r="CC95">
            <v>3.6211941249746515</v>
          </cell>
        </row>
        <row r="96">
          <cell r="CC96">
            <v>3.4291312867406925</v>
          </cell>
        </row>
        <row r="97">
          <cell r="CC97">
            <v>3.3053027776454336</v>
          </cell>
        </row>
        <row r="98">
          <cell r="CC98">
            <v>3.1944931060777808</v>
          </cell>
        </row>
        <row r="99">
          <cell r="CC99">
            <v>0</v>
          </cell>
        </row>
        <row r="100">
          <cell r="CC100">
            <v>0</v>
          </cell>
        </row>
        <row r="101">
          <cell r="CC101">
            <v>0</v>
          </cell>
        </row>
        <row r="102">
          <cell r="CC102">
            <v>1</v>
          </cell>
        </row>
        <row r="103">
          <cell r="CC103">
            <v>0</v>
          </cell>
        </row>
        <row r="104">
          <cell r="CC104">
            <v>0.23790322580645162</v>
          </cell>
        </row>
        <row r="105">
          <cell r="CC105">
            <v>0.20967741935483872</v>
          </cell>
        </row>
        <row r="106">
          <cell r="CC106">
            <v>0.28225806451612906</v>
          </cell>
        </row>
        <row r="107">
          <cell r="CC107">
            <v>0.14919354838709678</v>
          </cell>
        </row>
        <row r="108">
          <cell r="CC108">
            <v>0.12096774193548387</v>
          </cell>
        </row>
        <row r="109">
          <cell r="CC109">
            <v>0</v>
          </cell>
        </row>
        <row r="110">
          <cell r="CC110">
            <v>0</v>
          </cell>
        </row>
        <row r="111">
          <cell r="CC111">
            <v>0</v>
          </cell>
        </row>
        <row r="112">
          <cell r="CC112">
            <v>0.04</v>
          </cell>
        </row>
        <row r="113">
          <cell r="CC113">
            <v>3.7499999999999999E-2</v>
          </cell>
        </row>
        <row r="114">
          <cell r="CC114">
            <v>0.04</v>
          </cell>
        </row>
        <row r="115">
          <cell r="CC115">
            <v>4.2500000000000003E-2</v>
          </cell>
        </row>
        <row r="116">
          <cell r="CC116" t="e">
            <v>#VALUE!</v>
          </cell>
        </row>
        <row r="117">
          <cell r="CC117" t="e">
            <v>#VALUE!</v>
          </cell>
        </row>
        <row r="118">
          <cell r="CC118" t="e">
            <v>#VALUE!</v>
          </cell>
        </row>
        <row r="119">
          <cell r="CC119" t="e">
            <v>#VALUE!</v>
          </cell>
        </row>
        <row r="120">
          <cell r="CC120" t="e">
            <v>#VALUE!</v>
          </cell>
        </row>
        <row r="121">
          <cell r="CC121" t="e">
            <v>#VALUE!</v>
          </cell>
        </row>
        <row r="122">
          <cell r="CC122" t="e">
            <v>#VALUE!</v>
          </cell>
        </row>
        <row r="123">
          <cell r="CC123" t="e">
            <v>#VALUE!</v>
          </cell>
        </row>
        <row r="124">
          <cell r="CC124" t="e">
            <v>#VALUE!</v>
          </cell>
        </row>
        <row r="125">
          <cell r="CC125" t="e">
            <v>#VALUE!</v>
          </cell>
        </row>
        <row r="126">
          <cell r="CC126" t="e">
            <v>#VALUE!</v>
          </cell>
        </row>
        <row r="127">
          <cell r="CC127" t="e">
            <v>#VALUE!</v>
          </cell>
        </row>
        <row r="128">
          <cell r="CC128" t="e">
            <v>#VALUE!</v>
          </cell>
        </row>
        <row r="129">
          <cell r="CC129" t="e">
            <v>#VALUE!</v>
          </cell>
        </row>
        <row r="130">
          <cell r="CC130" t="e">
            <v>#VALUE!</v>
          </cell>
        </row>
        <row r="131">
          <cell r="CC131" t="e">
            <v>#VALUE!</v>
          </cell>
        </row>
        <row r="132">
          <cell r="CC132" t="e">
            <v>#VALUE!</v>
          </cell>
        </row>
        <row r="133">
          <cell r="CC133" t="e">
            <v>#VALUE!</v>
          </cell>
        </row>
        <row r="134">
          <cell r="CC134" t="e">
            <v>#VALUE!</v>
          </cell>
        </row>
        <row r="135">
          <cell r="CC135" t="e">
            <v>#VALUE!</v>
          </cell>
        </row>
        <row r="136">
          <cell r="CC136" t="e">
            <v>#VALUE!</v>
          </cell>
        </row>
        <row r="137">
          <cell r="CC137" t="e">
            <v>#VALUE!</v>
          </cell>
        </row>
        <row r="138">
          <cell r="CC138" t="e">
            <v>#VALUE!</v>
          </cell>
        </row>
        <row r="139">
          <cell r="CC139" t="e">
            <v>#VALUE!</v>
          </cell>
        </row>
        <row r="140">
          <cell r="CC140" t="e">
            <v>#VALUE!</v>
          </cell>
        </row>
        <row r="141">
          <cell r="CC141" t="e">
            <v>#VALUE!</v>
          </cell>
        </row>
        <row r="142">
          <cell r="CC142" t="e">
            <v>#VALUE!</v>
          </cell>
        </row>
        <row r="143">
          <cell r="CC143" t="e">
            <v>#VALUE!</v>
          </cell>
        </row>
        <row r="144">
          <cell r="CC144" t="e">
            <v>#VALUE!</v>
          </cell>
        </row>
        <row r="145">
          <cell r="CC145" t="e">
            <v>#VALUE!</v>
          </cell>
        </row>
        <row r="146">
          <cell r="CC146" t="e">
            <v>#VALUE!</v>
          </cell>
        </row>
        <row r="147">
          <cell r="CC147" t="e">
            <v>#VALUE!</v>
          </cell>
        </row>
        <row r="148">
          <cell r="CC148" t="e">
            <v>#VALUE!</v>
          </cell>
        </row>
        <row r="149">
          <cell r="CC149" t="e">
            <v>#VALUE!</v>
          </cell>
        </row>
        <row r="150">
          <cell r="CC150" t="e">
            <v>#VALUE!</v>
          </cell>
        </row>
        <row r="151">
          <cell r="CC151">
            <v>0</v>
          </cell>
        </row>
        <row r="152">
          <cell r="CC152">
            <v>8</v>
          </cell>
        </row>
        <row r="153">
          <cell r="CC153">
            <v>18</v>
          </cell>
        </row>
        <row r="154">
          <cell r="CC154">
            <v>6</v>
          </cell>
        </row>
        <row r="155">
          <cell r="CC155">
            <v>0</v>
          </cell>
        </row>
      </sheetData>
      <sheetData sheetId="1"/>
      <sheetData sheetId="2"/>
      <sheetData sheetId="3"/>
      <sheetData sheetId="4"/>
      <sheetData sheetId="5">
        <row r="69">
          <cell r="D69" t="str">
            <v>Yes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F81-284C-B44E-813D-F427C28EC07B}">
  <dimension ref="B2:U103"/>
  <sheetViews>
    <sheetView tabSelected="1" zoomScaleNormal="100" workbookViewId="0">
      <selection activeCell="L50" sqref="L50"/>
    </sheetView>
  </sheetViews>
  <sheetFormatPr baseColWidth="10" defaultRowHeight="16" x14ac:dyDescent="0.2"/>
  <cols>
    <col min="1" max="1" width="10.83203125" style="15"/>
    <col min="2" max="2" width="6.5" style="15" bestFit="1" customWidth="1"/>
    <col min="3" max="10" width="10.83203125" style="15"/>
    <col min="11" max="11" width="35.1640625" style="15" bestFit="1" customWidth="1"/>
    <col min="12" max="12" width="10.83203125" style="15"/>
    <col min="13" max="13" width="2.83203125" style="15" bestFit="1" customWidth="1"/>
    <col min="14" max="14" width="10.83203125" style="15"/>
    <col min="15" max="15" width="35.1640625" style="15" bestFit="1" customWidth="1"/>
    <col min="16" max="16384" width="10.83203125" style="15"/>
  </cols>
  <sheetData>
    <row r="2" spans="2:21" x14ac:dyDescent="0.2">
      <c r="B2" s="12"/>
      <c r="C2" s="12"/>
      <c r="D2" s="13"/>
      <c r="E2" s="14"/>
      <c r="F2" s="13"/>
      <c r="G2" s="13"/>
      <c r="H2" s="13"/>
      <c r="I2" s="13"/>
    </row>
    <row r="3" spans="2:21" ht="33" x14ac:dyDescent="0.2">
      <c r="B3" s="12" t="s">
        <v>0</v>
      </c>
      <c r="C3" s="12" t="s">
        <v>1</v>
      </c>
      <c r="D3" s="16" t="s">
        <v>2</v>
      </c>
      <c r="E3" s="16"/>
      <c r="F3" s="16"/>
      <c r="G3" s="16"/>
      <c r="H3" s="16"/>
      <c r="I3" s="24" t="s">
        <v>87</v>
      </c>
      <c r="J3" s="23"/>
      <c r="K3" s="23"/>
      <c r="L3" s="23"/>
      <c r="M3" s="23"/>
      <c r="N3" s="23"/>
      <c r="O3" s="23"/>
      <c r="P3" s="23"/>
      <c r="Q3" s="23"/>
    </row>
    <row r="4" spans="2:21" x14ac:dyDescent="0.2">
      <c r="B4" s="12"/>
      <c r="C4" s="12"/>
      <c r="D4" s="13"/>
      <c r="E4" s="14"/>
      <c r="F4" s="13"/>
      <c r="G4" s="13"/>
      <c r="H4" s="13"/>
      <c r="I4" s="13"/>
    </row>
    <row r="5" spans="2:21" x14ac:dyDescent="0.2">
      <c r="B5" s="12"/>
      <c r="C5" s="12"/>
      <c r="D5" s="13"/>
      <c r="E5" s="14"/>
      <c r="F5" s="13"/>
      <c r="G5" s="13"/>
      <c r="H5" s="13"/>
      <c r="I5" s="13"/>
    </row>
    <row r="6" spans="2:21" ht="19" x14ac:dyDescent="0.2">
      <c r="B6" s="12"/>
      <c r="C6" s="12"/>
      <c r="D6" s="17" t="s">
        <v>4</v>
      </c>
      <c r="E6" s="14"/>
      <c r="F6" s="13"/>
      <c r="G6" s="13"/>
      <c r="H6" s="13"/>
      <c r="I6" s="13"/>
    </row>
    <row r="7" spans="2:21" x14ac:dyDescent="0.2">
      <c r="B7" s="12"/>
      <c r="C7" s="12"/>
      <c r="D7" s="18" t="s">
        <v>5</v>
      </c>
      <c r="E7" s="14"/>
      <c r="F7" s="13"/>
      <c r="G7" s="13"/>
      <c r="H7" s="13"/>
      <c r="I7" s="13"/>
    </row>
    <row r="8" spans="2:21" ht="19" x14ac:dyDescent="0.2">
      <c r="B8" s="12"/>
      <c r="C8" s="12"/>
      <c r="D8" s="13"/>
      <c r="E8" s="14"/>
      <c r="F8" s="13"/>
      <c r="G8" s="13"/>
      <c r="H8" s="13"/>
      <c r="I8" s="13"/>
      <c r="K8" s="25" t="s">
        <v>88</v>
      </c>
      <c r="L8" s="26"/>
      <c r="M8" s="26"/>
      <c r="O8" s="25" t="s">
        <v>103</v>
      </c>
      <c r="P8" s="45"/>
      <c r="Q8" s="45"/>
      <c r="R8" s="45"/>
      <c r="S8" s="45"/>
      <c r="T8" s="27"/>
      <c r="U8" s="27"/>
    </row>
    <row r="9" spans="2:21" ht="17" thickBot="1" x14ac:dyDescent="0.25">
      <c r="B9" s="12"/>
      <c r="C9" s="12"/>
      <c r="D9" s="13"/>
      <c r="E9" s="14"/>
      <c r="F9" s="13"/>
      <c r="G9" s="13"/>
      <c r="H9" s="13"/>
      <c r="I9" s="13"/>
      <c r="K9" s="27"/>
      <c r="L9" s="28"/>
      <c r="M9" s="27"/>
      <c r="O9" s="46"/>
      <c r="P9" s="28"/>
      <c r="Q9" s="27"/>
      <c r="R9" s="27"/>
      <c r="S9" s="27"/>
      <c r="T9" s="27"/>
      <c r="U9" s="27"/>
    </row>
    <row r="10" spans="2:21" ht="20" thickTop="1" thickBot="1" x14ac:dyDescent="0.25">
      <c r="B10" s="12"/>
      <c r="C10" s="12"/>
      <c r="D10" s="19"/>
      <c r="E10" s="20" t="s">
        <v>6</v>
      </c>
      <c r="F10" s="13"/>
      <c r="G10" s="13"/>
      <c r="H10" s="13"/>
      <c r="I10" s="13"/>
      <c r="K10" s="29" t="s">
        <v>89</v>
      </c>
      <c r="L10" s="30"/>
      <c r="M10" s="31">
        <f>IF(NOT(bg_data_reverse_1b_is_ok_outputs),0,bg_data_reverse_1b_outputs_noi_at_stabilization)</f>
        <v>0</v>
      </c>
      <c r="O10" s="46" t="s">
        <v>104</v>
      </c>
      <c r="P10" s="28"/>
      <c r="Q10" s="47" t="s">
        <v>105</v>
      </c>
      <c r="R10" s="48"/>
      <c r="S10" s="47" t="s">
        <v>106</v>
      </c>
      <c r="T10" s="48"/>
      <c r="U10" s="48" t="s">
        <v>107</v>
      </c>
    </row>
    <row r="11" spans="2:21" ht="19" thickTop="1" x14ac:dyDescent="0.2">
      <c r="B11" s="12"/>
      <c r="C11" s="12"/>
      <c r="D11" s="21"/>
      <c r="E11" s="20" t="s">
        <v>7</v>
      </c>
      <c r="F11" s="13"/>
      <c r="G11" s="13"/>
      <c r="H11" s="13"/>
      <c r="I11" s="13"/>
      <c r="K11" s="32" t="s">
        <v>90</v>
      </c>
      <c r="L11" s="27"/>
      <c r="M11" s="33">
        <f>IF(NOT(bg_data_reverse_1b_is_ok_outputs),0,bg_data_reverse_1b_outputs_capitalization_rate)</f>
        <v>0</v>
      </c>
      <c r="O11" s="49" t="s">
        <v>108</v>
      </c>
      <c r="P11" s="28"/>
      <c r="Q11" s="50">
        <f>IF(NOT(bg_data_reverse_1b_is_ok_outputs),0,bg_data_reverse_1b_outputs_noi_at_stabilization)</f>
        <v>0</v>
      </c>
      <c r="R11" s="31"/>
      <c r="S11" s="51">
        <f>IF(NOT(bg_data_reverse_1b_is_ok_outputs),0,bg_data_reverse_1b_outputs_noi_at_stabilization)</f>
        <v>0</v>
      </c>
      <c r="T11" s="31"/>
      <c r="U11" s="31">
        <f>IF(NOT(bg_data_reverse_1b_is_ok_outputs),0,bg_data_reverse_1b_outputs_noi_at_stabilization)</f>
        <v>0</v>
      </c>
    </row>
    <row r="12" spans="2:21" x14ac:dyDescent="0.2">
      <c r="B12" s="12"/>
      <c r="C12" s="12"/>
      <c r="D12" s="13"/>
      <c r="E12" s="14"/>
      <c r="F12" s="13"/>
      <c r="G12" s="13"/>
      <c r="H12" s="13"/>
      <c r="I12" s="13"/>
      <c r="K12" s="34" t="str">
        <f>"Valuation @ " &amp; IF(setup_report_info_include_reverse_1B&lt;&gt;"Yes","--",IF(NOT(bg_data_reverse_1b_is_ok_outputs),"--",TEXT(bg_data_reverse_1b_outputs_average_rent_per_sf,"$0.00"))) &amp; " per SF avg revenue"</f>
        <v>Valuation @ -- per SF avg revenue</v>
      </c>
      <c r="L12" s="35"/>
      <c r="M12" s="36">
        <f>IF(NOT(bg_data_reverse_1b_is_ok_outputs),0,bg_data_reverse_1b_outputs_valuation_at_stabilization)</f>
        <v>0</v>
      </c>
      <c r="O12" s="49" t="s">
        <v>90</v>
      </c>
      <c r="P12" s="28"/>
      <c r="Q12" s="52">
        <f>IF(NOT(bg_data_reverse_1b_is_ok_outputs),0,bg_data_reverse_1b_outputs_capitalization_rate_best)</f>
        <v>0</v>
      </c>
      <c r="R12" s="41"/>
      <c r="S12" s="53">
        <f>IF(NOT(bg_data_reverse_1b_is_ok_outputs),0,bg_data_reverse_1b_outputs_capitalization_rate_base)</f>
        <v>0</v>
      </c>
      <c r="T12" s="41"/>
      <c r="U12" s="33">
        <f>IF(NOT(bg_data_reverse_1b_is_ok_outputs),0,bg_data_reverse_1b_outputs_capitalization_rate_worst)</f>
        <v>0</v>
      </c>
    </row>
    <row r="13" spans="2:21" x14ac:dyDescent="0.2">
      <c r="B13" s="12"/>
      <c r="C13" s="12"/>
      <c r="D13" s="13"/>
      <c r="E13" s="14"/>
      <c r="F13" s="13"/>
      <c r="G13" s="13"/>
      <c r="H13" s="13"/>
      <c r="I13" s="13"/>
      <c r="K13" s="37" t="s">
        <v>91</v>
      </c>
      <c r="L13" s="38"/>
      <c r="M13" s="39">
        <f>IF(NOT(bg_data_reverse_1b_is_ok_outputs),0,bg_data_reverse_1b_outputs_selling_costs)</f>
        <v>0</v>
      </c>
      <c r="O13" s="49" t="str">
        <f>"Valuation @ " &amp; IF(setup_report_info_include_reverse_1B&lt;&gt;"Yes","--",IF(NOT(bg_data_reverse_1b_is_ok_outputs),"--",TEXT(bg_data_reverse_1b_outputs_average_rent_per_sf,"$0.00"))) &amp; " per SF avg revenue"</f>
        <v>Valuation @ -- per SF avg revenue</v>
      </c>
      <c r="P13" s="28"/>
      <c r="Q13" s="54">
        <f>IF(NOT(bg_data_reverse_1b_is_ok_outputs),0,bg_data_reverse_1b_outputs_valuation_at_stabilization_best)</f>
        <v>0</v>
      </c>
      <c r="R13" s="40"/>
      <c r="S13" s="55">
        <f>IF(NOT(bg_data_reverse_1b_is_ok_outputs),0,bg_data_reverse_1b_outputs_valuation_at_stabilization_base)</f>
        <v>0</v>
      </c>
      <c r="T13" s="40"/>
      <c r="U13" s="40">
        <f>IF(NOT(bg_data_reverse_1b_is_ok_outputs),0,bg_data_reverse_1b_outputs_valuation_at_stabilization_worst)</f>
        <v>0</v>
      </c>
    </row>
    <row r="14" spans="2:21" x14ac:dyDescent="0.2">
      <c r="B14" s="12"/>
      <c r="C14" s="12"/>
      <c r="D14" s="13"/>
      <c r="E14" s="14"/>
      <c r="F14" s="13"/>
      <c r="G14" s="13"/>
      <c r="H14" s="13"/>
      <c r="I14" s="13"/>
      <c r="K14" s="32" t="s">
        <v>92</v>
      </c>
      <c r="L14" s="27"/>
      <c r="M14" s="40">
        <f>IF(NOT(bg_data_reverse_1b_is_ok_outputs),0,bg_data_reverse_1b_outputs_sales_proceeds)</f>
        <v>0</v>
      </c>
      <c r="O14" s="56" t="str">
        <f>"Selling Costs @ " &amp; IF(setup_report_info_include_reverse_1B&lt;&gt;"Yes","--", IF(NOT(bg_data_reverse_1b_is_ok_outputs),"--",TEXT(proposal_reverse_1b_assumptions_selling_cost_percentage,"0.00%")))</f>
        <v>Selling Costs @ --</v>
      </c>
      <c r="P14" s="57"/>
      <c r="Q14" s="58">
        <f>IF(NOT(bg_data_reverse_1b_is_ok_outputs),0,bg_data_reverse_1b_outputs_selling_costs_best)</f>
        <v>0</v>
      </c>
      <c r="R14" s="39"/>
      <c r="S14" s="59">
        <f>IF(NOT(bg_data_reverse_1b_is_ok_outputs),0,bg_data_reverse_1b_outputs_selling_costs_base)</f>
        <v>0</v>
      </c>
      <c r="T14" s="39"/>
      <c r="U14" s="39">
        <f>IF(NOT(bg_data_reverse_1b_is_ok_outputs),0,bg_data_reverse_1b_outputs_selling_costs_worst)</f>
        <v>0</v>
      </c>
    </row>
    <row r="15" spans="2:21" x14ac:dyDescent="0.2">
      <c r="B15" s="12"/>
      <c r="C15" s="12"/>
      <c r="D15" s="13"/>
      <c r="E15" s="14"/>
      <c r="F15" s="13"/>
      <c r="G15" s="13"/>
      <c r="H15" s="13"/>
      <c r="I15" s="13"/>
      <c r="K15" s="37" t="s">
        <v>93</v>
      </c>
      <c r="L15" s="38"/>
      <c r="M15" s="39">
        <f>IF(NOT(bg_data_reverse_1b_is_ok_outputs),0,bg_data_reverse_1b_outputs_development_cost_liability)</f>
        <v>0</v>
      </c>
      <c r="O15" s="49" t="s">
        <v>92</v>
      </c>
      <c r="P15" s="28"/>
      <c r="Q15" s="54">
        <f>IF(NOT(bg_data_reverse_1b_is_ok_outputs),0,bg_data_reverse_1b_outputs_sales_proceeds_best)</f>
        <v>0</v>
      </c>
      <c r="R15" s="40"/>
      <c r="S15" s="55">
        <f>IF(NOT(bg_data_reverse_1b_is_ok_outputs),0,bg_data_reverse_1b_outputs_sales_proceeds_base)</f>
        <v>0</v>
      </c>
      <c r="T15" s="40"/>
      <c r="U15" s="40">
        <f>IF(NOT(bg_data_reverse_1b_is_ok_outputs),0,bg_data_reverse_1b_outputs_sales_proceeds_worst)</f>
        <v>0</v>
      </c>
    </row>
    <row r="16" spans="2:21" x14ac:dyDescent="0.2">
      <c r="B16" s="12"/>
      <c r="C16" s="12"/>
      <c r="D16" s="13"/>
      <c r="E16" s="14"/>
      <c r="F16" s="13"/>
      <c r="G16" s="13"/>
      <c r="H16" s="13"/>
      <c r="I16" s="13"/>
      <c r="K16" s="32" t="s">
        <v>94</v>
      </c>
      <c r="L16" s="27"/>
      <c r="M16" s="40">
        <f>IF(NOT(bg_data_reverse_1b_is_ok_outputs),0,bg_data_reverse_1b_outputs_profit_before_taxes)</f>
        <v>0</v>
      </c>
      <c r="O16" s="56" t="s">
        <v>93</v>
      </c>
      <c r="P16" s="57"/>
      <c r="Q16" s="58">
        <f>IF(NOT(bg_data_reverse_1b_is_ok_outputs),0,bg_data_reverse_1b_outputs_development_cost_liability)</f>
        <v>0</v>
      </c>
      <c r="R16" s="39"/>
      <c r="S16" s="59">
        <f>IF(NOT(bg_data_reverse_1b_is_ok_outputs),0,bg_data_reverse_1b_outputs_development_cost_liability)</f>
        <v>0</v>
      </c>
      <c r="T16" s="39"/>
      <c r="U16" s="39">
        <f>IF(NOT(bg_data_reverse_1b_is_ok_outputs),0,bg_data_reverse_1b_outputs_development_cost_liability)</f>
        <v>0</v>
      </c>
    </row>
    <row r="17" spans="2:21" x14ac:dyDescent="0.2">
      <c r="B17" s="12"/>
      <c r="C17" s="12"/>
      <c r="D17" s="13"/>
      <c r="E17" s="14"/>
      <c r="F17" s="13"/>
      <c r="G17" s="13"/>
      <c r="H17" s="13"/>
      <c r="I17" s="13"/>
      <c r="K17" s="32"/>
      <c r="L17" s="27"/>
      <c r="M17" s="41"/>
      <c r="O17" s="49" t="s">
        <v>94</v>
      </c>
      <c r="P17" s="28"/>
      <c r="Q17" s="54">
        <f>IF(NOT(bg_data_reverse_1b_is_ok_outputs),0,bg_data_reverse_1b_outputs_profit_before_taxes_best)</f>
        <v>0</v>
      </c>
      <c r="R17" s="40"/>
      <c r="S17" s="55">
        <f>IF(NOT(bg_data_reverse_1b_is_ok_outputs),0,bg_data_reverse_1b_outputs_profit_before_taxes_base)</f>
        <v>0</v>
      </c>
      <c r="T17" s="40"/>
      <c r="U17" s="40">
        <f>IF(NOT(bg_data_reverse_1b_is_ok_outputs),0,bg_data_reverse_1b_outputs_profit_before_taxes_worst)</f>
        <v>0</v>
      </c>
    </row>
    <row r="18" spans="2:21" x14ac:dyDescent="0.2">
      <c r="B18" s="12"/>
      <c r="C18" s="12"/>
      <c r="D18" s="13"/>
      <c r="E18" s="14"/>
      <c r="F18" s="13"/>
      <c r="G18" s="13"/>
      <c r="H18" s="13"/>
      <c r="I18" s="13"/>
      <c r="K18" s="32" t="s">
        <v>95</v>
      </c>
      <c r="L18" s="27"/>
      <c r="M18" s="42">
        <f>IF(NOT(bg_data_reverse_1b_is_ok_outputs),0,bg_data_reverse_1b_outputs_return_on_cost)</f>
        <v>0</v>
      </c>
      <c r="O18" s="60" t="s">
        <v>109</v>
      </c>
      <c r="P18" s="61"/>
      <c r="Q18" s="62">
        <f>IF(NOT(bg_data_reverse_1b_is_ok_outputs),0,bg_data_reverse_1b_outputs_return_on_cost_best)</f>
        <v>0</v>
      </c>
      <c r="R18" s="63"/>
      <c r="S18" s="64">
        <f>IF(NOT(bg_data_reverse_1b_is_ok_outputs),0,bg_data_reverse_1b_outputs_return_on_cost_base)</f>
        <v>0</v>
      </c>
      <c r="T18" s="63"/>
      <c r="U18" s="43">
        <f>IF(NOT(bg_data_reverse_1b_is_ok_outputs),0,bg_data_reverse_1b_outputs_return_on_cost_worst)</f>
        <v>0</v>
      </c>
    </row>
    <row r="19" spans="2:21" ht="31" x14ac:dyDescent="0.2">
      <c r="B19" s="12"/>
      <c r="C19" s="12"/>
      <c r="D19" s="3" t="s">
        <v>3</v>
      </c>
      <c r="E19" s="22" t="s">
        <v>8</v>
      </c>
      <c r="F19" s="13"/>
      <c r="G19" s="13"/>
      <c r="H19" s="13"/>
      <c r="I19" s="13"/>
      <c r="K19" s="34" t="s">
        <v>96</v>
      </c>
      <c r="L19" s="35"/>
      <c r="M19" s="43">
        <f>IF(NOT(bg_data_reverse_1b_is_ok_outputs),0,bg_data_reverse_1b_outputs_development_yield)</f>
        <v>0</v>
      </c>
      <c r="O19" s="49" t="s">
        <v>97</v>
      </c>
      <c r="P19" s="65"/>
      <c r="Q19" s="27"/>
      <c r="R19" s="66"/>
      <c r="S19" s="67">
        <f>IF(NOT(bg_data_reverse_1b_is_ok_outputs),0,bg_data_reverse_1b_outputs_irr_at_stabilization_if_sold)</f>
        <v>0</v>
      </c>
      <c r="T19" s="66"/>
      <c r="U19" s="66"/>
    </row>
    <row r="20" spans="2:21" ht="18" x14ac:dyDescent="0.2">
      <c r="B20" s="12"/>
      <c r="C20" s="12"/>
      <c r="D20" s="4">
        <v>0.9</v>
      </c>
      <c r="E20" s="20" t="s">
        <v>9</v>
      </c>
      <c r="F20" s="13"/>
      <c r="G20" s="13"/>
      <c r="H20" s="13"/>
      <c r="I20" s="13"/>
      <c r="K20" s="32"/>
      <c r="L20" s="27"/>
      <c r="M20" s="41"/>
      <c r="O20" s="49" t="s">
        <v>98</v>
      </c>
      <c r="P20" s="65"/>
      <c r="Q20" s="27"/>
      <c r="R20" s="66"/>
      <c r="S20" s="67">
        <f>IF(NOT(bg_data_reverse_1b_is_ok_outputs),0,bg_data_reverse_1b_outputs_irr_10_year)</f>
        <v>0</v>
      </c>
      <c r="T20" s="66"/>
      <c r="U20" s="66"/>
    </row>
    <row r="21" spans="2:21" ht="18" x14ac:dyDescent="0.2">
      <c r="B21" s="12"/>
      <c r="C21" s="12"/>
      <c r="D21" s="4">
        <v>0.9</v>
      </c>
      <c r="E21" s="20" t="s">
        <v>10</v>
      </c>
      <c r="F21" s="13"/>
      <c r="G21" s="13"/>
      <c r="H21" s="13"/>
      <c r="I21" s="13"/>
      <c r="K21" s="32" t="s">
        <v>97</v>
      </c>
      <c r="L21" s="27"/>
      <c r="M21" s="42">
        <f>IF(NOT(bg_data_reverse_1b_is_ok_outputs),0,bg_data_reverse_1b_outputs_irr_at_stabilization_if_sold)</f>
        <v>0</v>
      </c>
      <c r="O21" s="27"/>
      <c r="P21" s="28"/>
      <c r="Q21" s="27"/>
      <c r="R21" s="27"/>
      <c r="S21" s="27"/>
      <c r="T21" s="27"/>
      <c r="U21" s="27"/>
    </row>
    <row r="22" spans="2:21" ht="19" thickBot="1" x14ac:dyDescent="0.25">
      <c r="B22" s="12"/>
      <c r="C22" s="12"/>
      <c r="D22" s="4">
        <v>0</v>
      </c>
      <c r="E22" s="20" t="s">
        <v>11</v>
      </c>
      <c r="F22" s="13"/>
      <c r="G22" s="13"/>
      <c r="H22" s="13"/>
      <c r="I22" s="13"/>
      <c r="K22" s="32" t="s">
        <v>98</v>
      </c>
      <c r="L22" s="27"/>
      <c r="M22" s="42">
        <f>IF(NOT(bg_data_reverse_1b_is_ok_outputs),0,bg_data_reverse_1b_outputs_irr_10_year)</f>
        <v>0</v>
      </c>
      <c r="O22" s="46" t="s">
        <v>110</v>
      </c>
      <c r="P22" s="27"/>
      <c r="Q22" s="68" t="s">
        <v>111</v>
      </c>
      <c r="R22" s="41"/>
      <c r="S22" s="68" t="s">
        <v>112</v>
      </c>
      <c r="T22" s="41"/>
      <c r="U22" s="68" t="s">
        <v>113</v>
      </c>
    </row>
    <row r="23" spans="2:21" ht="33" thickTop="1" x14ac:dyDescent="0.2">
      <c r="B23" s="12"/>
      <c r="C23" s="12"/>
      <c r="D23" s="2" t="s">
        <v>84</v>
      </c>
      <c r="E23" s="20" t="s">
        <v>12</v>
      </c>
      <c r="F23" s="13"/>
      <c r="G23" s="13"/>
      <c r="H23" s="13"/>
      <c r="I23" s="13"/>
      <c r="K23" s="32"/>
      <c r="L23" s="27"/>
      <c r="M23" s="41"/>
      <c r="O23" s="69" t="s">
        <v>47</v>
      </c>
      <c r="P23" s="27"/>
      <c r="Q23" s="70">
        <f>IF(NOT(bg_data_reverse_1b_is_ok_outputs),0,bg_data_reverse_1b_outputs_schedule_start_land_purchase)</f>
        <v>0</v>
      </c>
      <c r="R23" s="71"/>
      <c r="S23" s="72">
        <f>IF(NOT(bg_data_reverse_1b_is_ok_outputs),0,bg_data_reverse_1b_outputs_schedule_end_land_purchase)</f>
        <v>0</v>
      </c>
      <c r="T23" s="71"/>
      <c r="U23" s="73">
        <f>IF(NOT(bg_data_reverse_1b_is_ok_outputs),0,bg_data_reverse_1b_outputs_schedule_months_land_purchase)</f>
        <v>0</v>
      </c>
    </row>
    <row r="24" spans="2:21" ht="48" x14ac:dyDescent="0.2">
      <c r="B24" s="12"/>
      <c r="C24" s="12"/>
      <c r="D24" s="2" t="s">
        <v>85</v>
      </c>
      <c r="E24" s="20" t="s">
        <v>13</v>
      </c>
      <c r="F24" s="13"/>
      <c r="G24" s="13"/>
      <c r="H24" s="13"/>
      <c r="I24" s="13"/>
      <c r="K24" s="32" t="s">
        <v>99</v>
      </c>
      <c r="L24" s="27"/>
      <c r="M24" s="40">
        <f>IF(NOT(bg_data_reverse_1b_is_ok_outputs),0,bg_data_reverse_1b_outputs_development_cost_per_unit)</f>
        <v>0</v>
      </c>
      <c r="O24" s="69" t="s">
        <v>48</v>
      </c>
      <c r="P24" s="27"/>
      <c r="Q24" s="74">
        <f>IF(NOT(bg_data_reverse_1b_is_ok_outputs),0,bg_data_reverse_1b_outputs_schedule_start_pre_development)</f>
        <v>0</v>
      </c>
      <c r="R24" s="41"/>
      <c r="S24" s="75">
        <f>IF(NOT(bg_data_reverse_1b_is_ok_outputs),0,bg_data_reverse_1b_outputs_schedule_end_pre_development)</f>
        <v>0</v>
      </c>
      <c r="T24" s="41"/>
      <c r="U24" s="76">
        <f>IF(NOT(bg_data_reverse_1b_is_ok_outputs),0,bg_data_reverse_1b_outputs_schedule_months_pre_development)</f>
        <v>0</v>
      </c>
    </row>
    <row r="25" spans="2:21" ht="32" x14ac:dyDescent="0.2">
      <c r="B25" s="12"/>
      <c r="C25" s="12"/>
      <c r="D25" s="2" t="s">
        <v>86</v>
      </c>
      <c r="E25" s="20" t="s">
        <v>14</v>
      </c>
      <c r="F25" s="13"/>
      <c r="G25" s="13"/>
      <c r="H25" s="13"/>
      <c r="I25" s="13"/>
      <c r="K25" s="34" t="s">
        <v>100</v>
      </c>
      <c r="L25" s="35"/>
      <c r="M25" s="44">
        <f>IF(NOT(bg_data_reverse_1b_is_ok_outputs),0,bg_data_reverse_1b_outputs_development_cost_per_sf)</f>
        <v>0</v>
      </c>
      <c r="O25" s="69" t="s">
        <v>49</v>
      </c>
      <c r="P25" s="27"/>
      <c r="Q25" s="74">
        <f>IF(NOT(bg_data_reverse_1b_is_ok_outputs),0,bg_data_reverse_1b_outputs_schedule_start_construction)</f>
        <v>0</v>
      </c>
      <c r="R25" s="41"/>
      <c r="S25" s="75">
        <f>IF(NOT(bg_data_reverse_1b_is_ok_outputs),0,bg_data_reverse_1b_outputs_schedule_end_construction)</f>
        <v>0</v>
      </c>
      <c r="T25" s="41"/>
      <c r="U25" s="76">
        <f>IF(NOT(bg_data_reverse_1b_is_ok_outputs),0,bg_data_reverse_1b_outputs_schedule_months_construction)</f>
        <v>0</v>
      </c>
    </row>
    <row r="26" spans="2:21" x14ac:dyDescent="0.2">
      <c r="B26" s="12"/>
      <c r="C26" s="12"/>
      <c r="D26" s="1"/>
      <c r="E26" s="13"/>
      <c r="F26" s="13"/>
      <c r="G26" s="13"/>
      <c r="H26" s="13"/>
      <c r="I26" s="13"/>
      <c r="K26" s="32" t="s">
        <v>101</v>
      </c>
      <c r="L26" s="27"/>
      <c r="M26" s="40">
        <f>IF(NOT(bg_data_reverse_1b_is_ok_outputs),0,bg_data_reverse_1b_outputs_valuation_at_stabilization_per_unit)</f>
        <v>0</v>
      </c>
      <c r="O26" s="69" t="s">
        <v>50</v>
      </c>
      <c r="P26" s="27"/>
      <c r="Q26" s="74">
        <f>IF(NOT(bg_data_reverse_1b_is_ok_outputs),0,bg_data_reverse_1b_outputs_schedule_start_lease_up)</f>
        <v>0</v>
      </c>
      <c r="R26" s="41"/>
      <c r="S26" s="75">
        <f>IF(NOT(bg_data_reverse_1b_is_ok_outputs),0,bg_data_reverse_1b_outputs_schedule_end_lease_up)</f>
        <v>0</v>
      </c>
      <c r="T26" s="41"/>
      <c r="U26" s="76">
        <f>IF(NOT(bg_data_reverse_1b_is_ok_outputs),0,bg_data_reverse_1b_outputs_schedule_months_lease_up)</f>
        <v>0</v>
      </c>
    </row>
    <row r="27" spans="2:21" ht="32" x14ac:dyDescent="0.2">
      <c r="B27" s="12"/>
      <c r="C27" s="12"/>
      <c r="D27" s="3" t="s">
        <v>25</v>
      </c>
      <c r="E27" s="22" t="s">
        <v>15</v>
      </c>
      <c r="F27" s="13"/>
      <c r="G27" s="13"/>
      <c r="H27" s="13"/>
      <c r="I27" s="13"/>
      <c r="K27" s="34" t="s">
        <v>102</v>
      </c>
      <c r="L27" s="35"/>
      <c r="M27" s="44">
        <f>IF(NOT(bg_data_reverse_1b_is_ok_outputs),0,bg_data_reverse_1b_outputs_valuation_at_stabilization_per_sf)</f>
        <v>0</v>
      </c>
      <c r="O27" s="69" t="s">
        <v>51</v>
      </c>
      <c r="P27" s="27"/>
      <c r="Q27" s="74">
        <f>IF(NOT(bg_data_reverse_1b_is_ok_outputs),0,bg_data_reverse_1b_outputs_schedule_start_stabilization)</f>
        <v>0</v>
      </c>
      <c r="R27" s="41"/>
      <c r="S27" s="75">
        <f>IF(NOT(bg_data_reverse_1b_is_ok_outputs),0,bg_data_reverse_1b_outputs_schedule_end_stabilization)</f>
        <v>0</v>
      </c>
      <c r="T27" s="41"/>
      <c r="U27" s="76">
        <f>IF(NOT(bg_data_reverse_1b_is_ok_outputs),0,bg_data_reverse_1b_outputs_schedule_months_stabilization)</f>
        <v>0</v>
      </c>
    </row>
    <row r="28" spans="2:21" ht="18" x14ac:dyDescent="0.2">
      <c r="B28" s="12"/>
      <c r="C28" s="12"/>
      <c r="D28" s="5">
        <v>0.01</v>
      </c>
      <c r="E28" s="20" t="s">
        <v>16</v>
      </c>
      <c r="F28" s="13"/>
      <c r="G28" s="13"/>
      <c r="H28" s="13"/>
      <c r="I28" s="13"/>
      <c r="O28" s="77" t="s">
        <v>114</v>
      </c>
      <c r="P28" s="35"/>
      <c r="Q28" s="78">
        <f>IF(NOT(bg_data_reverse_1b_is_ok_outputs),0,bg_data_reverse_1b_outputs_schedule_start)</f>
        <v>0</v>
      </c>
      <c r="R28" s="63"/>
      <c r="S28" s="79">
        <f>IF(NOT(bg_data_reverse_1b_is_ok_outputs),0,bg_data_reverse_1b_outputs_schedule_end)</f>
        <v>0</v>
      </c>
      <c r="T28" s="63"/>
      <c r="U28" s="80">
        <f>IF(NOT(bg_data_reverse_1b_is_ok_outputs),0,bg_data_reverse_1b_outputs_schedule_months)</f>
        <v>0</v>
      </c>
    </row>
    <row r="29" spans="2:21" ht="18" x14ac:dyDescent="0.2">
      <c r="B29" s="12"/>
      <c r="C29" s="12"/>
      <c r="D29" s="4">
        <v>0.1</v>
      </c>
      <c r="E29" s="20" t="s">
        <v>17</v>
      </c>
      <c r="F29" s="13"/>
      <c r="G29" s="13"/>
      <c r="H29" s="13"/>
      <c r="I29" s="13"/>
      <c r="O29" s="27"/>
      <c r="P29" s="28"/>
      <c r="Q29" s="27"/>
      <c r="R29" s="27"/>
      <c r="S29" s="27"/>
      <c r="T29" s="27"/>
      <c r="U29" s="27"/>
    </row>
    <row r="30" spans="2:21" ht="19" thickBot="1" x14ac:dyDescent="0.25">
      <c r="B30" s="12"/>
      <c r="C30" s="12"/>
      <c r="D30" s="4">
        <v>0.02</v>
      </c>
      <c r="E30" s="20" t="s">
        <v>18</v>
      </c>
      <c r="F30" s="13"/>
      <c r="G30" s="13"/>
      <c r="H30" s="13"/>
      <c r="I30" s="13"/>
      <c r="O30" s="46" t="s">
        <v>115</v>
      </c>
      <c r="P30" s="27"/>
      <c r="Q30" s="68" t="s">
        <v>116</v>
      </c>
      <c r="R30" s="68" t="s">
        <v>117</v>
      </c>
      <c r="S30" s="68" t="s">
        <v>118</v>
      </c>
      <c r="T30" s="68" t="s">
        <v>119</v>
      </c>
      <c r="U30" s="68" t="s">
        <v>120</v>
      </c>
    </row>
    <row r="31" spans="2:21" ht="19" thickTop="1" x14ac:dyDescent="0.2">
      <c r="B31" s="12"/>
      <c r="C31" s="12"/>
      <c r="D31" s="4">
        <v>0.02</v>
      </c>
      <c r="E31" s="20" t="s">
        <v>19</v>
      </c>
      <c r="F31" s="13"/>
      <c r="G31" s="13"/>
      <c r="H31" s="13"/>
      <c r="I31" s="13"/>
      <c r="O31" s="69" t="s">
        <v>121</v>
      </c>
      <c r="P31" s="27"/>
      <c r="Q31" s="81">
        <f>IF(NOT(bg_data_reverse_1b_is_ok_outputs),0,bg_data_reverse_1b_outputs_total_units_bachelor)</f>
        <v>0</v>
      </c>
      <c r="R31" s="73">
        <f>IF(NOT(bg_data_reverse_1b_is_ok_outputs),0,bg_data_reverse_1b_outputs_total_sf_bachelor)</f>
        <v>0</v>
      </c>
      <c r="S31" s="82">
        <f>IF(NOT(bg_data_reverse_1b_is_ok_outputs),0,bg_data_reverse_1b_outputs_unit_mix_bachelor)</f>
        <v>0</v>
      </c>
      <c r="T31" s="31">
        <f>IF(NOT(bg_data_reverse_1b_is_ok_outputs),0,bg_data_reverse_1b_outputs_average_rent_bachelor)</f>
        <v>0</v>
      </c>
      <c r="U31" s="83">
        <f>IF(NOT(bg_data_reverse_1b_is_ok_outputs),0,bg_data_reverse_1b_outputs_average_rent_per_sf_bachelor)</f>
        <v>0</v>
      </c>
    </row>
    <row r="32" spans="2:21" ht="18" x14ac:dyDescent="0.2">
      <c r="B32" s="12"/>
      <c r="C32" s="12"/>
      <c r="D32" s="6">
        <v>1.1000000000000001</v>
      </c>
      <c r="E32" s="20" t="s">
        <v>20</v>
      </c>
      <c r="F32" s="13"/>
      <c r="G32" s="13"/>
      <c r="H32" s="13"/>
      <c r="I32" s="13"/>
      <c r="O32" s="69" t="s">
        <v>122</v>
      </c>
      <c r="P32" s="27"/>
      <c r="Q32" s="84">
        <f>IF(NOT(bg_data_reverse_1b_is_ok_outputs),0,bg_data_reverse_1b_outputs_total_units_1_bed)</f>
        <v>0</v>
      </c>
      <c r="R32" s="76">
        <f>IF(NOT(bg_data_reverse_1b_is_ok_outputs),0,bg_data_reverse_1b_outputs_total_sf_1_bed)</f>
        <v>0</v>
      </c>
      <c r="S32" s="85">
        <f>IF(NOT(bg_data_reverse_1b_is_ok_outputs),0,bg_data_reverse_1b_outputs_unit_mix_1_bed)</f>
        <v>0</v>
      </c>
      <c r="T32" s="40">
        <f>IF(NOT(bg_data_reverse_1b_is_ok_outputs),0,bg_data_reverse_1b_outputs_average_rent_1_bed)</f>
        <v>0</v>
      </c>
      <c r="U32" s="86">
        <f>IF(NOT(bg_data_reverse_1b_is_ok_outputs),0,bg_data_reverse_1b_outputs_average_rent_per_sf_1_bed)</f>
        <v>0</v>
      </c>
    </row>
    <row r="33" spans="2:21" ht="32" x14ac:dyDescent="0.2">
      <c r="B33" s="12"/>
      <c r="C33" s="12"/>
      <c r="D33" s="7">
        <v>0.75</v>
      </c>
      <c r="E33" s="20" t="s">
        <v>21</v>
      </c>
      <c r="F33" s="13"/>
      <c r="G33" s="13"/>
      <c r="H33" s="13"/>
      <c r="I33" s="13"/>
      <c r="O33" s="69" t="s">
        <v>123</v>
      </c>
      <c r="P33" s="27"/>
      <c r="Q33" s="84">
        <f>IF(NOT(bg_data_reverse_1b_is_ok_outputs),0,bg_data_reverse_1b_outputs_total_units_1_bed_plus_den)</f>
        <v>0</v>
      </c>
      <c r="R33" s="76">
        <f>IF(NOT(bg_data_reverse_1b_is_ok_outputs),0,bg_data_reverse_1b_outputs_total_sf_1_bed_plus_den)</f>
        <v>0</v>
      </c>
      <c r="S33" s="85">
        <f>IF(NOT(bg_data_reverse_1b_is_ok_outputs),0,bg_data_reverse_1b_outputs_unit_mix_1_bed_plus_den)</f>
        <v>0</v>
      </c>
      <c r="T33" s="40">
        <f>IF(NOT(bg_data_reverse_1b_is_ok_outputs),0,bg_data_reverse_1b_outputs_average_rent_1_bed_plus_den)</f>
        <v>0</v>
      </c>
      <c r="U33" s="86">
        <f>IF(NOT(bg_data_reverse_1b_is_ok_outputs),0,bg_data_reverse_1b_outputs_average_rent_per_sf_1_bed_plus_den)</f>
        <v>0</v>
      </c>
    </row>
    <row r="34" spans="2:21" ht="18" x14ac:dyDescent="0.2">
      <c r="B34" s="12"/>
      <c r="C34" s="12"/>
      <c r="D34" s="8">
        <v>0.03</v>
      </c>
      <c r="E34" s="20" t="s">
        <v>22</v>
      </c>
      <c r="F34" s="13"/>
      <c r="G34" s="13"/>
      <c r="H34" s="13"/>
      <c r="I34" s="13"/>
      <c r="O34" s="69" t="s">
        <v>124</v>
      </c>
      <c r="P34" s="27"/>
      <c r="Q34" s="84">
        <f>IF(NOT(bg_data_reverse_1b_is_ok_outputs),0,bg_data_reverse_1b_outputs_total_units_2_bed)</f>
        <v>0</v>
      </c>
      <c r="R34" s="76">
        <f>IF(NOT(bg_data_reverse_1b_is_ok_outputs),0,bg_data_reverse_1b_outputs_total_sf_2_bed)</f>
        <v>0</v>
      </c>
      <c r="S34" s="85">
        <f>IF(NOT(bg_data_reverse_1b_is_ok_outputs),0,bg_data_reverse_1b_outputs_unit_mix_2_bed)</f>
        <v>0</v>
      </c>
      <c r="T34" s="40">
        <f>IF(NOT(bg_data_reverse_1b_is_ok_outputs),0,bg_data_reverse_1b_outputs_average_rent_2_bed)</f>
        <v>0</v>
      </c>
      <c r="U34" s="86">
        <f>IF(NOT(bg_data_reverse_1b_is_ok_outputs),0,bg_data_reverse_1b_outputs_average_rent_per_sf_2_bed)</f>
        <v>0</v>
      </c>
    </row>
    <row r="35" spans="2:21" ht="32" x14ac:dyDescent="0.2">
      <c r="B35" s="12"/>
      <c r="C35" s="12"/>
      <c r="D35" s="9">
        <v>25</v>
      </c>
      <c r="E35" s="20" t="s">
        <v>23</v>
      </c>
      <c r="F35" s="13"/>
      <c r="G35" s="13"/>
      <c r="H35" s="13"/>
      <c r="I35" s="13"/>
      <c r="O35" s="69" t="s">
        <v>125</v>
      </c>
      <c r="P35" s="27"/>
      <c r="Q35" s="84">
        <f>IF(NOT(bg_data_reverse_1b_is_ok_outputs),0,bg_data_reverse_1b_outputs_total_units_2_bed_plus_den)</f>
        <v>0</v>
      </c>
      <c r="R35" s="76">
        <f>IF(NOT(bg_data_reverse_1b_is_ok_outputs),0,bg_data_reverse_1b_outputs_total_sf_2_bed_plus_den)</f>
        <v>0</v>
      </c>
      <c r="S35" s="85">
        <f>IF(NOT(bg_data_reverse_1b_is_ok_outputs),0,bg_data_reverse_1b_outputs_unit_mix_2_bed_plus_den)</f>
        <v>0</v>
      </c>
      <c r="T35" s="40">
        <f>IF(NOT(bg_data_reverse_1b_is_ok_outputs),0,bg_data_reverse_1b_outputs_average_rent_2_bed_plus_den)</f>
        <v>0</v>
      </c>
      <c r="U35" s="86">
        <f>IF(NOT(bg_data_reverse_1b_is_ok_outputs),0,bg_data_reverse_1b_outputs_average_rent_per_sf_2_bed_plus_den)</f>
        <v>0</v>
      </c>
    </row>
    <row r="36" spans="2:21" ht="18" x14ac:dyDescent="0.2">
      <c r="B36" s="12"/>
      <c r="C36" s="12"/>
      <c r="D36" s="4">
        <v>0.11</v>
      </c>
      <c r="E36" s="20" t="s">
        <v>24</v>
      </c>
      <c r="F36" s="13"/>
      <c r="G36" s="13"/>
      <c r="H36" s="13"/>
      <c r="I36" s="13"/>
      <c r="O36" s="69" t="s">
        <v>126</v>
      </c>
      <c r="P36" s="27"/>
      <c r="Q36" s="84">
        <f>IF(NOT(bg_data_reverse_1b_is_ok_outputs),0,bg_data_reverse_1b_outputs_total_units_3_bed)</f>
        <v>0</v>
      </c>
      <c r="R36" s="76">
        <f>IF(NOT(bg_data_reverse_1b_is_ok_outputs),0,bg_data_reverse_1b_outputs_total_sf_3_bed)</f>
        <v>0</v>
      </c>
      <c r="S36" s="85">
        <f>IF(NOT(bg_data_reverse_1b_is_ok_outputs),0,bg_data_reverse_1b_outputs_unit_mix_3_bed)</f>
        <v>0</v>
      </c>
      <c r="T36" s="40">
        <f>IF(NOT(bg_data_reverse_1b_is_ok_outputs),0,bg_data_reverse_1b_outputs_average_rent_3_bed)</f>
        <v>0</v>
      </c>
      <c r="U36" s="86">
        <f>IF(NOT(bg_data_reverse_1b_is_ok_outputs),0,bg_data_reverse_1b_outputs_average_rent_per_sf_3_bed)</f>
        <v>0</v>
      </c>
    </row>
    <row r="37" spans="2:21" ht="32" x14ac:dyDescent="0.2">
      <c r="B37" s="12"/>
      <c r="C37" s="12"/>
      <c r="D37" s="1"/>
      <c r="E37" s="13"/>
      <c r="F37" s="13"/>
      <c r="G37" s="13"/>
      <c r="H37" s="13"/>
      <c r="I37" s="13"/>
      <c r="O37" s="69" t="s">
        <v>127</v>
      </c>
      <c r="P37" s="27"/>
      <c r="Q37" s="84">
        <f>IF(NOT(bg_data_reverse_1b_is_ok_outputs),0,bg_data_reverse_1b_outputs_total_units_3_bed_plus_den)</f>
        <v>0</v>
      </c>
      <c r="R37" s="76">
        <f>IF(NOT(bg_data_reverse_1b_is_ok_outputs),0,bg_data_reverse_1b_outputs_total_sf_3_bed_plus_den)</f>
        <v>0</v>
      </c>
      <c r="S37" s="85">
        <f>IF(NOT(bg_data_reverse_1b_is_ok_outputs),0,bg_data_reverse_1b_outputs_unit_mix_3_bed_plus_den)</f>
        <v>0</v>
      </c>
      <c r="T37" s="40">
        <f>IF(NOT(bg_data_reverse_1b_is_ok_outputs),0,bg_data_reverse_1b_outputs_average_rent_3_bed_plus_den)</f>
        <v>0</v>
      </c>
      <c r="U37" s="86">
        <f>IF(NOT(bg_data_reverse_1b_is_ok_outputs),0,bg_data_reverse_1b_outputs_average_rent_per_sf_3_bed_plus_den)</f>
        <v>0</v>
      </c>
    </row>
    <row r="38" spans="2:21" ht="31" x14ac:dyDescent="0.2">
      <c r="B38" s="12"/>
      <c r="C38" s="12"/>
      <c r="D38" s="3" t="s">
        <v>25</v>
      </c>
      <c r="E38" s="22" t="s">
        <v>26</v>
      </c>
      <c r="F38" s="13"/>
      <c r="G38" s="13"/>
      <c r="H38" s="13"/>
      <c r="I38" s="13"/>
      <c r="O38" s="69" t="s">
        <v>128</v>
      </c>
      <c r="P38" s="27"/>
      <c r="Q38" s="84">
        <f>IF(NOT(bg_data_reverse_1b_is_ok_outputs),0,bg_data_reverse_1b_outputs_total_units_4_bed)</f>
        <v>0</v>
      </c>
      <c r="R38" s="76">
        <f>IF(NOT(bg_data_reverse_1b_is_ok_outputs),0,bg_data_reverse_1b_outputs_total_sf_4_bed)</f>
        <v>0</v>
      </c>
      <c r="S38" s="85">
        <f>IF(NOT(bg_data_reverse_1b_is_ok_outputs),0,bg_data_reverse_1b_outputs_unit_mix_4_bed)</f>
        <v>0</v>
      </c>
      <c r="T38" s="40">
        <f>IF(NOT(bg_data_reverse_1b_is_ok_outputs),0,bg_data_reverse_1b_outputs_average_rent_4_bed)</f>
        <v>0</v>
      </c>
      <c r="U38" s="86">
        <f>IF(NOT(bg_data_reverse_1b_is_ok_outputs),0,bg_data_reverse_1b_outputs_average_rent_per_sf_4_bed)</f>
        <v>0</v>
      </c>
    </row>
    <row r="39" spans="2:21" ht="32" x14ac:dyDescent="0.2">
      <c r="B39" s="12"/>
      <c r="C39" s="12"/>
      <c r="D39" s="10">
        <v>0</v>
      </c>
      <c r="E39" s="20" t="s">
        <v>27</v>
      </c>
      <c r="F39" s="13"/>
      <c r="G39" s="13"/>
      <c r="H39" s="13"/>
      <c r="I39" s="13"/>
      <c r="O39" s="69" t="s">
        <v>129</v>
      </c>
      <c r="P39" s="27"/>
      <c r="Q39" s="84">
        <f>IF(NOT(bg_data_reverse_1b_is_ok_outputs),0,bg_data_reverse_1b_outputs_total_units_4_bed_plus_den)</f>
        <v>0</v>
      </c>
      <c r="R39" s="76">
        <f>IF(NOT(bg_data_reverse_1b_is_ok_outputs),0,bg_data_reverse_1b_outputs_total_sf_4_bed_plus_den)</f>
        <v>0</v>
      </c>
      <c r="S39" s="85">
        <f>IF(NOT(bg_data_reverse_1b_is_ok_outputs),0,bg_data_reverse_1b_outputs_unit_mix_4_bed_plus_den)</f>
        <v>0</v>
      </c>
      <c r="T39" s="40">
        <f>IF(NOT(bg_data_reverse_1b_is_ok_outputs),0,bg_data_reverse_1b_outputs_average_rent_4_bed_plus_den)</f>
        <v>0</v>
      </c>
      <c r="U39" s="86">
        <f>IF(NOT(bg_data_reverse_1b_is_ok_outputs),0,bg_data_reverse_1b_outputs_average_rent_per_sf_4_bed_plus_den)</f>
        <v>0</v>
      </c>
    </row>
    <row r="40" spans="2:21" ht="18" x14ac:dyDescent="0.2">
      <c r="B40" s="12"/>
      <c r="C40" s="12"/>
      <c r="D40" s="10">
        <v>368200</v>
      </c>
      <c r="E40" s="20" t="s">
        <v>28</v>
      </c>
      <c r="F40" s="13"/>
      <c r="G40" s="13"/>
      <c r="H40" s="13"/>
      <c r="I40" s="13"/>
      <c r="O40" s="77" t="s">
        <v>114</v>
      </c>
      <c r="P40" s="35"/>
      <c r="Q40" s="87">
        <f>IF(NOT(bg_data_reverse_1b_is_ok_outputs),0,bg_data_reverse_1b_outputs_total_units)</f>
        <v>0</v>
      </c>
      <c r="R40" s="80">
        <f>IF(NOT(bg_data_reverse_1b_is_ok_outputs),0,bg_data_reverse_1b_outputs_total_sf)</f>
        <v>0</v>
      </c>
      <c r="S40" s="88">
        <f>IF(NOT(bg_data_reverse_1b_is_ok_outputs),0,bg_data_reverse_1b_outputs_unit_mix)</f>
        <v>0</v>
      </c>
      <c r="T40" s="36">
        <f>IF(NOT(bg_data_reverse_1b_is_ok_outputs),0,bg_data_reverse_1b_outputs_average_rent)</f>
        <v>0</v>
      </c>
      <c r="U40" s="44">
        <f>IF(NOT(bg_data_reverse_1b_is_ok_outputs),0,bg_data_reverse_1b_outputs_average_rent_per_sf)</f>
        <v>0</v>
      </c>
    </row>
    <row r="41" spans="2:21" ht="18" x14ac:dyDescent="0.2">
      <c r="B41" s="12"/>
      <c r="C41" s="12"/>
      <c r="D41" s="10">
        <v>424850</v>
      </c>
      <c r="E41" s="20" t="s">
        <v>29</v>
      </c>
      <c r="F41" s="13"/>
      <c r="G41" s="13"/>
      <c r="H41" s="13"/>
      <c r="I41" s="13"/>
      <c r="O41" s="27"/>
      <c r="P41" s="28"/>
      <c r="Q41" s="27"/>
      <c r="R41" s="27"/>
      <c r="S41" s="27"/>
      <c r="T41" s="27"/>
      <c r="U41" s="27"/>
    </row>
    <row r="42" spans="2:21" ht="19" thickBot="1" x14ac:dyDescent="0.25">
      <c r="B42" s="12"/>
      <c r="C42" s="12"/>
      <c r="D42" s="10">
        <v>484500</v>
      </c>
      <c r="E42" s="20" t="s">
        <v>30</v>
      </c>
      <c r="F42" s="13"/>
      <c r="G42" s="13"/>
      <c r="H42" s="13"/>
      <c r="I42" s="13"/>
      <c r="O42" s="46" t="s">
        <v>130</v>
      </c>
      <c r="P42" s="27"/>
      <c r="Q42" s="48" t="s">
        <v>131</v>
      </c>
      <c r="R42" s="89" t="s">
        <v>132</v>
      </c>
      <c r="S42" s="89"/>
      <c r="T42" s="48" t="s">
        <v>133</v>
      </c>
      <c r="U42" s="48" t="s">
        <v>134</v>
      </c>
    </row>
    <row r="43" spans="2:21" ht="19" thickTop="1" x14ac:dyDescent="0.2">
      <c r="B43" s="12"/>
      <c r="C43" s="12"/>
      <c r="D43" s="10">
        <v>0</v>
      </c>
      <c r="E43" s="20" t="s">
        <v>31</v>
      </c>
      <c r="F43" s="13"/>
      <c r="G43" s="13"/>
      <c r="H43" s="13"/>
      <c r="I43" s="13"/>
      <c r="O43" s="49" t="s">
        <v>135</v>
      </c>
      <c r="P43" s="27"/>
      <c r="Q43" s="90">
        <f>IF(NOT(bg_data_reverse_1b_is_ok_outputs),0,bg_data_reverse_1b_outputs_development_cost_percentage_land)</f>
        <v>0</v>
      </c>
      <c r="R43" s="91">
        <f>IF(NOT(bg_data_reverse_1b_is_ok_outputs),0,bg_data_reverse_1b_outputs_development_cost_land)</f>
        <v>0</v>
      </c>
      <c r="S43" s="91"/>
      <c r="T43" s="31">
        <f>IF(NOT(bg_data_reverse_1b_is_ok_outputs),0,bg_data_reverse_1b_outputs_development_cost_per_unit_land)</f>
        <v>0</v>
      </c>
      <c r="U43" s="83">
        <f>IF(NOT(bg_data_reverse_1b_is_ok_outputs),0,bg_data_reverse_1b_outputs_development_cost_per_sf_land)</f>
        <v>0</v>
      </c>
    </row>
    <row r="44" spans="2:21" ht="18" x14ac:dyDescent="0.2">
      <c r="B44" s="12"/>
      <c r="C44" s="12"/>
      <c r="D44" s="10">
        <v>28350</v>
      </c>
      <c r="E44" s="20" t="s">
        <v>32</v>
      </c>
      <c r="F44" s="13"/>
      <c r="G44" s="13"/>
      <c r="H44" s="13"/>
      <c r="I44" s="13"/>
      <c r="O44" s="49" t="s">
        <v>49</v>
      </c>
      <c r="P44" s="27"/>
      <c r="Q44" s="92">
        <f>IF(NOT(bg_data_reverse_1b_is_ok_outputs),0,bg_data_reverse_1b_outputs_development_cost_percentage_construction)</f>
        <v>0</v>
      </c>
      <c r="R44" s="93">
        <f>IF(NOT(bg_data_reverse_1b_is_ok_outputs),0,bg_data_reverse_1b_outputs_development_cost_construction)</f>
        <v>0</v>
      </c>
      <c r="S44" s="93"/>
      <c r="T44" s="40">
        <f>IF(NOT(bg_data_reverse_1b_is_ok_outputs),0,bg_data_reverse_1b_outputs_development_cost_per_unit_construction)</f>
        <v>0</v>
      </c>
      <c r="U44" s="86">
        <f>IF(NOT(bg_data_reverse_1b_is_ok_outputs),0,bg_data_reverse_1b_outputs_development_cost_per_sf_construction)</f>
        <v>0</v>
      </c>
    </row>
    <row r="45" spans="2:21" ht="18" x14ac:dyDescent="0.2">
      <c r="B45" s="12"/>
      <c r="C45" s="12"/>
      <c r="D45" s="10">
        <v>52350</v>
      </c>
      <c r="E45" s="20" t="s">
        <v>33</v>
      </c>
      <c r="F45" s="13"/>
      <c r="G45" s="13"/>
      <c r="H45" s="13"/>
      <c r="I45" s="13"/>
      <c r="O45" s="49" t="s">
        <v>136</v>
      </c>
      <c r="P45" s="27"/>
      <c r="Q45" s="92">
        <f>IF(NOT(bg_data_reverse_1b_is_ok_outputs),0,bg_data_reverse_1b_outputs_development_cost_percentage_professional_fees)</f>
        <v>0</v>
      </c>
      <c r="R45" s="93">
        <f>IF(NOT(bg_data_reverse_1b_is_ok_outputs),0,bg_data_reverse_1b_outputs_development_cost_professional_fees)</f>
        <v>0</v>
      </c>
      <c r="S45" s="93"/>
      <c r="T45" s="40">
        <f>IF(NOT(bg_data_reverse_1b_is_ok_outputs),0,bg_data_reverse_1b_outputs_development_cost_per_unit_professional_fees)</f>
        <v>0</v>
      </c>
      <c r="U45" s="86">
        <f>IF(NOT(bg_data_reverse_1b_is_ok_outputs),0,bg_data_reverse_1b_outputs_development_cost_per_sf_professional_fees)</f>
        <v>0</v>
      </c>
    </row>
    <row r="46" spans="2:21" ht="18" x14ac:dyDescent="0.2">
      <c r="B46" s="12"/>
      <c r="C46" s="12"/>
      <c r="D46" s="10">
        <v>24000</v>
      </c>
      <c r="E46" s="20" t="s">
        <v>34</v>
      </c>
      <c r="F46" s="13"/>
      <c r="G46" s="13"/>
      <c r="H46" s="13"/>
      <c r="I46" s="13"/>
      <c r="O46" s="49" t="s">
        <v>137</v>
      </c>
      <c r="P46" s="27"/>
      <c r="Q46" s="92">
        <f>IF(NOT(bg_data_reverse_1b_is_ok_outputs),0,bg_data_reverse_1b_outputs_development_cost_percentage_development_management)</f>
        <v>0</v>
      </c>
      <c r="R46" s="93">
        <f>IF(NOT(bg_data_reverse_1b_is_ok_outputs),0,bg_data_reverse_1b_outputs_development_cost_development_management)</f>
        <v>0</v>
      </c>
      <c r="S46" s="93"/>
      <c r="T46" s="40">
        <f>IF(NOT(bg_data_reverse_1b_is_ok_outputs),0,bg_data_reverse_1b_outputs_development_cost_per_unit_development_management)</f>
        <v>0</v>
      </c>
      <c r="U46" s="86">
        <f>IF(NOT(bg_data_reverse_1b_is_ok_outputs),0,bg_data_reverse_1b_outputs_development_cost_per_sf_development_management)</f>
        <v>0</v>
      </c>
    </row>
    <row r="47" spans="2:21" ht="18" x14ac:dyDescent="0.2">
      <c r="B47" s="12"/>
      <c r="C47" s="12"/>
      <c r="D47" s="11">
        <v>1.052</v>
      </c>
      <c r="E47" s="20" t="s">
        <v>35</v>
      </c>
      <c r="F47" s="13"/>
      <c r="G47" s="13"/>
      <c r="H47" s="13"/>
      <c r="I47" s="13"/>
      <c r="O47" s="49" t="s">
        <v>138</v>
      </c>
      <c r="P47" s="27"/>
      <c r="Q47" s="92">
        <f>IF(NOT(bg_data_reverse_1b_is_ok_outputs),0,bg_data_reverse_1b_outputs_development_cost_percentage_permits_and_approvals)</f>
        <v>0</v>
      </c>
      <c r="R47" s="93">
        <f>IF(NOT(bg_data_reverse_1b_is_ok_outputs),0,bg_data_reverse_1b_outputs_development_cost_permits_and_approvals)</f>
        <v>0</v>
      </c>
      <c r="S47" s="93"/>
      <c r="T47" s="40">
        <f>IF(NOT(bg_data_reverse_1b_is_ok_outputs),0,bg_data_reverse_1b_outputs_development_cost_per_unit_permits_and_approvals)</f>
        <v>0</v>
      </c>
      <c r="U47" s="86">
        <f>IF(NOT(bg_data_reverse_1b_is_ok_outputs),0,bg_data_reverse_1b_outputs_development_cost_per_sf_permits_and_approvals)</f>
        <v>0</v>
      </c>
    </row>
    <row r="48" spans="2:21" ht="18" x14ac:dyDescent="0.2">
      <c r="B48" s="12"/>
      <c r="C48" s="12"/>
      <c r="D48" s="11">
        <v>1.133</v>
      </c>
      <c r="E48" s="20" t="s">
        <v>36</v>
      </c>
      <c r="F48" s="13"/>
      <c r="G48" s="13"/>
      <c r="H48" s="13"/>
      <c r="I48" s="13"/>
      <c r="O48" s="49" t="s">
        <v>139</v>
      </c>
      <c r="P48" s="27"/>
      <c r="Q48" s="92">
        <f>IF(NOT(bg_data_reverse_1b_is_ok_outputs),0,bg_data_reverse_1b_outputs_development_cost_percentage_marketing_and_leasing)</f>
        <v>0</v>
      </c>
      <c r="R48" s="93">
        <f>IF(NOT(bg_data_reverse_1b_is_ok_outputs),0,bg_data_reverse_1b_outputs_development_cost_marketing_and_leasing)</f>
        <v>0</v>
      </c>
      <c r="S48" s="93"/>
      <c r="T48" s="40">
        <f>IF(NOT(bg_data_reverse_1b_is_ok_outputs),0,bg_data_reverse_1b_outputs_development_cost_per_unit_marketing_and_leasing)</f>
        <v>0</v>
      </c>
      <c r="U48" s="86">
        <f>IF(NOT(bg_data_reverse_1b_is_ok_outputs),0,bg_data_reverse_1b_outputs_development_cost_per_sf_marketing_and_leasing)</f>
        <v>0</v>
      </c>
    </row>
    <row r="49" spans="2:21" ht="18" x14ac:dyDescent="0.2">
      <c r="B49" s="12"/>
      <c r="C49" s="12"/>
      <c r="D49" s="11">
        <v>1.1930000000000001</v>
      </c>
      <c r="E49" s="20" t="s">
        <v>37</v>
      </c>
      <c r="F49" s="13"/>
      <c r="G49" s="13"/>
      <c r="H49" s="13"/>
      <c r="I49" s="13"/>
      <c r="O49" s="49" t="s">
        <v>140</v>
      </c>
      <c r="P49" s="27"/>
      <c r="Q49" s="92">
        <f>IF(NOT(bg_data_reverse_1b_is_ok_outputs),0,bg_data_reverse_1b_outputs_development_cost_percentage_financing_and_interest)</f>
        <v>0</v>
      </c>
      <c r="R49" s="93">
        <f>IF(NOT(bg_data_reverse_1b_is_ok_outputs),0,bg_data_reverse_1b_outputs_development_cost_financing_and_interest)</f>
        <v>0</v>
      </c>
      <c r="S49" s="93"/>
      <c r="T49" s="40">
        <f>IF(NOT(bg_data_reverse_1b_is_ok_outputs),0,bg_data_reverse_1b_outputs_development_cost_per_unit_financing_and_interest)</f>
        <v>0</v>
      </c>
      <c r="U49" s="86">
        <f>IF(NOT(bg_data_reverse_1b_is_ok_outputs),0,bg_data_reverse_1b_outputs_development_cost_per_sf_financing_and_interest)</f>
        <v>0</v>
      </c>
    </row>
    <row r="50" spans="2:21" ht="18" x14ac:dyDescent="0.2">
      <c r="B50" s="12"/>
      <c r="C50" s="12"/>
      <c r="D50" s="11">
        <v>1.1299999999999999</v>
      </c>
      <c r="E50" s="20" t="s">
        <v>38</v>
      </c>
      <c r="F50" s="13"/>
      <c r="G50" s="13"/>
      <c r="H50" s="13"/>
      <c r="I50" s="13"/>
      <c r="O50" s="49" t="s">
        <v>141</v>
      </c>
      <c r="P50" s="27"/>
      <c r="Q50" s="92">
        <f>IF(NOT(bg_data_reverse_1b_is_ok_outputs),0,bg_data_reverse_1b_outputs_development_cost_percentage_taxes)</f>
        <v>0</v>
      </c>
      <c r="R50" s="93">
        <f>IF(NOT(bg_data_reverse_1b_is_ok_outputs),0,bg_data_reverse_1b_outputs_development_cost_taxes)</f>
        <v>0</v>
      </c>
      <c r="S50" s="93"/>
      <c r="T50" s="40">
        <f>IF(NOT(bg_data_reverse_1b_is_ok_outputs),0,bg_data_reverse_1b_outputs_development_cost_per_unit_taxes)</f>
        <v>0</v>
      </c>
      <c r="U50" s="86">
        <f>IF(NOT(bg_data_reverse_1b_is_ok_outputs),0,bg_data_reverse_1b_outputs_development_cost_per_sf_taxes)</f>
        <v>0</v>
      </c>
    </row>
    <row r="51" spans="2:21" ht="18" x14ac:dyDescent="0.2">
      <c r="B51" s="12"/>
      <c r="C51" s="12"/>
      <c r="D51" s="10">
        <v>368200</v>
      </c>
      <c r="E51" s="20" t="s">
        <v>39</v>
      </c>
      <c r="F51" s="13"/>
      <c r="G51" s="13"/>
      <c r="H51" s="13"/>
      <c r="I51" s="13"/>
      <c r="O51" s="49" t="s">
        <v>142</v>
      </c>
      <c r="P51" s="27"/>
      <c r="Q51" s="92">
        <f>IF(NOT(bg_data_reverse_1b_is_ok_outputs),0,bg_data_reverse_1b_outputs_development_cost_percentage_operating_income_during_lease_up)</f>
        <v>0</v>
      </c>
      <c r="R51" s="93">
        <f>IF(NOT(bg_data_reverse_1b_is_ok_outputs),0,bg_data_reverse_1b_outputs_development_cost_operating_income_during_lease_up)</f>
        <v>0</v>
      </c>
      <c r="S51" s="93"/>
      <c r="T51" s="40">
        <f>IF(NOT(bg_data_reverse_1b_is_ok_outputs),0,bg_data_reverse_1b_outputs_development_cost_per_unit_operating_income_during_lease_up)</f>
        <v>0</v>
      </c>
      <c r="U51" s="86">
        <f>IF(NOT(bg_data_reverse_1b_is_ok_outputs),0,bg_data_reverse_1b_outputs_development_cost_per_sf_operating_income_during_lease_up)</f>
        <v>0</v>
      </c>
    </row>
    <row r="52" spans="2:21" ht="18" x14ac:dyDescent="0.2">
      <c r="B52" s="12"/>
      <c r="C52" s="12"/>
      <c r="D52" s="10">
        <v>450000</v>
      </c>
      <c r="E52" s="20" t="s">
        <v>40</v>
      </c>
      <c r="F52" s="13"/>
      <c r="G52" s="13"/>
      <c r="H52" s="13"/>
      <c r="I52" s="13"/>
      <c r="O52" s="60" t="s">
        <v>114</v>
      </c>
      <c r="P52" s="35"/>
      <c r="Q52" s="94">
        <f>IF(NOT(bg_data_reverse_1b_is_ok_outputs),0,bg_data_reverse_1b_outputs_development_cost_percentage)</f>
        <v>0</v>
      </c>
      <c r="R52" s="95">
        <f>IF(NOT(bg_data_reverse_1b_is_ok_outputs),0,bg_data_reverse_1b_outputs_development_cost)</f>
        <v>0</v>
      </c>
      <c r="S52" s="95"/>
      <c r="T52" s="36">
        <f>IF(NOT(bg_data_reverse_1b_is_ok_outputs),0,bg_data_reverse_1b_outputs_development_cost_per_unit)</f>
        <v>0</v>
      </c>
      <c r="U52" s="44">
        <f>IF(NOT(bg_data_reverse_1b_is_ok_outputs),0,bg_data_reverse_1b_outputs_development_cost_per_sf)</f>
        <v>0</v>
      </c>
    </row>
    <row r="53" spans="2:21" ht="18" x14ac:dyDescent="0.2">
      <c r="B53" s="12"/>
      <c r="C53" s="12"/>
      <c r="D53" s="10">
        <v>6300</v>
      </c>
      <c r="E53" s="20" t="s">
        <v>41</v>
      </c>
      <c r="F53" s="13"/>
      <c r="G53" s="13"/>
      <c r="H53" s="13"/>
      <c r="I53" s="13"/>
      <c r="O53" s="27"/>
      <c r="P53" s="28"/>
      <c r="Q53" s="27"/>
      <c r="R53" s="27"/>
      <c r="S53" s="27"/>
      <c r="T53" s="27"/>
      <c r="U53" s="27"/>
    </row>
    <row r="54" spans="2:21" ht="19" thickBot="1" x14ac:dyDescent="0.25">
      <c r="B54" s="12"/>
      <c r="C54" s="12"/>
      <c r="D54" s="10">
        <v>100000</v>
      </c>
      <c r="E54" s="20" t="s">
        <v>42</v>
      </c>
      <c r="F54" s="13"/>
      <c r="G54" s="13"/>
      <c r="H54" s="13"/>
      <c r="I54" s="13"/>
      <c r="O54" s="46" t="s">
        <v>143</v>
      </c>
      <c r="P54" s="27"/>
      <c r="Q54" s="27"/>
      <c r="R54" s="47" t="s">
        <v>144</v>
      </c>
      <c r="S54" s="89" t="s">
        <v>145</v>
      </c>
      <c r="T54" s="89"/>
      <c r="U54" s="27"/>
    </row>
    <row r="55" spans="2:21" ht="19" thickTop="1" x14ac:dyDescent="0.2">
      <c r="B55" s="12"/>
      <c r="C55" s="12"/>
      <c r="D55" s="4">
        <v>0.05</v>
      </c>
      <c r="E55" s="20" t="s">
        <v>43</v>
      </c>
      <c r="F55" s="13"/>
      <c r="G55" s="13"/>
      <c r="H55" s="13"/>
      <c r="I55" s="13"/>
      <c r="O55" s="49" t="s">
        <v>146</v>
      </c>
      <c r="P55" s="27"/>
      <c r="Q55" s="96"/>
      <c r="R55" s="97">
        <f>IF(NOT(bg_data_reverse_1b_is_ok_outputs),0,bg_data_reverse_1b_outputs_construction_financing_percentage_loan)</f>
        <v>0</v>
      </c>
      <c r="S55" s="91">
        <f>IF(NOT(bg_data_reverse_1b_is_ok_outputs),0,bg_data_reverse_1b_outputs_construction_financing_loan)</f>
        <v>0</v>
      </c>
      <c r="T55" s="91"/>
      <c r="U55" s="30"/>
    </row>
    <row r="56" spans="2:21" ht="18" x14ac:dyDescent="0.2">
      <c r="B56" s="12"/>
      <c r="C56" s="12"/>
      <c r="D56" s="4">
        <v>0.36</v>
      </c>
      <c r="E56" s="20" t="s">
        <v>44</v>
      </c>
      <c r="F56" s="13"/>
      <c r="G56" s="13"/>
      <c r="H56" s="13"/>
      <c r="I56" s="13"/>
      <c r="O56" s="49" t="s">
        <v>147</v>
      </c>
      <c r="P56" s="27"/>
      <c r="Q56" s="98"/>
      <c r="R56" s="99">
        <f>IF(NOT(bg_data_reverse_1b_is_ok_outputs),0,bg_data_reverse_1b_outputs_construction_financing_percentage_equity)</f>
        <v>0</v>
      </c>
      <c r="S56" s="93">
        <f>IF(NOT(bg_data_reverse_1b_is_ok_outputs),0,bg_data_reverse_1b_outputs_construction_financing_equity)</f>
        <v>0</v>
      </c>
      <c r="T56" s="93"/>
      <c r="U56" s="27"/>
    </row>
    <row r="57" spans="2:21" ht="18" x14ac:dyDescent="0.2">
      <c r="B57" s="12"/>
      <c r="C57" s="12"/>
      <c r="D57" s="10">
        <v>24000</v>
      </c>
      <c r="E57" s="20" t="s">
        <v>45</v>
      </c>
      <c r="F57" s="13"/>
      <c r="G57" s="13"/>
      <c r="H57" s="13"/>
      <c r="I57" s="13"/>
      <c r="O57" s="60" t="s">
        <v>114</v>
      </c>
      <c r="P57" s="35"/>
      <c r="Q57" s="100"/>
      <c r="R57" s="101">
        <f>IF(NOT(bg_data_reverse_1b_is_ok_outputs),0,bg_data_reverse_1b_outputs_construction_financing_percentage)</f>
        <v>0</v>
      </c>
      <c r="S57" s="95">
        <f>IF(NOT(bg_data_reverse_1b_is_ok_outputs),0,bg_data_reverse_1b_outputs_construction_financing)</f>
        <v>0</v>
      </c>
      <c r="T57" s="95"/>
      <c r="U57" s="35"/>
    </row>
    <row r="58" spans="2:21" x14ac:dyDescent="0.2">
      <c r="B58" s="12"/>
      <c r="C58" s="12"/>
      <c r="D58" s="1"/>
      <c r="E58" s="13"/>
      <c r="F58" s="13"/>
      <c r="G58" s="13"/>
      <c r="H58" s="13"/>
      <c r="I58" s="13"/>
    </row>
    <row r="59" spans="2:21" ht="31" x14ac:dyDescent="0.2">
      <c r="B59" s="12"/>
      <c r="C59" s="12"/>
      <c r="D59" s="3" t="s">
        <v>25</v>
      </c>
      <c r="E59" s="22" t="s">
        <v>46</v>
      </c>
      <c r="F59" s="13"/>
      <c r="G59" s="13"/>
      <c r="H59" s="13"/>
      <c r="I59" s="13"/>
    </row>
    <row r="60" spans="2:21" ht="18" x14ac:dyDescent="0.2">
      <c r="B60" s="12"/>
      <c r="C60" s="12"/>
      <c r="D60" s="9">
        <v>0</v>
      </c>
      <c r="E60" s="20" t="s">
        <v>47</v>
      </c>
      <c r="F60" s="13"/>
      <c r="G60" s="13"/>
      <c r="H60" s="13"/>
      <c r="I60" s="13"/>
    </row>
    <row r="61" spans="2:21" ht="18" x14ac:dyDescent="0.2">
      <c r="B61" s="12"/>
      <c r="C61" s="12"/>
      <c r="D61" s="9">
        <v>0</v>
      </c>
      <c r="E61" s="20" t="s">
        <v>48</v>
      </c>
      <c r="F61" s="13"/>
      <c r="G61" s="13"/>
      <c r="H61" s="13"/>
      <c r="I61" s="13"/>
    </row>
    <row r="62" spans="2:21" ht="18" x14ac:dyDescent="0.2">
      <c r="B62" s="12"/>
      <c r="C62" s="12"/>
      <c r="D62" s="9">
        <v>0</v>
      </c>
      <c r="E62" s="20" t="s">
        <v>49</v>
      </c>
      <c r="F62" s="13"/>
      <c r="G62" s="13"/>
      <c r="H62" s="13"/>
      <c r="I62" s="13"/>
    </row>
    <row r="63" spans="2:21" ht="18" x14ac:dyDescent="0.2">
      <c r="B63" s="12"/>
      <c r="C63" s="12"/>
      <c r="D63" s="9">
        <v>-3</v>
      </c>
      <c r="E63" s="20" t="s">
        <v>50</v>
      </c>
      <c r="F63" s="13"/>
      <c r="G63" s="13"/>
      <c r="H63" s="13"/>
      <c r="I63" s="13"/>
    </row>
    <row r="64" spans="2:21" ht="18" x14ac:dyDescent="0.2">
      <c r="B64" s="12"/>
      <c r="C64" s="12"/>
      <c r="D64" s="9">
        <v>0</v>
      </c>
      <c r="E64" s="20" t="s">
        <v>51</v>
      </c>
      <c r="F64" s="13"/>
      <c r="G64" s="13"/>
      <c r="H64" s="13"/>
      <c r="I64" s="13"/>
    </row>
    <row r="65" spans="2:9" x14ac:dyDescent="0.2">
      <c r="B65" s="12"/>
      <c r="C65" s="12"/>
      <c r="D65" s="1"/>
      <c r="E65" s="13"/>
      <c r="F65" s="13"/>
      <c r="G65" s="13"/>
      <c r="H65" s="13"/>
      <c r="I65" s="13"/>
    </row>
    <row r="66" spans="2:9" ht="31" x14ac:dyDescent="0.2">
      <c r="B66" s="12"/>
      <c r="C66" s="12"/>
      <c r="D66" s="3" t="s">
        <v>25</v>
      </c>
      <c r="E66" s="22" t="s">
        <v>52</v>
      </c>
      <c r="F66" s="13"/>
      <c r="G66" s="13"/>
      <c r="H66" s="13"/>
      <c r="I66" s="13"/>
    </row>
    <row r="67" spans="2:9" ht="18" x14ac:dyDescent="0.2">
      <c r="B67" s="12"/>
      <c r="C67" s="12"/>
      <c r="D67" s="9">
        <v>0</v>
      </c>
      <c r="E67" s="20" t="s">
        <v>47</v>
      </c>
      <c r="F67" s="13"/>
      <c r="G67" s="13"/>
      <c r="H67" s="13"/>
      <c r="I67" s="13"/>
    </row>
    <row r="68" spans="2:9" ht="18" x14ac:dyDescent="0.2">
      <c r="B68" s="12"/>
      <c r="C68" s="12"/>
      <c r="D68" s="9">
        <v>8</v>
      </c>
      <c r="E68" s="20" t="s">
        <v>48</v>
      </c>
      <c r="F68" s="13"/>
      <c r="G68" s="13"/>
      <c r="H68" s="13"/>
      <c r="I68" s="13"/>
    </row>
    <row r="69" spans="2:9" ht="18" x14ac:dyDescent="0.2">
      <c r="B69" s="12"/>
      <c r="C69" s="12"/>
      <c r="D69" s="9">
        <v>18</v>
      </c>
      <c r="E69" s="20" t="s">
        <v>49</v>
      </c>
      <c r="F69" s="13"/>
      <c r="G69" s="13"/>
      <c r="H69" s="13"/>
      <c r="I69" s="13"/>
    </row>
    <row r="70" spans="2:9" ht="18" x14ac:dyDescent="0.2">
      <c r="B70" s="12"/>
      <c r="C70" s="12"/>
      <c r="D70" s="9">
        <v>6</v>
      </c>
      <c r="E70" s="20" t="s">
        <v>50</v>
      </c>
      <c r="F70" s="13"/>
      <c r="G70" s="13"/>
      <c r="H70" s="13"/>
      <c r="I70" s="13"/>
    </row>
    <row r="71" spans="2:9" ht="18" x14ac:dyDescent="0.2">
      <c r="B71" s="12"/>
      <c r="C71" s="12"/>
      <c r="D71" s="9">
        <v>0</v>
      </c>
      <c r="E71" s="20" t="s">
        <v>51</v>
      </c>
      <c r="F71" s="13"/>
      <c r="G71" s="13"/>
      <c r="H71" s="13"/>
      <c r="I71" s="13"/>
    </row>
    <row r="72" spans="2:9" x14ac:dyDescent="0.2">
      <c r="B72" s="12"/>
      <c r="C72" s="12"/>
      <c r="D72" s="1"/>
      <c r="E72" s="14"/>
      <c r="F72" s="13"/>
      <c r="G72" s="13"/>
      <c r="H72" s="13"/>
      <c r="I72" s="13"/>
    </row>
    <row r="73" spans="2:9" ht="31" x14ac:dyDescent="0.2">
      <c r="B73" s="12"/>
      <c r="C73" s="12"/>
      <c r="D73" s="3" t="s">
        <v>25</v>
      </c>
      <c r="E73" s="22" t="s">
        <v>53</v>
      </c>
      <c r="F73" s="13"/>
      <c r="G73" s="13"/>
      <c r="H73" s="13"/>
      <c r="I73" s="13"/>
    </row>
    <row r="74" spans="2:9" ht="18" x14ac:dyDescent="0.2">
      <c r="B74" s="12"/>
      <c r="C74" s="12"/>
      <c r="D74" s="4">
        <v>0.11</v>
      </c>
      <c r="E74" s="20" t="s">
        <v>54</v>
      </c>
      <c r="F74" s="13"/>
      <c r="G74" s="13"/>
      <c r="H74" s="13"/>
      <c r="I74" s="13"/>
    </row>
    <row r="75" spans="2:9" ht="18" x14ac:dyDescent="0.2">
      <c r="B75" s="12"/>
      <c r="C75" s="12"/>
      <c r="D75" s="4">
        <v>2.5000000000000001E-3</v>
      </c>
      <c r="E75" s="20" t="s">
        <v>55</v>
      </c>
      <c r="F75" s="13"/>
      <c r="G75" s="13"/>
      <c r="H75" s="13"/>
      <c r="I75" s="13"/>
    </row>
    <row r="76" spans="2:9" ht="18" x14ac:dyDescent="0.2">
      <c r="B76" s="12"/>
      <c r="C76" s="12"/>
      <c r="D76" s="4">
        <v>7.0000000000000007E-2</v>
      </c>
      <c r="E76" s="20" t="s">
        <v>56</v>
      </c>
      <c r="F76" s="13"/>
      <c r="G76" s="13"/>
      <c r="H76" s="13"/>
      <c r="I76" s="13"/>
    </row>
    <row r="77" spans="2:9" ht="18" x14ac:dyDescent="0.2">
      <c r="B77" s="12"/>
      <c r="C77" s="12"/>
      <c r="D77" s="4">
        <v>0.56000000000000005</v>
      </c>
      <c r="E77" s="20" t="s">
        <v>57</v>
      </c>
      <c r="F77" s="13"/>
      <c r="G77" s="13"/>
      <c r="H77" s="13"/>
      <c r="I77" s="13"/>
    </row>
    <row r="78" spans="2:9" ht="18" x14ac:dyDescent="0.2">
      <c r="B78" s="12"/>
      <c r="C78" s="12"/>
      <c r="D78" s="4">
        <v>0</v>
      </c>
      <c r="E78" s="20" t="s">
        <v>58</v>
      </c>
      <c r="F78" s="13"/>
      <c r="G78" s="13"/>
      <c r="H78" s="13"/>
      <c r="I78" s="13"/>
    </row>
    <row r="79" spans="2:9" ht="18" x14ac:dyDescent="0.2">
      <c r="B79" s="12"/>
      <c r="C79" s="12"/>
      <c r="D79" s="4">
        <v>0.03</v>
      </c>
      <c r="E79" s="20" t="s">
        <v>59</v>
      </c>
      <c r="F79" s="13"/>
      <c r="G79" s="13"/>
      <c r="H79" s="13"/>
      <c r="I79" s="13"/>
    </row>
    <row r="80" spans="2:9" ht="18" x14ac:dyDescent="0.2">
      <c r="B80" s="12"/>
      <c r="C80" s="12"/>
      <c r="D80" s="4">
        <v>0.03</v>
      </c>
      <c r="E80" s="20" t="s">
        <v>60</v>
      </c>
      <c r="F80" s="13"/>
      <c r="G80" s="13"/>
      <c r="H80" s="13"/>
      <c r="I80" s="13"/>
    </row>
    <row r="81" spans="2:9" ht="18" x14ac:dyDescent="0.2">
      <c r="B81" s="12"/>
      <c r="C81" s="12"/>
      <c r="D81" s="4">
        <v>4.0000000000000001E-3</v>
      </c>
      <c r="E81" s="20" t="s">
        <v>61</v>
      </c>
      <c r="F81" s="13"/>
      <c r="G81" s="13"/>
      <c r="H81" s="13"/>
      <c r="I81" s="13"/>
    </row>
    <row r="82" spans="2:9" ht="18" x14ac:dyDescent="0.2">
      <c r="B82" s="12"/>
      <c r="C82" s="12"/>
      <c r="D82" s="4">
        <v>2.5000000000000001E-2</v>
      </c>
      <c r="E82" s="20" t="s">
        <v>62</v>
      </c>
      <c r="F82" s="13"/>
      <c r="G82" s="13"/>
      <c r="H82" s="13"/>
      <c r="I82" s="13"/>
    </row>
    <row r="83" spans="2:9" ht="18" x14ac:dyDescent="0.2">
      <c r="B83" s="12"/>
      <c r="C83" s="12"/>
      <c r="D83" s="10">
        <v>60514</v>
      </c>
      <c r="E83" s="20" t="s">
        <v>63</v>
      </c>
      <c r="F83" s="13"/>
      <c r="G83" s="13"/>
      <c r="H83" s="13"/>
      <c r="I83" s="13"/>
    </row>
    <row r="84" spans="2:9" ht="18" x14ac:dyDescent="0.2">
      <c r="B84" s="12"/>
      <c r="C84" s="12"/>
      <c r="D84" s="10">
        <v>80447</v>
      </c>
      <c r="E84" s="20" t="s">
        <v>64</v>
      </c>
      <c r="F84" s="13"/>
      <c r="G84" s="13"/>
      <c r="H84" s="13"/>
      <c r="I84" s="13"/>
    </row>
    <row r="85" spans="2:9" ht="18" x14ac:dyDescent="0.2">
      <c r="B85" s="12"/>
      <c r="C85" s="12"/>
      <c r="D85" s="10">
        <v>600</v>
      </c>
      <c r="E85" s="20" t="s">
        <v>65</v>
      </c>
      <c r="F85" s="13"/>
      <c r="G85" s="13"/>
      <c r="H85" s="13"/>
      <c r="I85" s="13"/>
    </row>
    <row r="86" spans="2:9" ht="18" x14ac:dyDescent="0.2">
      <c r="B86" s="12"/>
      <c r="C86" s="12"/>
      <c r="D86" s="4">
        <v>0</v>
      </c>
      <c r="E86" s="20" t="s">
        <v>66</v>
      </c>
      <c r="F86" s="13"/>
      <c r="G86" s="13"/>
      <c r="H86" s="13"/>
      <c r="I86" s="13"/>
    </row>
    <row r="87" spans="2:9" ht="18" x14ac:dyDescent="0.2">
      <c r="B87" s="12"/>
      <c r="C87" s="12"/>
      <c r="D87" s="4">
        <v>0</v>
      </c>
      <c r="E87" s="20" t="s">
        <v>67</v>
      </c>
      <c r="F87" s="13"/>
      <c r="G87" s="13"/>
      <c r="H87" s="13"/>
      <c r="I87" s="13"/>
    </row>
    <row r="88" spans="2:9" ht="18" x14ac:dyDescent="0.2">
      <c r="B88" s="12"/>
      <c r="C88" s="12"/>
      <c r="D88" s="4">
        <v>0.01</v>
      </c>
      <c r="E88" s="20" t="s">
        <v>68</v>
      </c>
      <c r="F88" s="13"/>
      <c r="G88" s="13"/>
      <c r="H88" s="13"/>
      <c r="I88" s="13"/>
    </row>
    <row r="89" spans="2:9" ht="18" x14ac:dyDescent="0.2">
      <c r="B89" s="12"/>
      <c r="C89" s="12"/>
      <c r="D89" s="6">
        <v>0</v>
      </c>
      <c r="E89" s="20" t="s">
        <v>69</v>
      </c>
      <c r="F89" s="13"/>
      <c r="G89" s="13"/>
      <c r="H89" s="13"/>
      <c r="I89" s="13"/>
    </row>
    <row r="90" spans="2:9" ht="18" x14ac:dyDescent="0.2">
      <c r="B90" s="12"/>
      <c r="C90" s="12"/>
      <c r="D90" s="6">
        <v>1.5</v>
      </c>
      <c r="E90" s="20" t="s">
        <v>70</v>
      </c>
      <c r="F90" s="13"/>
      <c r="G90" s="13"/>
      <c r="H90" s="13"/>
      <c r="I90" s="13"/>
    </row>
    <row r="91" spans="2:9" ht="18" x14ac:dyDescent="0.2">
      <c r="B91" s="12"/>
      <c r="C91" s="12"/>
      <c r="D91" s="6">
        <v>0</v>
      </c>
      <c r="E91" s="20" t="s">
        <v>71</v>
      </c>
      <c r="F91" s="13"/>
      <c r="G91" s="13"/>
      <c r="H91" s="13"/>
      <c r="I91" s="13"/>
    </row>
    <row r="92" spans="2:9" ht="18" x14ac:dyDescent="0.2">
      <c r="B92" s="12"/>
      <c r="C92" s="12"/>
      <c r="D92" s="6">
        <v>1.5</v>
      </c>
      <c r="E92" s="20" t="s">
        <v>72</v>
      </c>
      <c r="F92" s="13"/>
      <c r="G92" s="13"/>
      <c r="H92" s="13"/>
      <c r="I92" s="13"/>
    </row>
    <row r="93" spans="2:9" ht="18" x14ac:dyDescent="0.2">
      <c r="B93" s="12"/>
      <c r="C93" s="12"/>
      <c r="D93" s="4">
        <v>0.15</v>
      </c>
      <c r="E93" s="20" t="s">
        <v>73</v>
      </c>
      <c r="F93" s="13"/>
      <c r="G93" s="13"/>
      <c r="H93" s="13"/>
      <c r="I93" s="13"/>
    </row>
    <row r="94" spans="2:9" ht="18" x14ac:dyDescent="0.2">
      <c r="B94" s="12"/>
      <c r="C94" s="12"/>
      <c r="D94" s="4">
        <v>0.75</v>
      </c>
      <c r="E94" s="20" t="s">
        <v>74</v>
      </c>
      <c r="F94" s="13"/>
      <c r="G94" s="13"/>
      <c r="H94" s="13"/>
      <c r="I94" s="13"/>
    </row>
    <row r="95" spans="2:9" ht="18" x14ac:dyDescent="0.2">
      <c r="B95" s="12"/>
      <c r="C95" s="12"/>
      <c r="D95" s="5">
        <v>0.08</v>
      </c>
      <c r="E95" s="20" t="s">
        <v>75</v>
      </c>
      <c r="F95" s="13"/>
      <c r="G95" s="13"/>
      <c r="H95" s="13"/>
      <c r="I95" s="13"/>
    </row>
    <row r="96" spans="2:9" ht="18" x14ac:dyDescent="0.2">
      <c r="B96" s="12"/>
      <c r="C96" s="12"/>
      <c r="D96" s="5">
        <v>0.04</v>
      </c>
      <c r="E96" s="20" t="s">
        <v>76</v>
      </c>
      <c r="F96" s="13"/>
      <c r="G96" s="13"/>
      <c r="H96" s="13"/>
      <c r="I96" s="13"/>
    </row>
    <row r="97" spans="2:9" ht="18" x14ac:dyDescent="0.2">
      <c r="B97" s="12"/>
      <c r="C97" s="12"/>
      <c r="D97" s="10">
        <v>1000000</v>
      </c>
      <c r="E97" s="20" t="s">
        <v>77</v>
      </c>
      <c r="F97" s="13"/>
      <c r="G97" s="13"/>
      <c r="H97" s="13"/>
      <c r="I97" s="13"/>
    </row>
    <row r="98" spans="2:9" ht="18" x14ac:dyDescent="0.2">
      <c r="B98" s="12"/>
      <c r="C98" s="12"/>
      <c r="D98" s="4">
        <v>0.01</v>
      </c>
      <c r="E98" s="20" t="s">
        <v>78</v>
      </c>
      <c r="F98" s="13"/>
      <c r="G98" s="13"/>
      <c r="H98" s="13"/>
      <c r="I98" s="13"/>
    </row>
    <row r="99" spans="2:9" ht="18" x14ac:dyDescent="0.2">
      <c r="B99" s="12"/>
      <c r="C99" s="12"/>
      <c r="D99" s="4">
        <v>0</v>
      </c>
      <c r="E99" s="20" t="s">
        <v>79</v>
      </c>
      <c r="F99" s="13"/>
      <c r="G99" s="13"/>
      <c r="H99" s="13"/>
      <c r="I99" s="13"/>
    </row>
    <row r="100" spans="2:9" ht="18" x14ac:dyDescent="0.2">
      <c r="B100" s="12"/>
      <c r="C100" s="12"/>
      <c r="D100" s="4">
        <v>0</v>
      </c>
      <c r="E100" s="20" t="s">
        <v>80</v>
      </c>
      <c r="F100" s="13"/>
      <c r="G100" s="13"/>
      <c r="H100" s="13"/>
      <c r="I100" s="13"/>
    </row>
    <row r="101" spans="2:9" ht="18" x14ac:dyDescent="0.2">
      <c r="B101" s="12"/>
      <c r="C101" s="12"/>
      <c r="D101" s="4">
        <v>1.4999999999999999E-2</v>
      </c>
      <c r="E101" s="20" t="s">
        <v>81</v>
      </c>
      <c r="F101" s="13"/>
      <c r="G101" s="13"/>
      <c r="H101" s="13"/>
      <c r="I101" s="13"/>
    </row>
    <row r="102" spans="2:9" ht="18" x14ac:dyDescent="0.2">
      <c r="B102" s="12"/>
      <c r="C102" s="12"/>
      <c r="D102" s="2" t="s">
        <v>82</v>
      </c>
      <c r="E102" s="20" t="s">
        <v>83</v>
      </c>
      <c r="F102" s="13"/>
      <c r="G102" s="13"/>
      <c r="H102" s="13"/>
      <c r="I102" s="13"/>
    </row>
    <row r="103" spans="2:9" x14ac:dyDescent="0.2">
      <c r="B103" s="12"/>
      <c r="C103" s="12"/>
      <c r="D103" s="13"/>
      <c r="E103" s="14"/>
      <c r="F103" s="13"/>
      <c r="G103" s="13"/>
      <c r="H103" s="13"/>
      <c r="I103" s="13"/>
    </row>
  </sheetData>
  <mergeCells count="16">
    <mergeCell ref="S54:T54"/>
    <mergeCell ref="S55:T55"/>
    <mergeCell ref="S56:T56"/>
    <mergeCell ref="S57:T57"/>
    <mergeCell ref="R47:S47"/>
    <mergeCell ref="R48:S48"/>
    <mergeCell ref="R49:S49"/>
    <mergeCell ref="R50:S50"/>
    <mergeCell ref="R51:S51"/>
    <mergeCell ref="R52:S52"/>
    <mergeCell ref="D3:H3"/>
    <mergeCell ref="R42:S42"/>
    <mergeCell ref="R43:S43"/>
    <mergeCell ref="R44:S44"/>
    <mergeCell ref="R45:S45"/>
    <mergeCell ref="R46:S46"/>
  </mergeCells>
  <conditionalFormatting sqref="D10:D11">
    <cfRule type="expression" dxfId="2" priority="3">
      <formula>NOT(ISBLANK(D10))</formula>
    </cfRule>
  </conditionalFormatting>
  <conditionalFormatting sqref="D20:D25 D28:D36 D39:D57 D60:D64 D67:D71 D74:D102">
    <cfRule type="expression" dxfId="0" priority="1">
      <formula>NOT(ISBLANK(D20))</formula>
    </cfRule>
  </conditionalFormatting>
  <dataValidations count="5">
    <dataValidation type="list" allowBlank="1" showInputMessage="1" showErrorMessage="1" errorTitle="Select from dropdown" error="_x000a_You must select an entry from the dropdown list..._x000a__x000a_" sqref="D102" xr:uid="{607EE1EE-0BDF-BE4C-A859-573748E91832}">
      <formula1>"Yes,No"</formula1>
    </dataValidation>
    <dataValidation type="list" allowBlank="1" showInputMessage="1" showErrorMessage="1" errorTitle="Select from dropdown" error="_x000a_You must select an entry from the dropdown list..._x000a__x000a_" sqref="D25" xr:uid="{5C158AA9-30EA-F442-8A9D-7284224496B6}">
      <formula1>"Max,Lesser"</formula1>
    </dataValidation>
    <dataValidation type="list" allowBlank="1" showInputMessage="1" showErrorMessage="1" errorTitle="Select from dropdown" error="_x000a_You must select an entry from the dropdown list..._x000a__x000a_" sqref="D24" xr:uid="{56F68757-6EA0-2B47-9CCA-CDFB6DBD9484}">
      <formula1>"S Curve,Even"</formula1>
    </dataValidation>
    <dataValidation type="list" allowBlank="1" showInputMessage="1" showErrorMessage="1" errorTitle="Select from dropdown" error="_x000a_You must select an entry from the dropdown list..._x000a__x000a_" sqref="D23" xr:uid="{17156E7F-8B1E-2044-B7F5-4054C838A088}">
      <formula1>"Steep,Moderately Steep,Moderate,Moderately Flat,Flat"</formula1>
    </dataValidation>
    <dataValidation type="list" allowBlank="1" showInputMessage="1" showErrorMessage="1" errorTitle="Select from dropdown" error="_x000a_You must select an entry from the dropdown list..._x000a__x000a_" sqref="D11" xr:uid="{58FA26F1-9155-2D40-B350-04CCBFA820D1}">
      <formula1>"Best,Base,Worst"</formula1>
    </dataValidation>
  </dataValidations>
  <pageMargins left="0.7" right="0.7" top="0.75" bottom="0.75" header="0.3" footer="0.3"/>
  <pageSetup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Button_Unique_ToggleView_Section">
                <anchor moveWithCells="1" sizeWithCells="1">
                  <from>
                    <xdr:col>1</xdr:col>
                    <xdr:colOff>63500</xdr:colOff>
                    <xdr:row>2</xdr:row>
                    <xdr:rowOff>12700</xdr:rowOff>
                  </from>
                  <to>
                    <xdr:col>1</xdr:col>
                    <xdr:colOff>342900</xdr:colOff>
                    <xdr:row>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Button_Unique_LoadInfo_Defaults_Reverse1BAssumptions">
                <anchor moveWithCells="1" sizeWithCells="1">
                  <from>
                    <xdr:col>2</xdr:col>
                    <xdr:colOff>177800</xdr:colOff>
                    <xdr:row>14</xdr:row>
                    <xdr:rowOff>12700</xdr:rowOff>
                  </from>
                  <to>
                    <xdr:col>8</xdr:col>
                    <xdr:colOff>12700</xdr:colOff>
                    <xdr:row>16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6812B43E40854BA1E712792C679085" ma:contentTypeVersion="11" ma:contentTypeDescription="Create a new document." ma:contentTypeScope="" ma:versionID="414499eb25f99a8cdea110bf2f6f6a83">
  <xsd:schema xmlns:xsd="http://www.w3.org/2001/XMLSchema" xmlns:xs="http://www.w3.org/2001/XMLSchema" xmlns:p="http://schemas.microsoft.com/office/2006/metadata/properties" xmlns:ns2="dcb3892f-b249-4db3-9c24-9c504097943a" xmlns:ns3="a284b7b8-912e-481b-8d96-eae7139e4d52" targetNamespace="http://schemas.microsoft.com/office/2006/metadata/properties" ma:root="true" ma:fieldsID="aa3094402626713830434b8a35c86963" ns2:_="" ns3:_="">
    <xsd:import namespace="dcb3892f-b249-4db3-9c24-9c504097943a"/>
    <xsd:import namespace="a284b7b8-912e-481b-8d96-eae7139e4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3892f-b249-4db3-9c24-9c5040979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42e553-f25f-4899-9be1-e566b28752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4b7b8-912e-481b-8d96-eae7139e4d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28de32-b653-4741-a59a-0adf3546ef8d}" ma:internalName="TaxCatchAll" ma:showField="CatchAllData" ma:web="a284b7b8-912e-481b-8d96-eae7139e4d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b3892f-b249-4db3-9c24-9c504097943a">
      <Terms xmlns="http://schemas.microsoft.com/office/infopath/2007/PartnerControls"/>
    </lcf76f155ced4ddcb4097134ff3c332f>
    <TaxCatchAll xmlns="a284b7b8-912e-481b-8d96-eae7139e4d52" xsi:nil="true"/>
  </documentManagement>
</p:properties>
</file>

<file path=customXml/itemProps1.xml><?xml version="1.0" encoding="utf-8"?>
<ds:datastoreItem xmlns:ds="http://schemas.openxmlformats.org/officeDocument/2006/customXml" ds:itemID="{187C3CB6-BED0-4642-926C-CEB78E3AD1F0}"/>
</file>

<file path=customXml/itemProps2.xml><?xml version="1.0" encoding="utf-8"?>
<ds:datastoreItem xmlns:ds="http://schemas.openxmlformats.org/officeDocument/2006/customXml" ds:itemID="{EFFAAEC9-B9FC-4847-9F5C-15E4C838AFA9}"/>
</file>

<file path=customXml/itemProps3.xml><?xml version="1.0" encoding="utf-8"?>
<ds:datastoreItem xmlns:ds="http://schemas.openxmlformats.org/officeDocument/2006/customXml" ds:itemID="{E6799E80-B5F8-4603-A6BA-1351A0DD1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proposal_reverse_1b_assumptions_selling_cost_percentage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kanen maclellan</dc:creator>
  <cp:lastModifiedBy>kanen maclellan</cp:lastModifiedBy>
  <dcterms:created xsi:type="dcterms:W3CDTF">2025-12-03T15:36:59Z</dcterms:created>
  <dcterms:modified xsi:type="dcterms:W3CDTF">2025-12-03T16:38:05Z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0x010100876812B43E40854BA1E712792C679085</vt:lpwstr>
  </property>
</Properties>
</file>