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trlProps/ctrlProp4.xml" ContentType="application/vnd.ms-excel.controlproperties+xml"/>
  <Override PartName="/xl/ctrlProps/ctrlProp2.xml" ContentType="application/vnd.ms-excel.controlproperties+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trlProps/ctrlProp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mc:AlternateContent xmlns:mc="http://schemas.openxmlformats.org/markup-compatibility/2006">
    <mc:Choice Requires="x15">
      <x15ac:absPath xmlns:x15ac="http://schemas.microsoft.com/office/spreadsheetml/2010/11/ac" url="C:\Users\noork\Documents\CONSULTING\1B\1. 1B for presentation\1b for presentation Feb 2021\"/>
    </mc:Choice>
  </mc:AlternateContent>
  <xr:revisionPtr revIDLastSave="0" documentId="13_ncr:1_{0D2F16A8-3D33-4913-B992-685E4424E3DF}" xr6:coauthVersionLast="47" xr6:coauthVersionMax="47" xr10:uidLastSave="{00000000-0000-0000-0000-000000000000}"/>
  <bookViews>
    <workbookView xWindow="-98" yWindow="-98" windowWidth="17115" windowHeight="10876" tabRatio="684" activeTab="3" xr2:uid="{00000000-000D-0000-FFFF-FFFF00000000}"/>
  </bookViews>
  <sheets>
    <sheet name="DevCon Pres Tbl" sheetId="12" r:id="rId1"/>
    <sheet name="Sensitiv2" sheetId="13" r:id="rId2"/>
    <sheet name="Cover (2)" sheetId="14" r:id="rId3"/>
    <sheet name="Cover" sheetId="2" r:id="rId4"/>
    <sheet name="Executive Summary" sheetId="1" r:id="rId5"/>
    <sheet name="Schedule" sheetId="10" r:id="rId6"/>
    <sheet name="Operating Revenue and Expenses" sheetId="4" r:id="rId7"/>
    <sheet name="Development Costs" sheetId="5" r:id="rId8"/>
    <sheet name="Sensitivity" sheetId="9" r:id="rId9"/>
    <sheet name="Debt Stack" sheetId="16" r:id="rId10"/>
    <sheet name="Development Cash Flow" sheetId="8" r:id="rId11"/>
    <sheet name="10-Yr Cash Flow IRR" sheetId="6" r:id="rId12"/>
    <sheet name="HST" sheetId="11" r:id="rId13"/>
  </sheets>
  <definedNames>
    <definedName name="_xlnm.Print_Area" localSheetId="11">'10-Yr Cash Flow IRR'!$A$1:$M$67</definedName>
    <definedName name="_xlnm.Print_Area" localSheetId="3">Cover!$A$1:$J$61</definedName>
    <definedName name="_xlnm.Print_Area" localSheetId="2">'Cover (2)'!$A$1:$L$61</definedName>
    <definedName name="_xlnm.Print_Area" localSheetId="10">'Development Cash Flow'!$A$1:$CZ$114</definedName>
    <definedName name="_xlnm.Print_Area" localSheetId="4">'Executive Summary'!$A$1:$J$60</definedName>
    <definedName name="_xlnm.Print_Titles" localSheetId="10">'Development Cash Flow'!$A:$H</definedName>
    <definedName name="_xlnm.Print_Titles" localSheetId="7">'Development Costs'!$1:$12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5" i="8" l="1"/>
  <c r="C55" i="8"/>
  <c r="B55" i="8"/>
  <c r="H52" i="5"/>
  <c r="H15" i="5"/>
  <c r="H26" i="5"/>
  <c r="H25" i="5"/>
  <c r="H14" i="5"/>
  <c r="F17" i="4" l="1"/>
  <c r="F16" i="4"/>
  <c r="C18" i="16" l="1"/>
  <c r="C19" i="16" s="1"/>
  <c r="E17" i="16"/>
  <c r="B5" i="16"/>
  <c r="B4" i="16"/>
  <c r="E18" i="16" l="1"/>
  <c r="E19" i="16" s="1"/>
  <c r="C20" i="16" s="1"/>
  <c r="H16" i="9" s="1"/>
  <c r="H18" i="9" s="1"/>
  <c r="H17" i="9" l="1"/>
  <c r="H79" i="5" l="1"/>
  <c r="H51" i="5"/>
  <c r="H45" i="5"/>
  <c r="H29" i="5"/>
  <c r="H27" i="5"/>
  <c r="H21" i="5"/>
  <c r="H28" i="9" l="1"/>
  <c r="H27" i="9"/>
  <c r="M80" i="5" l="1"/>
  <c r="M21" i="5"/>
  <c r="C40" i="14" l="1"/>
  <c r="A5" i="14"/>
  <c r="B74" i="8" l="1"/>
  <c r="G38" i="4" l="1"/>
  <c r="H40" i="5" l="1"/>
  <c r="M41" i="5" s="1"/>
  <c r="I17" i="4" l="1"/>
  <c r="I16" i="4"/>
  <c r="E17" i="4"/>
  <c r="E16" i="4"/>
  <c r="E19" i="4" l="1"/>
  <c r="V24" i="12" l="1"/>
  <c r="V20" i="12"/>
  <c r="V16" i="12"/>
  <c r="AA23" i="12"/>
  <c r="Z23" i="12"/>
  <c r="Y23" i="12"/>
  <c r="X23" i="12"/>
  <c r="V23" i="12"/>
  <c r="U23" i="12"/>
  <c r="T23" i="12"/>
  <c r="S23" i="12"/>
  <c r="R23" i="12"/>
  <c r="Q23" i="12"/>
  <c r="P23" i="12"/>
  <c r="O23" i="12"/>
  <c r="N23" i="12"/>
  <c r="L23" i="12"/>
  <c r="K23" i="12"/>
  <c r="J23" i="12"/>
  <c r="I23" i="12"/>
  <c r="H23" i="12"/>
  <c r="G23" i="12"/>
  <c r="F23" i="12"/>
  <c r="E23" i="12"/>
  <c r="D23" i="12"/>
  <c r="C23" i="12"/>
  <c r="AA19" i="12"/>
  <c r="Z19" i="12"/>
  <c r="Y19" i="12"/>
  <c r="X19" i="12"/>
  <c r="V19" i="12"/>
  <c r="U19" i="12"/>
  <c r="T19" i="12"/>
  <c r="S19" i="12"/>
  <c r="R19" i="12"/>
  <c r="Q19" i="12"/>
  <c r="P19" i="12"/>
  <c r="O19" i="12"/>
  <c r="N19" i="12"/>
  <c r="L19" i="12"/>
  <c r="K19" i="12"/>
  <c r="J19" i="12"/>
  <c r="I19" i="12"/>
  <c r="H19" i="12"/>
  <c r="G19" i="12"/>
  <c r="F19" i="12"/>
  <c r="E19" i="12"/>
  <c r="D19" i="12"/>
  <c r="C19" i="12"/>
  <c r="AA15" i="12"/>
  <c r="Z15" i="12"/>
  <c r="Y15" i="12"/>
  <c r="X15" i="12"/>
  <c r="V15" i="12"/>
  <c r="U15" i="12"/>
  <c r="T15" i="12"/>
  <c r="S15" i="12"/>
  <c r="R15" i="12"/>
  <c r="Q15" i="12"/>
  <c r="P15" i="12"/>
  <c r="O15" i="12"/>
  <c r="N15" i="12"/>
  <c r="L15" i="12"/>
  <c r="K15" i="12"/>
  <c r="J15" i="12"/>
  <c r="I15" i="12"/>
  <c r="H15" i="12"/>
  <c r="G15" i="12"/>
  <c r="F15" i="12"/>
  <c r="E15" i="12"/>
  <c r="D15" i="12"/>
  <c r="C15" i="12"/>
  <c r="N34" i="4"/>
  <c r="M19" i="5"/>
  <c r="H19" i="5" s="1"/>
  <c r="N18" i="4"/>
  <c r="I19" i="4" s="1"/>
  <c r="G21" i="5" l="1"/>
  <c r="L21" i="5"/>
  <c r="N21" i="5" s="1"/>
  <c r="K21" i="5"/>
  <c r="N35" i="4"/>
  <c r="F33" i="1"/>
  <c r="N36" i="4" l="1"/>
  <c r="N39" i="4" s="1"/>
  <c r="C56" i="8"/>
  <c r="N37" i="4" l="1"/>
  <c r="N40" i="4" l="1"/>
  <c r="E33" i="1"/>
  <c r="H33" i="1" l="1"/>
  <c r="J17" i="4"/>
  <c r="I33" i="1" l="1"/>
  <c r="J16" i="4"/>
  <c r="J19" i="4"/>
  <c r="E9" i="12" s="1"/>
  <c r="E12" i="12" s="1"/>
  <c r="H23" i="9" l="1"/>
  <c r="H22" i="9"/>
  <c r="H22" i="5" l="1"/>
  <c r="B65" i="8"/>
  <c r="E24" i="4" l="1"/>
  <c r="H20" i="4" l="1"/>
  <c r="F19" i="4"/>
  <c r="M31" i="11"/>
  <c r="I38" i="4" l="1"/>
  <c r="D19" i="4"/>
  <c r="I34" i="4"/>
  <c r="I35" i="4"/>
  <c r="I36" i="4"/>
  <c r="I39" i="4"/>
  <c r="I40" i="4"/>
  <c r="E20" i="4"/>
  <c r="J20" i="4" s="1"/>
  <c r="H19" i="4"/>
  <c r="G33" i="1"/>
  <c r="F29" i="11" l="1"/>
  <c r="H23" i="4"/>
  <c r="H60" i="6" l="1"/>
  <c r="I60" i="6"/>
  <c r="J60" i="6"/>
  <c r="K60" i="6"/>
  <c r="L60" i="6"/>
  <c r="J63" i="6"/>
  <c r="K63" i="6"/>
  <c r="L63" i="6"/>
  <c r="B19" i="1" l="1"/>
  <c r="C40" i="2"/>
  <c r="C53" i="6"/>
  <c r="C48" i="6"/>
  <c r="C43" i="6"/>
  <c r="A52" i="6"/>
  <c r="A47" i="6"/>
  <c r="A42" i="6"/>
  <c r="A51" i="6"/>
  <c r="A41" i="6"/>
  <c r="D12" i="1"/>
  <c r="C20" i="6" l="1"/>
  <c r="C23" i="6" l="1"/>
  <c r="D20" i="6"/>
  <c r="C22" i="6"/>
  <c r="D23" i="6" l="1"/>
  <c r="D22" i="6"/>
  <c r="E20" i="6"/>
  <c r="C109" i="8"/>
  <c r="E23" i="6" l="1"/>
  <c r="F20" i="6"/>
  <c r="E22" i="6"/>
  <c r="F23" i="6" l="1"/>
  <c r="G20" i="6"/>
  <c r="F22" i="6"/>
  <c r="G23" i="6" l="1"/>
  <c r="H20" i="6"/>
  <c r="G22" i="6"/>
  <c r="I104" i="8"/>
  <c r="H23" i="6" l="1"/>
  <c r="I20" i="6"/>
  <c r="H22" i="6"/>
  <c r="I23" i="6" l="1"/>
  <c r="J20" i="6"/>
  <c r="I22" i="6"/>
  <c r="H105" i="8"/>
  <c r="J23" i="6" l="1"/>
  <c r="K20" i="6"/>
  <c r="J22" i="6"/>
  <c r="I16" i="8"/>
  <c r="K23" i="6" l="1"/>
  <c r="L20" i="6"/>
  <c r="K22" i="6"/>
  <c r="C86" i="8"/>
  <c r="C87" i="8"/>
  <c r="C88" i="8"/>
  <c r="C89" i="8"/>
  <c r="C90" i="8"/>
  <c r="C91" i="8"/>
  <c r="C92" i="8"/>
  <c r="B86" i="8"/>
  <c r="B87" i="8"/>
  <c r="B88" i="8"/>
  <c r="B89" i="8"/>
  <c r="B90" i="8"/>
  <c r="B91" i="8"/>
  <c r="B92" i="8"/>
  <c r="B93" i="8"/>
  <c r="B94" i="8"/>
  <c r="B95" i="8"/>
  <c r="B96" i="8"/>
  <c r="C85" i="8"/>
  <c r="B85" i="8"/>
  <c r="B82" i="8"/>
  <c r="B81" i="8"/>
  <c r="C69" i="8"/>
  <c r="C70" i="8"/>
  <c r="C71" i="8"/>
  <c r="C72" i="8"/>
  <c r="C73" i="8"/>
  <c r="C75" i="8"/>
  <c r="C76" i="8"/>
  <c r="C68" i="8"/>
  <c r="C48" i="8"/>
  <c r="C49" i="8"/>
  <c r="C50" i="8"/>
  <c r="C51" i="8"/>
  <c r="C52" i="8"/>
  <c r="C53" i="8"/>
  <c r="C54" i="8"/>
  <c r="C57" i="8"/>
  <c r="C58" i="8"/>
  <c r="C59" i="8"/>
  <c r="C60" i="8"/>
  <c r="C47" i="8"/>
  <c r="C42" i="8"/>
  <c r="B78" i="8"/>
  <c r="B69" i="8"/>
  <c r="B70" i="8"/>
  <c r="B71" i="8"/>
  <c r="B72" i="8"/>
  <c r="B73" i="8"/>
  <c r="B75" i="8"/>
  <c r="B76" i="8"/>
  <c r="B77" i="8"/>
  <c r="B68" i="8"/>
  <c r="B62" i="8"/>
  <c r="B60" i="8"/>
  <c r="B61" i="8"/>
  <c r="B48" i="8"/>
  <c r="B49" i="8"/>
  <c r="B50" i="8"/>
  <c r="B51" i="8"/>
  <c r="B52" i="8"/>
  <c r="B53" i="8"/>
  <c r="B54" i="8"/>
  <c r="B57" i="8"/>
  <c r="B58" i="8"/>
  <c r="B59" i="8"/>
  <c r="B47" i="8"/>
  <c r="B42" i="8"/>
  <c r="B43" i="8"/>
  <c r="B44" i="8"/>
  <c r="B41" i="8"/>
  <c r="B30" i="8"/>
  <c r="B31" i="8"/>
  <c r="B29" i="8"/>
  <c r="L23" i="6" l="1"/>
  <c r="L22" i="6"/>
  <c r="I7" i="8" l="1"/>
  <c r="I5" i="8" l="1"/>
  <c r="I21" i="8"/>
  <c r="I20" i="8"/>
  <c r="J1" i="1" l="1"/>
  <c r="I10" i="1"/>
  <c r="G10" i="1"/>
  <c r="I27" i="1"/>
  <c r="I24" i="1"/>
  <c r="I23" i="1"/>
  <c r="H25" i="9"/>
  <c r="F13" i="10"/>
  <c r="F15" i="10"/>
  <c r="F17" i="10"/>
  <c r="F19" i="10"/>
  <c r="F21" i="10"/>
  <c r="K1" i="11" l="1"/>
  <c r="H1" i="16"/>
  <c r="C19" i="10"/>
  <c r="I26" i="1" s="1"/>
  <c r="I10" i="10"/>
  <c r="D13" i="10"/>
  <c r="F85" i="8" s="1"/>
  <c r="B4" i="10"/>
  <c r="B3" i="10"/>
  <c r="BP1" i="10"/>
  <c r="F86" i="8" l="1"/>
  <c r="E13" i="10"/>
  <c r="F65" i="8"/>
  <c r="F29" i="8"/>
  <c r="G23" i="1"/>
  <c r="I11" i="10"/>
  <c r="I20" i="10"/>
  <c r="J1" i="9"/>
  <c r="M1" i="6"/>
  <c r="J1" i="5"/>
  <c r="J1" i="4"/>
  <c r="H30" i="9"/>
  <c r="I44" i="4" s="1"/>
  <c r="H20" i="9"/>
  <c r="H15" i="9"/>
  <c r="G78" i="5" s="1"/>
  <c r="H10" i="9"/>
  <c r="H10" i="1" l="1"/>
  <c r="E53" i="4"/>
  <c r="I13" i="10"/>
  <c r="G85" i="8"/>
  <c r="C17" i="10"/>
  <c r="I25" i="1" s="1"/>
  <c r="D56" i="6"/>
  <c r="A46" i="6"/>
  <c r="F30" i="8"/>
  <c r="D15" i="10"/>
  <c r="G29" i="8"/>
  <c r="H29" i="8" s="1"/>
  <c r="H23" i="1"/>
  <c r="E51" i="4"/>
  <c r="G29" i="2" l="1"/>
  <c r="G29" i="14"/>
  <c r="K29" i="14" s="1"/>
  <c r="F87" i="8"/>
  <c r="F88" i="8" s="1"/>
  <c r="F68" i="8"/>
  <c r="G86" i="8"/>
  <c r="H85" i="8"/>
  <c r="I85" i="8" s="1"/>
  <c r="E15" i="10"/>
  <c r="F47" i="8"/>
  <c r="G24" i="1"/>
  <c r="G30" i="8"/>
  <c r="H30" i="8" s="1"/>
  <c r="K10" i="6"/>
  <c r="I15" i="10" l="1"/>
  <c r="G68" i="8"/>
  <c r="H68" i="8" s="1"/>
  <c r="F69" i="8"/>
  <c r="H86" i="8"/>
  <c r="I86" i="8" s="1"/>
  <c r="F52" i="8"/>
  <c r="F57" i="8"/>
  <c r="F59" i="8"/>
  <c r="F75" i="8"/>
  <c r="F76" i="8" s="1"/>
  <c r="F51" i="8"/>
  <c r="F53" i="8"/>
  <c r="F56" i="8"/>
  <c r="F58" i="8"/>
  <c r="F95" i="8"/>
  <c r="F50" i="8"/>
  <c r="F54" i="8"/>
  <c r="F60" i="8"/>
  <c r="F92" i="8"/>
  <c r="F61" i="8"/>
  <c r="F90" i="8"/>
  <c r="F48" i="8"/>
  <c r="F91" i="8"/>
  <c r="F77" i="8"/>
  <c r="F89" i="8"/>
  <c r="F49" i="8"/>
  <c r="H24" i="1"/>
  <c r="D17" i="10"/>
  <c r="H31" i="1"/>
  <c r="H32" i="1"/>
  <c r="F31" i="1"/>
  <c r="F32" i="1"/>
  <c r="E31" i="1"/>
  <c r="E32" i="1"/>
  <c r="B31" i="1"/>
  <c r="B32" i="1"/>
  <c r="J7" i="8"/>
  <c r="F70" i="8" l="1"/>
  <c r="G69" i="8"/>
  <c r="I68" i="8"/>
  <c r="J5" i="8"/>
  <c r="J20" i="8"/>
  <c r="F41" i="8"/>
  <c r="E17" i="10"/>
  <c r="G87" i="8" s="1"/>
  <c r="G25" i="1"/>
  <c r="J21" i="8"/>
  <c r="J85" i="8"/>
  <c r="J86" i="8"/>
  <c r="J68" i="8"/>
  <c r="J29" i="8"/>
  <c r="J30" i="8"/>
  <c r="K7" i="8"/>
  <c r="B3" i="8"/>
  <c r="B2" i="8"/>
  <c r="G70" i="8" l="1"/>
  <c r="H70" i="8" s="1"/>
  <c r="K70" i="8" s="1"/>
  <c r="H69" i="8"/>
  <c r="J69" i="8" s="1"/>
  <c r="F71" i="8"/>
  <c r="G88" i="8"/>
  <c r="H87" i="8"/>
  <c r="I87" i="8" s="1"/>
  <c r="D19" i="10"/>
  <c r="F81" i="8" s="1"/>
  <c r="I9" i="8"/>
  <c r="H25" i="1"/>
  <c r="G65" i="8"/>
  <c r="H65" i="8" s="1"/>
  <c r="G41" i="8"/>
  <c r="G47" i="8"/>
  <c r="G55" i="8" s="1"/>
  <c r="J9" i="8"/>
  <c r="F37" i="8"/>
  <c r="F36" i="8"/>
  <c r="F43" i="8"/>
  <c r="F42" i="8"/>
  <c r="I17" i="10"/>
  <c r="K5" i="8"/>
  <c r="K9" i="8"/>
  <c r="K20" i="8"/>
  <c r="K21" i="8"/>
  <c r="K85" i="8"/>
  <c r="K86" i="8"/>
  <c r="K68" i="8"/>
  <c r="J31" i="8"/>
  <c r="K30" i="8"/>
  <c r="K29" i="8"/>
  <c r="L7" i="8"/>
  <c r="I23" i="4"/>
  <c r="H24" i="4"/>
  <c r="E12" i="4"/>
  <c r="H12" i="4" s="1"/>
  <c r="H55" i="8" l="1"/>
  <c r="Y55" i="8" s="1"/>
  <c r="AK55" i="8"/>
  <c r="I55" i="8"/>
  <c r="AH55" i="8"/>
  <c r="BB55" i="8"/>
  <c r="BV55" i="8"/>
  <c r="CL55" i="8"/>
  <c r="K55" i="8"/>
  <c r="AA55" i="8"/>
  <c r="AQ55" i="8"/>
  <c r="BG55" i="8"/>
  <c r="BW55" i="8"/>
  <c r="CM55" i="8"/>
  <c r="J55" i="8"/>
  <c r="AP55" i="8"/>
  <c r="T55" i="8"/>
  <c r="AJ55" i="8"/>
  <c r="AZ55" i="8"/>
  <c r="BP55" i="8"/>
  <c r="CF55" i="8"/>
  <c r="CV55" i="8"/>
  <c r="CQ55" i="8"/>
  <c r="BD55" i="8"/>
  <c r="CJ55" i="8"/>
  <c r="CW55" i="8"/>
  <c r="CG55" i="8"/>
  <c r="BQ55" i="8"/>
  <c r="U55" i="8"/>
  <c r="AT55" i="8"/>
  <c r="CD55" i="8"/>
  <c r="S55" i="8"/>
  <c r="AY55" i="8"/>
  <c r="CE55" i="8"/>
  <c r="CU55" i="8"/>
  <c r="L55" i="8"/>
  <c r="AR55" i="8"/>
  <c r="CN55" i="8"/>
  <c r="AG55" i="8"/>
  <c r="CC55" i="8"/>
  <c r="BM55" i="8"/>
  <c r="AO55" i="8"/>
  <c r="AX55" i="8"/>
  <c r="AD55" i="8"/>
  <c r="AF55" i="8"/>
  <c r="AV55" i="8"/>
  <c r="CB55" i="8"/>
  <c r="BA55" i="8"/>
  <c r="M55" i="8"/>
  <c r="CK55" i="8"/>
  <c r="BU55" i="8"/>
  <c r="BE55" i="8"/>
  <c r="AC55" i="8"/>
  <c r="CZ55" i="8"/>
  <c r="AL55" i="8"/>
  <c r="BJ55" i="8"/>
  <c r="BZ55" i="8"/>
  <c r="CP55" i="8"/>
  <c r="O55" i="8"/>
  <c r="AE55" i="8"/>
  <c r="AU55" i="8"/>
  <c r="BK55" i="8"/>
  <c r="CA55" i="8"/>
  <c r="R55" i="8"/>
  <c r="BF55" i="8"/>
  <c r="X55" i="8"/>
  <c r="AN55" i="8"/>
  <c r="BT55" i="8"/>
  <c r="AS55" i="8"/>
  <c r="AW55" i="8"/>
  <c r="N55" i="8"/>
  <c r="BN55" i="8"/>
  <c r="CT55" i="8"/>
  <c r="AI55" i="8"/>
  <c r="BO55" i="8"/>
  <c r="V55" i="8"/>
  <c r="AB55" i="8"/>
  <c r="BH55" i="8"/>
  <c r="BX55" i="8"/>
  <c r="CS55" i="8"/>
  <c r="Q55" i="8"/>
  <c r="Z55" i="8"/>
  <c r="BR55" i="8"/>
  <c r="CH55" i="8"/>
  <c r="CX55" i="8"/>
  <c r="W55" i="8"/>
  <c r="AM55" i="8"/>
  <c r="BC55" i="8"/>
  <c r="BS55" i="8"/>
  <c r="CI55" i="8"/>
  <c r="CY55" i="8"/>
  <c r="P55" i="8"/>
  <c r="BL55" i="8"/>
  <c r="CR55" i="8"/>
  <c r="H41" i="8"/>
  <c r="F74" i="8"/>
  <c r="G74" i="8" s="1"/>
  <c r="K87" i="8"/>
  <c r="K69" i="8"/>
  <c r="F72" i="8"/>
  <c r="F73" i="8" s="1"/>
  <c r="I69" i="8"/>
  <c r="G71" i="8"/>
  <c r="H71" i="8" s="1"/>
  <c r="L71" i="8" s="1"/>
  <c r="I70" i="8"/>
  <c r="J70" i="8"/>
  <c r="J87" i="8"/>
  <c r="H88" i="8"/>
  <c r="K88" i="8" s="1"/>
  <c r="L5" i="8"/>
  <c r="L9" i="8"/>
  <c r="L20" i="8"/>
  <c r="G95" i="8"/>
  <c r="G76" i="8"/>
  <c r="G51" i="8"/>
  <c r="G53" i="8"/>
  <c r="G56" i="8"/>
  <c r="G58" i="8"/>
  <c r="G50" i="8"/>
  <c r="G54" i="8"/>
  <c r="G59" i="8"/>
  <c r="G75" i="8"/>
  <c r="H75" i="8" s="1"/>
  <c r="I75" i="8" s="1"/>
  <c r="G52" i="8"/>
  <c r="G57" i="8"/>
  <c r="G60" i="8"/>
  <c r="G92" i="8"/>
  <c r="G48" i="8"/>
  <c r="H47" i="8"/>
  <c r="L47" i="8" s="1"/>
  <c r="G49" i="8"/>
  <c r="G91" i="8"/>
  <c r="G61" i="8"/>
  <c r="G90" i="8"/>
  <c r="G77" i="8"/>
  <c r="G89" i="8"/>
  <c r="I10" i="8"/>
  <c r="G37" i="8"/>
  <c r="H37" i="8" s="1"/>
  <c r="G36" i="8"/>
  <c r="K36" i="8" s="1"/>
  <c r="G43" i="8"/>
  <c r="H43" i="8" s="1"/>
  <c r="G42" i="8"/>
  <c r="E19" i="10"/>
  <c r="I19" i="10" s="1"/>
  <c r="G26" i="1"/>
  <c r="F12" i="8"/>
  <c r="L21" i="8"/>
  <c r="L86" i="8"/>
  <c r="L87" i="8"/>
  <c r="L85" i="8"/>
  <c r="L70" i="8"/>
  <c r="L69" i="8"/>
  <c r="L68" i="8"/>
  <c r="L30" i="8"/>
  <c r="L29" i="8"/>
  <c r="K31" i="8"/>
  <c r="M7" i="8"/>
  <c r="I24" i="4"/>
  <c r="I25" i="4" s="1"/>
  <c r="BI55" i="8" l="1"/>
  <c r="BY55" i="8"/>
  <c r="E55" i="8" s="1"/>
  <c r="D55" i="8" s="1"/>
  <c r="CO55" i="8"/>
  <c r="L36" i="8"/>
  <c r="G72" i="8"/>
  <c r="I71" i="8"/>
  <c r="J71" i="8"/>
  <c r="K71" i="8"/>
  <c r="J88" i="8"/>
  <c r="L88" i="8"/>
  <c r="I88" i="8"/>
  <c r="J36" i="8"/>
  <c r="J47" i="8"/>
  <c r="I43" i="8"/>
  <c r="L43" i="8"/>
  <c r="H56" i="8"/>
  <c r="I56" i="8" s="1"/>
  <c r="J10" i="8"/>
  <c r="K10" i="8" s="1"/>
  <c r="L10" i="8" s="1"/>
  <c r="H77" i="8"/>
  <c r="H49" i="8"/>
  <c r="H60" i="8"/>
  <c r="J60" i="8" s="1"/>
  <c r="H53" i="8"/>
  <c r="J53" i="8" s="1"/>
  <c r="I37" i="8"/>
  <c r="J37" i="8"/>
  <c r="K37" i="8"/>
  <c r="H89" i="8"/>
  <c r="J89" i="8" s="1"/>
  <c r="H91" i="8"/>
  <c r="I91" i="8" s="1"/>
  <c r="H92" i="8"/>
  <c r="J92" i="8" s="1"/>
  <c r="H50" i="8"/>
  <c r="L50" i="8" s="1"/>
  <c r="H95" i="8"/>
  <c r="I95" i="8" s="1"/>
  <c r="M5" i="8"/>
  <c r="M9" i="8"/>
  <c r="M20" i="8"/>
  <c r="L37" i="8"/>
  <c r="J43" i="8"/>
  <c r="K43" i="8"/>
  <c r="I36" i="8"/>
  <c r="I40" i="8" s="1"/>
  <c r="H90" i="8"/>
  <c r="K90" i="8" s="1"/>
  <c r="I47" i="8"/>
  <c r="K47" i="8"/>
  <c r="H57" i="8"/>
  <c r="K57" i="8" s="1"/>
  <c r="H59" i="8"/>
  <c r="J59" i="8" s="1"/>
  <c r="H51" i="8"/>
  <c r="J51" i="8" s="1"/>
  <c r="H42" i="8"/>
  <c r="L42" i="8" s="1"/>
  <c r="G12" i="8"/>
  <c r="D21" i="10"/>
  <c r="G81" i="8"/>
  <c r="H26" i="1"/>
  <c r="H36" i="8"/>
  <c r="D35" i="8" s="1"/>
  <c r="H61" i="8"/>
  <c r="H48" i="8"/>
  <c r="K48" i="8" s="1"/>
  <c r="H52" i="8"/>
  <c r="K52" i="8" s="1"/>
  <c r="H54" i="8"/>
  <c r="M54" i="8" s="1"/>
  <c r="H58" i="8"/>
  <c r="L58" i="8" s="1"/>
  <c r="H76" i="8"/>
  <c r="M76" i="8" s="1"/>
  <c r="M37" i="8"/>
  <c r="M36" i="8"/>
  <c r="M21" i="8"/>
  <c r="M88" i="8"/>
  <c r="M86" i="8"/>
  <c r="M87" i="8"/>
  <c r="M85" i="8"/>
  <c r="M70" i="8"/>
  <c r="M68" i="8"/>
  <c r="M71" i="8"/>
  <c r="M69" i="8"/>
  <c r="M47" i="8"/>
  <c r="M29" i="8"/>
  <c r="M30" i="8"/>
  <c r="M43" i="8"/>
  <c r="L31" i="8"/>
  <c r="N7" i="8"/>
  <c r="I27" i="4"/>
  <c r="H63" i="5" s="1"/>
  <c r="J27" i="4" l="1"/>
  <c r="I42" i="4"/>
  <c r="E50" i="4"/>
  <c r="H65" i="5"/>
  <c r="I28" i="4"/>
  <c r="I29" i="4" s="1"/>
  <c r="F9" i="12" s="1"/>
  <c r="F12" i="12" s="1"/>
  <c r="H27" i="4"/>
  <c r="M89" i="8"/>
  <c r="G73" i="8"/>
  <c r="H72" i="8"/>
  <c r="I72" i="8" s="1"/>
  <c r="M52" i="8"/>
  <c r="M50" i="8"/>
  <c r="M57" i="8"/>
  <c r="M48" i="8"/>
  <c r="M60" i="8"/>
  <c r="K51" i="8"/>
  <c r="J48" i="8"/>
  <c r="J50" i="8"/>
  <c r="J56" i="8"/>
  <c r="K89" i="8"/>
  <c r="M53" i="8"/>
  <c r="M56" i="8"/>
  <c r="M92" i="8"/>
  <c r="M51" i="8"/>
  <c r="I54" i="8"/>
  <c r="L54" i="8"/>
  <c r="I58" i="8"/>
  <c r="I90" i="8"/>
  <c r="L90" i="8"/>
  <c r="I92" i="8"/>
  <c r="L92" i="8"/>
  <c r="I53" i="8"/>
  <c r="L53" i="8"/>
  <c r="I60" i="8"/>
  <c r="L60" i="8"/>
  <c r="M10" i="8"/>
  <c r="I42" i="8"/>
  <c r="I49" i="8"/>
  <c r="L49" i="8"/>
  <c r="M91" i="8"/>
  <c r="H81" i="8"/>
  <c r="I59" i="8"/>
  <c r="L59" i="8"/>
  <c r="M49" i="8"/>
  <c r="K58" i="8"/>
  <c r="J54" i="8"/>
  <c r="I52" i="8"/>
  <c r="L52" i="8"/>
  <c r="I48" i="8"/>
  <c r="L48" i="8"/>
  <c r="G27" i="1"/>
  <c r="E21" i="10"/>
  <c r="I21" i="10" s="1"/>
  <c r="L91" i="8"/>
  <c r="I50" i="8"/>
  <c r="J91" i="8"/>
  <c r="J49" i="8"/>
  <c r="J40" i="8"/>
  <c r="J42" i="8"/>
  <c r="I76" i="8"/>
  <c r="L76" i="8"/>
  <c r="I57" i="8"/>
  <c r="L57" i="8"/>
  <c r="N5" i="8"/>
  <c r="N9" i="8"/>
  <c r="N20" i="8"/>
  <c r="M58" i="8"/>
  <c r="J76" i="8"/>
  <c r="I61" i="8"/>
  <c r="M42" i="8"/>
  <c r="M59" i="8"/>
  <c r="M90" i="8"/>
  <c r="K76" i="8"/>
  <c r="J58" i="8"/>
  <c r="K54" i="8"/>
  <c r="J52" i="8"/>
  <c r="I51" i="8"/>
  <c r="L51" i="8"/>
  <c r="K59" i="8"/>
  <c r="J57" i="8"/>
  <c r="J90" i="8"/>
  <c r="L56" i="8"/>
  <c r="K50" i="8"/>
  <c r="K92" i="8"/>
  <c r="K91" i="8"/>
  <c r="I89" i="8"/>
  <c r="L89" i="8"/>
  <c r="K53" i="8"/>
  <c r="K60" i="8"/>
  <c r="K49" i="8"/>
  <c r="I77" i="8"/>
  <c r="K42" i="8"/>
  <c r="K56" i="8"/>
  <c r="N37" i="8"/>
  <c r="N36" i="8"/>
  <c r="N21" i="8"/>
  <c r="N92" i="8"/>
  <c r="N90" i="8"/>
  <c r="N91" i="8"/>
  <c r="N89" i="8"/>
  <c r="N88" i="8"/>
  <c r="N87" i="8"/>
  <c r="N85" i="8"/>
  <c r="N86" i="8"/>
  <c r="N70" i="8"/>
  <c r="N71" i="8"/>
  <c r="N68" i="8"/>
  <c r="N76" i="8"/>
  <c r="N69" i="8"/>
  <c r="N47" i="8"/>
  <c r="N48" i="8"/>
  <c r="N49" i="8"/>
  <c r="N50" i="8"/>
  <c r="N51" i="8"/>
  <c r="N58" i="8"/>
  <c r="N52" i="8"/>
  <c r="N59" i="8"/>
  <c r="N53" i="8"/>
  <c r="N54" i="8"/>
  <c r="N60" i="8"/>
  <c r="N56" i="8"/>
  <c r="N57" i="8"/>
  <c r="N29" i="8"/>
  <c r="N30" i="8"/>
  <c r="N42" i="8"/>
  <c r="M31" i="8"/>
  <c r="O7" i="8"/>
  <c r="H66" i="5" l="1"/>
  <c r="C81" i="8" s="1"/>
  <c r="C82" i="8" s="1"/>
  <c r="H28" i="4"/>
  <c r="H29" i="4" s="1"/>
  <c r="H73" i="8"/>
  <c r="I73" i="8" s="1"/>
  <c r="N111" i="8"/>
  <c r="I62" i="8"/>
  <c r="K40" i="8"/>
  <c r="D21" i="6"/>
  <c r="K31" i="6"/>
  <c r="H27" i="1"/>
  <c r="B76" i="6"/>
  <c r="G21" i="6"/>
  <c r="I21" i="6"/>
  <c r="K21" i="6"/>
  <c r="C21" i="6"/>
  <c r="E21" i="6"/>
  <c r="L31" i="6"/>
  <c r="I111" i="8"/>
  <c r="J111" i="8"/>
  <c r="J101" i="8" s="1"/>
  <c r="K111" i="8"/>
  <c r="D34" i="6"/>
  <c r="F21" i="6"/>
  <c r="H21" i="6"/>
  <c r="J21" i="6"/>
  <c r="L21" i="6"/>
  <c r="L111" i="8"/>
  <c r="M111" i="8"/>
  <c r="O5" i="8"/>
  <c r="O9" i="8"/>
  <c r="O20" i="8"/>
  <c r="N10" i="8"/>
  <c r="O37" i="8"/>
  <c r="O36" i="8"/>
  <c r="O111" i="8"/>
  <c r="O21" i="8"/>
  <c r="O90" i="8"/>
  <c r="O92" i="8"/>
  <c r="O91" i="8"/>
  <c r="O87" i="8"/>
  <c r="O85" i="8"/>
  <c r="O86" i="8"/>
  <c r="O89" i="8"/>
  <c r="O88" i="8"/>
  <c r="O71" i="8"/>
  <c r="O76" i="8"/>
  <c r="O69" i="8"/>
  <c r="O70" i="8"/>
  <c r="O68" i="8"/>
  <c r="O47" i="8"/>
  <c r="O48" i="8"/>
  <c r="O49" i="8"/>
  <c r="O50" i="8"/>
  <c r="O58" i="8"/>
  <c r="O51" i="8"/>
  <c r="O52" i="8"/>
  <c r="O53" i="8"/>
  <c r="O59" i="8"/>
  <c r="O54" i="8"/>
  <c r="O60" i="8"/>
  <c r="O56" i="8"/>
  <c r="O57" i="8"/>
  <c r="O30" i="8"/>
  <c r="O29" i="8"/>
  <c r="O42" i="8"/>
  <c r="N31" i="8"/>
  <c r="P7" i="8"/>
  <c r="I10" i="5"/>
  <c r="E34" i="1"/>
  <c r="C9" i="12" s="1"/>
  <c r="C12" i="12" s="1"/>
  <c r="H34" i="1"/>
  <c r="G44" i="1" l="1"/>
  <c r="J63" i="5"/>
  <c r="J64" i="5"/>
  <c r="J62" i="5"/>
  <c r="J65" i="5"/>
  <c r="J35" i="5"/>
  <c r="J34" i="5"/>
  <c r="J45" i="5"/>
  <c r="H74" i="8"/>
  <c r="O74" i="8" s="1"/>
  <c r="J19" i="5"/>
  <c r="I35" i="1"/>
  <c r="P5" i="8"/>
  <c r="P9" i="8"/>
  <c r="P20" i="8"/>
  <c r="H27" i="6"/>
  <c r="H26" i="6"/>
  <c r="I27" i="6"/>
  <c r="I26" i="6"/>
  <c r="D46" i="6"/>
  <c r="D47" i="6" s="1"/>
  <c r="D26" i="6"/>
  <c r="D41" i="6"/>
  <c r="D42" i="6" s="1"/>
  <c r="D51" i="6"/>
  <c r="D52" i="6" s="1"/>
  <c r="D27" i="6"/>
  <c r="E26" i="6"/>
  <c r="E27" i="6"/>
  <c r="G27" i="6"/>
  <c r="G26" i="6"/>
  <c r="O10" i="8"/>
  <c r="L27" i="6"/>
  <c r="L26" i="6"/>
  <c r="D53" i="6"/>
  <c r="D43" i="6"/>
  <c r="D48" i="6"/>
  <c r="C46" i="6"/>
  <c r="C47" i="6" s="1"/>
  <c r="C49" i="6" s="1"/>
  <c r="C41" i="6"/>
  <c r="C42" i="6" s="1"/>
  <c r="C44" i="6" s="1"/>
  <c r="C26" i="6"/>
  <c r="C51" i="6"/>
  <c r="C52" i="6" s="1"/>
  <c r="C54" i="6" s="1"/>
  <c r="C27" i="6"/>
  <c r="L40" i="8"/>
  <c r="F27" i="6"/>
  <c r="F26" i="6"/>
  <c r="J27" i="6"/>
  <c r="J26" i="6"/>
  <c r="K27" i="6"/>
  <c r="K26" i="6"/>
  <c r="C76" i="6"/>
  <c r="B77" i="6"/>
  <c r="P37" i="8"/>
  <c r="P36" i="8"/>
  <c r="P111" i="8"/>
  <c r="P21" i="8"/>
  <c r="P92" i="8"/>
  <c r="P91" i="8"/>
  <c r="P90" i="8"/>
  <c r="P86" i="8"/>
  <c r="P88" i="8"/>
  <c r="P89" i="8"/>
  <c r="P87" i="8"/>
  <c r="P85" i="8"/>
  <c r="P81" i="8"/>
  <c r="P71" i="8"/>
  <c r="P76" i="8"/>
  <c r="P70" i="8"/>
  <c r="P69" i="8"/>
  <c r="P68" i="8"/>
  <c r="P47" i="8"/>
  <c r="P48" i="8"/>
  <c r="P49" i="8"/>
  <c r="P51" i="8"/>
  <c r="P50" i="8"/>
  <c r="P52" i="8"/>
  <c r="P58" i="8"/>
  <c r="P53" i="8"/>
  <c r="P59" i="8"/>
  <c r="P54" i="8"/>
  <c r="P60" i="8"/>
  <c r="P56" i="8"/>
  <c r="P57" i="8"/>
  <c r="P30" i="8"/>
  <c r="P29" i="8"/>
  <c r="P42" i="8"/>
  <c r="O31" i="8"/>
  <c r="Q7" i="8"/>
  <c r="J56" i="5"/>
  <c r="J14" i="5"/>
  <c r="J73" i="5"/>
  <c r="J76" i="5"/>
  <c r="J20" i="5"/>
  <c r="J72" i="5"/>
  <c r="J57" i="5"/>
  <c r="J53" i="5"/>
  <c r="J51" i="5"/>
  <c r="J49" i="5"/>
  <c r="J54" i="5"/>
  <c r="J52" i="5"/>
  <c r="J50" i="5"/>
  <c r="J37" i="5"/>
  <c r="J33" i="5"/>
  <c r="J39" i="5"/>
  <c r="J38" i="5"/>
  <c r="J36" i="5"/>
  <c r="J31" i="5"/>
  <c r="J29" i="5"/>
  <c r="J27" i="5"/>
  <c r="J25" i="5"/>
  <c r="J32" i="5"/>
  <c r="J30" i="5"/>
  <c r="J28" i="5"/>
  <c r="J26" i="5"/>
  <c r="J71" i="5"/>
  <c r="J70" i="5"/>
  <c r="J75" i="5"/>
  <c r="J69" i="5"/>
  <c r="J74" i="5"/>
  <c r="I31" i="1"/>
  <c r="I32" i="1"/>
  <c r="J66" i="5" l="1"/>
  <c r="I44" i="1" s="1"/>
  <c r="J46" i="5"/>
  <c r="I42" i="1" s="1"/>
  <c r="Q74" i="8"/>
  <c r="M74" i="8"/>
  <c r="N74" i="8"/>
  <c r="K74" i="8"/>
  <c r="J74" i="8"/>
  <c r="I74" i="8"/>
  <c r="I78" i="8" s="1"/>
  <c r="P74" i="8"/>
  <c r="L74" i="8"/>
  <c r="N81" i="8"/>
  <c r="I81" i="8"/>
  <c r="M81" i="8"/>
  <c r="J81" i="8"/>
  <c r="L81" i="8"/>
  <c r="K81" i="8"/>
  <c r="O81" i="8"/>
  <c r="C41" i="8"/>
  <c r="L41" i="8" s="1"/>
  <c r="L44" i="8" s="1"/>
  <c r="H41" i="5"/>
  <c r="C29" i="8"/>
  <c r="I29" i="8" s="1"/>
  <c r="D44" i="6"/>
  <c r="D54" i="6"/>
  <c r="B78" i="6"/>
  <c r="C77" i="6"/>
  <c r="D49" i="6"/>
  <c r="M40" i="8"/>
  <c r="Q5" i="8"/>
  <c r="Q9" i="8"/>
  <c r="Q20" i="8"/>
  <c r="P10" i="8"/>
  <c r="Q37" i="8"/>
  <c r="Q36" i="8"/>
  <c r="Q111" i="8"/>
  <c r="Q21" i="8"/>
  <c r="Q92" i="8"/>
  <c r="Q90" i="8"/>
  <c r="Q91" i="8"/>
  <c r="Q88" i="8"/>
  <c r="Q89" i="8"/>
  <c r="Q87" i="8"/>
  <c r="Q85" i="8"/>
  <c r="Q86" i="8"/>
  <c r="Q81" i="8"/>
  <c r="Q76" i="8"/>
  <c r="Q71" i="8"/>
  <c r="Q68" i="8"/>
  <c r="Q70" i="8"/>
  <c r="Q69" i="8"/>
  <c r="Q47" i="8"/>
  <c r="Q48" i="8"/>
  <c r="Q49" i="8"/>
  <c r="Q50" i="8"/>
  <c r="Q51" i="8"/>
  <c r="Q58" i="8"/>
  <c r="Q52" i="8"/>
  <c r="Q59" i="8"/>
  <c r="Q53" i="8"/>
  <c r="Q54" i="8"/>
  <c r="Q60" i="8"/>
  <c r="Q56" i="8"/>
  <c r="Q57" i="8"/>
  <c r="Q29" i="8"/>
  <c r="Q30" i="8"/>
  <c r="Q42" i="8"/>
  <c r="P31" i="8"/>
  <c r="R7" i="8"/>
  <c r="R74" i="8" s="1"/>
  <c r="F34" i="1"/>
  <c r="A14" i="14" s="1"/>
  <c r="E35" i="1"/>
  <c r="I34" i="1" s="1"/>
  <c r="I37" i="4"/>
  <c r="I33" i="4"/>
  <c r="I41" i="4"/>
  <c r="G42" i="4"/>
  <c r="I9" i="5"/>
  <c r="H55" i="5" s="1"/>
  <c r="H35" i="1"/>
  <c r="G16" i="4"/>
  <c r="G17" i="4"/>
  <c r="G32" i="1" s="1"/>
  <c r="B4" i="9"/>
  <c r="B3" i="9"/>
  <c r="A5" i="2"/>
  <c r="L41" i="5" l="1"/>
  <c r="N41" i="5" s="1"/>
  <c r="K41" i="5"/>
  <c r="J55" i="5"/>
  <c r="I55" i="5"/>
  <c r="H58" i="5"/>
  <c r="M59" i="5" s="1"/>
  <c r="C74" i="8"/>
  <c r="A14" i="2"/>
  <c r="D9" i="12"/>
  <c r="D12" i="12" s="1"/>
  <c r="I64" i="5"/>
  <c r="I62" i="5"/>
  <c r="I63" i="5"/>
  <c r="G31" i="1"/>
  <c r="G19" i="4"/>
  <c r="G34" i="1" s="1"/>
  <c r="I34" i="5"/>
  <c r="I45" i="5"/>
  <c r="I35" i="5"/>
  <c r="I36" i="5"/>
  <c r="I65" i="5"/>
  <c r="G41" i="1"/>
  <c r="I41" i="8"/>
  <c r="I44" i="8" s="1"/>
  <c r="J41" i="8"/>
  <c r="J44" i="8" s="1"/>
  <c r="K41" i="8"/>
  <c r="K44" i="8" s="1"/>
  <c r="C61" i="8"/>
  <c r="J40" i="5"/>
  <c r="J41" i="5" s="1"/>
  <c r="I41" i="1" s="1"/>
  <c r="C43" i="8"/>
  <c r="H16" i="5"/>
  <c r="C30" i="8"/>
  <c r="I30" i="8" s="1"/>
  <c r="I31" i="8" s="1"/>
  <c r="J15" i="5"/>
  <c r="J16" i="5" s="1"/>
  <c r="I39" i="1" s="1"/>
  <c r="Q10" i="8"/>
  <c r="Q11" i="8" s="1"/>
  <c r="R5" i="8"/>
  <c r="R9" i="8"/>
  <c r="R20" i="8"/>
  <c r="M41" i="8"/>
  <c r="M44" i="8" s="1"/>
  <c r="N40" i="8"/>
  <c r="B79" i="6"/>
  <c r="C78" i="6"/>
  <c r="R37" i="8"/>
  <c r="R36" i="8"/>
  <c r="C13" i="8"/>
  <c r="C10" i="8"/>
  <c r="C15" i="8"/>
  <c r="C9" i="8"/>
  <c r="C12" i="8"/>
  <c r="C16" i="8"/>
  <c r="I17" i="8"/>
  <c r="I11" i="8"/>
  <c r="J11" i="8"/>
  <c r="K11" i="8"/>
  <c r="L11" i="8"/>
  <c r="M11" i="8"/>
  <c r="N11" i="8"/>
  <c r="O11" i="8"/>
  <c r="P11" i="8"/>
  <c r="R111" i="8"/>
  <c r="R21" i="8"/>
  <c r="R92" i="8"/>
  <c r="R90" i="8"/>
  <c r="R91" i="8"/>
  <c r="R89" i="8"/>
  <c r="R87" i="8"/>
  <c r="R85" i="8"/>
  <c r="R88" i="8"/>
  <c r="R86" i="8"/>
  <c r="R81" i="8"/>
  <c r="R70" i="8"/>
  <c r="R71" i="8"/>
  <c r="R68" i="8"/>
  <c r="R69" i="8"/>
  <c r="R76" i="8"/>
  <c r="R47" i="8"/>
  <c r="R48" i="8"/>
  <c r="R51" i="8"/>
  <c r="R49" i="8"/>
  <c r="R50" i="8"/>
  <c r="R52" i="8"/>
  <c r="R58" i="8"/>
  <c r="R59" i="8"/>
  <c r="R53" i="8"/>
  <c r="R54" i="8"/>
  <c r="R60" i="8"/>
  <c r="R56" i="8"/>
  <c r="R57" i="8"/>
  <c r="Q31" i="8"/>
  <c r="R29" i="8"/>
  <c r="R30" i="8"/>
  <c r="R43" i="8"/>
  <c r="R42" i="8"/>
  <c r="S7" i="8"/>
  <c r="S74" i="8" s="1"/>
  <c r="I56" i="5"/>
  <c r="I57" i="5"/>
  <c r="I51" i="5"/>
  <c r="I49" i="5"/>
  <c r="I53" i="5"/>
  <c r="I54" i="5"/>
  <c r="I52" i="5"/>
  <c r="I50" i="5"/>
  <c r="I58" i="5"/>
  <c r="I39" i="5"/>
  <c r="I38" i="5"/>
  <c r="I37" i="5"/>
  <c r="I33" i="5"/>
  <c r="I31" i="5"/>
  <c r="I27" i="5"/>
  <c r="I28" i="5"/>
  <c r="I29" i="5"/>
  <c r="I25" i="5"/>
  <c r="I26" i="5"/>
  <c r="I32" i="5"/>
  <c r="I30" i="5"/>
  <c r="I40" i="5"/>
  <c r="I70" i="5"/>
  <c r="I15" i="5"/>
  <c r="J21" i="5"/>
  <c r="I43" i="4"/>
  <c r="G43" i="4" s="1"/>
  <c r="H38" i="4" s="1"/>
  <c r="I20" i="5"/>
  <c r="I14" i="5"/>
  <c r="I73" i="5"/>
  <c r="I75" i="5"/>
  <c r="I72" i="5"/>
  <c r="I76" i="5"/>
  <c r="I74" i="5"/>
  <c r="I69" i="5"/>
  <c r="I21" i="5"/>
  <c r="I71" i="5"/>
  <c r="I19" i="5"/>
  <c r="A3" i="6"/>
  <c r="A2" i="6"/>
  <c r="B4" i="5"/>
  <c r="B3" i="5"/>
  <c r="B4" i="4"/>
  <c r="B3" i="4"/>
  <c r="B4" i="1"/>
  <c r="B5" i="11" s="1"/>
  <c r="B3" i="1"/>
  <c r="B4" i="11" s="1"/>
  <c r="M89" i="5" l="1"/>
  <c r="C77" i="8"/>
  <c r="J58" i="5"/>
  <c r="J59" i="5" s="1"/>
  <c r="I43" i="1" s="1"/>
  <c r="H59" i="5"/>
  <c r="L59" i="5" s="1"/>
  <c r="N59" i="5" s="1"/>
  <c r="I45" i="4"/>
  <c r="I46" i="4" s="1"/>
  <c r="G9" i="12"/>
  <c r="R61" i="8"/>
  <c r="R62" i="8" s="1"/>
  <c r="C62" i="8"/>
  <c r="I66" i="5"/>
  <c r="H44" i="1" s="1"/>
  <c r="I46" i="5"/>
  <c r="H42" i="1" s="1"/>
  <c r="J22" i="5"/>
  <c r="I40" i="1" s="1"/>
  <c r="C31" i="8"/>
  <c r="G39" i="1"/>
  <c r="O9" i="12" s="1"/>
  <c r="O12" i="12" s="1"/>
  <c r="M61" i="8"/>
  <c r="M62" i="8" s="1"/>
  <c r="K61" i="8"/>
  <c r="K62" i="8" s="1"/>
  <c r="L61" i="8"/>
  <c r="L62" i="8" s="1"/>
  <c r="J61" i="8"/>
  <c r="J62" i="8" s="1"/>
  <c r="N61" i="8"/>
  <c r="N62" i="8" s="1"/>
  <c r="O61" i="8"/>
  <c r="O62" i="8" s="1"/>
  <c r="P61" i="8"/>
  <c r="P62" i="8" s="1"/>
  <c r="Q61" i="8"/>
  <c r="Q62" i="8" s="1"/>
  <c r="N43" i="8"/>
  <c r="O43" i="8"/>
  <c r="P43" i="8"/>
  <c r="Q43" i="8"/>
  <c r="G40" i="1"/>
  <c r="P9" i="12" s="1"/>
  <c r="P12" i="12" s="1"/>
  <c r="C44" i="8"/>
  <c r="N41" i="8"/>
  <c r="O40" i="8"/>
  <c r="S5" i="8"/>
  <c r="S9" i="8"/>
  <c r="S20" i="8"/>
  <c r="B80" i="6"/>
  <c r="C79" i="6"/>
  <c r="R10" i="8"/>
  <c r="I24" i="8"/>
  <c r="I23" i="8"/>
  <c r="S37" i="8"/>
  <c r="S36" i="8"/>
  <c r="S111" i="8"/>
  <c r="S21" i="8"/>
  <c r="S92" i="8"/>
  <c r="S90" i="8"/>
  <c r="S91" i="8"/>
  <c r="S87" i="8"/>
  <c r="S85" i="8"/>
  <c r="S89" i="8"/>
  <c r="S86" i="8"/>
  <c r="S88" i="8"/>
  <c r="S81" i="8"/>
  <c r="S71" i="8"/>
  <c r="S76" i="8"/>
  <c r="S77" i="8"/>
  <c r="S69" i="8"/>
  <c r="S68" i="8"/>
  <c r="S70" i="8"/>
  <c r="R31" i="8"/>
  <c r="S47" i="8"/>
  <c r="S48" i="8"/>
  <c r="S49" i="8"/>
  <c r="S50" i="8"/>
  <c r="S52" i="8"/>
  <c r="S58" i="8"/>
  <c r="S51" i="8"/>
  <c r="S59" i="8"/>
  <c r="S53" i="8"/>
  <c r="S54" i="8"/>
  <c r="S56" i="8"/>
  <c r="S60" i="8"/>
  <c r="S61" i="8"/>
  <c r="S57" i="8"/>
  <c r="S30" i="8"/>
  <c r="S29" i="8"/>
  <c r="S43" i="8"/>
  <c r="S42" i="8"/>
  <c r="T7" i="8"/>
  <c r="T74" i="8" s="1"/>
  <c r="I59" i="5"/>
  <c r="H43" i="1" s="1"/>
  <c r="I16" i="5"/>
  <c r="I41" i="5"/>
  <c r="H41" i="1" s="1"/>
  <c r="H37" i="4"/>
  <c r="H41" i="4"/>
  <c r="H34" i="4"/>
  <c r="H39" i="4"/>
  <c r="H33" i="4"/>
  <c r="H36" i="4"/>
  <c r="H35" i="4"/>
  <c r="H40" i="4"/>
  <c r="H42" i="4"/>
  <c r="H28" i="6" l="1"/>
  <c r="H29" i="6" s="1"/>
  <c r="H36" i="6" s="1"/>
  <c r="H46" i="6" s="1"/>
  <c r="C28" i="6"/>
  <c r="C78" i="8"/>
  <c r="G43" i="1"/>
  <c r="J77" i="8"/>
  <c r="L77" i="8"/>
  <c r="K77" i="8"/>
  <c r="N77" i="8"/>
  <c r="M77" i="8"/>
  <c r="O77" i="8"/>
  <c r="P77" i="8"/>
  <c r="Q77" i="8"/>
  <c r="R77" i="8"/>
  <c r="G28" i="6"/>
  <c r="G29" i="6" s="1"/>
  <c r="G36" i="6" s="1"/>
  <c r="G46" i="6" s="1"/>
  <c r="F28" i="6"/>
  <c r="K28" i="6"/>
  <c r="K29" i="6" s="1"/>
  <c r="K36" i="6" s="1"/>
  <c r="K46" i="6" s="1"/>
  <c r="I28" i="6"/>
  <c r="I29" i="6" s="1"/>
  <c r="I36" i="6" s="1"/>
  <c r="I46" i="6" s="1"/>
  <c r="I25" i="8"/>
  <c r="I26" i="8" s="1"/>
  <c r="D28" i="6"/>
  <c r="J28" i="6"/>
  <c r="J29" i="6" s="1"/>
  <c r="J36" i="6" s="1"/>
  <c r="J46" i="6" s="1"/>
  <c r="I50" i="4"/>
  <c r="I51" i="4" s="1"/>
  <c r="G51" i="4" s="1"/>
  <c r="E28" i="6"/>
  <c r="L28" i="6"/>
  <c r="L29" i="6" s="1"/>
  <c r="L36" i="6" s="1"/>
  <c r="L46" i="6" s="1"/>
  <c r="H9" i="12"/>
  <c r="H12" i="12" s="1"/>
  <c r="G12" i="12"/>
  <c r="N44" i="8"/>
  <c r="B81" i="6"/>
  <c r="C80" i="6"/>
  <c r="T5" i="8"/>
  <c r="T9" i="8"/>
  <c r="T20" i="8"/>
  <c r="S10" i="8"/>
  <c r="R11" i="8"/>
  <c r="O41" i="8"/>
  <c r="O44" i="8" s="1"/>
  <c r="P40" i="8"/>
  <c r="T37" i="8"/>
  <c r="T36" i="8"/>
  <c r="I22" i="5"/>
  <c r="H40" i="1" s="1"/>
  <c r="H39" i="1"/>
  <c r="T111" i="8"/>
  <c r="T21" i="8"/>
  <c r="T92" i="8"/>
  <c r="T91" i="8"/>
  <c r="T86" i="8"/>
  <c r="T87" i="8"/>
  <c r="T88" i="8"/>
  <c r="T89" i="8"/>
  <c r="T90" i="8"/>
  <c r="T85" i="8"/>
  <c r="T81" i="8"/>
  <c r="T77" i="8"/>
  <c r="T71" i="8"/>
  <c r="T76" i="8"/>
  <c r="T70" i="8"/>
  <c r="T68" i="8"/>
  <c r="T69" i="8"/>
  <c r="S62" i="8"/>
  <c r="T47" i="8"/>
  <c r="T49" i="8"/>
  <c r="T48" i="8"/>
  <c r="T50" i="8"/>
  <c r="T58" i="8"/>
  <c r="T51" i="8"/>
  <c r="T52" i="8"/>
  <c r="T59" i="8"/>
  <c r="T53" i="8"/>
  <c r="T54" i="8"/>
  <c r="T56" i="8"/>
  <c r="T60" i="8"/>
  <c r="T57" i="8"/>
  <c r="T61" i="8"/>
  <c r="S31" i="8"/>
  <c r="T30" i="8"/>
  <c r="T29" i="8"/>
  <c r="T43" i="8"/>
  <c r="T42" i="8"/>
  <c r="U7" i="8"/>
  <c r="U74" i="8" s="1"/>
  <c r="H43" i="4"/>
  <c r="U5" i="8" l="1"/>
  <c r="U9" i="8"/>
  <c r="U20" i="8"/>
  <c r="T10" i="8"/>
  <c r="S11" i="8"/>
  <c r="P41" i="8"/>
  <c r="P44" i="8" s="1"/>
  <c r="Q40" i="8"/>
  <c r="B82" i="6"/>
  <c r="C81" i="6"/>
  <c r="K41" i="6"/>
  <c r="K42" i="6" s="1"/>
  <c r="K51" i="6"/>
  <c r="K52" i="6" s="1"/>
  <c r="K47" i="6"/>
  <c r="I47" i="6"/>
  <c r="I41" i="6"/>
  <c r="I42" i="6" s="1"/>
  <c r="I51" i="6"/>
  <c r="I52" i="6" s="1"/>
  <c r="H47" i="6"/>
  <c r="H51" i="6"/>
  <c r="H52" i="6" s="1"/>
  <c r="G47" i="6"/>
  <c r="G51" i="6"/>
  <c r="G52" i="6" s="1"/>
  <c r="G41" i="6"/>
  <c r="G42" i="6" s="1"/>
  <c r="J51" i="6"/>
  <c r="J52" i="6" s="1"/>
  <c r="J47" i="6"/>
  <c r="J41" i="6"/>
  <c r="J42" i="6" s="1"/>
  <c r="H41" i="6"/>
  <c r="H42" i="6" s="1"/>
  <c r="L51" i="6"/>
  <c r="L41" i="6"/>
  <c r="L42" i="6" s="1"/>
  <c r="U37" i="8"/>
  <c r="U36" i="8"/>
  <c r="U111" i="8"/>
  <c r="U21" i="8"/>
  <c r="U92" i="8"/>
  <c r="U90" i="8"/>
  <c r="U88" i="8"/>
  <c r="U89" i="8"/>
  <c r="U91" i="8"/>
  <c r="U86" i="8"/>
  <c r="U87" i="8"/>
  <c r="U85" i="8"/>
  <c r="U81" i="8"/>
  <c r="U77" i="8"/>
  <c r="U76" i="8"/>
  <c r="U71" i="8"/>
  <c r="U70" i="8"/>
  <c r="U68" i="8"/>
  <c r="U69" i="8"/>
  <c r="T62" i="8"/>
  <c r="U47" i="8"/>
  <c r="U49" i="8"/>
  <c r="U48" i="8"/>
  <c r="U50" i="8"/>
  <c r="U51" i="8"/>
  <c r="U52" i="8"/>
  <c r="U58" i="8"/>
  <c r="U59" i="8"/>
  <c r="U53" i="8"/>
  <c r="U54" i="8"/>
  <c r="U56" i="8"/>
  <c r="U60" i="8"/>
  <c r="U57" i="8"/>
  <c r="U61" i="8"/>
  <c r="T31" i="8"/>
  <c r="U29" i="8"/>
  <c r="U30" i="8"/>
  <c r="U43" i="8"/>
  <c r="U42" i="8"/>
  <c r="V7" i="8"/>
  <c r="V74" i="8" s="1"/>
  <c r="J10" i="10"/>
  <c r="B83" i="6" l="1"/>
  <c r="C82" i="6"/>
  <c r="V5" i="8"/>
  <c r="V9" i="8"/>
  <c r="V20" i="8"/>
  <c r="Q41" i="8"/>
  <c r="Q44" i="8" s="1"/>
  <c r="R40" i="8"/>
  <c r="U10" i="8"/>
  <c r="T11" i="8"/>
  <c r="L52" i="6"/>
  <c r="L47" i="6"/>
  <c r="V37" i="8"/>
  <c r="V36" i="8"/>
  <c r="V111" i="8"/>
  <c r="V21" i="8"/>
  <c r="V92" i="8"/>
  <c r="V90" i="8"/>
  <c r="V91" i="8"/>
  <c r="V89" i="8"/>
  <c r="V87" i="8"/>
  <c r="V85" i="8"/>
  <c r="V86" i="8"/>
  <c r="V88" i="8"/>
  <c r="V81" i="8"/>
  <c r="V77" i="8"/>
  <c r="V70" i="8"/>
  <c r="V71" i="8"/>
  <c r="V68" i="8"/>
  <c r="V76" i="8"/>
  <c r="V69" i="8"/>
  <c r="U62" i="8"/>
  <c r="V47" i="8"/>
  <c r="V48" i="8"/>
  <c r="V49" i="8"/>
  <c r="V51" i="8"/>
  <c r="V50" i="8"/>
  <c r="V58" i="8"/>
  <c r="V52" i="8"/>
  <c r="V53" i="8"/>
  <c r="V59" i="8"/>
  <c r="V54" i="8"/>
  <c r="V60" i="8"/>
  <c r="V57" i="8"/>
  <c r="V56" i="8"/>
  <c r="V61" i="8"/>
  <c r="V29" i="8"/>
  <c r="V30" i="8"/>
  <c r="V43" i="8"/>
  <c r="V42" i="8"/>
  <c r="U31" i="8"/>
  <c r="W7" i="8"/>
  <c r="W74" i="8" s="1"/>
  <c r="K10" i="10"/>
  <c r="J21" i="10"/>
  <c r="J17" i="10"/>
  <c r="J19" i="10"/>
  <c r="J13" i="10"/>
  <c r="J20" i="10"/>
  <c r="J15" i="10"/>
  <c r="R41" i="8" l="1"/>
  <c r="R44" i="8" s="1"/>
  <c r="S40" i="8"/>
  <c r="W5" i="8"/>
  <c r="W9" i="8"/>
  <c r="W20" i="8"/>
  <c r="B84" i="6"/>
  <c r="C83" i="6"/>
  <c r="V10" i="8"/>
  <c r="U11" i="8"/>
  <c r="W37" i="8"/>
  <c r="W36" i="8"/>
  <c r="W111" i="8"/>
  <c r="W21" i="8"/>
  <c r="W90" i="8"/>
  <c r="W91" i="8"/>
  <c r="W87" i="8"/>
  <c r="W85" i="8"/>
  <c r="W86" i="8"/>
  <c r="W89" i="8"/>
  <c r="W92" i="8"/>
  <c r="W88" i="8"/>
  <c r="W81" i="8"/>
  <c r="W71" i="8"/>
  <c r="W77" i="8"/>
  <c r="W76" i="8"/>
  <c r="W69" i="8"/>
  <c r="W68" i="8"/>
  <c r="W70" i="8"/>
  <c r="W47" i="8"/>
  <c r="W48" i="8"/>
  <c r="W49" i="8"/>
  <c r="W51" i="8"/>
  <c r="W50" i="8"/>
  <c r="W58" i="8"/>
  <c r="W52" i="8"/>
  <c r="W59" i="8"/>
  <c r="W53" i="8"/>
  <c r="W54" i="8"/>
  <c r="W60" i="8"/>
  <c r="W56" i="8"/>
  <c r="W61" i="8"/>
  <c r="W57" i="8"/>
  <c r="V62" i="8"/>
  <c r="V31" i="8"/>
  <c r="W30" i="8"/>
  <c r="W29" i="8"/>
  <c r="W43" i="8"/>
  <c r="W42" i="8"/>
  <c r="X7" i="8"/>
  <c r="X74" i="8" s="1"/>
  <c r="L10" i="10"/>
  <c r="K21" i="10"/>
  <c r="K20" i="10"/>
  <c r="K19" i="10"/>
  <c r="K13" i="10"/>
  <c r="K17" i="10"/>
  <c r="K15" i="10"/>
  <c r="X5" i="8" l="1"/>
  <c r="X9" i="8"/>
  <c r="X20" i="8"/>
  <c r="C84" i="6"/>
  <c r="B85" i="6"/>
  <c r="S41" i="8"/>
  <c r="S44" i="8" s="1"/>
  <c r="T40" i="8"/>
  <c r="W10" i="8"/>
  <c r="V11" i="8"/>
  <c r="X37" i="8"/>
  <c r="X36" i="8"/>
  <c r="X111" i="8"/>
  <c r="X21" i="8"/>
  <c r="X92" i="8"/>
  <c r="X91" i="8"/>
  <c r="X86" i="8"/>
  <c r="X88" i="8"/>
  <c r="X90" i="8"/>
  <c r="X89" i="8"/>
  <c r="X87" i="8"/>
  <c r="X85" i="8"/>
  <c r="X81" i="8"/>
  <c r="X77" i="8"/>
  <c r="X71" i="8"/>
  <c r="X76" i="8"/>
  <c r="X70" i="8"/>
  <c r="X69" i="8"/>
  <c r="X68" i="8"/>
  <c r="W31" i="8"/>
  <c r="X47" i="8"/>
  <c r="X49" i="8"/>
  <c r="X48" i="8"/>
  <c r="X50" i="8"/>
  <c r="X51" i="8"/>
  <c r="X58" i="8"/>
  <c r="X52" i="8"/>
  <c r="X53" i="8"/>
  <c r="X59" i="8"/>
  <c r="X54" i="8"/>
  <c r="X60" i="8"/>
  <c r="X56" i="8"/>
  <c r="X57" i="8"/>
  <c r="X61" i="8"/>
  <c r="W62" i="8"/>
  <c r="X30" i="8"/>
  <c r="X29" i="8"/>
  <c r="X43" i="8"/>
  <c r="X42" i="8"/>
  <c r="Y7" i="8"/>
  <c r="Y74" i="8" s="1"/>
  <c r="L21" i="10"/>
  <c r="L20" i="10"/>
  <c r="L19" i="10"/>
  <c r="L13" i="10"/>
  <c r="L17" i="10"/>
  <c r="L15" i="10"/>
  <c r="M10" i="10"/>
  <c r="L11" i="10"/>
  <c r="X10" i="8" l="1"/>
  <c r="W11" i="8"/>
  <c r="T41" i="8"/>
  <c r="T44" i="8" s="1"/>
  <c r="U40" i="8"/>
  <c r="Y5" i="8"/>
  <c r="Y9" i="8"/>
  <c r="Y20" i="8"/>
  <c r="B86" i="6"/>
  <c r="C85" i="6"/>
  <c r="Y37" i="8"/>
  <c r="Y36" i="8"/>
  <c r="Y111" i="8"/>
  <c r="Y21" i="8"/>
  <c r="Y92" i="8"/>
  <c r="Y90" i="8"/>
  <c r="Y88" i="8"/>
  <c r="Y89" i="8"/>
  <c r="Y91" i="8"/>
  <c r="Y87" i="8"/>
  <c r="Y85" i="8"/>
  <c r="Y86" i="8"/>
  <c r="Y81" i="8"/>
  <c r="Y76" i="8"/>
  <c r="Y77" i="8"/>
  <c r="Y71" i="8"/>
  <c r="Y68" i="8"/>
  <c r="Y70" i="8"/>
  <c r="Y69" i="8"/>
  <c r="Y47" i="8"/>
  <c r="Y49" i="8"/>
  <c r="Y48" i="8"/>
  <c r="Y51" i="8"/>
  <c r="Y50" i="8"/>
  <c r="Y52" i="8"/>
  <c r="Y58" i="8"/>
  <c r="Y53" i="8"/>
  <c r="Y59" i="8"/>
  <c r="Y54" i="8"/>
  <c r="Y60" i="8"/>
  <c r="Y56" i="8"/>
  <c r="Y57" i="8"/>
  <c r="Y61" i="8"/>
  <c r="X62" i="8"/>
  <c r="X31" i="8"/>
  <c r="Y30" i="8"/>
  <c r="Y29" i="8"/>
  <c r="Y43" i="8"/>
  <c r="Y42" i="8"/>
  <c r="Z7" i="8"/>
  <c r="Z74" i="8" s="1"/>
  <c r="N10" i="10"/>
  <c r="M21" i="10"/>
  <c r="M20" i="10"/>
  <c r="M13" i="10"/>
  <c r="M19" i="10"/>
  <c r="M17" i="10"/>
  <c r="M15" i="10"/>
  <c r="B87" i="6" l="1"/>
  <c r="C86" i="6"/>
  <c r="U41" i="8"/>
  <c r="U44" i="8" s="1"/>
  <c r="V40" i="8"/>
  <c r="Z5" i="8"/>
  <c r="Z9" i="8"/>
  <c r="Z20" i="8"/>
  <c r="Y10" i="8"/>
  <c r="X11" i="8"/>
  <c r="Z37" i="8"/>
  <c r="Z36" i="8"/>
  <c r="Z111" i="8"/>
  <c r="Z21" i="8"/>
  <c r="Z92" i="8"/>
  <c r="Z90" i="8"/>
  <c r="Z91" i="8"/>
  <c r="Z89" i="8"/>
  <c r="Z88" i="8"/>
  <c r="Z87" i="8"/>
  <c r="Z85" i="8"/>
  <c r="Z86" i="8"/>
  <c r="Z81" i="8"/>
  <c r="Y62" i="8"/>
  <c r="Z77" i="8"/>
  <c r="Z76" i="8"/>
  <c r="Z70" i="8"/>
  <c r="Z71" i="8"/>
  <c r="Z68" i="8"/>
  <c r="Z69" i="8"/>
  <c r="Z47" i="8"/>
  <c r="Z48" i="8"/>
  <c r="Z51" i="8"/>
  <c r="Z49" i="8"/>
  <c r="Z50" i="8"/>
  <c r="Z52" i="8"/>
  <c r="Z58" i="8"/>
  <c r="Z59" i="8"/>
  <c r="Z53" i="8"/>
  <c r="Z54" i="8"/>
  <c r="Z56" i="8"/>
  <c r="Z60" i="8"/>
  <c r="Z57" i="8"/>
  <c r="Z61" i="8"/>
  <c r="Y31" i="8"/>
  <c r="Z29" i="8"/>
  <c r="Z30" i="8"/>
  <c r="Z43" i="8"/>
  <c r="Z42" i="8"/>
  <c r="AA7" i="8"/>
  <c r="AA74" i="8" s="1"/>
  <c r="O10" i="10"/>
  <c r="N19" i="10"/>
  <c r="N17" i="10"/>
  <c r="N21" i="10"/>
  <c r="N20" i="10"/>
  <c r="N13" i="10"/>
  <c r="N15" i="10"/>
  <c r="Z10" i="8" l="1"/>
  <c r="Y11" i="8"/>
  <c r="V41" i="8"/>
  <c r="V44" i="8" s="1"/>
  <c r="W40" i="8"/>
  <c r="AA5" i="8"/>
  <c r="AA9" i="8"/>
  <c r="AA20" i="8"/>
  <c r="B88" i="6"/>
  <c r="C87" i="6"/>
  <c r="AA37" i="8"/>
  <c r="AA36" i="8"/>
  <c r="AA111" i="8"/>
  <c r="AA21" i="8"/>
  <c r="AA90" i="8"/>
  <c r="AA91" i="8"/>
  <c r="AA92" i="8"/>
  <c r="AA87" i="8"/>
  <c r="AA85" i="8"/>
  <c r="AA86" i="8"/>
  <c r="AA88" i="8"/>
  <c r="AA89" i="8"/>
  <c r="AA81" i="8"/>
  <c r="AA77" i="8"/>
  <c r="AA71" i="8"/>
  <c r="AA76" i="8"/>
  <c r="AA69" i="8"/>
  <c r="AA70" i="8"/>
  <c r="AA68" i="8"/>
  <c r="AA47" i="8"/>
  <c r="AA48" i="8"/>
  <c r="AA49" i="8"/>
  <c r="AA50" i="8"/>
  <c r="AA51" i="8"/>
  <c r="AA52" i="8"/>
  <c r="AA58" i="8"/>
  <c r="AA53" i="8"/>
  <c r="AA59" i="8"/>
  <c r="AA54" i="8"/>
  <c r="AA60" i="8"/>
  <c r="AA56" i="8"/>
  <c r="AA57" i="8"/>
  <c r="AA61" i="8"/>
  <c r="Z62" i="8"/>
  <c r="AA30" i="8"/>
  <c r="AA29" i="8"/>
  <c r="AA43" i="8"/>
  <c r="AA42" i="8"/>
  <c r="Z31" i="8"/>
  <c r="AB7" i="8"/>
  <c r="AB74" i="8" s="1"/>
  <c r="O21" i="10"/>
  <c r="O20" i="10"/>
  <c r="O19" i="10"/>
  <c r="O17" i="10"/>
  <c r="O13" i="10"/>
  <c r="O15" i="10"/>
  <c r="P10" i="10"/>
  <c r="O11" i="10"/>
  <c r="B89" i="6" l="1"/>
  <c r="C88" i="6"/>
  <c r="W41" i="8"/>
  <c r="W44" i="8" s="1"/>
  <c r="X40" i="8"/>
  <c r="AB5" i="8"/>
  <c r="AB9" i="8"/>
  <c r="AB20" i="8"/>
  <c r="AA10" i="8"/>
  <c r="Z11" i="8"/>
  <c r="AB37" i="8"/>
  <c r="AB36" i="8"/>
  <c r="AB111" i="8"/>
  <c r="AB21" i="8"/>
  <c r="AB92" i="8"/>
  <c r="AB91" i="8"/>
  <c r="AB86" i="8"/>
  <c r="AB90" i="8"/>
  <c r="AB88" i="8"/>
  <c r="AB87" i="8"/>
  <c r="AB89" i="8"/>
  <c r="AB85" i="8"/>
  <c r="AB81" i="8"/>
  <c r="AA31" i="8"/>
  <c r="AB77" i="8"/>
  <c r="AB71" i="8"/>
  <c r="AB76" i="8"/>
  <c r="AB70" i="8"/>
  <c r="AB69" i="8"/>
  <c r="AB68" i="8"/>
  <c r="AA62" i="8"/>
  <c r="AB47" i="8"/>
  <c r="AB48" i="8"/>
  <c r="AB49" i="8"/>
  <c r="AB50" i="8"/>
  <c r="AB51" i="8"/>
  <c r="AB59" i="8"/>
  <c r="AB58" i="8"/>
  <c r="AB52" i="8"/>
  <c r="AB53" i="8"/>
  <c r="AB54" i="8"/>
  <c r="AB60" i="8"/>
  <c r="AB56" i="8"/>
  <c r="AB57" i="8"/>
  <c r="AB61" i="8"/>
  <c r="AB30" i="8"/>
  <c r="AB29" i="8"/>
  <c r="AB43" i="8"/>
  <c r="AB42" i="8"/>
  <c r="AC7" i="8"/>
  <c r="AC74" i="8" s="1"/>
  <c r="Q10" i="10"/>
  <c r="P21" i="10"/>
  <c r="P20" i="10"/>
  <c r="P19" i="10"/>
  <c r="P13" i="10"/>
  <c r="P17" i="10"/>
  <c r="P15" i="10"/>
  <c r="AB10" i="8" l="1"/>
  <c r="AA11" i="8"/>
  <c r="X41" i="8"/>
  <c r="X44" i="8" s="1"/>
  <c r="Y40" i="8"/>
  <c r="AC5" i="8"/>
  <c r="AC9" i="8"/>
  <c r="AC20" i="8"/>
  <c r="B90" i="6"/>
  <c r="C89" i="6"/>
  <c r="AC37" i="8"/>
  <c r="AC36" i="8"/>
  <c r="AC111" i="8"/>
  <c r="AC21" i="8"/>
  <c r="AC92" i="8"/>
  <c r="AC90" i="8"/>
  <c r="AC88" i="8"/>
  <c r="AC91" i="8"/>
  <c r="AC89" i="8"/>
  <c r="AC86" i="8"/>
  <c r="AC87" i="8"/>
  <c r="AC85" i="8"/>
  <c r="AC81" i="8"/>
  <c r="AC76" i="8"/>
  <c r="AC77" i="8"/>
  <c r="AC70" i="8"/>
  <c r="AC68" i="8"/>
  <c r="AC71" i="8"/>
  <c r="AC69" i="8"/>
  <c r="AC47" i="8"/>
  <c r="AC48" i="8"/>
  <c r="AC50" i="8"/>
  <c r="AC49" i="8"/>
  <c r="AC51" i="8"/>
  <c r="AC52" i="8"/>
  <c r="AC58" i="8"/>
  <c r="AC53" i="8"/>
  <c r="AC59" i="8"/>
  <c r="AC54" i="8"/>
  <c r="AC60" i="8"/>
  <c r="AC56" i="8"/>
  <c r="AC61" i="8"/>
  <c r="AC57" i="8"/>
  <c r="AB31" i="8"/>
  <c r="AB62" i="8"/>
  <c r="AC29" i="8"/>
  <c r="AC30" i="8"/>
  <c r="AC43" i="8"/>
  <c r="AC42" i="8"/>
  <c r="AD7" i="8"/>
  <c r="AD74" i="8" s="1"/>
  <c r="R10" i="10"/>
  <c r="Q21" i="10"/>
  <c r="Q20" i="10"/>
  <c r="Q13" i="10"/>
  <c r="Q17" i="10"/>
  <c r="Q19" i="10"/>
  <c r="Q15" i="10"/>
  <c r="B91" i="6" l="1"/>
  <c r="C90" i="6"/>
  <c r="Y41" i="8"/>
  <c r="Y44" i="8" s="1"/>
  <c r="Z40" i="8"/>
  <c r="AD5" i="8"/>
  <c r="AD9" i="8"/>
  <c r="AD20" i="8"/>
  <c r="AC10" i="8"/>
  <c r="AB11" i="8"/>
  <c r="AD37" i="8"/>
  <c r="AD36" i="8"/>
  <c r="AD111" i="8"/>
  <c r="AD21" i="8"/>
  <c r="AD92" i="8"/>
  <c r="AD89" i="8"/>
  <c r="AD90" i="8"/>
  <c r="AD91" i="8"/>
  <c r="AD87" i="8"/>
  <c r="AD85" i="8"/>
  <c r="AD88" i="8"/>
  <c r="AD86" i="8"/>
  <c r="AD81" i="8"/>
  <c r="AD77" i="8"/>
  <c r="AD70" i="8"/>
  <c r="AD76" i="8"/>
  <c r="AD71" i="8"/>
  <c r="AD68" i="8"/>
  <c r="AD69" i="8"/>
  <c r="AC62" i="8"/>
  <c r="AD47" i="8"/>
  <c r="AD48" i="8"/>
  <c r="AD51" i="8"/>
  <c r="AD50" i="8"/>
  <c r="AD49" i="8"/>
  <c r="AD52" i="8"/>
  <c r="AD58" i="8"/>
  <c r="AD53" i="8"/>
  <c r="AD59" i="8"/>
  <c r="AD54" i="8"/>
  <c r="AD56" i="8"/>
  <c r="AD60" i="8"/>
  <c r="AD57" i="8"/>
  <c r="AD61" i="8"/>
  <c r="AC31" i="8"/>
  <c r="AD29" i="8"/>
  <c r="AD30" i="8"/>
  <c r="AD43" i="8"/>
  <c r="AD42" i="8"/>
  <c r="AE7" i="8"/>
  <c r="AE74" i="8" s="1"/>
  <c r="R17" i="10"/>
  <c r="R20" i="10"/>
  <c r="R21" i="10"/>
  <c r="R19" i="10"/>
  <c r="R13" i="10"/>
  <c r="R15" i="10"/>
  <c r="R11" i="10"/>
  <c r="S10" i="10"/>
  <c r="AD10" i="8" l="1"/>
  <c r="AC11" i="8"/>
  <c r="Z41" i="8"/>
  <c r="Z44" i="8" s="1"/>
  <c r="AA40" i="8"/>
  <c r="AE5" i="8"/>
  <c r="AE9" i="8"/>
  <c r="AE20" i="8"/>
  <c r="B92" i="6"/>
  <c r="C91" i="6"/>
  <c r="AE37" i="8"/>
  <c r="AE36" i="8"/>
  <c r="AE111" i="8"/>
  <c r="AE21" i="8"/>
  <c r="AE90" i="8"/>
  <c r="AE92" i="8"/>
  <c r="AE91" i="8"/>
  <c r="AE89" i="8"/>
  <c r="AE87" i="8"/>
  <c r="AE85" i="8"/>
  <c r="AE86" i="8"/>
  <c r="AE88" i="8"/>
  <c r="AE81" i="8"/>
  <c r="AD31" i="8"/>
  <c r="AE76" i="8"/>
  <c r="AE77" i="8"/>
  <c r="AE71" i="8"/>
  <c r="AE69" i="8"/>
  <c r="AE70" i="8"/>
  <c r="AE68" i="8"/>
  <c r="AD62" i="8"/>
  <c r="AE47" i="8"/>
  <c r="AE48" i="8"/>
  <c r="AE49" i="8"/>
  <c r="AE51" i="8"/>
  <c r="AE50" i="8"/>
  <c r="AE52" i="8"/>
  <c r="AE58" i="8"/>
  <c r="AE59" i="8"/>
  <c r="AE53" i="8"/>
  <c r="AE54" i="8"/>
  <c r="AE60" i="8"/>
  <c r="AE56" i="8"/>
  <c r="AE61" i="8"/>
  <c r="AE57" i="8"/>
  <c r="AE30" i="8"/>
  <c r="AE29" i="8"/>
  <c r="AE43" i="8"/>
  <c r="AE42" i="8"/>
  <c r="AF7" i="8"/>
  <c r="AF74" i="8" s="1"/>
  <c r="T10" i="10"/>
  <c r="S21" i="10"/>
  <c r="S20" i="10"/>
  <c r="S19" i="10"/>
  <c r="S17" i="10"/>
  <c r="S13" i="10"/>
  <c r="S15" i="10"/>
  <c r="AA41" i="8" l="1"/>
  <c r="AA44" i="8" s="1"/>
  <c r="AB40" i="8"/>
  <c r="B93" i="6"/>
  <c r="C92" i="6"/>
  <c r="AF9" i="8"/>
  <c r="AF20" i="8"/>
  <c r="AE10" i="8"/>
  <c r="AD11" i="8"/>
  <c r="AF36" i="8"/>
  <c r="AF5" i="8"/>
  <c r="AF21" i="8"/>
  <c r="AF37" i="8"/>
  <c r="AF111" i="8"/>
  <c r="AF92" i="8"/>
  <c r="AF91" i="8"/>
  <c r="AF89" i="8"/>
  <c r="AF90" i="8"/>
  <c r="AF86" i="8"/>
  <c r="AF87" i="8"/>
  <c r="AF88" i="8"/>
  <c r="AF85" i="8"/>
  <c r="AF81" i="8"/>
  <c r="AF77" i="8"/>
  <c r="AF76" i="8"/>
  <c r="AF71" i="8"/>
  <c r="AF70" i="8"/>
  <c r="AF68" i="8"/>
  <c r="AF69" i="8"/>
  <c r="AF47" i="8"/>
  <c r="AF48" i="8"/>
  <c r="AF49" i="8"/>
  <c r="AF50" i="8"/>
  <c r="AF51" i="8"/>
  <c r="AF52" i="8"/>
  <c r="AF58" i="8"/>
  <c r="AF53" i="8"/>
  <c r="AF59" i="8"/>
  <c r="AF54" i="8"/>
  <c r="AF61" i="8"/>
  <c r="AF60" i="8"/>
  <c r="AF56" i="8"/>
  <c r="AF57" i="8"/>
  <c r="AE62" i="8"/>
  <c r="AE31" i="8"/>
  <c r="AF30" i="8"/>
  <c r="AF29" i="8"/>
  <c r="AF43" i="8"/>
  <c r="AF42" i="8"/>
  <c r="AG7" i="8"/>
  <c r="AG74" i="8" s="1"/>
  <c r="U10" i="10"/>
  <c r="T21" i="10"/>
  <c r="T20" i="10"/>
  <c r="T19" i="10"/>
  <c r="T13" i="10"/>
  <c r="T17" i="10"/>
  <c r="T15" i="10"/>
  <c r="AF10" i="8" l="1"/>
  <c r="AE11" i="8"/>
  <c r="B94" i="6"/>
  <c r="C93" i="6"/>
  <c r="AB41" i="8"/>
  <c r="AB44" i="8" s="1"/>
  <c r="AC40" i="8"/>
  <c r="AG5" i="8"/>
  <c r="AG9" i="8"/>
  <c r="AG20" i="8"/>
  <c r="AG37" i="8"/>
  <c r="AG36" i="8"/>
  <c r="AG111" i="8"/>
  <c r="AG21" i="8"/>
  <c r="AG92" i="8"/>
  <c r="AG89" i="8"/>
  <c r="AG90" i="8"/>
  <c r="AG91" i="8"/>
  <c r="AG88" i="8"/>
  <c r="AG87" i="8"/>
  <c r="AG85" i="8"/>
  <c r="AG86" i="8"/>
  <c r="AG81" i="8"/>
  <c r="AG76" i="8"/>
  <c r="AG77" i="8"/>
  <c r="AG71" i="8"/>
  <c r="AG68" i="8"/>
  <c r="AG70" i="8"/>
  <c r="AG69" i="8"/>
  <c r="AF62" i="8"/>
  <c r="AG47" i="8"/>
  <c r="AG48" i="8"/>
  <c r="AG50" i="8"/>
  <c r="AG49" i="8"/>
  <c r="AG51" i="8"/>
  <c r="AG58" i="8"/>
  <c r="AG52" i="8"/>
  <c r="AG59" i="8"/>
  <c r="AG53" i="8"/>
  <c r="AG54" i="8"/>
  <c r="AG60" i="8"/>
  <c r="AG56" i="8"/>
  <c r="AG61" i="8"/>
  <c r="AG57" i="8"/>
  <c r="AF31" i="8"/>
  <c r="AG29" i="8"/>
  <c r="AG30" i="8"/>
  <c r="AG43" i="8"/>
  <c r="AG42" i="8"/>
  <c r="AH7" i="8"/>
  <c r="AH74" i="8" s="1"/>
  <c r="U21" i="10"/>
  <c r="U20" i="10"/>
  <c r="U19" i="10"/>
  <c r="U17" i="10"/>
  <c r="U13" i="10"/>
  <c r="U15" i="10"/>
  <c r="V10" i="10"/>
  <c r="U11" i="10"/>
  <c r="B95" i="6" l="1"/>
  <c r="C94" i="6"/>
  <c r="AC41" i="8"/>
  <c r="AC44" i="8" s="1"/>
  <c r="AD40" i="8"/>
  <c r="AH9" i="8"/>
  <c r="AH20" i="8"/>
  <c r="AG10" i="8"/>
  <c r="AF11" i="8"/>
  <c r="AH36" i="8"/>
  <c r="AH5" i="8"/>
  <c r="AH21" i="8"/>
  <c r="AH37" i="8"/>
  <c r="AH111" i="8"/>
  <c r="AH92" i="8"/>
  <c r="AH89" i="8"/>
  <c r="AH90" i="8"/>
  <c r="AH91" i="8"/>
  <c r="AH87" i="8"/>
  <c r="AH85" i="8"/>
  <c r="AH86" i="8"/>
  <c r="AH88" i="8"/>
  <c r="AH81" i="8"/>
  <c r="AH77" i="8"/>
  <c r="AH70" i="8"/>
  <c r="AH71" i="8"/>
  <c r="AH68" i="8"/>
  <c r="AH69" i="8"/>
  <c r="AH76" i="8"/>
  <c r="AG62" i="8"/>
  <c r="AH47" i="8"/>
  <c r="AH48" i="8"/>
  <c r="AH50" i="8"/>
  <c r="AH49" i="8"/>
  <c r="AH51" i="8"/>
  <c r="AH58" i="8"/>
  <c r="AH59" i="8"/>
  <c r="AH52" i="8"/>
  <c r="AH53" i="8"/>
  <c r="AH54" i="8"/>
  <c r="AH60" i="8"/>
  <c r="AH56" i="8"/>
  <c r="AH57" i="8"/>
  <c r="AH61" i="8"/>
  <c r="AG31" i="8"/>
  <c r="AH29" i="8"/>
  <c r="AH30" i="8"/>
  <c r="AH43" i="8"/>
  <c r="AH42" i="8"/>
  <c r="AI7" i="8"/>
  <c r="AI74" i="8" s="1"/>
  <c r="W10" i="10"/>
  <c r="V20" i="10"/>
  <c r="V19" i="10"/>
  <c r="V17" i="10"/>
  <c r="V21" i="10"/>
  <c r="V13" i="10"/>
  <c r="V15" i="10"/>
  <c r="AD41" i="8" l="1"/>
  <c r="AD44" i="8" s="1"/>
  <c r="AE40" i="8"/>
  <c r="AH10" i="8"/>
  <c r="AG11" i="8"/>
  <c r="AI5" i="8"/>
  <c r="AI9" i="8"/>
  <c r="AI20" i="8"/>
  <c r="B96" i="6"/>
  <c r="C95" i="6"/>
  <c r="AI37" i="8"/>
  <c r="AI36" i="8"/>
  <c r="AI111" i="8"/>
  <c r="AI21" i="8"/>
  <c r="AI92" i="8"/>
  <c r="AI90" i="8"/>
  <c r="AI91" i="8"/>
  <c r="AI87" i="8"/>
  <c r="AI85" i="8"/>
  <c r="AI89" i="8"/>
  <c r="AI86" i="8"/>
  <c r="AI88" i="8"/>
  <c r="AI81" i="8"/>
  <c r="AH31" i="8"/>
  <c r="AI76" i="8"/>
  <c r="AI75" i="8"/>
  <c r="AI71" i="8"/>
  <c r="AI72" i="8"/>
  <c r="AI73" i="8"/>
  <c r="AI69" i="8"/>
  <c r="AI70" i="8"/>
  <c r="AI68" i="8"/>
  <c r="AI77" i="8"/>
  <c r="AI47" i="8"/>
  <c r="AI48" i="8"/>
  <c r="AI49" i="8"/>
  <c r="AI50" i="8"/>
  <c r="AI52" i="8"/>
  <c r="AI59" i="8"/>
  <c r="AI58" i="8"/>
  <c r="AI51" i="8"/>
  <c r="AI53" i="8"/>
  <c r="AI54" i="8"/>
  <c r="AI60" i="8"/>
  <c r="AI56" i="8"/>
  <c r="AI57" i="8"/>
  <c r="AI61" i="8"/>
  <c r="AH62" i="8"/>
  <c r="AI30" i="8"/>
  <c r="AI29" i="8"/>
  <c r="AI43" i="8"/>
  <c r="AI42" i="8"/>
  <c r="AJ7" i="8"/>
  <c r="AJ74" i="8" s="1"/>
  <c r="X10" i="10"/>
  <c r="W21" i="10"/>
  <c r="W20" i="10"/>
  <c r="W19" i="10"/>
  <c r="W17" i="10"/>
  <c r="W13" i="10"/>
  <c r="W15" i="10"/>
  <c r="AJ5" i="8" l="1"/>
  <c r="AJ9" i="8"/>
  <c r="AJ20" i="8"/>
  <c r="B97" i="6"/>
  <c r="C96" i="6"/>
  <c r="AI10" i="8"/>
  <c r="AH11" i="8"/>
  <c r="AE41" i="8"/>
  <c r="AE44" i="8" s="1"/>
  <c r="AF40" i="8"/>
  <c r="AJ37" i="8"/>
  <c r="AJ36" i="8"/>
  <c r="AJ111" i="8"/>
  <c r="AJ21" i="8"/>
  <c r="AI78" i="8"/>
  <c r="AJ92" i="8"/>
  <c r="AJ91" i="8"/>
  <c r="AJ89" i="8"/>
  <c r="AJ86" i="8"/>
  <c r="AJ88" i="8"/>
  <c r="AJ90" i="8"/>
  <c r="AJ87" i="8"/>
  <c r="AJ85" i="8"/>
  <c r="AJ81" i="8"/>
  <c r="AJ77" i="8"/>
  <c r="AJ71" i="8"/>
  <c r="AJ72" i="8"/>
  <c r="AJ76" i="8"/>
  <c r="AJ73" i="8"/>
  <c r="AJ70" i="8"/>
  <c r="AJ75" i="8"/>
  <c r="AJ69" i="8"/>
  <c r="AJ68" i="8"/>
  <c r="AJ47" i="8"/>
  <c r="AJ49" i="8"/>
  <c r="AJ48" i="8"/>
  <c r="AJ50" i="8"/>
  <c r="AJ52" i="8"/>
  <c r="AJ58" i="8"/>
  <c r="AJ51" i="8"/>
  <c r="AJ59" i="8"/>
  <c r="AJ53" i="8"/>
  <c r="AJ54" i="8"/>
  <c r="AJ60" i="8"/>
  <c r="AJ56" i="8"/>
  <c r="AJ61" i="8"/>
  <c r="AJ57" i="8"/>
  <c r="AI62" i="8"/>
  <c r="AJ30" i="8"/>
  <c r="AJ29" i="8"/>
  <c r="AJ43" i="8"/>
  <c r="AJ42" i="8"/>
  <c r="AI31" i="8"/>
  <c r="AK7" i="8"/>
  <c r="AK74" i="8" s="1"/>
  <c r="X21" i="10"/>
  <c r="X20" i="10"/>
  <c r="X19" i="10"/>
  <c r="X13" i="10"/>
  <c r="X17" i="10"/>
  <c r="X15" i="10"/>
  <c r="Y10" i="10"/>
  <c r="X11" i="10"/>
  <c r="B98" i="6" l="1"/>
  <c r="C97" i="6"/>
  <c r="AJ10" i="8"/>
  <c r="AI11" i="8"/>
  <c r="AK5" i="8"/>
  <c r="AK9" i="8"/>
  <c r="AK20" i="8"/>
  <c r="AF41" i="8"/>
  <c r="AF44" i="8" s="1"/>
  <c r="AG40" i="8"/>
  <c r="AK37" i="8"/>
  <c r="AK36" i="8"/>
  <c r="AK111" i="8"/>
  <c r="AK21" i="8"/>
  <c r="AJ78" i="8"/>
  <c r="AK92" i="8"/>
  <c r="AK89" i="8"/>
  <c r="AK90" i="8"/>
  <c r="AK88" i="8"/>
  <c r="AK86" i="8"/>
  <c r="AK87" i="8"/>
  <c r="AK85" i="8"/>
  <c r="AK91" i="8"/>
  <c r="AK81" i="8"/>
  <c r="AK76" i="8"/>
  <c r="AK77" i="8"/>
  <c r="AK72" i="8"/>
  <c r="AK73" i="8"/>
  <c r="AK75" i="8"/>
  <c r="AK71" i="8"/>
  <c r="AK70" i="8"/>
  <c r="AK68" i="8"/>
  <c r="AK69" i="8"/>
  <c r="AK47" i="8"/>
  <c r="AK48" i="8"/>
  <c r="AK49" i="8"/>
  <c r="AK50" i="8"/>
  <c r="AK58" i="8"/>
  <c r="AK52" i="8"/>
  <c r="AK51" i="8"/>
  <c r="AK53" i="8"/>
  <c r="AK59" i="8"/>
  <c r="AK54" i="8"/>
  <c r="AK60" i="8"/>
  <c r="AK56" i="8"/>
  <c r="AK61" i="8"/>
  <c r="AK57" i="8"/>
  <c r="AJ62" i="8"/>
  <c r="AJ31" i="8"/>
  <c r="AK29" i="8"/>
  <c r="AK30" i="8"/>
  <c r="AK43" i="8"/>
  <c r="AK42" i="8"/>
  <c r="AL7" i="8"/>
  <c r="AL74" i="8" s="1"/>
  <c r="Z10" i="10"/>
  <c r="Y21" i="10"/>
  <c r="Y20" i="10"/>
  <c r="Y13" i="10"/>
  <c r="Y19" i="10"/>
  <c r="Y17" i="10"/>
  <c r="Y15" i="10"/>
  <c r="AK10" i="8" l="1"/>
  <c r="AJ11" i="8"/>
  <c r="AL5" i="8"/>
  <c r="AL9" i="8"/>
  <c r="AL20" i="8"/>
  <c r="AG41" i="8"/>
  <c r="AG44" i="8" s="1"/>
  <c r="AH40" i="8"/>
  <c r="B99" i="6"/>
  <c r="C98" i="6"/>
  <c r="AL37" i="8"/>
  <c r="AL36" i="8"/>
  <c r="AL111" i="8"/>
  <c r="AL21" i="8"/>
  <c r="AK78" i="8"/>
  <c r="AL92" i="8"/>
  <c r="AL89" i="8"/>
  <c r="AL90" i="8"/>
  <c r="AL91" i="8"/>
  <c r="AL87" i="8"/>
  <c r="AL85" i="8"/>
  <c r="AL88" i="8"/>
  <c r="AL86" i="8"/>
  <c r="AL81" i="8"/>
  <c r="AL77" i="8"/>
  <c r="AL73" i="8"/>
  <c r="AL70" i="8"/>
  <c r="AL76" i="8"/>
  <c r="AL75" i="8"/>
  <c r="AL71" i="8"/>
  <c r="AL68" i="8"/>
  <c r="AL69" i="8"/>
  <c r="AL72" i="8"/>
  <c r="AK62" i="8"/>
  <c r="AL47" i="8"/>
  <c r="AL48" i="8"/>
  <c r="AL49" i="8"/>
  <c r="AL51" i="8"/>
  <c r="AL50" i="8"/>
  <c r="AL58" i="8"/>
  <c r="AL52" i="8"/>
  <c r="AL59" i="8"/>
  <c r="AL53" i="8"/>
  <c r="AL56" i="8"/>
  <c r="AL54" i="8"/>
  <c r="AL60" i="8"/>
  <c r="AL61" i="8"/>
  <c r="AL57" i="8"/>
  <c r="AL29" i="8"/>
  <c r="AL30" i="8"/>
  <c r="AL43" i="8"/>
  <c r="AL42" i="8"/>
  <c r="AK31" i="8"/>
  <c r="AM7" i="8"/>
  <c r="AM74" i="8" s="1"/>
  <c r="AA10" i="10"/>
  <c r="Z21" i="10"/>
  <c r="Z17" i="10"/>
  <c r="Z20" i="10"/>
  <c r="Z19" i="10"/>
  <c r="Z13" i="10"/>
  <c r="Z15" i="10"/>
  <c r="B100" i="6" l="1"/>
  <c r="C99" i="6"/>
  <c r="AH41" i="8"/>
  <c r="AH44" i="8" s="1"/>
  <c r="AI40" i="8"/>
  <c r="AM5" i="8"/>
  <c r="AM9" i="8"/>
  <c r="AM20" i="8"/>
  <c r="AL10" i="8"/>
  <c r="AK11" i="8"/>
  <c r="AM37" i="8"/>
  <c r="AM36" i="8"/>
  <c r="AM111" i="8"/>
  <c r="AM21" i="8"/>
  <c r="AL78" i="8"/>
  <c r="AM90" i="8"/>
  <c r="AM91" i="8"/>
  <c r="AM87" i="8"/>
  <c r="AM85" i="8"/>
  <c r="AM92" i="8"/>
  <c r="AM86" i="8"/>
  <c r="AM89" i="8"/>
  <c r="AM88" i="8"/>
  <c r="AM81" i="8"/>
  <c r="AM76" i="8"/>
  <c r="AM75" i="8"/>
  <c r="AM71" i="8"/>
  <c r="AM77" i="8"/>
  <c r="AM72" i="8"/>
  <c r="AM69" i="8"/>
  <c r="AM68" i="8"/>
  <c r="AM70" i="8"/>
  <c r="AM73" i="8"/>
  <c r="AL62" i="8"/>
  <c r="AM47" i="8"/>
  <c r="AM48" i="8"/>
  <c r="AM49" i="8"/>
  <c r="AM50" i="8"/>
  <c r="AM51" i="8"/>
  <c r="AM58" i="8"/>
  <c r="AM52" i="8"/>
  <c r="AM53" i="8"/>
  <c r="AM59" i="8"/>
  <c r="AM54" i="8"/>
  <c r="AM56" i="8"/>
  <c r="AM60" i="8"/>
  <c r="AM57" i="8"/>
  <c r="AM61" i="8"/>
  <c r="AM30" i="8"/>
  <c r="AM29" i="8"/>
  <c r="AM43" i="8"/>
  <c r="AM42" i="8"/>
  <c r="AL31" i="8"/>
  <c r="AN7" i="8"/>
  <c r="AN74" i="8" s="1"/>
  <c r="AA21" i="10"/>
  <c r="AA20" i="10"/>
  <c r="AA19" i="10"/>
  <c r="AA17" i="10"/>
  <c r="AA13" i="10"/>
  <c r="AA15" i="10"/>
  <c r="AA11" i="10"/>
  <c r="AB10" i="10"/>
  <c r="AM10" i="8" l="1"/>
  <c r="AL11" i="8"/>
  <c r="AI41" i="8"/>
  <c r="AI44" i="8" s="1"/>
  <c r="AJ40" i="8"/>
  <c r="AN5" i="8"/>
  <c r="AN9" i="8"/>
  <c r="AN20" i="8"/>
  <c r="B101" i="6"/>
  <c r="C100" i="6"/>
  <c r="AN37" i="8"/>
  <c r="AN36" i="8"/>
  <c r="AN111" i="8"/>
  <c r="AN21" i="8"/>
  <c r="AM78" i="8"/>
  <c r="AN92" i="8"/>
  <c r="AN91" i="8"/>
  <c r="AN89" i="8"/>
  <c r="AN86" i="8"/>
  <c r="AN88" i="8"/>
  <c r="AN90" i="8"/>
  <c r="AN87" i="8"/>
  <c r="AN85" i="8"/>
  <c r="AN81" i="8"/>
  <c r="AN77" i="8"/>
  <c r="AN76" i="8"/>
  <c r="AN71" i="8"/>
  <c r="AN72" i="8"/>
  <c r="AN73" i="8"/>
  <c r="AN70" i="8"/>
  <c r="AN75" i="8"/>
  <c r="AN68" i="8"/>
  <c r="AN69" i="8"/>
  <c r="AN47" i="8"/>
  <c r="AN49" i="8"/>
  <c r="AN48" i="8"/>
  <c r="AN51" i="8"/>
  <c r="AN50" i="8"/>
  <c r="AN52" i="8"/>
  <c r="AN58" i="8"/>
  <c r="AN53" i="8"/>
  <c r="AN59" i="8"/>
  <c r="AN54" i="8"/>
  <c r="AN56" i="8"/>
  <c r="AN60" i="8"/>
  <c r="AN61" i="8"/>
  <c r="AN57" i="8"/>
  <c r="AM62" i="8"/>
  <c r="AM31" i="8"/>
  <c r="AN30" i="8"/>
  <c r="AN29" i="8"/>
  <c r="AN43" i="8"/>
  <c r="AN42" i="8"/>
  <c r="AO7" i="8"/>
  <c r="AO74" i="8" s="1"/>
  <c r="AC10" i="10"/>
  <c r="AB21" i="10"/>
  <c r="AB20" i="10"/>
  <c r="AB19" i="10"/>
  <c r="AB13" i="10"/>
  <c r="AB17" i="10"/>
  <c r="AB15" i="10"/>
  <c r="B102" i="6" l="1"/>
  <c r="C101" i="6"/>
  <c r="AJ41" i="8"/>
  <c r="AJ44" i="8" s="1"/>
  <c r="AK40" i="8"/>
  <c r="AO5" i="8"/>
  <c r="AO9" i="8"/>
  <c r="AO20" i="8"/>
  <c r="AN10" i="8"/>
  <c r="AM11" i="8"/>
  <c r="AO37" i="8"/>
  <c r="AO36" i="8"/>
  <c r="AO111" i="8"/>
  <c r="AO21" i="8"/>
  <c r="AN78" i="8"/>
  <c r="AO92" i="8"/>
  <c r="AO89" i="8"/>
  <c r="AO90" i="8"/>
  <c r="AO88" i="8"/>
  <c r="AO91" i="8"/>
  <c r="AO87" i="8"/>
  <c r="AO85" i="8"/>
  <c r="AO86" i="8"/>
  <c r="AO81" i="8"/>
  <c r="AN31" i="8"/>
  <c r="AO76" i="8"/>
  <c r="AO77" i="8"/>
  <c r="AO72" i="8"/>
  <c r="AO73" i="8"/>
  <c r="AO75" i="8"/>
  <c r="AO68" i="8"/>
  <c r="AO71" i="8"/>
  <c r="AO70" i="8"/>
  <c r="AO69" i="8"/>
  <c r="AO47" i="8"/>
  <c r="AO48" i="8"/>
  <c r="AO49" i="8"/>
  <c r="AO50" i="8"/>
  <c r="AO58" i="8"/>
  <c r="AO52" i="8"/>
  <c r="AO51" i="8"/>
  <c r="AO59" i="8"/>
  <c r="AO53" i="8"/>
  <c r="AO54" i="8"/>
  <c r="AO56" i="8"/>
  <c r="AO60" i="8"/>
  <c r="AO61" i="8"/>
  <c r="AO57" i="8"/>
  <c r="AN62" i="8"/>
  <c r="AO30" i="8"/>
  <c r="AO29" i="8"/>
  <c r="AO43" i="8"/>
  <c r="AO42" i="8"/>
  <c r="AP7" i="8"/>
  <c r="AP74" i="8" s="1"/>
  <c r="AD10" i="10"/>
  <c r="AC21" i="10"/>
  <c r="AC20" i="10"/>
  <c r="AC19" i="10"/>
  <c r="AC13" i="10"/>
  <c r="AC17" i="10"/>
  <c r="AC15" i="10"/>
  <c r="AO10" i="8" l="1"/>
  <c r="AN11" i="8"/>
  <c r="AK41" i="8"/>
  <c r="AK44" i="8" s="1"/>
  <c r="AL40" i="8"/>
  <c r="AP5" i="8"/>
  <c r="AP9" i="8"/>
  <c r="AP20" i="8"/>
  <c r="B103" i="6"/>
  <c r="C102" i="6"/>
  <c r="AP37" i="8"/>
  <c r="AP36" i="8"/>
  <c r="AP111" i="8"/>
  <c r="AP21" i="8"/>
  <c r="AO78" i="8"/>
  <c r="AP92" i="8"/>
  <c r="AP89" i="8"/>
  <c r="AP90" i="8"/>
  <c r="AP91" i="8"/>
  <c r="AP88" i="8"/>
  <c r="AP87" i="8"/>
  <c r="AP85" i="8"/>
  <c r="AP86" i="8"/>
  <c r="AP81" i="8"/>
  <c r="AO31" i="8"/>
  <c r="AP77" i="8"/>
  <c r="AP73" i="8"/>
  <c r="AP70" i="8"/>
  <c r="AP75" i="8"/>
  <c r="AP71" i="8"/>
  <c r="AP68" i="8"/>
  <c r="AP72" i="8"/>
  <c r="AP69" i="8"/>
  <c r="AP76" i="8"/>
  <c r="AP47" i="8"/>
  <c r="AP48" i="8"/>
  <c r="AP51" i="8"/>
  <c r="AP49" i="8"/>
  <c r="AP50" i="8"/>
  <c r="AP58" i="8"/>
  <c r="AP52" i="8"/>
  <c r="AP59" i="8"/>
  <c r="AP53" i="8"/>
  <c r="AP54" i="8"/>
  <c r="AP56" i="8"/>
  <c r="AP60" i="8"/>
  <c r="AP57" i="8"/>
  <c r="AP61" i="8"/>
  <c r="AO62" i="8"/>
  <c r="AP29" i="8"/>
  <c r="AP30" i="8"/>
  <c r="AP43" i="8"/>
  <c r="AP42" i="8"/>
  <c r="AQ7" i="8"/>
  <c r="AQ74" i="8" s="1"/>
  <c r="AD17" i="10"/>
  <c r="AD19" i="10"/>
  <c r="AD20" i="10"/>
  <c r="AD13" i="10"/>
  <c r="AD21" i="10"/>
  <c r="AD15" i="10"/>
  <c r="AE10" i="10"/>
  <c r="AD11" i="10"/>
  <c r="B104" i="6" l="1"/>
  <c r="C103" i="6"/>
  <c r="AL41" i="8"/>
  <c r="AL44" i="8" s="1"/>
  <c r="AM40" i="8"/>
  <c r="AQ5" i="8"/>
  <c r="AQ9" i="8"/>
  <c r="AQ20" i="8"/>
  <c r="AP10" i="8"/>
  <c r="AO11" i="8"/>
  <c r="AQ37" i="8"/>
  <c r="AQ36" i="8"/>
  <c r="AQ111" i="8"/>
  <c r="AQ21" i="8"/>
  <c r="AP78" i="8"/>
  <c r="AQ90" i="8"/>
  <c r="AQ91" i="8"/>
  <c r="AQ92" i="8"/>
  <c r="AQ87" i="8"/>
  <c r="AQ85" i="8"/>
  <c r="AQ89" i="8"/>
  <c r="AQ86" i="8"/>
  <c r="AQ88" i="8"/>
  <c r="AQ81" i="8"/>
  <c r="AQ76" i="8"/>
  <c r="AQ75" i="8"/>
  <c r="AQ77" i="8"/>
  <c r="AQ71" i="8"/>
  <c r="AQ72" i="8"/>
  <c r="AQ69" i="8"/>
  <c r="AQ70" i="8"/>
  <c r="AQ73" i="8"/>
  <c r="AQ68" i="8"/>
  <c r="AP62" i="8"/>
  <c r="AQ47" i="8"/>
  <c r="AQ48" i="8"/>
  <c r="AQ49" i="8"/>
  <c r="AQ51" i="8"/>
  <c r="AQ50" i="8"/>
  <c r="AQ52" i="8"/>
  <c r="AQ58" i="8"/>
  <c r="AQ59" i="8"/>
  <c r="AQ53" i="8"/>
  <c r="AQ54" i="8"/>
  <c r="AQ60" i="8"/>
  <c r="AQ56" i="8"/>
  <c r="AQ61" i="8"/>
  <c r="AQ57" i="8"/>
  <c r="AP31" i="8"/>
  <c r="AQ30" i="8"/>
  <c r="AQ29" i="8"/>
  <c r="AQ43" i="8"/>
  <c r="AQ42" i="8"/>
  <c r="AR7" i="8"/>
  <c r="AR74" i="8" s="1"/>
  <c r="AF10" i="10"/>
  <c r="AE21" i="10"/>
  <c r="AE20" i="10"/>
  <c r="AE19" i="10"/>
  <c r="AE13" i="10"/>
  <c r="AE17" i="10"/>
  <c r="AE15" i="10"/>
  <c r="AQ10" i="8" l="1"/>
  <c r="AP11" i="8"/>
  <c r="AM41" i="8"/>
  <c r="AM44" i="8" s="1"/>
  <c r="AN40" i="8"/>
  <c r="AR5" i="8"/>
  <c r="AR9" i="8"/>
  <c r="AR20" i="8"/>
  <c r="B105" i="6"/>
  <c r="C104" i="6"/>
  <c r="AR37" i="8"/>
  <c r="AR36" i="8"/>
  <c r="AR111" i="8"/>
  <c r="AR21" i="8"/>
  <c r="AQ78" i="8"/>
  <c r="AR92" i="8"/>
  <c r="AR91" i="8"/>
  <c r="AR89" i="8"/>
  <c r="AR86" i="8"/>
  <c r="AR87" i="8"/>
  <c r="AR90" i="8"/>
  <c r="AR88" i="8"/>
  <c r="AR85" i="8"/>
  <c r="AR81" i="8"/>
  <c r="AR77" i="8"/>
  <c r="AR71" i="8"/>
  <c r="AR72" i="8"/>
  <c r="AR76" i="8"/>
  <c r="AR73" i="8"/>
  <c r="AR70" i="8"/>
  <c r="AR75" i="8"/>
  <c r="AR69" i="8"/>
  <c r="AR68" i="8"/>
  <c r="AQ62" i="8"/>
  <c r="AR47" i="8"/>
  <c r="AR48" i="8"/>
  <c r="AR49" i="8"/>
  <c r="AR50" i="8"/>
  <c r="AR51" i="8"/>
  <c r="AR58" i="8"/>
  <c r="AR52" i="8"/>
  <c r="AR59" i="8"/>
  <c r="AR53" i="8"/>
  <c r="AR54" i="8"/>
  <c r="AR56" i="8"/>
  <c r="AR60" i="8"/>
  <c r="AR57" i="8"/>
  <c r="AR61" i="8"/>
  <c r="AQ31" i="8"/>
  <c r="AR30" i="8"/>
  <c r="AR29" i="8"/>
  <c r="AR43" i="8"/>
  <c r="AR42" i="8"/>
  <c r="AS7" i="8"/>
  <c r="AS74" i="8" s="1"/>
  <c r="AG10" i="10"/>
  <c r="AF21" i="10"/>
  <c r="AF20" i="10"/>
  <c r="AF19" i="10"/>
  <c r="AF17" i="10"/>
  <c r="AF13" i="10"/>
  <c r="AF15" i="10"/>
  <c r="B106" i="6" l="1"/>
  <c r="C105" i="6"/>
  <c r="AN41" i="8"/>
  <c r="AN44" i="8" s="1"/>
  <c r="AO40" i="8"/>
  <c r="AS5" i="8"/>
  <c r="AS9" i="8"/>
  <c r="AS20" i="8"/>
  <c r="AR10" i="8"/>
  <c r="AQ11" i="8"/>
  <c r="AS37" i="8"/>
  <c r="AS36" i="8"/>
  <c r="AS111" i="8"/>
  <c r="AS21" i="8"/>
  <c r="AR78" i="8"/>
  <c r="AS92" i="8"/>
  <c r="AS89" i="8"/>
  <c r="AS90" i="8"/>
  <c r="AS88" i="8"/>
  <c r="AS91" i="8"/>
  <c r="AS86" i="8"/>
  <c r="AS87" i="8"/>
  <c r="AS85" i="8"/>
  <c r="AS81" i="8"/>
  <c r="AS76" i="8"/>
  <c r="AS77" i="8"/>
  <c r="AS72" i="8"/>
  <c r="AS73" i="8"/>
  <c r="AS75" i="8"/>
  <c r="AS70" i="8"/>
  <c r="AS68" i="8"/>
  <c r="AS71" i="8"/>
  <c r="AS69" i="8"/>
  <c r="AR62" i="8"/>
  <c r="AS47" i="8"/>
  <c r="AS48" i="8"/>
  <c r="AS49" i="8"/>
  <c r="AS51" i="8"/>
  <c r="AS50" i="8"/>
  <c r="AS52" i="8"/>
  <c r="AS58" i="8"/>
  <c r="AS53" i="8"/>
  <c r="AS59" i="8"/>
  <c r="AS54" i="8"/>
  <c r="AS56" i="8"/>
  <c r="AS60" i="8"/>
  <c r="AS61" i="8"/>
  <c r="AS57" i="8"/>
  <c r="AR31" i="8"/>
  <c r="AS29" i="8"/>
  <c r="AS30" i="8"/>
  <c r="AS43" i="8"/>
  <c r="AS42" i="8"/>
  <c r="AT7" i="8"/>
  <c r="AT74" i="8" s="1"/>
  <c r="AG21" i="10"/>
  <c r="AG20" i="10"/>
  <c r="AG19" i="10"/>
  <c r="AG13" i="10"/>
  <c r="AG17" i="10"/>
  <c r="AG15" i="10"/>
  <c r="AH10" i="10"/>
  <c r="AG11" i="10"/>
  <c r="AS10" i="8" l="1"/>
  <c r="AR11" i="8"/>
  <c r="AO41" i="8"/>
  <c r="AO44" i="8" s="1"/>
  <c r="AP40" i="8"/>
  <c r="AT5" i="8"/>
  <c r="AT9" i="8"/>
  <c r="AT20" i="8"/>
  <c r="B107" i="6"/>
  <c r="C106" i="6"/>
  <c r="AT37" i="8"/>
  <c r="AT36" i="8"/>
  <c r="AT111" i="8"/>
  <c r="AT21" i="8"/>
  <c r="AS78" i="8"/>
  <c r="AT92" i="8"/>
  <c r="AT89" i="8"/>
  <c r="AT90" i="8"/>
  <c r="AT91" i="8"/>
  <c r="AT87" i="8"/>
  <c r="AT85" i="8"/>
  <c r="AT86" i="8"/>
  <c r="AT88" i="8"/>
  <c r="AT81" i="8"/>
  <c r="AT77" i="8"/>
  <c r="AT73" i="8"/>
  <c r="AT70" i="8"/>
  <c r="AT76" i="8"/>
  <c r="AT75" i="8"/>
  <c r="AT71" i="8"/>
  <c r="AT72" i="8"/>
  <c r="AT68" i="8"/>
  <c r="AT69" i="8"/>
  <c r="AS62" i="8"/>
  <c r="AT47" i="8"/>
  <c r="AT48" i="8"/>
  <c r="AT50" i="8"/>
  <c r="AT49" i="8"/>
  <c r="AT51" i="8"/>
  <c r="AT52" i="8"/>
  <c r="AT58" i="8"/>
  <c r="AT59" i="8"/>
  <c r="AT53" i="8"/>
  <c r="AT54" i="8"/>
  <c r="AT56" i="8"/>
  <c r="AT57" i="8"/>
  <c r="AT60" i="8"/>
  <c r="AT61" i="8"/>
  <c r="AT29" i="8"/>
  <c r="AT30" i="8"/>
  <c r="AT43" i="8"/>
  <c r="AT42" i="8"/>
  <c r="AS31" i="8"/>
  <c r="AU7" i="8"/>
  <c r="AU74" i="8" s="1"/>
  <c r="AI10" i="10"/>
  <c r="AH19" i="10"/>
  <c r="AH20" i="10"/>
  <c r="AH17" i="10"/>
  <c r="AH21" i="10"/>
  <c r="AH13" i="10"/>
  <c r="AH15" i="10"/>
  <c r="B108" i="6" l="1"/>
  <c r="C107" i="6"/>
  <c r="AP41" i="8"/>
  <c r="AP44" i="8" s="1"/>
  <c r="AQ40" i="8"/>
  <c r="AU5" i="8"/>
  <c r="AU9" i="8"/>
  <c r="AU20" i="8"/>
  <c r="AT10" i="8"/>
  <c r="AS11" i="8"/>
  <c r="AU37" i="8"/>
  <c r="AU36" i="8"/>
  <c r="AU111" i="8"/>
  <c r="AU21" i="8"/>
  <c r="AT78" i="8"/>
  <c r="AU90" i="8"/>
  <c r="AU92" i="8"/>
  <c r="AU91" i="8"/>
  <c r="AU89" i="8"/>
  <c r="AU87" i="8"/>
  <c r="AU85" i="8"/>
  <c r="AU86" i="8"/>
  <c r="AU88" i="8"/>
  <c r="AU81" i="8"/>
  <c r="AT31" i="8"/>
  <c r="AU76" i="8"/>
  <c r="AU77" i="8"/>
  <c r="AU75" i="8"/>
  <c r="AU71" i="8"/>
  <c r="AU72" i="8"/>
  <c r="AU69" i="8"/>
  <c r="AU70" i="8"/>
  <c r="AU73" i="8"/>
  <c r="AU68" i="8"/>
  <c r="AT62" i="8"/>
  <c r="AU47" i="8"/>
  <c r="AU48" i="8"/>
  <c r="AU49" i="8"/>
  <c r="AU50" i="8"/>
  <c r="AU51" i="8"/>
  <c r="AU52" i="8"/>
  <c r="AU58" i="8"/>
  <c r="AU59" i="8"/>
  <c r="AU53" i="8"/>
  <c r="AU54" i="8"/>
  <c r="AU60" i="8"/>
  <c r="AU56" i="8"/>
  <c r="AU57" i="8"/>
  <c r="AU61" i="8"/>
  <c r="AU30" i="8"/>
  <c r="AU29" i="8"/>
  <c r="AU43" i="8"/>
  <c r="AU42" i="8"/>
  <c r="AV7" i="8"/>
  <c r="AV74" i="8" s="1"/>
  <c r="AJ10" i="10"/>
  <c r="AI21" i="10"/>
  <c r="AI20" i="10"/>
  <c r="AI19" i="10"/>
  <c r="AI17" i="10"/>
  <c r="AI13" i="10"/>
  <c r="AI15" i="10"/>
  <c r="AU10" i="8" l="1"/>
  <c r="AT11" i="8"/>
  <c r="AQ41" i="8"/>
  <c r="AQ44" i="8" s="1"/>
  <c r="AR40" i="8"/>
  <c r="AV5" i="8"/>
  <c r="AV9" i="8"/>
  <c r="AV20" i="8"/>
  <c r="B109" i="6"/>
  <c r="C108" i="6"/>
  <c r="AV37" i="8"/>
  <c r="AV36" i="8"/>
  <c r="AV111" i="8"/>
  <c r="AV21" i="8"/>
  <c r="AU78" i="8"/>
  <c r="AV92" i="8"/>
  <c r="AV91" i="8"/>
  <c r="AV89" i="8"/>
  <c r="AV90" i="8"/>
  <c r="AV86" i="8"/>
  <c r="AV88" i="8"/>
  <c r="AV87" i="8"/>
  <c r="AV85" i="8"/>
  <c r="AV81" i="8"/>
  <c r="AV77" i="8"/>
  <c r="AV76" i="8"/>
  <c r="AV71" i="8"/>
  <c r="AV72" i="8"/>
  <c r="AV73" i="8"/>
  <c r="AV70" i="8"/>
  <c r="AV69" i="8"/>
  <c r="AV75" i="8"/>
  <c r="AV68" i="8"/>
  <c r="AU31" i="8"/>
  <c r="AU62" i="8"/>
  <c r="AV47" i="8"/>
  <c r="AV48" i="8"/>
  <c r="AV49" i="8"/>
  <c r="AV50" i="8"/>
  <c r="AV51" i="8"/>
  <c r="AV58" i="8"/>
  <c r="AV52" i="8"/>
  <c r="AV59" i="8"/>
  <c r="AV53" i="8"/>
  <c r="AV54" i="8"/>
  <c r="AV56" i="8"/>
  <c r="AV60" i="8"/>
  <c r="AV61" i="8"/>
  <c r="AV57" i="8"/>
  <c r="AV30" i="8"/>
  <c r="AV29" i="8"/>
  <c r="AV43" i="8"/>
  <c r="AV42" i="8"/>
  <c r="AW7" i="8"/>
  <c r="AW74" i="8" s="1"/>
  <c r="AJ21" i="10"/>
  <c r="AJ20" i="10"/>
  <c r="AJ19" i="10"/>
  <c r="AJ17" i="10"/>
  <c r="AJ13" i="10"/>
  <c r="AJ15" i="10"/>
  <c r="AK10" i="10"/>
  <c r="AJ11" i="10"/>
  <c r="B110" i="6" l="1"/>
  <c r="C109" i="6"/>
  <c r="AR41" i="8"/>
  <c r="AR44" i="8" s="1"/>
  <c r="AS40" i="8"/>
  <c r="AW5" i="8"/>
  <c r="AW9" i="8"/>
  <c r="AW20" i="8"/>
  <c r="AV10" i="8"/>
  <c r="AU11" i="8"/>
  <c r="AW37" i="8"/>
  <c r="AW36" i="8"/>
  <c r="AW111" i="8"/>
  <c r="AW21" i="8"/>
  <c r="AV78" i="8"/>
  <c r="AW92" i="8"/>
  <c r="AW89" i="8"/>
  <c r="AW90" i="8"/>
  <c r="AW91" i="8"/>
  <c r="AW88" i="8"/>
  <c r="AW87" i="8"/>
  <c r="AW85" i="8"/>
  <c r="AW86" i="8"/>
  <c r="AW81" i="8"/>
  <c r="AW76" i="8"/>
  <c r="AW77" i="8"/>
  <c r="AW72" i="8"/>
  <c r="AW73" i="8"/>
  <c r="AW75" i="8"/>
  <c r="AW71" i="8"/>
  <c r="AW68" i="8"/>
  <c r="AW70" i="8"/>
  <c r="AW69" i="8"/>
  <c r="AW47" i="8"/>
  <c r="AW48" i="8"/>
  <c r="AW50" i="8"/>
  <c r="AW49" i="8"/>
  <c r="AW58" i="8"/>
  <c r="AW52" i="8"/>
  <c r="AW51" i="8"/>
  <c r="AW53" i="8"/>
  <c r="AW59" i="8"/>
  <c r="AW54" i="8"/>
  <c r="AW56" i="8"/>
  <c r="AW60" i="8"/>
  <c r="AW61" i="8"/>
  <c r="AW57" i="8"/>
  <c r="AV31" i="8"/>
  <c r="AV62" i="8"/>
  <c r="AW30" i="8"/>
  <c r="AW29" i="8"/>
  <c r="AW43" i="8"/>
  <c r="AW42" i="8"/>
  <c r="AX7" i="8"/>
  <c r="AX74" i="8" s="1"/>
  <c r="AL10" i="10"/>
  <c r="AK21" i="10"/>
  <c r="AK20" i="10"/>
  <c r="AK19" i="10"/>
  <c r="AK13" i="10"/>
  <c r="AK17" i="10"/>
  <c r="AK15" i="10"/>
  <c r="AW10" i="8" l="1"/>
  <c r="AV11" i="8"/>
  <c r="AS41" i="8"/>
  <c r="AS44" i="8" s="1"/>
  <c r="AT40" i="8"/>
  <c r="AX5" i="8"/>
  <c r="AX9" i="8"/>
  <c r="AX20" i="8"/>
  <c r="B111" i="6"/>
  <c r="C110" i="6"/>
  <c r="AX37" i="8"/>
  <c r="AX36" i="8"/>
  <c r="AX111" i="8"/>
  <c r="AX21" i="8"/>
  <c r="AW78" i="8"/>
  <c r="AX92" i="8"/>
  <c r="AX89" i="8"/>
  <c r="AX90" i="8"/>
  <c r="AX91" i="8"/>
  <c r="AX87" i="8"/>
  <c r="AX85" i="8"/>
  <c r="AX88" i="8"/>
  <c r="AX86" i="8"/>
  <c r="AX81" i="8"/>
  <c r="AX77" i="8"/>
  <c r="AX73" i="8"/>
  <c r="AX70" i="8"/>
  <c r="AX75" i="8"/>
  <c r="AX71" i="8"/>
  <c r="AX68" i="8"/>
  <c r="AX76" i="8"/>
  <c r="AX69" i="8"/>
  <c r="AX72" i="8"/>
  <c r="AX47" i="8"/>
  <c r="AX48" i="8"/>
  <c r="AX50" i="8"/>
  <c r="AX51" i="8"/>
  <c r="AX49" i="8"/>
  <c r="AX52" i="8"/>
  <c r="AX58" i="8"/>
  <c r="AX59" i="8"/>
  <c r="AX53" i="8"/>
  <c r="AX54" i="8"/>
  <c r="AX56" i="8"/>
  <c r="AX60" i="8"/>
  <c r="AX57" i="8"/>
  <c r="AX61" i="8"/>
  <c r="AW62" i="8"/>
  <c r="AX29" i="8"/>
  <c r="AX30" i="8"/>
  <c r="AX43" i="8"/>
  <c r="AX42" i="8"/>
  <c r="AW31" i="8"/>
  <c r="AY7" i="8"/>
  <c r="AY74" i="8" s="1"/>
  <c r="AM10" i="10"/>
  <c r="AL20" i="10"/>
  <c r="AL21" i="10"/>
  <c r="AL17" i="10"/>
  <c r="AL13" i="10"/>
  <c r="AL19" i="10"/>
  <c r="AL15" i="10"/>
  <c r="B112" i="6" l="1"/>
  <c r="C111" i="6"/>
  <c r="AT41" i="8"/>
  <c r="AT44" i="8" s="1"/>
  <c r="AU40" i="8"/>
  <c r="AY5" i="8"/>
  <c r="AY9" i="8"/>
  <c r="AY20" i="8"/>
  <c r="AX10" i="8"/>
  <c r="AW11" i="8"/>
  <c r="AY37" i="8"/>
  <c r="AY36" i="8"/>
  <c r="AY111" i="8"/>
  <c r="AY21" i="8"/>
  <c r="AX78" i="8"/>
  <c r="AY92" i="8"/>
  <c r="AY90" i="8"/>
  <c r="AY91" i="8"/>
  <c r="AY87" i="8"/>
  <c r="AY85" i="8"/>
  <c r="AY86" i="8"/>
  <c r="AY89" i="8"/>
  <c r="AY88" i="8"/>
  <c r="AY81" i="8"/>
  <c r="AX62" i="8"/>
  <c r="AY76" i="8"/>
  <c r="AY75" i="8"/>
  <c r="AY71" i="8"/>
  <c r="AY72" i="8"/>
  <c r="AY73" i="8"/>
  <c r="AY69" i="8"/>
  <c r="AY68" i="8"/>
  <c r="AY70" i="8"/>
  <c r="AY77" i="8"/>
  <c r="AY47" i="8"/>
  <c r="AY48" i="8"/>
  <c r="AY49" i="8"/>
  <c r="AY50" i="8"/>
  <c r="AY51" i="8"/>
  <c r="AY58" i="8"/>
  <c r="AY52" i="8"/>
  <c r="AY59" i="8"/>
  <c r="AY53" i="8"/>
  <c r="AY54" i="8"/>
  <c r="AY60" i="8"/>
  <c r="AY56" i="8"/>
  <c r="AY61" i="8"/>
  <c r="AY57" i="8"/>
  <c r="AY30" i="8"/>
  <c r="AY29" i="8"/>
  <c r="AY43" i="8"/>
  <c r="AY42" i="8"/>
  <c r="AX31" i="8"/>
  <c r="AZ7" i="8"/>
  <c r="AZ74" i="8" s="1"/>
  <c r="AM21" i="10"/>
  <c r="AM20" i="10"/>
  <c r="AM19" i="10"/>
  <c r="AM17" i="10"/>
  <c r="AM13" i="10"/>
  <c r="AM15" i="10"/>
  <c r="AN10" i="10"/>
  <c r="AM11" i="10"/>
  <c r="AY10" i="8" l="1"/>
  <c r="AX11" i="8"/>
  <c r="AU41" i="8"/>
  <c r="AU44" i="8" s="1"/>
  <c r="AV40" i="8"/>
  <c r="AZ5" i="8"/>
  <c r="AZ9" i="8"/>
  <c r="AZ20" i="8"/>
  <c r="B113" i="6"/>
  <c r="C112" i="6"/>
  <c r="AZ37" i="8"/>
  <c r="AZ36" i="8"/>
  <c r="AZ111" i="8"/>
  <c r="AZ21" i="8"/>
  <c r="AY78" i="8"/>
  <c r="AZ92" i="8"/>
  <c r="AZ91" i="8"/>
  <c r="AZ89" i="8"/>
  <c r="AZ86" i="8"/>
  <c r="AZ88" i="8"/>
  <c r="AZ90" i="8"/>
  <c r="AZ87" i="8"/>
  <c r="AZ85" i="8"/>
  <c r="AZ81" i="8"/>
  <c r="AZ77" i="8"/>
  <c r="AZ71" i="8"/>
  <c r="AZ72" i="8"/>
  <c r="AZ76" i="8"/>
  <c r="AZ73" i="8"/>
  <c r="AZ70" i="8"/>
  <c r="AZ75" i="8"/>
  <c r="AZ68" i="8"/>
  <c r="AZ69" i="8"/>
  <c r="AZ47" i="8"/>
  <c r="AZ49" i="8"/>
  <c r="AZ48" i="8"/>
  <c r="AZ50" i="8"/>
  <c r="AZ51" i="8"/>
  <c r="AZ52" i="8"/>
  <c r="AZ58" i="8"/>
  <c r="AZ59" i="8"/>
  <c r="AZ53" i="8"/>
  <c r="AZ54" i="8"/>
  <c r="AZ56" i="8"/>
  <c r="AZ60" i="8"/>
  <c r="AZ57" i="8"/>
  <c r="AZ61" i="8"/>
  <c r="AY62" i="8"/>
  <c r="AY31" i="8"/>
  <c r="AZ30" i="8"/>
  <c r="AZ29" i="8"/>
  <c r="AZ43" i="8"/>
  <c r="AZ42" i="8"/>
  <c r="BA7" i="8"/>
  <c r="BA74" i="8" s="1"/>
  <c r="AO10" i="10"/>
  <c r="AN21" i="10"/>
  <c r="AN20" i="10"/>
  <c r="AN19" i="10"/>
  <c r="AN17" i="10"/>
  <c r="AN13" i="10"/>
  <c r="AN15" i="10"/>
  <c r="C113" i="6" l="1"/>
  <c r="B114" i="6"/>
  <c r="AV41" i="8"/>
  <c r="AV44" i="8" s="1"/>
  <c r="AW40" i="8"/>
  <c r="BA5" i="8"/>
  <c r="BA9" i="8"/>
  <c r="BA20" i="8"/>
  <c r="AZ10" i="8"/>
  <c r="AY11" i="8"/>
  <c r="BA37" i="8"/>
  <c r="BA36" i="8"/>
  <c r="BA111" i="8"/>
  <c r="BA21" i="8"/>
  <c r="AZ78" i="8"/>
  <c r="BA92" i="8"/>
  <c r="BA89" i="8"/>
  <c r="BA90" i="8"/>
  <c r="BA88" i="8"/>
  <c r="BA91" i="8"/>
  <c r="BA86" i="8"/>
  <c r="BA87" i="8"/>
  <c r="BA85" i="8"/>
  <c r="BA81" i="8"/>
  <c r="BA76" i="8"/>
  <c r="BA77" i="8"/>
  <c r="BA72" i="8"/>
  <c r="BA73" i="8"/>
  <c r="BA75" i="8"/>
  <c r="BA71" i="8"/>
  <c r="BA70" i="8"/>
  <c r="BA68" i="8"/>
  <c r="BA69" i="8"/>
  <c r="AZ62" i="8"/>
  <c r="BA47" i="8"/>
  <c r="BA49" i="8"/>
  <c r="BA48" i="8"/>
  <c r="BA50" i="8"/>
  <c r="BA58" i="8"/>
  <c r="BA51" i="8"/>
  <c r="BA52" i="8"/>
  <c r="BA59" i="8"/>
  <c r="BA53" i="8"/>
  <c r="BA54" i="8"/>
  <c r="BA60" i="8"/>
  <c r="BA56" i="8"/>
  <c r="BA57" i="8"/>
  <c r="BA61" i="8"/>
  <c r="AZ31" i="8"/>
  <c r="BA29" i="8"/>
  <c r="BA30" i="8"/>
  <c r="BA43" i="8"/>
  <c r="BA42" i="8"/>
  <c r="BB7" i="8"/>
  <c r="BB74" i="8" s="1"/>
  <c r="AP10" i="10"/>
  <c r="AO21" i="10"/>
  <c r="AO20" i="10"/>
  <c r="AO19" i="10"/>
  <c r="AO17" i="10"/>
  <c r="AO13" i="10"/>
  <c r="AO15" i="10"/>
  <c r="BA10" i="8" l="1"/>
  <c r="AZ11" i="8"/>
  <c r="AW41" i="8"/>
  <c r="AW44" i="8" s="1"/>
  <c r="AX40" i="8"/>
  <c r="BB5" i="8"/>
  <c r="BB9" i="8"/>
  <c r="BB20" i="8"/>
  <c r="B115" i="6"/>
  <c r="C114" i="6"/>
  <c r="BB37" i="8"/>
  <c r="BB36" i="8"/>
  <c r="BB111" i="8"/>
  <c r="BB21" i="8"/>
  <c r="BA78" i="8"/>
  <c r="BB92" i="8"/>
  <c r="BB89" i="8"/>
  <c r="BB90" i="8"/>
  <c r="BB91" i="8"/>
  <c r="BB87" i="8"/>
  <c r="BB85" i="8"/>
  <c r="BB86" i="8"/>
  <c r="BB88" i="8"/>
  <c r="BB81" i="8"/>
  <c r="BB77" i="8"/>
  <c r="BB73" i="8"/>
  <c r="BB70" i="8"/>
  <c r="BB76" i="8"/>
  <c r="BB75" i="8"/>
  <c r="BB71" i="8"/>
  <c r="BB68" i="8"/>
  <c r="BB69" i="8"/>
  <c r="BB72" i="8"/>
  <c r="BA62" i="8"/>
  <c r="BB47" i="8"/>
  <c r="BB48" i="8"/>
  <c r="BB51" i="8"/>
  <c r="BB49" i="8"/>
  <c r="BB50" i="8"/>
  <c r="BB52" i="8"/>
  <c r="BB58" i="8"/>
  <c r="BB53" i="8"/>
  <c r="BB59" i="8"/>
  <c r="BB54" i="8"/>
  <c r="BB60" i="8"/>
  <c r="BB56" i="8"/>
  <c r="BB57" i="8"/>
  <c r="BB61" i="8"/>
  <c r="BB29" i="8"/>
  <c r="BB30" i="8"/>
  <c r="BB43" i="8"/>
  <c r="BB42" i="8"/>
  <c r="BA31" i="8"/>
  <c r="BC7" i="8"/>
  <c r="BC74" i="8" s="1"/>
  <c r="AP21" i="10"/>
  <c r="AP17" i="10"/>
  <c r="AP20" i="10"/>
  <c r="AP19" i="10"/>
  <c r="AP13" i="10"/>
  <c r="AP15" i="10"/>
  <c r="AQ10" i="10"/>
  <c r="AP11" i="10"/>
  <c r="B116" i="6" l="1"/>
  <c r="C115" i="6"/>
  <c r="AX41" i="8"/>
  <c r="AX44" i="8" s="1"/>
  <c r="AY40" i="8"/>
  <c r="BC5" i="8"/>
  <c r="BC9" i="8"/>
  <c r="BC20" i="8"/>
  <c r="BB10" i="8"/>
  <c r="BA11" i="8"/>
  <c r="BC37" i="8"/>
  <c r="BC36" i="8"/>
  <c r="BC111" i="8"/>
  <c r="BC21" i="8"/>
  <c r="BB78" i="8"/>
  <c r="BC90" i="8"/>
  <c r="BC91" i="8"/>
  <c r="BC92" i="8"/>
  <c r="BC87" i="8"/>
  <c r="BC85" i="8"/>
  <c r="BC86" i="8"/>
  <c r="BC89" i="8"/>
  <c r="BC88" i="8"/>
  <c r="BC81" i="8"/>
  <c r="BC76" i="8"/>
  <c r="BC75" i="8"/>
  <c r="BC71" i="8"/>
  <c r="BC77" i="8"/>
  <c r="BC72" i="8"/>
  <c r="BC69" i="8"/>
  <c r="BC73" i="8"/>
  <c r="BC70" i="8"/>
  <c r="BC68" i="8"/>
  <c r="BC47" i="8"/>
  <c r="BC48" i="8"/>
  <c r="BC49" i="8"/>
  <c r="BC51" i="8"/>
  <c r="BC50" i="8"/>
  <c r="BC58" i="8"/>
  <c r="BC52" i="8"/>
  <c r="BC59" i="8"/>
  <c r="BC53" i="8"/>
  <c r="BC54" i="8"/>
  <c r="BC56" i="8"/>
  <c r="BC60" i="8"/>
  <c r="BC61" i="8"/>
  <c r="BC57" i="8"/>
  <c r="BB62" i="8"/>
  <c r="BB31" i="8"/>
  <c r="BC30" i="8"/>
  <c r="BC29" i="8"/>
  <c r="BC43" i="8"/>
  <c r="BC42" i="8"/>
  <c r="BD7" i="8"/>
  <c r="BD74" i="8" s="1"/>
  <c r="AR10" i="10"/>
  <c r="AQ21" i="10"/>
  <c r="AQ20" i="10"/>
  <c r="AQ19" i="10"/>
  <c r="AQ17" i="10"/>
  <c r="AQ13" i="10"/>
  <c r="AQ15" i="10"/>
  <c r="BC10" i="8" l="1"/>
  <c r="BB11" i="8"/>
  <c r="AY41" i="8"/>
  <c r="AY44" i="8" s="1"/>
  <c r="AZ40" i="8"/>
  <c r="BD5" i="8"/>
  <c r="BD9" i="8"/>
  <c r="BD20" i="8"/>
  <c r="B117" i="6"/>
  <c r="C116" i="6"/>
  <c r="BD37" i="8"/>
  <c r="BD36" i="8"/>
  <c r="BD111" i="8"/>
  <c r="BD21" i="8"/>
  <c r="BC78" i="8"/>
  <c r="BD92" i="8"/>
  <c r="BD91" i="8"/>
  <c r="BD89" i="8"/>
  <c r="BD86" i="8"/>
  <c r="BD87" i="8"/>
  <c r="BD88" i="8"/>
  <c r="BD90" i="8"/>
  <c r="BD85" i="8"/>
  <c r="BD81" i="8"/>
  <c r="BD77" i="8"/>
  <c r="BD76" i="8"/>
  <c r="BD71" i="8"/>
  <c r="BD72" i="8"/>
  <c r="BD73" i="8"/>
  <c r="BD70" i="8"/>
  <c r="BD75" i="8"/>
  <c r="BD69" i="8"/>
  <c r="BD68" i="8"/>
  <c r="BC62" i="8"/>
  <c r="BD47" i="8"/>
  <c r="BD49" i="8"/>
  <c r="BD48" i="8"/>
  <c r="BD51" i="8"/>
  <c r="BD50" i="8"/>
  <c r="BD58" i="8"/>
  <c r="BD52" i="8"/>
  <c r="BD59" i="8"/>
  <c r="BD53" i="8"/>
  <c r="BD54" i="8"/>
  <c r="BD56" i="8"/>
  <c r="BD60" i="8"/>
  <c r="BD61" i="8"/>
  <c r="BD57" i="8"/>
  <c r="BC31" i="8"/>
  <c r="BD30" i="8"/>
  <c r="BD29" i="8"/>
  <c r="BD43" i="8"/>
  <c r="BD42" i="8"/>
  <c r="BE7" i="8"/>
  <c r="BE74" i="8" s="1"/>
  <c r="AS10" i="10"/>
  <c r="AR21" i="10"/>
  <c r="AR20" i="10"/>
  <c r="AR19" i="10"/>
  <c r="AR17" i="10"/>
  <c r="AR13" i="10"/>
  <c r="AR15" i="10"/>
  <c r="C117" i="6" l="1"/>
  <c r="B118" i="6"/>
  <c r="AZ41" i="8"/>
  <c r="AZ44" i="8" s="1"/>
  <c r="BA40" i="8"/>
  <c r="BE5" i="8"/>
  <c r="BE9" i="8"/>
  <c r="BE20" i="8"/>
  <c r="BD10" i="8"/>
  <c r="BC11" i="8"/>
  <c r="BE37" i="8"/>
  <c r="BE36" i="8"/>
  <c r="BE111" i="8"/>
  <c r="BE21" i="8"/>
  <c r="BD78" i="8"/>
  <c r="BE92" i="8"/>
  <c r="BE89" i="8"/>
  <c r="BE90" i="8"/>
  <c r="BE88" i="8"/>
  <c r="BE91" i="8"/>
  <c r="BE87" i="8"/>
  <c r="BE85" i="8"/>
  <c r="BE86" i="8"/>
  <c r="BE81" i="8"/>
  <c r="BD31" i="8"/>
  <c r="BE76" i="8"/>
  <c r="BE77" i="8"/>
  <c r="BE72" i="8"/>
  <c r="BE73" i="8"/>
  <c r="BE75" i="8"/>
  <c r="BE71" i="8"/>
  <c r="BE68" i="8"/>
  <c r="BE70" i="8"/>
  <c r="BE69" i="8"/>
  <c r="BD62" i="8"/>
  <c r="BE47" i="8"/>
  <c r="BE49" i="8"/>
  <c r="BE48" i="8"/>
  <c r="BE51" i="8"/>
  <c r="BE50" i="8"/>
  <c r="BE58" i="8"/>
  <c r="BE52" i="8"/>
  <c r="BE59" i="8"/>
  <c r="BE53" i="8"/>
  <c r="BE54" i="8"/>
  <c r="BE56" i="8"/>
  <c r="BE60" i="8"/>
  <c r="BE61" i="8"/>
  <c r="BE57" i="8"/>
  <c r="BE30" i="8"/>
  <c r="BE29" i="8"/>
  <c r="BE43" i="8"/>
  <c r="BE42" i="8"/>
  <c r="BF7" i="8"/>
  <c r="BF74" i="8" s="1"/>
  <c r="AS21" i="10"/>
  <c r="AS20" i="10"/>
  <c r="AS19" i="10"/>
  <c r="AS13" i="10"/>
  <c r="AS17" i="10"/>
  <c r="AS15" i="10"/>
  <c r="AS11" i="10"/>
  <c r="AT10" i="10"/>
  <c r="BE10" i="8" l="1"/>
  <c r="BD11" i="8"/>
  <c r="BA41" i="8"/>
  <c r="BA44" i="8" s="1"/>
  <c r="BB40" i="8"/>
  <c r="BF5" i="8"/>
  <c r="BF9" i="8"/>
  <c r="BF20" i="8"/>
  <c r="B119" i="6"/>
  <c r="C118" i="6"/>
  <c r="BF37" i="8"/>
  <c r="BF36" i="8"/>
  <c r="BF111" i="8"/>
  <c r="BF21" i="8"/>
  <c r="BE78" i="8"/>
  <c r="BF92" i="8"/>
  <c r="BF89" i="8"/>
  <c r="BF90" i="8"/>
  <c r="BF91" i="8"/>
  <c r="BF88" i="8"/>
  <c r="BF87" i="8"/>
  <c r="BF85" i="8"/>
  <c r="BF86" i="8"/>
  <c r="BF81" i="8"/>
  <c r="BF77" i="8"/>
  <c r="BF73" i="8"/>
  <c r="BF70" i="8"/>
  <c r="BF75" i="8"/>
  <c r="BF71" i="8"/>
  <c r="BF76" i="8"/>
  <c r="BF68" i="8"/>
  <c r="BF72" i="8"/>
  <c r="BF69" i="8"/>
  <c r="BE62" i="8"/>
  <c r="BF47" i="8"/>
  <c r="BF48" i="8"/>
  <c r="BF49" i="8"/>
  <c r="BF51" i="8"/>
  <c r="BF50" i="8"/>
  <c r="BF58" i="8"/>
  <c r="BF52" i="8"/>
  <c r="BF53" i="8"/>
  <c r="BF59" i="8"/>
  <c r="BF54" i="8"/>
  <c r="BF60" i="8"/>
  <c r="BF56" i="8"/>
  <c r="BF61" i="8"/>
  <c r="BF57" i="8"/>
  <c r="BE31" i="8"/>
  <c r="BF29" i="8"/>
  <c r="BF30" i="8"/>
  <c r="BF43" i="8"/>
  <c r="BF42" i="8"/>
  <c r="BG7" i="8"/>
  <c r="BG74" i="8" s="1"/>
  <c r="AU10" i="10"/>
  <c r="AT19" i="10"/>
  <c r="AT20" i="10"/>
  <c r="AT17" i="10"/>
  <c r="AT13" i="10"/>
  <c r="AT21" i="10"/>
  <c r="AT15" i="10"/>
  <c r="B120" i="6" l="1"/>
  <c r="C119" i="6"/>
  <c r="BB41" i="8"/>
  <c r="BB44" i="8" s="1"/>
  <c r="BC40" i="8"/>
  <c r="BG5" i="8"/>
  <c r="BG9" i="8"/>
  <c r="BG20" i="8"/>
  <c r="BF10" i="8"/>
  <c r="BE11" i="8"/>
  <c r="BG37" i="8"/>
  <c r="BG36" i="8"/>
  <c r="BG111" i="8"/>
  <c r="BG21" i="8"/>
  <c r="BF78" i="8"/>
  <c r="BG90" i="8"/>
  <c r="BG91" i="8"/>
  <c r="BG92" i="8"/>
  <c r="BG87" i="8"/>
  <c r="BG85" i="8"/>
  <c r="BG89" i="8"/>
  <c r="BG86" i="8"/>
  <c r="BG88" i="8"/>
  <c r="BG81" i="8"/>
  <c r="BG76" i="8"/>
  <c r="BG75" i="8"/>
  <c r="BG77" i="8"/>
  <c r="BG71" i="8"/>
  <c r="BG72" i="8"/>
  <c r="BG69" i="8"/>
  <c r="BG70" i="8"/>
  <c r="BG68" i="8"/>
  <c r="BG73" i="8"/>
  <c r="BG47" i="8"/>
  <c r="BG48" i="8"/>
  <c r="BG49" i="8"/>
  <c r="BG50" i="8"/>
  <c r="BG51" i="8"/>
  <c r="BG58" i="8"/>
  <c r="BG52" i="8"/>
  <c r="BG59" i="8"/>
  <c r="BG53" i="8"/>
  <c r="BG54" i="8"/>
  <c r="BG56" i="8"/>
  <c r="BG60" i="8"/>
  <c r="BG61" i="8"/>
  <c r="BG57" i="8"/>
  <c r="BF62" i="8"/>
  <c r="BF31" i="8"/>
  <c r="BG30" i="8"/>
  <c r="BG29" i="8"/>
  <c r="BG43" i="8"/>
  <c r="BG42" i="8"/>
  <c r="BH7" i="8"/>
  <c r="BH74" i="8" s="1"/>
  <c r="AV10" i="10"/>
  <c r="AU21" i="10"/>
  <c r="AU20" i="10"/>
  <c r="AU19" i="10"/>
  <c r="AU17" i="10"/>
  <c r="AU13" i="10"/>
  <c r="AU15" i="10"/>
  <c r="BG10" i="8" l="1"/>
  <c r="BF11" i="8"/>
  <c r="BC41" i="8"/>
  <c r="BC44" i="8" s="1"/>
  <c r="BD40" i="8"/>
  <c r="BH5" i="8"/>
  <c r="BH9" i="8"/>
  <c r="BH20" i="8"/>
  <c r="B121" i="6"/>
  <c r="C120" i="6"/>
  <c r="BH37" i="8"/>
  <c r="BH36" i="8"/>
  <c r="BH111" i="8"/>
  <c r="BH21" i="8"/>
  <c r="BG78" i="8"/>
  <c r="BH92" i="8"/>
  <c r="BH91" i="8"/>
  <c r="BH89" i="8"/>
  <c r="BH86" i="8"/>
  <c r="BH90" i="8"/>
  <c r="BH88" i="8"/>
  <c r="BH87" i="8"/>
  <c r="BH85" i="8"/>
  <c r="BH81" i="8"/>
  <c r="BH77" i="8"/>
  <c r="BH71" i="8"/>
  <c r="BH72" i="8"/>
  <c r="BH76" i="8"/>
  <c r="BH73" i="8"/>
  <c r="BH70" i="8"/>
  <c r="BH69" i="8"/>
  <c r="BH68" i="8"/>
  <c r="BH75" i="8"/>
  <c r="BH47" i="8"/>
  <c r="BH48" i="8"/>
  <c r="BH49" i="8"/>
  <c r="BH50" i="8"/>
  <c r="BH52" i="8"/>
  <c r="BH58" i="8"/>
  <c r="BH51" i="8"/>
  <c r="BH53" i="8"/>
  <c r="BH59" i="8"/>
  <c r="BH54" i="8"/>
  <c r="BH56" i="8"/>
  <c r="BH60" i="8"/>
  <c r="BH61" i="8"/>
  <c r="BH57" i="8"/>
  <c r="BG62" i="8"/>
  <c r="BG31" i="8"/>
  <c r="BH30" i="8"/>
  <c r="BH29" i="8"/>
  <c r="BH43" i="8"/>
  <c r="BH42" i="8"/>
  <c r="BI7" i="8"/>
  <c r="BI74" i="8" s="1"/>
  <c r="AV21" i="10"/>
  <c r="AV20" i="10"/>
  <c r="AV19" i="10"/>
  <c r="AV17" i="10"/>
  <c r="AV13" i="10"/>
  <c r="AV15" i="10"/>
  <c r="AW10" i="10"/>
  <c r="AV11" i="10"/>
  <c r="C121" i="6" l="1"/>
  <c r="B122" i="6"/>
  <c r="BD41" i="8"/>
  <c r="BD44" i="8" s="1"/>
  <c r="BE40" i="8"/>
  <c r="BI5" i="8"/>
  <c r="BI9" i="8"/>
  <c r="BI20" i="8"/>
  <c r="BH10" i="8"/>
  <c r="BG11" i="8"/>
  <c r="BI37" i="8"/>
  <c r="BI36" i="8"/>
  <c r="BI111" i="8"/>
  <c r="BI21" i="8"/>
  <c r="BH78" i="8"/>
  <c r="BI92" i="8"/>
  <c r="BI89" i="8"/>
  <c r="BI90" i="8"/>
  <c r="BI88" i="8"/>
  <c r="BI91" i="8"/>
  <c r="BI86" i="8"/>
  <c r="BI87" i="8"/>
  <c r="BI85" i="8"/>
  <c r="BI81" i="8"/>
  <c r="BI76" i="8"/>
  <c r="BI77" i="8"/>
  <c r="BI72" i="8"/>
  <c r="BI73" i="8"/>
  <c r="BI75" i="8"/>
  <c r="BI70" i="8"/>
  <c r="BI68" i="8"/>
  <c r="BI71" i="8"/>
  <c r="BI69" i="8"/>
  <c r="BH62" i="8"/>
  <c r="BI47" i="8"/>
  <c r="BI48" i="8"/>
  <c r="BI50" i="8"/>
  <c r="BI49" i="8"/>
  <c r="BI51" i="8"/>
  <c r="BI58" i="8"/>
  <c r="BI52" i="8"/>
  <c r="BI53" i="8"/>
  <c r="BI59" i="8"/>
  <c r="BI54" i="8"/>
  <c r="BI60" i="8"/>
  <c r="BI56" i="8"/>
  <c r="BI57" i="8"/>
  <c r="BI61" i="8"/>
  <c r="BH31" i="8"/>
  <c r="BI29" i="8"/>
  <c r="BI30" i="8"/>
  <c r="BI43" i="8"/>
  <c r="BI42" i="8"/>
  <c r="BJ7" i="8"/>
  <c r="BJ74" i="8" s="1"/>
  <c r="AX10" i="10"/>
  <c r="AW21" i="10"/>
  <c r="AW20" i="10"/>
  <c r="AW19" i="10"/>
  <c r="AW13" i="10"/>
  <c r="AW17" i="10"/>
  <c r="AW15" i="10"/>
  <c r="BI10" i="8" l="1"/>
  <c r="BH11" i="8"/>
  <c r="BE41" i="8"/>
  <c r="BE44" i="8" s="1"/>
  <c r="BF40" i="8"/>
  <c r="C122" i="6"/>
  <c r="B123" i="6"/>
  <c r="BJ5" i="8"/>
  <c r="BJ9" i="8"/>
  <c r="BJ20" i="8"/>
  <c r="BJ37" i="8"/>
  <c r="BJ36" i="8"/>
  <c r="BJ111" i="8"/>
  <c r="BJ21" i="8"/>
  <c r="BI78" i="8"/>
  <c r="BJ92" i="8"/>
  <c r="BJ89" i="8"/>
  <c r="BJ90" i="8"/>
  <c r="BJ91" i="8"/>
  <c r="BJ87" i="8"/>
  <c r="BJ85" i="8"/>
  <c r="BJ88" i="8"/>
  <c r="BJ86" i="8"/>
  <c r="BJ81" i="8"/>
  <c r="BJ77" i="8"/>
  <c r="BJ73" i="8"/>
  <c r="BJ70" i="8"/>
  <c r="BJ76" i="8"/>
  <c r="BJ75" i="8"/>
  <c r="BJ71" i="8"/>
  <c r="BJ72" i="8"/>
  <c r="BJ68" i="8"/>
  <c r="BJ69" i="8"/>
  <c r="BJ47" i="8"/>
  <c r="BJ48" i="8"/>
  <c r="BJ50" i="8"/>
  <c r="BJ49" i="8"/>
  <c r="BJ51" i="8"/>
  <c r="BJ58" i="8"/>
  <c r="BJ52" i="8"/>
  <c r="BJ53" i="8"/>
  <c r="BJ59" i="8"/>
  <c r="BJ54" i="8"/>
  <c r="BJ60" i="8"/>
  <c r="BJ56" i="8"/>
  <c r="BJ57" i="8"/>
  <c r="BJ61" i="8"/>
  <c r="BI62" i="8"/>
  <c r="BI31" i="8"/>
  <c r="BJ29" i="8"/>
  <c r="BJ30" i="8"/>
  <c r="BJ43" i="8"/>
  <c r="BJ42" i="8"/>
  <c r="BK7" i="8"/>
  <c r="BK74" i="8" s="1"/>
  <c r="AY10" i="10"/>
  <c r="AX19" i="10"/>
  <c r="AX17" i="10"/>
  <c r="AX20" i="10"/>
  <c r="AX21" i="10"/>
  <c r="AX13" i="10"/>
  <c r="AX15" i="10"/>
  <c r="BF41" i="8" l="1"/>
  <c r="BF44" i="8" s="1"/>
  <c r="BG40" i="8"/>
  <c r="B124" i="6"/>
  <c r="C123" i="6"/>
  <c r="BK5" i="8"/>
  <c r="BK9" i="8"/>
  <c r="BK20" i="8"/>
  <c r="BJ10" i="8"/>
  <c r="BI11" i="8"/>
  <c r="BK37" i="8"/>
  <c r="BK36" i="8"/>
  <c r="BK111" i="8"/>
  <c r="BK21" i="8"/>
  <c r="BJ78" i="8"/>
  <c r="BK90" i="8"/>
  <c r="BK92" i="8"/>
  <c r="BK91" i="8"/>
  <c r="BK89" i="8"/>
  <c r="BK87" i="8"/>
  <c r="BK85" i="8"/>
  <c r="BK86" i="8"/>
  <c r="BK88" i="8"/>
  <c r="BK81" i="8"/>
  <c r="BJ31" i="8"/>
  <c r="BK76" i="8"/>
  <c r="BK77" i="8"/>
  <c r="BK75" i="8"/>
  <c r="BK71" i="8"/>
  <c r="BK72" i="8"/>
  <c r="BK69" i="8"/>
  <c r="BK70" i="8"/>
  <c r="BK68" i="8"/>
  <c r="BK73" i="8"/>
  <c r="BK47" i="8"/>
  <c r="BK48" i="8"/>
  <c r="BK49" i="8"/>
  <c r="BK50" i="8"/>
  <c r="BK51" i="8"/>
  <c r="BK52" i="8"/>
  <c r="BK58" i="8"/>
  <c r="BK53" i="8"/>
  <c r="BK59" i="8"/>
  <c r="BK54" i="8"/>
  <c r="BK60" i="8"/>
  <c r="BK56" i="8"/>
  <c r="BK61" i="8"/>
  <c r="BK57" i="8"/>
  <c r="BJ62" i="8"/>
  <c r="BK30" i="8"/>
  <c r="BK29" i="8"/>
  <c r="BK43" i="8"/>
  <c r="BK42" i="8"/>
  <c r="BL7" i="8"/>
  <c r="BL74" i="8" s="1"/>
  <c r="AY21" i="10"/>
  <c r="AY20" i="10"/>
  <c r="AY19" i="10"/>
  <c r="AY17" i="10"/>
  <c r="AY13" i="10"/>
  <c r="AY15" i="10"/>
  <c r="AZ10" i="10"/>
  <c r="AY11" i="10"/>
  <c r="BK10" i="8" l="1"/>
  <c r="BJ11" i="8"/>
  <c r="C124" i="6"/>
  <c r="B125" i="6"/>
  <c r="BG41" i="8"/>
  <c r="BG44" i="8" s="1"/>
  <c r="BH40" i="8"/>
  <c r="BL5" i="8"/>
  <c r="BL9" i="8"/>
  <c r="BL20" i="8"/>
  <c r="BL37" i="8"/>
  <c r="BL36" i="8"/>
  <c r="BL111" i="8"/>
  <c r="BL21" i="8"/>
  <c r="BK78" i="8"/>
  <c r="BL92" i="8"/>
  <c r="BL91" i="8"/>
  <c r="BL89" i="8"/>
  <c r="BL90" i="8"/>
  <c r="BL86" i="8"/>
  <c r="BL88" i="8"/>
  <c r="BL87" i="8"/>
  <c r="BL85" i="8"/>
  <c r="BL81" i="8"/>
  <c r="BL77" i="8"/>
  <c r="BL76" i="8"/>
  <c r="BL71" i="8"/>
  <c r="BL72" i="8"/>
  <c r="BL73" i="8"/>
  <c r="BL70" i="8"/>
  <c r="BL69" i="8"/>
  <c r="BL75" i="8"/>
  <c r="BL68" i="8"/>
  <c r="BK62" i="8"/>
  <c r="BL47" i="8"/>
  <c r="BL48" i="8"/>
  <c r="BL49" i="8"/>
  <c r="BL50" i="8"/>
  <c r="BL51" i="8"/>
  <c r="BL58" i="8"/>
  <c r="BL52" i="8"/>
  <c r="BL53" i="8"/>
  <c r="BL59" i="8"/>
  <c r="BL54" i="8"/>
  <c r="BL60" i="8"/>
  <c r="BL56" i="8"/>
  <c r="BL57" i="8"/>
  <c r="BL61" i="8"/>
  <c r="BL30" i="8"/>
  <c r="BL29" i="8"/>
  <c r="BL43" i="8"/>
  <c r="BL42" i="8"/>
  <c r="BK31" i="8"/>
  <c r="BM7" i="8"/>
  <c r="BM74" i="8" s="1"/>
  <c r="BA10" i="10"/>
  <c r="AZ21" i="10"/>
  <c r="AZ20" i="10"/>
  <c r="AZ19" i="10"/>
  <c r="AZ17" i="10"/>
  <c r="AZ13" i="10"/>
  <c r="AZ15" i="10"/>
  <c r="C125" i="6" l="1"/>
  <c r="B126" i="6"/>
  <c r="BH41" i="8"/>
  <c r="BH44" i="8" s="1"/>
  <c r="BI40" i="8"/>
  <c r="BM5" i="8"/>
  <c r="BM9" i="8"/>
  <c r="BM20" i="8"/>
  <c r="BL10" i="8"/>
  <c r="BK11" i="8"/>
  <c r="BM37" i="8"/>
  <c r="BM36" i="8"/>
  <c r="BM111" i="8"/>
  <c r="BM21" i="8"/>
  <c r="BL78" i="8"/>
  <c r="BM92" i="8"/>
  <c r="BM89" i="8"/>
  <c r="BM90" i="8"/>
  <c r="BM91" i="8"/>
  <c r="BM88" i="8"/>
  <c r="BM87" i="8"/>
  <c r="BM85" i="8"/>
  <c r="BM86" i="8"/>
  <c r="BM81" i="8"/>
  <c r="BL31" i="8"/>
  <c r="BM76" i="8"/>
  <c r="BM77" i="8"/>
  <c r="BM72" i="8"/>
  <c r="BM73" i="8"/>
  <c r="BM75" i="8"/>
  <c r="BM71" i="8"/>
  <c r="BM68" i="8"/>
  <c r="BM70" i="8"/>
  <c r="BM69" i="8"/>
  <c r="BL62" i="8"/>
  <c r="BM47" i="8"/>
  <c r="BM48" i="8"/>
  <c r="BM49" i="8"/>
  <c r="BM50" i="8"/>
  <c r="BM51" i="8"/>
  <c r="BM52" i="8"/>
  <c r="BM58" i="8"/>
  <c r="BM59" i="8"/>
  <c r="BM53" i="8"/>
  <c r="BM54" i="8"/>
  <c r="BM60" i="8"/>
  <c r="BM56" i="8"/>
  <c r="BM61" i="8"/>
  <c r="BM57" i="8"/>
  <c r="BM30" i="8"/>
  <c r="BM29" i="8"/>
  <c r="BM43" i="8"/>
  <c r="BM42" i="8"/>
  <c r="BN7" i="8"/>
  <c r="BN74" i="8" s="1"/>
  <c r="BB10" i="10"/>
  <c r="BA21" i="10"/>
  <c r="BA20" i="10"/>
  <c r="BA19" i="10"/>
  <c r="BA13" i="10"/>
  <c r="BA17" i="10"/>
  <c r="BA15" i="10"/>
  <c r="BM10" i="8" l="1"/>
  <c r="BL11" i="8"/>
  <c r="BI41" i="8"/>
  <c r="BI44" i="8" s="1"/>
  <c r="BJ40" i="8"/>
  <c r="B127" i="6"/>
  <c r="C126" i="6"/>
  <c r="BN5" i="8"/>
  <c r="BN9" i="8"/>
  <c r="BN20" i="8"/>
  <c r="BN37" i="8"/>
  <c r="BN36" i="8"/>
  <c r="BN111" i="8"/>
  <c r="BN21" i="8"/>
  <c r="BM78" i="8"/>
  <c r="BN92" i="8"/>
  <c r="BN89" i="8"/>
  <c r="BN90" i="8"/>
  <c r="BN91" i="8"/>
  <c r="BN87" i="8"/>
  <c r="BN85" i="8"/>
  <c r="BN86" i="8"/>
  <c r="BN88" i="8"/>
  <c r="BN81" i="8"/>
  <c r="BN77" i="8"/>
  <c r="BN73" i="8"/>
  <c r="BN70" i="8"/>
  <c r="BN75" i="8"/>
  <c r="BN71" i="8"/>
  <c r="BN68" i="8"/>
  <c r="BN72" i="8"/>
  <c r="BN69" i="8"/>
  <c r="BN76" i="8"/>
  <c r="BM31" i="8"/>
  <c r="BM62" i="8"/>
  <c r="BN47" i="8"/>
  <c r="BN48" i="8"/>
  <c r="BN50" i="8"/>
  <c r="BN51" i="8"/>
  <c r="BN49" i="8"/>
  <c r="BN58" i="8"/>
  <c r="BN52" i="8"/>
  <c r="BN59" i="8"/>
  <c r="BN53" i="8"/>
  <c r="BN54" i="8"/>
  <c r="BN56" i="8"/>
  <c r="BN60" i="8"/>
  <c r="BN61" i="8"/>
  <c r="BN57" i="8"/>
  <c r="BN29" i="8"/>
  <c r="BN30" i="8"/>
  <c r="BN43" i="8"/>
  <c r="BN42" i="8"/>
  <c r="BO7" i="8"/>
  <c r="BO74" i="8" s="1"/>
  <c r="BB11" i="10"/>
  <c r="BB20" i="10"/>
  <c r="BB19" i="10"/>
  <c r="BB21" i="10"/>
  <c r="BB17" i="10"/>
  <c r="BB13" i="10"/>
  <c r="BB15" i="10"/>
  <c r="BC10" i="10"/>
  <c r="BJ41" i="8" l="1"/>
  <c r="BJ44" i="8" s="1"/>
  <c r="BK40" i="8"/>
  <c r="BO5" i="8"/>
  <c r="BO9" i="8"/>
  <c r="BO20" i="8"/>
  <c r="B128" i="6"/>
  <c r="C127" i="6"/>
  <c r="BN10" i="8"/>
  <c r="BM11" i="8"/>
  <c r="BO37" i="8"/>
  <c r="BO36" i="8"/>
  <c r="BO111" i="8"/>
  <c r="BO21" i="8"/>
  <c r="BN78" i="8"/>
  <c r="BO92" i="8"/>
  <c r="BO90" i="8"/>
  <c r="BO91" i="8"/>
  <c r="BO87" i="8"/>
  <c r="BO85" i="8"/>
  <c r="BO86" i="8"/>
  <c r="BO88" i="8"/>
  <c r="BO89" i="8"/>
  <c r="BO81" i="8"/>
  <c r="BO76" i="8"/>
  <c r="BO75" i="8"/>
  <c r="BO71" i="8"/>
  <c r="BO72" i="8"/>
  <c r="BO73" i="8"/>
  <c r="BO69" i="8"/>
  <c r="BO77" i="8"/>
  <c r="BO70" i="8"/>
  <c r="BO68" i="8"/>
  <c r="BO47" i="8"/>
  <c r="BO48" i="8"/>
  <c r="BO49" i="8"/>
  <c r="BO50" i="8"/>
  <c r="BO51" i="8"/>
  <c r="BO52" i="8"/>
  <c r="BO58" i="8"/>
  <c r="BO53" i="8"/>
  <c r="BO59" i="8"/>
  <c r="BO54" i="8"/>
  <c r="BO56" i="8"/>
  <c r="BO60" i="8"/>
  <c r="BO57" i="8"/>
  <c r="BO61" i="8"/>
  <c r="BN62" i="8"/>
  <c r="BN31" i="8"/>
  <c r="BO30" i="8"/>
  <c r="BO29" i="8"/>
  <c r="BO43" i="8"/>
  <c r="BO42" i="8"/>
  <c r="BP7" i="8"/>
  <c r="BP74" i="8" s="1"/>
  <c r="BD10" i="10"/>
  <c r="BC21" i="10"/>
  <c r="BC20" i="10"/>
  <c r="BC19" i="10"/>
  <c r="BC17" i="10"/>
  <c r="BC13" i="10"/>
  <c r="BC15" i="10"/>
  <c r="BO10" i="8" l="1"/>
  <c r="BN11" i="8"/>
  <c r="B129" i="6"/>
  <c r="C128" i="6"/>
  <c r="BK41" i="8"/>
  <c r="BK44" i="8" s="1"/>
  <c r="BL40" i="8"/>
  <c r="BP5" i="8"/>
  <c r="BP9" i="8"/>
  <c r="BP20" i="8"/>
  <c r="BP37" i="8"/>
  <c r="BP36" i="8"/>
  <c r="BP111" i="8"/>
  <c r="BP21" i="8"/>
  <c r="BO78" i="8"/>
  <c r="BP92" i="8"/>
  <c r="BP91" i="8"/>
  <c r="BP89" i="8"/>
  <c r="BP86" i="8"/>
  <c r="BP87" i="8"/>
  <c r="BP88" i="8"/>
  <c r="BP90" i="8"/>
  <c r="BP85" i="8"/>
  <c r="BP81" i="8"/>
  <c r="BP65" i="8"/>
  <c r="BP77" i="8"/>
  <c r="BP71" i="8"/>
  <c r="BP72" i="8"/>
  <c r="BP76" i="8"/>
  <c r="BP73" i="8"/>
  <c r="BP70" i="8"/>
  <c r="BP75" i="8"/>
  <c r="BP68" i="8"/>
  <c r="BP69" i="8"/>
  <c r="BP47" i="8"/>
  <c r="BP49" i="8"/>
  <c r="BP48" i="8"/>
  <c r="BP50" i="8"/>
  <c r="BP52" i="8"/>
  <c r="BP51" i="8"/>
  <c r="BP58" i="8"/>
  <c r="BP53" i="8"/>
  <c r="BP59" i="8"/>
  <c r="BP54" i="8"/>
  <c r="BP60" i="8"/>
  <c r="BP57" i="8"/>
  <c r="BP56" i="8"/>
  <c r="BP61" i="8"/>
  <c r="BO62" i="8"/>
  <c r="BO31" i="8"/>
  <c r="BP30" i="8"/>
  <c r="BP29" i="8"/>
  <c r="BP43" i="8"/>
  <c r="BP42" i="8"/>
  <c r="BQ7" i="8"/>
  <c r="BQ74" i="8" s="1"/>
  <c r="BE10" i="10"/>
  <c r="BD21" i="10"/>
  <c r="BD20" i="10"/>
  <c r="BD19" i="10"/>
  <c r="BD17" i="10"/>
  <c r="BD13" i="10"/>
  <c r="BD15" i="10"/>
  <c r="B130" i="6" l="1"/>
  <c r="C129" i="6"/>
  <c r="BL41" i="8"/>
  <c r="BL44" i="8" s="1"/>
  <c r="BM40" i="8"/>
  <c r="BQ5" i="8"/>
  <c r="BQ9" i="8"/>
  <c r="BQ20" i="8"/>
  <c r="BP10" i="8"/>
  <c r="BO11" i="8"/>
  <c r="BQ37" i="8"/>
  <c r="BQ36" i="8"/>
  <c r="BQ111" i="8"/>
  <c r="BQ21" i="8"/>
  <c r="BP78" i="8"/>
  <c r="BQ92" i="8"/>
  <c r="BQ89" i="8"/>
  <c r="BQ90" i="8"/>
  <c r="BQ88" i="8"/>
  <c r="BQ86" i="8"/>
  <c r="BQ87" i="8"/>
  <c r="BQ85" i="8"/>
  <c r="BQ91" i="8"/>
  <c r="BQ81" i="8"/>
  <c r="BQ65" i="8"/>
  <c r="BQ76" i="8"/>
  <c r="BQ77" i="8"/>
  <c r="BQ72" i="8"/>
  <c r="BQ73" i="8"/>
  <c r="BQ75" i="8"/>
  <c r="BQ71" i="8"/>
  <c r="BQ70" i="8"/>
  <c r="BQ68" i="8"/>
  <c r="BQ69" i="8"/>
  <c r="BP62" i="8"/>
  <c r="BQ47" i="8"/>
  <c r="BQ48" i="8"/>
  <c r="BQ49" i="8"/>
  <c r="BQ50" i="8"/>
  <c r="BQ58" i="8"/>
  <c r="BQ52" i="8"/>
  <c r="BQ51" i="8"/>
  <c r="BQ53" i="8"/>
  <c r="BQ59" i="8"/>
  <c r="BQ54" i="8"/>
  <c r="BQ60" i="8"/>
  <c r="BQ56" i="8"/>
  <c r="BQ57" i="8"/>
  <c r="BQ61" i="8"/>
  <c r="BP31" i="8"/>
  <c r="BQ29" i="8"/>
  <c r="BQ30" i="8"/>
  <c r="BQ43" i="8"/>
  <c r="BQ42" i="8"/>
  <c r="BR7" i="8"/>
  <c r="BR74" i="8" s="1"/>
  <c r="BE21" i="10"/>
  <c r="BE20" i="10"/>
  <c r="BE19" i="10"/>
  <c r="BE13" i="10"/>
  <c r="BE17" i="10"/>
  <c r="BE15" i="10"/>
  <c r="BF10" i="10"/>
  <c r="BE11" i="10"/>
  <c r="BQ10" i="8" l="1"/>
  <c r="BP11" i="8"/>
  <c r="BM41" i="8"/>
  <c r="BM44" i="8" s="1"/>
  <c r="BN40" i="8"/>
  <c r="BR5" i="8"/>
  <c r="BR9" i="8"/>
  <c r="BR20" i="8"/>
  <c r="C130" i="6"/>
  <c r="B131" i="6"/>
  <c r="BR37" i="8"/>
  <c r="BR36" i="8"/>
  <c r="BR111" i="8"/>
  <c r="BR21" i="8"/>
  <c r="BQ78" i="8"/>
  <c r="BR92" i="8"/>
  <c r="BR89" i="8"/>
  <c r="BR90" i="8"/>
  <c r="BR91" i="8"/>
  <c r="BR88" i="8"/>
  <c r="BR87" i="8"/>
  <c r="BR85" i="8"/>
  <c r="BR86" i="8"/>
  <c r="BR81" i="8"/>
  <c r="BR65" i="8"/>
  <c r="BR77" i="8"/>
  <c r="BR73" i="8"/>
  <c r="BR70" i="8"/>
  <c r="BR76" i="8"/>
  <c r="BR75" i="8"/>
  <c r="BR71" i="8"/>
  <c r="BR68" i="8"/>
  <c r="BR69" i="8"/>
  <c r="BR72" i="8"/>
  <c r="BQ62" i="8"/>
  <c r="BR47" i="8"/>
  <c r="BR49" i="8"/>
  <c r="BR48" i="8"/>
  <c r="BR50" i="8"/>
  <c r="BR51" i="8"/>
  <c r="BR52" i="8"/>
  <c r="BR58" i="8"/>
  <c r="BR59" i="8"/>
  <c r="BR53" i="8"/>
  <c r="BR54" i="8"/>
  <c r="BR60" i="8"/>
  <c r="BR56" i="8"/>
  <c r="BR57" i="8"/>
  <c r="BR61" i="8"/>
  <c r="BQ31" i="8"/>
  <c r="BR29" i="8"/>
  <c r="BR30" i="8"/>
  <c r="BR43" i="8"/>
  <c r="BR42" i="8"/>
  <c r="BS7" i="8"/>
  <c r="BS74" i="8" s="1"/>
  <c r="BG10" i="10"/>
  <c r="BF21" i="10"/>
  <c r="BF17" i="10"/>
  <c r="BF19" i="10"/>
  <c r="BF13" i="10"/>
  <c r="BF20" i="10"/>
  <c r="BF15" i="10"/>
  <c r="BN41" i="8" l="1"/>
  <c r="BN44" i="8" s="1"/>
  <c r="BO40" i="8"/>
  <c r="BS5" i="8"/>
  <c r="BS9" i="8"/>
  <c r="BS20" i="8"/>
  <c r="B132" i="6"/>
  <c r="C131" i="6"/>
  <c r="BR10" i="8"/>
  <c r="BQ11" i="8"/>
  <c r="BS37" i="8"/>
  <c r="BS36" i="8"/>
  <c r="BS111" i="8"/>
  <c r="BS21" i="8"/>
  <c r="BR78" i="8"/>
  <c r="BS90" i="8"/>
  <c r="BS91" i="8"/>
  <c r="BS87" i="8"/>
  <c r="BS85" i="8"/>
  <c r="BS86" i="8"/>
  <c r="BS92" i="8"/>
  <c r="BS89" i="8"/>
  <c r="BS88" i="8"/>
  <c r="BS81" i="8"/>
  <c r="BS65" i="8"/>
  <c r="BS76" i="8"/>
  <c r="BS75" i="8"/>
  <c r="BS71" i="8"/>
  <c r="BS77" i="8"/>
  <c r="BS72" i="8"/>
  <c r="BS69" i="8"/>
  <c r="BS70" i="8"/>
  <c r="BS68" i="8"/>
  <c r="BS73" i="8"/>
  <c r="BR62" i="8"/>
  <c r="BS47" i="8"/>
  <c r="BS48" i="8"/>
  <c r="BS49" i="8"/>
  <c r="BS51" i="8"/>
  <c r="BS50" i="8"/>
  <c r="BS52" i="8"/>
  <c r="BS58" i="8"/>
  <c r="BS53" i="8"/>
  <c r="BS59" i="8"/>
  <c r="BS54" i="8"/>
  <c r="BS60" i="8"/>
  <c r="BS56" i="8"/>
  <c r="BS61" i="8"/>
  <c r="BS57" i="8"/>
  <c r="BS29" i="8"/>
  <c r="BS30" i="8"/>
  <c r="BS43" i="8"/>
  <c r="BS42" i="8"/>
  <c r="BR31" i="8"/>
  <c r="BT7" i="8"/>
  <c r="BT74" i="8" s="1"/>
  <c r="BH10" i="10"/>
  <c r="BG21" i="10"/>
  <c r="BG20" i="10"/>
  <c r="BG19" i="10"/>
  <c r="BG17" i="10"/>
  <c r="BG13" i="10"/>
  <c r="BG15" i="10"/>
  <c r="BS10" i="8" l="1"/>
  <c r="BR11" i="8"/>
  <c r="BT5" i="8"/>
  <c r="BT9" i="8"/>
  <c r="BT20" i="8"/>
  <c r="B133" i="6"/>
  <c r="C132" i="6"/>
  <c r="BO41" i="8"/>
  <c r="BO44" i="8" s="1"/>
  <c r="BP40" i="8"/>
  <c r="BT37" i="8"/>
  <c r="BT36" i="8"/>
  <c r="BT111" i="8"/>
  <c r="BT21" i="8"/>
  <c r="BS78" i="8"/>
  <c r="BT95" i="8"/>
  <c r="BT91" i="8"/>
  <c r="BT92" i="8"/>
  <c r="BT89" i="8"/>
  <c r="BT86" i="8"/>
  <c r="BT88" i="8"/>
  <c r="BT87" i="8"/>
  <c r="BT90" i="8"/>
  <c r="BT85" i="8"/>
  <c r="BT81" i="8"/>
  <c r="BT65" i="8"/>
  <c r="BT77" i="8"/>
  <c r="BT76" i="8"/>
  <c r="BT71" i="8"/>
  <c r="BT72" i="8"/>
  <c r="BT73" i="8"/>
  <c r="BT70" i="8"/>
  <c r="BT75" i="8"/>
  <c r="BT69" i="8"/>
  <c r="BT68" i="8"/>
  <c r="BS62" i="8"/>
  <c r="BT47" i="8"/>
  <c r="BT49" i="8"/>
  <c r="BT48" i="8"/>
  <c r="BT50" i="8"/>
  <c r="BT51" i="8"/>
  <c r="BT52" i="8"/>
  <c r="BT58" i="8"/>
  <c r="BT59" i="8"/>
  <c r="BT53" i="8"/>
  <c r="BT54" i="8"/>
  <c r="BT56" i="8"/>
  <c r="BT60" i="8"/>
  <c r="BT57" i="8"/>
  <c r="BT61" i="8"/>
  <c r="BT30" i="8"/>
  <c r="BT29" i="8"/>
  <c r="BT43" i="8"/>
  <c r="BT42" i="8"/>
  <c r="BS31" i="8"/>
  <c r="BU7" i="8"/>
  <c r="BU74" i="8" s="1"/>
  <c r="BH21" i="10"/>
  <c r="BH20" i="10"/>
  <c r="BH19" i="10"/>
  <c r="BH17" i="10"/>
  <c r="BH13" i="10"/>
  <c r="BH15" i="10"/>
  <c r="BI10" i="10"/>
  <c r="BH11" i="10"/>
  <c r="B134" i="6" l="1"/>
  <c r="C133" i="6"/>
  <c r="BU5" i="8"/>
  <c r="BU9" i="8"/>
  <c r="BU20" i="8"/>
  <c r="BP41" i="8"/>
  <c r="BP44" i="8" s="1"/>
  <c r="BQ40" i="8"/>
  <c r="BT10" i="8"/>
  <c r="BS11" i="8"/>
  <c r="BU37" i="8"/>
  <c r="BU36" i="8"/>
  <c r="BU111" i="8"/>
  <c r="BU21" i="8"/>
  <c r="BU95" i="8"/>
  <c r="BT78" i="8"/>
  <c r="BU92" i="8"/>
  <c r="BU91" i="8"/>
  <c r="BU89" i="8"/>
  <c r="BU90" i="8"/>
  <c r="BU88" i="8"/>
  <c r="BU87" i="8"/>
  <c r="BU85" i="8"/>
  <c r="BU86" i="8"/>
  <c r="BU81" i="8"/>
  <c r="BU65" i="8"/>
  <c r="BU76" i="8"/>
  <c r="BU77" i="8"/>
  <c r="BU72" i="8"/>
  <c r="BU73" i="8"/>
  <c r="BU75" i="8"/>
  <c r="BU68" i="8"/>
  <c r="BU71" i="8"/>
  <c r="BU70" i="8"/>
  <c r="BU69" i="8"/>
  <c r="BU47" i="8"/>
  <c r="BU48" i="8"/>
  <c r="BU49" i="8"/>
  <c r="BU51" i="8"/>
  <c r="BU50" i="8"/>
  <c r="BU52" i="8"/>
  <c r="BU58" i="8"/>
  <c r="BU53" i="8"/>
  <c r="BU59" i="8"/>
  <c r="BU54" i="8"/>
  <c r="BU60" i="8"/>
  <c r="BU56" i="8"/>
  <c r="BU61" i="8"/>
  <c r="BU57" i="8"/>
  <c r="BT62" i="8"/>
  <c r="BT31" i="8"/>
  <c r="BU29" i="8"/>
  <c r="BU30" i="8"/>
  <c r="BU43" i="8"/>
  <c r="BU42" i="8"/>
  <c r="BV7" i="8"/>
  <c r="BV74" i="8" s="1"/>
  <c r="BJ10" i="10"/>
  <c r="BI21" i="10"/>
  <c r="BI20" i="10"/>
  <c r="BI19" i="10"/>
  <c r="BI17" i="10"/>
  <c r="BI13" i="10"/>
  <c r="BI15" i="10"/>
  <c r="BU10" i="8" l="1"/>
  <c r="BT11" i="8"/>
  <c r="BQ41" i="8"/>
  <c r="BQ44" i="8" s="1"/>
  <c r="BR40" i="8"/>
  <c r="BV5" i="8"/>
  <c r="BV9" i="8"/>
  <c r="BV20" i="8"/>
  <c r="B135" i="6"/>
  <c r="C134" i="6"/>
  <c r="BV37" i="8"/>
  <c r="BV36" i="8"/>
  <c r="BV111" i="8"/>
  <c r="BV21" i="8"/>
  <c r="BV95" i="8"/>
  <c r="BU78" i="8"/>
  <c r="BV92" i="8"/>
  <c r="BV89" i="8"/>
  <c r="BV90" i="8"/>
  <c r="BV87" i="8"/>
  <c r="BV85" i="8"/>
  <c r="BV88" i="8"/>
  <c r="BV91" i="8"/>
  <c r="BV86" i="8"/>
  <c r="BV81" i="8"/>
  <c r="BV65" i="8"/>
  <c r="BV77" i="8"/>
  <c r="BV73" i="8"/>
  <c r="BV70" i="8"/>
  <c r="BV75" i="8"/>
  <c r="BV71" i="8"/>
  <c r="BV68" i="8"/>
  <c r="BV72" i="8"/>
  <c r="BV69" i="8"/>
  <c r="BV76" i="8"/>
  <c r="BU62" i="8"/>
  <c r="BV47" i="8"/>
  <c r="BV48" i="8"/>
  <c r="BV49" i="8"/>
  <c r="BV50" i="8"/>
  <c r="BV52" i="8"/>
  <c r="BV51" i="8"/>
  <c r="BV58" i="8"/>
  <c r="BV53" i="8"/>
  <c r="BV59" i="8"/>
  <c r="BV54" i="8"/>
  <c r="BV60" i="8"/>
  <c r="BV56" i="8"/>
  <c r="BV57" i="8"/>
  <c r="BV61" i="8"/>
  <c r="BU31" i="8"/>
  <c r="BV29" i="8"/>
  <c r="BV30" i="8"/>
  <c r="BV43" i="8"/>
  <c r="BV42" i="8"/>
  <c r="BW7" i="8"/>
  <c r="BW74" i="8" s="1"/>
  <c r="BK10" i="10"/>
  <c r="BJ19" i="10"/>
  <c r="BJ20" i="10"/>
  <c r="BJ17" i="10"/>
  <c r="BJ13" i="10"/>
  <c r="BJ21" i="10"/>
  <c r="BJ15" i="10"/>
  <c r="C135" i="6" l="1"/>
  <c r="B136" i="6"/>
  <c r="BR41" i="8"/>
  <c r="BR44" i="8" s="1"/>
  <c r="BS40" i="8"/>
  <c r="BW5" i="8"/>
  <c r="BW9" i="8"/>
  <c r="BW20" i="8"/>
  <c r="BV10" i="8"/>
  <c r="BU11" i="8"/>
  <c r="BW37" i="8"/>
  <c r="BW36" i="8"/>
  <c r="BW111" i="8"/>
  <c r="BW21" i="8"/>
  <c r="BW95" i="8"/>
  <c r="BV78" i="8"/>
  <c r="BW90" i="8"/>
  <c r="BW92" i="8"/>
  <c r="BW91" i="8"/>
  <c r="BW87" i="8"/>
  <c r="BW85" i="8"/>
  <c r="BW89" i="8"/>
  <c r="BW86" i="8"/>
  <c r="BW88" i="8"/>
  <c r="BW81" i="8"/>
  <c r="BW65" i="8"/>
  <c r="BW76" i="8"/>
  <c r="BW75" i="8"/>
  <c r="BW77" i="8"/>
  <c r="BW71" i="8"/>
  <c r="BW72" i="8"/>
  <c r="BW69" i="8"/>
  <c r="BW68" i="8"/>
  <c r="BW70" i="8"/>
  <c r="BW73" i="8"/>
  <c r="BV62" i="8"/>
  <c r="BW47" i="8"/>
  <c r="BW48" i="8"/>
  <c r="BW49" i="8"/>
  <c r="BW51" i="8"/>
  <c r="BW50" i="8"/>
  <c r="BW52" i="8"/>
  <c r="BW58" i="8"/>
  <c r="BW59" i="8"/>
  <c r="BW53" i="8"/>
  <c r="BW54" i="8"/>
  <c r="BW56" i="8"/>
  <c r="BW60" i="8"/>
  <c r="BW57" i="8"/>
  <c r="BW61" i="8"/>
  <c r="BW29" i="8"/>
  <c r="BW30" i="8"/>
  <c r="BW43" i="8"/>
  <c r="BW42" i="8"/>
  <c r="BV31" i="8"/>
  <c r="BX7" i="8"/>
  <c r="BX74" i="8" s="1"/>
  <c r="BK21" i="10"/>
  <c r="BK20" i="10"/>
  <c r="BK19" i="10"/>
  <c r="BK17" i="10"/>
  <c r="BK13" i="10"/>
  <c r="BK15" i="10"/>
  <c r="BK11" i="10"/>
  <c r="BL10" i="10"/>
  <c r="BX5" i="8" l="1"/>
  <c r="BX9" i="8"/>
  <c r="BX20" i="8"/>
  <c r="BW10" i="8"/>
  <c r="BV11" i="8"/>
  <c r="BS41" i="8"/>
  <c r="BS44" i="8" s="1"/>
  <c r="BT40" i="8"/>
  <c r="B137" i="6"/>
  <c r="C136" i="6"/>
  <c r="BX37" i="8"/>
  <c r="BX36" i="8"/>
  <c r="BX111" i="8"/>
  <c r="BX21" i="8"/>
  <c r="BW78" i="8"/>
  <c r="BX95" i="8"/>
  <c r="BX91" i="8"/>
  <c r="BX92" i="8"/>
  <c r="BX89" i="8"/>
  <c r="BX86" i="8"/>
  <c r="BX90" i="8"/>
  <c r="BX88" i="8"/>
  <c r="BX87" i="8"/>
  <c r="BX85" i="8"/>
  <c r="BX81" i="8"/>
  <c r="BX65" i="8"/>
  <c r="BX77" i="8"/>
  <c r="BX71" i="8"/>
  <c r="BX72" i="8"/>
  <c r="BX76" i="8"/>
  <c r="BX73" i="8"/>
  <c r="BX70" i="8"/>
  <c r="BX75" i="8"/>
  <c r="BX69" i="8"/>
  <c r="BX68" i="8"/>
  <c r="BX47" i="8"/>
  <c r="BX48" i="8"/>
  <c r="BX49" i="8"/>
  <c r="BX50" i="8"/>
  <c r="BX58" i="8"/>
  <c r="BX52" i="8"/>
  <c r="BX51" i="8"/>
  <c r="BX59" i="8"/>
  <c r="BX53" i="8"/>
  <c r="BX54" i="8"/>
  <c r="BX56" i="8"/>
  <c r="BX60" i="8"/>
  <c r="BX61" i="8"/>
  <c r="BX57" i="8"/>
  <c r="BW62" i="8"/>
  <c r="BW31" i="8"/>
  <c r="BX30" i="8"/>
  <c r="BX29" i="8"/>
  <c r="BX43" i="8"/>
  <c r="BX42" i="8"/>
  <c r="BY7" i="8"/>
  <c r="BY74" i="8" s="1"/>
  <c r="BM10" i="10"/>
  <c r="BL21" i="10"/>
  <c r="BL20" i="10"/>
  <c r="BL19" i="10"/>
  <c r="BL17" i="10"/>
  <c r="BL13" i="10"/>
  <c r="BL15" i="10"/>
  <c r="B138" i="6" l="1"/>
  <c r="C137" i="6"/>
  <c r="BX10" i="8"/>
  <c r="BW11" i="8"/>
  <c r="BT41" i="8"/>
  <c r="BT44" i="8" s="1"/>
  <c r="BU40" i="8"/>
  <c r="BY5" i="8"/>
  <c r="BY9" i="8"/>
  <c r="BY20" i="8"/>
  <c r="BY37" i="8"/>
  <c r="BY36" i="8"/>
  <c r="BY111" i="8"/>
  <c r="BY21" i="8"/>
  <c r="BY95" i="8"/>
  <c r="BX78" i="8"/>
  <c r="BY92" i="8"/>
  <c r="BY91" i="8"/>
  <c r="BY89" i="8"/>
  <c r="BY90" i="8"/>
  <c r="BY88" i="8"/>
  <c r="BY86" i="8"/>
  <c r="BY87" i="8"/>
  <c r="BY85" i="8"/>
  <c r="BY81" i="8"/>
  <c r="BY65" i="8"/>
  <c r="BY76" i="8"/>
  <c r="BY77" i="8"/>
  <c r="BY72" i="8"/>
  <c r="BY73" i="8"/>
  <c r="BY75" i="8"/>
  <c r="BY70" i="8"/>
  <c r="BY68" i="8"/>
  <c r="BY71" i="8"/>
  <c r="BY69" i="8"/>
  <c r="BX62" i="8"/>
  <c r="BY47" i="8"/>
  <c r="BY48" i="8"/>
  <c r="BY50" i="8"/>
  <c r="BY49" i="8"/>
  <c r="BY51" i="8"/>
  <c r="BY58" i="8"/>
  <c r="BY52" i="8"/>
  <c r="BY59" i="8"/>
  <c r="BY53" i="8"/>
  <c r="BY54" i="8"/>
  <c r="BY56" i="8"/>
  <c r="BY60" i="8"/>
  <c r="BY57" i="8"/>
  <c r="BY61" i="8"/>
  <c r="BX31" i="8"/>
  <c r="BY29" i="8"/>
  <c r="BY30" i="8"/>
  <c r="BY43" i="8"/>
  <c r="BY42" i="8"/>
  <c r="BZ7" i="8"/>
  <c r="BZ74" i="8" s="1"/>
  <c r="BN10" i="10"/>
  <c r="BM21" i="10"/>
  <c r="BM20" i="10"/>
  <c r="BM19" i="10"/>
  <c r="BM13" i="10"/>
  <c r="BM17" i="10"/>
  <c r="BM15" i="10"/>
  <c r="BY10" i="8" l="1"/>
  <c r="BX11" i="8"/>
  <c r="BU41" i="8"/>
  <c r="BU44" i="8" s="1"/>
  <c r="BV40" i="8"/>
  <c r="BZ5" i="8"/>
  <c r="BZ9" i="8"/>
  <c r="BZ20" i="8"/>
  <c r="B139" i="6"/>
  <c r="C138" i="6"/>
  <c r="BZ37" i="8"/>
  <c r="BZ36" i="8"/>
  <c r="BZ111" i="8"/>
  <c r="BZ21" i="8"/>
  <c r="BY78" i="8"/>
  <c r="BZ95" i="8"/>
  <c r="BZ92" i="8"/>
  <c r="BZ91" i="8"/>
  <c r="BZ89" i="8"/>
  <c r="BZ90" i="8"/>
  <c r="BZ87" i="8"/>
  <c r="BZ85" i="8"/>
  <c r="BZ86" i="8"/>
  <c r="BZ88" i="8"/>
  <c r="BZ81" i="8"/>
  <c r="BZ65" i="8"/>
  <c r="BZ77" i="8"/>
  <c r="BZ73" i="8"/>
  <c r="BZ70" i="8"/>
  <c r="BZ76" i="8"/>
  <c r="BZ75" i="8"/>
  <c r="BZ71" i="8"/>
  <c r="BZ72" i="8"/>
  <c r="BZ68" i="8"/>
  <c r="BZ69" i="8"/>
  <c r="BY62" i="8"/>
  <c r="BZ47" i="8"/>
  <c r="BZ48" i="8"/>
  <c r="BZ50" i="8"/>
  <c r="BZ49" i="8"/>
  <c r="BZ51" i="8"/>
  <c r="BZ52" i="8"/>
  <c r="BZ58" i="8"/>
  <c r="BZ53" i="8"/>
  <c r="BZ59" i="8"/>
  <c r="BZ54" i="8"/>
  <c r="BZ56" i="8"/>
  <c r="BZ60" i="8"/>
  <c r="BZ57" i="8"/>
  <c r="BZ61" i="8"/>
  <c r="BZ29" i="8"/>
  <c r="BZ30" i="8"/>
  <c r="BZ43" i="8"/>
  <c r="BZ42" i="8"/>
  <c r="BY31" i="8"/>
  <c r="CA7" i="8"/>
  <c r="CA74" i="8" s="1"/>
  <c r="BN19" i="10"/>
  <c r="BN17" i="10"/>
  <c r="BN20" i="10"/>
  <c r="BN21" i="10"/>
  <c r="BN13" i="10"/>
  <c r="BN15" i="10"/>
  <c r="BO10" i="10"/>
  <c r="BN11" i="10"/>
  <c r="C139" i="6" l="1"/>
  <c r="B140" i="6"/>
  <c r="BV41" i="8"/>
  <c r="BV44" i="8" s="1"/>
  <c r="BW40" i="8"/>
  <c r="CA5" i="8"/>
  <c r="CA9" i="8"/>
  <c r="CA20" i="8"/>
  <c r="BZ10" i="8"/>
  <c r="BY11" i="8"/>
  <c r="CA37" i="8"/>
  <c r="CA36" i="8"/>
  <c r="CA111" i="8"/>
  <c r="CA21" i="8"/>
  <c r="BZ78" i="8"/>
  <c r="CA95" i="8"/>
  <c r="CA90" i="8"/>
  <c r="CA92" i="8"/>
  <c r="CA89" i="8"/>
  <c r="CA87" i="8"/>
  <c r="CA85" i="8"/>
  <c r="CA91" i="8"/>
  <c r="CA86" i="8"/>
  <c r="CA88" i="8"/>
  <c r="CA81" i="8"/>
  <c r="CA65" i="8"/>
  <c r="CA76" i="8"/>
  <c r="CA77" i="8"/>
  <c r="CA75" i="8"/>
  <c r="CA71" i="8"/>
  <c r="CA72" i="8"/>
  <c r="CA69" i="8"/>
  <c r="CA73" i="8"/>
  <c r="CA70" i="8"/>
  <c r="CA68" i="8"/>
  <c r="CA47" i="8"/>
  <c r="CA48" i="8"/>
  <c r="CA49" i="8"/>
  <c r="CA50" i="8"/>
  <c r="CA58" i="8"/>
  <c r="CA51" i="8"/>
  <c r="CA52" i="8"/>
  <c r="CA59" i="8"/>
  <c r="CA53" i="8"/>
  <c r="CA54" i="8"/>
  <c r="CA60" i="8"/>
  <c r="CA56" i="8"/>
  <c r="CA61" i="8"/>
  <c r="CA57" i="8"/>
  <c r="BZ62" i="8"/>
  <c r="CA29" i="8"/>
  <c r="CA30" i="8"/>
  <c r="CA43" i="8"/>
  <c r="CA42" i="8"/>
  <c r="BZ31" i="8"/>
  <c r="CB7" i="8"/>
  <c r="CB74" i="8" s="1"/>
  <c r="BP10" i="10"/>
  <c r="BO21" i="10"/>
  <c r="BO20" i="10"/>
  <c r="BO19" i="10"/>
  <c r="BO17" i="10"/>
  <c r="BO13" i="10"/>
  <c r="BO15" i="10"/>
  <c r="CA10" i="8" l="1"/>
  <c r="BZ11" i="8"/>
  <c r="BW41" i="8"/>
  <c r="BW44" i="8" s="1"/>
  <c r="BX40" i="8"/>
  <c r="CB5" i="8"/>
  <c r="CB9" i="8"/>
  <c r="CB20" i="8"/>
  <c r="C140" i="6"/>
  <c r="B141" i="6"/>
  <c r="CB37" i="8"/>
  <c r="CB36" i="8"/>
  <c r="CB111" i="8"/>
  <c r="CB21" i="8"/>
  <c r="CB95" i="8"/>
  <c r="CA78" i="8"/>
  <c r="CB91" i="8"/>
  <c r="CB92" i="8"/>
  <c r="CB89" i="8"/>
  <c r="CB90" i="8"/>
  <c r="CB86" i="8"/>
  <c r="CB87" i="8"/>
  <c r="CB88" i="8"/>
  <c r="CB85" i="8"/>
  <c r="CB81" i="8"/>
  <c r="CB65" i="8"/>
  <c r="CB77" i="8"/>
  <c r="CB76" i="8"/>
  <c r="CB71" i="8"/>
  <c r="CB72" i="8"/>
  <c r="CB73" i="8"/>
  <c r="CB70" i="8"/>
  <c r="CB75" i="8"/>
  <c r="CB68" i="8"/>
  <c r="CB69" i="8"/>
  <c r="CA62" i="8"/>
  <c r="CB47" i="8"/>
  <c r="CB48" i="8"/>
  <c r="CB49" i="8"/>
  <c r="CB50" i="8"/>
  <c r="CB51" i="8"/>
  <c r="CB58" i="8"/>
  <c r="CB52" i="8"/>
  <c r="CB53" i="8"/>
  <c r="CB59" i="8"/>
  <c r="CB54" i="8"/>
  <c r="CB56" i="8"/>
  <c r="CB60" i="8"/>
  <c r="CB57" i="8"/>
  <c r="CB61" i="8"/>
  <c r="CA31" i="8"/>
  <c r="CB29" i="8"/>
  <c r="CB30" i="8"/>
  <c r="CB43" i="8"/>
  <c r="CB42" i="8"/>
  <c r="CC7" i="8"/>
  <c r="CC74" i="8" s="1"/>
  <c r="BP21" i="10"/>
  <c r="BP20" i="10"/>
  <c r="BP19" i="10"/>
  <c r="BP17" i="10"/>
  <c r="BP13" i="10"/>
  <c r="BP15" i="10"/>
  <c r="BX41" i="8" l="1"/>
  <c r="BX44" i="8" s="1"/>
  <c r="BY40" i="8"/>
  <c r="CC5" i="8"/>
  <c r="CC9" i="8"/>
  <c r="CC20" i="8"/>
  <c r="B142" i="6"/>
  <c r="C141" i="6"/>
  <c r="CB10" i="8"/>
  <c r="CA11" i="8"/>
  <c r="CC37" i="8"/>
  <c r="CC36" i="8"/>
  <c r="CC111" i="8"/>
  <c r="CC21" i="8"/>
  <c r="CB78" i="8"/>
  <c r="CC95" i="8"/>
  <c r="CC92" i="8"/>
  <c r="CC89" i="8"/>
  <c r="CC91" i="8"/>
  <c r="CC90" i="8"/>
  <c r="CC88" i="8"/>
  <c r="CC86" i="8"/>
  <c r="CC87" i="8"/>
  <c r="CC85" i="8"/>
  <c r="CC81" i="8"/>
  <c r="CC65" i="8"/>
  <c r="CC76" i="8"/>
  <c r="CC77" i="8"/>
  <c r="CC72" i="8"/>
  <c r="CC73" i="8"/>
  <c r="CC75" i="8"/>
  <c r="CC71" i="8"/>
  <c r="CC68" i="8"/>
  <c r="CC70" i="8"/>
  <c r="CC69" i="8"/>
  <c r="CB62" i="8"/>
  <c r="CC47" i="8"/>
  <c r="CC48" i="8"/>
  <c r="CC49" i="8"/>
  <c r="CC51" i="8"/>
  <c r="CC50" i="8"/>
  <c r="CC58" i="8"/>
  <c r="CC52" i="8"/>
  <c r="CC59" i="8"/>
  <c r="CC53" i="8"/>
  <c r="CC54" i="8"/>
  <c r="CC60" i="8"/>
  <c r="CC56" i="8"/>
  <c r="CC61" i="8"/>
  <c r="CC57" i="8"/>
  <c r="CB31" i="8"/>
  <c r="CC30" i="8"/>
  <c r="CC29" i="8"/>
  <c r="CC43" i="8"/>
  <c r="CC42" i="8"/>
  <c r="CD7" i="8"/>
  <c r="CD74" i="8" s="1"/>
  <c r="CD5" i="8" l="1"/>
  <c r="CD9" i="8"/>
  <c r="CD20" i="8"/>
  <c r="CC10" i="8"/>
  <c r="CB11" i="8"/>
  <c r="B143" i="6"/>
  <c r="C142" i="6"/>
  <c r="BY41" i="8"/>
  <c r="BY44" i="8" s="1"/>
  <c r="BZ40" i="8"/>
  <c r="CD37" i="8"/>
  <c r="CD36" i="8"/>
  <c r="CD111" i="8"/>
  <c r="CD21" i="8"/>
  <c r="CC78" i="8"/>
  <c r="CD95" i="8"/>
  <c r="CD92" i="8"/>
  <c r="CD89" i="8"/>
  <c r="CD91" i="8"/>
  <c r="CD90" i="8"/>
  <c r="CD87" i="8"/>
  <c r="CD85" i="8"/>
  <c r="CD88" i="8"/>
  <c r="CD86" i="8"/>
  <c r="CD81" i="8"/>
  <c r="CD65" i="8"/>
  <c r="CD77" i="8"/>
  <c r="CD73" i="8"/>
  <c r="CD70" i="8"/>
  <c r="CD75" i="8"/>
  <c r="CD71" i="8"/>
  <c r="CD68" i="8"/>
  <c r="CD76" i="8"/>
  <c r="CD69" i="8"/>
  <c r="CD72" i="8"/>
  <c r="CC62" i="8"/>
  <c r="CD47" i="8"/>
  <c r="CD48" i="8"/>
  <c r="CD49" i="8"/>
  <c r="CD51" i="8"/>
  <c r="CD50" i="8"/>
  <c r="CD52" i="8"/>
  <c r="CD58" i="8"/>
  <c r="CD59" i="8"/>
  <c r="CD53" i="8"/>
  <c r="CD54" i="8"/>
  <c r="CD60" i="8"/>
  <c r="CD56" i="8"/>
  <c r="CD61" i="8"/>
  <c r="CD57" i="8"/>
  <c r="CC31" i="8"/>
  <c r="CD29" i="8"/>
  <c r="CD30" i="8"/>
  <c r="CD43" i="8"/>
  <c r="CD42" i="8"/>
  <c r="CE7" i="8"/>
  <c r="CE74" i="8" s="1"/>
  <c r="CD10" i="8" l="1"/>
  <c r="CC11" i="8"/>
  <c r="B144" i="6"/>
  <c r="C143" i="6"/>
  <c r="CE5" i="8"/>
  <c r="CE9" i="8"/>
  <c r="CE20" i="8"/>
  <c r="BZ41" i="8"/>
  <c r="BZ44" i="8" s="1"/>
  <c r="CA40" i="8"/>
  <c r="CE37" i="8"/>
  <c r="CE36" i="8"/>
  <c r="CE111" i="8"/>
  <c r="CE21" i="8"/>
  <c r="CE95" i="8"/>
  <c r="CD78" i="8"/>
  <c r="CE92" i="8"/>
  <c r="CE91" i="8"/>
  <c r="CE90" i="8"/>
  <c r="CE87" i="8"/>
  <c r="CE85" i="8"/>
  <c r="CE86" i="8"/>
  <c r="CE88" i="8"/>
  <c r="CE89" i="8"/>
  <c r="CE81" i="8"/>
  <c r="CE65" i="8"/>
  <c r="CD31" i="8"/>
  <c r="CE76" i="8"/>
  <c r="CE75" i="8"/>
  <c r="CE71" i="8"/>
  <c r="CE72" i="8"/>
  <c r="CE77" i="8"/>
  <c r="CE73" i="8"/>
  <c r="CE69" i="8"/>
  <c r="CE70" i="8"/>
  <c r="CE68" i="8"/>
  <c r="CD62" i="8"/>
  <c r="CE47" i="8"/>
  <c r="CE48" i="8"/>
  <c r="CE49" i="8"/>
  <c r="CE50" i="8"/>
  <c r="CE51" i="8"/>
  <c r="CE58" i="8"/>
  <c r="CE52" i="8"/>
  <c r="CE53" i="8"/>
  <c r="CE59" i="8"/>
  <c r="CE54" i="8"/>
  <c r="CE57" i="8"/>
  <c r="CE56" i="8"/>
  <c r="CE60" i="8"/>
  <c r="CE61" i="8"/>
  <c r="CE29" i="8"/>
  <c r="CE30" i="8"/>
  <c r="CE43" i="8"/>
  <c r="CE42" i="8"/>
  <c r="CF7" i="8"/>
  <c r="CF74" i="8" s="1"/>
  <c r="C144" i="6" l="1"/>
  <c r="B145" i="6"/>
  <c r="CF5" i="8"/>
  <c r="CF9" i="8"/>
  <c r="CF20" i="8"/>
  <c r="CA41" i="8"/>
  <c r="CA44" i="8" s="1"/>
  <c r="CB40" i="8"/>
  <c r="CE10" i="8"/>
  <c r="CD11" i="8"/>
  <c r="CF37" i="8"/>
  <c r="CF36" i="8"/>
  <c r="CF111" i="8"/>
  <c r="CF21" i="8"/>
  <c r="CF95" i="8"/>
  <c r="CE78" i="8"/>
  <c r="CF91" i="8"/>
  <c r="CF92" i="8"/>
  <c r="CF89" i="8"/>
  <c r="CF86" i="8"/>
  <c r="CF88" i="8"/>
  <c r="CF90" i="8"/>
  <c r="CF87" i="8"/>
  <c r="CF85" i="8"/>
  <c r="CF81" i="8"/>
  <c r="CF65" i="8"/>
  <c r="CF77" i="8"/>
  <c r="CF71" i="8"/>
  <c r="CF72" i="8"/>
  <c r="CF76" i="8"/>
  <c r="CF73" i="8"/>
  <c r="CF70" i="8"/>
  <c r="CF75" i="8"/>
  <c r="CF69" i="8"/>
  <c r="CF68" i="8"/>
  <c r="CE62" i="8"/>
  <c r="CF47" i="8"/>
  <c r="CF49" i="8"/>
  <c r="CF48" i="8"/>
  <c r="CF50" i="8"/>
  <c r="CF51" i="8"/>
  <c r="CF58" i="8"/>
  <c r="CF59" i="8"/>
  <c r="CF52" i="8"/>
  <c r="CF53" i="8"/>
  <c r="CF54" i="8"/>
  <c r="CF56" i="8"/>
  <c r="CF60" i="8"/>
  <c r="CF61" i="8"/>
  <c r="CF57" i="8"/>
  <c r="CE31" i="8"/>
  <c r="CF29" i="8"/>
  <c r="CF30" i="8"/>
  <c r="CF43" i="8"/>
  <c r="CF42" i="8"/>
  <c r="CG7" i="8"/>
  <c r="CG74" i="8" s="1"/>
  <c r="CF10" i="8" l="1"/>
  <c r="CE11" i="8"/>
  <c r="CB41" i="8"/>
  <c r="CB44" i="8" s="1"/>
  <c r="CC40" i="8"/>
  <c r="B146" i="6"/>
  <c r="C145" i="6"/>
  <c r="CG5" i="8"/>
  <c r="CG9" i="8"/>
  <c r="CG20" i="8"/>
  <c r="CG37" i="8"/>
  <c r="CG36" i="8"/>
  <c r="CG111" i="8"/>
  <c r="CG21" i="8"/>
  <c r="CG95" i="8"/>
  <c r="CF78" i="8"/>
  <c r="CG92" i="8"/>
  <c r="CG89" i="8"/>
  <c r="CG90" i="8"/>
  <c r="CG91" i="8"/>
  <c r="CG88" i="8"/>
  <c r="CG87" i="8"/>
  <c r="CG85" i="8"/>
  <c r="CG86" i="8"/>
  <c r="CG81" i="8"/>
  <c r="CG65" i="8"/>
  <c r="CG76" i="8"/>
  <c r="CG77" i="8"/>
  <c r="CG72" i="8"/>
  <c r="CG73" i="8"/>
  <c r="CG75" i="8"/>
  <c r="CG71" i="8"/>
  <c r="CG70" i="8"/>
  <c r="CG68" i="8"/>
  <c r="CG69" i="8"/>
  <c r="CG47" i="8"/>
  <c r="CG49" i="8"/>
  <c r="CG48" i="8"/>
  <c r="CG50" i="8"/>
  <c r="CG58" i="8"/>
  <c r="CG52" i="8"/>
  <c r="CG59" i="8"/>
  <c r="CG51" i="8"/>
  <c r="CG53" i="8"/>
  <c r="CG54" i="8"/>
  <c r="CG56" i="8"/>
  <c r="CG60" i="8"/>
  <c r="CG57" i="8"/>
  <c r="CG61" i="8"/>
  <c r="CF31" i="8"/>
  <c r="CF62" i="8"/>
  <c r="CG29" i="8"/>
  <c r="CG30" i="8"/>
  <c r="CG43" i="8"/>
  <c r="CG42" i="8"/>
  <c r="CH7" i="8"/>
  <c r="CH74" i="8" s="1"/>
  <c r="CC41" i="8" l="1"/>
  <c r="CC44" i="8" s="1"/>
  <c r="CD40" i="8"/>
  <c r="CH5" i="8"/>
  <c r="CH9" i="8"/>
  <c r="CH20" i="8"/>
  <c r="B147" i="6"/>
  <c r="C146" i="6"/>
  <c r="CG10" i="8"/>
  <c r="CF11" i="8"/>
  <c r="CH37" i="8"/>
  <c r="CH36" i="8"/>
  <c r="CH111" i="8"/>
  <c r="CH21" i="8"/>
  <c r="CG78" i="8"/>
  <c r="CH95" i="8"/>
  <c r="CH92" i="8"/>
  <c r="CH89" i="8"/>
  <c r="CH90" i="8"/>
  <c r="CH91" i="8"/>
  <c r="CH88" i="8"/>
  <c r="CH87" i="8"/>
  <c r="CH85" i="8"/>
  <c r="CH86" i="8"/>
  <c r="CH81" i="8"/>
  <c r="CH65" i="8"/>
  <c r="CH77" i="8"/>
  <c r="CH73" i="8"/>
  <c r="CH70" i="8"/>
  <c r="CH76" i="8"/>
  <c r="CH75" i="8"/>
  <c r="CH71" i="8"/>
  <c r="CH68" i="8"/>
  <c r="CH69" i="8"/>
  <c r="CH72" i="8"/>
  <c r="CG31" i="8"/>
  <c r="CH47" i="8"/>
  <c r="CH48" i="8"/>
  <c r="CH49" i="8"/>
  <c r="CH51" i="8"/>
  <c r="CH50" i="8"/>
  <c r="CH52" i="8"/>
  <c r="CH58" i="8"/>
  <c r="CH59" i="8"/>
  <c r="CH53" i="8"/>
  <c r="CH54" i="8"/>
  <c r="CH56" i="8"/>
  <c r="CH57" i="8"/>
  <c r="CH60" i="8"/>
  <c r="CH61" i="8"/>
  <c r="CG62" i="8"/>
  <c r="CH29" i="8"/>
  <c r="CH30" i="8"/>
  <c r="CH43" i="8"/>
  <c r="CH42" i="8"/>
  <c r="CI7" i="8"/>
  <c r="CI74" i="8" s="1"/>
  <c r="CI5" i="8" l="1"/>
  <c r="CI9" i="8"/>
  <c r="CI20" i="8"/>
  <c r="CH10" i="8"/>
  <c r="CG11" i="8"/>
  <c r="C147" i="6"/>
  <c r="B148" i="6"/>
  <c r="CD41" i="8"/>
  <c r="CD44" i="8" s="1"/>
  <c r="CE40" i="8"/>
  <c r="CI37" i="8"/>
  <c r="CI36" i="8"/>
  <c r="CI111" i="8"/>
  <c r="CI21" i="8"/>
  <c r="CI95" i="8"/>
  <c r="CH78" i="8"/>
  <c r="CI90" i="8"/>
  <c r="CI91" i="8"/>
  <c r="CI87" i="8"/>
  <c r="CI85" i="8"/>
  <c r="CI86" i="8"/>
  <c r="CI92" i="8"/>
  <c r="CI89" i="8"/>
  <c r="CI88" i="8"/>
  <c r="CI81" i="8"/>
  <c r="CI65" i="8"/>
  <c r="CI76" i="8"/>
  <c r="CI75" i="8"/>
  <c r="CI71" i="8"/>
  <c r="CI77" i="8"/>
  <c r="CI72" i="8"/>
  <c r="CI69" i="8"/>
  <c r="CI73" i="8"/>
  <c r="CI70" i="8"/>
  <c r="CI68" i="8"/>
  <c r="CI47" i="8"/>
  <c r="CI48" i="8"/>
  <c r="CI49" i="8"/>
  <c r="CI51" i="8"/>
  <c r="CI50" i="8"/>
  <c r="CI58" i="8"/>
  <c r="CI52" i="8"/>
  <c r="CI59" i="8"/>
  <c r="CI53" i="8"/>
  <c r="CI54" i="8"/>
  <c r="CI60" i="8"/>
  <c r="CI56" i="8"/>
  <c r="CI61" i="8"/>
  <c r="CI57" i="8"/>
  <c r="CH31" i="8"/>
  <c r="CH62" i="8"/>
  <c r="CI29" i="8"/>
  <c r="CI30" i="8"/>
  <c r="CI43" i="8"/>
  <c r="CI42" i="8"/>
  <c r="CJ7" i="8"/>
  <c r="CJ74" i="8" s="1"/>
  <c r="CI10" i="8" l="1"/>
  <c r="CH11" i="8"/>
  <c r="C148" i="6"/>
  <c r="B149" i="6"/>
  <c r="CJ5" i="8"/>
  <c r="CJ9" i="8"/>
  <c r="CJ20" i="8"/>
  <c r="CE41" i="8"/>
  <c r="CE44" i="8" s="1"/>
  <c r="CF40" i="8"/>
  <c r="CJ37" i="8"/>
  <c r="CJ36" i="8"/>
  <c r="CJ111" i="8"/>
  <c r="CJ21" i="8"/>
  <c r="CJ95" i="8"/>
  <c r="CI78" i="8"/>
  <c r="CJ91" i="8"/>
  <c r="CJ92" i="8"/>
  <c r="CJ89" i="8"/>
  <c r="CJ86" i="8"/>
  <c r="CJ88" i="8"/>
  <c r="CJ90" i="8"/>
  <c r="CJ87" i="8"/>
  <c r="CJ85" i="8"/>
  <c r="CJ81" i="8"/>
  <c r="CJ65" i="8"/>
  <c r="CJ77" i="8"/>
  <c r="CJ76" i="8"/>
  <c r="CJ71" i="8"/>
  <c r="CJ72" i="8"/>
  <c r="CJ73" i="8"/>
  <c r="CJ70" i="8"/>
  <c r="CJ75" i="8"/>
  <c r="CJ68" i="8"/>
  <c r="CJ69" i="8"/>
  <c r="CJ47" i="8"/>
  <c r="CJ49" i="8"/>
  <c r="CJ48" i="8"/>
  <c r="CJ50" i="8"/>
  <c r="CJ51" i="8"/>
  <c r="CJ59" i="8"/>
  <c r="CJ58" i="8"/>
  <c r="CJ52" i="8"/>
  <c r="CJ53" i="8"/>
  <c r="CJ54" i="8"/>
  <c r="CJ56" i="8"/>
  <c r="CJ60" i="8"/>
  <c r="CJ57" i="8"/>
  <c r="CJ61" i="8"/>
  <c r="CI62" i="8"/>
  <c r="CI31" i="8"/>
  <c r="CJ29" i="8"/>
  <c r="CJ30" i="8"/>
  <c r="CJ43" i="8"/>
  <c r="CJ42" i="8"/>
  <c r="CK7" i="8"/>
  <c r="CK74" i="8" s="1"/>
  <c r="C149" i="6" l="1"/>
  <c r="B150" i="6"/>
  <c r="CK5" i="8"/>
  <c r="CK9" i="8"/>
  <c r="CK20" i="8"/>
  <c r="CF41" i="8"/>
  <c r="CF44" i="8" s="1"/>
  <c r="CG40" i="8"/>
  <c r="CJ10" i="8"/>
  <c r="CI11" i="8"/>
  <c r="CK37" i="8"/>
  <c r="CK36" i="8"/>
  <c r="CK111" i="8"/>
  <c r="CK94" i="8" s="1"/>
  <c r="CK21" i="8"/>
  <c r="CJ78" i="8"/>
  <c r="CK95" i="8"/>
  <c r="CK92" i="8"/>
  <c r="CK91" i="8"/>
  <c r="CK89" i="8"/>
  <c r="CK90" i="8"/>
  <c r="CK88" i="8"/>
  <c r="CK86" i="8"/>
  <c r="CK87" i="8"/>
  <c r="CK85" i="8"/>
  <c r="CK81" i="8"/>
  <c r="CK65" i="8"/>
  <c r="CK76" i="8"/>
  <c r="CK77" i="8"/>
  <c r="CK72" i="8"/>
  <c r="CK73" i="8"/>
  <c r="CK75" i="8"/>
  <c r="CK71" i="8"/>
  <c r="CK68" i="8"/>
  <c r="CK70" i="8"/>
  <c r="CK69" i="8"/>
  <c r="CK47" i="8"/>
  <c r="CK49" i="8"/>
  <c r="CK48" i="8"/>
  <c r="CK51" i="8"/>
  <c r="CK50" i="8"/>
  <c r="CK52" i="8"/>
  <c r="CK58" i="8"/>
  <c r="CK59" i="8"/>
  <c r="CK53" i="8"/>
  <c r="CK54" i="8"/>
  <c r="CK60" i="8"/>
  <c r="CK56" i="8"/>
  <c r="CK57" i="8"/>
  <c r="CK61" i="8"/>
  <c r="CJ62" i="8"/>
  <c r="CK30" i="8"/>
  <c r="CK29" i="8"/>
  <c r="CK43" i="8"/>
  <c r="CK42" i="8"/>
  <c r="CJ31" i="8"/>
  <c r="CL7" i="8"/>
  <c r="CL74" i="8" s="1"/>
  <c r="CK10" i="8" l="1"/>
  <c r="CJ11" i="8"/>
  <c r="CG41" i="8"/>
  <c r="CG44" i="8" s="1"/>
  <c r="CH40" i="8"/>
  <c r="C150" i="6"/>
  <c r="B151" i="6"/>
  <c r="CL5" i="8"/>
  <c r="CL9" i="8"/>
  <c r="CL20" i="8"/>
  <c r="CK23" i="8"/>
  <c r="CK25" i="8"/>
  <c r="CK24" i="8"/>
  <c r="CK113" i="8"/>
  <c r="CK115" i="8" s="1"/>
  <c r="CL37" i="8"/>
  <c r="CL36" i="8"/>
  <c r="CL111" i="8"/>
  <c r="CL94" i="8" s="1"/>
  <c r="CL21" i="8"/>
  <c r="CK78" i="8"/>
  <c r="CL95" i="8"/>
  <c r="CL92" i="8"/>
  <c r="CL89" i="8"/>
  <c r="CL90" i="8"/>
  <c r="CL87" i="8"/>
  <c r="CL85" i="8"/>
  <c r="CL91" i="8"/>
  <c r="CL86" i="8"/>
  <c r="CL88" i="8"/>
  <c r="CL81" i="8"/>
  <c r="CK31" i="8"/>
  <c r="CL65" i="8"/>
  <c r="CL77" i="8"/>
  <c r="CL73" i="8"/>
  <c r="CL70" i="8"/>
  <c r="CL75" i="8"/>
  <c r="CL71" i="8"/>
  <c r="CL76" i="8"/>
  <c r="CL68" i="8"/>
  <c r="CL72" i="8"/>
  <c r="CL69" i="8"/>
  <c r="CL47" i="8"/>
  <c r="CL49" i="8"/>
  <c r="CL48" i="8"/>
  <c r="CL51" i="8"/>
  <c r="CL50" i="8"/>
  <c r="CL58" i="8"/>
  <c r="CL52" i="8"/>
  <c r="CL59" i="8"/>
  <c r="CL53" i="8"/>
  <c r="CL54" i="8"/>
  <c r="CL57" i="8"/>
  <c r="CL56" i="8"/>
  <c r="CL60" i="8"/>
  <c r="CL61" i="8"/>
  <c r="CK62" i="8"/>
  <c r="CL29" i="8"/>
  <c r="CL30" i="8"/>
  <c r="CL43" i="8"/>
  <c r="CL42" i="8"/>
  <c r="CM7" i="8"/>
  <c r="CM74" i="8" s="1"/>
  <c r="CK26" i="8" l="1"/>
  <c r="CH41" i="8"/>
  <c r="CH44" i="8" s="1"/>
  <c r="CI40" i="8"/>
  <c r="B152" i="6"/>
  <c r="C151" i="6"/>
  <c r="CM5" i="8"/>
  <c r="CM9" i="8"/>
  <c r="CM20" i="8"/>
  <c r="CL10" i="8"/>
  <c r="CK11" i="8"/>
  <c r="CL101" i="8"/>
  <c r="CL24" i="8"/>
  <c r="CL23" i="8"/>
  <c r="CL25" i="8"/>
  <c r="CL113" i="8"/>
  <c r="CL115" i="8" s="1"/>
  <c r="CM37" i="8"/>
  <c r="CM36" i="8"/>
  <c r="CM111" i="8"/>
  <c r="CM94" i="8" s="1"/>
  <c r="CM21" i="8"/>
  <c r="CL78" i="8"/>
  <c r="CM95" i="8"/>
  <c r="CM90" i="8"/>
  <c r="CM92" i="8"/>
  <c r="CM91" i="8"/>
  <c r="CM87" i="8"/>
  <c r="CM85" i="8"/>
  <c r="CM89" i="8"/>
  <c r="CM86" i="8"/>
  <c r="CM88" i="8"/>
  <c r="CM81" i="8"/>
  <c r="CM65" i="8"/>
  <c r="CM76" i="8"/>
  <c r="CM75" i="8"/>
  <c r="CM77" i="8"/>
  <c r="CM71" i="8"/>
  <c r="CM72" i="8"/>
  <c r="CM69" i="8"/>
  <c r="CM70" i="8"/>
  <c r="CM73" i="8"/>
  <c r="CM68" i="8"/>
  <c r="CM47" i="8"/>
  <c r="CM48" i="8"/>
  <c r="CM49" i="8"/>
  <c r="CM50" i="8"/>
  <c r="CM51" i="8"/>
  <c r="CM59" i="8"/>
  <c r="CM52" i="8"/>
  <c r="CM58" i="8"/>
  <c r="CM53" i="8"/>
  <c r="CM54" i="8"/>
  <c r="CM56" i="8"/>
  <c r="CM60" i="8"/>
  <c r="CM61" i="8"/>
  <c r="CM57" i="8"/>
  <c r="CL62" i="8"/>
  <c r="CM29" i="8"/>
  <c r="CM30" i="8"/>
  <c r="CM43" i="8"/>
  <c r="CM42" i="8"/>
  <c r="CL31" i="8"/>
  <c r="CN7" i="8"/>
  <c r="CN74" i="8" s="1"/>
  <c r="CL26" i="8" l="1"/>
  <c r="CM10" i="8"/>
  <c r="CL11" i="8"/>
  <c r="C152" i="6"/>
  <c r="B153" i="6"/>
  <c r="CI41" i="8"/>
  <c r="CI44" i="8" s="1"/>
  <c r="CJ40" i="8"/>
  <c r="CN5" i="8"/>
  <c r="CN9" i="8"/>
  <c r="CN20" i="8"/>
  <c r="CM101" i="8"/>
  <c r="CM24" i="8"/>
  <c r="CM23" i="8"/>
  <c r="CM25" i="8"/>
  <c r="CM113" i="8"/>
  <c r="CM115" i="8" s="1"/>
  <c r="CN37" i="8"/>
  <c r="CN36" i="8"/>
  <c r="CN111" i="8"/>
  <c r="CN94" i="8" s="1"/>
  <c r="CN21" i="8"/>
  <c r="CM78" i="8"/>
  <c r="CN95" i="8"/>
  <c r="CN91" i="8"/>
  <c r="CN92" i="8"/>
  <c r="CN89" i="8"/>
  <c r="CN86" i="8"/>
  <c r="CN87" i="8"/>
  <c r="CN90" i="8"/>
  <c r="CN88" i="8"/>
  <c r="CN85" i="8"/>
  <c r="CN81" i="8"/>
  <c r="CN65" i="8"/>
  <c r="CN77" i="8"/>
  <c r="CN71" i="8"/>
  <c r="CN72" i="8"/>
  <c r="CN76" i="8"/>
  <c r="CN73" i="8"/>
  <c r="CN70" i="8"/>
  <c r="CN69" i="8"/>
  <c r="CN68" i="8"/>
  <c r="CN75" i="8"/>
  <c r="CN47" i="8"/>
  <c r="CN48" i="8"/>
  <c r="CN49" i="8"/>
  <c r="CN50" i="8"/>
  <c r="CN51" i="8"/>
  <c r="CN58" i="8"/>
  <c r="CN52" i="8"/>
  <c r="CN59" i="8"/>
  <c r="CN53" i="8"/>
  <c r="CN54" i="8"/>
  <c r="CN60" i="8"/>
  <c r="CN56" i="8"/>
  <c r="CN57" i="8"/>
  <c r="CN61" i="8"/>
  <c r="CM62" i="8"/>
  <c r="CN29" i="8"/>
  <c r="CN30" i="8"/>
  <c r="CN43" i="8"/>
  <c r="CN42" i="8"/>
  <c r="CM31" i="8"/>
  <c r="CO7" i="8"/>
  <c r="CO74" i="8" s="1"/>
  <c r="CM26" i="8" l="1"/>
  <c r="C153" i="6"/>
  <c r="B154" i="6"/>
  <c r="CJ41" i="8"/>
  <c r="CJ44" i="8" s="1"/>
  <c r="CK40" i="8"/>
  <c r="CO5" i="8"/>
  <c r="CO9" i="8"/>
  <c r="CO20" i="8"/>
  <c r="CN10" i="8"/>
  <c r="CM11" i="8"/>
  <c r="CN101" i="8"/>
  <c r="CN23" i="8"/>
  <c r="CN24" i="8"/>
  <c r="CN25" i="8"/>
  <c r="CN113" i="8"/>
  <c r="CN115" i="8" s="1"/>
  <c r="CO37" i="8"/>
  <c r="CO36" i="8"/>
  <c r="CO111" i="8"/>
  <c r="CO21" i="8"/>
  <c r="CO95" i="8"/>
  <c r="CN78" i="8"/>
  <c r="CO92" i="8"/>
  <c r="CO91" i="8"/>
  <c r="CO89" i="8"/>
  <c r="CO90" i="8"/>
  <c r="CO88" i="8"/>
  <c r="CO86" i="8"/>
  <c r="CO87" i="8"/>
  <c r="CO85" i="8"/>
  <c r="CO81" i="8"/>
  <c r="CO65" i="8"/>
  <c r="CO76" i="8"/>
  <c r="CO77" i="8"/>
  <c r="CO72" i="8"/>
  <c r="CO73" i="8"/>
  <c r="CO75" i="8"/>
  <c r="CO70" i="8"/>
  <c r="CO69" i="8"/>
  <c r="CO68" i="8"/>
  <c r="CO71" i="8"/>
  <c r="CN62" i="8"/>
  <c r="CO47" i="8"/>
  <c r="CO48" i="8"/>
  <c r="CO50" i="8"/>
  <c r="CO49" i="8"/>
  <c r="CO58" i="8"/>
  <c r="CO51" i="8"/>
  <c r="CO52" i="8"/>
  <c r="CO59" i="8"/>
  <c r="CO53" i="8"/>
  <c r="CO54" i="8"/>
  <c r="CO60" i="8"/>
  <c r="CO57" i="8"/>
  <c r="CO56" i="8"/>
  <c r="CO61" i="8"/>
  <c r="CN31" i="8"/>
  <c r="CO29" i="8"/>
  <c r="CO30" i="8"/>
  <c r="CO43" i="8"/>
  <c r="CO42" i="8"/>
  <c r="CP7" i="8"/>
  <c r="CP74" i="8" s="1"/>
  <c r="CN26" i="8" l="1"/>
  <c r="CO10" i="8"/>
  <c r="CN11" i="8"/>
  <c r="CK41" i="8"/>
  <c r="CK44" i="8" s="1"/>
  <c r="CL40" i="8"/>
  <c r="B155" i="6"/>
  <c r="C154" i="6"/>
  <c r="CP5" i="8"/>
  <c r="CP9" i="8"/>
  <c r="CP20" i="8"/>
  <c r="CO94" i="8"/>
  <c r="CO101" i="8"/>
  <c r="CO23" i="8"/>
  <c r="CO25" i="8"/>
  <c r="CO24" i="8"/>
  <c r="CO113" i="8"/>
  <c r="CO115" i="8" s="1"/>
  <c r="CP37" i="8"/>
  <c r="CP36" i="8"/>
  <c r="CP111" i="8"/>
  <c r="CP94" i="8" s="1"/>
  <c r="CP21" i="8"/>
  <c r="CP95" i="8"/>
  <c r="CO78" i="8"/>
  <c r="CP92" i="8"/>
  <c r="CP91" i="8"/>
  <c r="CP89" i="8"/>
  <c r="CP90" i="8"/>
  <c r="CP87" i="8"/>
  <c r="CP85" i="8"/>
  <c r="CP88" i="8"/>
  <c r="CP86" i="8"/>
  <c r="CP81" i="8"/>
  <c r="CP65" i="8"/>
  <c r="CP77" i="8"/>
  <c r="CP73" i="8"/>
  <c r="CP70" i="8"/>
  <c r="CP76" i="8"/>
  <c r="CP75" i="8"/>
  <c r="CP71" i="8"/>
  <c r="CP72" i="8"/>
  <c r="CP68" i="8"/>
  <c r="CP69" i="8"/>
  <c r="CO62" i="8"/>
  <c r="CP47" i="8"/>
  <c r="CP49" i="8"/>
  <c r="CP48" i="8"/>
  <c r="CP50" i="8"/>
  <c r="CP51" i="8"/>
  <c r="CP52" i="8"/>
  <c r="CP58" i="8"/>
  <c r="CP59" i="8"/>
  <c r="CP53" i="8"/>
  <c r="CP54" i="8"/>
  <c r="CP60" i="8"/>
  <c r="CP56" i="8"/>
  <c r="CP61" i="8"/>
  <c r="CP57" i="8"/>
  <c r="CO31" i="8"/>
  <c r="CP29" i="8"/>
  <c r="CP30" i="8"/>
  <c r="CP43" i="8"/>
  <c r="CP42" i="8"/>
  <c r="CQ7" i="8"/>
  <c r="CQ74" i="8" s="1"/>
  <c r="CO26" i="8" l="1"/>
  <c r="CL41" i="8"/>
  <c r="CL44" i="8" s="1"/>
  <c r="CM40" i="8"/>
  <c r="CQ5" i="8"/>
  <c r="CQ9" i="8"/>
  <c r="CQ20" i="8"/>
  <c r="B156" i="6"/>
  <c r="C155" i="6"/>
  <c r="CP10" i="8"/>
  <c r="CO11" i="8"/>
  <c r="CP101" i="8"/>
  <c r="CP23" i="8"/>
  <c r="CP25" i="8"/>
  <c r="CP24" i="8"/>
  <c r="CP113" i="8"/>
  <c r="CP115" i="8" s="1"/>
  <c r="CQ37" i="8"/>
  <c r="CQ36" i="8"/>
  <c r="CQ111" i="8"/>
  <c r="CQ94" i="8" s="1"/>
  <c r="CQ21" i="8"/>
  <c r="CP78" i="8"/>
  <c r="CQ95" i="8"/>
  <c r="CQ91" i="8"/>
  <c r="CQ90" i="8"/>
  <c r="CQ92" i="8"/>
  <c r="CQ89" i="8"/>
  <c r="CQ87" i="8"/>
  <c r="CQ85" i="8"/>
  <c r="CQ86" i="8"/>
  <c r="CQ88" i="8"/>
  <c r="CQ81" i="8"/>
  <c r="CQ65" i="8"/>
  <c r="CP31" i="8"/>
  <c r="CQ76" i="8"/>
  <c r="CQ77" i="8"/>
  <c r="CQ75" i="8"/>
  <c r="CQ71" i="8"/>
  <c r="CQ72" i="8"/>
  <c r="CQ69" i="8"/>
  <c r="CQ73" i="8"/>
  <c r="CQ70" i="8"/>
  <c r="CQ68" i="8"/>
  <c r="CQ47" i="8"/>
  <c r="CQ48" i="8"/>
  <c r="CQ49" i="8"/>
  <c r="CQ50" i="8"/>
  <c r="CQ51" i="8"/>
  <c r="CQ52" i="8"/>
  <c r="CQ58" i="8"/>
  <c r="CQ59" i="8"/>
  <c r="CQ53" i="8"/>
  <c r="CQ54" i="8"/>
  <c r="CQ56" i="8"/>
  <c r="CQ60" i="8"/>
  <c r="CQ57" i="8"/>
  <c r="CQ61" i="8"/>
  <c r="CP62" i="8"/>
  <c r="CQ29" i="8"/>
  <c r="CQ30" i="8"/>
  <c r="CQ43" i="8"/>
  <c r="CQ42" i="8"/>
  <c r="CR7" i="8"/>
  <c r="CR74" i="8" s="1"/>
  <c r="CP26" i="8" l="1"/>
  <c r="CQ10" i="8"/>
  <c r="CP11" i="8"/>
  <c r="B157" i="6"/>
  <c r="C156" i="6"/>
  <c r="CM41" i="8"/>
  <c r="CM44" i="8" s="1"/>
  <c r="CN40" i="8"/>
  <c r="CR5" i="8"/>
  <c r="CR9" i="8"/>
  <c r="CR20" i="8"/>
  <c r="CQ101" i="8"/>
  <c r="CQ24" i="8"/>
  <c r="CQ23" i="8"/>
  <c r="CQ25" i="8"/>
  <c r="CQ113" i="8"/>
  <c r="CQ115" i="8" s="1"/>
  <c r="CR37" i="8"/>
  <c r="CR36" i="8"/>
  <c r="CR111" i="8"/>
  <c r="CR21" i="8"/>
  <c r="CR95" i="8"/>
  <c r="CQ78" i="8"/>
  <c r="CR91" i="8"/>
  <c r="CR92" i="8"/>
  <c r="CR89" i="8"/>
  <c r="CR90" i="8"/>
  <c r="CR86" i="8"/>
  <c r="CR88" i="8"/>
  <c r="CR87" i="8"/>
  <c r="CR85" i="8"/>
  <c r="CR81" i="8"/>
  <c r="CR65" i="8"/>
  <c r="CR77" i="8"/>
  <c r="CR76" i="8"/>
  <c r="CR71" i="8"/>
  <c r="CR72" i="8"/>
  <c r="CR73" i="8"/>
  <c r="CR70" i="8"/>
  <c r="CR69" i="8"/>
  <c r="CR75" i="8"/>
  <c r="CR68" i="8"/>
  <c r="CR47" i="8"/>
  <c r="CR48" i="8"/>
  <c r="CR49" i="8"/>
  <c r="CR51" i="8"/>
  <c r="CR50" i="8"/>
  <c r="CR58" i="8"/>
  <c r="CR52" i="8"/>
  <c r="CR53" i="8"/>
  <c r="CR59" i="8"/>
  <c r="CR54" i="8"/>
  <c r="CR56" i="8"/>
  <c r="CR60" i="8"/>
  <c r="CR57" i="8"/>
  <c r="CR61" i="8"/>
  <c r="CQ62" i="8"/>
  <c r="CR29" i="8"/>
  <c r="CR30" i="8"/>
  <c r="CR43" i="8"/>
  <c r="CR42" i="8"/>
  <c r="CQ31" i="8"/>
  <c r="CS7" i="8"/>
  <c r="CS74" i="8" s="1"/>
  <c r="CQ26" i="8" l="1"/>
  <c r="B158" i="6"/>
  <c r="C157" i="6"/>
  <c r="CN41" i="8"/>
  <c r="CN44" i="8" s="1"/>
  <c r="CO40" i="8"/>
  <c r="CS5" i="8"/>
  <c r="CS9" i="8"/>
  <c r="CS20" i="8"/>
  <c r="CR10" i="8"/>
  <c r="CQ11" i="8"/>
  <c r="CR94" i="8"/>
  <c r="CR101" i="8"/>
  <c r="CR25" i="8"/>
  <c r="CR24" i="8"/>
  <c r="CR23" i="8"/>
  <c r="CR113" i="8"/>
  <c r="CR115" i="8" s="1"/>
  <c r="CS37" i="8"/>
  <c r="CS36" i="8"/>
  <c r="CS111" i="8"/>
  <c r="CS94" i="8" s="1"/>
  <c r="CS21" i="8"/>
  <c r="CR78" i="8"/>
  <c r="CS95" i="8"/>
  <c r="CS92" i="8"/>
  <c r="CS89" i="8"/>
  <c r="CS90" i="8"/>
  <c r="CS88" i="8"/>
  <c r="CS86" i="8"/>
  <c r="CS91" i="8"/>
  <c r="CS87" i="8"/>
  <c r="CS85" i="8"/>
  <c r="CS81" i="8"/>
  <c r="CS65" i="8"/>
  <c r="CS76" i="8"/>
  <c r="CS77" i="8"/>
  <c r="CS72" i="8"/>
  <c r="CS73" i="8"/>
  <c r="CS75" i="8"/>
  <c r="CS69" i="8"/>
  <c r="CS71" i="8"/>
  <c r="CS68" i="8"/>
  <c r="CS70" i="8"/>
  <c r="CS47" i="8"/>
  <c r="CS48" i="8"/>
  <c r="CS50" i="8"/>
  <c r="CS49" i="8"/>
  <c r="CS58" i="8"/>
  <c r="CS51" i="8"/>
  <c r="CS52" i="8"/>
  <c r="CS59" i="8"/>
  <c r="CS53" i="8"/>
  <c r="CS54" i="8"/>
  <c r="CS56" i="8"/>
  <c r="CS60" i="8"/>
  <c r="CS57" i="8"/>
  <c r="CS61" i="8"/>
  <c r="CR62" i="8"/>
  <c r="CR31" i="8"/>
  <c r="CS29" i="8"/>
  <c r="CS30" i="8"/>
  <c r="CS43" i="8"/>
  <c r="CS42" i="8"/>
  <c r="CT7" i="8"/>
  <c r="CT74" i="8" s="1"/>
  <c r="CR26" i="8" l="1"/>
  <c r="CT5" i="8"/>
  <c r="CT9" i="8"/>
  <c r="CT20" i="8"/>
  <c r="CS10" i="8"/>
  <c r="CR11" i="8"/>
  <c r="CO41" i="8"/>
  <c r="CO44" i="8" s="1"/>
  <c r="CP40" i="8"/>
  <c r="C158" i="6"/>
  <c r="B159" i="6"/>
  <c r="CS101" i="8"/>
  <c r="CS23" i="8"/>
  <c r="CS25" i="8"/>
  <c r="CS24" i="8"/>
  <c r="CS113" i="8"/>
  <c r="CS115" i="8" s="1"/>
  <c r="CT37" i="8"/>
  <c r="CT36" i="8"/>
  <c r="CT111" i="8"/>
  <c r="CT94" i="8" s="1"/>
  <c r="CT21" i="8"/>
  <c r="CS78" i="8"/>
  <c r="CT95" i="8"/>
  <c r="CT92" i="8"/>
  <c r="CT89" i="8"/>
  <c r="CT90" i="8"/>
  <c r="CT91" i="8"/>
  <c r="CT87" i="8"/>
  <c r="CT85" i="8"/>
  <c r="CT86" i="8"/>
  <c r="CT88" i="8"/>
  <c r="CT81" i="8"/>
  <c r="CT65" i="8"/>
  <c r="CT77" i="8"/>
  <c r="CT73" i="8"/>
  <c r="CT70" i="8"/>
  <c r="CT75" i="8"/>
  <c r="CT71" i="8"/>
  <c r="CT68" i="8"/>
  <c r="CT76" i="8"/>
  <c r="CT72" i="8"/>
  <c r="CT69" i="8"/>
  <c r="CS62" i="8"/>
  <c r="CT47" i="8"/>
  <c r="CT49" i="8"/>
  <c r="CT48" i="8"/>
  <c r="CT50" i="8"/>
  <c r="CT58" i="8"/>
  <c r="CT51" i="8"/>
  <c r="CT52" i="8"/>
  <c r="CT59" i="8"/>
  <c r="CT53" i="8"/>
  <c r="CT54" i="8"/>
  <c r="CT60" i="8"/>
  <c r="CT57" i="8"/>
  <c r="CT56" i="8"/>
  <c r="CT61" i="8"/>
  <c r="CS31" i="8"/>
  <c r="CT29" i="8"/>
  <c r="CT30" i="8"/>
  <c r="CT43" i="8"/>
  <c r="CT42" i="8"/>
  <c r="CU7" i="8"/>
  <c r="CU74" i="8" s="1"/>
  <c r="CS26" i="8" l="1"/>
  <c r="CT10" i="8"/>
  <c r="CS11" i="8"/>
  <c r="CP41" i="8"/>
  <c r="CP44" i="8" s="1"/>
  <c r="CQ40" i="8"/>
  <c r="CU5" i="8"/>
  <c r="CU9" i="8"/>
  <c r="CU20" i="8"/>
  <c r="B160" i="6"/>
  <c r="C159" i="6"/>
  <c r="CT101" i="8"/>
  <c r="CT24" i="8"/>
  <c r="CT23" i="8"/>
  <c r="CT25" i="8"/>
  <c r="CT113" i="8"/>
  <c r="CT115" i="8" s="1"/>
  <c r="CU37" i="8"/>
  <c r="CU36" i="8"/>
  <c r="CU111" i="8"/>
  <c r="CU94" i="8" s="1"/>
  <c r="CU21" i="8"/>
  <c r="CU95" i="8"/>
  <c r="CT78" i="8"/>
  <c r="CU91" i="8"/>
  <c r="CU92" i="8"/>
  <c r="CU90" i="8"/>
  <c r="CU87" i="8"/>
  <c r="CU85" i="8"/>
  <c r="CU89" i="8"/>
  <c r="CU86" i="8"/>
  <c r="CU88" i="8"/>
  <c r="CU81" i="8"/>
  <c r="CU65" i="8"/>
  <c r="CU76" i="8"/>
  <c r="CU75" i="8"/>
  <c r="CU71" i="8"/>
  <c r="CU72" i="8"/>
  <c r="CU69" i="8"/>
  <c r="CU73" i="8"/>
  <c r="CU68" i="8"/>
  <c r="CU70" i="8"/>
  <c r="CU77" i="8"/>
  <c r="CT62" i="8"/>
  <c r="CU47" i="8"/>
  <c r="CU48" i="8"/>
  <c r="CU49" i="8"/>
  <c r="CU50" i="8"/>
  <c r="CU51" i="8"/>
  <c r="CU52" i="8"/>
  <c r="CU58" i="8"/>
  <c r="CU59" i="8"/>
  <c r="CU53" i="8"/>
  <c r="CU54" i="8"/>
  <c r="CU60" i="8"/>
  <c r="CU56" i="8"/>
  <c r="CU61" i="8"/>
  <c r="CU57" i="8"/>
  <c r="CU29" i="8"/>
  <c r="CU30" i="8"/>
  <c r="CU43" i="8"/>
  <c r="CU42" i="8"/>
  <c r="CT31" i="8"/>
  <c r="CV7" i="8"/>
  <c r="CV74" i="8" s="1"/>
  <c r="CT26" i="8" l="1"/>
  <c r="B161" i="6"/>
  <c r="C160" i="6"/>
  <c r="CQ41" i="8"/>
  <c r="CQ44" i="8" s="1"/>
  <c r="CR40" i="8"/>
  <c r="CV5" i="8"/>
  <c r="CV9" i="8"/>
  <c r="CV20" i="8"/>
  <c r="CU10" i="8"/>
  <c r="CT11" i="8"/>
  <c r="CU101" i="8"/>
  <c r="CU24" i="8"/>
  <c r="CU23" i="8"/>
  <c r="CU25" i="8"/>
  <c r="CU113" i="8"/>
  <c r="CU115" i="8" s="1"/>
  <c r="CV37" i="8"/>
  <c r="CV36" i="8"/>
  <c r="CV111" i="8"/>
  <c r="CV94" i="8" s="1"/>
  <c r="CV21" i="8"/>
  <c r="CU78" i="8"/>
  <c r="CV95" i="8"/>
  <c r="CV91" i="8"/>
  <c r="CV92" i="8"/>
  <c r="CV89" i="8"/>
  <c r="CV86" i="8"/>
  <c r="CV88" i="8"/>
  <c r="CV90" i="8"/>
  <c r="CV87" i="8"/>
  <c r="CV85" i="8"/>
  <c r="CV81" i="8"/>
  <c r="CV65" i="8"/>
  <c r="CV77" i="8"/>
  <c r="CV71" i="8"/>
  <c r="CV72" i="8"/>
  <c r="CV76" i="8"/>
  <c r="CV73" i="8"/>
  <c r="CV70" i="8"/>
  <c r="CV75" i="8"/>
  <c r="CV69" i="8"/>
  <c r="CV68" i="8"/>
  <c r="CV47" i="8"/>
  <c r="CV48" i="8"/>
  <c r="CV49" i="8"/>
  <c r="CV50" i="8"/>
  <c r="CV52" i="8"/>
  <c r="CV51" i="8"/>
  <c r="CV58" i="8"/>
  <c r="CV59" i="8"/>
  <c r="CV53" i="8"/>
  <c r="CV54" i="8"/>
  <c r="CV56" i="8"/>
  <c r="CV60" i="8"/>
  <c r="CV57" i="8"/>
  <c r="CV61" i="8"/>
  <c r="CU62" i="8"/>
  <c r="CU31" i="8"/>
  <c r="CV30" i="8"/>
  <c r="CV29" i="8"/>
  <c r="CV43" i="8"/>
  <c r="CV42" i="8"/>
  <c r="CW7" i="8"/>
  <c r="CW74" i="8" s="1"/>
  <c r="CU26" i="8" l="1"/>
  <c r="CV10" i="8"/>
  <c r="CU11" i="8"/>
  <c r="CR41" i="8"/>
  <c r="CR44" i="8" s="1"/>
  <c r="CS40" i="8"/>
  <c r="CW5" i="8"/>
  <c r="CW9" i="8"/>
  <c r="CW20" i="8"/>
  <c r="C161" i="6"/>
  <c r="B162" i="6"/>
  <c r="CV101" i="8"/>
  <c r="CV24" i="8"/>
  <c r="CV25" i="8"/>
  <c r="CV23" i="8"/>
  <c r="CV113" i="8"/>
  <c r="CV115" i="8" s="1"/>
  <c r="CW37" i="8"/>
  <c r="CW36" i="8"/>
  <c r="CW111" i="8"/>
  <c r="CW94" i="8" s="1"/>
  <c r="CW21" i="8"/>
  <c r="CW95" i="8"/>
  <c r="CV78" i="8"/>
  <c r="CW92" i="8"/>
  <c r="CW91" i="8"/>
  <c r="CW89" i="8"/>
  <c r="CW90" i="8"/>
  <c r="CW88" i="8"/>
  <c r="CW86" i="8"/>
  <c r="CW87" i="8"/>
  <c r="CW85" i="8"/>
  <c r="CW81" i="8"/>
  <c r="CW65" i="8"/>
  <c r="CV31" i="8"/>
  <c r="CW76" i="8"/>
  <c r="CW77" i="8"/>
  <c r="CW72" i="8"/>
  <c r="CW73" i="8"/>
  <c r="CW75" i="8"/>
  <c r="CW71" i="8"/>
  <c r="CW70" i="8"/>
  <c r="CW69" i="8"/>
  <c r="CW68" i="8"/>
  <c r="CV62" i="8"/>
  <c r="CW47" i="8"/>
  <c r="CW48" i="8"/>
  <c r="CW49" i="8"/>
  <c r="CW50" i="8"/>
  <c r="CW58" i="8"/>
  <c r="CW51" i="8"/>
  <c r="CW52" i="8"/>
  <c r="CW53" i="8"/>
  <c r="CW59" i="8"/>
  <c r="CW54" i="8"/>
  <c r="CW56" i="8"/>
  <c r="CW60" i="8"/>
  <c r="CW57" i="8"/>
  <c r="CW61" i="8"/>
  <c r="CW29" i="8"/>
  <c r="CW30" i="8"/>
  <c r="CW43" i="8"/>
  <c r="CW42" i="8"/>
  <c r="CX7" i="8"/>
  <c r="CX74" i="8" s="1"/>
  <c r="CV26" i="8" l="1"/>
  <c r="CS41" i="8"/>
  <c r="CS44" i="8" s="1"/>
  <c r="CT40" i="8"/>
  <c r="CX5" i="8"/>
  <c r="CX9" i="8"/>
  <c r="CX20" i="8"/>
  <c r="C162" i="6"/>
  <c r="B163" i="6"/>
  <c r="CW10" i="8"/>
  <c r="CV11" i="8"/>
  <c r="CW101" i="8"/>
  <c r="CW23" i="8"/>
  <c r="CW25" i="8"/>
  <c r="CW24" i="8"/>
  <c r="CW113" i="8"/>
  <c r="CW115" i="8" s="1"/>
  <c r="CX37" i="8"/>
  <c r="CX36" i="8"/>
  <c r="CX111" i="8"/>
  <c r="CX94" i="8" s="1"/>
  <c r="CX21" i="8"/>
  <c r="CW78" i="8"/>
  <c r="CX95" i="8"/>
  <c r="CX92" i="8"/>
  <c r="CX91" i="8"/>
  <c r="CX89" i="8"/>
  <c r="CX90" i="8"/>
  <c r="CX87" i="8"/>
  <c r="CX85" i="8"/>
  <c r="CX86" i="8"/>
  <c r="CX88" i="8"/>
  <c r="CX81" i="8"/>
  <c r="CX65" i="8"/>
  <c r="CX77" i="8"/>
  <c r="CX73" i="8"/>
  <c r="CX70" i="8"/>
  <c r="CX76" i="8"/>
  <c r="CX75" i="8"/>
  <c r="CX71" i="8"/>
  <c r="CX69" i="8"/>
  <c r="CX68" i="8"/>
  <c r="CX72" i="8"/>
  <c r="CW62" i="8"/>
  <c r="CX47" i="8"/>
  <c r="CX48" i="8"/>
  <c r="CX49" i="8"/>
  <c r="CX51" i="8"/>
  <c r="CX50" i="8"/>
  <c r="CX52" i="8"/>
  <c r="CX58" i="8"/>
  <c r="CX53" i="8"/>
  <c r="CX59" i="8"/>
  <c r="CX54" i="8"/>
  <c r="CX61" i="8"/>
  <c r="CX56" i="8"/>
  <c r="CX60" i="8"/>
  <c r="CX57" i="8"/>
  <c r="CX29" i="8"/>
  <c r="CX30" i="8"/>
  <c r="CX43" i="8"/>
  <c r="CX42" i="8"/>
  <c r="CW31" i="8"/>
  <c r="CY7" i="8"/>
  <c r="CY74" i="8" s="1"/>
  <c r="CW26" i="8" l="1"/>
  <c r="B164" i="6"/>
  <c r="C163" i="6"/>
  <c r="CX10" i="8"/>
  <c r="CW11" i="8"/>
  <c r="CT41" i="8"/>
  <c r="CT44" i="8" s="1"/>
  <c r="CU40" i="8"/>
  <c r="CY5" i="8"/>
  <c r="CY9" i="8"/>
  <c r="CY20" i="8"/>
  <c r="CX101" i="8"/>
  <c r="CX23" i="8"/>
  <c r="CX25" i="8"/>
  <c r="CX24" i="8"/>
  <c r="CX113" i="8"/>
  <c r="CX115" i="8" s="1"/>
  <c r="CY37" i="8"/>
  <c r="CY36" i="8"/>
  <c r="CY111" i="8"/>
  <c r="CY94" i="8" s="1"/>
  <c r="CY21" i="8"/>
  <c r="CX78" i="8"/>
  <c r="CY95" i="8"/>
  <c r="CY91" i="8"/>
  <c r="CY90" i="8"/>
  <c r="CY87" i="8"/>
  <c r="CY85" i="8"/>
  <c r="CY92" i="8"/>
  <c r="CY86" i="8"/>
  <c r="CY89" i="8"/>
  <c r="CY88" i="8"/>
  <c r="CY81" i="8"/>
  <c r="CY65" i="8"/>
  <c r="CY76" i="8"/>
  <c r="CY75" i="8"/>
  <c r="CY71" i="8"/>
  <c r="CY77" i="8"/>
  <c r="CY72" i="8"/>
  <c r="CY69" i="8"/>
  <c r="CY70" i="8"/>
  <c r="CY68" i="8"/>
  <c r="CY73" i="8"/>
  <c r="CX62" i="8"/>
  <c r="CY47" i="8"/>
  <c r="CY48" i="8"/>
  <c r="CY49" i="8"/>
  <c r="CY50" i="8"/>
  <c r="CY51" i="8"/>
  <c r="CY52" i="8"/>
  <c r="CY58" i="8"/>
  <c r="CY53" i="8"/>
  <c r="CY59" i="8"/>
  <c r="CY54" i="8"/>
  <c r="CY60" i="8"/>
  <c r="CY56" i="8"/>
  <c r="CY57" i="8"/>
  <c r="CY61" i="8"/>
  <c r="CX31" i="8"/>
  <c r="CY29" i="8"/>
  <c r="CY30" i="8"/>
  <c r="CY43" i="8"/>
  <c r="CY42" i="8"/>
  <c r="CZ7" i="8"/>
  <c r="CZ74" i="8" s="1"/>
  <c r="E74" i="8" s="1"/>
  <c r="CX26" i="8" l="1"/>
  <c r="CY10" i="8"/>
  <c r="CX11" i="8"/>
  <c r="CU41" i="8"/>
  <c r="CU44" i="8" s="1"/>
  <c r="CV40" i="8"/>
  <c r="CZ5" i="8"/>
  <c r="CZ9" i="8"/>
  <c r="CZ20" i="8"/>
  <c r="B165" i="6"/>
  <c r="C164" i="6"/>
  <c r="CY101" i="8"/>
  <c r="CY24" i="8"/>
  <c r="CY23" i="8"/>
  <c r="CY25" i="8"/>
  <c r="CY113" i="8"/>
  <c r="CY115" i="8" s="1"/>
  <c r="CZ37" i="8"/>
  <c r="E37" i="8" s="1"/>
  <c r="D37" i="8" s="1"/>
  <c r="CZ36" i="8"/>
  <c r="E36" i="8" s="1"/>
  <c r="D36" i="8" s="1"/>
  <c r="CZ111" i="8"/>
  <c r="CZ94" i="8" s="1"/>
  <c r="CZ21" i="8"/>
  <c r="CY78" i="8"/>
  <c r="CZ95" i="8"/>
  <c r="CZ91" i="8"/>
  <c r="E91" i="8" s="1"/>
  <c r="D91" i="8" s="1"/>
  <c r="CZ92" i="8"/>
  <c r="E92" i="8" s="1"/>
  <c r="D92" i="8" s="1"/>
  <c r="CZ89" i="8"/>
  <c r="E89" i="8" s="1"/>
  <c r="D89" i="8" s="1"/>
  <c r="CZ86" i="8"/>
  <c r="E86" i="8" s="1"/>
  <c r="D86" i="8" s="1"/>
  <c r="CZ87" i="8"/>
  <c r="E87" i="8" s="1"/>
  <c r="D87" i="8" s="1"/>
  <c r="CZ88" i="8"/>
  <c r="E88" i="8" s="1"/>
  <c r="D88" i="8" s="1"/>
  <c r="CZ90" i="8"/>
  <c r="E90" i="8" s="1"/>
  <c r="D90" i="8" s="1"/>
  <c r="CZ85" i="8"/>
  <c r="CZ81" i="8"/>
  <c r="CZ65" i="8"/>
  <c r="CZ76" i="8"/>
  <c r="E76" i="8" s="1"/>
  <c r="D76" i="8" s="1"/>
  <c r="CZ77" i="8"/>
  <c r="E77" i="8" s="1"/>
  <c r="D77" i="8" s="1"/>
  <c r="CZ71" i="8"/>
  <c r="E71" i="8" s="1"/>
  <c r="D71" i="8" s="1"/>
  <c r="CZ72" i="8"/>
  <c r="CZ73" i="8"/>
  <c r="CZ70" i="8"/>
  <c r="E70" i="8" s="1"/>
  <c r="D70" i="8" s="1"/>
  <c r="CZ75" i="8"/>
  <c r="CZ68" i="8"/>
  <c r="CZ69" i="8"/>
  <c r="E69" i="8" s="1"/>
  <c r="D69" i="8" s="1"/>
  <c r="CZ47" i="8"/>
  <c r="CZ48" i="8"/>
  <c r="E48" i="8" s="1"/>
  <c r="D48" i="8" s="1"/>
  <c r="CZ49" i="8"/>
  <c r="E49" i="8" s="1"/>
  <c r="D49" i="8" s="1"/>
  <c r="CZ50" i="8"/>
  <c r="E50" i="8" s="1"/>
  <c r="D50" i="8" s="1"/>
  <c r="CZ51" i="8"/>
  <c r="CZ52" i="8"/>
  <c r="E52" i="8" s="1"/>
  <c r="D52" i="8" s="1"/>
  <c r="CZ58" i="8"/>
  <c r="E58" i="8" s="1"/>
  <c r="D58" i="8" s="1"/>
  <c r="CZ59" i="8"/>
  <c r="E59" i="8" s="1"/>
  <c r="D59" i="8" s="1"/>
  <c r="CZ53" i="8"/>
  <c r="E53" i="8" s="1"/>
  <c r="D53" i="8" s="1"/>
  <c r="CZ54" i="8"/>
  <c r="E54" i="8" s="1"/>
  <c r="D54" i="8" s="1"/>
  <c r="CZ56" i="8"/>
  <c r="E56" i="8" s="1"/>
  <c r="D56" i="8" s="1"/>
  <c r="CZ60" i="8"/>
  <c r="E60" i="8" s="1"/>
  <c r="D60" i="8" s="1"/>
  <c r="CZ57" i="8"/>
  <c r="E57" i="8" s="1"/>
  <c r="D57" i="8" s="1"/>
  <c r="CZ61" i="8"/>
  <c r="E61" i="8" s="1"/>
  <c r="D61" i="8" s="1"/>
  <c r="CY62" i="8"/>
  <c r="CY31" i="8"/>
  <c r="CZ29" i="8"/>
  <c r="CZ30" i="8"/>
  <c r="E30" i="8" s="1"/>
  <c r="D30" i="8" s="1"/>
  <c r="CZ43" i="8"/>
  <c r="E43" i="8" s="1"/>
  <c r="D43" i="8" s="1"/>
  <c r="CZ42" i="8"/>
  <c r="E42" i="8" s="1"/>
  <c r="D42" i="8" s="1"/>
  <c r="CY26" i="8" l="1"/>
  <c r="CV41" i="8"/>
  <c r="CV44" i="8" s="1"/>
  <c r="CW40" i="8"/>
  <c r="E9" i="8"/>
  <c r="D9" i="8" s="1"/>
  <c r="B166" i="6"/>
  <c r="C165" i="6"/>
  <c r="CZ10" i="8"/>
  <c r="CY11" i="8"/>
  <c r="CZ101" i="8"/>
  <c r="CZ23" i="8"/>
  <c r="CZ24" i="8"/>
  <c r="CZ25" i="8"/>
  <c r="CZ113" i="8"/>
  <c r="CZ115" i="8" s="1"/>
  <c r="CZ78" i="8"/>
  <c r="E81" i="8"/>
  <c r="D81" i="8" s="1"/>
  <c r="E85" i="8"/>
  <c r="D85" i="8" s="1"/>
  <c r="E68" i="8"/>
  <c r="D68" i="8" s="1"/>
  <c r="CZ62" i="8"/>
  <c r="E62" i="8" s="1"/>
  <c r="D62" i="8" s="1"/>
  <c r="CZ31" i="8"/>
  <c r="E31" i="8" s="1"/>
  <c r="D31" i="8" s="1"/>
  <c r="E51" i="8"/>
  <c r="D51" i="8" s="1"/>
  <c r="E47" i="8"/>
  <c r="D47" i="8" s="1"/>
  <c r="E29" i="8"/>
  <c r="D29" i="8" s="1"/>
  <c r="J72" i="8"/>
  <c r="K72" i="8"/>
  <c r="L72" i="8"/>
  <c r="M72" i="8"/>
  <c r="N72" i="8"/>
  <c r="O72" i="8"/>
  <c r="P72" i="8"/>
  <c r="Q72" i="8"/>
  <c r="R72" i="8"/>
  <c r="S72" i="8"/>
  <c r="T72" i="8"/>
  <c r="U72" i="8"/>
  <c r="V72" i="8"/>
  <c r="W72" i="8"/>
  <c r="X72" i="8"/>
  <c r="Y72" i="8"/>
  <c r="Z72" i="8"/>
  <c r="AA72" i="8"/>
  <c r="AB72" i="8"/>
  <c r="AC72" i="8"/>
  <c r="AD72" i="8"/>
  <c r="AE72" i="8"/>
  <c r="AF72" i="8"/>
  <c r="AG72" i="8"/>
  <c r="AH72" i="8"/>
  <c r="J73" i="8"/>
  <c r="K73" i="8"/>
  <c r="L73" i="8"/>
  <c r="M73" i="8"/>
  <c r="N73" i="8"/>
  <c r="O73" i="8"/>
  <c r="P73" i="8"/>
  <c r="Q73" i="8"/>
  <c r="R73" i="8"/>
  <c r="S73" i="8"/>
  <c r="T73" i="8"/>
  <c r="U73" i="8"/>
  <c r="V73" i="8"/>
  <c r="W73" i="8"/>
  <c r="X73" i="8"/>
  <c r="Y73" i="8"/>
  <c r="Z73" i="8"/>
  <c r="AA73" i="8"/>
  <c r="AB73" i="8"/>
  <c r="AC73" i="8"/>
  <c r="AD73" i="8"/>
  <c r="AE73" i="8"/>
  <c r="AF73" i="8"/>
  <c r="AG73" i="8"/>
  <c r="AH73" i="8"/>
  <c r="J75" i="8"/>
  <c r="K75" i="8"/>
  <c r="L75" i="8"/>
  <c r="M75" i="8"/>
  <c r="N75" i="8"/>
  <c r="O75" i="8"/>
  <c r="P75" i="8"/>
  <c r="Q75" i="8"/>
  <c r="R75" i="8"/>
  <c r="S75" i="8"/>
  <c r="T75" i="8"/>
  <c r="U75" i="8"/>
  <c r="V75" i="8"/>
  <c r="W75" i="8"/>
  <c r="X75" i="8"/>
  <c r="Y75" i="8"/>
  <c r="Z75" i="8"/>
  <c r="AA75" i="8"/>
  <c r="AB75" i="8"/>
  <c r="AC75" i="8"/>
  <c r="AD75" i="8"/>
  <c r="AE75" i="8"/>
  <c r="AF75" i="8"/>
  <c r="AG75" i="8"/>
  <c r="AH75" i="8"/>
  <c r="CZ26" i="8" l="1"/>
  <c r="CZ11" i="8"/>
  <c r="E11" i="8" s="1"/>
  <c r="E10" i="8"/>
  <c r="D10" i="8" s="1"/>
  <c r="CW41" i="8"/>
  <c r="CW44" i="8" s="1"/>
  <c r="CX40" i="8"/>
  <c r="B167" i="6"/>
  <c r="C166" i="6"/>
  <c r="AF78" i="8"/>
  <c r="AB78" i="8"/>
  <c r="X78" i="8"/>
  <c r="T78" i="8"/>
  <c r="P78" i="8"/>
  <c r="L78" i="8"/>
  <c r="AE78" i="8"/>
  <c r="AA78" i="8"/>
  <c r="W78" i="8"/>
  <c r="S78" i="8"/>
  <c r="O78" i="8"/>
  <c r="K78" i="8"/>
  <c r="AH78" i="8"/>
  <c r="AD78" i="8"/>
  <c r="Z78" i="8"/>
  <c r="V78" i="8"/>
  <c r="R78" i="8"/>
  <c r="N78" i="8"/>
  <c r="J78" i="8"/>
  <c r="AG78" i="8"/>
  <c r="AC78" i="8"/>
  <c r="Y78" i="8"/>
  <c r="U78" i="8"/>
  <c r="Q78" i="8"/>
  <c r="M78" i="8"/>
  <c r="E73" i="8"/>
  <c r="D73" i="8" s="1"/>
  <c r="E75" i="8"/>
  <c r="D75" i="8" s="1"/>
  <c r="E72" i="8"/>
  <c r="D72" i="8" s="1"/>
  <c r="H12" i="8"/>
  <c r="J12" i="8" s="1"/>
  <c r="J22" i="8" s="1"/>
  <c r="CX41" i="8" l="1"/>
  <c r="CX44" i="8" s="1"/>
  <c r="CY40" i="8"/>
  <c r="B168" i="6"/>
  <c r="C167" i="6"/>
  <c r="M12" i="8"/>
  <c r="M22" i="8" s="1"/>
  <c r="CY12" i="8"/>
  <c r="CY22" i="8" s="1"/>
  <c r="CZ103" i="8" s="1"/>
  <c r="CZ104" i="8" s="1"/>
  <c r="CJ12" i="8"/>
  <c r="CJ22" i="8" s="1"/>
  <c r="CR12" i="8"/>
  <c r="CR22" i="8" s="1"/>
  <c r="CS103" i="8" s="1"/>
  <c r="CS104" i="8" s="1"/>
  <c r="CV12" i="8"/>
  <c r="CV22" i="8" s="1"/>
  <c r="CW103" i="8" s="1"/>
  <c r="CW104" i="8" s="1"/>
  <c r="CD12" i="8"/>
  <c r="CD22" i="8" s="1"/>
  <c r="BP12" i="8"/>
  <c r="BP22" i="8" s="1"/>
  <c r="CZ12" i="8"/>
  <c r="CZ22" i="8" s="1"/>
  <c r="CN12" i="8"/>
  <c r="CN22" i="8" s="1"/>
  <c r="CO103" i="8" s="1"/>
  <c r="CO104" i="8" s="1"/>
  <c r="AZ12" i="8"/>
  <c r="AZ22" i="8" s="1"/>
  <c r="CX12" i="8"/>
  <c r="CX22" i="8" s="1"/>
  <c r="CY103" i="8" s="1"/>
  <c r="CY104" i="8" s="1"/>
  <c r="CT12" i="8"/>
  <c r="CT22" i="8" s="1"/>
  <c r="CU103" i="8" s="1"/>
  <c r="CU104" i="8" s="1"/>
  <c r="CP12" i="8"/>
  <c r="CP22" i="8" s="1"/>
  <c r="CQ103" i="8" s="1"/>
  <c r="CQ104" i="8" s="1"/>
  <c r="CL12" i="8"/>
  <c r="CL22" i="8" s="1"/>
  <c r="CM103" i="8" s="1"/>
  <c r="CM104" i="8" s="1"/>
  <c r="CG12" i="8"/>
  <c r="CG22" i="8" s="1"/>
  <c r="BX12" i="8"/>
  <c r="BX22" i="8" s="1"/>
  <c r="BH12" i="8"/>
  <c r="BH22" i="8" s="1"/>
  <c r="AR12" i="8"/>
  <c r="AR22" i="8" s="1"/>
  <c r="CU12" i="8"/>
  <c r="CU22" i="8" s="1"/>
  <c r="CV103" i="8" s="1"/>
  <c r="CV104" i="8" s="1"/>
  <c r="CQ12" i="8"/>
  <c r="CQ22" i="8" s="1"/>
  <c r="CR103" i="8" s="1"/>
  <c r="CR104" i="8" s="1"/>
  <c r="CM12" i="8"/>
  <c r="CM22" i="8" s="1"/>
  <c r="CN103" i="8" s="1"/>
  <c r="CN104" i="8" s="1"/>
  <c r="CH12" i="8"/>
  <c r="CH22" i="8" s="1"/>
  <c r="CC12" i="8"/>
  <c r="CC22" i="8" s="1"/>
  <c r="BO12" i="8"/>
  <c r="BO22" i="8" s="1"/>
  <c r="AY12" i="8"/>
  <c r="AY22" i="8" s="1"/>
  <c r="CW12" i="8"/>
  <c r="CW22" i="8" s="1"/>
  <c r="CX103" i="8" s="1"/>
  <c r="CX104" i="8" s="1"/>
  <c r="CS12" i="8"/>
  <c r="CS22" i="8" s="1"/>
  <c r="CT103" i="8" s="1"/>
  <c r="CT104" i="8" s="1"/>
  <c r="CO12" i="8"/>
  <c r="CO22" i="8" s="1"/>
  <c r="CP103" i="8" s="1"/>
  <c r="CP104" i="8" s="1"/>
  <c r="CK12" i="8"/>
  <c r="CK22" i="8" s="1"/>
  <c r="CL103" i="8" s="1"/>
  <c r="CL104" i="8" s="1"/>
  <c r="CF12" i="8"/>
  <c r="CF22" i="8" s="1"/>
  <c r="BW12" i="8"/>
  <c r="BW22" i="8" s="1"/>
  <c r="BG12" i="8"/>
  <c r="BG22" i="8" s="1"/>
  <c r="AQ12" i="8"/>
  <c r="AQ22" i="8" s="1"/>
  <c r="CB12" i="8"/>
  <c r="CB22" i="8" s="1"/>
  <c r="BT12" i="8"/>
  <c r="BT22" i="8" s="1"/>
  <c r="BL12" i="8"/>
  <c r="BL22" i="8" s="1"/>
  <c r="BD12" i="8"/>
  <c r="BD22" i="8" s="1"/>
  <c r="AV12" i="8"/>
  <c r="AV22" i="8" s="1"/>
  <c r="AI12" i="8"/>
  <c r="AI22" i="8" s="1"/>
  <c r="CI12" i="8"/>
  <c r="CI22" i="8" s="1"/>
  <c r="CE12" i="8"/>
  <c r="CE22" i="8" s="1"/>
  <c r="CA12" i="8"/>
  <c r="CA22" i="8" s="1"/>
  <c r="BS12" i="8"/>
  <c r="BS22" i="8" s="1"/>
  <c r="BK12" i="8"/>
  <c r="BK22" i="8" s="1"/>
  <c r="BC12" i="8"/>
  <c r="BC22" i="8" s="1"/>
  <c r="AU12" i="8"/>
  <c r="AU22" i="8" s="1"/>
  <c r="AC12" i="8"/>
  <c r="AC22" i="8" s="1"/>
  <c r="BZ12" i="8"/>
  <c r="BZ22" i="8" s="1"/>
  <c r="BV12" i="8"/>
  <c r="BV22" i="8" s="1"/>
  <c r="BR12" i="8"/>
  <c r="BR22" i="8" s="1"/>
  <c r="BN12" i="8"/>
  <c r="BN22" i="8" s="1"/>
  <c r="BJ12" i="8"/>
  <c r="BJ22" i="8" s="1"/>
  <c r="BF12" i="8"/>
  <c r="BF22" i="8" s="1"/>
  <c r="BB12" i="8"/>
  <c r="BB22" i="8" s="1"/>
  <c r="AX12" i="8"/>
  <c r="AX22" i="8" s="1"/>
  <c r="AT12" i="8"/>
  <c r="AT22" i="8" s="1"/>
  <c r="AO12" i="8"/>
  <c r="AO22" i="8" s="1"/>
  <c r="X12" i="8"/>
  <c r="X22" i="8" s="1"/>
  <c r="BY12" i="8"/>
  <c r="BY22" i="8" s="1"/>
  <c r="BU12" i="8"/>
  <c r="BU22" i="8" s="1"/>
  <c r="BQ12" i="8"/>
  <c r="BQ22" i="8" s="1"/>
  <c r="BM12" i="8"/>
  <c r="BM22" i="8" s="1"/>
  <c r="BI12" i="8"/>
  <c r="BI22" i="8" s="1"/>
  <c r="BE12" i="8"/>
  <c r="BE22" i="8" s="1"/>
  <c r="BA12" i="8"/>
  <c r="BA22" i="8" s="1"/>
  <c r="AW12" i="8"/>
  <c r="AW22" i="8" s="1"/>
  <c r="AS12" i="8"/>
  <c r="AS22" i="8" s="1"/>
  <c r="AN12" i="8"/>
  <c r="AN22" i="8" s="1"/>
  <c r="S12" i="8"/>
  <c r="S22" i="8" s="1"/>
  <c r="AJ12" i="8"/>
  <c r="AJ22" i="8" s="1"/>
  <c r="AE12" i="8"/>
  <c r="AE22" i="8" s="1"/>
  <c r="Y12" i="8"/>
  <c r="Y22" i="8" s="1"/>
  <c r="T12" i="8"/>
  <c r="T22" i="8" s="1"/>
  <c r="O12" i="8"/>
  <c r="O22" i="8" s="1"/>
  <c r="I12" i="8"/>
  <c r="I22" i="8" s="1"/>
  <c r="E78" i="8"/>
  <c r="D78" i="8" s="1"/>
  <c r="AM12" i="8"/>
  <c r="AM22" i="8" s="1"/>
  <c r="AG12" i="8"/>
  <c r="AG22" i="8" s="1"/>
  <c r="AB12" i="8"/>
  <c r="AB22" i="8" s="1"/>
  <c r="W12" i="8"/>
  <c r="W22" i="8" s="1"/>
  <c r="Q12" i="8"/>
  <c r="Q22" i="8" s="1"/>
  <c r="L12" i="8"/>
  <c r="L22" i="8" s="1"/>
  <c r="AK12" i="8"/>
  <c r="AK22" i="8" s="1"/>
  <c r="AF12" i="8"/>
  <c r="AF22" i="8" s="1"/>
  <c r="AA12" i="8"/>
  <c r="AA22" i="8" s="1"/>
  <c r="U12" i="8"/>
  <c r="U22" i="8" s="1"/>
  <c r="P12" i="8"/>
  <c r="P22" i="8" s="1"/>
  <c r="K12" i="8"/>
  <c r="K22" i="8" s="1"/>
  <c r="AP12" i="8"/>
  <c r="AP22" i="8" s="1"/>
  <c r="AL12" i="8"/>
  <c r="AL22" i="8" s="1"/>
  <c r="AH12" i="8"/>
  <c r="AH22" i="8" s="1"/>
  <c r="AD12" i="8"/>
  <c r="AD22" i="8" s="1"/>
  <c r="Z12" i="8"/>
  <c r="Z22" i="8" s="1"/>
  <c r="V12" i="8"/>
  <c r="V22" i="8" s="1"/>
  <c r="R12" i="8"/>
  <c r="R22" i="8" s="1"/>
  <c r="N12" i="8"/>
  <c r="N22" i="8" s="1"/>
  <c r="E22" i="8" l="1"/>
  <c r="H83" i="5" s="1"/>
  <c r="B169" i="6"/>
  <c r="C168" i="6"/>
  <c r="CY41" i="8"/>
  <c r="CY44" i="8" s="1"/>
  <c r="CZ40" i="8"/>
  <c r="CZ41" i="8" s="1"/>
  <c r="J82" i="8"/>
  <c r="I13" i="8"/>
  <c r="I14" i="8" s="1"/>
  <c r="E12" i="8"/>
  <c r="D12" i="8" s="1"/>
  <c r="J103" i="8" l="1"/>
  <c r="J83" i="5"/>
  <c r="C22" i="8"/>
  <c r="I83" i="5"/>
  <c r="J13" i="8"/>
  <c r="J15" i="8" s="1"/>
  <c r="J16" i="8" s="1"/>
  <c r="J17" i="8" s="1"/>
  <c r="E41" i="8"/>
  <c r="D41" i="8" s="1"/>
  <c r="CZ44" i="8"/>
  <c r="E44" i="8" s="1"/>
  <c r="D44" i="8" s="1"/>
  <c r="B170" i="6"/>
  <c r="C169" i="6"/>
  <c r="AG82" i="8"/>
  <c r="CR82" i="8"/>
  <c r="CQ82" i="8"/>
  <c r="BL82" i="8"/>
  <c r="BK82" i="8"/>
  <c r="AD82" i="8"/>
  <c r="BB82" i="8"/>
  <c r="K82" i="8"/>
  <c r="CL82" i="8"/>
  <c r="AV82" i="8"/>
  <c r="U82" i="8"/>
  <c r="CV82" i="8"/>
  <c r="CM82" i="8"/>
  <c r="CK82" i="8"/>
  <c r="BF82" i="8"/>
  <c r="BQ82" i="8"/>
  <c r="AA82" i="8"/>
  <c r="Z82" i="8"/>
  <c r="CF82" i="8"/>
  <c r="AU82" i="8"/>
  <c r="AJ82" i="8"/>
  <c r="V82" i="8"/>
  <c r="CC82" i="8"/>
  <c r="AI82" i="8"/>
  <c r="AX82" i="8"/>
  <c r="AE82" i="8"/>
  <c r="P82" i="8"/>
  <c r="CB82" i="8"/>
  <c r="AW82" i="8"/>
  <c r="AL82" i="8"/>
  <c r="CZ82" i="8"/>
  <c r="BX82" i="8"/>
  <c r="BG82" i="8"/>
  <c r="AT82" i="8"/>
  <c r="Y82" i="8"/>
  <c r="AF82" i="8"/>
  <c r="N82" i="8"/>
  <c r="BR82" i="8"/>
  <c r="O82" i="8"/>
  <c r="M82" i="8"/>
  <c r="AQ82" i="8"/>
  <c r="BV82" i="8"/>
  <c r="AO82" i="8"/>
  <c r="BA82" i="8"/>
  <c r="T82" i="8"/>
  <c r="Q82" i="8"/>
  <c r="AP82" i="8"/>
  <c r="AR82" i="8"/>
  <c r="X82" i="8"/>
  <c r="L82" i="8"/>
  <c r="CJ82" i="8"/>
  <c r="CU82" i="8"/>
  <c r="BN82" i="8"/>
  <c r="AS82" i="8"/>
  <c r="CX82" i="8"/>
  <c r="BT82" i="8"/>
  <c r="BY82" i="8"/>
  <c r="CS82" i="8"/>
  <c r="BS82" i="8"/>
  <c r="I82" i="8"/>
  <c r="AB82" i="8"/>
  <c r="R82" i="8"/>
  <c r="AZ82" i="8"/>
  <c r="BO82" i="8"/>
  <c r="CI82" i="8"/>
  <c r="BZ82" i="8"/>
  <c r="BE82" i="8"/>
  <c r="CW82" i="8"/>
  <c r="CN82" i="8"/>
  <c r="BH82" i="8"/>
  <c r="AY82" i="8"/>
  <c r="CE82" i="8"/>
  <c r="CY82" i="8"/>
  <c r="CA82" i="8"/>
  <c r="BP82" i="8"/>
  <c r="CG82" i="8"/>
  <c r="BW82" i="8"/>
  <c r="AC82" i="8"/>
  <c r="BI82" i="8"/>
  <c r="AK82" i="8"/>
  <c r="AH82" i="8"/>
  <c r="CH82" i="8"/>
  <c r="CT82" i="8"/>
  <c r="CO82" i="8"/>
  <c r="BJ82" i="8"/>
  <c r="BU82" i="8"/>
  <c r="AN82" i="8"/>
  <c r="W82" i="8"/>
  <c r="BM82" i="8"/>
  <c r="CP82" i="8"/>
  <c r="BD82" i="8"/>
  <c r="BC82" i="8"/>
  <c r="S82" i="8"/>
  <c r="AM82" i="8"/>
  <c r="CD82" i="8"/>
  <c r="K13" i="8"/>
  <c r="J14" i="8" l="1"/>
  <c r="K15" i="8"/>
  <c r="K16" i="8" s="1"/>
  <c r="K17" i="8" s="1"/>
  <c r="B171" i="6"/>
  <c r="C170" i="6"/>
  <c r="J25" i="8"/>
  <c r="J24" i="8"/>
  <c r="J23" i="8"/>
  <c r="E82" i="8"/>
  <c r="D82" i="8" s="1"/>
  <c r="K14" i="8"/>
  <c r="L13" i="8"/>
  <c r="J26" i="8" l="1"/>
  <c r="L15" i="8"/>
  <c r="L16" i="8" s="1"/>
  <c r="L17" i="8" s="1"/>
  <c r="B172" i="6"/>
  <c r="C171" i="6"/>
  <c r="K25" i="8"/>
  <c r="K23" i="8"/>
  <c r="K24" i="8"/>
  <c r="M13" i="8"/>
  <c r="L14" i="8"/>
  <c r="K26" i="8" l="1"/>
  <c r="M15" i="8"/>
  <c r="M16" i="8" s="1"/>
  <c r="M17" i="8" s="1"/>
  <c r="B173" i="6"/>
  <c r="C172" i="6"/>
  <c r="L25" i="8"/>
  <c r="L24" i="8"/>
  <c r="L23" i="8"/>
  <c r="N13" i="8"/>
  <c r="M14" i="8"/>
  <c r="L26" i="8" l="1"/>
  <c r="N15" i="8"/>
  <c r="N16" i="8" s="1"/>
  <c r="N17" i="8" s="1"/>
  <c r="C173" i="6"/>
  <c r="B174" i="6"/>
  <c r="M25" i="8"/>
  <c r="M24" i="8"/>
  <c r="M23" i="8"/>
  <c r="O13" i="8"/>
  <c r="N14" i="8"/>
  <c r="O15" i="8" l="1"/>
  <c r="O16" i="8" s="1"/>
  <c r="O17" i="8" s="1"/>
  <c r="M26" i="8"/>
  <c r="B175" i="6"/>
  <c r="C174" i="6"/>
  <c r="N25" i="8"/>
  <c r="N24" i="8"/>
  <c r="N23" i="8"/>
  <c r="P13" i="8"/>
  <c r="O14" i="8"/>
  <c r="P15" i="8" l="1"/>
  <c r="P16" i="8" s="1"/>
  <c r="P17" i="8" s="1"/>
  <c r="N26" i="8"/>
  <c r="C175" i="6"/>
  <c r="B176" i="6"/>
  <c r="O25" i="8"/>
  <c r="O24" i="8"/>
  <c r="O23" i="8"/>
  <c r="Q13" i="8"/>
  <c r="P14" i="8"/>
  <c r="Q15" i="8" l="1"/>
  <c r="Q16" i="8" s="1"/>
  <c r="O26" i="8"/>
  <c r="B177" i="6"/>
  <c r="C176" i="6"/>
  <c r="Q17" i="8"/>
  <c r="P25" i="8"/>
  <c r="P23" i="8"/>
  <c r="P24" i="8"/>
  <c r="R13" i="8"/>
  <c r="R15" i="8" s="1"/>
  <c r="R16" i="8" s="1"/>
  <c r="Q14" i="8"/>
  <c r="P26" i="8" l="1"/>
  <c r="C177" i="6"/>
  <c r="B178" i="6"/>
  <c r="R17" i="8"/>
  <c r="Q25" i="8"/>
  <c r="Q23" i="8"/>
  <c r="Q24" i="8"/>
  <c r="S13" i="8"/>
  <c r="S15" i="8" s="1"/>
  <c r="S16" i="8" s="1"/>
  <c r="R14" i="8"/>
  <c r="Q26" i="8" l="1"/>
  <c r="C178" i="6"/>
  <c r="B179" i="6"/>
  <c r="S17" i="8"/>
  <c r="R23" i="8"/>
  <c r="R24" i="8"/>
  <c r="R25" i="8"/>
  <c r="T13" i="8"/>
  <c r="T15" i="8" s="1"/>
  <c r="T16" i="8" s="1"/>
  <c r="S14" i="8"/>
  <c r="R26" i="8" l="1"/>
  <c r="C179" i="6"/>
  <c r="B180" i="6"/>
  <c r="T17" i="8"/>
  <c r="S24" i="8"/>
  <c r="S25" i="8"/>
  <c r="S23" i="8"/>
  <c r="T14" i="8"/>
  <c r="U13" i="8"/>
  <c r="U15" i="8" s="1"/>
  <c r="U16" i="8" s="1"/>
  <c r="S26" i="8" l="1"/>
  <c r="C180" i="6"/>
  <c r="B181" i="6"/>
  <c r="U17" i="8"/>
  <c r="T23" i="8"/>
  <c r="T24" i="8"/>
  <c r="T25" i="8"/>
  <c r="V13" i="8"/>
  <c r="V15" i="8" s="1"/>
  <c r="V16" i="8" s="1"/>
  <c r="U14" i="8"/>
  <c r="T26" i="8" l="1"/>
  <c r="C181" i="6"/>
  <c r="B182" i="6"/>
  <c r="V17" i="8"/>
  <c r="U24" i="8"/>
  <c r="U23" i="8"/>
  <c r="U25" i="8"/>
  <c r="W13" i="8"/>
  <c r="W15" i="8" s="1"/>
  <c r="W16" i="8" s="1"/>
  <c r="V14" i="8"/>
  <c r="U26" i="8" l="1"/>
  <c r="C182" i="6"/>
  <c r="B183" i="6"/>
  <c r="W17" i="8"/>
  <c r="V25" i="8"/>
  <c r="V23" i="8"/>
  <c r="V24" i="8"/>
  <c r="W14" i="8"/>
  <c r="X13" i="8"/>
  <c r="X15" i="8" s="1"/>
  <c r="X16" i="8" s="1"/>
  <c r="V26" i="8" l="1"/>
  <c r="C183" i="6"/>
  <c r="B184" i="6"/>
  <c r="X17" i="8"/>
  <c r="W24" i="8"/>
  <c r="W23" i="8"/>
  <c r="W25" i="8"/>
  <c r="Y13" i="8"/>
  <c r="Y15" i="8" s="1"/>
  <c r="Y16" i="8" s="1"/>
  <c r="X14" i="8"/>
  <c r="W26" i="8" l="1"/>
  <c r="B185" i="6"/>
  <c r="C184" i="6"/>
  <c r="Y17" i="8"/>
  <c r="X23" i="8"/>
  <c r="X25" i="8"/>
  <c r="X24" i="8"/>
  <c r="Z13" i="8"/>
  <c r="Z15" i="8" s="1"/>
  <c r="Z16" i="8" s="1"/>
  <c r="Y14" i="8"/>
  <c r="X26" i="8" l="1"/>
  <c r="C185" i="6"/>
  <c r="B186" i="6"/>
  <c r="Z17" i="8"/>
  <c r="Y24" i="8"/>
  <c r="Y25" i="8"/>
  <c r="Y23" i="8"/>
  <c r="AA13" i="8"/>
  <c r="AA15" i="8" s="1"/>
  <c r="AA16" i="8" s="1"/>
  <c r="Z14" i="8"/>
  <c r="Y26" i="8" l="1"/>
  <c r="C186" i="6"/>
  <c r="B187" i="6"/>
  <c r="AA17" i="8"/>
  <c r="Z23" i="8"/>
  <c r="Z25" i="8"/>
  <c r="Z24" i="8"/>
  <c r="AB13" i="8"/>
  <c r="AB15" i="8" s="1"/>
  <c r="AB16" i="8" s="1"/>
  <c r="AA14" i="8"/>
  <c r="Z26" i="8" l="1"/>
  <c r="C187" i="6"/>
  <c r="B188" i="6"/>
  <c r="AB17" i="8"/>
  <c r="AA24" i="8"/>
  <c r="AA25" i="8"/>
  <c r="AA23" i="8"/>
  <c r="AC13" i="8"/>
  <c r="AC15" i="8" s="1"/>
  <c r="AC16" i="8" s="1"/>
  <c r="AB14" i="8"/>
  <c r="AA26" i="8" l="1"/>
  <c r="B189" i="6"/>
  <c r="C188" i="6"/>
  <c r="AC17" i="8"/>
  <c r="AB25" i="8"/>
  <c r="AB24" i="8"/>
  <c r="AB23" i="8"/>
  <c r="AD13" i="8"/>
  <c r="AD15" i="8" s="1"/>
  <c r="AD16" i="8" s="1"/>
  <c r="AC14" i="8"/>
  <c r="AB26" i="8" l="1"/>
  <c r="C189" i="6"/>
  <c r="B190" i="6"/>
  <c r="AD17" i="8"/>
  <c r="AC25" i="8"/>
  <c r="AC24" i="8"/>
  <c r="AC23" i="8"/>
  <c r="AE13" i="8"/>
  <c r="AE15" i="8" s="1"/>
  <c r="AE16" i="8" s="1"/>
  <c r="AD14" i="8"/>
  <c r="AC26" i="8" l="1"/>
  <c r="C190" i="6"/>
  <c r="B191" i="6"/>
  <c r="AE17" i="8"/>
  <c r="AD25" i="8"/>
  <c r="AD24" i="8"/>
  <c r="AD23" i="8"/>
  <c r="AF13" i="8"/>
  <c r="AF15" i="8" s="1"/>
  <c r="AF16" i="8" s="1"/>
  <c r="AF17" i="8" s="1"/>
  <c r="AE14" i="8"/>
  <c r="AD26" i="8" l="1"/>
  <c r="C191" i="6"/>
  <c r="B192" i="6"/>
  <c r="AF23" i="8"/>
  <c r="AF24" i="8"/>
  <c r="AF25" i="8"/>
  <c r="AE25" i="8"/>
  <c r="AE24" i="8"/>
  <c r="AE23" i="8"/>
  <c r="AG13" i="8"/>
  <c r="AF14" i="8"/>
  <c r="AE26" i="8" l="1"/>
  <c r="AF26" i="8"/>
  <c r="B193" i="6"/>
  <c r="C192" i="6"/>
  <c r="AG15" i="8"/>
  <c r="AH13" i="8"/>
  <c r="AG14" i="8"/>
  <c r="C193" i="6" l="1"/>
  <c r="B194" i="6"/>
  <c r="AH14" i="8"/>
  <c r="AI13" i="8"/>
  <c r="AG16" i="8"/>
  <c r="C194" i="6" l="1"/>
  <c r="B195" i="6"/>
  <c r="C195" i="6" s="1"/>
  <c r="AH15" i="8"/>
  <c r="AH16" i="8" s="1"/>
  <c r="AG17" i="8"/>
  <c r="AJ13" i="8"/>
  <c r="AI14" i="8"/>
  <c r="C37" i="6" l="1"/>
  <c r="D37" i="6"/>
  <c r="C38" i="6"/>
  <c r="D38" i="6"/>
  <c r="AG24" i="8"/>
  <c r="AG23" i="8"/>
  <c r="AG25" i="8"/>
  <c r="AI15" i="8"/>
  <c r="AI16" i="8" s="1"/>
  <c r="AH17" i="8"/>
  <c r="AK13" i="8"/>
  <c r="AJ14" i="8"/>
  <c r="AG26" i="8" l="1"/>
  <c r="AH24" i="8"/>
  <c r="AH23" i="8"/>
  <c r="AH25" i="8"/>
  <c r="AJ15" i="8"/>
  <c r="AJ16" i="8" s="1"/>
  <c r="AI17" i="8"/>
  <c r="AL13" i="8"/>
  <c r="AK14" i="8"/>
  <c r="AH26" i="8" l="1"/>
  <c r="AI25" i="8"/>
  <c r="AI24" i="8"/>
  <c r="AI23" i="8"/>
  <c r="AK15" i="8"/>
  <c r="AK16" i="8" s="1"/>
  <c r="AJ17" i="8"/>
  <c r="AM13" i="8"/>
  <c r="AL14" i="8"/>
  <c r="AI26" i="8" l="1"/>
  <c r="AJ25" i="8"/>
  <c r="AJ24" i="8"/>
  <c r="AJ23" i="8"/>
  <c r="AL15" i="8"/>
  <c r="AL16" i="8" s="1"/>
  <c r="AK17" i="8"/>
  <c r="AN13" i="8"/>
  <c r="AM14" i="8"/>
  <c r="AJ26" i="8" l="1"/>
  <c r="AK23" i="8"/>
  <c r="AK25" i="8"/>
  <c r="AK24" i="8"/>
  <c r="AM15" i="8"/>
  <c r="AM16" i="8" s="1"/>
  <c r="AL17" i="8"/>
  <c r="AO13" i="8"/>
  <c r="AN14" i="8"/>
  <c r="AK26" i="8" l="1"/>
  <c r="AL24" i="8"/>
  <c r="AL23" i="8"/>
  <c r="AL25" i="8"/>
  <c r="AN15" i="8"/>
  <c r="AN16" i="8" s="1"/>
  <c r="AM17" i="8"/>
  <c r="AP13" i="8"/>
  <c r="AO14" i="8"/>
  <c r="AL26" i="8" l="1"/>
  <c r="AM24" i="8"/>
  <c r="AM25" i="8"/>
  <c r="AM23" i="8"/>
  <c r="AO15" i="8"/>
  <c r="AO16" i="8" s="1"/>
  <c r="AN17" i="8"/>
  <c r="AQ13" i="8"/>
  <c r="AP14" i="8"/>
  <c r="AM26" i="8" l="1"/>
  <c r="AN25" i="8"/>
  <c r="AN24" i="8"/>
  <c r="AN23" i="8"/>
  <c r="AP15" i="8"/>
  <c r="AP16" i="8" s="1"/>
  <c r="AO17" i="8"/>
  <c r="AR13" i="8"/>
  <c r="AQ14" i="8"/>
  <c r="AN26" i="8" l="1"/>
  <c r="AO25" i="8"/>
  <c r="AO23" i="8"/>
  <c r="AO24" i="8"/>
  <c r="AQ15" i="8"/>
  <c r="AQ16" i="8" s="1"/>
  <c r="AP17" i="8"/>
  <c r="AR14" i="8"/>
  <c r="AS13" i="8"/>
  <c r="AO26" i="8" l="1"/>
  <c r="AP24" i="8"/>
  <c r="AP25" i="8"/>
  <c r="AP23" i="8"/>
  <c r="AR15" i="8"/>
  <c r="AR16" i="8" s="1"/>
  <c r="AQ17" i="8"/>
  <c r="AT13" i="8"/>
  <c r="AS14" i="8"/>
  <c r="AP26" i="8" l="1"/>
  <c r="AQ23" i="8"/>
  <c r="AQ24" i="8"/>
  <c r="AQ25" i="8"/>
  <c r="AS15" i="8"/>
  <c r="AS16" i="8" s="1"/>
  <c r="AR17" i="8"/>
  <c r="AU13" i="8"/>
  <c r="AT14" i="8"/>
  <c r="AQ26" i="8" l="1"/>
  <c r="AR25" i="8"/>
  <c r="AR24" i="8"/>
  <c r="AR23" i="8"/>
  <c r="AT15" i="8"/>
  <c r="AT16" i="8" s="1"/>
  <c r="AS17" i="8"/>
  <c r="AV13" i="8"/>
  <c r="AU14" i="8"/>
  <c r="AR26" i="8" l="1"/>
  <c r="AS23" i="8"/>
  <c r="AS25" i="8"/>
  <c r="AS24" i="8"/>
  <c r="AU15" i="8"/>
  <c r="AU16" i="8" s="1"/>
  <c r="AT17" i="8"/>
  <c r="AW13" i="8"/>
  <c r="AV14" i="8"/>
  <c r="AS26" i="8" l="1"/>
  <c r="AT25" i="8"/>
  <c r="AT24" i="8"/>
  <c r="AT23" i="8"/>
  <c r="AV15" i="8"/>
  <c r="AV16" i="8" s="1"/>
  <c r="AU17" i="8"/>
  <c r="AX13" i="8"/>
  <c r="AW14" i="8"/>
  <c r="AT26" i="8" l="1"/>
  <c r="AU23" i="8"/>
  <c r="AU24" i="8"/>
  <c r="AU25" i="8"/>
  <c r="AY13" i="8"/>
  <c r="AX14" i="8"/>
  <c r="AW15" i="8"/>
  <c r="AW16" i="8" s="1"/>
  <c r="AV17" i="8"/>
  <c r="AU26" i="8" l="1"/>
  <c r="AV24" i="8"/>
  <c r="AV25" i="8"/>
  <c r="AV23" i="8"/>
  <c r="AX15" i="8"/>
  <c r="AX16" i="8" s="1"/>
  <c r="AW17" i="8"/>
  <c r="AZ13" i="8"/>
  <c r="AY14" i="8"/>
  <c r="AV26" i="8" l="1"/>
  <c r="AW23" i="8"/>
  <c r="AW25" i="8"/>
  <c r="AW24" i="8"/>
  <c r="AY15" i="8"/>
  <c r="AY16" i="8" s="1"/>
  <c r="AX17" i="8"/>
  <c r="BA13" i="8"/>
  <c r="AZ14" i="8"/>
  <c r="AW26" i="8" l="1"/>
  <c r="AX23" i="8"/>
  <c r="AX24" i="8"/>
  <c r="AX25" i="8"/>
  <c r="AZ15" i="8"/>
  <c r="AZ16" i="8" s="1"/>
  <c r="AY17" i="8"/>
  <c r="BB13" i="8"/>
  <c r="BA14" i="8"/>
  <c r="AX26" i="8" l="1"/>
  <c r="AY24" i="8"/>
  <c r="AY23" i="8"/>
  <c r="AY25" i="8"/>
  <c r="BA15" i="8"/>
  <c r="BA16" i="8" s="1"/>
  <c r="AZ17" i="8"/>
  <c r="BC13" i="8"/>
  <c r="BB14" i="8"/>
  <c r="AY26" i="8" l="1"/>
  <c r="AZ25" i="8"/>
  <c r="AZ24" i="8"/>
  <c r="AZ23" i="8"/>
  <c r="BB15" i="8"/>
  <c r="BB16" i="8" s="1"/>
  <c r="BA17" i="8"/>
  <c r="BD13" i="8"/>
  <c r="BC14" i="8"/>
  <c r="AZ26" i="8" l="1"/>
  <c r="BA24" i="8"/>
  <c r="BA23" i="8"/>
  <c r="BA25" i="8"/>
  <c r="BC15" i="8"/>
  <c r="BC16" i="8" s="1"/>
  <c r="BB17" i="8"/>
  <c r="BE13" i="8"/>
  <c r="BD14" i="8"/>
  <c r="BA26" i="8" l="1"/>
  <c r="BB24" i="8"/>
  <c r="BB23" i="8"/>
  <c r="BB25" i="8"/>
  <c r="F29" i="6"/>
  <c r="F36" i="6" s="1"/>
  <c r="F46" i="6" s="1"/>
  <c r="D29" i="6"/>
  <c r="D36" i="6" s="1"/>
  <c r="D39" i="6" s="1"/>
  <c r="BD15" i="8"/>
  <c r="BD16" i="8" s="1"/>
  <c r="BC17" i="8"/>
  <c r="BF13" i="8"/>
  <c r="BE14" i="8"/>
  <c r="BB26" i="8" l="1"/>
  <c r="BC24" i="8"/>
  <c r="BC25" i="8"/>
  <c r="BC23" i="8"/>
  <c r="F51" i="6"/>
  <c r="F52" i="6" s="1"/>
  <c r="F41" i="6"/>
  <c r="F42" i="6" s="1"/>
  <c r="F47" i="6"/>
  <c r="D58" i="6"/>
  <c r="E29" i="6"/>
  <c r="E36" i="6" s="1"/>
  <c r="C29" i="6"/>
  <c r="BE15" i="8"/>
  <c r="BE16" i="8" s="1"/>
  <c r="BD17" i="8"/>
  <c r="BG13" i="8"/>
  <c r="BF14" i="8"/>
  <c r="BC26" i="8" l="1"/>
  <c r="BD25" i="8"/>
  <c r="BD23" i="8"/>
  <c r="BD24" i="8"/>
  <c r="E46" i="6"/>
  <c r="E47" i="6" s="1"/>
  <c r="E41" i="6"/>
  <c r="E51" i="6"/>
  <c r="E52" i="6" s="1"/>
  <c r="C36" i="6"/>
  <c r="C39" i="6" s="1"/>
  <c r="BF15" i="8"/>
  <c r="BF16" i="8" s="1"/>
  <c r="BE17" i="8"/>
  <c r="BH13" i="8"/>
  <c r="BG14" i="8"/>
  <c r="BD26" i="8" l="1"/>
  <c r="BE25" i="8"/>
  <c r="BE23" i="8"/>
  <c r="BE24" i="8"/>
  <c r="E42" i="6"/>
  <c r="C58" i="6"/>
  <c r="BG15" i="8"/>
  <c r="BG16" i="8" s="1"/>
  <c r="BF17" i="8"/>
  <c r="BI13" i="8"/>
  <c r="BH14" i="8"/>
  <c r="BE26" i="8" l="1"/>
  <c r="BF24" i="8"/>
  <c r="BF25" i="8"/>
  <c r="BF23" i="8"/>
  <c r="BH15" i="8"/>
  <c r="BH16" i="8" s="1"/>
  <c r="BG17" i="8"/>
  <c r="BJ13" i="8"/>
  <c r="BI14" i="8"/>
  <c r="BF26" i="8" l="1"/>
  <c r="BG24" i="8"/>
  <c r="BG25" i="8"/>
  <c r="BG23" i="8"/>
  <c r="BI15" i="8"/>
  <c r="BI16" i="8" s="1"/>
  <c r="BH17" i="8"/>
  <c r="BK13" i="8"/>
  <c r="BJ14" i="8"/>
  <c r="BG26" i="8" l="1"/>
  <c r="BH24" i="8"/>
  <c r="BH25" i="8"/>
  <c r="BH23" i="8"/>
  <c r="BJ15" i="8"/>
  <c r="BJ16" i="8" s="1"/>
  <c r="BI17" i="8"/>
  <c r="BL13" i="8"/>
  <c r="BK14" i="8"/>
  <c r="BH26" i="8" l="1"/>
  <c r="BI23" i="8"/>
  <c r="BI25" i="8"/>
  <c r="BI24" i="8"/>
  <c r="BK15" i="8"/>
  <c r="BK16" i="8" s="1"/>
  <c r="BJ17" i="8"/>
  <c r="BM13" i="8"/>
  <c r="BL14" i="8"/>
  <c r="BI26" i="8" l="1"/>
  <c r="BJ23" i="8"/>
  <c r="BJ25" i="8"/>
  <c r="BJ24" i="8"/>
  <c r="BL15" i="8"/>
  <c r="BL16" i="8" s="1"/>
  <c r="BK17" i="8"/>
  <c r="BN13" i="8"/>
  <c r="BM14" i="8"/>
  <c r="BJ26" i="8" l="1"/>
  <c r="BK24" i="8"/>
  <c r="BK23" i="8"/>
  <c r="BK25" i="8"/>
  <c r="BM15" i="8"/>
  <c r="BM16" i="8" s="1"/>
  <c r="BL17" i="8"/>
  <c r="BO13" i="8"/>
  <c r="BN14" i="8"/>
  <c r="BK26" i="8" l="1"/>
  <c r="BL25" i="8"/>
  <c r="BL23" i="8"/>
  <c r="BL24" i="8"/>
  <c r="BN15" i="8"/>
  <c r="BN16" i="8" s="1"/>
  <c r="BM17" i="8"/>
  <c r="BP13" i="8"/>
  <c r="BO14" i="8"/>
  <c r="BL26" i="8" l="1"/>
  <c r="BM23" i="8"/>
  <c r="BM25" i="8"/>
  <c r="BM24" i="8"/>
  <c r="BO15" i="8"/>
  <c r="BO16" i="8" s="1"/>
  <c r="BN17" i="8"/>
  <c r="BQ13" i="8"/>
  <c r="BP14" i="8"/>
  <c r="BM26" i="8" l="1"/>
  <c r="BN24" i="8"/>
  <c r="BN23" i="8"/>
  <c r="BN25" i="8"/>
  <c r="BP15" i="8"/>
  <c r="BP16" i="8" s="1"/>
  <c r="BO17" i="8"/>
  <c r="BR13" i="8"/>
  <c r="BQ14" i="8"/>
  <c r="BN26" i="8" l="1"/>
  <c r="BO24" i="8"/>
  <c r="BO23" i="8"/>
  <c r="BO25" i="8"/>
  <c r="BQ15" i="8"/>
  <c r="BQ16" i="8" s="1"/>
  <c r="BP17" i="8"/>
  <c r="BS13" i="8"/>
  <c r="BR14" i="8"/>
  <c r="BO26" i="8" l="1"/>
  <c r="BP24" i="8"/>
  <c r="BP23" i="8"/>
  <c r="BP25" i="8"/>
  <c r="BR15" i="8"/>
  <c r="BR16" i="8" s="1"/>
  <c r="BQ17" i="8"/>
  <c r="BT13" i="8"/>
  <c r="BS14" i="8"/>
  <c r="BP26" i="8" l="1"/>
  <c r="BQ23" i="8"/>
  <c r="BQ25" i="8"/>
  <c r="BQ24" i="8"/>
  <c r="BS15" i="8"/>
  <c r="BS16" i="8" s="1"/>
  <c r="BR17" i="8"/>
  <c r="BU13" i="8"/>
  <c r="BT14" i="8"/>
  <c r="BQ26" i="8" l="1"/>
  <c r="BR23" i="8"/>
  <c r="BR25" i="8"/>
  <c r="BR24" i="8"/>
  <c r="BT15" i="8"/>
  <c r="BT16" i="8" s="1"/>
  <c r="BS17" i="8"/>
  <c r="BV13" i="8"/>
  <c r="BU14" i="8"/>
  <c r="BR26" i="8" l="1"/>
  <c r="BS24" i="8"/>
  <c r="BS23" i="8"/>
  <c r="BS25" i="8"/>
  <c r="BU15" i="8"/>
  <c r="BU16" i="8" s="1"/>
  <c r="BT17" i="8"/>
  <c r="BW13" i="8"/>
  <c r="BV14" i="8"/>
  <c r="BS26" i="8" l="1"/>
  <c r="BT23" i="8"/>
  <c r="BT25" i="8"/>
  <c r="K9" i="12" s="1"/>
  <c r="K12" i="12" s="1"/>
  <c r="BT24" i="8"/>
  <c r="BV15" i="8"/>
  <c r="BV16" i="8" s="1"/>
  <c r="BU17" i="8"/>
  <c r="BX13" i="8"/>
  <c r="BW14" i="8"/>
  <c r="BT26" i="8" l="1"/>
  <c r="BU23" i="8"/>
  <c r="BU25" i="8"/>
  <c r="BU24" i="8"/>
  <c r="BW15" i="8"/>
  <c r="BW16" i="8" s="1"/>
  <c r="BV17" i="8"/>
  <c r="BY13" i="8"/>
  <c r="BX14" i="8"/>
  <c r="BU26" i="8" l="1"/>
  <c r="BV23" i="8"/>
  <c r="BV25" i="8"/>
  <c r="BV24" i="8"/>
  <c r="BX15" i="8"/>
  <c r="BX16" i="8" s="1"/>
  <c r="BW17" i="8"/>
  <c r="BZ13" i="8"/>
  <c r="BY14" i="8"/>
  <c r="BV26" i="8" l="1"/>
  <c r="BW24" i="8"/>
  <c r="BW23" i="8"/>
  <c r="BW25" i="8"/>
  <c r="BY15" i="8"/>
  <c r="BY16" i="8" s="1"/>
  <c r="BX17" i="8"/>
  <c r="CA13" i="8"/>
  <c r="BZ14" i="8"/>
  <c r="BW26" i="8" l="1"/>
  <c r="BX24" i="8"/>
  <c r="BX23" i="8"/>
  <c r="BX25" i="8"/>
  <c r="BZ15" i="8"/>
  <c r="BZ16" i="8" s="1"/>
  <c r="BY17" i="8"/>
  <c r="CB13" i="8"/>
  <c r="CA14" i="8"/>
  <c r="BX26" i="8" l="1"/>
  <c r="BY23" i="8"/>
  <c r="BY25" i="8"/>
  <c r="BY24" i="8"/>
  <c r="CA15" i="8"/>
  <c r="CA16" i="8" s="1"/>
  <c r="BZ17" i="8"/>
  <c r="CC13" i="8"/>
  <c r="CB14" i="8"/>
  <c r="BY26" i="8" l="1"/>
  <c r="BZ24" i="8"/>
  <c r="BZ23" i="8"/>
  <c r="BZ25" i="8"/>
  <c r="CB15" i="8"/>
  <c r="CB16" i="8" s="1"/>
  <c r="CA17" i="8"/>
  <c r="CD13" i="8"/>
  <c r="CC14" i="8"/>
  <c r="BZ26" i="8" l="1"/>
  <c r="CA25" i="8"/>
  <c r="CA23" i="8"/>
  <c r="CA24" i="8"/>
  <c r="CC15" i="8"/>
  <c r="CC16" i="8" s="1"/>
  <c r="CB17" i="8"/>
  <c r="CE13" i="8"/>
  <c r="CD14" i="8"/>
  <c r="CA26" i="8" l="1"/>
  <c r="CB24" i="8"/>
  <c r="CB23" i="8"/>
  <c r="CB25" i="8"/>
  <c r="CD15" i="8"/>
  <c r="CD16" i="8" s="1"/>
  <c r="CC17" i="8"/>
  <c r="CF13" i="8"/>
  <c r="CE14" i="8"/>
  <c r="CB26" i="8" l="1"/>
  <c r="CC23" i="8"/>
  <c r="CC24" i="8"/>
  <c r="CC25" i="8"/>
  <c r="CE15" i="8"/>
  <c r="CE16" i="8" s="1"/>
  <c r="CD17" i="8"/>
  <c r="CG13" i="8"/>
  <c r="CF14" i="8"/>
  <c r="CC26" i="8" l="1"/>
  <c r="CD23" i="8"/>
  <c r="CD25" i="8"/>
  <c r="CD24" i="8"/>
  <c r="CF15" i="8"/>
  <c r="CF16" i="8" s="1"/>
  <c r="CE17" i="8"/>
  <c r="CH13" i="8"/>
  <c r="CG14" i="8"/>
  <c r="CD26" i="8" l="1"/>
  <c r="CE24" i="8"/>
  <c r="CE23" i="8"/>
  <c r="CE25" i="8"/>
  <c r="CG15" i="8"/>
  <c r="CG16" i="8" s="1"/>
  <c r="CF17" i="8"/>
  <c r="CI13" i="8"/>
  <c r="CH14" i="8"/>
  <c r="CE26" i="8" l="1"/>
  <c r="CF25" i="8"/>
  <c r="CF24" i="8"/>
  <c r="CF23" i="8"/>
  <c r="CH15" i="8"/>
  <c r="CH16" i="8" s="1"/>
  <c r="CG17" i="8"/>
  <c r="CJ13" i="8"/>
  <c r="CI14" i="8"/>
  <c r="CF26" i="8" l="1"/>
  <c r="CG23" i="8"/>
  <c r="CG25" i="8"/>
  <c r="CG24" i="8"/>
  <c r="CI15" i="8"/>
  <c r="CI16" i="8" s="1"/>
  <c r="CH17" i="8"/>
  <c r="CK13" i="8"/>
  <c r="CJ14" i="8"/>
  <c r="CG26" i="8" l="1"/>
  <c r="CH23" i="8"/>
  <c r="CH25" i="8"/>
  <c r="CH24" i="8"/>
  <c r="CJ15" i="8"/>
  <c r="CJ16" i="8" s="1"/>
  <c r="CI17" i="8"/>
  <c r="CL13" i="8"/>
  <c r="CK14" i="8"/>
  <c r="CH26" i="8" l="1"/>
  <c r="CI24" i="8"/>
  <c r="CI23" i="8"/>
  <c r="CI25" i="8"/>
  <c r="CK15" i="8"/>
  <c r="CK16" i="8" s="1"/>
  <c r="CJ17" i="8"/>
  <c r="CM13" i="8"/>
  <c r="CL14" i="8"/>
  <c r="CI26" i="8" l="1"/>
  <c r="CJ23" i="8"/>
  <c r="CJ25" i="8"/>
  <c r="CJ24" i="8"/>
  <c r="E24" i="8" s="1"/>
  <c r="H85" i="5" s="1"/>
  <c r="CL15" i="8"/>
  <c r="CL16" i="8" s="1"/>
  <c r="CK17" i="8"/>
  <c r="CN13" i="8"/>
  <c r="CM14" i="8"/>
  <c r="CJ26" i="8" l="1"/>
  <c r="E26" i="8" s="1"/>
  <c r="J9" i="12"/>
  <c r="L9" i="12" s="1"/>
  <c r="L12" i="12" s="1"/>
  <c r="E52" i="4"/>
  <c r="E25" i="8"/>
  <c r="H86" i="5" s="1"/>
  <c r="C25" i="8" s="1"/>
  <c r="D25" i="8" s="1"/>
  <c r="C24" i="8"/>
  <c r="D24" i="8" s="1"/>
  <c r="I85" i="5"/>
  <c r="J85" i="5"/>
  <c r="E23" i="8"/>
  <c r="H84" i="5" s="1"/>
  <c r="CM15" i="8"/>
  <c r="CM16" i="8" s="1"/>
  <c r="CL17" i="8"/>
  <c r="CO13" i="8"/>
  <c r="CN14" i="8"/>
  <c r="I52" i="4" l="1"/>
  <c r="H87" i="5"/>
  <c r="J12" i="12"/>
  <c r="I9" i="12"/>
  <c r="I12" i="12" s="1"/>
  <c r="N9" i="12"/>
  <c r="N12" i="12" s="1"/>
  <c r="J86" i="5"/>
  <c r="I86" i="5"/>
  <c r="C23" i="8"/>
  <c r="I84" i="5"/>
  <c r="J84" i="5"/>
  <c r="CN15" i="8"/>
  <c r="CN16" i="8" s="1"/>
  <c r="CM17" i="8"/>
  <c r="CP13" i="8"/>
  <c r="CO14" i="8"/>
  <c r="D23" i="8" l="1"/>
  <c r="C26" i="8"/>
  <c r="J87" i="5"/>
  <c r="I47" i="1" s="1"/>
  <c r="I87" i="5"/>
  <c r="H47" i="1" s="1"/>
  <c r="G47" i="1"/>
  <c r="T9" i="12" s="1"/>
  <c r="T12" i="12" s="1"/>
  <c r="CO15" i="8"/>
  <c r="CO16" i="8" s="1"/>
  <c r="CN17" i="8"/>
  <c r="CQ13" i="8"/>
  <c r="CP14" i="8"/>
  <c r="CP15" i="8" l="1"/>
  <c r="CP16" i="8" s="1"/>
  <c r="CO17" i="8"/>
  <c r="CR13" i="8"/>
  <c r="CQ14" i="8"/>
  <c r="CQ15" i="8" l="1"/>
  <c r="CQ16" i="8" s="1"/>
  <c r="CP17" i="8"/>
  <c r="CS13" i="8"/>
  <c r="CR14" i="8"/>
  <c r="CR15" i="8" l="1"/>
  <c r="CR16" i="8" s="1"/>
  <c r="CQ17" i="8"/>
  <c r="CT13" i="8"/>
  <c r="CS14" i="8"/>
  <c r="CS15" i="8" l="1"/>
  <c r="CS16" i="8" s="1"/>
  <c r="CR17" i="8"/>
  <c r="CU13" i="8"/>
  <c r="CT14" i="8"/>
  <c r="CT15" i="8" l="1"/>
  <c r="CT16" i="8" s="1"/>
  <c r="CS17" i="8"/>
  <c r="CV13" i="8"/>
  <c r="CU14" i="8"/>
  <c r="CU15" i="8" l="1"/>
  <c r="CU16" i="8" s="1"/>
  <c r="CT17" i="8"/>
  <c r="CW13" i="8"/>
  <c r="CV14" i="8"/>
  <c r="CV15" i="8" l="1"/>
  <c r="CV16" i="8" s="1"/>
  <c r="CU17" i="8"/>
  <c r="CX13" i="8"/>
  <c r="CW14" i="8"/>
  <c r="CW15" i="8" l="1"/>
  <c r="CW16" i="8" s="1"/>
  <c r="CV17" i="8"/>
  <c r="CY13" i="8"/>
  <c r="CX14" i="8"/>
  <c r="CX15" i="8" l="1"/>
  <c r="CX16" i="8" s="1"/>
  <c r="CW17" i="8"/>
  <c r="CZ13" i="8"/>
  <c r="CY14" i="8"/>
  <c r="CY15" i="8" l="1"/>
  <c r="CY16" i="8" s="1"/>
  <c r="CX17" i="8"/>
  <c r="CZ14" i="8"/>
  <c r="E14" i="8" s="1"/>
  <c r="E13" i="8"/>
  <c r="D13" i="8" s="1"/>
  <c r="CZ15" i="8" l="1"/>
  <c r="E15" i="8" s="1"/>
  <c r="D15" i="8" s="1"/>
  <c r="CY17" i="8"/>
  <c r="CZ16" i="8" l="1"/>
  <c r="CZ17" i="8" l="1"/>
  <c r="E17" i="8" s="1"/>
  <c r="E16" i="8"/>
  <c r="D16" i="8" s="1"/>
  <c r="H46" i="5" l="1"/>
  <c r="C65" i="8" l="1"/>
  <c r="AM65" i="8" s="1"/>
  <c r="G42" i="1"/>
  <c r="Q9" i="12" s="1"/>
  <c r="Q12" i="12" s="1"/>
  <c r="AV65" i="8"/>
  <c r="AZ65" i="8"/>
  <c r="BA65" i="8"/>
  <c r="BD65" i="8"/>
  <c r="BE65" i="8"/>
  <c r="BH65" i="8"/>
  <c r="BI65" i="8"/>
  <c r="BJ65" i="8"/>
  <c r="BK65" i="8"/>
  <c r="BL65" i="8"/>
  <c r="BM65" i="8"/>
  <c r="BN65" i="8"/>
  <c r="BO65" i="8"/>
  <c r="AL65" i="8"/>
  <c r="AP65" i="8"/>
  <c r="AQ65" i="8"/>
  <c r="AN65" i="8"/>
  <c r="AR65" i="8"/>
  <c r="AS65" i="8"/>
  <c r="AK65" i="8"/>
  <c r="AI65" i="8"/>
  <c r="M65" i="8"/>
  <c r="L65" i="8"/>
  <c r="Y65" i="8"/>
  <c r="Z65" i="8"/>
  <c r="AE65" i="8"/>
  <c r="T65" i="8"/>
  <c r="X65" i="8"/>
  <c r="AB65" i="8"/>
  <c r="AC65" i="8"/>
  <c r="AH65" i="8"/>
  <c r="V65" i="8"/>
  <c r="Q65" i="8"/>
  <c r="J65" i="8"/>
  <c r="BG65" i="8" l="1"/>
  <c r="BC65" i="8"/>
  <c r="AY65" i="8"/>
  <c r="AU65" i="8"/>
  <c r="BF65" i="8"/>
  <c r="BB65" i="8"/>
  <c r="AX65" i="8"/>
  <c r="AT65" i="8"/>
  <c r="AW65" i="8"/>
  <c r="O65" i="8"/>
  <c r="AG65" i="8"/>
  <c r="U65" i="8"/>
  <c r="K65" i="8"/>
  <c r="S65" i="8"/>
  <c r="W65" i="8"/>
  <c r="AF65" i="8"/>
  <c r="AO65" i="8"/>
  <c r="AA65" i="8"/>
  <c r="P65" i="8"/>
  <c r="I65" i="8"/>
  <c r="N65" i="8"/>
  <c r="AD65" i="8"/>
  <c r="R65" i="8"/>
  <c r="AJ65" i="8"/>
  <c r="E65" i="8" l="1"/>
  <c r="D65" i="8" s="1"/>
  <c r="J104" i="8" l="1"/>
  <c r="CQ100" i="8" l="1"/>
  <c r="CY100" i="8"/>
  <c r="CV100" i="8"/>
  <c r="CX100" i="8"/>
  <c r="CM100" i="8"/>
  <c r="CW100" i="8"/>
  <c r="CS100" i="8"/>
  <c r="CP100" i="8"/>
  <c r="CU100" i="8"/>
  <c r="CR100" i="8"/>
  <c r="CT100" i="8"/>
  <c r="CL100" i="8"/>
  <c r="CN100" i="8"/>
  <c r="CZ100" i="8"/>
  <c r="CO100" i="8"/>
  <c r="CK100" i="8"/>
  <c r="I53" i="4" l="1"/>
  <c r="G53" i="4" s="1"/>
  <c r="D11" i="1"/>
  <c r="H9" i="1"/>
  <c r="K9" i="6"/>
  <c r="H11" i="1" l="1"/>
  <c r="G30" i="14" s="1"/>
  <c r="K30" i="14" s="1"/>
  <c r="G28" i="14"/>
  <c r="K28" i="14" s="1"/>
  <c r="E30" i="2"/>
  <c r="E30" i="14"/>
  <c r="G9" i="1"/>
  <c r="G11" i="1" s="1"/>
  <c r="F23" i="11" s="1"/>
  <c r="I9" i="1"/>
  <c r="I11" i="1" s="1"/>
  <c r="K11" i="6"/>
  <c r="G28" i="2"/>
  <c r="G30" i="2" l="1"/>
  <c r="G44" i="2" s="1"/>
  <c r="H12" i="1"/>
  <c r="G31" i="14" s="1"/>
  <c r="K31" i="14" s="1"/>
  <c r="I12" i="1"/>
  <c r="I13" i="1" s="1"/>
  <c r="G45" i="14"/>
  <c r="K45" i="14" s="1"/>
  <c r="G44" i="14"/>
  <c r="K44" i="14" s="1"/>
  <c r="G12" i="1"/>
  <c r="G13" i="1" s="1"/>
  <c r="K12" i="6"/>
  <c r="G45" i="2" l="1"/>
  <c r="G31" i="2"/>
  <c r="H13" i="1"/>
  <c r="G32" i="14" s="1"/>
  <c r="K32" i="14" s="1"/>
  <c r="K14" i="6"/>
  <c r="G32" i="2" l="1"/>
  <c r="E34" i="6"/>
  <c r="F76" i="6"/>
  <c r="E144" i="6" s="1"/>
  <c r="L15" i="6"/>
  <c r="G57" i="1" s="1"/>
  <c r="K16" i="6"/>
  <c r="G60" i="1" s="1"/>
  <c r="G59" i="1"/>
  <c r="BP95" i="8" l="1"/>
  <c r="BQ95" i="8"/>
  <c r="BR95" i="8"/>
  <c r="BS95" i="8"/>
  <c r="BJ95" i="8"/>
  <c r="BN95" i="8"/>
  <c r="BL95" i="8"/>
  <c r="BM95" i="8"/>
  <c r="BK95" i="8"/>
  <c r="BO95" i="8"/>
  <c r="BH95" i="8"/>
  <c r="BI95" i="8"/>
  <c r="E188" i="6"/>
  <c r="D194" i="6"/>
  <c r="D86" i="6"/>
  <c r="E95" i="6"/>
  <c r="E138" i="6"/>
  <c r="D143" i="6"/>
  <c r="E195" i="6"/>
  <c r="D165" i="6"/>
  <c r="D117" i="6"/>
  <c r="D112" i="6"/>
  <c r="D134" i="6"/>
  <c r="D79" i="6"/>
  <c r="E115" i="6"/>
  <c r="E107" i="6"/>
  <c r="D156" i="6"/>
  <c r="E191" i="6"/>
  <c r="E131" i="6"/>
  <c r="E158" i="6"/>
  <c r="E124" i="6"/>
  <c r="D118" i="6"/>
  <c r="D142" i="6"/>
  <c r="D81" i="6"/>
  <c r="E147" i="6"/>
  <c r="D137" i="6"/>
  <c r="D150" i="6"/>
  <c r="D148" i="6"/>
  <c r="E108" i="6"/>
  <c r="D108" i="6"/>
  <c r="E113" i="6"/>
  <c r="E145" i="6"/>
  <c r="D180" i="6"/>
  <c r="E105" i="6"/>
  <c r="D155" i="6"/>
  <c r="E190" i="6"/>
  <c r="D173" i="6"/>
  <c r="E116" i="6"/>
  <c r="D133" i="6"/>
  <c r="D129" i="6"/>
  <c r="E133" i="6"/>
  <c r="E94" i="6"/>
  <c r="D119" i="6"/>
  <c r="D167" i="6"/>
  <c r="E82" i="6"/>
  <c r="E180" i="6"/>
  <c r="E48" i="6"/>
  <c r="E49" i="6" s="1"/>
  <c r="E43" i="6"/>
  <c r="E44" i="6" s="1"/>
  <c r="E53" i="6"/>
  <c r="E54" i="6" s="1"/>
  <c r="E134" i="6"/>
  <c r="D164" i="6"/>
  <c r="D100" i="6"/>
  <c r="D84" i="6"/>
  <c r="E85" i="6"/>
  <c r="D139" i="6"/>
  <c r="E109" i="6"/>
  <c r="E110" i="6"/>
  <c r="E104" i="6"/>
  <c r="E81" i="6"/>
  <c r="E79" i="6"/>
  <c r="E165" i="6"/>
  <c r="E86" i="6"/>
  <c r="E178" i="6"/>
  <c r="D151" i="6"/>
  <c r="E135" i="6"/>
  <c r="D144" i="6"/>
  <c r="E176" i="6"/>
  <c r="D187" i="6"/>
  <c r="D183" i="6"/>
  <c r="E78" i="6"/>
  <c r="E150" i="6"/>
  <c r="D140" i="6"/>
  <c r="D145" i="6"/>
  <c r="D89" i="6"/>
  <c r="E129" i="6"/>
  <c r="E149" i="6"/>
  <c r="E140" i="6"/>
  <c r="D111" i="6"/>
  <c r="E102" i="6"/>
  <c r="E166" i="6"/>
  <c r="E100" i="6"/>
  <c r="D98" i="6"/>
  <c r="E186" i="6"/>
  <c r="D179" i="6"/>
  <c r="D181" i="6"/>
  <c r="E101" i="6"/>
  <c r="E130" i="6"/>
  <c r="E118" i="6"/>
  <c r="D159" i="6"/>
  <c r="E194" i="6"/>
  <c r="E169" i="6"/>
  <c r="D185" i="6"/>
  <c r="D184" i="6"/>
  <c r="D76" i="6"/>
  <c r="E153" i="6"/>
  <c r="D101" i="6"/>
  <c r="E126" i="6"/>
  <c r="E98" i="6"/>
  <c r="D166" i="6"/>
  <c r="E183" i="6"/>
  <c r="E177" i="6"/>
  <c r="D163" i="6"/>
  <c r="D77" i="6"/>
  <c r="D149" i="6"/>
  <c r="D146" i="6"/>
  <c r="E172" i="6"/>
  <c r="E163" i="6"/>
  <c r="D91" i="6"/>
  <c r="E106" i="6"/>
  <c r="E143" i="6"/>
  <c r="D131" i="6"/>
  <c r="D114" i="6"/>
  <c r="D177" i="6"/>
  <c r="E139" i="6"/>
  <c r="D191" i="6"/>
  <c r="E162" i="6"/>
  <c r="E97" i="6"/>
  <c r="E179" i="6"/>
  <c r="D175" i="6"/>
  <c r="E173" i="6"/>
  <c r="E189" i="6"/>
  <c r="D124" i="6"/>
  <c r="E164" i="6"/>
  <c r="D103" i="6"/>
  <c r="D138" i="6"/>
  <c r="D94" i="6"/>
  <c r="E122" i="6"/>
  <c r="E136" i="6"/>
  <c r="D195" i="6"/>
  <c r="E128" i="6"/>
  <c r="D160" i="6"/>
  <c r="D136" i="6"/>
  <c r="E114" i="6"/>
  <c r="D97" i="6"/>
  <c r="D170" i="6"/>
  <c r="D135" i="6"/>
  <c r="E146" i="6"/>
  <c r="D161" i="6"/>
  <c r="E76" i="6"/>
  <c r="D99" i="6"/>
  <c r="E155" i="6"/>
  <c r="E77" i="6"/>
  <c r="D96" i="6"/>
  <c r="E84" i="6"/>
  <c r="E137" i="6"/>
  <c r="D105" i="6"/>
  <c r="E161" i="6"/>
  <c r="E152" i="6"/>
  <c r="E181" i="6"/>
  <c r="E123" i="6"/>
  <c r="E192" i="6"/>
  <c r="E175" i="6"/>
  <c r="E141" i="6"/>
  <c r="E88" i="6"/>
  <c r="E185" i="6"/>
  <c r="D182" i="6"/>
  <c r="D158" i="6"/>
  <c r="D90" i="6"/>
  <c r="D190" i="6"/>
  <c r="D130" i="6"/>
  <c r="D141" i="6"/>
  <c r="E90" i="6"/>
  <c r="E80" i="6"/>
  <c r="D110" i="6"/>
  <c r="E119" i="6"/>
  <c r="E93" i="6"/>
  <c r="D109" i="6"/>
  <c r="E154" i="6"/>
  <c r="E171" i="6"/>
  <c r="D162" i="6"/>
  <c r="D192" i="6"/>
  <c r="E99" i="6"/>
  <c r="D188" i="6"/>
  <c r="E83" i="6"/>
  <c r="D152" i="6"/>
  <c r="D93" i="6"/>
  <c r="E157" i="6"/>
  <c r="D95" i="6"/>
  <c r="D85" i="6"/>
  <c r="E167" i="6"/>
  <c r="D92" i="6"/>
  <c r="D147" i="6"/>
  <c r="E159" i="6"/>
  <c r="D102" i="6"/>
  <c r="D87" i="6"/>
  <c r="E91" i="6"/>
  <c r="D186" i="6"/>
  <c r="E89" i="6"/>
  <c r="D128" i="6"/>
  <c r="D178" i="6"/>
  <c r="D120" i="6"/>
  <c r="D189" i="6"/>
  <c r="E142" i="6"/>
  <c r="E112" i="6"/>
  <c r="D115" i="6"/>
  <c r="E127" i="6"/>
  <c r="D83" i="6"/>
  <c r="D157" i="6"/>
  <c r="E182" i="6"/>
  <c r="D121" i="6"/>
  <c r="E156" i="6"/>
  <c r="D153" i="6"/>
  <c r="D127" i="6"/>
  <c r="E103" i="6"/>
  <c r="E120" i="6"/>
  <c r="D132" i="6"/>
  <c r="D80" i="6"/>
  <c r="E132" i="6"/>
  <c r="E168" i="6"/>
  <c r="D106" i="6"/>
  <c r="D125" i="6"/>
  <c r="E187" i="6"/>
  <c r="D126" i="6"/>
  <c r="E184" i="6"/>
  <c r="E125" i="6"/>
  <c r="E121" i="6"/>
  <c r="D107" i="6"/>
  <c r="E92" i="6"/>
  <c r="E174" i="6"/>
  <c r="E148" i="6"/>
  <c r="E87" i="6"/>
  <c r="E117" i="6"/>
  <c r="D122" i="6"/>
  <c r="E96" i="6"/>
  <c r="D154" i="6"/>
  <c r="D193" i="6"/>
  <c r="D123" i="6"/>
  <c r="D88" i="6"/>
  <c r="D176" i="6"/>
  <c r="E111" i="6"/>
  <c r="E160" i="6"/>
  <c r="D116" i="6"/>
  <c r="D172" i="6"/>
  <c r="E193" i="6"/>
  <c r="D169" i="6"/>
  <c r="D104" i="6"/>
  <c r="D168" i="6"/>
  <c r="D174" i="6"/>
  <c r="E170" i="6"/>
  <c r="D171" i="6"/>
  <c r="D82" i="6"/>
  <c r="D78" i="6"/>
  <c r="D113" i="6"/>
  <c r="E151" i="6"/>
  <c r="L16" i="6"/>
  <c r="G58" i="1" s="1"/>
  <c r="E37" i="6" l="1"/>
  <c r="G76" i="6"/>
  <c r="F77" i="6" s="1"/>
  <c r="G77" i="6" s="1"/>
  <c r="F78" i="6" s="1"/>
  <c r="G78" i="6" s="1"/>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E38" i="6"/>
  <c r="F34" i="6" s="1"/>
  <c r="K37" i="6"/>
  <c r="K38" i="6"/>
  <c r="F37" i="6"/>
  <c r="L37" i="6"/>
  <c r="L38" i="6"/>
  <c r="G37" i="6"/>
  <c r="H38" i="6"/>
  <c r="F38" i="6"/>
  <c r="J38" i="6"/>
  <c r="G38" i="6"/>
  <c r="J37" i="6"/>
  <c r="H37" i="6"/>
  <c r="I38" i="6"/>
  <c r="I37" i="6"/>
  <c r="G34" i="6" l="1"/>
  <c r="G43" i="6" s="1"/>
  <c r="G44" i="6" s="1"/>
  <c r="F53" i="6"/>
  <c r="F54" i="6" s="1"/>
  <c r="F43" i="6"/>
  <c r="F44" i="6" s="1"/>
  <c r="F48" i="6"/>
  <c r="F49" i="6" s="1"/>
  <c r="E39" i="6"/>
  <c r="E58" i="6" s="1"/>
  <c r="K39" i="6"/>
  <c r="K58" i="6" s="1"/>
  <c r="L39" i="6"/>
  <c r="L58" i="6" s="1"/>
  <c r="J39" i="6"/>
  <c r="J58" i="6" s="1"/>
  <c r="H39" i="6"/>
  <c r="H58" i="6" s="1"/>
  <c r="F39" i="6"/>
  <c r="F58" i="6" s="1"/>
  <c r="I39" i="6"/>
  <c r="I58" i="6" s="1"/>
  <c r="G39" i="6"/>
  <c r="G58" i="6" s="1"/>
  <c r="G48" i="6" l="1"/>
  <c r="G49" i="6" s="1"/>
  <c r="H34" i="6"/>
  <c r="H43" i="6" s="1"/>
  <c r="H44" i="6" s="1"/>
  <c r="G53" i="6"/>
  <c r="G54" i="6" s="1"/>
  <c r="I34" i="6" l="1"/>
  <c r="J34" i="6" s="1"/>
  <c r="J48" i="6" s="1"/>
  <c r="J49" i="6" s="1"/>
  <c r="H48" i="6"/>
  <c r="H49" i="6" s="1"/>
  <c r="H53" i="6"/>
  <c r="H54" i="6" s="1"/>
  <c r="I43" i="6" l="1"/>
  <c r="I44" i="6" s="1"/>
  <c r="K34" i="6"/>
  <c r="K48" i="6" s="1"/>
  <c r="K49" i="6" s="1"/>
  <c r="I48" i="6"/>
  <c r="I49" i="6" s="1"/>
  <c r="I53" i="6"/>
  <c r="I54" i="6" s="1"/>
  <c r="J53" i="6"/>
  <c r="J54" i="6" s="1"/>
  <c r="J43" i="6"/>
  <c r="J44" i="6" s="1"/>
  <c r="L34" i="6" l="1"/>
  <c r="L53" i="6" s="1"/>
  <c r="L54" i="6" s="1"/>
  <c r="K43" i="6"/>
  <c r="K44" i="6" s="1"/>
  <c r="K53" i="6"/>
  <c r="K54" i="6" s="1"/>
  <c r="K57" i="6" l="1"/>
  <c r="K66" i="6" s="1"/>
  <c r="L43" i="6"/>
  <c r="L44" i="6" s="1"/>
  <c r="L48" i="6"/>
  <c r="L49" i="6" s="1"/>
  <c r="L57" i="6"/>
  <c r="L32" i="6" s="1"/>
  <c r="K32" i="6" l="1"/>
  <c r="L66" i="6"/>
  <c r="CB94" i="8"/>
  <c r="CC101" i="8" l="1"/>
  <c r="CC103" i="8"/>
  <c r="CC104" i="8" s="1"/>
  <c r="CB113" i="8" l="1"/>
  <c r="CB115" i="8" l="1"/>
  <c r="CB100" i="8" s="1"/>
  <c r="CC94" i="8" l="1"/>
  <c r="CD103" i="8" l="1"/>
  <c r="CD104" i="8" s="1"/>
  <c r="CC113" i="8" l="1"/>
  <c r="CC115" i="8" l="1"/>
  <c r="CC100" i="8" s="1"/>
  <c r="CD94" i="8" l="1"/>
  <c r="CE101" i="8" l="1"/>
  <c r="CE103" i="8"/>
  <c r="CE104" i="8" s="1"/>
  <c r="CD113" i="8" l="1"/>
  <c r="CD115" i="8" l="1"/>
  <c r="CD100" i="8" s="1"/>
  <c r="CE94" i="8" l="1"/>
  <c r="CF101" i="8" l="1"/>
  <c r="CF103" i="8"/>
  <c r="CF104" i="8" s="1"/>
  <c r="CE113" i="8" l="1"/>
  <c r="CE115" i="8" l="1"/>
  <c r="CE100" i="8" s="1"/>
  <c r="CF94" i="8" l="1"/>
  <c r="CG101" i="8" l="1"/>
  <c r="CG103" i="8"/>
  <c r="CG104" i="8" s="1"/>
  <c r="CF113" i="8" l="1"/>
  <c r="CF115" i="8" l="1"/>
  <c r="CF100" i="8" s="1"/>
  <c r="CG94" i="8" l="1"/>
  <c r="CH101" i="8" l="1"/>
  <c r="CH103" i="8"/>
  <c r="CH104" i="8" s="1"/>
  <c r="CG113" i="8" l="1"/>
  <c r="CG115" i="8" l="1"/>
  <c r="CG100" i="8" s="1"/>
  <c r="CH94" i="8" l="1"/>
  <c r="CI101" i="8" l="1"/>
  <c r="CI103" i="8"/>
  <c r="CI104" i="8" s="1"/>
  <c r="CH113" i="8" l="1"/>
  <c r="CH115" i="8" l="1"/>
  <c r="CH100" i="8" s="1"/>
  <c r="CI94" i="8" l="1"/>
  <c r="CJ103" i="8" l="1"/>
  <c r="CJ104" i="8" s="1"/>
  <c r="CI113" i="8" l="1"/>
  <c r="CI115" i="8" l="1"/>
  <c r="CI100" i="8" s="1"/>
  <c r="CJ101" i="8" l="1"/>
  <c r="J31" i="6" l="1"/>
  <c r="CJ113" i="8"/>
  <c r="CJ115" i="8" s="1"/>
  <c r="CJ100" i="8" s="1"/>
  <c r="J57" i="6" l="1"/>
  <c r="J32" i="6" l="1"/>
  <c r="J66" i="6"/>
  <c r="CJ94" i="8"/>
  <c r="CK101" i="8" s="1"/>
  <c r="CD101" i="8"/>
  <c r="CK103" i="8" l="1"/>
  <c r="CK104" i="8" s="1"/>
  <c r="F27" i="11" l="1"/>
  <c r="F31" i="11" s="1"/>
  <c r="F13" i="11" l="1"/>
  <c r="H13" i="11" s="1"/>
  <c r="M13" i="11" l="1"/>
  <c r="M14" i="11" s="1"/>
  <c r="K13" i="11"/>
  <c r="I13" i="11"/>
  <c r="J13" i="11"/>
  <c r="M15" i="11" l="1"/>
  <c r="M16" i="11" s="1"/>
  <c r="F15" i="11"/>
  <c r="F18" i="11" s="1"/>
  <c r="H77" i="5"/>
  <c r="BC93" i="8"/>
  <c r="F16" i="11" l="1"/>
  <c r="G46" i="1"/>
  <c r="R9" i="12" s="1"/>
  <c r="R12" i="12" s="1"/>
  <c r="J77" i="5"/>
  <c r="I46" i="1" s="1"/>
  <c r="I77" i="5"/>
  <c r="H46" i="1" s="1"/>
  <c r="C93" i="8"/>
  <c r="AR93" i="8" s="1"/>
  <c r="O93" i="8" l="1"/>
  <c r="CB93" i="8"/>
  <c r="CB96" i="8" s="1"/>
  <c r="CB99" i="8" s="1"/>
  <c r="AL93" i="8"/>
  <c r="BS93" i="8"/>
  <c r="CU93" i="8"/>
  <c r="CU96" i="8" s="1"/>
  <c r="AU93" i="8"/>
  <c r="CG93" i="8"/>
  <c r="CG96" i="8" s="1"/>
  <c r="BX93" i="8"/>
  <c r="BI93" i="8"/>
  <c r="AG93" i="8"/>
  <c r="AV93" i="8"/>
  <c r="V93" i="8"/>
  <c r="CO93" i="8"/>
  <c r="CO96" i="8" s="1"/>
  <c r="BZ93" i="8"/>
  <c r="AN93" i="8"/>
  <c r="CQ93" i="8"/>
  <c r="CQ96" i="8" s="1"/>
  <c r="AD93" i="8"/>
  <c r="AB93" i="8"/>
  <c r="AH93" i="8"/>
  <c r="CI93" i="8"/>
  <c r="CI96" i="8" s="1"/>
  <c r="AA93" i="8"/>
  <c r="BY93" i="8"/>
  <c r="AO93" i="8"/>
  <c r="AE93" i="8"/>
  <c r="CM93" i="8"/>
  <c r="CM96" i="8" s="1"/>
  <c r="CJ93" i="8"/>
  <c r="CJ96" i="8" s="1"/>
  <c r="CN93" i="8"/>
  <c r="CN96" i="8" s="1"/>
  <c r="Q93" i="8"/>
  <c r="R93" i="8"/>
  <c r="CY93" i="8"/>
  <c r="CY96" i="8" s="1"/>
  <c r="CK93" i="8"/>
  <c r="CK96" i="8" s="1"/>
  <c r="K93" i="8"/>
  <c r="CX93" i="8"/>
  <c r="CX96" i="8" s="1"/>
  <c r="AX93" i="8"/>
  <c r="CZ93" i="8"/>
  <c r="CZ96" i="8" s="1"/>
  <c r="AP93" i="8"/>
  <c r="CV93" i="8"/>
  <c r="CV96" i="8" s="1"/>
  <c r="M93" i="8"/>
  <c r="X93" i="8"/>
  <c r="I93" i="8"/>
  <c r="I96" i="8" s="1"/>
  <c r="I99" i="8" s="1"/>
  <c r="N93" i="8"/>
  <c r="BH93" i="8"/>
  <c r="CP93" i="8"/>
  <c r="CP96" i="8" s="1"/>
  <c r="CF93" i="8"/>
  <c r="CF96" i="8" s="1"/>
  <c r="CD93" i="8"/>
  <c r="CD96" i="8" s="1"/>
  <c r="AS93" i="8"/>
  <c r="AC93" i="8"/>
  <c r="AF93" i="8"/>
  <c r="CS93" i="8"/>
  <c r="CS96" i="8" s="1"/>
  <c r="J93" i="8"/>
  <c r="P93" i="8"/>
  <c r="CW93" i="8"/>
  <c r="CW96" i="8" s="1"/>
  <c r="CR93" i="8"/>
  <c r="CR96" i="8" s="1"/>
  <c r="L93" i="8"/>
  <c r="Z93" i="8"/>
  <c r="BK93" i="8"/>
  <c r="BG93" i="8"/>
  <c r="AT93" i="8"/>
  <c r="CC93" i="8"/>
  <c r="CC96" i="8" s="1"/>
  <c r="CT93" i="8"/>
  <c r="CT96" i="8" s="1"/>
  <c r="T93" i="8"/>
  <c r="S93" i="8"/>
  <c r="AQ93" i="8"/>
  <c r="AW93" i="8"/>
  <c r="BM93" i="8"/>
  <c r="BU93" i="8"/>
  <c r="BQ93" i="8"/>
  <c r="BT93" i="8"/>
  <c r="CL93" i="8"/>
  <c r="CL96" i="8" s="1"/>
  <c r="CE93" i="8"/>
  <c r="CE96" i="8" s="1"/>
  <c r="AJ93" i="8"/>
  <c r="AK93" i="8"/>
  <c r="W93" i="8"/>
  <c r="Y93" i="8"/>
  <c r="AZ93" i="8"/>
  <c r="BP93" i="8"/>
  <c r="BN93" i="8"/>
  <c r="CH93" i="8"/>
  <c r="CH96" i="8" s="1"/>
  <c r="CA93" i="8"/>
  <c r="U93" i="8"/>
  <c r="BA93" i="8"/>
  <c r="BE93" i="8"/>
  <c r="AM93" i="8"/>
  <c r="BW93" i="8"/>
  <c r="AY93" i="8"/>
  <c r="BO93" i="8"/>
  <c r="BJ93" i="8"/>
  <c r="BV93" i="8"/>
  <c r="BD93" i="8"/>
  <c r="AI93" i="8"/>
  <c r="BL93" i="8"/>
  <c r="BB93" i="8"/>
  <c r="BF93" i="8"/>
  <c r="BR93" i="8"/>
  <c r="CT99" i="8" l="1"/>
  <c r="CT105" i="8" s="1"/>
  <c r="CW99" i="8"/>
  <c r="CW105" i="8" s="1"/>
  <c r="CF99" i="8"/>
  <c r="CF105" i="8" s="1"/>
  <c r="CI99" i="8"/>
  <c r="CI105" i="8" s="1"/>
  <c r="CQ99" i="8"/>
  <c r="CQ105" i="8" s="1"/>
  <c r="CC99" i="8"/>
  <c r="CC105" i="8" s="1"/>
  <c r="CP99" i="8"/>
  <c r="CP105" i="8" s="1"/>
  <c r="CZ99" i="8"/>
  <c r="CZ105" i="8" s="1"/>
  <c r="CK99" i="8"/>
  <c r="CK105" i="8" s="1"/>
  <c r="CN99" i="8"/>
  <c r="CN105" i="8" s="1"/>
  <c r="CG99" i="8"/>
  <c r="CG105" i="8" s="1"/>
  <c r="CH99" i="8"/>
  <c r="CH105" i="8" s="1"/>
  <c r="CE99" i="8"/>
  <c r="CE105" i="8" s="1"/>
  <c r="CY99" i="8"/>
  <c r="CY105" i="8" s="1"/>
  <c r="CJ99" i="8"/>
  <c r="CJ105" i="8" s="1"/>
  <c r="CL99" i="8"/>
  <c r="CL105" i="8" s="1"/>
  <c r="CR99" i="8"/>
  <c r="CR105" i="8" s="1"/>
  <c r="CS99" i="8"/>
  <c r="CS105" i="8" s="1"/>
  <c r="CD99" i="8"/>
  <c r="CD105" i="8" s="1"/>
  <c r="CV99" i="8"/>
  <c r="CV105" i="8" s="1"/>
  <c r="CX99" i="8"/>
  <c r="CX105" i="8" s="1"/>
  <c r="CM99" i="8"/>
  <c r="CM105" i="8" s="1"/>
  <c r="CO99" i="8"/>
  <c r="CO105" i="8" s="1"/>
  <c r="CU99" i="8"/>
  <c r="CU105" i="8" s="1"/>
  <c r="E93" i="8"/>
  <c r="D93" i="8" s="1"/>
  <c r="I113" i="8" l="1"/>
  <c r="I115" i="8" l="1"/>
  <c r="I100" i="8" s="1"/>
  <c r="I108" i="8" l="1"/>
  <c r="I105" i="8"/>
  <c r="I109" i="8" l="1"/>
  <c r="J94" i="8"/>
  <c r="K101" i="8" l="1"/>
  <c r="K103" i="8"/>
  <c r="K104" i="8" s="1"/>
  <c r="I31" i="6" l="1"/>
  <c r="I57" i="6" l="1"/>
  <c r="I32" i="6" l="1"/>
  <c r="I63" i="6"/>
  <c r="I66" i="6"/>
  <c r="J79" i="5"/>
  <c r="C95" i="8"/>
  <c r="AO95" i="8" s="1"/>
  <c r="I79" i="5"/>
  <c r="AQ95" i="8" l="1"/>
  <c r="AK95" i="8"/>
  <c r="AW95" i="8"/>
  <c r="AL95" i="8"/>
  <c r="BG95" i="8"/>
  <c r="AP95" i="8"/>
  <c r="J95" i="8"/>
  <c r="J96" i="8" s="1"/>
  <c r="J99" i="8" s="1"/>
  <c r="AX95" i="8"/>
  <c r="BA95" i="8"/>
  <c r="Y95" i="8"/>
  <c r="BE95" i="8"/>
  <c r="N95" i="8"/>
  <c r="U95" i="8"/>
  <c r="AF95" i="8"/>
  <c r="S95" i="8"/>
  <c r="AY95" i="8"/>
  <c r="AT95" i="8"/>
  <c r="AJ95" i="8"/>
  <c r="Q95" i="8"/>
  <c r="W95" i="8"/>
  <c r="V95" i="8"/>
  <c r="Z95" i="8"/>
  <c r="X95" i="8"/>
  <c r="AB95" i="8"/>
  <c r="AD95" i="8"/>
  <c r="BC95" i="8"/>
  <c r="AA95" i="8"/>
  <c r="T95" i="8"/>
  <c r="P95" i="8"/>
  <c r="AN95" i="8"/>
  <c r="AG95" i="8"/>
  <c r="AV95" i="8"/>
  <c r="AR95" i="8"/>
  <c r="BD95" i="8"/>
  <c r="AZ95" i="8"/>
  <c r="L95" i="8"/>
  <c r="O95" i="8"/>
  <c r="AS95" i="8"/>
  <c r="AC95" i="8"/>
  <c r="K95" i="8"/>
  <c r="BB95" i="8"/>
  <c r="AU95" i="8"/>
  <c r="BF95" i="8"/>
  <c r="R95" i="8"/>
  <c r="M95" i="8"/>
  <c r="AM95" i="8"/>
  <c r="AH95" i="8"/>
  <c r="AE95" i="8"/>
  <c r="AI95" i="8"/>
  <c r="E95" i="8" l="1"/>
  <c r="D95" i="8" s="1"/>
  <c r="J113" i="8"/>
  <c r="J115" i="8" l="1"/>
  <c r="J100" i="8" s="1"/>
  <c r="J108" i="8" l="1"/>
  <c r="J105" i="8"/>
  <c r="J109" i="8" l="1"/>
  <c r="K94" i="8"/>
  <c r="L101" i="8" l="1"/>
  <c r="K96" i="8"/>
  <c r="K99" i="8" s="1"/>
  <c r="L103" i="8"/>
  <c r="L104" i="8" s="1"/>
  <c r="K113" i="8" l="1"/>
  <c r="K115" i="8" l="1"/>
  <c r="K100" i="8" s="1"/>
  <c r="K108" i="8" l="1"/>
  <c r="K105" i="8"/>
  <c r="K109" i="8" l="1"/>
  <c r="L94" i="8"/>
  <c r="L96" i="8" l="1"/>
  <c r="L99" i="8" s="1"/>
  <c r="M101" i="8"/>
  <c r="M103" i="8"/>
  <c r="M104" i="8" s="1"/>
  <c r="L113" i="8" l="1"/>
  <c r="L115" i="8" l="1"/>
  <c r="L100" i="8" s="1"/>
  <c r="L108" i="8" l="1"/>
  <c r="L105" i="8"/>
  <c r="L109" i="8" l="1"/>
  <c r="M94" i="8"/>
  <c r="M96" i="8" l="1"/>
  <c r="M99" i="8" s="1"/>
  <c r="N103" i="8"/>
  <c r="N104" i="8" s="1"/>
  <c r="N101" i="8"/>
  <c r="M113" i="8" l="1"/>
  <c r="M115" i="8" l="1"/>
  <c r="M100" i="8" s="1"/>
  <c r="M108" i="8" l="1"/>
  <c r="M105" i="8"/>
  <c r="M109" i="8" l="1"/>
  <c r="N94" i="8"/>
  <c r="O103" i="8" l="1"/>
  <c r="O104" i="8" s="1"/>
  <c r="N96" i="8"/>
  <c r="N99" i="8" s="1"/>
  <c r="O101" i="8"/>
  <c r="N113" i="8" l="1"/>
  <c r="N115" i="8" l="1"/>
  <c r="N100" i="8" s="1"/>
  <c r="N108" i="8" l="1"/>
  <c r="N105" i="8"/>
  <c r="N109" i="8" l="1"/>
  <c r="O94" i="8"/>
  <c r="O96" i="8" l="1"/>
  <c r="O99" i="8" s="1"/>
  <c r="P101" i="8"/>
  <c r="P103" i="8"/>
  <c r="P104" i="8" s="1"/>
  <c r="O113" i="8" l="1"/>
  <c r="O115" i="8" l="1"/>
  <c r="O100" i="8" s="1"/>
  <c r="O108" i="8" l="1"/>
  <c r="P94" i="8" s="1"/>
  <c r="O105" i="8"/>
  <c r="O109" i="8" s="1"/>
  <c r="P96" i="8" l="1"/>
  <c r="P99" i="8" s="1"/>
  <c r="Q103" i="8"/>
  <c r="Q104" i="8" s="1"/>
  <c r="Q101" i="8"/>
  <c r="P113" i="8" l="1"/>
  <c r="P115" i="8" l="1"/>
  <c r="P100" i="8" s="1"/>
  <c r="P108" i="8" l="1"/>
  <c r="Q94" i="8" s="1"/>
  <c r="P105" i="8"/>
  <c r="P109" i="8" s="1"/>
  <c r="R103" i="8" l="1"/>
  <c r="R104" i="8" s="1"/>
  <c r="Q96" i="8"/>
  <c r="Q99" i="8" s="1"/>
  <c r="R101" i="8"/>
  <c r="Q113" i="8" l="1"/>
  <c r="Q115" i="8" l="1"/>
  <c r="Q100" i="8" s="1"/>
  <c r="Q108" i="8" l="1"/>
  <c r="R94" i="8" s="1"/>
  <c r="Q105" i="8"/>
  <c r="Q109" i="8" s="1"/>
  <c r="R96" i="8" l="1"/>
  <c r="R99" i="8" s="1"/>
  <c r="S101" i="8"/>
  <c r="S103" i="8"/>
  <c r="S104" i="8" s="1"/>
  <c r="R113" i="8" l="1"/>
  <c r="R115" i="8" l="1"/>
  <c r="R100" i="8" s="1"/>
  <c r="R108" i="8" l="1"/>
  <c r="S94" i="8" s="1"/>
  <c r="R105" i="8"/>
  <c r="R109" i="8" s="1"/>
  <c r="S96" i="8" l="1"/>
  <c r="S99" i="8" s="1"/>
  <c r="T101" i="8"/>
  <c r="T103" i="8"/>
  <c r="T104" i="8" s="1"/>
  <c r="S113" i="8" l="1"/>
  <c r="S115" i="8" l="1"/>
  <c r="S100" i="8" s="1"/>
  <c r="S108" i="8" l="1"/>
  <c r="T94" i="8" s="1"/>
  <c r="S105" i="8"/>
  <c r="S109" i="8" s="1"/>
  <c r="U103" i="8" l="1"/>
  <c r="U104" i="8" s="1"/>
  <c r="T96" i="8"/>
  <c r="T99" i="8" s="1"/>
  <c r="U101" i="8"/>
  <c r="T113" i="8" l="1"/>
  <c r="T115" i="8" l="1"/>
  <c r="T100" i="8" s="1"/>
  <c r="T108" i="8" l="1"/>
  <c r="U94" i="8" s="1"/>
  <c r="T105" i="8"/>
  <c r="T109" i="8" s="1"/>
  <c r="U96" i="8" l="1"/>
  <c r="U99" i="8" s="1"/>
  <c r="V103" i="8"/>
  <c r="V104" i="8" s="1"/>
  <c r="V101" i="8"/>
  <c r="U113" i="8" l="1"/>
  <c r="U115" i="8" l="1"/>
  <c r="U100" i="8" s="1"/>
  <c r="U108" i="8" l="1"/>
  <c r="V94" i="8" s="1"/>
  <c r="U105" i="8"/>
  <c r="U109" i="8" l="1"/>
  <c r="V96" i="8"/>
  <c r="V99" i="8" s="1"/>
  <c r="W101" i="8"/>
  <c r="W103" i="8"/>
  <c r="W104" i="8" s="1"/>
  <c r="V113" i="8" l="1"/>
  <c r="V115" i="8" l="1"/>
  <c r="V100" i="8" s="1"/>
  <c r="V108" i="8" l="1"/>
  <c r="W94" i="8" s="1"/>
  <c r="V105" i="8"/>
  <c r="V109" i="8" l="1"/>
  <c r="W96" i="8"/>
  <c r="W99" i="8" s="1"/>
  <c r="X101" i="8"/>
  <c r="X103" i="8"/>
  <c r="X104" i="8" s="1"/>
  <c r="W113" i="8" l="1"/>
  <c r="W115" i="8" l="1"/>
  <c r="W100" i="8" s="1"/>
  <c r="W108" i="8" l="1"/>
  <c r="X94" i="8" s="1"/>
  <c r="W105" i="8"/>
  <c r="W109" i="8" l="1"/>
  <c r="Y103" i="8"/>
  <c r="Y104" i="8" s="1"/>
  <c r="X96" i="8"/>
  <c r="X99" i="8" s="1"/>
  <c r="Y101" i="8"/>
  <c r="X113" i="8" l="1"/>
  <c r="X115" i="8" l="1"/>
  <c r="X100" i="8" s="1"/>
  <c r="X108" i="8" l="1"/>
  <c r="Y94" i="8" s="1"/>
  <c r="X105" i="8"/>
  <c r="X109" i="8" l="1"/>
  <c r="Z103" i="8"/>
  <c r="Z104" i="8" s="1"/>
  <c r="Y96" i="8"/>
  <c r="Y99" i="8" s="1"/>
  <c r="Z101" i="8"/>
  <c r="Y113" i="8" l="1"/>
  <c r="Y115" i="8" l="1"/>
  <c r="Y100" i="8" s="1"/>
  <c r="Y108" i="8" l="1"/>
  <c r="Z94" i="8" s="1"/>
  <c r="Y105" i="8"/>
  <c r="Y109" i="8" l="1"/>
  <c r="Z96" i="8"/>
  <c r="Z99" i="8" s="1"/>
  <c r="AA103" i="8"/>
  <c r="AA104" i="8" s="1"/>
  <c r="AA101" i="8"/>
  <c r="Z113" i="8" l="1"/>
  <c r="Z115" i="8" l="1"/>
  <c r="Z100" i="8" s="1"/>
  <c r="Z108" i="8" l="1"/>
  <c r="AA94" i="8" s="1"/>
  <c r="Z105" i="8"/>
  <c r="Z109" i="8" s="1"/>
  <c r="AA96" i="8" l="1"/>
  <c r="AA99" i="8" s="1"/>
  <c r="AB101" i="8"/>
  <c r="AB103" i="8"/>
  <c r="AB104" i="8" s="1"/>
  <c r="AA113" i="8" l="1"/>
  <c r="AA115" i="8" l="1"/>
  <c r="AA100" i="8" s="1"/>
  <c r="AA108" i="8" l="1"/>
  <c r="AB94" i="8" s="1"/>
  <c r="AA105" i="8"/>
  <c r="AA109" i="8" s="1"/>
  <c r="AC103" i="8" l="1"/>
  <c r="AC104" i="8" s="1"/>
  <c r="AB96" i="8"/>
  <c r="AB99" i="8" s="1"/>
  <c r="AC101" i="8"/>
  <c r="AB113" i="8" l="1"/>
  <c r="AB115" i="8" l="1"/>
  <c r="AB100" i="8" s="1"/>
  <c r="AB108" i="8" l="1"/>
  <c r="AC94" i="8" s="1"/>
  <c r="AB105" i="8"/>
  <c r="AB109" i="8" s="1"/>
  <c r="AD103" i="8" l="1"/>
  <c r="AD104" i="8" s="1"/>
  <c r="AC96" i="8"/>
  <c r="AC99" i="8" s="1"/>
  <c r="AD101" i="8"/>
  <c r="AC113" i="8" l="1"/>
  <c r="AC115" i="8" l="1"/>
  <c r="AC100" i="8" s="1"/>
  <c r="AC108" i="8" l="1"/>
  <c r="AD94" i="8" s="1"/>
  <c r="AC105" i="8"/>
  <c r="AC109" i="8" s="1"/>
  <c r="AD96" i="8" l="1"/>
  <c r="AD99" i="8" s="1"/>
  <c r="AE101" i="8"/>
  <c r="AE103" i="8"/>
  <c r="AE104" i="8" s="1"/>
  <c r="AD113" i="8" l="1"/>
  <c r="AD115" i="8" l="1"/>
  <c r="AD100" i="8" s="1"/>
  <c r="AD108" i="8" l="1"/>
  <c r="AE94" i="8" s="1"/>
  <c r="AD105" i="8"/>
  <c r="AD109" i="8" s="1"/>
  <c r="AE96" i="8" l="1"/>
  <c r="AE99" i="8" s="1"/>
  <c r="AF101" i="8"/>
  <c r="AF103" i="8"/>
  <c r="AF104" i="8" s="1"/>
  <c r="AE113" i="8" l="1"/>
  <c r="AE115" i="8" l="1"/>
  <c r="AE100" i="8" s="1"/>
  <c r="AE108" i="8" l="1"/>
  <c r="AF94" i="8" s="1"/>
  <c r="AE105" i="8"/>
  <c r="AE109" i="8" s="1"/>
  <c r="AG103" i="8" l="1"/>
  <c r="AG104" i="8" s="1"/>
  <c r="AF96" i="8"/>
  <c r="AF99" i="8" s="1"/>
  <c r="AG101" i="8"/>
  <c r="AF113" i="8" l="1"/>
  <c r="AF115" i="8" l="1"/>
  <c r="AF100" i="8" s="1"/>
  <c r="AF108" i="8" l="1"/>
  <c r="AG94" i="8" s="1"/>
  <c r="AF105" i="8"/>
  <c r="AF109" i="8" s="1"/>
  <c r="AH101" i="8" l="1"/>
  <c r="AG96" i="8"/>
  <c r="AG99" i="8" s="1"/>
  <c r="AH103" i="8"/>
  <c r="AH104" i="8" s="1"/>
  <c r="AG113" i="8" l="1"/>
  <c r="AG115" i="8" l="1"/>
  <c r="AG100" i="8" s="1"/>
  <c r="AG108" i="8" l="1"/>
  <c r="AH94" i="8" s="1"/>
  <c r="AG105" i="8"/>
  <c r="AG109" i="8" l="1"/>
  <c r="AH96" i="8"/>
  <c r="AH99" i="8" s="1"/>
  <c r="AI103" i="8"/>
  <c r="AI104" i="8" s="1"/>
  <c r="AI101" i="8"/>
  <c r="AH113" i="8" l="1"/>
  <c r="AH115" i="8" l="1"/>
  <c r="AH100" i="8" s="1"/>
  <c r="AH108" i="8" l="1"/>
  <c r="AI94" i="8" s="1"/>
  <c r="AH105" i="8"/>
  <c r="AH109" i="8" l="1"/>
  <c r="AI96" i="8"/>
  <c r="AI99" i="8" s="1"/>
  <c r="AJ101" i="8"/>
  <c r="AJ103" i="8"/>
  <c r="AJ104" i="8" s="1"/>
  <c r="AI113" i="8" l="1"/>
  <c r="AI115" i="8" l="1"/>
  <c r="AI100" i="8" s="1"/>
  <c r="AI108" i="8" l="1"/>
  <c r="AJ94" i="8" s="1"/>
  <c r="AI105" i="8"/>
  <c r="AI109" i="8" l="1"/>
  <c r="AK103" i="8"/>
  <c r="AK104" i="8" s="1"/>
  <c r="AJ96" i="8"/>
  <c r="AJ99" i="8" s="1"/>
  <c r="AK101" i="8"/>
  <c r="AJ113" i="8" l="1"/>
  <c r="AJ115" i="8" l="1"/>
  <c r="AJ100" i="8" s="1"/>
  <c r="AJ108" i="8" l="1"/>
  <c r="AK94" i="8" s="1"/>
  <c r="AJ105" i="8"/>
  <c r="AJ109" i="8" l="1"/>
  <c r="AL103" i="8"/>
  <c r="AL104" i="8" s="1"/>
  <c r="AK96" i="8"/>
  <c r="AK99" i="8" s="1"/>
  <c r="AL101" i="8"/>
  <c r="AK113" i="8" l="1"/>
  <c r="AK115" i="8" l="1"/>
  <c r="AK100" i="8" s="1"/>
  <c r="AK108" i="8" l="1"/>
  <c r="AL94" i="8" s="1"/>
  <c r="AK105" i="8"/>
  <c r="AK109" i="8" l="1"/>
  <c r="AL96" i="8"/>
  <c r="AL99" i="8" s="1"/>
  <c r="AM101" i="8"/>
  <c r="AM103" i="8"/>
  <c r="AM104" i="8" s="1"/>
  <c r="AL113" i="8" l="1"/>
  <c r="AL115" i="8" l="1"/>
  <c r="AL100" i="8" s="1"/>
  <c r="AL108" i="8" l="1"/>
  <c r="AM94" i="8" s="1"/>
  <c r="AL105" i="8"/>
  <c r="AL109" i="8" s="1"/>
  <c r="AM96" i="8" l="1"/>
  <c r="AM99" i="8" s="1"/>
  <c r="AN101" i="8"/>
  <c r="AN103" i="8"/>
  <c r="AN104" i="8" s="1"/>
  <c r="AM113" i="8" l="1"/>
  <c r="AM115" i="8" l="1"/>
  <c r="AM100" i="8" s="1"/>
  <c r="AM108" i="8" l="1"/>
  <c r="AN94" i="8" s="1"/>
  <c r="AM105" i="8"/>
  <c r="AM109" i="8" s="1"/>
  <c r="AO103" i="8" l="1"/>
  <c r="AO104" i="8" s="1"/>
  <c r="AN96" i="8"/>
  <c r="AN99" i="8" s="1"/>
  <c r="AO101" i="8"/>
  <c r="AN113" i="8" l="1"/>
  <c r="AN115" i="8" l="1"/>
  <c r="AN100" i="8" s="1"/>
  <c r="AN108" i="8" l="1"/>
  <c r="AO94" i="8" s="1"/>
  <c r="AN105" i="8"/>
  <c r="AN109" i="8" s="1"/>
  <c r="AP103" i="8" l="1"/>
  <c r="AP104" i="8" s="1"/>
  <c r="AO96" i="8"/>
  <c r="AO99" i="8" s="1"/>
  <c r="AO113" i="8" l="1"/>
  <c r="AO115" i="8" l="1"/>
  <c r="AO100" i="8" s="1"/>
  <c r="AO108" i="8" l="1"/>
  <c r="AO105" i="8"/>
  <c r="AO109" i="8" s="1"/>
  <c r="AP94" i="8" l="1"/>
  <c r="AQ101" i="8" s="1"/>
  <c r="AP101" i="8"/>
  <c r="AQ103" i="8" l="1"/>
  <c r="AQ104" i="8" s="1"/>
  <c r="AP96" i="8"/>
  <c r="AP99" i="8" s="1"/>
  <c r="AP113" i="8" s="1"/>
  <c r="AP115" i="8" l="1"/>
  <c r="AP100" i="8" s="1"/>
  <c r="AP108" i="8" l="1"/>
  <c r="AQ94" i="8" s="1"/>
  <c r="AP105" i="8"/>
  <c r="AP109" i="8" s="1"/>
  <c r="AQ96" i="8" l="1"/>
  <c r="AQ99" i="8" s="1"/>
  <c r="AR103" i="8"/>
  <c r="AR104" i="8" s="1"/>
  <c r="AR101" i="8"/>
  <c r="AQ113" i="8" l="1"/>
  <c r="AQ115" i="8" l="1"/>
  <c r="AQ100" i="8" s="1"/>
  <c r="AQ108" i="8" l="1"/>
  <c r="AR94" i="8" s="1"/>
  <c r="AQ105" i="8"/>
  <c r="AQ109" i="8" s="1"/>
  <c r="AS103" i="8" l="1"/>
  <c r="AS104" i="8" s="1"/>
  <c r="AR96" i="8"/>
  <c r="AR99" i="8" s="1"/>
  <c r="AR113" i="8" l="1"/>
  <c r="AR115" i="8" l="1"/>
  <c r="AR100" i="8" s="1"/>
  <c r="AR108" i="8" l="1"/>
  <c r="AR105" i="8"/>
  <c r="AR109" i="8" s="1"/>
  <c r="AS94" i="8" l="1"/>
  <c r="AS96" i="8" s="1"/>
  <c r="AS99" i="8" s="1"/>
  <c r="AS101" i="8"/>
  <c r="AT103" i="8" l="1"/>
  <c r="AT104" i="8" s="1"/>
  <c r="AT101" i="8"/>
  <c r="AS113" i="8"/>
  <c r="AS115" i="8" l="1"/>
  <c r="AS100" i="8" s="1"/>
  <c r="AS108" i="8" l="1"/>
  <c r="AT94" i="8" s="1"/>
  <c r="AS105" i="8"/>
  <c r="AS109" i="8" l="1"/>
  <c r="AT96" i="8"/>
  <c r="AT99" i="8" s="1"/>
  <c r="AU103" i="8"/>
  <c r="AU104" i="8" s="1"/>
  <c r="AT113" i="8" l="1"/>
  <c r="AT115" i="8" l="1"/>
  <c r="AT100" i="8" s="1"/>
  <c r="AT108" i="8" l="1"/>
  <c r="AT105" i="8"/>
  <c r="AU94" i="8" l="1"/>
  <c r="AU96" i="8" s="1"/>
  <c r="AU99" i="8" s="1"/>
  <c r="AU101" i="8"/>
  <c r="AT109" i="8"/>
  <c r="AV103" i="8" l="1"/>
  <c r="AV104" i="8" s="1"/>
  <c r="AU113" i="8"/>
  <c r="AU115" i="8" l="1"/>
  <c r="AU100" i="8" s="1"/>
  <c r="AU108" i="8" l="1"/>
  <c r="AU105" i="8"/>
  <c r="AV94" i="8" l="1"/>
  <c r="AW101" i="8" s="1"/>
  <c r="AV101" i="8"/>
  <c r="AU109" i="8"/>
  <c r="AV96" i="8" l="1"/>
  <c r="AV99" i="8" s="1"/>
  <c r="AV113" i="8" s="1"/>
  <c r="AW103" i="8"/>
  <c r="AW104" i="8" s="1"/>
  <c r="AV115" i="8" l="1"/>
  <c r="AV100" i="8" s="1"/>
  <c r="AV108" i="8" l="1"/>
  <c r="AW94" i="8" s="1"/>
  <c r="AV105" i="8"/>
  <c r="AV109" i="8" l="1"/>
  <c r="AX103" i="8"/>
  <c r="AX104" i="8" s="1"/>
  <c r="AW96" i="8"/>
  <c r="AW99" i="8" s="1"/>
  <c r="AW113" i="8" l="1"/>
  <c r="AW115" i="8" l="1"/>
  <c r="AW100" i="8" s="1"/>
  <c r="AW108" i="8" l="1"/>
  <c r="AW105" i="8"/>
  <c r="AX94" i="8" l="1"/>
  <c r="AY101" i="8" s="1"/>
  <c r="AX101" i="8"/>
  <c r="AW109" i="8"/>
  <c r="AY103" i="8" l="1"/>
  <c r="AY104" i="8" s="1"/>
  <c r="AX96" i="8"/>
  <c r="AX99" i="8" s="1"/>
  <c r="AX113" i="8" s="1"/>
  <c r="AX115" i="8" l="1"/>
  <c r="AX100" i="8" s="1"/>
  <c r="AX108" i="8" l="1"/>
  <c r="AY94" i="8" s="1"/>
  <c r="AX105" i="8"/>
  <c r="AX109" i="8" s="1"/>
  <c r="AY96" i="8" l="1"/>
  <c r="AY99" i="8" s="1"/>
  <c r="AZ103" i="8"/>
  <c r="AZ104" i="8" s="1"/>
  <c r="AY113" i="8" l="1"/>
  <c r="AY115" i="8" l="1"/>
  <c r="AY100" i="8" s="1"/>
  <c r="AY108" i="8" l="1"/>
  <c r="AY105" i="8"/>
  <c r="AY109" i="8" s="1"/>
  <c r="AZ94" i="8" l="1"/>
  <c r="AZ96" i="8" s="1"/>
  <c r="AZ99" i="8" s="1"/>
  <c r="AZ101" i="8"/>
  <c r="BA103" i="8" l="1"/>
  <c r="BA104" i="8" s="1"/>
  <c r="AZ113" i="8"/>
  <c r="AZ115" i="8" l="1"/>
  <c r="AZ100" i="8" s="1"/>
  <c r="AZ108" i="8" l="1"/>
  <c r="AZ105" i="8"/>
  <c r="AZ109" i="8" s="1"/>
  <c r="BA94" i="8" l="1"/>
  <c r="BB101" i="8" s="1"/>
  <c r="BA101" i="8"/>
  <c r="BB103" i="8" l="1"/>
  <c r="BB104" i="8" s="1"/>
  <c r="BA96" i="8"/>
  <c r="BA99" i="8" s="1"/>
  <c r="BA113" i="8" s="1"/>
  <c r="BA115" i="8" l="1"/>
  <c r="BA100" i="8" s="1"/>
  <c r="BA108" i="8" l="1"/>
  <c r="BB94" i="8" s="1"/>
  <c r="BA105" i="8"/>
  <c r="BA109" i="8" s="1"/>
  <c r="BB96" i="8" l="1"/>
  <c r="BB99" i="8" s="1"/>
  <c r="BC103" i="8"/>
  <c r="BC104" i="8" s="1"/>
  <c r="BB113" i="8" l="1"/>
  <c r="BB115" i="8" l="1"/>
  <c r="BB100" i="8" s="1"/>
  <c r="BB108" i="8" l="1"/>
  <c r="BB105" i="8"/>
  <c r="BB109" i="8" s="1"/>
  <c r="BC94" i="8" l="1"/>
  <c r="BC96" i="8" s="1"/>
  <c r="BC99" i="8" s="1"/>
  <c r="BC101" i="8"/>
  <c r="BD103" i="8" l="1"/>
  <c r="BD104" i="8" s="1"/>
  <c r="BC113" i="8"/>
  <c r="BC115" i="8" l="1"/>
  <c r="BC100" i="8" s="1"/>
  <c r="BC108" i="8" l="1"/>
  <c r="BC105" i="8"/>
  <c r="BC109" i="8" s="1"/>
  <c r="BD94" i="8" l="1"/>
  <c r="BE103" i="8" s="1"/>
  <c r="BE104" i="8" s="1"/>
  <c r="BD101" i="8"/>
  <c r="BD96" i="8" l="1"/>
  <c r="BD99" i="8" s="1"/>
  <c r="BE101" i="8"/>
  <c r="BD113" i="8"/>
  <c r="BD115" i="8" l="1"/>
  <c r="BD100" i="8" s="1"/>
  <c r="BD108" i="8" l="1"/>
  <c r="BE94" i="8" s="1"/>
  <c r="BD105" i="8"/>
  <c r="BD109" i="8" s="1"/>
  <c r="BE96" i="8" l="1"/>
  <c r="BE99" i="8" s="1"/>
  <c r="BF103" i="8"/>
  <c r="BF104" i="8" s="1"/>
  <c r="BE113" i="8" l="1"/>
  <c r="BE115" i="8" l="1"/>
  <c r="BE100" i="8" s="1"/>
  <c r="BE108" i="8" l="1"/>
  <c r="BE105" i="8"/>
  <c r="BF94" i="8" l="1"/>
  <c r="BF96" i="8" s="1"/>
  <c r="BF99" i="8" s="1"/>
  <c r="BF101" i="8"/>
  <c r="BE109" i="8"/>
  <c r="BG103" i="8" l="1"/>
  <c r="BG104" i="8" s="1"/>
  <c r="BG101" i="8"/>
  <c r="BF113" i="8"/>
  <c r="BF115" i="8" l="1"/>
  <c r="BF100" i="8" s="1"/>
  <c r="BF108" i="8" l="1"/>
  <c r="BG94" i="8" s="1"/>
  <c r="BF105" i="8"/>
  <c r="BF109" i="8" l="1"/>
  <c r="BG96" i="8"/>
  <c r="BG99" i="8" s="1"/>
  <c r="BH103" i="8"/>
  <c r="BH104" i="8" s="1"/>
  <c r="BH101" i="8"/>
  <c r="BG113" i="8" l="1"/>
  <c r="BG115" i="8" l="1"/>
  <c r="BG100" i="8" s="1"/>
  <c r="BG108" i="8" l="1"/>
  <c r="BH94" i="8" s="1"/>
  <c r="BG105" i="8"/>
  <c r="BG109" i="8" l="1"/>
  <c r="BH96" i="8"/>
  <c r="BH99" i="8" s="1"/>
  <c r="BI103" i="8"/>
  <c r="BI104" i="8" s="1"/>
  <c r="BI101" i="8"/>
  <c r="BH113" i="8" l="1"/>
  <c r="BH115" i="8" l="1"/>
  <c r="BH100" i="8" s="1"/>
  <c r="BH108" i="8" l="1"/>
  <c r="BI94" i="8" s="1"/>
  <c r="BH105" i="8"/>
  <c r="BH109" i="8" l="1"/>
  <c r="BJ103" i="8"/>
  <c r="BJ104" i="8" s="1"/>
  <c r="BI96" i="8"/>
  <c r="BI99" i="8" s="1"/>
  <c r="BI113" i="8" l="1"/>
  <c r="BI115" i="8" l="1"/>
  <c r="BI100" i="8" s="1"/>
  <c r="BI108" i="8" l="1"/>
  <c r="BI105" i="8"/>
  <c r="BJ94" i="8" l="1"/>
  <c r="BK103" i="8" s="1"/>
  <c r="BK104" i="8" s="1"/>
  <c r="BJ101" i="8"/>
  <c r="BI109" i="8"/>
  <c r="BK101" i="8" l="1"/>
  <c r="BJ96" i="8"/>
  <c r="BJ99" i="8" s="1"/>
  <c r="BJ113" i="8"/>
  <c r="BJ115" i="8" l="1"/>
  <c r="BJ100" i="8" s="1"/>
  <c r="BJ108" i="8" l="1"/>
  <c r="BK94" i="8" s="1"/>
  <c r="BJ105" i="8"/>
  <c r="BJ109" i="8" s="1"/>
  <c r="BK96" i="8" l="1"/>
  <c r="BK99" i="8" s="1"/>
  <c r="BL101" i="8"/>
  <c r="BL103" i="8"/>
  <c r="BL104" i="8" s="1"/>
  <c r="BK113" i="8" l="1"/>
  <c r="BK115" i="8" l="1"/>
  <c r="BK100" i="8" s="1"/>
  <c r="BK108" i="8" l="1"/>
  <c r="BL94" i="8" s="1"/>
  <c r="BK105" i="8"/>
  <c r="BK109" i="8" s="1"/>
  <c r="BM103" i="8" l="1"/>
  <c r="BM104" i="8" s="1"/>
  <c r="BL96" i="8"/>
  <c r="BL99" i="8" s="1"/>
  <c r="BM101" i="8"/>
  <c r="BL113" i="8" l="1"/>
  <c r="BL115" i="8" l="1"/>
  <c r="BL100" i="8" s="1"/>
  <c r="BL108" i="8" l="1"/>
  <c r="BM94" i="8" s="1"/>
  <c r="BL105" i="8"/>
  <c r="BL109" i="8" s="1"/>
  <c r="BN103" i="8" l="1"/>
  <c r="BN104" i="8" s="1"/>
  <c r="BM96" i="8"/>
  <c r="BM99" i="8" s="1"/>
  <c r="BN101" i="8"/>
  <c r="BM113" i="8" l="1"/>
  <c r="BM115" i="8" l="1"/>
  <c r="BM100" i="8" s="1"/>
  <c r="BM108" i="8" l="1"/>
  <c r="BN94" i="8" s="1"/>
  <c r="BM105" i="8"/>
  <c r="BM109" i="8" s="1"/>
  <c r="BO103" i="8" l="1"/>
  <c r="BO104" i="8" s="1"/>
  <c r="BN96" i="8"/>
  <c r="BN99" i="8" s="1"/>
  <c r="BO101" i="8"/>
  <c r="BN113" i="8" l="1"/>
  <c r="BN115" i="8" l="1"/>
  <c r="BN100" i="8" s="1"/>
  <c r="BN108" i="8" l="1"/>
  <c r="BO94" i="8" s="1"/>
  <c r="BN105" i="8"/>
  <c r="BN109" i="8" s="1"/>
  <c r="BO96" i="8" l="1"/>
  <c r="BO99" i="8" s="1"/>
  <c r="BP103" i="8"/>
  <c r="BP104" i="8" s="1"/>
  <c r="BO113" i="8" l="1"/>
  <c r="BO115" i="8" l="1"/>
  <c r="BO100" i="8" s="1"/>
  <c r="BO108" i="8" l="1"/>
  <c r="BO105" i="8"/>
  <c r="BO109" i="8" s="1"/>
  <c r="BP94" i="8" l="1"/>
  <c r="BP96" i="8" s="1"/>
  <c r="BP99" i="8" s="1"/>
  <c r="BP101" i="8"/>
  <c r="BQ103" i="8" l="1"/>
  <c r="BQ104" i="8" s="1"/>
  <c r="BQ101" i="8"/>
  <c r="BP113" i="8"/>
  <c r="BP115" i="8" l="1"/>
  <c r="BP100" i="8" s="1"/>
  <c r="BP108" i="8" l="1"/>
  <c r="BQ94" i="8" s="1"/>
  <c r="BP105" i="8"/>
  <c r="BP109" i="8" s="1"/>
  <c r="BQ96" i="8" l="1"/>
  <c r="BQ99" i="8" s="1"/>
  <c r="BR101" i="8"/>
  <c r="BR103" i="8"/>
  <c r="BR104" i="8" s="1"/>
  <c r="BQ113" i="8" l="1"/>
  <c r="BQ115" i="8" l="1"/>
  <c r="BQ100" i="8" s="1"/>
  <c r="BQ108" i="8" l="1"/>
  <c r="BR94" i="8" s="1"/>
  <c r="BQ105" i="8"/>
  <c r="BQ109" i="8" s="1"/>
  <c r="BR96" i="8" l="1"/>
  <c r="BR99" i="8" s="1"/>
  <c r="BS101" i="8"/>
  <c r="BS103" i="8"/>
  <c r="BS104" i="8" s="1"/>
  <c r="BR113" i="8" l="1"/>
  <c r="BR115" i="8" l="1"/>
  <c r="BR100" i="8" s="1"/>
  <c r="BR108" i="8" l="1"/>
  <c r="BS94" i="8" s="1"/>
  <c r="BR105" i="8"/>
  <c r="BR109" i="8" s="1"/>
  <c r="BS96" i="8" l="1"/>
  <c r="BS99" i="8" s="1"/>
  <c r="BT103" i="8"/>
  <c r="BT104" i="8" s="1"/>
  <c r="BT101" i="8"/>
  <c r="BS113" i="8" l="1"/>
  <c r="BS115" i="8" l="1"/>
  <c r="BS100" i="8" s="1"/>
  <c r="BS108" i="8" l="1"/>
  <c r="BT94" i="8" s="1"/>
  <c r="BS105" i="8"/>
  <c r="BS109" i="8" s="1"/>
  <c r="BT96" i="8" l="1"/>
  <c r="BT99" i="8" s="1"/>
  <c r="BU103" i="8"/>
  <c r="BU104" i="8" s="1"/>
  <c r="BU101" i="8"/>
  <c r="BT113" i="8" l="1"/>
  <c r="BT115" i="8" l="1"/>
  <c r="BT100" i="8" s="1"/>
  <c r="BT108" i="8" l="1"/>
  <c r="BU94" i="8" s="1"/>
  <c r="BT105" i="8"/>
  <c r="BT109" i="8" s="1"/>
  <c r="BU96" i="8" l="1"/>
  <c r="BU99" i="8" s="1"/>
  <c r="BV103" i="8"/>
  <c r="BV104" i="8" s="1"/>
  <c r="C31" i="6" l="1"/>
  <c r="D31" i="6"/>
  <c r="E31" i="6"/>
  <c r="F31" i="6"/>
  <c r="G31" i="6"/>
  <c r="BU113" i="8"/>
  <c r="BU115" i="8" l="1"/>
  <c r="BU100" i="8" s="1"/>
  <c r="BU108" i="8" s="1"/>
  <c r="BV94" i="8" s="1"/>
  <c r="BU105" i="8" l="1"/>
  <c r="BU109" i="8" s="1"/>
  <c r="BW101" i="8"/>
  <c r="BW103" i="8"/>
  <c r="BW104" i="8" s="1"/>
  <c r="BV96" i="8"/>
  <c r="BV99" i="8" s="1"/>
  <c r="BV101" i="8"/>
  <c r="BV113" i="8" l="1"/>
  <c r="C57" i="6"/>
  <c r="D57" i="6"/>
  <c r="BV115" i="8" l="1"/>
  <c r="BV100" i="8" s="1"/>
  <c r="D60" i="6"/>
  <c r="D63" i="6"/>
  <c r="D32" i="6"/>
  <c r="D66" i="6"/>
  <c r="C63" i="6"/>
  <c r="C66" i="6"/>
  <c r="C60" i="6"/>
  <c r="C32" i="6"/>
  <c r="C33" i="6" s="1"/>
  <c r="BV108" i="8" l="1"/>
  <c r="BV105" i="8"/>
  <c r="D33" i="6"/>
  <c r="BV109" i="8" l="1"/>
  <c r="BW94" i="8"/>
  <c r="BW96" i="8" l="1"/>
  <c r="BW99" i="8" s="1"/>
  <c r="BX101" i="8"/>
  <c r="BX103" i="8"/>
  <c r="BX104" i="8" s="1"/>
  <c r="BW113" i="8" l="1"/>
  <c r="BW115" i="8" l="1"/>
  <c r="BW100" i="8" s="1"/>
  <c r="BW108" i="8" l="1"/>
  <c r="BW105" i="8"/>
  <c r="BW109" i="8" l="1"/>
  <c r="BX94" i="8"/>
  <c r="BY103" i="8" l="1"/>
  <c r="BY104" i="8" s="1"/>
  <c r="BX96" i="8"/>
  <c r="BX99" i="8" s="1"/>
  <c r="BX113" i="8" l="1"/>
  <c r="BX115" i="8" l="1"/>
  <c r="BX100" i="8" s="1"/>
  <c r="BX108" i="8" l="1"/>
  <c r="BY101" i="8" s="1"/>
  <c r="BX105" i="8"/>
  <c r="BY94" i="8" l="1"/>
  <c r="BX109" i="8"/>
  <c r="BZ101" i="8" l="1"/>
  <c r="BZ103" i="8"/>
  <c r="BZ104" i="8" s="1"/>
  <c r="BY96" i="8"/>
  <c r="BY99" i="8" s="1"/>
  <c r="BY113" i="8" l="1"/>
  <c r="BY115" i="8" l="1"/>
  <c r="BY100" i="8" s="1"/>
  <c r="BY108" i="8" l="1"/>
  <c r="BY105" i="8"/>
  <c r="BY109" i="8" l="1"/>
  <c r="BZ94" i="8"/>
  <c r="CA103" i="8" l="1"/>
  <c r="CA104" i="8" s="1"/>
  <c r="BZ96" i="8"/>
  <c r="BZ99" i="8" s="1"/>
  <c r="CA101" i="8"/>
  <c r="BZ113" i="8" l="1"/>
  <c r="BZ115" i="8" l="1"/>
  <c r="BZ100" i="8" s="1"/>
  <c r="BZ108" i="8" l="1"/>
  <c r="BZ105" i="8"/>
  <c r="BZ109" i="8" l="1"/>
  <c r="CA94" i="8"/>
  <c r="CB103" i="8" l="1"/>
  <c r="CB104" i="8" s="1"/>
  <c r="CA96" i="8"/>
  <c r="CA99" i="8" s="1"/>
  <c r="E94" i="8"/>
  <c r="C94" i="8" l="1"/>
  <c r="H78" i="5"/>
  <c r="E96" i="8"/>
  <c r="E99" i="8" s="1"/>
  <c r="H31" i="6" l="1"/>
  <c r="CA113" i="8"/>
  <c r="CA115" i="8" s="1"/>
  <c r="CA100" i="8" s="1"/>
  <c r="J78" i="5"/>
  <c r="J80" i="5" s="1"/>
  <c r="I45" i="1" s="1"/>
  <c r="H80" i="5"/>
  <c r="L80" i="5" s="1"/>
  <c r="N80" i="5" s="1"/>
  <c r="I78" i="5"/>
  <c r="I80" i="5" s="1"/>
  <c r="H45" i="1" s="1"/>
  <c r="C96" i="8"/>
  <c r="C99" i="8" s="1"/>
  <c r="D94" i="8"/>
  <c r="G79" i="5" l="1"/>
  <c r="H89" i="5"/>
  <c r="L89" i="5" s="1"/>
  <c r="N89" i="5" s="1"/>
  <c r="G45" i="1"/>
  <c r="S9" i="12" s="1"/>
  <c r="D96" i="8"/>
  <c r="E100" i="8"/>
  <c r="CA108" i="8"/>
  <c r="CA105" i="8"/>
  <c r="CA109" i="8" s="1"/>
  <c r="D99" i="8" l="1"/>
  <c r="D105" i="8" s="1"/>
  <c r="C105" i="8"/>
  <c r="CB101" i="8"/>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C108" i="8" s="1"/>
  <c r="G52" i="1" s="1"/>
  <c r="S12" i="12"/>
  <c r="U9" i="12"/>
  <c r="G80" i="5"/>
  <c r="G41" i="5"/>
  <c r="G46" i="5"/>
  <c r="G59" i="5"/>
  <c r="G48" i="1"/>
  <c r="G22" i="5"/>
  <c r="K15" i="6"/>
  <c r="J89" i="5"/>
  <c r="G43" i="14" s="1"/>
  <c r="K43" i="14" s="1"/>
  <c r="G66" i="5"/>
  <c r="I89" i="5"/>
  <c r="G42" i="14" s="1"/>
  <c r="K42" i="14" s="1"/>
  <c r="G16" i="5"/>
  <c r="E57" i="6" l="1"/>
  <c r="G53" i="1"/>
  <c r="D108" i="8"/>
  <c r="E25" i="16" s="1"/>
  <c r="F25" i="16" s="1"/>
  <c r="J45" i="1"/>
  <c r="J47" i="1"/>
  <c r="J40" i="1"/>
  <c r="H14" i="1"/>
  <c r="G33" i="14" s="1"/>
  <c r="J46" i="1"/>
  <c r="J39" i="1"/>
  <c r="J44" i="1"/>
  <c r="J43" i="1"/>
  <c r="J41" i="1"/>
  <c r="J42" i="1"/>
  <c r="V9" i="12"/>
  <c r="Y9" i="12"/>
  <c r="Y12" i="12" s="1"/>
  <c r="U12" i="12"/>
  <c r="I48" i="1"/>
  <c r="G43" i="2"/>
  <c r="G42" i="2"/>
  <c r="H48" i="1"/>
  <c r="CB105" i="8"/>
  <c r="E101" i="8"/>
  <c r="E66" i="6" l="1"/>
  <c r="E60" i="6"/>
  <c r="E32" i="6"/>
  <c r="E33" i="6" s="1"/>
  <c r="E63" i="6"/>
  <c r="F57" i="6"/>
  <c r="G57" i="6" s="1"/>
  <c r="G37" i="14"/>
  <c r="K37" i="14" s="1"/>
  <c r="K33" i="14"/>
  <c r="D109" i="8"/>
  <c r="C13" i="16" s="1"/>
  <c r="C14" i="16" s="1"/>
  <c r="E16" i="6"/>
  <c r="D115" i="8"/>
  <c r="V12" i="12"/>
  <c r="X9" i="12"/>
  <c r="X12" i="12" s="1"/>
  <c r="J48" i="1"/>
  <c r="G106" i="8"/>
  <c r="H18" i="1" s="1"/>
  <c r="E105" i="8"/>
  <c r="CB109" i="8"/>
  <c r="CC109" i="8" s="1"/>
  <c r="CD109" i="8" s="1"/>
  <c r="CE109" i="8" s="1"/>
  <c r="CF109" i="8" s="1"/>
  <c r="CG109" i="8" s="1"/>
  <c r="CH109" i="8" s="1"/>
  <c r="CI109" i="8" s="1"/>
  <c r="CJ109" i="8" s="1"/>
  <c r="CK109" i="8" s="1"/>
  <c r="CL109" i="8" s="1"/>
  <c r="CM109" i="8" s="1"/>
  <c r="CN109" i="8" s="1"/>
  <c r="CO109" i="8" s="1"/>
  <c r="CP109" i="8" s="1"/>
  <c r="CQ109" i="8" s="1"/>
  <c r="CR109" i="8" s="1"/>
  <c r="CS109" i="8" s="1"/>
  <c r="CT109" i="8" s="1"/>
  <c r="CU109" i="8" s="1"/>
  <c r="CV109" i="8" s="1"/>
  <c r="CW109" i="8" s="1"/>
  <c r="CX109" i="8" s="1"/>
  <c r="CY109" i="8" s="1"/>
  <c r="CZ109" i="8" s="1"/>
  <c r="G54" i="1"/>
  <c r="H53" i="1" s="1"/>
  <c r="G33" i="2"/>
  <c r="G37" i="2" s="1"/>
  <c r="I14" i="1"/>
  <c r="I15" i="1" s="1"/>
  <c r="I17" i="1" s="1"/>
  <c r="G14" i="1"/>
  <c r="G15" i="1" s="1"/>
  <c r="G17" i="1" s="1"/>
  <c r="H15" i="1"/>
  <c r="H57" i="6" l="1"/>
  <c r="G66" i="6"/>
  <c r="G32" i="6"/>
  <c r="G60" i="6"/>
  <c r="G63" i="6"/>
  <c r="F60" i="6"/>
  <c r="F63" i="6"/>
  <c r="F32" i="6"/>
  <c r="F33" i="6" s="1"/>
  <c r="F66" i="6"/>
  <c r="H52" i="1"/>
  <c r="H54" i="1" s="1"/>
  <c r="G34" i="2"/>
  <c r="G34" i="14"/>
  <c r="K34" i="14" s="1"/>
  <c r="G39" i="2"/>
  <c r="Z9" i="12" s="1"/>
  <c r="Z12" i="12" s="1"/>
  <c r="G39" i="14"/>
  <c r="K39" i="14" s="1"/>
  <c r="H17" i="1"/>
  <c r="G33" i="6" l="1"/>
  <c r="B61" i="6"/>
  <c r="H66" i="6"/>
  <c r="B67" i="6" s="1"/>
  <c r="H19" i="1" s="1"/>
  <c r="H32" i="6"/>
  <c r="H63" i="6"/>
  <c r="B64" i="6" s="1"/>
  <c r="G36" i="2"/>
  <c r="G36" i="14"/>
  <c r="K36" i="14" s="1"/>
  <c r="H33" i="6" l="1"/>
  <c r="I33" i="6" s="1"/>
  <c r="J33" i="6" s="1"/>
  <c r="K33" i="6" s="1"/>
  <c r="L33" i="6" s="1"/>
  <c r="G40" i="2"/>
  <c r="AA9" i="12" s="1"/>
  <c r="AA12" i="12" s="1"/>
  <c r="G40" i="14"/>
  <c r="K40" i="14" s="1"/>
</calcChain>
</file>

<file path=xl/sharedStrings.xml><?xml version="1.0" encoding="utf-8"?>
<sst xmlns="http://schemas.openxmlformats.org/spreadsheetml/2006/main" count="521" uniqueCount="384">
  <si>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</si>
  <si>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</si>
  <si>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</si>
  <si>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</si>
  <si>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</si>
  <si>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</si>
  <si>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</si>
  <si>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</si>
  <si>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</si>
  <si>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</si>
  <si>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</si>
  <si>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</si>
  <si>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</si>
  <si>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</si>
  <si>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</si>
  <si>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</si>
  <si>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</si>
  <si>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</si>
  <si>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</si>
  <si>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</si>
  <si>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</si>
  <si>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</si>
  <si>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</si>
  <si>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</si>
  <si>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</si>
  <si>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</si>
  <si>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</si>
  <si>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</si>
  <si>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</si>
  <si>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Parking Revenue</t>
  </si>
  <si>
    <t>Less: Vacancy and collection loss</t>
  </si>
  <si>
    <t>Effective Gross Income</t>
  </si>
  <si>
    <t>Operating Expenses</t>
  </si>
  <si>
    <t>Property Taxes</t>
  </si>
  <si>
    <t>Insurance</t>
  </si>
  <si>
    <t>Operating Expenses/Revenue</t>
  </si>
  <si>
    <t>Total Expenses</t>
  </si>
  <si>
    <t>Repair &amp; Maintenance</t>
  </si>
  <si>
    <t>Management Fee</t>
  </si>
  <si>
    <t>Unit Type</t>
  </si>
  <si>
    <t>No. Units</t>
  </si>
  <si>
    <t>% Total</t>
  </si>
  <si>
    <t>$/Sqft</t>
  </si>
  <si>
    <t>Extra Stalls</t>
  </si>
  <si>
    <t>Ratio</t>
  </si>
  <si>
    <t>stall per unit</t>
  </si>
  <si>
    <t>@</t>
  </si>
  <si>
    <t>x</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</si>
  <si>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</si>
  <si>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</si>
  <si>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</si>
  <si>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</si>
  <si>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</si>
  <si>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</si>
  <si>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</si>
  <si>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</si>
  <si>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</si>
  <si>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</si>
  <si>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</si>
  <si>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</si>
  <si>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</si>
  <si>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</si>
  <si>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</si>
  <si>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</si>
  <si>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</si>
  <si>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</si>
  <si>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</si>
  <si>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</si>
  <si>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</si>
  <si>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</si>
  <si>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</si>
  <si>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</si>
  <si>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</si>
  <si>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</si>
  <si>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</si>
  <si>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</si>
  <si>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</si>
  <si>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</si>
  <si>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</si>
  <si>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</si>
  <si>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</si>
  <si>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</si>
  <si>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</si>
  <si>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</si>
  <si>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Return on Cost</t>
  </si>
  <si>
    <t>CONSTRUCTION FINANCING</t>
  </si>
  <si>
    <t>Construction Loan</t>
  </si>
  <si>
    <t>Base Case</t>
  </si>
  <si>
    <t>Best Case</t>
  </si>
  <si>
    <t>Worst Case</t>
  </si>
  <si>
    <t>Construction Period (Months)</t>
  </si>
  <si>
    <t>LTV ratio</t>
  </si>
  <si>
    <t>Princpal Loan Value</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</si>
  <si>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</si>
  <si>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</si>
  <si>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</si>
  <si>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</si>
  <si>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</si>
  <si>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</si>
  <si>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</si>
  <si>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</si>
  <si>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</si>
  <si>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</si>
  <si>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</si>
  <si>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</si>
  <si>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Net Operating Income @ Stabilization</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</si>
  <si>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</si>
  <si>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</si>
  <si>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</si>
  <si>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</si>
  <si>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</si>
  <si>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</si>
  <si>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</si>
  <si>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</si>
  <si>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</si>
  <si>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</si>
  <si>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</si>
  <si>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</si>
  <si>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</si>
  <si>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</si>
  <si>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</si>
  <si>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</si>
  <si>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</si>
  <si>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</si>
  <si>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</si>
  <si>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</si>
  <si>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</si>
  <si>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</si>
  <si>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</si>
  <si>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</si>
  <si>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</si>
  <si>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</si>
  <si>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</si>
  <si>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</si>
  <si>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</si>
  <si>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</si>
  <si>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</si>
  <si>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</si>
  <si>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</si>
  <si>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</si>
  <si>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</si>
  <si>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</si>
  <si>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</si>
  <si>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</si>
  <si>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</si>
  <si>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</si>
  <si>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</si>
  <si>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</si>
  <si>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</si>
  <si>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</si>
  <si>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</si>
  <si>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</si>
  <si>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</si>
  <si>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</si>
  <si>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</si>
  <si>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</si>
  <si>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</si>
  <si>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</si>
  <si>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</si>
  <si>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</si>
  <si>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</si>
  <si>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</si>
  <si>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</si>
  <si>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</si>
  <si>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</si>
  <si>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</si>
  <si>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</si>
  <si>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</si>
  <si>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</si>
  <si>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</si>
  <si>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</si>
  <si>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</si>
  <si>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</si>
  <si>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</si>
  <si>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</si>
  <si>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</si>
  <si>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</si>
  <si>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</si>
  <si>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</si>
  <si>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</si>
  <si>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</si>
  <si>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</si>
  <si>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</si>
  <si>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</si>
  <si>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</si>
  <si>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</si>
  <si>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</si>
  <si>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</si>
  <si>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</si>
  <si>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</si>
  <si>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</si>
  <si>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</si>
  <si>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</si>
  <si>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</si>
  <si>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Financing contingency</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</si>
  <si>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</si>
  <si>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</si>
  <si>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</si>
  <si>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</si>
  <si>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</si>
  <si>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</si>
  <si>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</si>
  <si>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</si>
  <si>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</si>
  <si>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</si>
  <si>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</si>
  <si>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</si>
  <si>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</si>
  <si>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</si>
  <si>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</si>
  <si>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</si>
  <si>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</si>
  <si>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</si>
  <si>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</si>
  <si>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</si>
  <si>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</si>
  <si>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</si>
  <si>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</si>
  <si>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</si>
  <si>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</si>
  <si>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</si>
  <si>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</si>
  <si>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</si>
  <si>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</si>
  <si>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</si>
  <si>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</si>
  <si>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</si>
  <si>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</si>
  <si>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</si>
  <si>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</si>
  <si>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</si>
  <si>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</si>
  <si>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</si>
  <si>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</si>
  <si>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</si>
  <si>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</si>
  <si>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</si>
  <si>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</si>
  <si>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</si>
  <si>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</si>
  <si>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</si>
  <si>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</si>
  <si>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SVN Rock Advisors Inc.</t>
  </si>
  <si>
    <t>Hydro</t>
  </si>
  <si>
    <t>Storage Lockers</t>
  </si>
  <si>
    <t>Internet</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</si>
  <si>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</si>
  <si>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</si>
  <si>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</si>
  <si>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</si>
  <si>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</si>
  <si>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</si>
  <si>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</si>
  <si>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</si>
  <si>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</si>
  <si>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</si>
  <si>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</si>
  <si>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Staff (Ops &amp; Maint)</t>
  </si>
  <si>
    <t>HST ON SELF SUPPLY</t>
  </si>
  <si>
    <t>LESS RETAIL COMPONENT:</t>
  </si>
  <si>
    <t>NET RESIDENTIAL SALES</t>
  </si>
  <si>
    <t>NO. OF RESIDENTIAL UNITS</t>
  </si>
  <si>
    <t>AVERAGE PRICE PER UNIT</t>
  </si>
  <si>
    <t>Consideration</t>
  </si>
  <si>
    <t xml:space="preserve">for HST </t>
  </si>
  <si>
    <t xml:space="preserve">HST </t>
  </si>
  <si>
    <t>Payable</t>
  </si>
  <si>
    <t>Rebate</t>
  </si>
  <si>
    <t>Federal</t>
  </si>
  <si>
    <t>Provincial</t>
  </si>
  <si>
    <t>EFFECTIVE HST RATE</t>
  </si>
  <si>
    <t>NET HST PAYABLE UNDER SELF SUPPLY RULE PER UNIT</t>
  </si>
  <si>
    <t>Disclaimer: RE: Use of the New Apartment Construction Financial Model</t>
  </si>
  <si>
    <t>SVN Rock Advisors Inc. Brokerage, Derek A. Lobo &amp; Associates (DALA) and/or SVN Canada Inc.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</si>
  <si>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</si>
  <si>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</si>
  <si>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</si>
  <si>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</si>
  <si>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</si>
  <si>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</si>
  <si>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</si>
  <si>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</si>
  <si>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 xml:space="preserve">Utilities </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</si>
  <si>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</si>
  <si>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</si>
  <si>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</si>
  <si>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</si>
  <si>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</si>
  <si>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</si>
  <si>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</si>
  <si>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 xml:space="preserve">VALUE FOR HST PURPOSES </t>
  </si>
  <si>
    <t>Note: This is a rough approximation of the estimate and a formal appraisal at or around completion will be required to estimate accurate amount/s.</t>
  </si>
  <si>
    <t>HST PAYABLE ON RES COMPONENT</t>
  </si>
  <si>
    <t>Per Res unit</t>
  </si>
  <si>
    <t>Keep an eye on this value number</t>
  </si>
  <si>
    <t>Res 2B part</t>
  </si>
  <si>
    <t>Sensitivity Analysis of a Res Development Project</t>
  </si>
  <si>
    <t>Development Summary</t>
  </si>
  <si>
    <t>Total Res Units</t>
  </si>
  <si>
    <t>PERMANENT FINANCING</t>
  </si>
  <si>
    <t>Area Sq Ft</t>
  </si>
  <si>
    <t>NOI Now</t>
  </si>
  <si>
    <t>Op Costs</t>
  </si>
  <si>
    <t>Res Rent/SF</t>
  </si>
  <si>
    <t>NOI Stabilized</t>
  </si>
  <si>
    <t>Op Exp</t>
  </si>
  <si>
    <t>Sale Proceeds</t>
  </si>
  <si>
    <t>(Value-sale costs)</t>
  </si>
  <si>
    <t>Soft Costs</t>
  </si>
  <si>
    <t>Financing</t>
  </si>
  <si>
    <t>Ops NOI</t>
  </si>
  <si>
    <t>Net Dev Costs</t>
  </si>
  <si>
    <t>Profit Before</t>
  </si>
  <si>
    <t>Tax</t>
  </si>
  <si>
    <t xml:space="preserve">Return on </t>
  </si>
  <si>
    <t>Cost</t>
  </si>
  <si>
    <t>Development</t>
  </si>
  <si>
    <t>Yield</t>
  </si>
  <si>
    <t>Running Model</t>
  </si>
  <si>
    <t>IRR if</t>
  </si>
  <si>
    <t>Sold on Stab</t>
  </si>
  <si>
    <t>10 Year</t>
  </si>
  <si>
    <t>Base</t>
  </si>
  <si>
    <t>Unit</t>
  </si>
  <si>
    <t>Scenario</t>
  </si>
  <si>
    <t>Revenue + 5%</t>
  </si>
  <si>
    <t>Sensitize Rent</t>
  </si>
  <si>
    <t>Sensitize Op Cost</t>
  </si>
  <si>
    <t>Res Rent</t>
  </si>
  <si>
    <t>Operating Cost</t>
  </si>
  <si>
    <t>Construction Cost</t>
  </si>
  <si>
    <t>Sensitize</t>
  </si>
  <si>
    <t>Operating Cost -5%</t>
  </si>
  <si>
    <t>Sensitivity</t>
  </si>
  <si>
    <t>Construction Cost - 5%</t>
  </si>
  <si>
    <t>Dollar Profit Uplift</t>
  </si>
  <si>
    <t>Suburban Highrise Project in Ontario</t>
  </si>
  <si>
    <t>1 Bed</t>
  </si>
  <si>
    <t>2 Bed</t>
  </si>
  <si>
    <t>Avg Sq Ft</t>
  </si>
  <si>
    <t>Total Area</t>
  </si>
  <si>
    <t>Res</t>
  </si>
  <si>
    <t>Closing / Other Cost</t>
  </si>
  <si>
    <t>Commissions &amp; Incentive</t>
  </si>
  <si>
    <t>Others</t>
  </si>
  <si>
    <t>Sub-Metering Revenue Share</t>
  </si>
  <si>
    <t>Development Permit</t>
  </si>
  <si>
    <t>$ 8/unit/month</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</si>
  <si>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</si>
  <si>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</si>
  <si>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</si>
  <si>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</si>
  <si>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</si>
  <si>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</si>
  <si>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</si>
  <si>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</si>
  <si>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</si>
  <si>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Total Potential Gross Revenue (including parking &amp; storage)</t>
  </si>
  <si>
    <t>Taxes, HST, VAT</t>
  </si>
  <si>
    <t>Contingency Prov</t>
  </si>
  <si>
    <t>Suburban / Urban Location</t>
  </si>
  <si>
    <t>Security Deposit</t>
  </si>
  <si>
    <t>Total Income During Lease-up incl Sec Deposit</t>
  </si>
  <si>
    <t>Operating income during lease-up incl Sec Deposit</t>
  </si>
  <si>
    <t>(Total slightly diff from DCF)</t>
  </si>
  <si>
    <t>Modified Base</t>
  </si>
  <si>
    <t>DEBT STACK</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</si>
  <si>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</si>
  <si>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</si>
  <si>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</si>
  <si>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</si>
  <si>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</si>
  <si>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</si>
  <si>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</si>
  <si>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</si>
  <si>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</si>
  <si>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Assuming 100% of higher cap value (ref to Exec Summ)</t>
  </si>
  <si>
    <t>Note 1: Double check the Total Debt Ratio from DCF page.</t>
  </si>
  <si>
    <t>&lt; Diff</t>
  </si>
  <si>
    <t>Env Phase 3 Cost</t>
  </si>
  <si>
    <t>&lt; applicable HST @ 13%</t>
  </si>
  <si>
    <t>&lt; consideration for CRA purposes</t>
  </si>
  <si>
    <t>&lt; Max Rebate applicable</t>
  </si>
  <si>
    <t xml:space="preserve">&lt; Sale or Purchase Price inclusive of HST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</si>
</sst>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6" formatCode="&quot;$&quot;#,##0;[Red]\-&quot;$&quot;#,##0"/>
    <numFmt numFmtId="44" formatCode="_-&quot;$&quot;* #,##0.00_-;\-&quot;$&quot;* #,##0.00_-;_-&quot;$&quot;* &quot;-&quot;??_-;_-@_-"/>
    <numFmt numFmtId="43" formatCode="_-* #,##0.00_-;\-* #,##0.00_-;_-* &quot;-&quot;??_-;_-@_-"/>
    <numFmt numFmtId="164" formatCode="_(* #,##0.00_);_(* \(#,##0.00\);_(* &quot;-&quot;??_);_(@_)"/>
    <numFmt numFmtId="165" formatCode="[$-F800]dddd\,\ mmmm\ dd\,\ yyyy"/>
    <numFmt numFmtId="166" formatCode="_-* #,##0_-;\-* #,##0_-;_-* &quot;-&quot;??_-;_-@_-"/>
    <numFmt numFmtId="167" formatCode="0\ &quot;Yrs&quot;"/>
    <numFmt numFmtId="168" formatCode="0.0%"/>
    <numFmt numFmtId="169" formatCode="_-* #,##0.0_-;\-* #,##0.0_-;_-* &quot;-&quot;??_-;_-@_-"/>
    <numFmt numFmtId="170" formatCode="&quot;$&quot;0\ &quot;/sqft&quot;"/>
    <numFmt numFmtId="171" formatCode="0\ &quot;stalls&quot;"/>
    <numFmt numFmtId="172" formatCode="_-&quot;$&quot;* #,##0_-;\-&quot;$&quot;* #,##0_-;_-&quot;$&quot;* &quot;-&quot;??_-;_-@_-"/>
    <numFmt numFmtId="173" formatCode="#,##0\ &quot;per unit&quot;"/>
    <numFmt numFmtId="174" formatCode="mmm\ yy"/>
    <numFmt numFmtId="175" formatCode="\ * _(#,##0_);* \(#,##0\);* _(&quot;-&quot;??_);_-@_-"/>
    <numFmt numFmtId="176" formatCode="\ * _(#,##0.0_);* \(#,##0.0\);* _(&quot;-&quot;??_);_-@_-"/>
    <numFmt numFmtId="177" formatCode="\ * _(#,##0.00_);* \(#,##0.00\);* _(&quot;-&quot;??_);_-@_-"/>
    <numFmt numFmtId="178" formatCode="\(0\)"/>
    <numFmt numFmtId="179" formatCode="0.000%"/>
    <numFmt numFmtId="180" formatCode="_(* #,##0_);_(* \(#,##0\);_(* &quot;-&quot;??_);_(@_)"/>
    <numFmt numFmtId="181" formatCode="0\ &quot;lockers&quot;"/>
    <numFmt numFmtId="182" formatCode="#,##0;\(#,##0\)"/>
    <numFmt numFmtId="183" formatCode="_-* #,##0.00000_-;\-* #,##0.00000_-;_-* &quot;-&quot;??_-;_-@_-"/>
    <numFmt numFmtId="184" formatCode="_-* #,##0.000000_-;\-* #,##0.000000_-;_-* &quot;-&quot;??_-;_-@_-"/>
    <numFmt numFmtId="185" formatCode="_(* #,##0.0_);_(* \(#,##0.0\);_(* &quot;-&quot;??_);_(@_)"/>
    <numFmt numFmtId="186" formatCode="_-* #,##0.000_-;\-* #,##0.000_-;_-* &quot;-&quot;??_-;_-@_-"/>
    <numFmt numFmtId="187" formatCode="0.000"/>
    <numFmt numFmtId="190" formatCode="_-* #,##0.0_-;\-* #,##0.0_-;_-* &quot;-&quot;?_-;_-@_-"/>
  </numFmts>
  <fonts count="54" x14ac:knownFonts="1">
    <font>
      <sz val="11"/>
      <color theme="1"/>
      <name val="Calibri"/>
      <family val="2"/>
      <scheme val="minor"/>
    </font>
    <font>
      <b/>
      <sz val="11"/>
      <color theme="1"/>
      <name val="Calibri"/>
      <family val="2"/>
      <scheme val="minor"/>
    </font>
    <font>
      <b/>
      <sz val="14"/>
      <color theme="1"/>
      <name val="Calibri"/>
      <family val="2"/>
      <scheme val="minor"/>
    </font>
    <font>
      <b/>
      <u/>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11"/>
      <color rgb="FF0070C0"/>
      <name val="Calibri"/>
      <family val="2"/>
      <scheme val="minor"/>
    </font>
    <font>
      <sz val="11"/>
      <name val="Calibri"/>
      <family val="2"/>
      <scheme val="minor"/>
    </font>
    <font>
      <b/>
      <sz val="18"/>
      <color theme="4" tint="-0.249977111117893"/>
      <name val="Calibri"/>
      <family val="2"/>
      <scheme val="minor"/>
    </font>
    <font>
      <u/>
      <sz val="11"/>
      <name val="Calibri"/>
      <family val="2"/>
      <scheme val="minor"/>
    </font>
    <font>
      <b/>
      <sz val="11"/>
      <name val="Calibri"/>
      <family val="2"/>
      <scheme val="minor"/>
    </font>
    <font>
      <b/>
      <sz val="11"/>
      <color rgb="FF0070C0"/>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9"/>
      <name val="Arial"/>
      <family val="2"/>
    </font>
    <font>
      <b/>
      <sz val="9"/>
      <color theme="0"/>
      <name val="Calibri"/>
      <family val="2"/>
      <scheme val="minor"/>
    </font>
    <font>
      <sz val="9"/>
      <color theme="0"/>
      <name val="Calibri"/>
      <family val="2"/>
      <scheme val="minor"/>
    </font>
    <font>
      <i/>
      <sz val="9"/>
      <color theme="1"/>
      <name val="Calibri"/>
      <family val="2"/>
      <scheme val="minor"/>
    </font>
    <font>
      <b/>
      <sz val="10"/>
      <color theme="0"/>
      <name val="Calibri"/>
      <family val="2"/>
      <scheme val="minor"/>
    </font>
    <font>
      <u/>
      <sz val="9"/>
      <color theme="1"/>
      <name val="Calibri"/>
      <family val="2"/>
      <scheme val="minor"/>
    </font>
    <font>
      <sz val="8"/>
      <color theme="1"/>
      <name val="Calibri"/>
      <family val="2"/>
      <scheme val="minor"/>
    </font>
    <font>
      <b/>
      <sz val="8"/>
      <color theme="1"/>
      <name val="Calibri"/>
      <family val="2"/>
      <scheme val="minor"/>
    </font>
    <font>
      <sz val="10"/>
      <color rgb="FF0070C0"/>
      <name val="Calibri"/>
      <family val="2"/>
      <scheme val="minor"/>
    </font>
    <font>
      <sz val="10"/>
      <name val="Calibri"/>
      <family val="2"/>
      <scheme val="minor"/>
    </font>
    <font>
      <u/>
      <sz val="10"/>
      <name val="Calibri"/>
      <family val="2"/>
      <scheme val="minor"/>
    </font>
    <font>
      <sz val="9"/>
      <color rgb="FF0070C0"/>
      <name val="Calibri"/>
      <family val="2"/>
      <scheme val="minor"/>
    </font>
    <font>
      <i/>
      <sz val="9"/>
      <color theme="0"/>
      <name val="Calibri"/>
      <family val="2"/>
      <scheme val="minor"/>
    </font>
    <font>
      <i/>
      <sz val="8"/>
      <color theme="1"/>
      <name val="Calibri"/>
      <family val="2"/>
      <scheme val="minor"/>
    </font>
    <font>
      <sz val="8"/>
      <color rgb="FF0070C0"/>
      <name val="Calibri"/>
      <family val="2"/>
      <scheme val="minor"/>
    </font>
    <font>
      <sz val="10"/>
      <color theme="0"/>
      <name val="Calibri"/>
      <family val="2"/>
      <scheme val="minor"/>
    </font>
    <font>
      <u/>
      <sz val="10"/>
      <color theme="1"/>
      <name val="Calibri"/>
      <family val="2"/>
      <scheme val="minor"/>
    </font>
    <font>
      <b/>
      <sz val="10"/>
      <name val="Calibri"/>
      <family val="2"/>
      <scheme val="minor"/>
    </font>
    <font>
      <i/>
      <sz val="10"/>
      <color theme="1"/>
      <name val="Calibri"/>
      <family val="2"/>
      <scheme val="minor"/>
    </font>
    <font>
      <i/>
      <sz val="11"/>
      <color theme="1"/>
      <name val="Calibri"/>
      <family val="2"/>
      <scheme val="minor"/>
    </font>
    <font>
      <sz val="8"/>
      <color theme="0"/>
      <name val="Calibri"/>
      <family val="2"/>
      <scheme val="minor"/>
    </font>
    <font>
      <sz val="8"/>
      <name val="Calibri"/>
      <family val="2"/>
      <scheme val="minor"/>
    </font>
    <font>
      <b/>
      <u/>
      <sz val="8"/>
      <color theme="1"/>
      <name val="Calibri"/>
      <family val="2"/>
      <scheme val="minor"/>
    </font>
    <font>
      <b/>
      <sz val="8"/>
      <color theme="0"/>
      <name val="Calibri"/>
      <family val="2"/>
      <scheme val="minor"/>
    </font>
    <font>
      <i/>
      <sz val="8"/>
      <color theme="0"/>
      <name val="Calibri"/>
      <family val="2"/>
      <scheme val="minor"/>
    </font>
    <font>
      <sz val="9"/>
      <color rgb="FF00B050"/>
      <name val="Calibri"/>
      <family val="2"/>
      <scheme val="minor"/>
    </font>
    <font>
      <sz val="10"/>
      <color theme="4" tint="-0.249977111117893"/>
      <name val="Calibri"/>
      <family val="2"/>
      <scheme val="minor"/>
    </font>
    <font>
      <sz val="11"/>
      <color rgb="FFFF0000"/>
      <name val="Calibri"/>
      <family val="2"/>
      <scheme val="minor"/>
    </font>
    <font>
      <sz val="10"/>
      <color rgb="FFFF0000"/>
      <name val="Calibri"/>
      <family val="2"/>
      <scheme val="minor"/>
    </font>
    <font>
      <b/>
      <sz val="12"/>
      <color theme="1"/>
      <name val="Calibri"/>
      <family val="2"/>
      <scheme val="minor"/>
    </font>
    <font>
      <sz val="11"/>
      <color indexed="8"/>
      <name val="Calibri"/>
      <family val="2"/>
    </font>
    <font>
      <sz val="10"/>
      <color theme="1"/>
      <name val="Arial"/>
      <family val="2"/>
    </font>
    <font>
      <sz val="9"/>
      <color rgb="FFFF0000"/>
      <name val="Calibri"/>
      <family val="2"/>
      <scheme val="minor"/>
    </font>
    <font>
      <b/>
      <sz val="12"/>
      <color theme="0"/>
      <name val="Calibri"/>
      <family val="2"/>
      <scheme val="minor"/>
    </font>
    <font>
      <b/>
      <i/>
      <sz val="9"/>
      <color theme="1"/>
      <name val="Calibri"/>
      <family val="2"/>
      <scheme val="minor"/>
    </font>
    <font>
      <b/>
      <sz val="11"/>
      <color theme="4" tint="-0.249977111117893"/>
      <name val="Calibri"/>
      <family val="2"/>
      <scheme val="minor"/>
    </font>
  </fonts>
  <fills count="7">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9" tint="0.59999389629810485"/>
        <bgColor indexed="64"/>
      </patternFill>
    </fill>
  </fills>
  <borders count="30">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6">
    <xf numFmtId="0" fontId="0" fillId="0" borderId="0"/>
    <xf numFmtId="43"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164" fontId="48" fillId="0" borderId="0" applyFont="0" applyFill="0" applyBorder="0" applyAlignment="0" applyProtection="0"/>
    <xf numFmtId="0" fontId="4" fillId="0" borderId="0"/>
  </cellStyleXfs>
  <cellXfs count="546">
    <xf numFmtId="0" fontId="0" fillId="0" borderId="0" xfId="0"/>
    <xf numFmtId="0" fontId="0" fillId="0" borderId="1" xfId="0" applyBorder="1"/>
    <xf numFmtId="0" fontId="3" fillId="0" borderId="0" xfId="0" applyFont="1"/>
    <xf numFmtId="0" fontId="0" fillId="0" borderId="0" xfId="0" applyAlignment="1">
      <alignment horizontal="left" indent="2"/>
    </xf>
    <xf numFmtId="0" fontId="0" fillId="0" borderId="0" xfId="0" applyAlignment="1">
      <alignment horizontal="left" indent="3"/>
    </xf>
    <xf numFmtId="9" fontId="7" fillId="0" borderId="0" xfId="0" applyNumberFormat="1" applyFont="1"/>
    <xf numFmtId="0" fontId="5" fillId="2" borderId="0" xfId="0" applyFont="1" applyFill="1"/>
    <xf numFmtId="0" fontId="0" fillId="2" borderId="0" xfId="0" applyFill="1"/>
    <xf numFmtId="0" fontId="6" fillId="2" borderId="0" xfId="0" applyFont="1" applyFill="1"/>
    <xf numFmtId="0" fontId="3" fillId="0" borderId="0" xfId="0" applyFont="1" applyAlignment="1">
      <alignment horizontal="center"/>
    </xf>
    <xf numFmtId="0" fontId="1" fillId="0" borderId="0" xfId="0" applyFont="1" applyAlignment="1">
      <alignment horizontal="left" indent="2"/>
    </xf>
    <xf numFmtId="0" fontId="1" fillId="0" borderId="0" xfId="0" applyFont="1" applyAlignment="1">
      <alignment horizontal="left" indent="3"/>
    </xf>
    <xf numFmtId="166" fontId="8" fillId="0" borderId="0" xfId="1" applyNumberFormat="1" applyFont="1"/>
    <xf numFmtId="166" fontId="0" fillId="0" borderId="0" xfId="0" applyNumberFormat="1"/>
    <xf numFmtId="166" fontId="0" fillId="0" borderId="2" xfId="0" applyNumberFormat="1" applyBorder="1"/>
    <xf numFmtId="166" fontId="5" fillId="2" borderId="0" xfId="0" applyNumberFormat="1" applyFont="1" applyFill="1"/>
    <xf numFmtId="9" fontId="8" fillId="0" borderId="0" xfId="0" applyNumberFormat="1" applyFont="1"/>
    <xf numFmtId="0" fontId="0" fillId="0" borderId="0" xfId="0" applyFont="1"/>
    <xf numFmtId="0" fontId="0" fillId="0" borderId="1" xfId="0" applyFont="1" applyBorder="1"/>
    <xf numFmtId="0" fontId="0" fillId="0" borderId="2" xfId="0" applyFont="1" applyBorder="1"/>
    <xf numFmtId="169" fontId="0" fillId="0" borderId="0" xfId="1" applyNumberFormat="1" applyFont="1"/>
    <xf numFmtId="166" fontId="0" fillId="0" borderId="0" xfId="1" applyNumberFormat="1" applyFont="1"/>
    <xf numFmtId="166" fontId="0" fillId="0" borderId="2" xfId="1" applyNumberFormat="1" applyFont="1" applyBorder="1"/>
    <xf numFmtId="169" fontId="0" fillId="0" borderId="0" xfId="0" applyNumberFormat="1"/>
    <xf numFmtId="169" fontId="0" fillId="0" borderId="2" xfId="1" applyNumberFormat="1" applyFont="1" applyBorder="1"/>
    <xf numFmtId="166" fontId="0" fillId="0" borderId="0" xfId="1" applyNumberFormat="1" applyFont="1" applyBorder="1"/>
    <xf numFmtId="169" fontId="0" fillId="0" borderId="0" xfId="1" applyNumberFormat="1" applyFont="1" applyBorder="1"/>
    <xf numFmtId="0" fontId="9" fillId="0" borderId="0" xfId="0" applyFont="1" applyFill="1"/>
    <xf numFmtId="166" fontId="0" fillId="0" borderId="2" xfId="0" applyNumberFormat="1" applyFont="1" applyBorder="1"/>
    <xf numFmtId="0" fontId="12" fillId="0" borderId="0" xfId="0" applyFont="1" applyFill="1"/>
    <xf numFmtId="0" fontId="1" fillId="0" borderId="0" xfId="0" applyFont="1"/>
    <xf numFmtId="0" fontId="14" fillId="0" borderId="0" xfId="0" applyFont="1"/>
    <xf numFmtId="0" fontId="16" fillId="0" borderId="0" xfId="0" applyFont="1"/>
    <xf numFmtId="174" fontId="18" fillId="0" borderId="2" xfId="0" applyNumberFormat="1" applyFont="1" applyBorder="1" applyAlignment="1">
      <alignment horizontal="center"/>
    </xf>
    <xf numFmtId="0" fontId="17" fillId="0" borderId="0" xfId="0" applyFont="1"/>
    <xf numFmtId="166" fontId="16" fillId="0" borderId="0" xfId="1" applyNumberFormat="1" applyFont="1"/>
    <xf numFmtId="0" fontId="19" fillId="2" borderId="0" xfId="0" applyFont="1" applyFill="1"/>
    <xf numFmtId="0" fontId="20" fillId="2" borderId="0" xfId="0" applyFont="1" applyFill="1"/>
    <xf numFmtId="166" fontId="20" fillId="2" borderId="0" xfId="1" applyNumberFormat="1" applyFont="1" applyFill="1"/>
    <xf numFmtId="166" fontId="16" fillId="0" borderId="2" xfId="1" applyNumberFormat="1" applyFont="1" applyBorder="1"/>
    <xf numFmtId="0" fontId="16" fillId="0" borderId="2" xfId="0" applyFont="1" applyBorder="1"/>
    <xf numFmtId="166" fontId="16" fillId="0" borderId="0" xfId="0" applyNumberFormat="1" applyFont="1"/>
    <xf numFmtId="0" fontId="17" fillId="0" borderId="2" xfId="0" applyFont="1" applyBorder="1" applyAlignment="1">
      <alignment horizontal="center"/>
    </xf>
    <xf numFmtId="0" fontId="21" fillId="0" borderId="0" xfId="0" applyFont="1"/>
    <xf numFmtId="0" fontId="14" fillId="0" borderId="1" xfId="0" applyFont="1" applyBorder="1"/>
    <xf numFmtId="0" fontId="22" fillId="2" borderId="0" xfId="0" applyFont="1" applyFill="1"/>
    <xf numFmtId="0" fontId="23" fillId="0" borderId="0" xfId="0" applyFont="1"/>
    <xf numFmtId="0" fontId="23" fillId="0" borderId="0" xfId="0" applyFont="1" applyAlignment="1">
      <alignment horizontal="center"/>
    </xf>
    <xf numFmtId="0" fontId="16" fillId="0" borderId="0" xfId="0" applyFont="1" applyBorder="1" applyAlignment="1">
      <alignment horizontal="center"/>
    </xf>
    <xf numFmtId="0" fontId="16" fillId="0" borderId="0" xfId="0" applyFont="1" applyAlignment="1">
      <alignment horizontal="center"/>
    </xf>
    <xf numFmtId="9" fontId="16" fillId="0" borderId="0" xfId="0" applyNumberFormat="1" applyFont="1" applyAlignment="1">
      <alignment horizontal="center"/>
    </xf>
    <xf numFmtId="43" fontId="16" fillId="0" borderId="0" xfId="0" applyNumberFormat="1" applyFont="1"/>
    <xf numFmtId="0" fontId="16" fillId="0" borderId="2" xfId="0" applyFont="1" applyBorder="1" applyAlignment="1">
      <alignment horizontal="center"/>
    </xf>
    <xf numFmtId="9" fontId="16" fillId="0" borderId="2" xfId="0" applyNumberFormat="1" applyFont="1" applyBorder="1" applyAlignment="1">
      <alignment horizontal="center"/>
    </xf>
    <xf numFmtId="43" fontId="16" fillId="0" borderId="2" xfId="0" applyNumberFormat="1" applyFont="1" applyBorder="1"/>
    <xf numFmtId="0" fontId="16" fillId="0" borderId="3" xfId="0" applyFont="1" applyBorder="1"/>
    <xf numFmtId="166" fontId="16" fillId="0" borderId="3" xfId="1" applyNumberFormat="1" applyFont="1" applyBorder="1"/>
    <xf numFmtId="10" fontId="8" fillId="0" borderId="0" xfId="0" applyNumberFormat="1" applyFont="1"/>
    <xf numFmtId="166" fontId="12" fillId="0" borderId="0" xfId="1" applyNumberFormat="1" applyFont="1" applyFill="1"/>
    <xf numFmtId="168" fontId="12" fillId="0" borderId="0" xfId="2" applyNumberFormat="1" applyFont="1" applyFill="1"/>
    <xf numFmtId="10" fontId="12" fillId="0" borderId="0" xfId="2" applyNumberFormat="1" applyFont="1" applyFill="1"/>
    <xf numFmtId="168" fontId="8" fillId="0" borderId="0" xfId="0" applyNumberFormat="1" applyFont="1"/>
    <xf numFmtId="0" fontId="0" fillId="0" borderId="0" xfId="0" applyAlignment="1">
      <alignment horizontal="right"/>
    </xf>
    <xf numFmtId="0" fontId="25" fillId="0" borderId="0" xfId="0" applyFont="1" applyAlignment="1">
      <alignment horizontal="right"/>
    </xf>
    <xf numFmtId="0" fontId="26" fillId="0" borderId="0" xfId="0" applyFont="1" applyAlignment="1">
      <alignment horizontal="left" indent="2"/>
    </xf>
    <xf numFmtId="0" fontId="26" fillId="0" borderId="0" xfId="0" applyFont="1" applyAlignment="1">
      <alignment horizontal="center"/>
    </xf>
    <xf numFmtId="166" fontId="26" fillId="0" borderId="0" xfId="1" applyNumberFormat="1" applyFont="1" applyAlignment="1">
      <alignment horizontal="center"/>
    </xf>
    <xf numFmtId="9" fontId="14" fillId="0" borderId="0" xfId="2" applyNumberFormat="1" applyFont="1" applyAlignment="1">
      <alignment horizontal="center"/>
    </xf>
    <xf numFmtId="166" fontId="14" fillId="0" borderId="0" xfId="0" applyNumberFormat="1" applyFont="1"/>
    <xf numFmtId="43" fontId="14" fillId="0" borderId="0" xfId="1" applyFont="1" applyAlignment="1">
      <alignment horizontal="center"/>
    </xf>
    <xf numFmtId="0" fontId="26" fillId="0" borderId="2" xfId="0" applyFont="1" applyBorder="1" applyAlignment="1">
      <alignment horizontal="left" indent="2"/>
    </xf>
    <xf numFmtId="0" fontId="14" fillId="0" borderId="2" xfId="0" applyFont="1" applyBorder="1"/>
    <xf numFmtId="0" fontId="26" fillId="0" borderId="2" xfId="0" applyFont="1" applyBorder="1" applyAlignment="1">
      <alignment horizontal="center"/>
    </xf>
    <xf numFmtId="166" fontId="26" fillId="0" borderId="2" xfId="1" applyNumberFormat="1" applyFont="1" applyBorder="1" applyAlignment="1">
      <alignment horizontal="center"/>
    </xf>
    <xf numFmtId="0" fontId="14" fillId="0" borderId="0" xfId="0" applyFont="1" applyAlignment="1">
      <alignment horizontal="left" indent="2"/>
    </xf>
    <xf numFmtId="166" fontId="26" fillId="0" borderId="0" xfId="1" applyNumberFormat="1" applyFont="1"/>
    <xf numFmtId="9" fontId="14" fillId="0" borderId="0" xfId="2" applyFont="1"/>
    <xf numFmtId="0" fontId="14" fillId="0" borderId="2" xfId="0" applyFont="1" applyBorder="1" applyAlignment="1">
      <alignment horizontal="left" indent="2"/>
    </xf>
    <xf numFmtId="166" fontId="14" fillId="0" borderId="2" xfId="1" applyNumberFormat="1" applyFont="1" applyBorder="1"/>
    <xf numFmtId="9" fontId="14" fillId="0" borderId="2" xfId="2" applyFont="1" applyBorder="1"/>
    <xf numFmtId="166" fontId="14" fillId="0" borderId="2" xfId="0" applyNumberFormat="1" applyFont="1" applyBorder="1"/>
    <xf numFmtId="0" fontId="9" fillId="0" borderId="0" xfId="0" applyFont="1" applyFill="1" applyBorder="1" applyAlignment="1">
      <alignment horizontal="center"/>
    </xf>
    <xf numFmtId="0" fontId="9" fillId="0" borderId="0" xfId="0" applyFont="1" applyFill="1" applyBorder="1"/>
    <xf numFmtId="0" fontId="11" fillId="0" borderId="0" xfId="0" applyFont="1" applyFill="1" applyBorder="1"/>
    <xf numFmtId="166" fontId="9" fillId="0" borderId="0" xfId="1" applyNumberFormat="1" applyFont="1" applyFill="1" applyBorder="1" applyAlignment="1">
      <alignment horizontal="center"/>
    </xf>
    <xf numFmtId="0" fontId="11" fillId="0" borderId="0" xfId="0" applyFont="1" applyFill="1" applyBorder="1" applyAlignment="1">
      <alignment horizontal="center"/>
    </xf>
    <xf numFmtId="0" fontId="12" fillId="0" borderId="0" xfId="0" applyFont="1" applyFill="1" applyBorder="1"/>
    <xf numFmtId="166" fontId="12" fillId="0" borderId="0" xfId="0" applyNumberFormat="1" applyFont="1" applyFill="1" applyBorder="1"/>
    <xf numFmtId="0" fontId="9" fillId="0" borderId="0" xfId="0" applyFont="1" applyFill="1" applyBorder="1" applyAlignment="1">
      <alignment horizontal="right"/>
    </xf>
    <xf numFmtId="43" fontId="9" fillId="0" borderId="0" xfId="1" applyFont="1" applyFill="1" applyBorder="1"/>
    <xf numFmtId="0" fontId="27" fillId="0" borderId="0" xfId="0" applyFont="1" applyFill="1" applyBorder="1"/>
    <xf numFmtId="0" fontId="27" fillId="0" borderId="0" xfId="0" applyFont="1" applyFill="1" applyBorder="1" applyAlignment="1">
      <alignment horizontal="left" indent="2"/>
    </xf>
    <xf numFmtId="166" fontId="27" fillId="0" borderId="0" xfId="0" applyNumberFormat="1" applyFont="1" applyFill="1" applyBorder="1"/>
    <xf numFmtId="166" fontId="9" fillId="0" borderId="0" xfId="1" applyNumberFormat="1" applyFont="1" applyFill="1" applyBorder="1"/>
    <xf numFmtId="166" fontId="9" fillId="0" borderId="0" xfId="0" applyNumberFormat="1" applyFont="1" applyFill="1" applyBorder="1"/>
    <xf numFmtId="0" fontId="9" fillId="0" borderId="0" xfId="0" applyFont="1" applyFill="1" applyBorder="1" applyAlignment="1">
      <alignment horizontal="left"/>
    </xf>
    <xf numFmtId="170" fontId="9" fillId="0" borderId="0" xfId="0" applyNumberFormat="1" applyFont="1" applyFill="1" applyBorder="1" applyAlignment="1"/>
    <xf numFmtId="171" fontId="9" fillId="0" borderId="0" xfId="0" applyNumberFormat="1" applyFont="1" applyFill="1" applyBorder="1"/>
    <xf numFmtId="166" fontId="27" fillId="0" borderId="0" xfId="1" applyNumberFormat="1" applyFont="1" applyFill="1" applyBorder="1"/>
    <xf numFmtId="9" fontId="27" fillId="0" borderId="0" xfId="2" applyFont="1" applyFill="1" applyBorder="1"/>
    <xf numFmtId="9" fontId="27" fillId="0" borderId="0" xfId="0" applyNumberFormat="1" applyFont="1" applyFill="1" applyBorder="1"/>
    <xf numFmtId="9" fontId="9" fillId="0" borderId="0" xfId="2" applyFont="1" applyFill="1" applyBorder="1"/>
    <xf numFmtId="10" fontId="12" fillId="0" borderId="0" xfId="0" applyNumberFormat="1" applyFont="1" applyFill="1" applyBorder="1"/>
    <xf numFmtId="0" fontId="12" fillId="0" borderId="0" xfId="0" applyFont="1" applyFill="1" applyBorder="1" applyAlignment="1">
      <alignment horizontal="right"/>
    </xf>
    <xf numFmtId="0" fontId="9" fillId="0" borderId="0" xfId="0" applyFont="1" applyFill="1" applyBorder="1" applyAlignment="1">
      <alignment horizontal="left" indent="2"/>
    </xf>
    <xf numFmtId="0" fontId="8" fillId="0" borderId="0" xfId="0" applyFont="1" applyFill="1" applyBorder="1" applyAlignment="1">
      <alignment horizontal="center"/>
    </xf>
    <xf numFmtId="17" fontId="13" fillId="0" borderId="0" xfId="0" applyNumberFormat="1" applyFont="1" applyFill="1" applyBorder="1"/>
    <xf numFmtId="0" fontId="12" fillId="0" borderId="2" xfId="0" applyFont="1" applyFill="1" applyBorder="1"/>
    <xf numFmtId="17" fontId="9" fillId="0" borderId="0" xfId="0" applyNumberFormat="1" applyFont="1" applyFill="1" applyBorder="1" applyAlignment="1">
      <alignment horizontal="center"/>
    </xf>
    <xf numFmtId="17" fontId="16" fillId="0" borderId="0" xfId="0" applyNumberFormat="1" applyFont="1" applyAlignment="1">
      <alignment horizontal="center"/>
    </xf>
    <xf numFmtId="0" fontId="16" fillId="0" borderId="0" xfId="1" applyNumberFormat="1" applyFont="1" applyAlignment="1">
      <alignment horizontal="center"/>
    </xf>
    <xf numFmtId="0" fontId="27" fillId="0" borderId="0" xfId="0" applyFont="1" applyFill="1"/>
    <xf numFmtId="0" fontId="28" fillId="0" borderId="0" xfId="0" applyFont="1" applyFill="1"/>
    <xf numFmtId="0" fontId="16" fillId="0" borderId="0" xfId="0" applyFont="1" applyAlignment="1">
      <alignment horizontal="left"/>
    </xf>
    <xf numFmtId="0" fontId="16" fillId="0" borderId="3" xfId="0" applyFont="1" applyBorder="1" applyAlignment="1">
      <alignment horizontal="left"/>
    </xf>
    <xf numFmtId="10" fontId="16" fillId="0" borderId="2" xfId="0" applyNumberFormat="1" applyFont="1" applyBorder="1"/>
    <xf numFmtId="0" fontId="13" fillId="0" borderId="0" xfId="0" applyFont="1" applyFill="1" applyBorder="1" applyAlignment="1">
      <alignment horizontal="center"/>
    </xf>
    <xf numFmtId="0" fontId="12" fillId="0" borderId="0" xfId="0" applyFont="1" applyFill="1" applyBorder="1" applyAlignment="1">
      <alignment horizontal="center"/>
    </xf>
    <xf numFmtId="0" fontId="12" fillId="0" borderId="2" xfId="0" applyFont="1" applyFill="1" applyBorder="1" applyAlignment="1">
      <alignment horizontal="left"/>
    </xf>
    <xf numFmtId="0" fontId="20" fillId="2" borderId="0" xfId="0" applyFont="1" applyFill="1" applyAlignment="1">
      <alignment horizontal="center"/>
    </xf>
    <xf numFmtId="0" fontId="19" fillId="2" borderId="0" xfId="0" applyFont="1" applyFill="1" applyAlignment="1">
      <alignment horizontal="center"/>
    </xf>
    <xf numFmtId="17" fontId="29" fillId="0" borderId="0" xfId="0" applyNumberFormat="1" applyFont="1" applyAlignment="1">
      <alignment horizontal="center"/>
    </xf>
    <xf numFmtId="0" fontId="0" fillId="0" borderId="0" xfId="0" applyAlignment="1">
      <alignment horizontal="left" indent="1"/>
    </xf>
    <xf numFmtId="166" fontId="4" fillId="0" borderId="3" xfId="1" applyNumberFormat="1" applyFont="1" applyBorder="1"/>
    <xf numFmtId="0" fontId="16" fillId="0" borderId="2" xfId="0" applyFont="1" applyBorder="1" applyAlignment="1">
      <alignment horizontal="left"/>
    </xf>
    <xf numFmtId="166" fontId="16" fillId="0" borderId="0" xfId="1" applyNumberFormat="1" applyFont="1" applyAlignment="1">
      <alignment horizontal="center"/>
    </xf>
    <xf numFmtId="166" fontId="16" fillId="0" borderId="2" xfId="1" applyNumberFormat="1" applyFont="1" applyBorder="1" applyAlignment="1">
      <alignment horizontal="center"/>
    </xf>
    <xf numFmtId="9" fontId="16" fillId="0" borderId="0" xfId="2" applyFont="1"/>
    <xf numFmtId="9" fontId="16" fillId="0" borderId="3" xfId="2" applyFont="1" applyBorder="1" applyAlignment="1">
      <alignment horizontal="center"/>
    </xf>
    <xf numFmtId="168" fontId="16" fillId="0" borderId="0" xfId="2" applyNumberFormat="1" applyFont="1" applyAlignment="1">
      <alignment horizontal="center"/>
    </xf>
    <xf numFmtId="175" fontId="16" fillId="0" borderId="0" xfId="1" applyNumberFormat="1" applyFont="1"/>
    <xf numFmtId="0" fontId="16" fillId="0" borderId="7" xfId="0" applyFont="1" applyBorder="1" applyAlignment="1">
      <alignment horizontal="left" indent="2"/>
    </xf>
    <xf numFmtId="174" fontId="18" fillId="0" borderId="2" xfId="0" applyNumberFormat="1" applyFont="1" applyFill="1" applyBorder="1" applyAlignment="1">
      <alignment horizontal="center"/>
    </xf>
    <xf numFmtId="0" fontId="20" fillId="2" borderId="0" xfId="0" applyFont="1" applyFill="1" applyBorder="1"/>
    <xf numFmtId="0" fontId="16" fillId="0" borderId="0" xfId="0" applyFont="1" applyBorder="1"/>
    <xf numFmtId="166" fontId="16" fillId="0" borderId="0" xfId="1" applyNumberFormat="1" applyFont="1" applyBorder="1"/>
    <xf numFmtId="0" fontId="19" fillId="2" borderId="0" xfId="0" applyFont="1" applyFill="1" applyBorder="1"/>
    <xf numFmtId="0" fontId="17" fillId="0" borderId="6" xfId="0" applyFont="1" applyBorder="1" applyAlignment="1">
      <alignment horizontal="center"/>
    </xf>
    <xf numFmtId="0" fontId="20" fillId="2" borderId="7" xfId="0" applyFont="1" applyFill="1" applyBorder="1"/>
    <xf numFmtId="0" fontId="16" fillId="0" borderId="7" xfId="0" applyFont="1" applyBorder="1"/>
    <xf numFmtId="0" fontId="16" fillId="0" borderId="6" xfId="0" applyFont="1" applyBorder="1"/>
    <xf numFmtId="1" fontId="16" fillId="0" borderId="7" xfId="1" applyNumberFormat="1" applyFont="1" applyBorder="1" applyAlignment="1">
      <alignment horizontal="center"/>
    </xf>
    <xf numFmtId="0" fontId="19" fillId="2" borderId="7" xfId="0" applyFont="1" applyFill="1" applyBorder="1"/>
    <xf numFmtId="0" fontId="16" fillId="0" borderId="9" xfId="0" applyFont="1" applyBorder="1" applyAlignment="1">
      <alignment horizontal="left" indent="2"/>
    </xf>
    <xf numFmtId="175" fontId="16" fillId="0" borderId="8" xfId="1" applyNumberFormat="1" applyFont="1" applyBorder="1"/>
    <xf numFmtId="166" fontId="16" fillId="0" borderId="8" xfId="1" applyNumberFormat="1" applyFont="1" applyBorder="1"/>
    <xf numFmtId="0" fontId="16" fillId="0" borderId="8" xfId="0" applyFont="1" applyBorder="1" applyAlignment="1">
      <alignment horizontal="center"/>
    </xf>
    <xf numFmtId="0" fontId="16" fillId="0" borderId="9" xfId="0" applyFont="1" applyBorder="1"/>
    <xf numFmtId="17" fontId="16" fillId="0" borderId="8" xfId="0" applyNumberFormat="1" applyFont="1" applyBorder="1" applyAlignment="1">
      <alignment horizontal="center"/>
    </xf>
    <xf numFmtId="1" fontId="16" fillId="0" borderId="9" xfId="1" applyNumberFormat="1" applyFont="1" applyBorder="1" applyAlignment="1">
      <alignment horizontal="center"/>
    </xf>
    <xf numFmtId="175" fontId="16" fillId="0" borderId="0" xfId="1" applyNumberFormat="1" applyFont="1" applyBorder="1"/>
    <xf numFmtId="17" fontId="16" fillId="0" borderId="0" xfId="0" applyNumberFormat="1" applyFont="1" applyBorder="1" applyAlignment="1">
      <alignment horizontal="center"/>
    </xf>
    <xf numFmtId="0" fontId="17" fillId="0" borderId="6" xfId="0" applyFont="1" applyBorder="1"/>
    <xf numFmtId="0" fontId="16" fillId="0" borderId="6" xfId="0" applyFont="1" applyBorder="1" applyAlignment="1">
      <alignment horizontal="left" indent="2"/>
    </xf>
    <xf numFmtId="9" fontId="16" fillId="0" borderId="2" xfId="2" applyFont="1" applyBorder="1"/>
    <xf numFmtId="9" fontId="16" fillId="0" borderId="0" xfId="2" applyFont="1" applyBorder="1"/>
    <xf numFmtId="168" fontId="16" fillId="0" borderId="0" xfId="2" applyNumberFormat="1" applyFont="1"/>
    <xf numFmtId="175" fontId="16" fillId="0" borderId="2" xfId="1" applyNumberFormat="1" applyFont="1" applyBorder="1"/>
    <xf numFmtId="178" fontId="16" fillId="0" borderId="0" xfId="0" applyNumberFormat="1" applyFont="1" applyAlignment="1">
      <alignment horizontal="center"/>
    </xf>
    <xf numFmtId="175" fontId="16" fillId="0" borderId="0" xfId="0" applyNumberFormat="1" applyFont="1" applyBorder="1"/>
    <xf numFmtId="175" fontId="4" fillId="0" borderId="0" xfId="1" applyNumberFormat="1" applyFont="1"/>
    <xf numFmtId="175" fontId="4" fillId="0" borderId="2" xfId="1" applyNumberFormat="1" applyFont="1" applyBorder="1"/>
    <xf numFmtId="175" fontId="16" fillId="0" borderId="5" xfId="1" applyNumberFormat="1" applyFont="1" applyBorder="1"/>
    <xf numFmtId="0" fontId="16" fillId="0" borderId="4" xfId="0" applyFont="1" applyBorder="1" applyAlignment="1">
      <alignment horizontal="center"/>
    </xf>
    <xf numFmtId="175" fontId="16" fillId="0" borderId="4" xfId="0" applyNumberFormat="1" applyFont="1" applyBorder="1"/>
    <xf numFmtId="0" fontId="16" fillId="0" borderId="7" xfId="0" applyFont="1" applyBorder="1" applyAlignment="1">
      <alignment horizontal="center"/>
    </xf>
    <xf numFmtId="0" fontId="21" fillId="0" borderId="6" xfId="0" applyFont="1" applyBorder="1" applyAlignment="1">
      <alignment horizontal="left" indent="2"/>
    </xf>
    <xf numFmtId="0" fontId="21" fillId="0" borderId="2" xfId="0" applyFont="1" applyBorder="1"/>
    <xf numFmtId="0" fontId="21" fillId="0" borderId="2" xfId="0" applyFont="1" applyBorder="1" applyAlignment="1">
      <alignment horizontal="center"/>
    </xf>
    <xf numFmtId="0" fontId="21" fillId="0" borderId="6" xfId="0" applyFont="1" applyBorder="1"/>
    <xf numFmtId="177" fontId="21" fillId="0" borderId="2" xfId="1" applyNumberFormat="1" applyFont="1" applyBorder="1"/>
    <xf numFmtId="17" fontId="21" fillId="0" borderId="2" xfId="0" applyNumberFormat="1" applyFont="1" applyBorder="1" applyAlignment="1">
      <alignment horizontal="center"/>
    </xf>
    <xf numFmtId="1" fontId="21" fillId="0" borderId="6" xfId="1" applyNumberFormat="1" applyFont="1" applyBorder="1" applyAlignment="1">
      <alignment horizontal="center"/>
    </xf>
    <xf numFmtId="9" fontId="21" fillId="0" borderId="2" xfId="2" applyFont="1" applyBorder="1"/>
    <xf numFmtId="168" fontId="16" fillId="0" borderId="11" xfId="2" applyNumberFormat="1" applyFont="1" applyBorder="1"/>
    <xf numFmtId="168" fontId="21" fillId="0" borderId="2" xfId="2" applyNumberFormat="1" applyFont="1" applyBorder="1"/>
    <xf numFmtId="176" fontId="21" fillId="0" borderId="0" xfId="1" applyNumberFormat="1" applyFont="1"/>
    <xf numFmtId="175" fontId="21" fillId="0" borderId="0" xfId="1" applyNumberFormat="1" applyFont="1" applyAlignment="1"/>
    <xf numFmtId="0" fontId="20" fillId="0" borderId="0" xfId="0" applyFont="1"/>
    <xf numFmtId="0" fontId="30" fillId="0" borderId="0" xfId="0" applyFont="1"/>
    <xf numFmtId="0" fontId="31" fillId="0" borderId="7" xfId="0" applyFont="1" applyBorder="1"/>
    <xf numFmtId="0" fontId="24" fillId="0" borderId="0" xfId="0" applyFont="1"/>
    <xf numFmtId="0" fontId="24" fillId="0" borderId="0" xfId="0" applyFont="1" applyAlignment="1">
      <alignment horizontal="center"/>
    </xf>
    <xf numFmtId="0" fontId="24" fillId="0" borderId="7" xfId="0" applyFont="1" applyBorder="1"/>
    <xf numFmtId="0" fontId="24" fillId="0" borderId="0" xfId="0" applyFont="1" applyBorder="1"/>
    <xf numFmtId="0" fontId="24" fillId="0" borderId="7" xfId="0" applyFont="1" applyBorder="1" applyAlignment="1">
      <alignment horizontal="left" indent="3"/>
    </xf>
    <xf numFmtId="175" fontId="24" fillId="0" borderId="0" xfId="1" applyNumberFormat="1" applyFont="1"/>
    <xf numFmtId="175" fontId="24" fillId="0" borderId="4" xfId="0" applyNumberFormat="1" applyFont="1" applyBorder="1"/>
    <xf numFmtId="175" fontId="24" fillId="0" borderId="0" xfId="0" applyNumberFormat="1" applyFont="1" applyBorder="1"/>
    <xf numFmtId="9" fontId="24" fillId="0" borderId="0" xfId="0" applyNumberFormat="1" applyFont="1" applyBorder="1"/>
    <xf numFmtId="166" fontId="9" fillId="0" borderId="0" xfId="1" applyNumberFormat="1" applyFont="1"/>
    <xf numFmtId="175" fontId="24" fillId="0" borderId="0" xfId="0" applyNumberFormat="1" applyFont="1"/>
    <xf numFmtId="0" fontId="33" fillId="2" borderId="0" xfId="0" applyFont="1" applyFill="1"/>
    <xf numFmtId="0" fontId="26" fillId="0" borderId="0" xfId="0" applyFont="1"/>
    <xf numFmtId="0" fontId="26" fillId="0" borderId="2" xfId="0" applyFont="1" applyBorder="1"/>
    <xf numFmtId="0" fontId="14" fillId="0" borderId="0" xfId="0" applyFont="1" applyAlignment="1">
      <alignment horizontal="right"/>
    </xf>
    <xf numFmtId="43" fontId="14" fillId="0" borderId="0" xfId="1" applyFont="1"/>
    <xf numFmtId="0" fontId="34" fillId="0" borderId="0" xfId="0" applyFont="1"/>
    <xf numFmtId="0" fontId="34" fillId="0" borderId="0" xfId="0" applyFont="1" applyAlignment="1">
      <alignment horizontal="center"/>
    </xf>
    <xf numFmtId="0" fontId="14" fillId="0" borderId="3" xfId="0" applyFont="1" applyBorder="1"/>
    <xf numFmtId="166" fontId="14" fillId="0" borderId="3" xfId="1" applyNumberFormat="1" applyFont="1" applyBorder="1" applyAlignment="1">
      <alignment horizontal="center"/>
    </xf>
    <xf numFmtId="0" fontId="27" fillId="0" borderId="3" xfId="0" applyFont="1" applyBorder="1" applyAlignment="1">
      <alignment horizontal="center"/>
    </xf>
    <xf numFmtId="9" fontId="14" fillId="0" borderId="3" xfId="2" applyNumberFormat="1" applyFont="1" applyBorder="1" applyAlignment="1">
      <alignment horizontal="center"/>
    </xf>
    <xf numFmtId="166" fontId="14" fillId="0" borderId="0" xfId="1" applyNumberFormat="1" applyFont="1"/>
    <xf numFmtId="0" fontId="14" fillId="0" borderId="0" xfId="0" applyFont="1" applyAlignment="1">
      <alignment horizontal="left"/>
    </xf>
    <xf numFmtId="166" fontId="27" fillId="0" borderId="0" xfId="1" applyNumberFormat="1" applyFont="1" applyAlignment="1">
      <alignment horizontal="center"/>
    </xf>
    <xf numFmtId="0" fontId="14" fillId="0" borderId="2" xfId="0" applyFont="1" applyBorder="1" applyAlignment="1">
      <alignment horizontal="left"/>
    </xf>
    <xf numFmtId="171" fontId="14" fillId="0" borderId="2" xfId="0" applyNumberFormat="1" applyFont="1" applyBorder="1"/>
    <xf numFmtId="0" fontId="14" fillId="0" borderId="2" xfId="0" applyFont="1" applyBorder="1" applyAlignment="1">
      <alignment horizontal="center"/>
    </xf>
    <xf numFmtId="6" fontId="26" fillId="0" borderId="2" xfId="0" applyNumberFormat="1" applyFont="1" applyBorder="1"/>
    <xf numFmtId="166" fontId="27" fillId="0" borderId="2" xfId="1" applyNumberFormat="1" applyFont="1" applyBorder="1" applyAlignment="1">
      <alignment horizontal="center"/>
    </xf>
    <xf numFmtId="169" fontId="14" fillId="0" borderId="0" xfId="1" applyNumberFormat="1" applyFont="1"/>
    <xf numFmtId="166" fontId="22" fillId="2" borderId="0" xfId="0" applyNumberFormat="1" applyFont="1" applyFill="1"/>
    <xf numFmtId="0" fontId="35" fillId="0" borderId="0" xfId="0" applyFont="1" applyFill="1"/>
    <xf numFmtId="166" fontId="35" fillId="0" borderId="0" xfId="0" applyNumberFormat="1" applyFont="1" applyFill="1"/>
    <xf numFmtId="0" fontId="15" fillId="0" borderId="0" xfId="0" applyFont="1"/>
    <xf numFmtId="10" fontId="27" fillId="0" borderId="0" xfId="0" applyNumberFormat="1" applyFont="1"/>
    <xf numFmtId="0" fontId="15" fillId="0" borderId="0" xfId="0" applyFont="1" applyAlignment="1">
      <alignment horizontal="right"/>
    </xf>
    <xf numFmtId="173" fontId="14" fillId="0" borderId="0" xfId="0" applyNumberFormat="1" applyFont="1" applyAlignment="1">
      <alignment horizontal="right"/>
    </xf>
    <xf numFmtId="172" fontId="15" fillId="0" borderId="0" xfId="3" applyNumberFormat="1" applyFont="1"/>
    <xf numFmtId="172" fontId="14" fillId="0" borderId="0" xfId="3" applyNumberFormat="1" applyFont="1"/>
    <xf numFmtId="0" fontId="15" fillId="0" borderId="2" xfId="0" applyFont="1" applyBorder="1"/>
    <xf numFmtId="0" fontId="14" fillId="0" borderId="2" xfId="0" applyFont="1" applyBorder="1" applyAlignment="1">
      <alignment horizontal="right"/>
    </xf>
    <xf numFmtId="10" fontId="27" fillId="0" borderId="2" xfId="0" applyNumberFormat="1" applyFont="1" applyBorder="1"/>
    <xf numFmtId="173" fontId="14" fillId="0" borderId="2" xfId="0" applyNumberFormat="1" applyFont="1" applyBorder="1" applyAlignment="1">
      <alignment horizontal="right"/>
    </xf>
    <xf numFmtId="0" fontId="15" fillId="0" borderId="2" xfId="0" applyFont="1" applyBorder="1" applyAlignment="1">
      <alignment horizontal="right"/>
    </xf>
    <xf numFmtId="172" fontId="15" fillId="0" borderId="2" xfId="3" applyNumberFormat="1" applyFont="1" applyBorder="1"/>
    <xf numFmtId="175" fontId="24" fillId="0" borderId="8" xfId="0" applyNumberFormat="1" applyFont="1" applyBorder="1"/>
    <xf numFmtId="175" fontId="24" fillId="0" borderId="10" xfId="0" applyNumberFormat="1" applyFont="1" applyBorder="1"/>
    <xf numFmtId="0" fontId="24" fillId="0" borderId="6" xfId="0" applyFont="1" applyBorder="1"/>
    <xf numFmtId="166" fontId="16" fillId="0" borderId="0" xfId="1" applyNumberFormat="1" applyFont="1" applyFill="1"/>
    <xf numFmtId="166" fontId="16" fillId="0" borderId="2" xfId="0" applyNumberFormat="1" applyFont="1" applyBorder="1"/>
    <xf numFmtId="175" fontId="24" fillId="0" borderId="0" xfId="1" applyNumberFormat="1" applyFont="1" applyBorder="1"/>
    <xf numFmtId="0" fontId="24" fillId="0" borderId="0" xfId="0" applyFont="1" applyBorder="1" applyAlignment="1">
      <alignment horizontal="left" indent="3"/>
    </xf>
    <xf numFmtId="175" fontId="24" fillId="0" borderId="4" xfId="1" applyNumberFormat="1" applyFont="1" applyFill="1" applyBorder="1"/>
    <xf numFmtId="166" fontId="4" fillId="0" borderId="0" xfId="1" applyNumberFormat="1" applyFont="1" applyFill="1"/>
    <xf numFmtId="10" fontId="4" fillId="0" borderId="2" xfId="0" applyNumberFormat="1" applyFont="1" applyBorder="1"/>
    <xf numFmtId="166" fontId="4" fillId="0" borderId="0" xfId="0" applyNumberFormat="1" applyFont="1"/>
    <xf numFmtId="0" fontId="4" fillId="0" borderId="0" xfId="0" applyFont="1"/>
    <xf numFmtId="168" fontId="4" fillId="0" borderId="0" xfId="2" applyNumberFormat="1" applyFont="1"/>
    <xf numFmtId="166" fontId="14" fillId="0" borderId="0" xfId="0" applyNumberFormat="1" applyFont="1" applyAlignment="1">
      <alignment horizontal="center"/>
    </xf>
    <xf numFmtId="44" fontId="36" fillId="0" borderId="0" xfId="3" applyFont="1"/>
    <xf numFmtId="0" fontId="36" fillId="0" borderId="0" xfId="0" applyFont="1"/>
    <xf numFmtId="44" fontId="16" fillId="0" borderId="0" xfId="0" applyNumberFormat="1" applyFont="1"/>
    <xf numFmtId="0" fontId="37" fillId="0" borderId="0" xfId="0" applyFont="1"/>
    <xf numFmtId="44" fontId="37" fillId="0" borderId="0" xfId="0" applyNumberFormat="1" applyFont="1"/>
    <xf numFmtId="0" fontId="37" fillId="0" borderId="0" xfId="0" applyFont="1" applyAlignment="1">
      <alignment horizontal="right"/>
    </xf>
    <xf numFmtId="0" fontId="24" fillId="2" borderId="0" xfId="0" applyFont="1" applyFill="1"/>
    <xf numFmtId="0" fontId="38" fillId="2" borderId="0" xfId="0" applyFont="1" applyFill="1"/>
    <xf numFmtId="9" fontId="32" fillId="0" borderId="0" xfId="0" applyNumberFormat="1" applyFont="1"/>
    <xf numFmtId="166" fontId="24" fillId="0" borderId="0" xfId="1" applyNumberFormat="1" applyFont="1" applyFill="1"/>
    <xf numFmtId="166" fontId="24" fillId="0" borderId="0" xfId="0" applyNumberFormat="1" applyFont="1"/>
    <xf numFmtId="167" fontId="32" fillId="0" borderId="0" xfId="0" applyNumberFormat="1" applyFont="1"/>
    <xf numFmtId="166" fontId="24" fillId="0" borderId="0" xfId="1" applyNumberFormat="1" applyFont="1"/>
    <xf numFmtId="0" fontId="40" fillId="0" borderId="0" xfId="0" applyFont="1"/>
    <xf numFmtId="0" fontId="41" fillId="2" borderId="0" xfId="0" applyFont="1" applyFill="1"/>
    <xf numFmtId="0" fontId="31" fillId="0" borderId="0" xfId="0" applyFont="1"/>
    <xf numFmtId="0" fontId="25" fillId="0" borderId="0" xfId="0" applyFont="1" applyAlignment="1">
      <alignment horizontal="center"/>
    </xf>
    <xf numFmtId="0" fontId="24" fillId="0" borderId="2" xfId="0" applyFont="1" applyBorder="1"/>
    <xf numFmtId="0" fontId="20" fillId="0" borderId="0" xfId="0" applyFont="1" applyAlignment="1">
      <alignment horizontal="center"/>
    </xf>
    <xf numFmtId="2" fontId="31" fillId="0" borderId="0" xfId="0" applyNumberFormat="1" applyFont="1"/>
    <xf numFmtId="175" fontId="24" fillId="0" borderId="2" xfId="1" applyNumberFormat="1" applyFont="1" applyBorder="1"/>
    <xf numFmtId="0" fontId="24" fillId="0" borderId="0" xfId="0" applyFont="1" applyAlignment="1">
      <alignment horizontal="right"/>
    </xf>
    <xf numFmtId="17" fontId="39" fillId="0" borderId="0" xfId="0" applyNumberFormat="1" applyFont="1" applyFill="1" applyBorder="1" applyAlignment="1">
      <alignment horizontal="center"/>
    </xf>
    <xf numFmtId="0" fontId="31" fillId="0" borderId="0" xfId="0" applyFont="1" applyBorder="1"/>
    <xf numFmtId="2" fontId="31" fillId="0" borderId="0" xfId="0" applyNumberFormat="1" applyFont="1" applyBorder="1"/>
    <xf numFmtId="175" fontId="24" fillId="0" borderId="2" xfId="0" applyNumberFormat="1" applyFont="1" applyBorder="1"/>
    <xf numFmtId="175" fontId="24" fillId="0" borderId="9" xfId="0" applyNumberFormat="1" applyFont="1" applyBorder="1"/>
    <xf numFmtId="0" fontId="16" fillId="0" borderId="0" xfId="0" applyFont="1" applyAlignment="1">
      <alignment horizontal="right"/>
    </xf>
    <xf numFmtId="0" fontId="16" fillId="0" borderId="2" xfId="0" applyFont="1" applyBorder="1" applyAlignment="1">
      <alignment horizontal="right"/>
    </xf>
    <xf numFmtId="0" fontId="25" fillId="2" borderId="0" xfId="0" applyFont="1" applyFill="1" applyAlignment="1">
      <alignment horizontal="center"/>
    </xf>
    <xf numFmtId="0" fontId="41" fillId="2" borderId="0" xfId="0" applyFont="1" applyFill="1" applyAlignment="1">
      <alignment horizontal="center"/>
    </xf>
    <xf numFmtId="0" fontId="24" fillId="0" borderId="12" xfId="0" applyFont="1" applyBorder="1"/>
    <xf numFmtId="0" fontId="24" fillId="0" borderId="13" xfId="0" applyFont="1" applyBorder="1"/>
    <xf numFmtId="175" fontId="24" fillId="0" borderId="13" xfId="1" applyNumberFormat="1" applyFont="1" applyBorder="1"/>
    <xf numFmtId="0" fontId="24" fillId="0" borderId="14" xfId="0" applyFont="1" applyBorder="1"/>
    <xf numFmtId="0" fontId="31" fillId="0" borderId="15" xfId="0" applyFont="1" applyBorder="1"/>
    <xf numFmtId="0" fontId="24" fillId="0" borderId="16" xfId="0" applyFont="1" applyBorder="1"/>
    <xf numFmtId="0" fontId="31" fillId="0" borderId="17" xfId="0" applyFont="1" applyBorder="1"/>
    <xf numFmtId="0" fontId="24" fillId="0" borderId="18" xfId="0" applyFont="1" applyBorder="1"/>
    <xf numFmtId="0" fontId="24" fillId="0" borderId="19" xfId="0" applyFont="1" applyBorder="1"/>
    <xf numFmtId="0" fontId="24" fillId="0" borderId="1" xfId="0" applyFont="1" applyBorder="1"/>
    <xf numFmtId="175" fontId="24" fillId="0" borderId="1" xfId="0" applyNumberFormat="1" applyFont="1" applyBorder="1"/>
    <xf numFmtId="0" fontId="24" fillId="0" borderId="20" xfId="0" applyFont="1" applyBorder="1"/>
    <xf numFmtId="0" fontId="41" fillId="2" borderId="0" xfId="0" applyFont="1" applyFill="1" applyAlignment="1">
      <alignment horizontal="left"/>
    </xf>
    <xf numFmtId="0" fontId="38" fillId="2" borderId="0" xfId="0" applyFont="1" applyFill="1" applyAlignment="1">
      <alignment horizontal="center"/>
    </xf>
    <xf numFmtId="0" fontId="42" fillId="2" borderId="0" xfId="0" applyFont="1" applyFill="1" applyAlignment="1">
      <alignment horizontal="left"/>
    </xf>
    <xf numFmtId="0" fontId="25" fillId="0" borderId="2" xfId="0" applyFont="1" applyBorder="1"/>
    <xf numFmtId="0" fontId="25" fillId="0" borderId="2" xfId="0" applyFont="1" applyBorder="1" applyAlignment="1">
      <alignment horizontal="center"/>
    </xf>
    <xf numFmtId="0" fontId="31" fillId="0" borderId="0" xfId="0" applyFont="1" applyBorder="1" applyAlignment="1">
      <alignment horizontal="center"/>
    </xf>
    <xf numFmtId="0" fontId="41" fillId="2" borderId="0" xfId="0" applyFont="1" applyFill="1" applyAlignment="1">
      <alignment horizontal="right"/>
    </xf>
    <xf numFmtId="0" fontId="25" fillId="0" borderId="2" xfId="0" applyFont="1" applyBorder="1" applyAlignment="1">
      <alignment horizontal="right"/>
    </xf>
    <xf numFmtId="0" fontId="31" fillId="0" borderId="0" xfId="0" applyFont="1" applyBorder="1" applyAlignment="1">
      <alignment horizontal="right"/>
    </xf>
    <xf numFmtId="0" fontId="32" fillId="0" borderId="0" xfId="0" applyFont="1" applyBorder="1"/>
    <xf numFmtId="0" fontId="32" fillId="0" borderId="0" xfId="0" quotePrefix="1" applyFont="1" applyBorder="1"/>
    <xf numFmtId="9" fontId="31" fillId="0" borderId="0" xfId="2" applyFont="1"/>
    <xf numFmtId="9" fontId="16" fillId="0" borderId="0" xfId="0" applyNumberFormat="1" applyFont="1"/>
    <xf numFmtId="0" fontId="32" fillId="0" borderId="0" xfId="0" applyFont="1"/>
    <xf numFmtId="0" fontId="16" fillId="0" borderId="0" xfId="0" applyFont="1" applyAlignment="1">
      <alignment horizontal="left" indent="2"/>
    </xf>
    <xf numFmtId="169" fontId="31" fillId="0" borderId="0" xfId="1" applyNumberFormat="1" applyFont="1"/>
    <xf numFmtId="166" fontId="43" fillId="0" borderId="0" xfId="0" applyNumberFormat="1" applyFont="1"/>
    <xf numFmtId="175" fontId="43" fillId="0" borderId="0" xfId="1" applyNumberFormat="1" applyFont="1"/>
    <xf numFmtId="166" fontId="43" fillId="0" borderId="0" xfId="1" applyNumberFormat="1" applyFont="1" applyBorder="1"/>
    <xf numFmtId="166" fontId="43" fillId="0" borderId="0" xfId="1" applyNumberFormat="1" applyFont="1"/>
    <xf numFmtId="17" fontId="43" fillId="0" borderId="0" xfId="0" applyNumberFormat="1" applyFont="1" applyAlignment="1">
      <alignment horizontal="center"/>
    </xf>
    <xf numFmtId="168" fontId="44" fillId="0" borderId="2" xfId="2" applyNumberFormat="1" applyFont="1" applyBorder="1"/>
    <xf numFmtId="168" fontId="32" fillId="0" borderId="0" xfId="0" applyNumberFormat="1" applyFont="1"/>
    <xf numFmtId="166" fontId="8" fillId="0" borderId="0" xfId="1" applyNumberFormat="1" applyFont="1" applyFill="1"/>
    <xf numFmtId="179" fontId="32" fillId="0" borderId="0" xfId="0" applyNumberFormat="1" applyFont="1"/>
    <xf numFmtId="0" fontId="45" fillId="0" borderId="0" xfId="0" applyFont="1"/>
    <xf numFmtId="0" fontId="46" fillId="0" borderId="0" xfId="0" applyFont="1"/>
    <xf numFmtId="168" fontId="4" fillId="0" borderId="0" xfId="2" applyNumberFormat="1" applyFont="1" applyFill="1"/>
    <xf numFmtId="164" fontId="0" fillId="0" borderId="0" xfId="0" applyNumberFormat="1" applyFont="1"/>
    <xf numFmtId="180" fontId="0" fillId="0" borderId="0" xfId="0" applyNumberFormat="1" applyFont="1"/>
    <xf numFmtId="6" fontId="44" fillId="0" borderId="0" xfId="3" applyNumberFormat="1" applyFont="1"/>
    <xf numFmtId="181" fontId="44" fillId="0" borderId="0" xfId="0" applyNumberFormat="1" applyFont="1"/>
    <xf numFmtId="168" fontId="0" fillId="0" borderId="0" xfId="2" applyNumberFormat="1" applyFont="1"/>
    <xf numFmtId="168" fontId="32" fillId="0" borderId="0" xfId="0" applyNumberFormat="1" applyFont="1" applyBorder="1"/>
    <xf numFmtId="168" fontId="24" fillId="0" borderId="0" xfId="0" applyNumberFormat="1" applyFont="1" applyBorder="1"/>
    <xf numFmtId="43" fontId="46" fillId="0" borderId="0" xfId="1" applyFont="1"/>
    <xf numFmtId="164" fontId="16" fillId="0" borderId="0" xfId="0" applyNumberFormat="1" applyFont="1"/>
    <xf numFmtId="168" fontId="26" fillId="0" borderId="2" xfId="0" applyNumberFormat="1" applyFont="1" applyBorder="1"/>
    <xf numFmtId="10" fontId="39" fillId="0" borderId="0" xfId="0" applyNumberFormat="1" applyFont="1"/>
    <xf numFmtId="175" fontId="24" fillId="0" borderId="8" xfId="0" applyNumberFormat="1" applyFont="1" applyFill="1" applyBorder="1"/>
    <xf numFmtId="180" fontId="14" fillId="0" borderId="0" xfId="4" applyNumberFormat="1" applyFont="1"/>
    <xf numFmtId="0" fontId="49" fillId="0" borderId="0" xfId="5" applyFont="1" applyAlignment="1">
      <alignment vertical="top"/>
    </xf>
    <xf numFmtId="0" fontId="0" fillId="0" borderId="0" xfId="0" applyBorder="1"/>
    <xf numFmtId="166" fontId="0" fillId="0" borderId="0" xfId="0" applyNumberFormat="1" applyBorder="1"/>
    <xf numFmtId="0" fontId="0" fillId="0" borderId="12" xfId="0" applyBorder="1"/>
    <xf numFmtId="0" fontId="0" fillId="0" borderId="13" xfId="0" applyBorder="1"/>
    <xf numFmtId="166" fontId="0" fillId="0" borderId="13" xfId="1" applyNumberFormat="1" applyFont="1" applyBorder="1"/>
    <xf numFmtId="0" fontId="0" fillId="0" borderId="14" xfId="0" applyBorder="1"/>
    <xf numFmtId="0" fontId="0" fillId="0" borderId="15" xfId="0" applyBorder="1"/>
    <xf numFmtId="0" fontId="0" fillId="0" borderId="16" xfId="0" applyBorder="1"/>
    <xf numFmtId="0" fontId="0" fillId="0" borderId="19" xfId="0" applyBorder="1"/>
    <xf numFmtId="180" fontId="0" fillId="0" borderId="1" xfId="0" applyNumberFormat="1" applyBorder="1"/>
    <xf numFmtId="0" fontId="0" fillId="0" borderId="20" xfId="0" applyBorder="1"/>
    <xf numFmtId="180" fontId="0" fillId="0" borderId="0" xfId="0" applyNumberFormat="1" applyBorder="1"/>
    <xf numFmtId="180" fontId="14" fillId="0" borderId="16" xfId="4" applyNumberFormat="1" applyFont="1" applyBorder="1"/>
    <xf numFmtId="0" fontId="0" fillId="0" borderId="24" xfId="0" applyBorder="1"/>
    <xf numFmtId="0" fontId="0" fillId="0" borderId="25" xfId="0" applyBorder="1"/>
    <xf numFmtId="0" fontId="0" fillId="0" borderId="26" xfId="0" applyBorder="1"/>
    <xf numFmtId="180" fontId="14" fillId="0" borderId="26" xfId="4" applyNumberFormat="1" applyFont="1" applyBorder="1"/>
    <xf numFmtId="180" fontId="0" fillId="0" borderId="26" xfId="0" applyNumberFormat="1" applyBorder="1"/>
    <xf numFmtId="168" fontId="0" fillId="0" borderId="25" xfId="2" applyNumberFormat="1" applyFont="1" applyBorder="1"/>
    <xf numFmtId="0" fontId="1" fillId="0" borderId="21" xfId="0" applyFont="1" applyBorder="1"/>
    <xf numFmtId="0" fontId="1" fillId="0" borderId="22" xfId="0" applyFont="1" applyBorder="1"/>
    <xf numFmtId="166" fontId="1" fillId="0" borderId="22" xfId="1" applyNumberFormat="1" applyFont="1" applyBorder="1"/>
    <xf numFmtId="0" fontId="1" fillId="0" borderId="23" xfId="0" applyFont="1" applyBorder="1"/>
    <xf numFmtId="0" fontId="25" fillId="0" borderId="0" xfId="0" applyFont="1"/>
    <xf numFmtId="182" fontId="8" fillId="0" borderId="0" xfId="1" applyNumberFormat="1" applyFont="1"/>
    <xf numFmtId="182" fontId="8" fillId="0" borderId="0" xfId="1" applyNumberFormat="1" applyFont="1" applyFill="1"/>
    <xf numFmtId="182" fontId="4" fillId="0" borderId="0" xfId="1" applyNumberFormat="1" applyFont="1" applyBorder="1"/>
    <xf numFmtId="166" fontId="0" fillId="0" borderId="8" xfId="0" applyNumberFormat="1" applyBorder="1"/>
    <xf numFmtId="169" fontId="0" fillId="0" borderId="8" xfId="0" applyNumberFormat="1" applyBorder="1"/>
    <xf numFmtId="9" fontId="0" fillId="0" borderId="0" xfId="2" applyFont="1"/>
    <xf numFmtId="180" fontId="14" fillId="0" borderId="2" xfId="0" applyNumberFormat="1" applyFont="1" applyBorder="1"/>
    <xf numFmtId="180" fontId="0" fillId="0" borderId="0" xfId="1" applyNumberFormat="1" applyFont="1" applyBorder="1"/>
    <xf numFmtId="180" fontId="14" fillId="0" borderId="0" xfId="1" applyNumberFormat="1" applyFont="1"/>
    <xf numFmtId="0" fontId="26" fillId="0" borderId="0" xfId="0" applyFont="1" applyBorder="1" applyAlignment="1">
      <alignment horizontal="left" indent="2"/>
    </xf>
    <xf numFmtId="0" fontId="14" fillId="0" borderId="0" xfId="0" applyFont="1" applyBorder="1"/>
    <xf numFmtId="0" fontId="26" fillId="0" borderId="0" xfId="0" applyFont="1" applyBorder="1" applyAlignment="1">
      <alignment horizontal="center"/>
    </xf>
    <xf numFmtId="166" fontId="26" fillId="0" borderId="0" xfId="1" applyNumberFormat="1" applyFont="1" applyBorder="1" applyAlignment="1">
      <alignment horizontal="center"/>
    </xf>
    <xf numFmtId="9" fontId="14" fillId="0" borderId="0" xfId="2" applyNumberFormat="1" applyFont="1" applyBorder="1" applyAlignment="1">
      <alignment horizontal="center"/>
    </xf>
    <xf numFmtId="43" fontId="14" fillId="0" borderId="3" xfId="1" applyNumberFormat="1" applyFont="1" applyBorder="1" applyAlignment="1">
      <alignment horizontal="center"/>
    </xf>
    <xf numFmtId="43" fontId="14" fillId="0" borderId="0" xfId="1" applyNumberFormat="1" applyFont="1" applyFill="1" applyBorder="1" applyAlignment="1">
      <alignment horizontal="center"/>
    </xf>
    <xf numFmtId="166" fontId="16" fillId="0" borderId="0" xfId="1" applyNumberFormat="1" applyFont="1" applyBorder="1" applyAlignment="1">
      <alignment horizontal="center"/>
    </xf>
    <xf numFmtId="9" fontId="16" fillId="0" borderId="0" xfId="0" applyNumberFormat="1" applyFont="1" applyBorder="1" applyAlignment="1">
      <alignment horizontal="center"/>
    </xf>
    <xf numFmtId="43" fontId="16" fillId="0" borderId="0" xfId="0" applyNumberFormat="1" applyFont="1" applyBorder="1"/>
    <xf numFmtId="175" fontId="16" fillId="0" borderId="8" xfId="1" applyNumberFormat="1" applyFont="1" applyFill="1" applyBorder="1"/>
    <xf numFmtId="0" fontId="0" fillId="3" borderId="0" xfId="0" applyFill="1"/>
    <xf numFmtId="166" fontId="24" fillId="0" borderId="0" xfId="1" applyNumberFormat="1" applyFont="1" applyBorder="1"/>
    <xf numFmtId="180" fontId="0" fillId="0" borderId="0" xfId="0" applyNumberFormat="1"/>
    <xf numFmtId="180" fontId="16" fillId="0" borderId="0" xfId="1" applyNumberFormat="1" applyFont="1"/>
    <xf numFmtId="9" fontId="16" fillId="0" borderId="0" xfId="2" applyNumberFormat="1" applyFont="1"/>
    <xf numFmtId="9" fontId="16" fillId="0" borderId="2" xfId="2" applyNumberFormat="1" applyFont="1" applyBorder="1"/>
    <xf numFmtId="43" fontId="0" fillId="0" borderId="0" xfId="0" applyNumberFormat="1"/>
    <xf numFmtId="172" fontId="0" fillId="0" borderId="0" xfId="0" applyNumberFormat="1"/>
    <xf numFmtId="43" fontId="0" fillId="0" borderId="0" xfId="1" applyFont="1"/>
    <xf numFmtId="0" fontId="1" fillId="0" borderId="10" xfId="0" applyFont="1" applyBorder="1"/>
    <xf numFmtId="0" fontId="1" fillId="0" borderId="8" xfId="0" applyFont="1" applyBorder="1"/>
    <xf numFmtId="0" fontId="0" fillId="0" borderId="8" xfId="0" applyBorder="1"/>
    <xf numFmtId="0" fontId="1" fillId="0" borderId="9" xfId="0" applyFont="1" applyBorder="1"/>
    <xf numFmtId="0" fontId="0" fillId="0" borderId="5" xfId="0" applyBorder="1"/>
    <xf numFmtId="0" fontId="0" fillId="0" borderId="2" xfId="0" applyBorder="1"/>
    <xf numFmtId="0" fontId="1" fillId="0" borderId="2" xfId="0" applyFont="1" applyBorder="1"/>
    <xf numFmtId="0" fontId="1" fillId="0" borderId="6" xfId="0" applyFont="1" applyBorder="1"/>
    <xf numFmtId="0" fontId="14" fillId="3" borderId="0" xfId="0" applyFont="1" applyFill="1"/>
    <xf numFmtId="9" fontId="14" fillId="3" borderId="0" xfId="0" applyNumberFormat="1" applyFont="1" applyFill="1"/>
    <xf numFmtId="9" fontId="14" fillId="3" borderId="0" xfId="1" applyNumberFormat="1" applyFont="1" applyFill="1"/>
    <xf numFmtId="168" fontId="0" fillId="0" borderId="0" xfId="0" applyNumberFormat="1"/>
    <xf numFmtId="9" fontId="0" fillId="3" borderId="0" xfId="0" applyNumberFormat="1" applyFill="1"/>
    <xf numFmtId="166" fontId="1" fillId="0" borderId="0" xfId="2" applyNumberFormat="1" applyFont="1"/>
    <xf numFmtId="0" fontId="1" fillId="0" borderId="0" xfId="0" applyFont="1" applyAlignment="1">
      <alignment horizontal="right"/>
    </xf>
    <xf numFmtId="9" fontId="14" fillId="0" borderId="0" xfId="0" applyNumberFormat="1" applyFont="1"/>
    <xf numFmtId="43" fontId="14" fillId="0" borderId="0" xfId="0" applyNumberFormat="1" applyFont="1"/>
    <xf numFmtId="1" fontId="26" fillId="0" borderId="3" xfId="0" applyNumberFormat="1" applyFont="1" applyBorder="1" applyAlignment="1"/>
    <xf numFmtId="184" fontId="0" fillId="0" borderId="0" xfId="0" applyNumberFormat="1"/>
    <xf numFmtId="183" fontId="0" fillId="0" borderId="0" xfId="1" applyNumberFormat="1" applyFont="1"/>
    <xf numFmtId="9" fontId="8" fillId="0" borderId="0" xfId="2" applyFont="1"/>
    <xf numFmtId="9" fontId="0" fillId="0" borderId="0" xfId="2" applyNumberFormat="1" applyFont="1"/>
    <xf numFmtId="0" fontId="46" fillId="0" borderId="0" xfId="0" applyFont="1" applyAlignment="1">
      <alignment horizontal="left" indent="2"/>
    </xf>
    <xf numFmtId="180" fontId="46" fillId="0" borderId="0" xfId="1" applyNumberFormat="1" applyFont="1"/>
    <xf numFmtId="9" fontId="46" fillId="0" borderId="0" xfId="2" applyFont="1"/>
    <xf numFmtId="0" fontId="14" fillId="0" borderId="0" xfId="0" applyFont="1" applyFill="1"/>
    <xf numFmtId="9" fontId="14" fillId="0" borderId="0" xfId="0" applyNumberFormat="1" applyFont="1" applyFill="1"/>
    <xf numFmtId="0" fontId="45" fillId="0" borderId="0" xfId="0" applyFont="1" applyAlignment="1">
      <alignment horizontal="left" indent="3"/>
    </xf>
    <xf numFmtId="180" fontId="45" fillId="0" borderId="0" xfId="1" applyNumberFormat="1" applyFont="1" applyFill="1"/>
    <xf numFmtId="185" fontId="45" fillId="0" borderId="0" xfId="1" applyNumberFormat="1" applyFont="1" applyFill="1"/>
    <xf numFmtId="0" fontId="50" fillId="0" borderId="7" xfId="0" applyFont="1" applyBorder="1" applyAlignment="1">
      <alignment horizontal="left" indent="2"/>
    </xf>
    <xf numFmtId="175" fontId="50" fillId="0" borderId="0" xfId="1" applyNumberFormat="1" applyFont="1"/>
    <xf numFmtId="0" fontId="0" fillId="0" borderId="12" xfId="0" applyFont="1" applyBorder="1"/>
    <xf numFmtId="0" fontId="0" fillId="0" borderId="13" xfId="0" applyFont="1" applyBorder="1"/>
    <xf numFmtId="0" fontId="0" fillId="0" borderId="14" xfId="0" applyFont="1" applyBorder="1"/>
    <xf numFmtId="0" fontId="0" fillId="0" borderId="15" xfId="0" applyFont="1" applyBorder="1"/>
    <xf numFmtId="0" fontId="0" fillId="0" borderId="0" xfId="0" applyFont="1" applyBorder="1"/>
    <xf numFmtId="0" fontId="0" fillId="0" borderId="16" xfId="0" applyFont="1" applyBorder="1"/>
    <xf numFmtId="0" fontId="0" fillId="0" borderId="17" xfId="0" applyFont="1" applyBorder="1"/>
    <xf numFmtId="0" fontId="12" fillId="0" borderId="16" xfId="0" applyFont="1" applyFill="1" applyBorder="1"/>
    <xf numFmtId="0" fontId="9" fillId="0" borderId="16" xfId="0" applyFont="1" applyFill="1" applyBorder="1"/>
    <xf numFmtId="0" fontId="0" fillId="0" borderId="19" xfId="0" applyFont="1" applyBorder="1"/>
    <xf numFmtId="0" fontId="9" fillId="0" borderId="1" xfId="0" applyFont="1" applyFill="1" applyBorder="1"/>
    <xf numFmtId="0" fontId="8" fillId="0" borderId="1" xfId="0" applyFont="1" applyFill="1" applyBorder="1" applyAlignment="1">
      <alignment horizontal="center"/>
    </xf>
    <xf numFmtId="17" fontId="9" fillId="0" borderId="1" xfId="0" applyNumberFormat="1" applyFont="1" applyFill="1" applyBorder="1" applyAlignment="1">
      <alignment horizontal="center"/>
    </xf>
    <xf numFmtId="0" fontId="9" fillId="0" borderId="20" xfId="0" applyFont="1" applyFill="1" applyBorder="1"/>
    <xf numFmtId="17" fontId="6" fillId="0" borderId="15" xfId="0" applyNumberFormat="1" applyFont="1" applyBorder="1"/>
    <xf numFmtId="0" fontId="6" fillId="0" borderId="0" xfId="0" applyFont="1" applyBorder="1"/>
    <xf numFmtId="0" fontId="6" fillId="0" borderId="16" xfId="0" applyFont="1" applyBorder="1"/>
    <xf numFmtId="0" fontId="12" fillId="0" borderId="15" xfId="0" applyFont="1" applyFill="1" applyBorder="1"/>
    <xf numFmtId="0" fontId="9" fillId="0" borderId="15" xfId="0" applyFont="1" applyFill="1" applyBorder="1"/>
    <xf numFmtId="0" fontId="9" fillId="0" borderId="19" xfId="0" applyFont="1" applyFill="1" applyBorder="1"/>
    <xf numFmtId="166" fontId="0" fillId="0" borderId="0" xfId="1" applyNumberFormat="1" applyFont="1" applyFill="1"/>
    <xf numFmtId="0" fontId="0" fillId="0" borderId="0" xfId="0" applyFill="1"/>
    <xf numFmtId="0" fontId="51" fillId="2" borderId="0" xfId="0" applyFont="1" applyFill="1"/>
    <xf numFmtId="0" fontId="22" fillId="0" borderId="0" xfId="0" applyFont="1" applyFill="1"/>
    <xf numFmtId="9" fontId="32" fillId="0" borderId="0" xfId="2" applyFont="1"/>
    <xf numFmtId="175" fontId="4" fillId="0" borderId="0" xfId="1" applyNumberFormat="1" applyFont="1" applyBorder="1"/>
    <xf numFmtId="0" fontId="22" fillId="0" borderId="0" xfId="0" applyFont="1" applyFill="1" applyAlignment="1"/>
    <xf numFmtId="9" fontId="4" fillId="0" borderId="0" xfId="2" applyFont="1"/>
    <xf numFmtId="175" fontId="4" fillId="4" borderId="0" xfId="1" applyNumberFormat="1" applyFont="1" applyFill="1" applyBorder="1"/>
    <xf numFmtId="0" fontId="28" fillId="0" borderId="0" xfId="0" applyFont="1" applyFill="1" applyAlignment="1">
      <alignment horizontal="right"/>
    </xf>
    <xf numFmtId="0" fontId="34" fillId="0" borderId="0" xfId="0" applyFont="1" applyAlignment="1">
      <alignment horizontal="right"/>
    </xf>
    <xf numFmtId="166" fontId="0" fillId="0" borderId="0" xfId="2" applyNumberFormat="1" applyFont="1"/>
    <xf numFmtId="0" fontId="52" fillId="0" borderId="3" xfId="0" applyFont="1" applyBorder="1"/>
    <xf numFmtId="0" fontId="52" fillId="0" borderId="3" xfId="0" applyFont="1" applyBorder="1" applyAlignment="1">
      <alignment horizontal="center"/>
    </xf>
    <xf numFmtId="0" fontId="52" fillId="0" borderId="27" xfId="0" applyFont="1" applyBorder="1"/>
    <xf numFmtId="175" fontId="52" fillId="0" borderId="3" xfId="1" applyNumberFormat="1" applyFont="1" applyBorder="1"/>
    <xf numFmtId="175" fontId="52" fillId="0" borderId="27" xfId="1" applyNumberFormat="1" applyFont="1" applyBorder="1"/>
    <xf numFmtId="175" fontId="1" fillId="0" borderId="0" xfId="1" applyNumberFormat="1" applyFont="1"/>
    <xf numFmtId="168" fontId="24" fillId="0" borderId="0" xfId="0" applyNumberFormat="1" applyFont="1"/>
    <xf numFmtId="0" fontId="16" fillId="3" borderId="7" xfId="0" applyFont="1" applyFill="1" applyBorder="1" applyAlignment="1">
      <alignment horizontal="left" indent="2"/>
    </xf>
    <xf numFmtId="175" fontId="16" fillId="3" borderId="8" xfId="1" applyNumberFormat="1" applyFont="1" applyFill="1" applyBorder="1"/>
    <xf numFmtId="0" fontId="16" fillId="3" borderId="0" xfId="0" applyFont="1" applyFill="1"/>
    <xf numFmtId="0" fontId="52" fillId="3" borderId="28" xfId="0" applyFont="1" applyFill="1" applyBorder="1" applyAlignment="1">
      <alignment horizontal="left" indent="2"/>
    </xf>
    <xf numFmtId="175" fontId="17" fillId="3" borderId="3" xfId="1" applyNumberFormat="1" applyFont="1" applyFill="1" applyBorder="1"/>
    <xf numFmtId="0" fontId="52" fillId="3" borderId="3" xfId="0" applyFont="1" applyFill="1" applyBorder="1"/>
    <xf numFmtId="175" fontId="17" fillId="3" borderId="8" xfId="1" applyNumberFormat="1" applyFont="1" applyFill="1" applyBorder="1"/>
    <xf numFmtId="0" fontId="17" fillId="3" borderId="7" xfId="0" applyFont="1" applyFill="1" applyBorder="1" applyAlignment="1">
      <alignment horizontal="left" indent="2"/>
    </xf>
    <xf numFmtId="166" fontId="16" fillId="3" borderId="0" xfId="0" applyNumberFormat="1" applyFont="1" applyFill="1"/>
    <xf numFmtId="174" fontId="18" fillId="3" borderId="2" xfId="0" applyNumberFormat="1" applyFont="1" applyFill="1" applyBorder="1" applyAlignment="1">
      <alignment horizontal="center"/>
    </xf>
    <xf numFmtId="175" fontId="25" fillId="3" borderId="8" xfId="0" applyNumberFormat="1" applyFont="1" applyFill="1" applyBorder="1"/>
    <xf numFmtId="0" fontId="25" fillId="3" borderId="9" xfId="0" applyFont="1" applyFill="1" applyBorder="1"/>
    <xf numFmtId="168" fontId="17" fillId="3" borderId="0" xfId="2" applyNumberFormat="1" applyFont="1" applyFill="1" applyAlignment="1">
      <alignment horizontal="center"/>
    </xf>
    <xf numFmtId="175" fontId="25" fillId="0" borderId="8" xfId="0" applyNumberFormat="1" applyFont="1" applyBorder="1"/>
    <xf numFmtId="0" fontId="25" fillId="3" borderId="0" xfId="0" applyFont="1" applyFill="1"/>
    <xf numFmtId="175" fontId="25" fillId="3" borderId="0" xfId="1" applyNumberFormat="1" applyFont="1" applyFill="1"/>
    <xf numFmtId="0" fontId="25" fillId="3" borderId="19" xfId="0" applyFont="1" applyFill="1" applyBorder="1"/>
    <xf numFmtId="0" fontId="25" fillId="3" borderId="1" xfId="0" applyFont="1" applyFill="1" applyBorder="1"/>
    <xf numFmtId="175" fontId="25" fillId="3" borderId="1" xfId="0" applyNumberFormat="1" applyFont="1" applyFill="1" applyBorder="1"/>
    <xf numFmtId="0" fontId="25" fillId="3" borderId="20" xfId="0" applyFont="1" applyFill="1" applyBorder="1"/>
    <xf numFmtId="0" fontId="25" fillId="3" borderId="2" xfId="0" applyFont="1" applyFill="1" applyBorder="1" applyAlignment="1">
      <alignment horizontal="right"/>
    </xf>
    <xf numFmtId="168" fontId="25" fillId="3" borderId="2" xfId="0" applyNumberFormat="1" applyFont="1" applyFill="1" applyBorder="1"/>
    <xf numFmtId="0" fontId="25" fillId="3" borderId="12" xfId="0" applyFont="1" applyFill="1" applyBorder="1"/>
    <xf numFmtId="0" fontId="25" fillId="3" borderId="13" xfId="0" applyFont="1" applyFill="1" applyBorder="1"/>
    <xf numFmtId="175" fontId="25" fillId="3" borderId="13" xfId="1" applyNumberFormat="1" applyFont="1" applyFill="1" applyBorder="1"/>
    <xf numFmtId="0" fontId="25" fillId="3" borderId="14" xfId="0" applyFont="1" applyFill="1" applyBorder="1"/>
    <xf numFmtId="0" fontId="16" fillId="3" borderId="2" xfId="0" applyFont="1" applyFill="1" applyBorder="1"/>
    <xf numFmtId="10" fontId="16" fillId="3" borderId="2" xfId="0" applyNumberFormat="1" applyFont="1" applyFill="1" applyBorder="1"/>
    <xf numFmtId="0" fontId="17" fillId="3" borderId="0" xfId="0" applyFont="1" applyFill="1"/>
    <xf numFmtId="166" fontId="17" fillId="3" borderId="0" xfId="0" applyNumberFormat="1" applyFont="1" applyFill="1"/>
    <xf numFmtId="168" fontId="17" fillId="3" borderId="0" xfId="2" applyNumberFormat="1" applyFont="1" applyFill="1"/>
    <xf numFmtId="0" fontId="0" fillId="3" borderId="2" xfId="0" applyFont="1" applyFill="1" applyBorder="1"/>
    <xf numFmtId="10" fontId="0" fillId="3" borderId="2" xfId="0" applyNumberFormat="1" applyFont="1" applyFill="1" applyBorder="1"/>
    <xf numFmtId="0" fontId="0" fillId="3" borderId="0" xfId="0" applyFont="1" applyFill="1"/>
    <xf numFmtId="168" fontId="4" fillId="3" borderId="0" xfId="2" applyNumberFormat="1" applyFont="1" applyFill="1"/>
    <xf numFmtId="166" fontId="0" fillId="3" borderId="0" xfId="1" applyNumberFormat="1" applyFont="1" applyFill="1"/>
    <xf numFmtId="180" fontId="0" fillId="3" borderId="0" xfId="0" applyNumberFormat="1" applyFont="1" applyFill="1"/>
    <xf numFmtId="0" fontId="0" fillId="0" borderId="4" xfId="0" applyBorder="1"/>
    <xf numFmtId="0" fontId="0" fillId="0" borderId="29" xfId="0" applyBorder="1"/>
    <xf numFmtId="0" fontId="0" fillId="0" borderId="7" xfId="0" applyBorder="1"/>
    <xf numFmtId="0" fontId="1" fillId="0" borderId="11" xfId="0" applyFont="1" applyBorder="1"/>
    <xf numFmtId="168" fontId="1" fillId="0" borderId="3" xfId="2" applyNumberFormat="1" applyFont="1" applyFill="1" applyBorder="1"/>
    <xf numFmtId="168" fontId="0" fillId="0" borderId="3" xfId="0" applyNumberFormat="1" applyBorder="1"/>
    <xf numFmtId="187" fontId="0" fillId="0" borderId="27" xfId="0" applyNumberFormat="1" applyBorder="1"/>
    <xf numFmtId="0" fontId="1" fillId="3" borderId="11" xfId="0" applyFont="1" applyFill="1" applyBorder="1"/>
    <xf numFmtId="10" fontId="1" fillId="3" borderId="3" xfId="2" applyNumberFormat="1" applyFont="1" applyFill="1" applyBorder="1"/>
    <xf numFmtId="0" fontId="0" fillId="0" borderId="27" xfId="0" applyBorder="1"/>
    <xf numFmtId="9" fontId="0" fillId="0" borderId="29" xfId="2" applyFont="1" applyBorder="1"/>
    <xf numFmtId="9" fontId="0" fillId="0" borderId="29" xfId="0" applyNumberFormat="1" applyBorder="1"/>
    <xf numFmtId="0" fontId="0" fillId="5" borderId="4" xfId="0" applyFill="1" applyBorder="1"/>
    <xf numFmtId="168" fontId="13" fillId="5" borderId="29" xfId="0" applyNumberFormat="1" applyFont="1" applyFill="1" applyBorder="1"/>
    <xf numFmtId="10" fontId="13" fillId="5" borderId="29" xfId="0" applyNumberFormat="1" applyFont="1" applyFill="1" applyBorder="1"/>
    <xf numFmtId="186" fontId="0" fillId="5" borderId="7" xfId="1" applyNumberFormat="1" applyFont="1" applyFill="1" applyBorder="1"/>
    <xf numFmtId="0" fontId="0" fillId="6" borderId="4" xfId="0" applyFill="1" applyBorder="1"/>
    <xf numFmtId="168" fontId="0" fillId="6" borderId="29" xfId="0" applyNumberFormat="1" applyFill="1" applyBorder="1"/>
    <xf numFmtId="10" fontId="13" fillId="6" borderId="29" xfId="0" applyNumberFormat="1" applyFont="1" applyFill="1" applyBorder="1"/>
    <xf numFmtId="186" fontId="0" fillId="6" borderId="7" xfId="1" applyNumberFormat="1" applyFont="1" applyFill="1" applyBorder="1"/>
    <xf numFmtId="0" fontId="0" fillId="3" borderId="4" xfId="0" applyFill="1" applyBorder="1"/>
    <xf numFmtId="168" fontId="53" fillId="3" borderId="29" xfId="2" applyNumberFormat="1" applyFont="1" applyFill="1" applyBorder="1"/>
    <xf numFmtId="0" fontId="0" fillId="3" borderId="29" xfId="0" applyFill="1" applyBorder="1"/>
    <xf numFmtId="0" fontId="0" fillId="3" borderId="7" xfId="0" applyFill="1" applyBorder="1"/>
    <xf numFmtId="0" fontId="24" fillId="3" borderId="2" xfId="0" applyFont="1" applyFill="1" applyBorder="1" applyAlignment="1">
      <alignment horizontal="right"/>
    </xf>
    <xf numFmtId="168" fontId="24" fillId="3" borderId="2" xfId="0" applyNumberFormat="1" applyFont="1" applyFill="1" applyBorder="1" applyAlignment="1">
      <alignment horizontal="right"/>
    </xf>
    <xf numFmtId="0" fontId="6" fillId="0" borderId="15" xfId="0" applyFont="1" applyBorder="1"/>
    <xf numFmtId="43" fontId="3" fillId="0" borderId="0" xfId="0" applyNumberFormat="1" applyFont="1"/>
    <xf numFmtId="0" fontId="1" fillId="0" borderId="11" xfId="0" applyFont="1" applyBorder="1" applyAlignment="1">
      <alignment horizontal="center"/>
    </xf>
    <xf numFmtId="0" fontId="1" fillId="0" borderId="3" xfId="0" applyFont="1" applyBorder="1" applyAlignment="1">
      <alignment horizontal="center"/>
    </xf>
    <xf numFmtId="0" fontId="1" fillId="0" borderId="27" xfId="0" applyFont="1" applyBorder="1" applyAlignment="1">
      <alignment horizontal="center"/>
    </xf>
    <xf numFmtId="0" fontId="24" fillId="0" borderId="0" xfId="0" applyFont="1" applyAlignment="1">
      <alignment horizontal="left" wrapText="1"/>
    </xf>
    <xf numFmtId="0" fontId="51" fillId="2" borderId="0" xfId="0" applyFont="1" applyFill="1" applyAlignment="1">
      <alignment horizontal="center"/>
    </xf>
    <xf numFmtId="0" fontId="7" fillId="0" borderId="0" xfId="0" applyFont="1" applyAlignment="1">
      <alignment horizontal="center"/>
    </xf>
    <xf numFmtId="0" fontId="0" fillId="0" borderId="0" xfId="0" applyFont="1" applyAlignment="1">
      <alignment horizontal="center"/>
    </xf>
    <xf numFmtId="165" fontId="0" fillId="0" borderId="0" xfId="0" applyNumberFormat="1" applyFont="1" applyAlignment="1">
      <alignment horizontal="center"/>
    </xf>
    <xf numFmtId="0" fontId="10" fillId="0" borderId="0" xfId="0" applyFont="1" applyAlignment="1">
      <alignment horizontal="center" wrapText="1"/>
    </xf>
    <xf numFmtId="0" fontId="15" fillId="0" borderId="0" xfId="0" applyFont="1" applyAlignment="1">
      <alignment horizontal="center"/>
    </xf>
    <xf numFmtId="0" fontId="14" fillId="0" borderId="0" xfId="0" applyFont="1" applyAlignment="1">
      <alignment horizontal="center"/>
    </xf>
    <xf numFmtId="17" fontId="24" fillId="0" borderId="5" xfId="0" applyNumberFormat="1" applyFont="1" applyFill="1" applyBorder="1" applyAlignment="1">
      <alignment horizontal="center"/>
    </xf>
    <xf numFmtId="17" fontId="24" fillId="0" borderId="2" xfId="0" applyNumberFormat="1" applyFont="1" applyFill="1" applyBorder="1" applyAlignment="1">
      <alignment horizontal="center"/>
    </xf>
    <xf numFmtId="17" fontId="24" fillId="0" borderId="18" xfId="0" applyNumberFormat="1" applyFont="1" applyFill="1" applyBorder="1" applyAlignment="1">
      <alignment horizontal="center"/>
    </xf>
    <xf numFmtId="17" fontId="24" fillId="3" borderId="5" xfId="0" applyNumberFormat="1" applyFont="1" applyFill="1" applyBorder="1" applyAlignment="1">
      <alignment horizontal="center"/>
    </xf>
    <xf numFmtId="17" fontId="24" fillId="3" borderId="2" xfId="0" applyNumberFormat="1" applyFont="1" applyFill="1" applyBorder="1" applyAlignment="1">
      <alignment horizontal="center"/>
    </xf>
    <xf numFmtId="17" fontId="24" fillId="0" borderId="5" xfId="0" applyNumberFormat="1" applyFont="1" applyBorder="1" applyAlignment="1">
      <alignment horizontal="center"/>
    </xf>
    <xf numFmtId="17" fontId="24" fillId="0" borderId="2" xfId="0" applyNumberFormat="1" applyFont="1" applyBorder="1" applyAlignment="1">
      <alignment horizontal="center"/>
    </xf>
    <xf numFmtId="17" fontId="24" fillId="0" borderId="17" xfId="0" applyNumberFormat="1" applyFont="1" applyBorder="1" applyAlignment="1">
      <alignment horizontal="center"/>
    </xf>
    <xf numFmtId="17" fontId="24" fillId="0" borderId="18" xfId="0" applyNumberFormat="1" applyFont="1" applyBorder="1" applyAlignment="1">
      <alignment horizontal="center"/>
    </xf>
    <xf numFmtId="0" fontId="2" fillId="0" borderId="0" xfId="0" applyFont="1" applyAlignment="1">
      <alignment horizontal="center"/>
    </xf>
    <xf numFmtId="0" fontId="1" fillId="0" borderId="0" xfId="0" applyFont="1" applyAlignment="1">
      <alignment horizontal="center"/>
    </xf>
    <xf numFmtId="17" fontId="24" fillId="3" borderId="17" xfId="0" applyNumberFormat="1" applyFont="1" applyFill="1" applyBorder="1" applyAlignment="1">
      <alignment horizontal="center"/>
    </xf>
    <xf numFmtId="0" fontId="47" fillId="0" borderId="0" xfId="0" applyFont="1" applyAlignment="1">
      <alignment horizontal="center"/>
    </xf>
    <xf numFmtId="0" fontId="0" fillId="0" borderId="0" xfId="0" applyAlignment="1">
      <alignment horizontal="center"/>
    </xf>
    <xf numFmtId="0" fontId="25" fillId="0" borderId="0" xfId="0" applyFont="1" applyAlignment="1">
      <alignment horizontal="center"/>
    </xf>
    <xf numFmtId="0" fontId="24" fillId="0" borderId="0" xfId="0" applyFont="1" applyAlignment="1">
      <alignment horizontal="center"/>
    </xf>
    <xf numFmtId="190" fontId="14" fillId="0" borderId="0" xfId="0" applyNumberFormat="1" applyFont="1"/>
    <xf numFmtId="9" fontId="0" fillId="4" borderId="0" xfId="2" applyFont="1" applyFill="1"/>
    <xf numFmtId="0" fontId="0" fillId="4" borderId="0" xfId="0" applyFill="1"/>
    <xf numFmtId="166" fontId="0" fillId="4" borderId="0" xfId="1" applyNumberFormat="1" applyFont="1" applyFill="1"/>
  </cellXfs>
  <cellStyles count="6">
    <cellStyle name="Comma" xfId="1" builtinId="3"/>
    <cellStyle name="Comma 2 2" xfId="4" xr:uid="{C78E1086-CA35-42BC-A74E-DB0B633161B0}"/>
    <cellStyle name="Currency" xfId="3" builtinId="4"/>
    <cellStyle name="Normal" xfId="0" builtinId="0"/>
    <cellStyle name="Normal 2 2" xfId="5" xr:uid="{B0033BAF-B4C9-46BF-896F-10C4B801D733}"/>
    <cellStyle name="Percent" xfId="2" builtinId="5"/>
  </cellStyles>
  <dxfs count="1">
    <dxf>
      <font>
        <color rgb="FF0070C0"/>
      </font>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Drop" dropStyle="combo" dx="37" fmlaLink="$E$8" fmlaRange="$B$11:$B$13" noThreeD="1" sel="1" val="0"/>
</file>

<file path=xl/ctrlProps/ctrlProp2.xml><?xml version="1.0" encoding="utf-8"?>
<formControlPr xmlns="http://schemas.microsoft.com/office/spreadsheetml/2009/9/main" objectType="Drop" dropStyle="combo" dx="37" fmlaLink="$B$35" fmlaRange="$A$34:$A$38" noThreeD="1" sel="2" val="0"/>
</file>

<file path=xl/ctrlProps/ctrlProp3.xml><?xml version="1.0" encoding="utf-8"?>
<formControlPr xmlns="http://schemas.microsoft.com/office/spreadsheetml/2009/9/main" objectType="Drop" dropStyle="combo" dx="37" fmlaLink="$B$39" fmlaRange="$B$36:$B$37" noThreeD="1" sel="1" val="0"/>
</file>

<file path=xl/ctrlProps/ctrlProp4.xml><?xml version="1.0" encoding="utf-8"?>
<formControlPr xmlns="http://schemas.microsoft.com/office/spreadsheetml/2009/9/main" objectType="Drop" dropStyle="combo" dx="37" fmlaLink="$K$13" fmlaRange="$S$13:$S$14" noThreeD="1" sel="1" val="0"/>
</file>

<file path=xl/drawings/_rels/drawing1.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169984</xdr:colOff>
      <xdr:row>1</xdr:row>
      <xdr:rowOff>29307</xdr:rowOff>
    </xdr:from>
    <xdr:to>
      <xdr:col>3</xdr:col>
      <xdr:colOff>250921</xdr:colOff>
      <xdr:row>5</xdr:row>
      <xdr:rowOff>977</xdr:rowOff>
    </xdr:to>
    <xdr:pic>
      <xdr:nvPicPr>
        <xdr:cNvPr id="2" name="Picture 1" descr="EmailSignatureBlock-Blue-DBA_Logo_RockAdvisors">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9984" y="219807"/>
          <a:ext cx="1726077" cy="7241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169984</xdr:colOff>
      <xdr:row>1</xdr:row>
      <xdr:rowOff>29307</xdr:rowOff>
    </xdr:from>
    <xdr:to>
      <xdr:col>2</xdr:col>
      <xdr:colOff>267286</xdr:colOff>
      <xdr:row>5</xdr:row>
      <xdr:rowOff>977</xdr:rowOff>
    </xdr:to>
    <xdr:pic>
      <xdr:nvPicPr>
        <xdr:cNvPr id="3" name="Picture 2" descr="EmailSignatureBlock-Blue-DBA_Logo_RockAdvisors">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9984" y="211015"/>
          <a:ext cx="1767840" cy="6985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164123</xdr:colOff>
      <xdr:row>1</xdr:row>
      <xdr:rowOff>29307</xdr:rowOff>
    </xdr:from>
    <xdr:to>
      <xdr:col>3</xdr:col>
      <xdr:colOff>437271</xdr:colOff>
      <xdr:row>1</xdr:row>
      <xdr:rowOff>727807</xdr:rowOff>
    </xdr:to>
    <xdr:pic>
      <xdr:nvPicPr>
        <xdr:cNvPr id="2" name="Picture 1" descr="EmailSignatureBlock-Blue-DBA_Logo_RockAdvisors">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4123" y="134815"/>
          <a:ext cx="1767840" cy="6985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251012</xdr:colOff>
      <xdr:row>1</xdr:row>
      <xdr:rowOff>35858</xdr:rowOff>
    </xdr:from>
    <xdr:to>
      <xdr:col>3</xdr:col>
      <xdr:colOff>88440</xdr:colOff>
      <xdr:row>1</xdr:row>
      <xdr:rowOff>735311</xdr:rowOff>
    </xdr:to>
    <xdr:pic>
      <xdr:nvPicPr>
        <xdr:cNvPr id="2" name="Picture 1" descr="EmailSignatureBlock-Blue-DBA_Logo_RockAdvisors">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51012" y="188258"/>
          <a:ext cx="1767840" cy="6985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160020</xdr:colOff>
      <xdr:row>1</xdr:row>
      <xdr:rowOff>22860</xdr:rowOff>
    </xdr:from>
    <xdr:to>
      <xdr:col>2</xdr:col>
      <xdr:colOff>624840</xdr:colOff>
      <xdr:row>1</xdr:row>
      <xdr:rowOff>622004</xdr:rowOff>
    </xdr:to>
    <xdr:pic>
      <xdr:nvPicPr>
        <xdr:cNvPr id="2" name="Picture 1" descr="EmailSignatureBlock-Blue-DBA_Logo_RockAdvisors">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0020" y="175260"/>
          <a:ext cx="1516380" cy="599144"/>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152400</xdr:colOff>
      <xdr:row>0</xdr:row>
      <xdr:rowOff>145473</xdr:rowOff>
    </xdr:from>
    <xdr:to>
      <xdr:col>2</xdr:col>
      <xdr:colOff>131618</xdr:colOff>
      <xdr:row>1</xdr:row>
      <xdr:rowOff>473374</xdr:rowOff>
    </xdr:to>
    <xdr:pic>
      <xdr:nvPicPr>
        <xdr:cNvPr id="2" name="Picture 1" descr="EmailSignatureBlock-Blue-DBA_Logo_RockAdvisors">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52400" y="145473"/>
          <a:ext cx="1191491" cy="470776"/>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6</xdr:row>
          <xdr:rowOff>152400</xdr:rowOff>
        </xdr:from>
        <xdr:to>
          <xdr:col>6</xdr:col>
          <xdr:colOff>28575</xdr:colOff>
          <xdr:row>8</xdr:row>
          <xdr:rowOff>28575</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8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152400</xdr:colOff>
      <xdr:row>1</xdr:row>
      <xdr:rowOff>26894</xdr:rowOff>
    </xdr:from>
    <xdr:to>
      <xdr:col>2</xdr:col>
      <xdr:colOff>152400</xdr:colOff>
      <xdr:row>1</xdr:row>
      <xdr:rowOff>508618</xdr:rowOff>
    </xdr:to>
    <xdr:pic>
      <xdr:nvPicPr>
        <xdr:cNvPr id="3" name="Picture 2" descr="EmailSignatureBlock-Blue-DBA_Logo_RockAdvisors">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52400" y="179294"/>
          <a:ext cx="1219200" cy="481724"/>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327660</xdr:colOff>
      <xdr:row>0</xdr:row>
      <xdr:rowOff>106680</xdr:rowOff>
    </xdr:from>
    <xdr:to>
      <xdr:col>1</xdr:col>
      <xdr:colOff>937260</xdr:colOff>
      <xdr:row>3</xdr:row>
      <xdr:rowOff>39764</xdr:rowOff>
    </xdr:to>
    <xdr:pic>
      <xdr:nvPicPr>
        <xdr:cNvPr id="2" name="Picture 1" descr="EmailSignatureBlock-Blue-DBA_Logo_RockAdvisors">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27660" y="106680"/>
          <a:ext cx="1219200" cy="481724"/>
        </a:xfrm>
        <a:prstGeom prst="rect">
          <a:avLst/>
        </a:prstGeom>
        <a:noFill/>
        <a:ln>
          <a:noFill/>
        </a:ln>
      </xdr:spPr>
    </xdr:pic>
    <xdr:clientData/>
  </xdr:twoCellAnchor>
  <xdr:twoCellAnchor>
    <xdr:from>
      <xdr:col>3</xdr:col>
      <xdr:colOff>0</xdr:colOff>
      <xdr:row>15</xdr:row>
      <xdr:rowOff>176213</xdr:rowOff>
    </xdr:from>
    <xdr:to>
      <xdr:col>4</xdr:col>
      <xdr:colOff>709612</xdr:colOff>
      <xdr:row>23</xdr:row>
      <xdr:rowOff>166688</xdr:rowOff>
    </xdr:to>
    <xdr:cxnSp macro="">
      <xdr:nvCxnSpPr>
        <xdr:cNvPr id="4" name="Straight Arrow Connector 3">
          <a:extLst>
            <a:ext uri="{FF2B5EF4-FFF2-40B4-BE49-F238E27FC236}">
              <a16:creationId xmlns:a16="http://schemas.microsoft.com/office/drawing/2014/main" id="{3838D710-DD49-4304-993A-E7AD9438109C}"/>
            </a:ext>
          </a:extLst>
        </xdr:cNvPr>
        <xdr:cNvCxnSpPr/>
      </xdr:nvCxnSpPr>
      <xdr:spPr>
        <a:xfrm flipH="1" flipV="1">
          <a:off x="3757613" y="2728913"/>
          <a:ext cx="1243012" cy="1438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176213</xdr:colOff>
          <xdr:row>34</xdr:row>
          <xdr:rowOff>0</xdr:rowOff>
        </xdr:from>
        <xdr:to>
          <xdr:col>1</xdr:col>
          <xdr:colOff>1547813</xdr:colOff>
          <xdr:row>35</xdr:row>
          <xdr:rowOff>23813</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A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38</xdr:row>
          <xdr:rowOff>23813</xdr:rowOff>
        </xdr:from>
        <xdr:to>
          <xdr:col>1</xdr:col>
          <xdr:colOff>1552575</xdr:colOff>
          <xdr:row>39</xdr:row>
          <xdr:rowOff>23813</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A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115</xdr:row>
      <xdr:rowOff>16935</xdr:rowOff>
    </xdr:from>
    <xdr:to>
      <xdr:col>3</xdr:col>
      <xdr:colOff>177799</xdr:colOff>
      <xdr:row>116</xdr:row>
      <xdr:rowOff>84669</xdr:rowOff>
    </xdr:to>
    <xdr:grpSp>
      <xdr:nvGrpSpPr>
        <xdr:cNvPr id="13" name="Group 12">
          <a:extLst>
            <a:ext uri="{FF2B5EF4-FFF2-40B4-BE49-F238E27FC236}">
              <a16:creationId xmlns:a16="http://schemas.microsoft.com/office/drawing/2014/main" id="{00000000-0008-0000-0A00-00000D000000}"/>
            </a:ext>
          </a:extLst>
        </xdr:cNvPr>
        <xdr:cNvGrpSpPr/>
      </xdr:nvGrpSpPr>
      <xdr:grpSpPr>
        <a:xfrm>
          <a:off x="3555470" y="17304810"/>
          <a:ext cx="122767" cy="215372"/>
          <a:chOff x="3445933" y="16484600"/>
          <a:chExt cx="258234" cy="198966"/>
        </a:xfrm>
      </xdr:grpSpPr>
      <xdr:cxnSp macro="">
        <xdr:nvCxnSpPr>
          <xdr:cNvPr id="9" name="Straight Arrow Connector 8">
            <a:extLst>
              <a:ext uri="{FF2B5EF4-FFF2-40B4-BE49-F238E27FC236}">
                <a16:creationId xmlns:a16="http://schemas.microsoft.com/office/drawing/2014/main" id="{00000000-0008-0000-0A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A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114</xdr:row>
      <xdr:rowOff>148166</xdr:rowOff>
    </xdr:from>
    <xdr:to>
      <xdr:col>4</xdr:col>
      <xdr:colOff>880535</xdr:colOff>
      <xdr:row>116</xdr:row>
      <xdr:rowOff>110067</xdr:rowOff>
    </xdr:to>
    <xdr:grpSp>
      <xdr:nvGrpSpPr>
        <xdr:cNvPr id="16" name="Group 15">
          <a:extLst>
            <a:ext uri="{FF2B5EF4-FFF2-40B4-BE49-F238E27FC236}">
              <a16:creationId xmlns:a16="http://schemas.microsoft.com/office/drawing/2014/main" id="{00000000-0008-0000-0A00-000010000000}"/>
            </a:ext>
          </a:extLst>
        </xdr:cNvPr>
        <xdr:cNvGrpSpPr/>
      </xdr:nvGrpSpPr>
      <xdr:grpSpPr>
        <a:xfrm rot="16200000">
          <a:off x="5667377" y="17317509"/>
          <a:ext cx="257176" cy="198966"/>
          <a:chOff x="3445933" y="16484600"/>
          <a:chExt cx="258234" cy="198966"/>
        </a:xfrm>
      </xdr:grpSpPr>
      <xdr:cxnSp macro="">
        <xdr:nvCxnSpPr>
          <xdr:cNvPr id="17" name="Straight Arrow Connector 16">
            <a:extLst>
              <a:ext uri="{FF2B5EF4-FFF2-40B4-BE49-F238E27FC236}">
                <a16:creationId xmlns:a16="http://schemas.microsoft.com/office/drawing/2014/main" id="{00000000-0008-0000-0A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A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99060</xdr:colOff>
      <xdr:row>3</xdr:row>
      <xdr:rowOff>91440</xdr:rowOff>
    </xdr:from>
    <xdr:to>
      <xdr:col>1</xdr:col>
      <xdr:colOff>990600</xdr:colOff>
      <xdr:row>3</xdr:row>
      <xdr:rowOff>573164</xdr:rowOff>
    </xdr:to>
    <xdr:pic>
      <xdr:nvPicPr>
        <xdr:cNvPr id="10" name="Picture 9" descr="EmailSignatureBlock-Blue-DBA_Logo_RockAdvisors">
          <a:extLst>
            <a:ext uri="{FF2B5EF4-FFF2-40B4-BE49-F238E27FC236}">
              <a16:creationId xmlns:a16="http://schemas.microsoft.com/office/drawing/2014/main" id="{00000000-0008-0000-0A00-00000A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9060" y="579120"/>
          <a:ext cx="1219200" cy="481724"/>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266700</xdr:colOff>
          <xdr:row>11</xdr:row>
          <xdr:rowOff>142875</xdr:rowOff>
        </xdr:from>
        <xdr:to>
          <xdr:col>11</xdr:col>
          <xdr:colOff>219075</xdr:colOff>
          <xdr:row>13</xdr:row>
          <xdr:rowOff>0</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B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158750</xdr:colOff>
      <xdr:row>6</xdr:row>
      <xdr:rowOff>6350</xdr:rowOff>
    </xdr:from>
    <xdr:to>
      <xdr:col>1</xdr:col>
      <xdr:colOff>531299</xdr:colOff>
      <xdr:row>6</xdr:row>
      <xdr:rowOff>349250</xdr:rowOff>
    </xdr:to>
    <xdr:pic>
      <xdr:nvPicPr>
        <xdr:cNvPr id="3" name="Picture 2" descr="EmailSignatureBlock-Blue-DBA_Logo_RockAdvisors">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58750" y="603250"/>
          <a:ext cx="867849" cy="3429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327660</xdr:colOff>
      <xdr:row>0</xdr:row>
      <xdr:rowOff>106680</xdr:rowOff>
    </xdr:from>
    <xdr:to>
      <xdr:col>1</xdr:col>
      <xdr:colOff>937260</xdr:colOff>
      <xdr:row>3</xdr:row>
      <xdr:rowOff>39764</xdr:rowOff>
    </xdr:to>
    <xdr:pic>
      <xdr:nvPicPr>
        <xdr:cNvPr id="2" name="Picture 1" descr="EmailSignatureBlock-Blue-DBA_Logo_RockAdvisors">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27660" y="106680"/>
          <a:ext cx="1219200" cy="481724"/>
        </a:xfrm>
        <a:prstGeom prst="rect">
          <a:avLst/>
        </a:prstGeom>
        <a:noFill/>
        <a:ln>
          <a:noFill/>
        </a:ln>
      </xdr:spPr>
    </xdr:pic>
    <xdr:clientData/>
  </xdr:twoCellAnchor>
  <xdr:twoCellAnchor>
    <xdr:from>
      <xdr:col>5</xdr:col>
      <xdr:colOff>1143000</xdr:colOff>
      <xdr:row>12</xdr:row>
      <xdr:rowOff>133350</xdr:rowOff>
    </xdr:from>
    <xdr:to>
      <xdr:col>12</xdr:col>
      <xdr:colOff>14288</xdr:colOff>
      <xdr:row>15</xdr:row>
      <xdr:rowOff>119063</xdr:rowOff>
    </xdr:to>
    <xdr:cxnSp macro="">
      <xdr:nvCxnSpPr>
        <xdr:cNvPr id="4" name="Straight Arrow Connector 3">
          <a:extLst>
            <a:ext uri="{FF2B5EF4-FFF2-40B4-BE49-F238E27FC236}">
              <a16:creationId xmlns:a16="http://schemas.microsoft.com/office/drawing/2014/main" id="{5EC9D6DD-4B54-4492-9F6E-01EFE9661BBF}"/>
            </a:ext>
          </a:extLst>
        </xdr:cNvPr>
        <xdr:cNvCxnSpPr/>
      </xdr:nvCxnSpPr>
      <xdr:spPr>
        <a:xfrm>
          <a:off x="7219950" y="2314575"/>
          <a:ext cx="4195763" cy="5286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trlProp" Target="../ctrlProps/ctrlProp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B826-855D-4CE5-AFF6-B69D0CAC8F4F}">
  <dimension ref="B3:AA24"/>
  <sheetViews>
    <sheetView topLeftCell="B1" workbookViewId="0">
      <selection activeCell="E11" sqref="E11"/>
    </sheetView>
  </sheetViews>
  <sheetFormatPr defaultRowHeight="14.25" x14ac:dyDescent="0.45"/>
  <cols>
    <col min="1" max="1" width="5.86328125" customWidth="1"/>
    <col min="2" max="2" width="45.796875" bestFit="1" customWidth="1"/>
    <col min="3" max="3" width="9.86328125" bestFit="1" customWidth="1"/>
    <col min="4" max="4" width="4.86328125" bestFit="1" customWidth="1"/>
    <col min="5" max="5" width="11.53125" bestFit="1" customWidth="1"/>
    <col min="6" max="8" width="10.53125" bestFit="1" customWidth="1"/>
    <col min="9" max="9" width="11.53125" bestFit="1" customWidth="1"/>
    <col min="10" max="10" width="11" bestFit="1" customWidth="1"/>
    <col min="11" max="11" width="10.53125" bestFit="1" customWidth="1"/>
    <col min="12" max="12" width="11.53125" bestFit="1" customWidth="1"/>
    <col min="13" max="13" width="1.19921875" customWidth="1"/>
    <col min="14" max="14" width="16.86328125" bestFit="1" customWidth="1"/>
    <col min="15" max="15" width="11.53125" bestFit="1" customWidth="1"/>
    <col min="16" max="16" width="12.19921875" bestFit="1" customWidth="1"/>
    <col min="17" max="17" width="11.53125" bestFit="1" customWidth="1"/>
    <col min="18" max="18" width="10.53125" bestFit="1" customWidth="1"/>
    <col min="19" max="19" width="11.53125" bestFit="1" customWidth="1"/>
    <col min="20" max="20" width="10.53125" bestFit="1" customWidth="1"/>
    <col min="21" max="21" width="13.46484375" bestFit="1" customWidth="1"/>
    <col min="22" max="22" width="12.46484375" bestFit="1" customWidth="1"/>
    <col min="23" max="23" width="1.796875" customWidth="1"/>
    <col min="24" max="24" width="10.1328125" bestFit="1" customWidth="1"/>
    <col min="25" max="25" width="13.19921875" bestFit="1" customWidth="1"/>
    <col min="26" max="26" width="11.86328125" bestFit="1" customWidth="1"/>
    <col min="27" max="27" width="7.46484375" bestFit="1" customWidth="1"/>
  </cols>
  <sheetData>
    <row r="3" spans="2:27" x14ac:dyDescent="0.45">
      <c r="B3" t="s">
        <v>296</v>
      </c>
    </row>
    <row r="4" spans="2:27" x14ac:dyDescent="0.45">
      <c r="B4" t="s">
        <v>297</v>
      </c>
    </row>
    <row r="6" spans="2:27" x14ac:dyDescent="0.45">
      <c r="B6" t="s">
        <v>324</v>
      </c>
      <c r="C6" s="379" t="s">
        <v>300</v>
      </c>
      <c r="D6" s="380" t="s">
        <v>323</v>
      </c>
      <c r="E6" s="515" t="s">
        <v>301</v>
      </c>
      <c r="F6" s="516"/>
      <c r="G6" s="516"/>
      <c r="H6" s="517"/>
      <c r="I6" s="515" t="s">
        <v>304</v>
      </c>
      <c r="J6" s="516"/>
      <c r="K6" s="516"/>
      <c r="L6" s="517"/>
      <c r="M6" s="381"/>
      <c r="N6" s="380" t="s">
        <v>306</v>
      </c>
      <c r="O6" s="515" t="s">
        <v>21</v>
      </c>
      <c r="P6" s="516"/>
      <c r="Q6" s="516"/>
      <c r="R6" s="516"/>
      <c r="S6" s="516"/>
      <c r="T6" s="516"/>
      <c r="U6" s="517"/>
      <c r="V6" s="380" t="s">
        <v>312</v>
      </c>
      <c r="W6" s="381"/>
      <c r="X6" s="380" t="s">
        <v>314</v>
      </c>
      <c r="Y6" s="380" t="s">
        <v>316</v>
      </c>
      <c r="Z6" s="380" t="s">
        <v>319</v>
      </c>
      <c r="AA6" s="382" t="s">
        <v>197</v>
      </c>
    </row>
    <row r="7" spans="2:27" x14ac:dyDescent="0.45">
      <c r="C7" s="383"/>
      <c r="D7" s="384"/>
      <c r="E7" s="384" t="s">
        <v>303</v>
      </c>
      <c r="F7" s="384" t="s">
        <v>48</v>
      </c>
      <c r="G7" s="384" t="s">
        <v>302</v>
      </c>
      <c r="H7" s="384" t="s">
        <v>170</v>
      </c>
      <c r="I7" s="384" t="s">
        <v>303</v>
      </c>
      <c r="J7" s="384" t="s">
        <v>48</v>
      </c>
      <c r="K7" s="384" t="s">
        <v>305</v>
      </c>
      <c r="L7" s="384" t="s">
        <v>170</v>
      </c>
      <c r="M7" s="384"/>
      <c r="N7" s="385" t="s">
        <v>307</v>
      </c>
      <c r="O7" s="384" t="s">
        <v>8</v>
      </c>
      <c r="P7" s="384" t="s">
        <v>22</v>
      </c>
      <c r="Q7" s="384" t="s">
        <v>308</v>
      </c>
      <c r="R7" s="384" t="s">
        <v>12</v>
      </c>
      <c r="S7" s="384" t="s">
        <v>309</v>
      </c>
      <c r="T7" s="384" t="s">
        <v>310</v>
      </c>
      <c r="U7" s="384" t="s">
        <v>311</v>
      </c>
      <c r="V7" s="385" t="s">
        <v>313</v>
      </c>
      <c r="W7" s="384"/>
      <c r="X7" s="385" t="s">
        <v>315</v>
      </c>
      <c r="Y7" s="385" t="s">
        <v>317</v>
      </c>
      <c r="Z7" s="385" t="s">
        <v>320</v>
      </c>
      <c r="AA7" s="386" t="s">
        <v>321</v>
      </c>
    </row>
    <row r="8" spans="2:27" x14ac:dyDescent="0.45">
      <c r="N8" s="30"/>
      <c r="V8" s="30"/>
      <c r="X8" s="30"/>
      <c r="Y8" s="30"/>
      <c r="Z8" s="30"/>
      <c r="AA8" s="30"/>
    </row>
    <row r="9" spans="2:27" x14ac:dyDescent="0.45">
      <c r="B9" t="s">
        <v>318</v>
      </c>
      <c r="C9" s="21">
        <f>+'Executive Summary'!E34</f>
        <v>85975</v>
      </c>
      <c r="D9">
        <f>+'Executive Summary'!F34</f>
        <v>100</v>
      </c>
      <c r="E9" s="397">
        <f>+'Operating Revenue and Expenses'!J19</f>
        <v>2.6246001744693226</v>
      </c>
      <c r="F9" s="21">
        <f>+'Operating Revenue and Expenses'!I29</f>
        <v>2834325</v>
      </c>
      <c r="G9" s="21">
        <f>+'Operating Revenue and Expenses'!I43</f>
        <v>765110</v>
      </c>
      <c r="H9" s="21">
        <f>+F9-G9</f>
        <v>2069215</v>
      </c>
      <c r="I9" s="398">
        <f>+E9/H9*L9</f>
        <v>3.8151155672559143</v>
      </c>
      <c r="J9" s="220">
        <f>MAX('Development Cash Flow'!I23:CZ23)*12*0.975</f>
        <v>3007808.3645999995</v>
      </c>
      <c r="K9" s="21">
        <f>'Development Cash Flow'!BT25*12</f>
        <v>0</v>
      </c>
      <c r="L9" s="377">
        <f>+J9+K9</f>
        <v>3007808.3645999995</v>
      </c>
      <c r="N9" s="21">
        <f>(+L9/0.04)*0.99</f>
        <v>74443257.023849979</v>
      </c>
      <c r="O9" s="21">
        <f>+'Executive Summary'!G39</f>
        <v>5989000</v>
      </c>
      <c r="P9" s="21">
        <f>+'Executive Summary'!G40</f>
        <v>30000000</v>
      </c>
      <c r="Q9" s="21">
        <f>SUM('Executive Summary'!G41:G44)</f>
        <v>6743750</v>
      </c>
      <c r="R9" s="21">
        <f>+'Executive Summary'!G46</f>
        <v>3820151.5153274327</v>
      </c>
      <c r="S9" s="21">
        <f>+'Executive Summary'!G45</f>
        <v>3714932.5244444446</v>
      </c>
      <c r="T9" s="21">
        <f>+'Executive Summary'!G47</f>
        <v>-1080051.6281914287</v>
      </c>
      <c r="U9" s="21">
        <f>SUM(O9:T9)</f>
        <v>49187782.411580451</v>
      </c>
      <c r="V9" s="13">
        <f>+N9-U9</f>
        <v>25255474.612269528</v>
      </c>
      <c r="X9" s="316">
        <f>+V9/U9</f>
        <v>0.5134501572147222</v>
      </c>
      <c r="Y9" s="316">
        <f>L9/U9</f>
        <v>6.1149501301604944E-2</v>
      </c>
      <c r="Z9" s="316">
        <f>+Cover!G39</f>
        <v>0.2509451084275176</v>
      </c>
      <c r="AA9" s="316">
        <f>+Cover!G40</f>
        <v>0.13515737554549911</v>
      </c>
    </row>
    <row r="10" spans="2:27" x14ac:dyDescent="0.45">
      <c r="F10" s="21"/>
      <c r="G10" s="21"/>
      <c r="H10" s="21"/>
      <c r="I10" s="21"/>
      <c r="O10" s="21"/>
      <c r="P10" s="21"/>
      <c r="Q10" s="21"/>
      <c r="R10" s="21"/>
      <c r="S10" s="21"/>
      <c r="T10" s="21"/>
      <c r="U10" s="21"/>
      <c r="X10" s="390"/>
      <c r="Y10" s="390"/>
      <c r="Z10" s="390"/>
      <c r="AA10" s="390"/>
    </row>
    <row r="11" spans="2:27" x14ac:dyDescent="0.45">
      <c r="B11" t="s">
        <v>322</v>
      </c>
      <c r="C11" s="21">
        <v>81675</v>
      </c>
      <c r="D11">
        <v>100</v>
      </c>
      <c r="E11" s="397">
        <v>2.5414141414141413</v>
      </c>
      <c r="F11" s="21">
        <v>2659644</v>
      </c>
      <c r="G11" s="21">
        <v>694735.2</v>
      </c>
      <c r="H11" s="21">
        <v>1964908.8</v>
      </c>
      <c r="I11" s="398">
        <v>3.6505396420399578</v>
      </c>
      <c r="J11" s="220">
        <v>2822435.4899519999</v>
      </c>
      <c r="K11" s="21">
        <v>0</v>
      </c>
      <c r="L11" s="377">
        <v>2822435.4899519999</v>
      </c>
      <c r="N11" s="21">
        <v>69855278.376311988</v>
      </c>
      <c r="O11" s="21">
        <v>5700000</v>
      </c>
      <c r="P11" s="21">
        <v>26500000</v>
      </c>
      <c r="Q11" s="21">
        <v>5396560</v>
      </c>
      <c r="R11" s="21">
        <v>2236939.7038273118</v>
      </c>
      <c r="S11" s="21">
        <v>2217278.4733333332</v>
      </c>
      <c r="T11" s="21">
        <v>-735677.32723199995</v>
      </c>
      <c r="U11" s="21">
        <v>41315100.849928647</v>
      </c>
      <c r="V11" s="13">
        <v>28540177.52638334</v>
      </c>
      <c r="X11" s="316">
        <v>0.69079288055114674</v>
      </c>
      <c r="Y11" s="316">
        <v>6.83148638606524E-2</v>
      </c>
      <c r="Z11" s="316">
        <v>0.24825976114495041</v>
      </c>
      <c r="AA11" s="316">
        <v>0.16138068416174178</v>
      </c>
    </row>
    <row r="12" spans="2:27" x14ac:dyDescent="0.45">
      <c r="C12" s="13">
        <f>+C9-C11</f>
        <v>4300</v>
      </c>
      <c r="D12" s="13">
        <f t="shared" ref="D12:K12" si="0">+D9-D11</f>
        <v>0</v>
      </c>
      <c r="E12" s="13">
        <f t="shared" si="0"/>
        <v>8.3186033055181241E-2</v>
      </c>
      <c r="F12" s="13">
        <f t="shared" si="0"/>
        <v>174681</v>
      </c>
      <c r="G12" s="13">
        <f t="shared" si="0"/>
        <v>70374.800000000047</v>
      </c>
      <c r="H12" s="13">
        <f t="shared" si="0"/>
        <v>104306.19999999995</v>
      </c>
      <c r="I12" s="13">
        <f t="shared" si="0"/>
        <v>0.16457592521595643</v>
      </c>
      <c r="J12" s="13">
        <f t="shared" si="0"/>
        <v>185372.87464799965</v>
      </c>
      <c r="K12" s="13">
        <f t="shared" si="0"/>
        <v>0</v>
      </c>
      <c r="L12" s="377">
        <f>+L9-L11</f>
        <v>185372.87464799965</v>
      </c>
      <c r="N12" s="13">
        <f>+N9-N11</f>
        <v>4587978.6475379914</v>
      </c>
      <c r="O12" s="13">
        <f t="shared" ref="O12:U12" si="1">+O9-O11</f>
        <v>289000</v>
      </c>
      <c r="P12" s="13">
        <f t="shared" si="1"/>
        <v>3500000</v>
      </c>
      <c r="Q12" s="13">
        <f t="shared" si="1"/>
        <v>1347190</v>
      </c>
      <c r="R12" s="13">
        <f t="shared" si="1"/>
        <v>1583211.8115001209</v>
      </c>
      <c r="S12" s="13">
        <f t="shared" si="1"/>
        <v>1497654.0511111114</v>
      </c>
      <c r="T12" s="13">
        <f t="shared" si="1"/>
        <v>-344374.30095942877</v>
      </c>
      <c r="U12" s="13">
        <f t="shared" si="1"/>
        <v>7872681.5616518036</v>
      </c>
      <c r="V12" s="13">
        <f>+V9-V11</f>
        <v>-3284702.9141138121</v>
      </c>
      <c r="X12" s="316">
        <f t="shared" ref="X12:AA12" si="2">+X9-X11</f>
        <v>-0.17734272333642453</v>
      </c>
      <c r="Y12" s="316">
        <f t="shared" si="2"/>
        <v>-7.1653625590474557E-3</v>
      </c>
      <c r="Z12" s="316">
        <f t="shared" si="2"/>
        <v>2.6853472825671965E-3</v>
      </c>
      <c r="AA12" s="316">
        <f t="shared" si="2"/>
        <v>-2.6223308616242669E-2</v>
      </c>
    </row>
    <row r="13" spans="2:27" x14ac:dyDescent="0.45">
      <c r="B13" t="s">
        <v>333</v>
      </c>
      <c r="F13" s="21"/>
      <c r="G13" s="21"/>
      <c r="H13" s="21"/>
      <c r="I13" s="21"/>
      <c r="O13" s="21"/>
      <c r="P13" s="21"/>
      <c r="Q13" s="21"/>
      <c r="R13" s="21"/>
      <c r="S13" s="21"/>
      <c r="T13" s="21"/>
      <c r="U13" s="21"/>
      <c r="X13" s="390"/>
      <c r="Y13" s="390"/>
      <c r="Z13" s="390"/>
      <c r="AA13" s="390"/>
    </row>
    <row r="14" spans="2:27" x14ac:dyDescent="0.45">
      <c r="B14" t="s">
        <v>325</v>
      </c>
      <c r="C14" s="21">
        <v>81675</v>
      </c>
      <c r="D14">
        <v>100</v>
      </c>
      <c r="E14" s="376">
        <v>2.5414141414141413</v>
      </c>
      <c r="F14" s="21">
        <v>2659644</v>
      </c>
      <c r="G14" s="21">
        <v>694735.2</v>
      </c>
      <c r="H14" s="21">
        <v>1964908.8</v>
      </c>
      <c r="I14" s="378">
        <v>3.6505396420399578</v>
      </c>
      <c r="J14" s="220">
        <v>2822435.4899519999</v>
      </c>
      <c r="K14" s="21">
        <v>0</v>
      </c>
      <c r="L14" s="377">
        <v>2822435.4899519999</v>
      </c>
      <c r="N14" s="21">
        <v>69855278.376311988</v>
      </c>
      <c r="O14" s="21">
        <v>5700000</v>
      </c>
      <c r="P14" s="21">
        <v>26500000</v>
      </c>
      <c r="Q14" s="21">
        <v>5396560</v>
      </c>
      <c r="R14" s="21">
        <v>2236939.7038273118</v>
      </c>
      <c r="S14" s="21">
        <v>2217278.4733333332</v>
      </c>
      <c r="T14" s="21">
        <v>-735677.32723199995</v>
      </c>
      <c r="U14" s="21">
        <v>41315100.849928647</v>
      </c>
      <c r="V14" s="13">
        <v>28540177.52638334</v>
      </c>
      <c r="X14" s="316">
        <v>0.69079288055114674</v>
      </c>
      <c r="Y14" s="316">
        <v>6.83148638606524E-2</v>
      </c>
      <c r="Z14" s="316">
        <v>0.24825976114495041</v>
      </c>
      <c r="AA14" s="316">
        <v>0.16138068416174178</v>
      </c>
    </row>
    <row r="15" spans="2:27" x14ac:dyDescent="0.45">
      <c r="B15" s="62" t="s">
        <v>67</v>
      </c>
      <c r="C15" s="355">
        <f>(+C14-$C$11)/$C$11</f>
        <v>0</v>
      </c>
      <c r="D15" s="355">
        <f>(+D14-$D$11)/$D$11</f>
        <v>0</v>
      </c>
      <c r="E15" s="355">
        <f>(+E14-$E$11)/$E$11</f>
        <v>0</v>
      </c>
      <c r="F15" s="355">
        <f>(+F14-$F$11)/$F$11</f>
        <v>0</v>
      </c>
      <c r="G15" s="355">
        <f>(+G14-$G$11)/$G$11</f>
        <v>0</v>
      </c>
      <c r="H15" s="355">
        <f>(+H14-$H$11)/$H$11</f>
        <v>0</v>
      </c>
      <c r="I15" s="355">
        <f>(+I14-$I$11)/$I$11</f>
        <v>0</v>
      </c>
      <c r="J15" s="355">
        <f>(+J14-$J$11)/$J$11</f>
        <v>0</v>
      </c>
      <c r="K15" s="355" t="e">
        <f>(+K14-$K$11)/$K$11</f>
        <v>#DIV/0!</v>
      </c>
      <c r="L15" s="355">
        <f>(+L14-$L$11)/$L$11</f>
        <v>0</v>
      </c>
      <c r="N15" s="355">
        <f>(+N14-$N$11)/$N$11</f>
        <v>0</v>
      </c>
      <c r="O15" s="355">
        <f>(+O14-$O$11)/$O$11</f>
        <v>0</v>
      </c>
      <c r="P15" s="355">
        <f>(+P14-$P$11)/$P$11</f>
        <v>0</v>
      </c>
      <c r="Q15" s="355">
        <f>(+Q14-$Q$11)/$Q$11</f>
        <v>0</v>
      </c>
      <c r="R15" s="355">
        <f>(+R14-$R$11)/$R$11</f>
        <v>0</v>
      </c>
      <c r="S15" s="355">
        <f>(+S14-$S$11)/$S$11</f>
        <v>0</v>
      </c>
      <c r="T15" s="355">
        <f>(+T14-$T$11)/$T$11</f>
        <v>0</v>
      </c>
      <c r="U15" s="355">
        <f>(+U14-$U$11)/$U$11</f>
        <v>0</v>
      </c>
      <c r="V15" s="355">
        <f>(+V14-$V$11)/$V$11</f>
        <v>0</v>
      </c>
      <c r="X15" s="316">
        <f>+X14-$X$11</f>
        <v>0</v>
      </c>
      <c r="Y15" s="316">
        <f>+Y14-$Y$11</f>
        <v>0</v>
      </c>
      <c r="Z15" s="316">
        <f>+Z14-$Z$11</f>
        <v>0</v>
      </c>
      <c r="AA15" s="316">
        <f>+AA14-$AA$11</f>
        <v>0</v>
      </c>
    </row>
    <row r="16" spans="2:27" x14ac:dyDescent="0.45">
      <c r="B16" s="393" t="s">
        <v>335</v>
      </c>
      <c r="C16" s="355"/>
      <c r="D16" s="355"/>
      <c r="E16" s="355"/>
      <c r="F16" s="355"/>
      <c r="G16" s="355"/>
      <c r="H16" s="355"/>
      <c r="I16" s="355"/>
      <c r="J16" s="355"/>
      <c r="K16" s="355"/>
      <c r="L16" s="355"/>
      <c r="N16" s="355"/>
      <c r="O16" s="355"/>
      <c r="P16" s="355"/>
      <c r="Q16" s="355"/>
      <c r="R16" s="355"/>
      <c r="S16" s="355"/>
      <c r="T16" s="355"/>
      <c r="U16" s="355"/>
      <c r="V16" s="392">
        <f>+V14-$V$11</f>
        <v>0</v>
      </c>
      <c r="X16" s="316"/>
      <c r="Y16" s="316"/>
      <c r="Z16" s="316"/>
      <c r="AA16" s="316"/>
    </row>
    <row r="17" spans="2:27" x14ac:dyDescent="0.45">
      <c r="F17" s="21"/>
      <c r="G17" s="21"/>
      <c r="H17" s="21"/>
      <c r="I17" s="21"/>
    </row>
    <row r="18" spans="2:27" x14ac:dyDescent="0.45">
      <c r="B18" s="21" t="s">
        <v>332</v>
      </c>
      <c r="C18" s="21">
        <v>81675</v>
      </c>
      <c r="D18">
        <v>100</v>
      </c>
      <c r="E18" s="376">
        <v>2.5414141414141413</v>
      </c>
      <c r="F18" s="21">
        <v>2659644</v>
      </c>
      <c r="G18" s="21">
        <v>694735.2</v>
      </c>
      <c r="H18" s="21">
        <v>1964908.8</v>
      </c>
      <c r="I18" s="378">
        <v>3.6505396420399578</v>
      </c>
      <c r="J18" s="220">
        <v>2822435.4899519999</v>
      </c>
      <c r="K18" s="21">
        <v>0</v>
      </c>
      <c r="L18" s="377">
        <v>2822435.4899519999</v>
      </c>
      <c r="N18" s="21">
        <v>69855278.376311988</v>
      </c>
      <c r="O18" s="21">
        <v>5700000</v>
      </c>
      <c r="P18" s="21">
        <v>26500000</v>
      </c>
      <c r="Q18" s="21">
        <v>5396560</v>
      </c>
      <c r="R18" s="21">
        <v>2236939.7038273118</v>
      </c>
      <c r="S18" s="21">
        <v>2217278.4733333332</v>
      </c>
      <c r="T18" s="21">
        <v>-735677.32723199995</v>
      </c>
      <c r="U18" s="21">
        <v>41315100.849928647</v>
      </c>
      <c r="V18" s="13">
        <v>28540177.52638334</v>
      </c>
      <c r="X18" s="316">
        <v>0.69079288055114674</v>
      </c>
      <c r="Y18" s="316">
        <v>6.83148638606524E-2</v>
      </c>
      <c r="Z18" s="316">
        <v>0.24825976114495041</v>
      </c>
      <c r="AA18" s="316">
        <v>0.16138068416174178</v>
      </c>
    </row>
    <row r="19" spans="2:27" x14ac:dyDescent="0.45">
      <c r="B19" s="62" t="s">
        <v>67</v>
      </c>
      <c r="C19" s="355">
        <f>(+C18-$C$11)/$C$11</f>
        <v>0</v>
      </c>
      <c r="D19" s="355">
        <f>(+D18-$D$11)/$D$11</f>
        <v>0</v>
      </c>
      <c r="E19" s="355">
        <f>(+E18-$E$11)/$E$11</f>
        <v>0</v>
      </c>
      <c r="F19" s="355">
        <f>(+F18-$F$11)/$F$11</f>
        <v>0</v>
      </c>
      <c r="G19" s="355">
        <f>(+G18-$G$11)/$G$11</f>
        <v>0</v>
      </c>
      <c r="H19" s="355">
        <f>(+H18-$H$11)/$H$11</f>
        <v>0</v>
      </c>
      <c r="I19" s="355">
        <f>(+I18-$I$11)/$I$11</f>
        <v>0</v>
      </c>
      <c r="J19" s="355">
        <f>(+J18-$J$11)/$J$11</f>
        <v>0</v>
      </c>
      <c r="K19" s="355" t="e">
        <f>(+K18-$K$11)/$K$11</f>
        <v>#DIV/0!</v>
      </c>
      <c r="L19" s="355">
        <f>(+L18-$L$11)/$L$11</f>
        <v>0</v>
      </c>
      <c r="N19" s="355">
        <f>(+N18-$N$11)/$N$11</f>
        <v>0</v>
      </c>
      <c r="O19" s="355">
        <f>(+O18-$O$11)/$O$11</f>
        <v>0</v>
      </c>
      <c r="P19" s="355">
        <f>(+P18-$P$11)/$P$11</f>
        <v>0</v>
      </c>
      <c r="Q19" s="355">
        <f>(+Q18-$Q$11)/$Q$11</f>
        <v>0</v>
      </c>
      <c r="R19" s="355">
        <f>(+R18-$R$11)/$R$11</f>
        <v>0</v>
      </c>
      <c r="S19" s="355">
        <f>(+S18-$S$11)/$S$11</f>
        <v>0</v>
      </c>
      <c r="T19" s="355">
        <f>(+T18-$T$11)/$T$11</f>
        <v>0</v>
      </c>
      <c r="U19" s="355">
        <f>(+U18-$U$11)/$U$11</f>
        <v>0</v>
      </c>
      <c r="V19" s="355">
        <f>(+V18-$V$11)/$V$11</f>
        <v>0</v>
      </c>
      <c r="X19" s="316">
        <f>+X18-$X$11</f>
        <v>0</v>
      </c>
      <c r="Y19" s="316">
        <f>+Y18-$Y$11</f>
        <v>0</v>
      </c>
      <c r="Z19" s="316">
        <f>+Z18-$Z$11</f>
        <v>0</v>
      </c>
      <c r="AA19" s="316">
        <f>+AA18-$AA$11</f>
        <v>0</v>
      </c>
    </row>
    <row r="20" spans="2:27" x14ac:dyDescent="0.45">
      <c r="B20" s="393" t="s">
        <v>335</v>
      </c>
      <c r="C20" s="355"/>
      <c r="D20" s="355"/>
      <c r="E20" s="355"/>
      <c r="F20" s="355"/>
      <c r="G20" s="355"/>
      <c r="H20" s="355"/>
      <c r="I20" s="355"/>
      <c r="J20" s="355"/>
      <c r="K20" s="355"/>
      <c r="L20" s="355"/>
      <c r="N20" s="355"/>
      <c r="O20" s="355"/>
      <c r="P20" s="355"/>
      <c r="Q20" s="355"/>
      <c r="R20" s="355"/>
      <c r="S20" s="355"/>
      <c r="T20" s="355"/>
      <c r="U20" s="355"/>
      <c r="V20" s="392">
        <f>+V18-$V$11</f>
        <v>0</v>
      </c>
      <c r="X20" s="316"/>
      <c r="Y20" s="316"/>
      <c r="Z20" s="316"/>
      <c r="AA20" s="316"/>
    </row>
    <row r="21" spans="2:27" x14ac:dyDescent="0.45">
      <c r="F21" s="21"/>
      <c r="G21" s="21"/>
      <c r="H21" s="21"/>
      <c r="I21" s="21"/>
    </row>
    <row r="22" spans="2:27" x14ac:dyDescent="0.45">
      <c r="B22" t="s">
        <v>334</v>
      </c>
      <c r="C22" s="21">
        <v>81675</v>
      </c>
      <c r="D22">
        <v>100</v>
      </c>
      <c r="E22" s="376">
        <v>2.5414141414141413</v>
      </c>
      <c r="F22" s="21">
        <v>2659644</v>
      </c>
      <c r="G22" s="21">
        <v>694735.2</v>
      </c>
      <c r="H22" s="21">
        <v>1964908.8</v>
      </c>
      <c r="I22" s="378">
        <v>3.6505396420399578</v>
      </c>
      <c r="J22" s="220">
        <v>2822435.4899519999</v>
      </c>
      <c r="K22" s="21">
        <v>0</v>
      </c>
      <c r="L22" s="377">
        <v>2822435.4899519999</v>
      </c>
      <c r="N22" s="21">
        <v>69855278.376311988</v>
      </c>
      <c r="O22" s="21">
        <v>5700000</v>
      </c>
      <c r="P22" s="21">
        <v>26500000</v>
      </c>
      <c r="Q22" s="21">
        <v>5396560</v>
      </c>
      <c r="R22" s="21">
        <v>2236939.7038273118</v>
      </c>
      <c r="S22" s="21">
        <v>2217278.4733333332</v>
      </c>
      <c r="T22" s="21">
        <v>-735677.32723199995</v>
      </c>
      <c r="U22" s="21">
        <v>41315100.849928647</v>
      </c>
      <c r="V22" s="13">
        <v>28540177.52638334</v>
      </c>
      <c r="X22" s="316">
        <v>0.69079288055114674</v>
      </c>
      <c r="Y22" s="316">
        <v>6.83148638606524E-2</v>
      </c>
      <c r="Z22" s="316">
        <v>0.24825976114495041</v>
      </c>
      <c r="AA22" s="316">
        <v>0.16138068416174178</v>
      </c>
    </row>
    <row r="23" spans="2:27" x14ac:dyDescent="0.45">
      <c r="B23" s="62" t="s">
        <v>67</v>
      </c>
      <c r="C23" s="355">
        <f>(+C22-$C$11)/$C$11</f>
        <v>0</v>
      </c>
      <c r="D23" s="355">
        <f>(+D22-$D$11)/$D$11</f>
        <v>0</v>
      </c>
      <c r="E23" s="355">
        <f>(+E22-$E$11)/$E$11</f>
        <v>0</v>
      </c>
      <c r="F23" s="355">
        <f>(+F22-$F$11)/$F$11</f>
        <v>0</v>
      </c>
      <c r="G23" s="355">
        <f>(+G22-$G$11)/$G$11</f>
        <v>0</v>
      </c>
      <c r="H23" s="355">
        <f>(+H22-$H$11)/$H$11</f>
        <v>0</v>
      </c>
      <c r="I23" s="355">
        <f>(+I22-$I$11)/$I$11</f>
        <v>0</v>
      </c>
      <c r="J23" s="355">
        <f>(+J22-$J$11)/$J$11</f>
        <v>0</v>
      </c>
      <c r="K23" s="355" t="e">
        <f>(+K22-$K$11)/$K$11</f>
        <v>#DIV/0!</v>
      </c>
      <c r="L23" s="355">
        <f>(+L22-$L$11)/$L$11</f>
        <v>0</v>
      </c>
      <c r="N23" s="355">
        <f>(+N22-$N$11)/$N$11</f>
        <v>0</v>
      </c>
      <c r="O23" s="355">
        <f>(+O22-$O$11)/$O$11</f>
        <v>0</v>
      </c>
      <c r="P23" s="355">
        <f>(+P22-$P$11)/$P$11</f>
        <v>0</v>
      </c>
      <c r="Q23" s="355">
        <f>(+Q22-$Q$11)/$Q$11</f>
        <v>0</v>
      </c>
      <c r="R23" s="355">
        <f>(+R22-$R$11)/$R$11</f>
        <v>0</v>
      </c>
      <c r="S23" s="355">
        <f>(+S22-$S$11)/$S$11</f>
        <v>0</v>
      </c>
      <c r="T23" s="355">
        <f>(+T22-$T$11)/$T$11</f>
        <v>0</v>
      </c>
      <c r="U23" s="355">
        <f>(+U22-$U$11)/$U$11</f>
        <v>0</v>
      </c>
      <c r="V23" s="355">
        <f>(+V22-$V$11)/$V$11</f>
        <v>0</v>
      </c>
      <c r="X23" s="316">
        <f>+X22-$X$11</f>
        <v>0</v>
      </c>
      <c r="Y23" s="316">
        <f>+Y22-$Y$11</f>
        <v>0</v>
      </c>
      <c r="Z23" s="316">
        <f>+Z22-$Z$11</f>
        <v>0</v>
      </c>
      <c r="AA23" s="316">
        <f>+AA22-$AA$11</f>
        <v>0</v>
      </c>
    </row>
    <row r="24" spans="2:27" x14ac:dyDescent="0.45">
      <c r="B24" s="393" t="s">
        <v>335</v>
      </c>
      <c r="V24" s="392">
        <f>+V22-$V$11</f>
        <v>0</v>
      </c>
    </row>
  </sheetData>
  <mergeCells count="3">
    <mergeCell ref="E6:H6"/>
    <mergeCell ref="I6:L6"/>
    <mergeCell ref="O6:U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dimension ref="B4:D11"/>
  <sheetViews>
    <sheetView workbookViewId="0">
      <selection activeCell="D13" sqref="D13"/>
    </sheetView>
  </sheetViews>
  <sheetFormatPr defaultRowHeight="14.25" x14ac:dyDescent="0.45"/>
  <sheetData>
    <row r="4" spans="2:4" x14ac:dyDescent="0.45">
      <c r="B4" s="370" t="s">
        <v>331</v>
      </c>
      <c r="D4" s="370"/>
    </row>
    <row r="5" spans="2:4" x14ac:dyDescent="0.45">
      <c r="D5" s="370"/>
    </row>
    <row r="6" spans="2:4" x14ac:dyDescent="0.45">
      <c r="B6" t="s">
        <v>328</v>
      </c>
      <c r="D6" s="391">
        <v>1</v>
      </c>
    </row>
    <row r="7" spans="2:4" x14ac:dyDescent="0.45">
      <c r="D7" s="370"/>
    </row>
    <row r="8" spans="2:4" x14ac:dyDescent="0.45">
      <c r="B8" t="s">
        <v>329</v>
      </c>
      <c r="D8" s="391">
        <v>1</v>
      </c>
    </row>
    <row r="9" spans="2:4" x14ac:dyDescent="0.45">
      <c r="D9" s="370"/>
    </row>
    <row r="10" spans="2:4" x14ac:dyDescent="0.45">
      <c r="B10" t="s">
        <v>330</v>
      </c>
      <c r="D10" s="391">
        <v>1</v>
      </c>
    </row>
    <row r="11" spans="2:4" x14ac:dyDescent="0.45">
      <c r="D11" s="37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dimension ref="A5:K58"/>
  <sheetViews>
    <sheetView showGridLines="0" view="pageBreakPreview" topLeftCell="A19" zoomScale="110" zoomScaleNormal="90" zoomScaleSheetLayoutView="110" workbookViewId="0">
      <selection activeCell="L35" sqref="L35"/>
    </sheetView>
  </sheetViews>
  <sheetFormatPr defaultColWidth="8.86328125" defaultRowHeight="14.25" x14ac:dyDescent="0.45"/>
  <cols>
    <col min="1" max="1" width="8.86328125" style="17"/>
    <col min="2" max="2" width="7" style="17" customWidth="1"/>
    <col min="3" max="5" width="8.86328125" style="17"/>
    <col min="6" max="6" width="18.19921875" style="17" customWidth="1"/>
    <col min="7" max="7" width="15.1328125" style="17" customWidth="1"/>
    <col min="8" max="8" width="2.86328125" style="17" customWidth="1"/>
    <col min="9" max="9" width="12.53125" style="17" bestFit="1" customWidth="1"/>
    <col min="10" max="10" width="2.53125" style="17" customWidth="1"/>
    <col min="11" max="11" width="12.53125" style="17" bestFit="1" customWidth="1"/>
    <col min="12" max="16384" width="8.86328125" style="17"/>
  </cols>
  <sheetData>
    <row r="5" spans="1:10" ht="14.75" customHeight="1" x14ac:dyDescent="0.45">
      <c r="A5" s="522">
        <f ca="1">TODAY()</f>
        <v>44642</v>
      </c>
      <c r="B5" s="522"/>
      <c r="C5" s="522"/>
      <c r="D5" s="522"/>
      <c r="E5" s="522"/>
      <c r="F5" s="522"/>
      <c r="G5" s="522"/>
      <c r="H5" s="522"/>
      <c r="I5" s="522"/>
      <c r="J5" s="522"/>
    </row>
    <row r="9" spans="1:10" ht="1.5" customHeight="1" x14ac:dyDescent="0.45"/>
    <row r="10" spans="1:10" ht="69.75" customHeight="1" x14ac:dyDescent="0.7">
      <c r="A10" s="523" t="s">
        <v>285</v>
      </c>
      <c r="B10" s="523"/>
      <c r="C10" s="523"/>
      <c r="D10" s="523"/>
      <c r="E10" s="523"/>
      <c r="F10" s="523"/>
      <c r="G10" s="523"/>
      <c r="H10" s="523"/>
      <c r="I10" s="523"/>
      <c r="J10" s="523"/>
    </row>
    <row r="12" spans="1:10" ht="14.75" customHeight="1" x14ac:dyDescent="0.45">
      <c r="A12" s="520" t="s">
        <v>336</v>
      </c>
      <c r="B12" s="520"/>
      <c r="C12" s="520"/>
      <c r="D12" s="520"/>
      <c r="E12" s="520"/>
      <c r="F12" s="520"/>
      <c r="G12" s="520"/>
      <c r="H12" s="520"/>
      <c r="I12" s="520"/>
      <c r="J12" s="520"/>
    </row>
    <row r="14" spans="1:10" x14ac:dyDescent="0.45">
      <c r="A14" s="521" t="str">
        <f>'Executive Summary'!F34&amp;" Units"</f>
        <v>100 Units</v>
      </c>
      <c r="B14" s="521"/>
      <c r="C14" s="521"/>
      <c r="D14" s="521"/>
      <c r="E14" s="521"/>
      <c r="F14" s="521"/>
      <c r="G14" s="521"/>
      <c r="H14" s="521"/>
      <c r="I14" s="521"/>
      <c r="J14" s="521"/>
    </row>
    <row r="17" spans="1:11" x14ac:dyDescent="0.45">
      <c r="A17" s="521" t="s">
        <v>0</v>
      </c>
      <c r="B17" s="521"/>
      <c r="C17" s="521"/>
      <c r="D17" s="521"/>
      <c r="E17" s="521"/>
      <c r="F17" s="521"/>
      <c r="G17" s="521"/>
      <c r="H17" s="521"/>
      <c r="I17" s="521"/>
      <c r="J17" s="521"/>
    </row>
    <row r="20" spans="1:11" x14ac:dyDescent="0.45">
      <c r="A20" s="521" t="s">
        <v>1</v>
      </c>
      <c r="B20" s="521"/>
      <c r="C20" s="521"/>
      <c r="D20" s="521"/>
      <c r="E20" s="521"/>
      <c r="F20" s="521"/>
      <c r="G20" s="521"/>
      <c r="H20" s="521"/>
      <c r="I20" s="521"/>
      <c r="J20" s="521"/>
    </row>
    <row r="22" spans="1:11" x14ac:dyDescent="0.45">
      <c r="A22" s="520" t="s">
        <v>242</v>
      </c>
      <c r="B22" s="520"/>
      <c r="C22" s="520"/>
      <c r="D22" s="520"/>
      <c r="E22" s="520"/>
      <c r="F22" s="520"/>
      <c r="G22" s="520"/>
      <c r="H22" s="520"/>
      <c r="I22" s="520"/>
      <c r="J22" s="520"/>
    </row>
    <row r="24" spans="1:11" ht="15.75" x14ac:dyDescent="0.5">
      <c r="C24" s="519" t="s">
        <v>353</v>
      </c>
      <c r="D24" s="519"/>
      <c r="E24" s="519"/>
      <c r="F24" s="519"/>
      <c r="G24" s="519"/>
      <c r="H24" s="519"/>
      <c r="I24" s="519"/>
      <c r="J24" s="519"/>
      <c r="K24" s="519"/>
    </row>
    <row r="25" spans="1:11" x14ac:dyDescent="0.45">
      <c r="H25" s="434"/>
    </row>
    <row r="26" spans="1:11" x14ac:dyDescent="0.45">
      <c r="G26" s="393" t="s">
        <v>365</v>
      </c>
      <c r="I26" s="393" t="s">
        <v>87</v>
      </c>
      <c r="K26" s="393" t="s">
        <v>67</v>
      </c>
    </row>
    <row r="27" spans="1:11" x14ac:dyDescent="0.45">
      <c r="H27" s="437"/>
    </row>
    <row r="28" spans="1:11" x14ac:dyDescent="0.45">
      <c r="C28" s="17" t="s">
        <v>193</v>
      </c>
      <c r="G28" s="235">
        <f>'Executive Summary'!H9</f>
        <v>2195867.5117199998</v>
      </c>
      <c r="I28" s="235">
        <v>2195867.5117199998</v>
      </c>
      <c r="K28" s="436">
        <f t="shared" ref="K28:K34" si="0">+G28-I28</f>
        <v>0</v>
      </c>
    </row>
    <row r="29" spans="1:11" x14ac:dyDescent="0.45">
      <c r="C29" s="19" t="s">
        <v>19</v>
      </c>
      <c r="D29" s="19"/>
      <c r="E29" s="19"/>
      <c r="F29" s="19"/>
      <c r="G29" s="236">
        <f>'Executive Summary'!H10</f>
        <v>0.04</v>
      </c>
      <c r="I29" s="236">
        <v>0.04</v>
      </c>
      <c r="K29" s="236">
        <f t="shared" si="0"/>
        <v>0</v>
      </c>
    </row>
    <row r="30" spans="1:11" x14ac:dyDescent="0.45">
      <c r="C30" s="17" t="s">
        <v>164</v>
      </c>
      <c r="D30" s="246" t="s">
        <v>46</v>
      </c>
      <c r="E30" s="245">
        <f>'Executive Summary'!D11</f>
        <v>2.9901440883977894</v>
      </c>
      <c r="F30" s="244" t="s">
        <v>355</v>
      </c>
      <c r="G30" s="237">
        <f>'Executive Summary'!H11</f>
        <v>54896687.792999998</v>
      </c>
      <c r="I30" s="237">
        <v>54896687.792999998</v>
      </c>
      <c r="J30" s="313"/>
      <c r="K30" s="436">
        <f t="shared" si="0"/>
        <v>0</v>
      </c>
    </row>
    <row r="31" spans="1:11" x14ac:dyDescent="0.45">
      <c r="C31" s="19" t="s">
        <v>2</v>
      </c>
      <c r="D31" s="19"/>
      <c r="E31" s="19"/>
      <c r="F31" s="19"/>
      <c r="G31" s="161">
        <f>'Executive Summary'!H12</f>
        <v>-548966.87792999996</v>
      </c>
      <c r="I31" s="161">
        <v>-548966.87792999996</v>
      </c>
      <c r="K31" s="161">
        <f t="shared" si="0"/>
        <v>0</v>
      </c>
    </row>
    <row r="32" spans="1:11" x14ac:dyDescent="0.45">
      <c r="C32" s="17" t="s">
        <v>195</v>
      </c>
      <c r="G32" s="237">
        <f>'Executive Summary'!H13</f>
        <v>54347720.915069997</v>
      </c>
      <c r="I32" s="237">
        <v>54347720.915069997</v>
      </c>
      <c r="K32" s="436">
        <f t="shared" si="0"/>
        <v>0</v>
      </c>
    </row>
    <row r="33" spans="1:11" x14ac:dyDescent="0.45">
      <c r="C33" s="19" t="s">
        <v>3</v>
      </c>
      <c r="D33" s="19"/>
      <c r="E33" s="19"/>
      <c r="F33" s="19"/>
      <c r="G33" s="161">
        <f>'Executive Summary'!H14</f>
        <v>-49187782.411580451</v>
      </c>
      <c r="I33" s="161">
        <v>-49187782.411580451</v>
      </c>
      <c r="K33" s="161">
        <f t="shared" si="0"/>
        <v>0</v>
      </c>
    </row>
    <row r="34" spans="1:11" x14ac:dyDescent="0.45">
      <c r="C34" s="17" t="s">
        <v>192</v>
      </c>
      <c r="G34" s="237">
        <f>'Executive Summary'!H15</f>
        <v>5159938.5034895465</v>
      </c>
      <c r="I34" s="237">
        <v>5159938.5034895465</v>
      </c>
      <c r="K34" s="439">
        <f t="shared" si="0"/>
        <v>0</v>
      </c>
    </row>
    <row r="35" spans="1:11" x14ac:dyDescent="0.45">
      <c r="G35" s="238"/>
      <c r="I35" s="238"/>
      <c r="K35" s="238"/>
    </row>
    <row r="36" spans="1:11" x14ac:dyDescent="0.45">
      <c r="C36" s="17" t="s">
        <v>196</v>
      </c>
      <c r="G36" s="239">
        <f>'Executive Summary'!H17</f>
        <v>0.10490284884798393</v>
      </c>
      <c r="I36" s="239">
        <v>0.10490284884798393</v>
      </c>
      <c r="K36" s="438">
        <f>+G36-I36</f>
        <v>0</v>
      </c>
    </row>
    <row r="37" spans="1:11" x14ac:dyDescent="0.45">
      <c r="C37" s="17" t="s">
        <v>250</v>
      </c>
      <c r="G37" s="311">
        <f>G28/(-G33)</f>
        <v>4.464253934739329E-2</v>
      </c>
      <c r="I37" s="311">
        <v>4.464253934739329E-2</v>
      </c>
      <c r="K37" s="239">
        <f>+G37-I37</f>
        <v>0</v>
      </c>
    </row>
    <row r="39" spans="1:11" x14ac:dyDescent="0.45">
      <c r="C39" s="17" t="s">
        <v>165</v>
      </c>
      <c r="G39" s="239">
        <f>'Executive Summary'!H18</f>
        <v>0.2509451084275176</v>
      </c>
      <c r="I39" s="239">
        <v>0.2509451084275176</v>
      </c>
      <c r="K39" s="239">
        <f t="shared" ref="K39:K40" si="1">+G39-I39</f>
        <v>0</v>
      </c>
    </row>
    <row r="40" spans="1:11" x14ac:dyDescent="0.45">
      <c r="C40" s="17" t="str">
        <f>"IRR "&amp;'10-Yr Cash Flow IRR'!A66&amp;"-Year"</f>
        <v>IRR 10-Year</v>
      </c>
      <c r="G40" s="239">
        <f>'Executive Summary'!H19</f>
        <v>0.13515737554549911</v>
      </c>
      <c r="I40" s="239">
        <v>0.13515737554549911</v>
      </c>
      <c r="K40" s="239">
        <f t="shared" si="1"/>
        <v>0</v>
      </c>
    </row>
    <row r="42" spans="1:11" x14ac:dyDescent="0.45">
      <c r="C42" s="17" t="s">
        <v>251</v>
      </c>
      <c r="G42" s="21">
        <f>'Development Costs'!I89</f>
        <v>491877.82411580451</v>
      </c>
      <c r="I42" s="21">
        <v>491877.82411580451</v>
      </c>
      <c r="K42" s="436">
        <f>+G42-I42</f>
        <v>0</v>
      </c>
    </row>
    <row r="43" spans="1:11" x14ac:dyDescent="0.45">
      <c r="C43" s="17" t="s">
        <v>253</v>
      </c>
      <c r="G43" s="21">
        <f>'Development Costs'!J89</f>
        <v>572.11727143449207</v>
      </c>
      <c r="I43" s="21">
        <v>572.11727143449207</v>
      </c>
      <c r="K43" s="436">
        <f t="shared" ref="K43:K45" si="2">+G43-I43</f>
        <v>0</v>
      </c>
    </row>
    <row r="44" spans="1:11" x14ac:dyDescent="0.45">
      <c r="C44" s="17" t="s">
        <v>252</v>
      </c>
      <c r="G44" s="313">
        <f>G30/'Operating Revenue and Expenses'!F19</f>
        <v>548966.87792999996</v>
      </c>
      <c r="I44" s="313">
        <v>548966.87792999996</v>
      </c>
      <c r="K44" s="436">
        <f t="shared" si="2"/>
        <v>0</v>
      </c>
    </row>
    <row r="45" spans="1:11" x14ac:dyDescent="0.45">
      <c r="C45" s="17" t="s">
        <v>254</v>
      </c>
      <c r="G45" s="313">
        <f>G30/'Development Costs'!I10</f>
        <v>638.51919503343993</v>
      </c>
      <c r="I45" s="313">
        <v>638.51919503343993</v>
      </c>
      <c r="K45" s="436">
        <f t="shared" si="2"/>
        <v>0</v>
      </c>
    </row>
    <row r="46" spans="1:11" ht="81.599999999999994" customHeight="1" x14ac:dyDescent="0.45">
      <c r="G46" s="312"/>
    </row>
    <row r="47" spans="1:11" x14ac:dyDescent="0.45">
      <c r="G47" s="312"/>
    </row>
    <row r="48" spans="1:11" x14ac:dyDescent="0.45">
      <c r="A48" s="349" t="s">
        <v>272</v>
      </c>
    </row>
    <row r="49" spans="1:10" ht="54.6" customHeight="1" x14ac:dyDescent="0.45">
      <c r="A49" s="518" t="s">
        <v>273</v>
      </c>
      <c r="B49" s="518"/>
      <c r="C49" s="518"/>
      <c r="D49" s="518"/>
      <c r="E49" s="518"/>
      <c r="F49" s="518"/>
      <c r="G49" s="518"/>
      <c r="H49" s="518"/>
      <c r="I49" s="518"/>
      <c r="J49" s="518"/>
    </row>
    <row r="50" spans="1:10" x14ac:dyDescent="0.45">
      <c r="A50" s="349" t="s">
        <v>274</v>
      </c>
    </row>
    <row r="51" spans="1:10" x14ac:dyDescent="0.45">
      <c r="A51" s="181" t="s">
        <v>275</v>
      </c>
    </row>
    <row r="52" spans="1:10" x14ac:dyDescent="0.45">
      <c r="A52" s="349" t="s">
        <v>276</v>
      </c>
    </row>
    <row r="53" spans="1:10" ht="27" customHeight="1" x14ac:dyDescent="0.45">
      <c r="A53" s="518" t="s">
        <v>277</v>
      </c>
      <c r="B53" s="518"/>
      <c r="C53" s="518"/>
      <c r="D53" s="518"/>
      <c r="E53" s="518"/>
      <c r="F53" s="518"/>
      <c r="G53" s="518"/>
      <c r="H53" s="518"/>
      <c r="I53" s="518"/>
      <c r="J53" s="518"/>
    </row>
    <row r="54" spans="1:10" x14ac:dyDescent="0.45">
      <c r="A54" s="181" t="s">
        <v>278</v>
      </c>
    </row>
    <row r="55" spans="1:10" ht="33" customHeight="1" x14ac:dyDescent="0.45">
      <c r="A55" s="518" t="s">
        <v>283</v>
      </c>
      <c r="B55" s="518"/>
      <c r="C55" s="518"/>
      <c r="D55" s="518"/>
      <c r="E55" s="518"/>
      <c r="F55" s="518"/>
      <c r="G55" s="518"/>
      <c r="H55" s="518"/>
      <c r="I55" s="518"/>
      <c r="J55" s="518"/>
    </row>
    <row r="56" spans="1:10" x14ac:dyDescent="0.45">
      <c r="A56" s="349" t="s">
        <v>280</v>
      </c>
      <c r="B56" s="349"/>
    </row>
    <row r="57" spans="1:10" ht="57" customHeight="1" x14ac:dyDescent="0.45">
      <c r="A57" s="518" t="s">
        <v>279</v>
      </c>
      <c r="B57" s="518"/>
      <c r="C57" s="518"/>
      <c r="D57" s="518"/>
      <c r="E57" s="518"/>
      <c r="F57" s="518"/>
      <c r="G57" s="518"/>
      <c r="H57" s="518"/>
      <c r="I57" s="518"/>
      <c r="J57" s="518"/>
    </row>
    <row r="58" spans="1:10" x14ac:dyDescent="0.45">
      <c r="A58" s="518" t="s">
        <v>281</v>
      </c>
      <c r="B58" s="518"/>
      <c r="C58" s="518"/>
      <c r="D58" s="518"/>
      <c r="E58" s="518"/>
      <c r="F58" s="518"/>
      <c r="G58" s="518"/>
      <c r="H58" s="518"/>
      <c r="I58" s="518"/>
      <c r="J58" s="518"/>
    </row>
  </sheetData>
  <mergeCells count="13">
    <mergeCell ref="A20:J20"/>
    <mergeCell ref="A5:J5"/>
    <mergeCell ref="A10:J10"/>
    <mergeCell ref="A12:J12"/>
    <mergeCell ref="A14:J14"/>
    <mergeCell ref="A17:J17"/>
    <mergeCell ref="A58:J58"/>
    <mergeCell ref="C24:K24"/>
    <mergeCell ref="A22:J22"/>
    <mergeCell ref="A49:J49"/>
    <mergeCell ref="A53:J53"/>
    <mergeCell ref="A55:J55"/>
    <mergeCell ref="A57:J57"/>
  </mergeCells>
  <pageMargins left="0.7" right="0.7" top="0.75" bottom="0.75" header="0.3" footer="0.3"/>
  <pageSetup scale="7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5:J58"/>
  <sheetViews>
    <sheetView showGridLines="0" tabSelected="1" view="pageBreakPreview" zoomScale="110" zoomScaleNormal="90" zoomScaleSheetLayoutView="110" workbookViewId="0">
      <selection activeCell="G34" sqref="G34"/>
    </sheetView>
  </sheetViews>
  <sheetFormatPr defaultColWidth="8.86328125" defaultRowHeight="14.25" x14ac:dyDescent="0.45"/>
  <cols>
    <col min="1" max="1" width="8.86328125" style="17"/>
    <col min="2" max="2" width="15.53125" style="17" customWidth="1"/>
    <col min="3" max="5" width="8.86328125" style="17"/>
    <col min="6" max="6" width="17.796875" style="17" customWidth="1"/>
    <col min="7" max="7" width="15.1328125" style="17" customWidth="1"/>
    <col min="8" max="8" width="7.1328125" style="17" customWidth="1"/>
    <col min="9" max="16384" width="8.86328125" style="17"/>
  </cols>
  <sheetData>
    <row r="5" spans="1:10" ht="14.75" customHeight="1" x14ac:dyDescent="0.45">
      <c r="A5" s="522">
        <f ca="1">TODAY()</f>
        <v>44642</v>
      </c>
      <c r="B5" s="522"/>
      <c r="C5" s="522"/>
      <c r="D5" s="522"/>
      <c r="E5" s="522"/>
      <c r="F5" s="522"/>
      <c r="G5" s="522"/>
      <c r="H5" s="522"/>
      <c r="I5" s="522"/>
      <c r="J5" s="522"/>
    </row>
    <row r="9" spans="1:10" ht="1.5" customHeight="1" x14ac:dyDescent="0.45"/>
    <row r="10" spans="1:10" ht="69.75" customHeight="1" x14ac:dyDescent="0.7">
      <c r="A10" s="523" t="s">
        <v>285</v>
      </c>
      <c r="B10" s="523"/>
      <c r="C10" s="523"/>
      <c r="D10" s="523"/>
      <c r="E10" s="523"/>
      <c r="F10" s="523"/>
      <c r="G10" s="523"/>
      <c r="H10" s="523"/>
      <c r="I10" s="523"/>
      <c r="J10" s="523"/>
    </row>
    <row r="12" spans="1:10" ht="14.75" customHeight="1" x14ac:dyDescent="0.45">
      <c r="A12" s="520" t="s">
        <v>360</v>
      </c>
      <c r="B12" s="520"/>
      <c r="C12" s="520"/>
      <c r="D12" s="520"/>
      <c r="E12" s="520"/>
      <c r="F12" s="520"/>
      <c r="G12" s="520"/>
      <c r="H12" s="520"/>
      <c r="I12" s="520"/>
      <c r="J12" s="520"/>
    </row>
    <row r="14" spans="1:10" x14ac:dyDescent="0.45">
      <c r="A14" s="521" t="str">
        <f>'Executive Summary'!F34&amp;" Units"</f>
        <v>100 Units</v>
      </c>
      <c r="B14" s="521"/>
      <c r="C14" s="521"/>
      <c r="D14" s="521"/>
      <c r="E14" s="521"/>
      <c r="F14" s="521"/>
      <c r="G14" s="521"/>
      <c r="H14" s="521"/>
      <c r="I14" s="521"/>
      <c r="J14" s="521"/>
    </row>
    <row r="17" spans="1:10" x14ac:dyDescent="0.45">
      <c r="A17" s="521" t="s">
        <v>0</v>
      </c>
      <c r="B17" s="521"/>
      <c r="C17" s="521"/>
      <c r="D17" s="521"/>
      <c r="E17" s="521"/>
      <c r="F17" s="521"/>
      <c r="G17" s="521"/>
      <c r="H17" s="521"/>
      <c r="I17" s="521"/>
      <c r="J17" s="521"/>
    </row>
    <row r="20" spans="1:10" x14ac:dyDescent="0.45">
      <c r="A20" s="521" t="s">
        <v>1</v>
      </c>
      <c r="B20" s="521"/>
      <c r="C20" s="521"/>
      <c r="D20" s="521"/>
      <c r="E20" s="521"/>
      <c r="F20" s="521"/>
      <c r="G20" s="521"/>
      <c r="H20" s="521"/>
      <c r="I20" s="521"/>
      <c r="J20" s="521"/>
    </row>
    <row r="22" spans="1:10" x14ac:dyDescent="0.45">
      <c r="A22" s="520" t="s">
        <v>242</v>
      </c>
      <c r="B22" s="520"/>
      <c r="C22" s="520"/>
      <c r="D22" s="520"/>
      <c r="E22" s="520"/>
      <c r="F22" s="520"/>
      <c r="G22" s="520"/>
      <c r="H22" s="520"/>
      <c r="I22" s="520"/>
      <c r="J22" s="520"/>
    </row>
    <row r="25" spans="1:10" x14ac:dyDescent="0.45">
      <c r="H25" s="434"/>
    </row>
    <row r="26" spans="1:10" ht="15.75" x14ac:dyDescent="0.5">
      <c r="C26" s="519" t="s">
        <v>353</v>
      </c>
      <c r="D26" s="519"/>
      <c r="E26" s="519"/>
      <c r="F26" s="519"/>
      <c r="G26" s="519"/>
    </row>
    <row r="28" spans="1:10" x14ac:dyDescent="0.45">
      <c r="C28" s="17" t="s">
        <v>193</v>
      </c>
      <c r="G28" s="235">
        <f>'Executive Summary'!H9</f>
        <v>2195867.5117199998</v>
      </c>
    </row>
    <row r="29" spans="1:10" x14ac:dyDescent="0.45">
      <c r="C29" s="481" t="s">
        <v>19</v>
      </c>
      <c r="D29" s="481"/>
      <c r="E29" s="481"/>
      <c r="F29" s="481"/>
      <c r="G29" s="482">
        <f>'Executive Summary'!H10</f>
        <v>0.04</v>
      </c>
    </row>
    <row r="30" spans="1:10" x14ac:dyDescent="0.45">
      <c r="C30" s="17" t="s">
        <v>164</v>
      </c>
      <c r="D30" s="246" t="s">
        <v>46</v>
      </c>
      <c r="E30" s="245">
        <f>'Executive Summary'!D11</f>
        <v>2.9901440883977894</v>
      </c>
      <c r="F30" s="244" t="s">
        <v>355</v>
      </c>
      <c r="G30" s="237">
        <f>'Executive Summary'!H11</f>
        <v>54896687.792999998</v>
      </c>
      <c r="J30" s="313"/>
    </row>
    <row r="31" spans="1:10" x14ac:dyDescent="0.45">
      <c r="C31" s="19" t="s">
        <v>2</v>
      </c>
      <c r="D31" s="19"/>
      <c r="E31" s="19"/>
      <c r="F31" s="19"/>
      <c r="G31" s="161">
        <f>'Executive Summary'!H12</f>
        <v>-548966.87792999996</v>
      </c>
    </row>
    <row r="32" spans="1:10" x14ac:dyDescent="0.45">
      <c r="C32" s="17" t="s">
        <v>195</v>
      </c>
      <c r="G32" s="237">
        <f>'Executive Summary'!H13</f>
        <v>54347720.915069997</v>
      </c>
    </row>
    <row r="33" spans="1:7" x14ac:dyDescent="0.45">
      <c r="C33" s="19" t="s">
        <v>3</v>
      </c>
      <c r="D33" s="19"/>
      <c r="E33" s="19"/>
      <c r="F33" s="19"/>
      <c r="G33" s="161">
        <f>'Executive Summary'!H14</f>
        <v>-49187782.411580451</v>
      </c>
    </row>
    <row r="34" spans="1:7" x14ac:dyDescent="0.45">
      <c r="C34" s="17" t="s">
        <v>192</v>
      </c>
      <c r="G34" s="237">
        <f>'Executive Summary'!H15</f>
        <v>5159938.5034895465</v>
      </c>
    </row>
    <row r="35" spans="1:7" x14ac:dyDescent="0.45">
      <c r="G35" s="238"/>
    </row>
    <row r="36" spans="1:7" x14ac:dyDescent="0.45">
      <c r="C36" s="17" t="s">
        <v>196</v>
      </c>
      <c r="G36" s="239">
        <f>'Executive Summary'!H17</f>
        <v>0.10490284884798393</v>
      </c>
    </row>
    <row r="37" spans="1:7" x14ac:dyDescent="0.45">
      <c r="C37" s="483" t="s">
        <v>250</v>
      </c>
      <c r="D37" s="483"/>
      <c r="E37" s="483"/>
      <c r="F37" s="483"/>
      <c r="G37" s="484">
        <f>G28/(-G33)</f>
        <v>4.464253934739329E-2</v>
      </c>
    </row>
    <row r="39" spans="1:7" x14ac:dyDescent="0.45">
      <c r="C39" s="17" t="s">
        <v>165</v>
      </c>
      <c r="G39" s="239">
        <f>'Executive Summary'!H18</f>
        <v>0.2509451084275176</v>
      </c>
    </row>
    <row r="40" spans="1:7" x14ac:dyDescent="0.45">
      <c r="C40" s="17" t="str">
        <f>"IRR "&amp;'10-Yr Cash Flow IRR'!A66&amp;"-Year"</f>
        <v>IRR 10-Year</v>
      </c>
      <c r="G40" s="239">
        <f>'Executive Summary'!H19</f>
        <v>0.13515737554549911</v>
      </c>
    </row>
    <row r="42" spans="1:7" x14ac:dyDescent="0.45">
      <c r="C42" s="17" t="s">
        <v>251</v>
      </c>
      <c r="G42" s="21">
        <f>'Development Costs'!I89</f>
        <v>491877.82411580451</v>
      </c>
    </row>
    <row r="43" spans="1:7" x14ac:dyDescent="0.45">
      <c r="C43" s="483" t="s">
        <v>253</v>
      </c>
      <c r="D43" s="483"/>
      <c r="E43" s="483"/>
      <c r="F43" s="483"/>
      <c r="G43" s="485">
        <f>'Development Costs'!J89</f>
        <v>572.11727143449207</v>
      </c>
    </row>
    <row r="44" spans="1:7" x14ac:dyDescent="0.45">
      <c r="C44" s="17" t="s">
        <v>252</v>
      </c>
      <c r="G44" s="313">
        <f>G30/'Operating Revenue and Expenses'!F19</f>
        <v>548966.87792999996</v>
      </c>
    </row>
    <row r="45" spans="1:7" x14ac:dyDescent="0.45">
      <c r="C45" s="483" t="s">
        <v>254</v>
      </c>
      <c r="D45" s="483"/>
      <c r="E45" s="483"/>
      <c r="F45" s="483"/>
      <c r="G45" s="486">
        <f>G30/'Development Costs'!I10</f>
        <v>638.51919503343993</v>
      </c>
    </row>
    <row r="46" spans="1:7" ht="81.599999999999994" customHeight="1" x14ac:dyDescent="0.45">
      <c r="G46" s="312"/>
    </row>
    <row r="47" spans="1:7" x14ac:dyDescent="0.45">
      <c r="G47" s="312"/>
    </row>
    <row r="48" spans="1:7" x14ac:dyDescent="0.45">
      <c r="A48" s="349" t="s">
        <v>272</v>
      </c>
    </row>
    <row r="49" spans="1:10" ht="54.6" customHeight="1" x14ac:dyDescent="0.45">
      <c r="A49" s="518" t="s">
        <v>273</v>
      </c>
      <c r="B49" s="518"/>
      <c r="C49" s="518"/>
      <c r="D49" s="518"/>
      <c r="E49" s="518"/>
      <c r="F49" s="518"/>
      <c r="G49" s="518"/>
      <c r="H49" s="518"/>
      <c r="I49" s="518"/>
      <c r="J49" s="518"/>
    </row>
    <row r="50" spans="1:10" x14ac:dyDescent="0.45">
      <c r="A50" s="349" t="s">
        <v>274</v>
      </c>
    </row>
    <row r="51" spans="1:10" x14ac:dyDescent="0.45">
      <c r="A51" s="181" t="s">
        <v>275</v>
      </c>
    </row>
    <row r="52" spans="1:10" x14ac:dyDescent="0.45">
      <c r="A52" s="349" t="s">
        <v>276</v>
      </c>
    </row>
    <row r="53" spans="1:10" ht="27" customHeight="1" x14ac:dyDescent="0.45">
      <c r="A53" s="518" t="s">
        <v>277</v>
      </c>
      <c r="B53" s="518"/>
      <c r="C53" s="518"/>
      <c r="D53" s="518"/>
      <c r="E53" s="518"/>
      <c r="F53" s="518"/>
      <c r="G53" s="518"/>
      <c r="H53" s="518"/>
      <c r="I53" s="518"/>
      <c r="J53" s="518"/>
    </row>
    <row r="54" spans="1:10" x14ac:dyDescent="0.45">
      <c r="A54" s="181" t="s">
        <v>278</v>
      </c>
    </row>
    <row r="55" spans="1:10" ht="33" customHeight="1" x14ac:dyDescent="0.45">
      <c r="A55" s="518" t="s">
        <v>283</v>
      </c>
      <c r="B55" s="518"/>
      <c r="C55" s="518"/>
      <c r="D55" s="518"/>
      <c r="E55" s="518"/>
      <c r="F55" s="518"/>
      <c r="G55" s="518"/>
      <c r="H55" s="518"/>
      <c r="I55" s="518"/>
      <c r="J55" s="518"/>
    </row>
    <row r="56" spans="1:10" x14ac:dyDescent="0.45">
      <c r="A56" s="349" t="s">
        <v>280</v>
      </c>
      <c r="B56" s="349"/>
    </row>
    <row r="57" spans="1:10" ht="57" customHeight="1" x14ac:dyDescent="0.45">
      <c r="A57" s="518" t="s">
        <v>279</v>
      </c>
      <c r="B57" s="518"/>
      <c r="C57" s="518"/>
      <c r="D57" s="518"/>
      <c r="E57" s="518"/>
      <c r="F57" s="518"/>
      <c r="G57" s="518"/>
      <c r="H57" s="518"/>
      <c r="I57" s="518"/>
      <c r="J57" s="518"/>
    </row>
    <row r="58" spans="1:10" x14ac:dyDescent="0.45">
      <c r="A58" s="518" t="s">
        <v>281</v>
      </c>
      <c r="B58" s="518"/>
      <c r="C58" s="518"/>
      <c r="D58" s="518"/>
      <c r="E58" s="518"/>
      <c r="F58" s="518"/>
      <c r="G58" s="518"/>
      <c r="H58" s="518"/>
      <c r="I58" s="518"/>
      <c r="J58" s="518"/>
    </row>
  </sheetData>
  <mergeCells count="13">
    <mergeCell ref="C26:G26"/>
    <mergeCell ref="A5:J5"/>
    <mergeCell ref="A10:J10"/>
    <mergeCell ref="A17:J17"/>
    <mergeCell ref="A20:J20"/>
    <mergeCell ref="A22:J22"/>
    <mergeCell ref="A12:J12"/>
    <mergeCell ref="A14:J14"/>
    <mergeCell ref="A49:J49"/>
    <mergeCell ref="A53:J53"/>
    <mergeCell ref="A55:J55"/>
    <mergeCell ref="A57:J57"/>
    <mergeCell ref="A58:J58"/>
  </mergeCells>
  <pageMargins left="0.7" right="0.7" top="0.75" bottom="0.75" header="0.3" footer="0.3"/>
  <pageSetup scale="8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M175"/>
  <sheetViews>
    <sheetView showGridLines="0" view="pageBreakPreview" topLeftCell="A34" zoomScale="106" zoomScaleNormal="130" zoomScaleSheetLayoutView="106" workbookViewId="0">
      <selection activeCell="I53" sqref="I53"/>
    </sheetView>
  </sheetViews>
  <sheetFormatPr defaultColWidth="8.86328125" defaultRowHeight="14.25" x14ac:dyDescent="0.45"/>
  <cols>
    <col min="1" max="1" width="5.53125" style="17" customWidth="1"/>
    <col min="2" max="2" width="7.86328125" style="17" customWidth="1"/>
    <col min="3" max="3" width="8.46484375" style="17" bestFit="1" customWidth="1"/>
    <col min="4" max="4" width="9" style="17" bestFit="1" customWidth="1"/>
    <col min="5" max="5" width="11.86328125" style="17" customWidth="1"/>
    <col min="6" max="6" width="6.86328125" style="17" bestFit="1" customWidth="1"/>
    <col min="7" max="7" width="11.1328125" style="17" bestFit="1" customWidth="1"/>
    <col min="8" max="9" width="11.19921875" style="17" bestFit="1" customWidth="1"/>
    <col min="10" max="11" width="8.86328125" style="17"/>
    <col min="12" max="12" width="9.46484375" style="17" bestFit="1" customWidth="1"/>
    <col min="13" max="16384" width="8.86328125" style="17"/>
  </cols>
  <sheetData>
    <row r="1" spans="1:12" ht="8.85" customHeight="1" x14ac:dyDescent="0.45">
      <c r="A1" s="31"/>
      <c r="B1" s="31"/>
      <c r="C1" s="31"/>
      <c r="D1" s="31"/>
      <c r="E1" s="31"/>
      <c r="F1" s="31"/>
      <c r="G1" s="31"/>
      <c r="H1" s="31"/>
      <c r="I1" s="31"/>
      <c r="J1" s="63" t="str">
        <f>"Currently running: "&amp;CHOOSE(Sensitivity!$E$8,Sensitivity!$B$11,Sensitivity!$B$12,Sensitivity!$B$13)</f>
        <v>Currently running: Base Case</v>
      </c>
    </row>
    <row r="2" spans="1:12" ht="69" customHeight="1" x14ac:dyDescent="0.45">
      <c r="A2" s="31"/>
      <c r="B2" s="31"/>
      <c r="C2" s="31"/>
      <c r="D2" s="31"/>
      <c r="E2" s="31"/>
      <c r="F2" s="31"/>
      <c r="G2" s="31"/>
      <c r="H2" s="31"/>
      <c r="I2" s="31"/>
      <c r="J2" s="63"/>
    </row>
    <row r="3" spans="1:12" x14ac:dyDescent="0.45">
      <c r="A3" s="31"/>
      <c r="B3" s="524" t="str">
        <f>Cover!A10</f>
        <v xml:space="preserve">Apartment Development Model 
</v>
      </c>
      <c r="C3" s="524"/>
      <c r="D3" s="524"/>
      <c r="E3" s="524"/>
      <c r="F3" s="524"/>
      <c r="G3" s="524"/>
      <c r="H3" s="524"/>
      <c r="I3" s="524"/>
      <c r="J3" s="31"/>
    </row>
    <row r="4" spans="1:12" ht="11.75" customHeight="1" x14ac:dyDescent="0.45">
      <c r="A4" s="31"/>
      <c r="B4" s="524" t="str">
        <f>Cover!A12</f>
        <v>Suburban / Urban Location</v>
      </c>
      <c r="C4" s="524"/>
      <c r="D4" s="524"/>
      <c r="E4" s="524"/>
      <c r="F4" s="524"/>
      <c r="G4" s="524"/>
      <c r="H4" s="524"/>
      <c r="I4" s="524"/>
      <c r="J4" s="31"/>
    </row>
    <row r="5" spans="1:12" x14ac:dyDescent="0.45">
      <c r="A5" s="31"/>
      <c r="B5" s="525" t="s">
        <v>4</v>
      </c>
      <c r="C5" s="525"/>
      <c r="D5" s="525"/>
      <c r="E5" s="525"/>
      <c r="F5" s="525"/>
      <c r="G5" s="525"/>
      <c r="H5" s="525"/>
      <c r="I5" s="525"/>
      <c r="J5" s="31"/>
    </row>
    <row r="6" spans="1:12" ht="3.6" customHeight="1" thickBot="1" x14ac:dyDescent="0.5">
      <c r="A6" s="44"/>
      <c r="B6" s="44"/>
      <c r="C6" s="44"/>
      <c r="D6" s="44"/>
      <c r="E6" s="44"/>
      <c r="F6" s="44"/>
      <c r="G6" s="44"/>
      <c r="H6" s="44"/>
      <c r="I6" s="44"/>
      <c r="J6" s="44"/>
    </row>
    <row r="7" spans="1:12" ht="4.3499999999999996" customHeight="1" x14ac:dyDescent="0.45">
      <c r="A7" s="31"/>
      <c r="B7" s="31"/>
      <c r="C7" s="31"/>
      <c r="D7" s="31"/>
      <c r="E7" s="31"/>
      <c r="F7" s="31"/>
      <c r="G7" s="31"/>
      <c r="H7" s="31"/>
      <c r="I7" s="31"/>
      <c r="J7" s="31"/>
    </row>
    <row r="8" spans="1:12" ht="14.75" customHeight="1" x14ac:dyDescent="0.45">
      <c r="A8" s="45" t="s">
        <v>82</v>
      </c>
      <c r="B8" s="45"/>
      <c r="C8" s="45"/>
      <c r="D8" s="45"/>
      <c r="E8" s="45"/>
      <c r="F8" s="45"/>
      <c r="G8" s="45"/>
      <c r="H8" s="45"/>
      <c r="I8" s="45"/>
      <c r="J8" s="45"/>
    </row>
    <row r="9" spans="1:12" s="32" customFormat="1" ht="11.65" x14ac:dyDescent="0.35">
      <c r="B9" s="32" t="s">
        <v>105</v>
      </c>
      <c r="G9" s="41">
        <f>H9</f>
        <v>2195867.5117199998</v>
      </c>
      <c r="H9" s="230">
        <f>'Operating Revenue and Expenses'!I52</f>
        <v>2195867.5117199998</v>
      </c>
      <c r="I9" s="41">
        <f>H9</f>
        <v>2195867.5117199998</v>
      </c>
    </row>
    <row r="10" spans="1:12" s="32" customFormat="1" ht="11.65" x14ac:dyDescent="0.35">
      <c r="B10" s="476" t="s">
        <v>19</v>
      </c>
      <c r="C10" s="476"/>
      <c r="D10" s="476"/>
      <c r="E10" s="476"/>
      <c r="F10" s="476"/>
      <c r="G10" s="477">
        <f>Sensitivity!H13</f>
        <v>4.2500000000000003E-2</v>
      </c>
      <c r="H10" s="477">
        <f>Sensitivity!H10</f>
        <v>0.04</v>
      </c>
      <c r="I10" s="477">
        <f>Sensitivity!H12</f>
        <v>3.7499999999999999E-2</v>
      </c>
    </row>
    <row r="11" spans="1:12" s="32" customFormat="1" ht="11.65" x14ac:dyDescent="0.35">
      <c r="B11" s="32" t="s">
        <v>230</v>
      </c>
      <c r="C11" s="268"/>
      <c r="D11" s="243">
        <f>'Operating Revenue and Expenses'!E52</f>
        <v>2.9901440883977894</v>
      </c>
      <c r="E11" s="32" t="s">
        <v>354</v>
      </c>
      <c r="G11" s="41">
        <f>G9/G10</f>
        <v>51667470.863999993</v>
      </c>
      <c r="H11" s="41">
        <f t="shared" ref="H11:I11" si="0">H9/H10</f>
        <v>54896687.792999998</v>
      </c>
      <c r="I11" s="41">
        <f t="shared" si="0"/>
        <v>58556466.979199998</v>
      </c>
    </row>
    <row r="12" spans="1:12" s="32" customFormat="1" ht="11.65" x14ac:dyDescent="0.35">
      <c r="B12" s="40" t="s">
        <v>231</v>
      </c>
      <c r="C12" s="269"/>
      <c r="D12" s="115">
        <f>'10-Yr Cash Flow IRR'!E11</f>
        <v>0.01</v>
      </c>
      <c r="E12" s="40"/>
      <c r="F12" s="40"/>
      <c r="G12" s="157">
        <f>-'10-Yr Cash Flow IRR'!$E$11*'Executive Summary'!G11</f>
        <v>-516674.70863999991</v>
      </c>
      <c r="H12" s="157">
        <f>-'10-Yr Cash Flow IRR'!$E$11*'Executive Summary'!H11</f>
        <v>-548966.87792999996</v>
      </c>
      <c r="I12" s="157">
        <f>-'10-Yr Cash Flow IRR'!$E$11*'Executive Summary'!I11</f>
        <v>-585564.66979199997</v>
      </c>
      <c r="L12" s="41"/>
    </row>
    <row r="13" spans="1:12" s="32" customFormat="1" ht="11.65" x14ac:dyDescent="0.35">
      <c r="B13" s="32" t="s">
        <v>195</v>
      </c>
      <c r="G13" s="41">
        <f>SUM(G11:G12)</f>
        <v>51150796.155359991</v>
      </c>
      <c r="H13" s="41">
        <f t="shared" ref="H13:I13" si="1">SUM(H11:H12)</f>
        <v>54347720.915069997</v>
      </c>
      <c r="I13" s="41">
        <f t="shared" si="1"/>
        <v>57970902.309408002</v>
      </c>
      <c r="L13" s="41"/>
    </row>
    <row r="14" spans="1:12" s="32" customFormat="1" ht="11.65" x14ac:dyDescent="0.35">
      <c r="B14" s="40" t="s">
        <v>83</v>
      </c>
      <c r="C14" s="40"/>
      <c r="D14" s="40"/>
      <c r="E14" s="40"/>
      <c r="F14" s="40"/>
      <c r="G14" s="157">
        <f>H14</f>
        <v>-49187782.411580451</v>
      </c>
      <c r="H14" s="157">
        <f>-G48</f>
        <v>-49187782.411580451</v>
      </c>
      <c r="I14" s="157">
        <f>H14</f>
        <v>-49187782.411580451</v>
      </c>
    </row>
    <row r="15" spans="1:12" s="32" customFormat="1" ht="11.65" x14ac:dyDescent="0.35">
      <c r="B15" s="478" t="s">
        <v>166</v>
      </c>
      <c r="C15" s="478"/>
      <c r="D15" s="478"/>
      <c r="E15" s="478"/>
      <c r="F15" s="478"/>
      <c r="G15" s="479">
        <f>SUM(G13:G14)</f>
        <v>1963013.7437795401</v>
      </c>
      <c r="H15" s="479">
        <f>SUM(H13:H14)</f>
        <v>5159938.5034895465</v>
      </c>
      <c r="I15" s="479">
        <f>SUM(I13:I14)</f>
        <v>8783119.8978275508</v>
      </c>
    </row>
    <row r="16" spans="1:12" s="32" customFormat="1" ht="4.5" customHeight="1" x14ac:dyDescent="0.35"/>
    <row r="17" spans="1:10" s="32" customFormat="1" ht="11.65" x14ac:dyDescent="0.35">
      <c r="B17" s="478" t="s">
        <v>84</v>
      </c>
      <c r="C17" s="478"/>
      <c r="D17" s="478"/>
      <c r="E17" s="478"/>
      <c r="F17" s="478"/>
      <c r="G17" s="480">
        <f>-G15/G14</f>
        <v>3.9908563621631803E-2</v>
      </c>
      <c r="H17" s="480">
        <f>-H15/H14</f>
        <v>0.10490284884798393</v>
      </c>
      <c r="I17" s="480">
        <f>-I15/I14</f>
        <v>0.17856303877118296</v>
      </c>
    </row>
    <row r="18" spans="1:10" s="32" customFormat="1" ht="11.65" x14ac:dyDescent="0.35">
      <c r="B18" s="32" t="s">
        <v>165</v>
      </c>
      <c r="G18" s="156"/>
      <c r="H18" s="156">
        <f>'Development Cash Flow'!G106</f>
        <v>0.2509451084275176</v>
      </c>
      <c r="I18" s="156"/>
    </row>
    <row r="19" spans="1:10" s="32" customFormat="1" ht="11.65" x14ac:dyDescent="0.35">
      <c r="B19" s="32" t="str">
        <f>"IRR "&amp;'10-Yr Cash Flow IRR'!A66&amp;"-Year"</f>
        <v>IRR 10-Year</v>
      </c>
      <c r="H19" s="156">
        <f>'10-Yr Cash Flow IRR'!B67</f>
        <v>0.13515737554549911</v>
      </c>
    </row>
    <row r="20" spans="1:10" s="32" customFormat="1" ht="3.6" customHeight="1" x14ac:dyDescent="0.35"/>
    <row r="21" spans="1:10" ht="14.75" customHeight="1" x14ac:dyDescent="0.45">
      <c r="A21" s="45" t="s">
        <v>93</v>
      </c>
      <c r="B21" s="45"/>
      <c r="C21" s="45"/>
      <c r="D21" s="45"/>
      <c r="E21" s="45"/>
      <c r="F21" s="45"/>
      <c r="G21" s="45"/>
      <c r="H21" s="45"/>
      <c r="I21" s="45"/>
      <c r="J21" s="45"/>
    </row>
    <row r="22" spans="1:10" s="32" customFormat="1" ht="11.65" x14ac:dyDescent="0.35">
      <c r="G22" s="47" t="s">
        <v>98</v>
      </c>
      <c r="H22" s="47" t="s">
        <v>99</v>
      </c>
      <c r="I22" s="47" t="s">
        <v>100</v>
      </c>
    </row>
    <row r="23" spans="1:10" s="32" customFormat="1" ht="11.65" x14ac:dyDescent="0.35">
      <c r="B23" s="32" t="s">
        <v>106</v>
      </c>
      <c r="G23" s="109">
        <f>Schedule!D13</f>
        <v>44562</v>
      </c>
      <c r="H23" s="109">
        <f>Schedule!E13</f>
        <v>44562</v>
      </c>
      <c r="I23" s="110">
        <f>Schedule!C13</f>
        <v>0</v>
      </c>
    </row>
    <row r="24" spans="1:10" s="32" customFormat="1" ht="11.65" x14ac:dyDescent="0.35">
      <c r="B24" s="32" t="s">
        <v>94</v>
      </c>
      <c r="G24" s="109">
        <f>Schedule!D15</f>
        <v>44593</v>
      </c>
      <c r="H24" s="109">
        <f>Schedule!E15</f>
        <v>44958</v>
      </c>
      <c r="I24" s="110">
        <f>Schedule!C15</f>
        <v>12</v>
      </c>
    </row>
    <row r="25" spans="1:10" s="32" customFormat="1" ht="11.65" x14ac:dyDescent="0.35">
      <c r="B25" s="32" t="s">
        <v>95</v>
      </c>
      <c r="G25" s="109">
        <f>Schedule!D17</f>
        <v>44986</v>
      </c>
      <c r="H25" s="109">
        <f>Schedule!E17</f>
        <v>45536</v>
      </c>
      <c r="I25" s="110">
        <f>Schedule!C17</f>
        <v>18</v>
      </c>
    </row>
    <row r="26" spans="1:10" s="32" customFormat="1" ht="11.65" x14ac:dyDescent="0.35">
      <c r="B26" s="32" t="s">
        <v>97</v>
      </c>
      <c r="G26" s="109">
        <f>Schedule!D19</f>
        <v>45474</v>
      </c>
      <c r="H26" s="109">
        <f>Schedule!E19</f>
        <v>45658</v>
      </c>
      <c r="I26" s="110">
        <f>Schedule!C19</f>
        <v>6</v>
      </c>
    </row>
    <row r="27" spans="1:10" s="32" customFormat="1" ht="11.65" x14ac:dyDescent="0.35">
      <c r="B27" s="32" t="s">
        <v>96</v>
      </c>
      <c r="G27" s="109">
        <f>Schedule!D21</f>
        <v>45689</v>
      </c>
      <c r="H27" s="109">
        <f>Schedule!E21</f>
        <v>45689</v>
      </c>
      <c r="I27" s="110">
        <f>Schedule!C21</f>
        <v>0</v>
      </c>
    </row>
    <row r="28" spans="1:10" s="32" customFormat="1" ht="3.6" customHeight="1" x14ac:dyDescent="0.35"/>
    <row r="29" spans="1:10" x14ac:dyDescent="0.45">
      <c r="A29" s="45" t="s">
        <v>77</v>
      </c>
      <c r="B29" s="45"/>
      <c r="C29" s="45"/>
      <c r="D29" s="45"/>
      <c r="E29" s="45"/>
      <c r="F29" s="45"/>
      <c r="G29" s="45"/>
      <c r="H29" s="45"/>
      <c r="I29" s="45"/>
      <c r="J29" s="45"/>
    </row>
    <row r="30" spans="1:10" s="32" customFormat="1" ht="11.65" x14ac:dyDescent="0.35">
      <c r="B30" s="46" t="s">
        <v>39</v>
      </c>
      <c r="D30" s="47"/>
      <c r="E30" s="47" t="s">
        <v>78</v>
      </c>
      <c r="F30" s="47" t="s">
        <v>40</v>
      </c>
      <c r="G30" s="47" t="s">
        <v>79</v>
      </c>
      <c r="H30" s="47" t="s">
        <v>80</v>
      </c>
      <c r="I30" s="47" t="s">
        <v>81</v>
      </c>
    </row>
    <row r="31" spans="1:10" s="32" customFormat="1" ht="11.65" hidden="1" x14ac:dyDescent="0.35">
      <c r="B31" s="32" t="str">
        <f>'Operating Revenue and Expenses'!B16</f>
        <v>1 Bed</v>
      </c>
      <c r="D31" s="48"/>
      <c r="E31" s="125">
        <f>'Operating Revenue and Expenses'!E16</f>
        <v>25200</v>
      </c>
      <c r="F31" s="49">
        <f>'Operating Revenue and Expenses'!F16</f>
        <v>35</v>
      </c>
      <c r="G31" s="50">
        <f>'Operating Revenue and Expenses'!G16</f>
        <v>0.35</v>
      </c>
      <c r="H31" s="35">
        <f>'Operating Revenue and Expenses'!H16</f>
        <v>1990</v>
      </c>
      <c r="I31" s="51">
        <f>'Operating Revenue and Expenses'!J16</f>
        <v>2.7638888888888888</v>
      </c>
    </row>
    <row r="32" spans="1:10" s="32" customFormat="1" ht="11.65" hidden="1" x14ac:dyDescent="0.35">
      <c r="B32" s="134" t="str">
        <f>'Operating Revenue and Expenses'!B17</f>
        <v>2 Bed</v>
      </c>
      <c r="C32" s="134"/>
      <c r="D32" s="48"/>
      <c r="E32" s="366">
        <f>'Operating Revenue and Expenses'!E17</f>
        <v>60775</v>
      </c>
      <c r="F32" s="48">
        <f>'Operating Revenue and Expenses'!F17</f>
        <v>65</v>
      </c>
      <c r="G32" s="367">
        <f>'Operating Revenue and Expenses'!G17</f>
        <v>0.65</v>
      </c>
      <c r="H32" s="135">
        <f>'Operating Revenue and Expenses'!H17</f>
        <v>2400</v>
      </c>
      <c r="I32" s="368">
        <f>'Operating Revenue and Expenses'!J17</f>
        <v>2.5668449197860963</v>
      </c>
    </row>
    <row r="33" spans="1:13" s="32" customFormat="1" ht="11.65" hidden="1" x14ac:dyDescent="0.35">
      <c r="B33" s="40" t="s">
        <v>295</v>
      </c>
      <c r="C33" s="40"/>
      <c r="D33" s="52"/>
      <c r="E33" s="126">
        <f>'Operating Revenue and Expenses'!E18</f>
        <v>0</v>
      </c>
      <c r="F33" s="52">
        <f>+'Operating Revenue and Expenses'!F18</f>
        <v>0</v>
      </c>
      <c r="G33" s="367">
        <f>'Operating Revenue and Expenses'!G18</f>
        <v>0</v>
      </c>
      <c r="H33" s="39">
        <f>'Operating Revenue and Expenses'!H18</f>
        <v>0</v>
      </c>
      <c r="I33" s="54">
        <f>'Operating Revenue and Expenses'!J18</f>
        <v>0</v>
      </c>
    </row>
    <row r="34" spans="1:13" s="32" customFormat="1" ht="11.65" x14ac:dyDescent="0.35">
      <c r="B34" s="40" t="s">
        <v>298</v>
      </c>
      <c r="C34" s="40"/>
      <c r="D34" s="40"/>
      <c r="E34" s="126">
        <f>'Operating Revenue and Expenses'!E19</f>
        <v>85975</v>
      </c>
      <c r="F34" s="52">
        <f>'Operating Revenue and Expenses'!F19</f>
        <v>100</v>
      </c>
      <c r="G34" s="53">
        <f>'Operating Revenue and Expenses'!G19</f>
        <v>1</v>
      </c>
      <c r="H34" s="39">
        <f>'Operating Revenue and Expenses'!H19</f>
        <v>2256.5</v>
      </c>
      <c r="I34" s="54">
        <f>+H34/E35</f>
        <v>2.6246001744693226</v>
      </c>
    </row>
    <row r="35" spans="1:13" s="32" customFormat="1" ht="11.65" x14ac:dyDescent="0.35">
      <c r="B35" s="32" t="s">
        <v>284</v>
      </c>
      <c r="E35" s="125">
        <f>'Operating Revenue and Expenses'!E20</f>
        <v>859.75</v>
      </c>
      <c r="H35" s="35">
        <f>'Operating Revenue and Expenses'!H20</f>
        <v>2256.5</v>
      </c>
      <c r="I35" s="51">
        <f>'Operating Revenue and Expenses'!J20</f>
        <v>2.6246001744693226</v>
      </c>
    </row>
    <row r="36" spans="1:13" ht="4.3499999999999996" customHeight="1" x14ac:dyDescent="0.45">
      <c r="A36" s="31"/>
      <c r="B36" s="31"/>
      <c r="C36" s="31"/>
      <c r="D36" s="31"/>
      <c r="E36" s="31"/>
      <c r="F36" s="31"/>
      <c r="G36" s="31"/>
      <c r="H36" s="31"/>
      <c r="I36" s="31"/>
      <c r="J36" s="31"/>
    </row>
    <row r="37" spans="1:13" x14ac:dyDescent="0.45">
      <c r="A37" s="45" t="s">
        <v>64</v>
      </c>
      <c r="B37" s="45"/>
      <c r="C37" s="45"/>
      <c r="D37" s="45"/>
      <c r="E37" s="45"/>
      <c r="F37" s="45"/>
      <c r="G37" s="45"/>
      <c r="H37" s="45"/>
      <c r="I37" s="45"/>
      <c r="J37" s="45"/>
    </row>
    <row r="38" spans="1:13" s="27" customFormat="1" ht="11.85" customHeight="1" x14ac:dyDescent="0.45">
      <c r="B38" s="112"/>
      <c r="C38" s="111"/>
      <c r="D38" s="111"/>
      <c r="E38" s="111"/>
      <c r="F38" s="111"/>
      <c r="G38" s="47" t="s">
        <v>14</v>
      </c>
      <c r="H38" s="47" t="s">
        <v>293</v>
      </c>
      <c r="I38" s="47" t="s">
        <v>16</v>
      </c>
      <c r="J38" s="47" t="s">
        <v>53</v>
      </c>
    </row>
    <row r="39" spans="1:13" s="32" customFormat="1" ht="11.65" x14ac:dyDescent="0.35">
      <c r="B39" s="32" t="s">
        <v>8</v>
      </c>
      <c r="G39" s="35">
        <f>'Development Costs'!H16</f>
        <v>5989000</v>
      </c>
      <c r="H39" s="35">
        <f>'Development Costs'!I16</f>
        <v>59890</v>
      </c>
      <c r="I39" s="125">
        <f>'Development Costs'!J16</f>
        <v>69.659784821168941</v>
      </c>
      <c r="J39" s="129">
        <f t="shared" ref="J39:J47" si="2">G39/$G$48</f>
        <v>0.12175787779751561</v>
      </c>
    </row>
    <row r="40" spans="1:13" s="32" customFormat="1" ht="11.65" x14ac:dyDescent="0.35">
      <c r="B40" s="113" t="s">
        <v>22</v>
      </c>
      <c r="G40" s="35">
        <f>'Development Costs'!H22</f>
        <v>30000000</v>
      </c>
      <c r="H40" s="35">
        <f>'Development Costs'!I22</f>
        <v>419780</v>
      </c>
      <c r="I40" s="125">
        <f>'Development Costs'!J22</f>
        <v>348.93864495492875</v>
      </c>
      <c r="J40" s="129">
        <f t="shared" si="2"/>
        <v>0.6099075528344412</v>
      </c>
      <c r="L40" s="156"/>
    </row>
    <row r="41" spans="1:13" s="32" customFormat="1" ht="11.65" x14ac:dyDescent="0.35">
      <c r="B41" s="113" t="s">
        <v>157</v>
      </c>
      <c r="G41" s="35">
        <f>'Development Costs'!H41</f>
        <v>1419000</v>
      </c>
      <c r="H41" s="35">
        <f>'Development Costs'!I41</f>
        <v>14190</v>
      </c>
      <c r="I41" s="125">
        <f>'Development Costs'!J41</f>
        <v>16.504797906368129</v>
      </c>
      <c r="J41" s="129">
        <f t="shared" si="2"/>
        <v>2.8848627249069069E-2</v>
      </c>
      <c r="L41" s="156"/>
    </row>
    <row r="42" spans="1:13" s="32" customFormat="1" ht="11.65" x14ac:dyDescent="0.35">
      <c r="B42" s="113" t="s">
        <v>158</v>
      </c>
      <c r="G42" s="35">
        <f>'Development Costs'!H46</f>
        <v>1254000</v>
      </c>
      <c r="H42" s="35">
        <f>'Development Costs'!I46</f>
        <v>12540</v>
      </c>
      <c r="I42" s="125">
        <f>'Development Costs'!J46</f>
        <v>14.585635359116022</v>
      </c>
      <c r="J42" s="129">
        <f t="shared" si="2"/>
        <v>2.5494135708479641E-2</v>
      </c>
      <c r="M42" s="156"/>
    </row>
    <row r="43" spans="1:13" s="32" customFormat="1" ht="11.65" x14ac:dyDescent="0.35">
      <c r="B43" s="113" t="s">
        <v>159</v>
      </c>
      <c r="G43" s="35">
        <f>'Development Costs'!H59</f>
        <v>3344000</v>
      </c>
      <c r="H43" s="35">
        <f>'Development Costs'!I59</f>
        <v>33440</v>
      </c>
      <c r="I43" s="125">
        <f>'Development Costs'!J59</f>
        <v>38.895027624309392</v>
      </c>
      <c r="J43" s="129">
        <f t="shared" si="2"/>
        <v>6.7984361889279046E-2</v>
      </c>
    </row>
    <row r="44" spans="1:13" s="32" customFormat="1" ht="11.65" x14ac:dyDescent="0.35">
      <c r="B44" s="113" t="s">
        <v>160</v>
      </c>
      <c r="G44" s="35">
        <f>'Development Costs'!H66</f>
        <v>726750</v>
      </c>
      <c r="H44" s="35">
        <f>'Development Costs'!I66</f>
        <v>7267.5</v>
      </c>
      <c r="I44" s="125">
        <f>'Development Costs'!J66</f>
        <v>8.4530386740331487</v>
      </c>
      <c r="J44" s="129">
        <f t="shared" si="2"/>
        <v>1.4775010467414338E-2</v>
      </c>
    </row>
    <row r="45" spans="1:13" s="32" customFormat="1" ht="11.65" x14ac:dyDescent="0.35">
      <c r="B45" s="113" t="s">
        <v>161</v>
      </c>
      <c r="G45" s="35">
        <f>'Development Costs'!H80-'Development Costs'!H77</f>
        <v>3714932.5244444446</v>
      </c>
      <c r="H45" s="35">
        <f>'Development Costs'!I80</f>
        <v>75350.84039771877</v>
      </c>
      <c r="I45" s="125">
        <f>'Development Costs'!J80</f>
        <v>87.642733815316973</v>
      </c>
      <c r="J45" s="129">
        <f>G45/$G$48</f>
        <v>7.5525513497632799E-2</v>
      </c>
    </row>
    <row r="46" spans="1:13" s="32" customFormat="1" ht="11.65" x14ac:dyDescent="0.35">
      <c r="B46" s="113" t="s">
        <v>358</v>
      </c>
      <c r="G46" s="35">
        <f>'Development Costs'!H77</f>
        <v>3820151.5153274327</v>
      </c>
      <c r="H46" s="35">
        <f>'Development Costs'!I77</f>
        <v>38201.515153274326</v>
      </c>
      <c r="I46" s="125">
        <f>'Development Costs'!J77</f>
        <v>44.433283109362407</v>
      </c>
      <c r="J46" s="129">
        <f t="shared" si="2"/>
        <v>7.7664642072337892E-2</v>
      </c>
    </row>
    <row r="47" spans="1:13" s="32" customFormat="1" ht="11.65" x14ac:dyDescent="0.35">
      <c r="B47" s="124" t="s">
        <v>363</v>
      </c>
      <c r="C47" s="40"/>
      <c r="D47" s="40"/>
      <c r="E47" s="40"/>
      <c r="F47" s="40"/>
      <c r="G47" s="130">
        <f>'Development Costs'!H87</f>
        <v>-1080051.6281914287</v>
      </c>
      <c r="H47" s="130">
        <f>'Development Costs'!I87</f>
        <v>-10800.516281914286</v>
      </c>
      <c r="I47" s="130">
        <f>'Development Costs'!J87</f>
        <v>-12.562391720749387</v>
      </c>
      <c r="J47" s="129">
        <f t="shared" si="2"/>
        <v>-2.19577215161696E-2</v>
      </c>
    </row>
    <row r="48" spans="1:13" s="32" customFormat="1" ht="11.65" x14ac:dyDescent="0.35">
      <c r="B48" s="114" t="s">
        <v>115</v>
      </c>
      <c r="C48" s="55"/>
      <c r="D48" s="55"/>
      <c r="E48" s="55"/>
      <c r="F48" s="55"/>
      <c r="G48" s="56">
        <f>'Development Costs'!H89</f>
        <v>49187782.411580451</v>
      </c>
      <c r="H48" s="56">
        <f>'Development Costs'!I89</f>
        <v>491877.82411580451</v>
      </c>
      <c r="I48" s="56">
        <f>'Development Costs'!J89</f>
        <v>572.11727143449207</v>
      </c>
      <c r="J48" s="128">
        <f>SUM(J39:J47)</f>
        <v>1</v>
      </c>
    </row>
    <row r="49" spans="1:10" s="32" customFormat="1" ht="11.65" x14ac:dyDescent="0.35">
      <c r="G49" s="35"/>
      <c r="H49" s="35"/>
      <c r="I49" s="35"/>
    </row>
    <row r="50" spans="1:10" ht="4.3499999999999996" customHeight="1" x14ac:dyDescent="0.45">
      <c r="A50" s="31"/>
      <c r="B50" s="31"/>
      <c r="C50" s="31"/>
      <c r="D50" s="31"/>
      <c r="E50" s="31"/>
      <c r="F50" s="31"/>
      <c r="G50" s="31"/>
      <c r="H50" s="31"/>
      <c r="I50" s="31"/>
      <c r="J50" s="31"/>
    </row>
    <row r="51" spans="1:10" x14ac:dyDescent="0.45">
      <c r="A51" s="45" t="s">
        <v>85</v>
      </c>
      <c r="B51" s="45"/>
      <c r="C51" s="45"/>
      <c r="D51" s="45"/>
      <c r="E51" s="45"/>
      <c r="F51" s="45"/>
      <c r="G51" s="45"/>
      <c r="H51" s="45"/>
      <c r="I51" s="45"/>
      <c r="J51" s="45"/>
    </row>
    <row r="52" spans="1:10" s="32" customFormat="1" ht="11.65" x14ac:dyDescent="0.35">
      <c r="B52" s="32" t="s">
        <v>86</v>
      </c>
      <c r="G52" s="41">
        <f>-'Development Cash Flow'!C108</f>
        <v>44198885</v>
      </c>
      <c r="H52" s="374">
        <f>G52/G54</f>
        <v>0.89857445961202964</v>
      </c>
    </row>
    <row r="53" spans="1:10" s="32" customFormat="1" ht="11.65" x14ac:dyDescent="0.35">
      <c r="B53" s="32" t="s">
        <v>75</v>
      </c>
      <c r="G53" s="231">
        <f>+G48-G52</f>
        <v>4988897.4115804508</v>
      </c>
      <c r="H53" s="375">
        <f>G53/G54</f>
        <v>0.10142554038797036</v>
      </c>
      <c r="I53" s="181" t="s">
        <v>364</v>
      </c>
    </row>
    <row r="54" spans="1:10" s="32" customFormat="1" ht="11.65" x14ac:dyDescent="0.35">
      <c r="B54" s="32" t="s">
        <v>14</v>
      </c>
      <c r="G54" s="41">
        <f>SUM(G52:G53)</f>
        <v>49187782.411580451</v>
      </c>
      <c r="H54" s="127">
        <f>SUM(H52:H53)</f>
        <v>1</v>
      </c>
    </row>
    <row r="55" spans="1:10" ht="4.3499999999999996" customHeight="1" x14ac:dyDescent="0.45">
      <c r="A55" s="31"/>
      <c r="B55" s="31"/>
      <c r="C55" s="31"/>
      <c r="D55" s="31"/>
      <c r="E55" s="31"/>
      <c r="F55" s="31"/>
      <c r="G55" s="31"/>
      <c r="H55" s="31"/>
      <c r="I55" s="31"/>
      <c r="J55" s="31"/>
    </row>
    <row r="56" spans="1:10" hidden="1" x14ac:dyDescent="0.45">
      <c r="A56" s="45" t="s">
        <v>299</v>
      </c>
      <c r="B56" s="45"/>
      <c r="C56" s="45"/>
      <c r="D56" s="45"/>
      <c r="E56" s="45"/>
      <c r="F56" s="45"/>
      <c r="G56" s="45"/>
      <c r="H56" s="45"/>
      <c r="I56" s="45"/>
      <c r="J56" s="45"/>
    </row>
    <row r="57" spans="1:10" s="32" customFormat="1" ht="11.65" hidden="1" x14ac:dyDescent="0.35">
      <c r="B57" s="32" t="s">
        <v>91</v>
      </c>
      <c r="G57" s="296">
        <f>'10-Yr Cash Flow IRR'!L15</f>
        <v>0.63320537059192761</v>
      </c>
    </row>
    <row r="58" spans="1:10" s="32" customFormat="1" ht="11.65" hidden="1" x14ac:dyDescent="0.35">
      <c r="B58" s="32" t="s">
        <v>234</v>
      </c>
      <c r="G58" s="51">
        <f>'10-Yr Cash Flow IRR'!L16</f>
        <v>1.1101003620297476</v>
      </c>
    </row>
    <row r="59" spans="1:10" s="32" customFormat="1" ht="11.65" hidden="1" x14ac:dyDescent="0.35">
      <c r="B59" s="32" t="s">
        <v>92</v>
      </c>
      <c r="G59" s="41">
        <f>'10-Yr Cash Flow IRR'!K14</f>
        <v>34760877.53823591</v>
      </c>
    </row>
    <row r="60" spans="1:10" hidden="1" x14ac:dyDescent="0.45">
      <c r="A60" s="31"/>
      <c r="B60" s="32" t="s">
        <v>233</v>
      </c>
      <c r="C60" s="32"/>
      <c r="D60" s="32"/>
      <c r="E60" s="32"/>
      <c r="F60" s="32"/>
      <c r="G60" s="41">
        <f>'10-Yr Cash Flow IRR'!K16</f>
        <v>1978080.1689903033</v>
      </c>
      <c r="H60" s="31"/>
      <c r="I60" s="31"/>
      <c r="J60" s="31"/>
    </row>
    <row r="61" spans="1:10" x14ac:dyDescent="0.45">
      <c r="A61" s="31"/>
      <c r="B61" s="31"/>
      <c r="C61" s="31"/>
      <c r="D61" s="31"/>
      <c r="E61" s="31"/>
      <c r="F61" s="31"/>
      <c r="G61" s="31"/>
      <c r="H61" s="31"/>
      <c r="I61" s="31"/>
      <c r="J61" s="31"/>
    </row>
    <row r="62" spans="1:10" x14ac:dyDescent="0.45">
      <c r="A62" s="31"/>
      <c r="B62" s="31"/>
      <c r="C62" s="31"/>
      <c r="D62" s="31"/>
      <c r="E62" s="31"/>
      <c r="F62" s="31"/>
      <c r="G62" s="31"/>
      <c r="H62" s="31"/>
      <c r="I62" s="31"/>
      <c r="J62" s="31"/>
    </row>
    <row r="63" spans="1:10" x14ac:dyDescent="0.45">
      <c r="A63" s="31"/>
      <c r="B63" s="31"/>
      <c r="C63" s="31"/>
      <c r="D63" s="31"/>
      <c r="E63" s="31"/>
      <c r="F63" s="31"/>
      <c r="G63" s="31"/>
      <c r="H63" s="31"/>
      <c r="I63" s="31"/>
      <c r="J63" s="31"/>
    </row>
    <row r="64" spans="1:10" x14ac:dyDescent="0.45">
      <c r="A64" s="31"/>
      <c r="B64" s="31"/>
      <c r="C64" s="31"/>
      <c r="D64" s="31"/>
      <c r="E64" s="31"/>
      <c r="F64" s="31"/>
      <c r="G64" s="31"/>
      <c r="H64" s="31"/>
      <c r="I64" s="31"/>
      <c r="J64" s="31"/>
    </row>
    <row r="65" spans="1:10" x14ac:dyDescent="0.45">
      <c r="A65" s="31"/>
      <c r="B65" s="31"/>
      <c r="C65" s="31"/>
      <c r="D65" s="31"/>
      <c r="E65" s="31"/>
      <c r="F65" s="31"/>
      <c r="G65" s="31"/>
      <c r="H65" s="31"/>
      <c r="I65" s="31"/>
      <c r="J65" s="31"/>
    </row>
    <row r="66" spans="1:10" x14ac:dyDescent="0.45">
      <c r="A66" s="31"/>
      <c r="B66" s="31"/>
      <c r="C66" s="31"/>
      <c r="D66" s="31"/>
      <c r="E66" s="31"/>
      <c r="F66" s="31"/>
      <c r="G66" s="31"/>
      <c r="H66" s="31"/>
      <c r="I66" s="31"/>
      <c r="J66" s="31"/>
    </row>
    <row r="67" spans="1:10" x14ac:dyDescent="0.45">
      <c r="A67" s="31"/>
      <c r="B67" s="31"/>
      <c r="C67" s="31"/>
      <c r="D67" s="31"/>
      <c r="E67" s="31"/>
      <c r="F67" s="31"/>
      <c r="G67" s="31"/>
      <c r="H67" s="31"/>
      <c r="I67" s="31"/>
      <c r="J67" s="31"/>
    </row>
    <row r="68" spans="1:10" x14ac:dyDescent="0.45">
      <c r="A68" s="31"/>
      <c r="B68" s="31"/>
      <c r="C68" s="31"/>
      <c r="D68" s="31"/>
      <c r="E68" s="31"/>
      <c r="F68" s="31"/>
      <c r="G68" s="31"/>
      <c r="H68" s="31"/>
      <c r="I68" s="31"/>
      <c r="J68" s="31"/>
    </row>
    <row r="69" spans="1:10" x14ac:dyDescent="0.45">
      <c r="A69" s="31"/>
      <c r="B69" s="31"/>
      <c r="C69" s="31"/>
      <c r="D69" s="31"/>
      <c r="E69" s="31"/>
      <c r="F69" s="31"/>
      <c r="G69" s="31"/>
      <c r="H69" s="31"/>
      <c r="I69" s="31"/>
      <c r="J69" s="31"/>
    </row>
    <row r="70" spans="1:10" x14ac:dyDescent="0.45">
      <c r="A70" s="31"/>
      <c r="B70" s="31"/>
      <c r="C70" s="31"/>
      <c r="D70" s="31"/>
      <c r="E70" s="31"/>
      <c r="F70" s="31"/>
      <c r="G70" s="31"/>
      <c r="H70" s="31"/>
      <c r="I70" s="31"/>
      <c r="J70" s="31"/>
    </row>
    <row r="71" spans="1:10" x14ac:dyDescent="0.45">
      <c r="A71" s="31"/>
      <c r="B71" s="31"/>
      <c r="C71" s="31"/>
      <c r="D71" s="31"/>
      <c r="E71" s="31"/>
      <c r="F71" s="31"/>
      <c r="G71" s="31"/>
      <c r="H71" s="31"/>
      <c r="I71" s="31"/>
      <c r="J71" s="31"/>
    </row>
    <row r="72" spans="1:10" x14ac:dyDescent="0.45">
      <c r="A72" s="31"/>
      <c r="B72" s="31"/>
      <c r="C72" s="31"/>
      <c r="D72" s="31"/>
      <c r="E72" s="31"/>
      <c r="F72" s="31"/>
      <c r="G72" s="31"/>
      <c r="H72" s="31"/>
      <c r="I72" s="31"/>
      <c r="J72" s="31"/>
    </row>
    <row r="73" spans="1:10" x14ac:dyDescent="0.45">
      <c r="A73" s="31"/>
      <c r="B73" s="31"/>
      <c r="C73" s="31"/>
      <c r="D73" s="31"/>
      <c r="E73" s="31"/>
      <c r="F73" s="31"/>
      <c r="G73" s="31"/>
      <c r="H73" s="31"/>
      <c r="I73" s="31"/>
      <c r="J73" s="31"/>
    </row>
    <row r="74" spans="1:10" x14ac:dyDescent="0.45">
      <c r="A74" s="31"/>
      <c r="B74" s="31"/>
      <c r="C74" s="31"/>
      <c r="D74" s="31"/>
      <c r="E74" s="31"/>
      <c r="F74" s="31"/>
      <c r="G74" s="31"/>
      <c r="H74" s="31"/>
      <c r="I74" s="31"/>
      <c r="J74" s="31"/>
    </row>
    <row r="75" spans="1:10" x14ac:dyDescent="0.45">
      <c r="A75" s="31"/>
      <c r="B75" s="31"/>
      <c r="C75" s="31"/>
      <c r="D75" s="31"/>
      <c r="E75" s="31"/>
      <c r="F75" s="31"/>
      <c r="G75" s="31"/>
      <c r="H75" s="31"/>
      <c r="I75" s="31"/>
      <c r="J75" s="31"/>
    </row>
    <row r="76" spans="1:10" x14ac:dyDescent="0.45">
      <c r="A76" s="31"/>
      <c r="B76" s="31"/>
      <c r="C76" s="31"/>
      <c r="D76" s="31"/>
      <c r="E76" s="31"/>
      <c r="F76" s="31"/>
      <c r="G76" s="31"/>
      <c r="H76" s="31"/>
      <c r="I76" s="31"/>
      <c r="J76" s="31"/>
    </row>
    <row r="77" spans="1:10" x14ac:dyDescent="0.45">
      <c r="A77" s="31"/>
      <c r="B77" s="31"/>
      <c r="C77" s="31"/>
      <c r="D77" s="31"/>
      <c r="E77" s="31"/>
      <c r="F77" s="31"/>
      <c r="G77" s="31"/>
      <c r="H77" s="31"/>
      <c r="I77" s="31"/>
      <c r="J77" s="31"/>
    </row>
    <row r="78" spans="1:10" x14ac:dyDescent="0.45">
      <c r="A78" s="31"/>
      <c r="B78" s="31"/>
      <c r="C78" s="31"/>
      <c r="D78" s="31"/>
      <c r="E78" s="31"/>
      <c r="F78" s="31"/>
      <c r="G78" s="31"/>
      <c r="H78" s="31"/>
      <c r="I78" s="31"/>
      <c r="J78" s="31"/>
    </row>
    <row r="79" spans="1:10" x14ac:dyDescent="0.45">
      <c r="A79" s="31"/>
      <c r="B79" s="31"/>
      <c r="C79" s="31"/>
      <c r="D79" s="31"/>
      <c r="E79" s="31"/>
      <c r="F79" s="31"/>
      <c r="G79" s="31"/>
      <c r="H79" s="31"/>
      <c r="I79" s="31"/>
      <c r="J79" s="31"/>
    </row>
    <row r="80" spans="1:10" x14ac:dyDescent="0.45">
      <c r="A80" s="31"/>
      <c r="B80" s="31"/>
      <c r="C80" s="31"/>
      <c r="D80" s="31"/>
      <c r="E80" s="31"/>
      <c r="F80" s="31"/>
      <c r="G80" s="31"/>
      <c r="H80" s="31"/>
      <c r="I80" s="31"/>
      <c r="J80" s="31"/>
    </row>
    <row r="81" spans="1:10" x14ac:dyDescent="0.45">
      <c r="A81" s="31"/>
      <c r="B81" s="31"/>
      <c r="C81" s="31"/>
      <c r="D81" s="31"/>
      <c r="E81" s="31"/>
      <c r="F81" s="31"/>
      <c r="G81" s="31"/>
      <c r="H81" s="31"/>
      <c r="I81" s="31"/>
      <c r="J81" s="31"/>
    </row>
    <row r="82" spans="1:10" x14ac:dyDescent="0.45">
      <c r="A82" s="31"/>
      <c r="B82" s="31"/>
      <c r="C82" s="31"/>
      <c r="D82" s="31"/>
      <c r="E82" s="31"/>
      <c r="F82" s="31"/>
      <c r="G82" s="31"/>
      <c r="H82" s="31"/>
      <c r="I82" s="31"/>
      <c r="J82" s="31"/>
    </row>
    <row r="83" spans="1:10" x14ac:dyDescent="0.45">
      <c r="A83" s="31"/>
      <c r="B83" s="31"/>
      <c r="C83" s="31"/>
      <c r="D83" s="31"/>
      <c r="E83" s="31"/>
      <c r="F83" s="31"/>
      <c r="G83" s="31"/>
      <c r="H83" s="31"/>
      <c r="I83" s="31"/>
      <c r="J83" s="31"/>
    </row>
    <row r="84" spans="1:10" x14ac:dyDescent="0.45">
      <c r="A84" s="31"/>
      <c r="B84" s="31"/>
      <c r="C84" s="31"/>
      <c r="D84" s="31"/>
      <c r="E84" s="31"/>
      <c r="F84" s="31"/>
      <c r="G84" s="31"/>
      <c r="H84" s="31"/>
      <c r="I84" s="31"/>
      <c r="J84" s="31"/>
    </row>
    <row r="85" spans="1:10" x14ac:dyDescent="0.45">
      <c r="A85" s="31"/>
      <c r="B85" s="31"/>
      <c r="C85" s="31"/>
      <c r="D85" s="31"/>
      <c r="E85" s="31"/>
      <c r="F85" s="31"/>
      <c r="G85" s="31"/>
      <c r="H85" s="31"/>
      <c r="I85" s="31"/>
      <c r="J85" s="31"/>
    </row>
    <row r="86" spans="1:10" x14ac:dyDescent="0.45">
      <c r="A86" s="31"/>
      <c r="B86" s="31"/>
      <c r="C86" s="31"/>
      <c r="D86" s="31"/>
      <c r="E86" s="31"/>
      <c r="F86" s="31"/>
      <c r="G86" s="31"/>
      <c r="H86" s="31"/>
      <c r="I86" s="31"/>
      <c r="J86" s="31"/>
    </row>
    <row r="87" spans="1:10" x14ac:dyDescent="0.45">
      <c r="A87" s="31"/>
      <c r="B87" s="31"/>
      <c r="C87" s="31"/>
      <c r="D87" s="31"/>
      <c r="E87" s="31"/>
      <c r="F87" s="31"/>
      <c r="G87" s="31"/>
      <c r="H87" s="31"/>
      <c r="I87" s="31"/>
      <c r="J87" s="31"/>
    </row>
    <row r="88" spans="1:10" x14ac:dyDescent="0.45">
      <c r="A88" s="31"/>
      <c r="B88" s="31"/>
      <c r="C88" s="31"/>
      <c r="D88" s="31"/>
      <c r="E88" s="31"/>
      <c r="F88" s="31"/>
      <c r="G88" s="31"/>
      <c r="H88" s="31"/>
      <c r="I88" s="31"/>
      <c r="J88" s="31"/>
    </row>
    <row r="89" spans="1:10" x14ac:dyDescent="0.45">
      <c r="A89" s="31"/>
      <c r="B89" s="31"/>
      <c r="C89" s="31"/>
      <c r="D89" s="31"/>
      <c r="E89" s="31"/>
      <c r="F89" s="31"/>
      <c r="G89" s="31"/>
      <c r="H89" s="31"/>
      <c r="I89" s="31"/>
      <c r="J89" s="31"/>
    </row>
    <row r="90" spans="1:10" x14ac:dyDescent="0.45">
      <c r="A90" s="31"/>
      <c r="B90" s="31"/>
      <c r="C90" s="31"/>
      <c r="D90" s="31"/>
      <c r="E90" s="31"/>
      <c r="F90" s="31"/>
      <c r="G90" s="31"/>
      <c r="H90" s="31"/>
      <c r="I90" s="31"/>
      <c r="J90" s="31"/>
    </row>
    <row r="91" spans="1:10" x14ac:dyDescent="0.45">
      <c r="A91" s="31"/>
      <c r="B91" s="31"/>
      <c r="C91" s="31"/>
      <c r="D91" s="31"/>
      <c r="E91" s="31"/>
      <c r="F91" s="31"/>
      <c r="G91" s="31"/>
      <c r="H91" s="31"/>
      <c r="I91" s="31"/>
      <c r="J91" s="31"/>
    </row>
    <row r="92" spans="1:10" x14ac:dyDescent="0.45">
      <c r="A92" s="31"/>
      <c r="B92" s="31"/>
      <c r="C92" s="31"/>
      <c r="D92" s="31"/>
      <c r="E92" s="31"/>
      <c r="F92" s="31"/>
      <c r="G92" s="31"/>
      <c r="H92" s="31"/>
      <c r="I92" s="31"/>
      <c r="J92" s="31"/>
    </row>
    <row r="93" spans="1:10" x14ac:dyDescent="0.45">
      <c r="A93" s="31"/>
      <c r="B93" s="31"/>
      <c r="C93" s="31"/>
      <c r="D93" s="31"/>
      <c r="E93" s="31"/>
      <c r="F93" s="31"/>
      <c r="G93" s="31"/>
      <c r="H93" s="31"/>
      <c r="I93" s="31"/>
      <c r="J93" s="31"/>
    </row>
    <row r="94" spans="1:10" x14ac:dyDescent="0.45">
      <c r="A94" s="31"/>
      <c r="B94" s="31"/>
      <c r="C94" s="31"/>
      <c r="D94" s="31"/>
      <c r="E94" s="31"/>
      <c r="F94" s="31"/>
      <c r="G94" s="31"/>
      <c r="H94" s="31"/>
      <c r="I94" s="31"/>
      <c r="J94" s="31"/>
    </row>
    <row r="95" spans="1:10" x14ac:dyDescent="0.45">
      <c r="A95" s="31"/>
      <c r="B95" s="31"/>
      <c r="C95" s="31"/>
      <c r="D95" s="31"/>
      <c r="E95" s="31"/>
      <c r="F95" s="31"/>
      <c r="G95" s="31"/>
      <c r="H95" s="31"/>
      <c r="I95" s="31"/>
      <c r="J95" s="31"/>
    </row>
    <row r="96" spans="1:10" x14ac:dyDescent="0.45">
      <c r="A96" s="31"/>
      <c r="B96" s="31"/>
      <c r="C96" s="31"/>
      <c r="D96" s="31"/>
      <c r="E96" s="31"/>
      <c r="F96" s="31"/>
      <c r="G96" s="31"/>
      <c r="H96" s="31"/>
      <c r="I96" s="31"/>
      <c r="J96" s="31"/>
    </row>
    <row r="97" spans="1:10" x14ac:dyDescent="0.45">
      <c r="A97" s="31"/>
      <c r="B97" s="31"/>
      <c r="C97" s="31"/>
      <c r="D97" s="31"/>
      <c r="E97" s="31"/>
      <c r="F97" s="31"/>
      <c r="G97" s="31"/>
      <c r="H97" s="31"/>
      <c r="I97" s="31"/>
      <c r="J97" s="31"/>
    </row>
    <row r="98" spans="1:10" x14ac:dyDescent="0.45">
      <c r="A98" s="31"/>
      <c r="B98" s="31"/>
      <c r="C98" s="31"/>
      <c r="D98" s="31"/>
      <c r="E98" s="31"/>
      <c r="F98" s="31"/>
      <c r="G98" s="31"/>
      <c r="H98" s="31"/>
      <c r="I98" s="31"/>
      <c r="J98" s="31"/>
    </row>
    <row r="99" spans="1:10" x14ac:dyDescent="0.45">
      <c r="A99" s="31"/>
      <c r="B99" s="31"/>
      <c r="C99" s="31"/>
      <c r="D99" s="31"/>
      <c r="E99" s="31"/>
      <c r="F99" s="31"/>
      <c r="G99" s="31"/>
      <c r="H99" s="31"/>
      <c r="I99" s="31"/>
      <c r="J99" s="31"/>
    </row>
    <row r="100" spans="1:10" x14ac:dyDescent="0.45">
      <c r="A100" s="31"/>
      <c r="B100" s="31"/>
      <c r="C100" s="31"/>
      <c r="D100" s="31"/>
      <c r="E100" s="31"/>
      <c r="F100" s="31"/>
      <c r="G100" s="31"/>
      <c r="H100" s="31"/>
      <c r="I100" s="31"/>
      <c r="J100" s="31"/>
    </row>
    <row r="101" spans="1:10" x14ac:dyDescent="0.45">
      <c r="A101" s="31"/>
      <c r="B101" s="31"/>
      <c r="C101" s="31"/>
      <c r="D101" s="31"/>
      <c r="E101" s="31"/>
      <c r="F101" s="31"/>
      <c r="G101" s="31"/>
      <c r="H101" s="31"/>
      <c r="I101" s="31"/>
      <c r="J101" s="31"/>
    </row>
    <row r="102" spans="1:10" x14ac:dyDescent="0.45">
      <c r="A102" s="31"/>
      <c r="B102" s="31"/>
      <c r="C102" s="31"/>
      <c r="D102" s="31"/>
      <c r="E102" s="31"/>
      <c r="F102" s="31"/>
      <c r="G102" s="31"/>
      <c r="H102" s="31"/>
      <c r="I102" s="31"/>
      <c r="J102" s="31"/>
    </row>
    <row r="103" spans="1:10" x14ac:dyDescent="0.45">
      <c r="A103" s="31"/>
      <c r="B103" s="31"/>
      <c r="C103" s="31"/>
      <c r="D103" s="31"/>
      <c r="E103" s="31"/>
      <c r="F103" s="31"/>
      <c r="G103" s="31"/>
      <c r="H103" s="31"/>
      <c r="I103" s="31"/>
      <c r="J103" s="31"/>
    </row>
    <row r="104" spans="1:10" x14ac:dyDescent="0.45">
      <c r="A104" s="31"/>
      <c r="B104" s="31"/>
      <c r="C104" s="31"/>
      <c r="D104" s="31"/>
      <c r="E104" s="31"/>
      <c r="F104" s="31"/>
      <c r="G104" s="31"/>
      <c r="H104" s="31"/>
      <c r="I104" s="31"/>
      <c r="J104" s="31"/>
    </row>
    <row r="105" spans="1:10" x14ac:dyDescent="0.45">
      <c r="A105" s="31"/>
      <c r="B105" s="31"/>
      <c r="C105" s="31"/>
      <c r="D105" s="31"/>
      <c r="E105" s="31"/>
      <c r="F105" s="31"/>
      <c r="G105" s="31"/>
      <c r="H105" s="31"/>
      <c r="I105" s="31"/>
      <c r="J105" s="31"/>
    </row>
    <row r="106" spans="1:10" x14ac:dyDescent="0.45">
      <c r="A106" s="31"/>
      <c r="B106" s="31"/>
      <c r="C106" s="31"/>
      <c r="D106" s="31"/>
      <c r="E106" s="31"/>
      <c r="F106" s="31"/>
      <c r="G106" s="31"/>
      <c r="H106" s="31"/>
      <c r="I106" s="31"/>
      <c r="J106" s="31"/>
    </row>
    <row r="107" spans="1:10" x14ac:dyDescent="0.45">
      <c r="A107" s="31"/>
      <c r="B107" s="31"/>
      <c r="C107" s="31"/>
      <c r="D107" s="31"/>
      <c r="E107" s="31"/>
      <c r="F107" s="31"/>
      <c r="G107" s="31"/>
      <c r="H107" s="31"/>
      <c r="I107" s="31"/>
      <c r="J107" s="31"/>
    </row>
    <row r="108" spans="1:10" x14ac:dyDescent="0.45">
      <c r="A108" s="31"/>
      <c r="B108" s="31"/>
      <c r="C108" s="31"/>
      <c r="D108" s="31"/>
      <c r="E108" s="31"/>
      <c r="F108" s="31"/>
      <c r="G108" s="31"/>
      <c r="H108" s="31"/>
      <c r="I108" s="31"/>
      <c r="J108" s="31"/>
    </row>
    <row r="109" spans="1:10" x14ac:dyDescent="0.45">
      <c r="A109" s="31"/>
      <c r="B109" s="31"/>
      <c r="C109" s="31"/>
      <c r="D109" s="31"/>
      <c r="E109" s="31"/>
      <c r="F109" s="31"/>
      <c r="G109" s="31"/>
      <c r="H109" s="31"/>
      <c r="I109" s="31"/>
      <c r="J109" s="31"/>
    </row>
    <row r="110" spans="1:10" x14ac:dyDescent="0.45">
      <c r="A110" s="31"/>
      <c r="B110" s="31"/>
      <c r="C110" s="31"/>
      <c r="D110" s="31"/>
      <c r="E110" s="31"/>
      <c r="F110" s="31"/>
      <c r="G110" s="31"/>
      <c r="H110" s="31"/>
      <c r="I110" s="31"/>
      <c r="J110" s="31"/>
    </row>
    <row r="111" spans="1:10" x14ac:dyDescent="0.45">
      <c r="A111" s="31"/>
      <c r="B111" s="31"/>
      <c r="C111" s="31"/>
      <c r="D111" s="31"/>
      <c r="E111" s="31"/>
      <c r="F111" s="31"/>
      <c r="G111" s="31"/>
      <c r="H111" s="31"/>
      <c r="I111" s="31"/>
      <c r="J111" s="31"/>
    </row>
    <row r="112" spans="1:10" x14ac:dyDescent="0.45">
      <c r="A112" s="31"/>
      <c r="B112" s="31"/>
      <c r="C112" s="31"/>
      <c r="D112" s="31"/>
      <c r="E112" s="31"/>
      <c r="F112" s="31"/>
      <c r="G112" s="31"/>
      <c r="H112" s="31"/>
      <c r="I112" s="31"/>
      <c r="J112" s="31"/>
    </row>
    <row r="113" spans="1:10" x14ac:dyDescent="0.45">
      <c r="A113" s="31"/>
      <c r="B113" s="31"/>
      <c r="C113" s="31"/>
      <c r="D113" s="31"/>
      <c r="E113" s="31"/>
      <c r="F113" s="31"/>
      <c r="G113" s="31"/>
      <c r="H113" s="31"/>
      <c r="I113" s="31"/>
      <c r="J113" s="31"/>
    </row>
    <row r="114" spans="1:10" x14ac:dyDescent="0.45">
      <c r="A114" s="31"/>
      <c r="B114" s="31"/>
      <c r="C114" s="31"/>
      <c r="D114" s="31"/>
      <c r="E114" s="31"/>
      <c r="F114" s="31"/>
      <c r="G114" s="31"/>
      <c r="H114" s="31"/>
      <c r="I114" s="31"/>
      <c r="J114" s="31"/>
    </row>
    <row r="115" spans="1:10" x14ac:dyDescent="0.45">
      <c r="A115" s="31"/>
      <c r="B115" s="31"/>
      <c r="C115" s="31"/>
      <c r="D115" s="31"/>
      <c r="E115" s="31"/>
      <c r="F115" s="31"/>
      <c r="G115" s="31"/>
      <c r="H115" s="31"/>
      <c r="I115" s="31"/>
      <c r="J115" s="31"/>
    </row>
    <row r="116" spans="1:10" x14ac:dyDescent="0.45">
      <c r="A116" s="31"/>
      <c r="B116" s="31"/>
      <c r="C116" s="31"/>
      <c r="D116" s="31"/>
      <c r="E116" s="31"/>
      <c r="F116" s="31"/>
      <c r="G116" s="31"/>
      <c r="H116" s="31"/>
      <c r="I116" s="31"/>
      <c r="J116" s="31"/>
    </row>
    <row r="117" spans="1:10" x14ac:dyDescent="0.45">
      <c r="A117" s="31"/>
      <c r="B117" s="31"/>
      <c r="C117" s="31"/>
      <c r="D117" s="31"/>
      <c r="E117" s="31"/>
      <c r="F117" s="31"/>
      <c r="G117" s="31"/>
      <c r="H117" s="31"/>
      <c r="I117" s="31"/>
      <c r="J117" s="31"/>
    </row>
    <row r="118" spans="1:10" x14ac:dyDescent="0.45">
      <c r="A118" s="31"/>
      <c r="B118" s="31"/>
      <c r="C118" s="31"/>
      <c r="D118" s="31"/>
      <c r="E118" s="31"/>
      <c r="F118" s="31"/>
      <c r="G118" s="31"/>
      <c r="H118" s="31"/>
      <c r="I118" s="31"/>
      <c r="J118" s="31"/>
    </row>
    <row r="119" spans="1:10" x14ac:dyDescent="0.45">
      <c r="A119" s="31"/>
      <c r="B119" s="31"/>
      <c r="C119" s="31"/>
      <c r="D119" s="31"/>
      <c r="E119" s="31"/>
      <c r="F119" s="31"/>
      <c r="G119" s="31"/>
      <c r="H119" s="31"/>
      <c r="I119" s="31"/>
      <c r="J119" s="31"/>
    </row>
    <row r="120" spans="1:10" x14ac:dyDescent="0.45">
      <c r="A120" s="31"/>
      <c r="B120" s="31"/>
      <c r="C120" s="31"/>
      <c r="D120" s="31"/>
      <c r="E120" s="31"/>
      <c r="F120" s="31"/>
      <c r="G120" s="31"/>
      <c r="H120" s="31"/>
      <c r="I120" s="31"/>
      <c r="J120" s="31"/>
    </row>
    <row r="121" spans="1:10" x14ac:dyDescent="0.45">
      <c r="A121" s="31"/>
      <c r="B121" s="31"/>
      <c r="C121" s="31"/>
      <c r="D121" s="31"/>
      <c r="E121" s="31"/>
      <c r="F121" s="31"/>
      <c r="G121" s="31"/>
      <c r="H121" s="31"/>
      <c r="I121" s="31"/>
      <c r="J121" s="31"/>
    </row>
    <row r="122" spans="1:10" x14ac:dyDescent="0.45">
      <c r="A122" s="31"/>
      <c r="B122" s="31"/>
      <c r="C122" s="31"/>
      <c r="D122" s="31"/>
      <c r="E122" s="31"/>
      <c r="F122" s="31"/>
      <c r="G122" s="31"/>
      <c r="H122" s="31"/>
      <c r="I122" s="31"/>
      <c r="J122" s="31"/>
    </row>
    <row r="123" spans="1:10" x14ac:dyDescent="0.45">
      <c r="A123" s="31"/>
      <c r="B123" s="31"/>
      <c r="C123" s="31"/>
      <c r="D123" s="31"/>
      <c r="E123" s="31"/>
      <c r="F123" s="31"/>
      <c r="G123" s="31"/>
      <c r="H123" s="31"/>
      <c r="I123" s="31"/>
      <c r="J123" s="31"/>
    </row>
    <row r="124" spans="1:10" x14ac:dyDescent="0.45">
      <c r="A124" s="31"/>
      <c r="B124" s="31"/>
      <c r="C124" s="31"/>
      <c r="D124" s="31"/>
      <c r="E124" s="31"/>
      <c r="F124" s="31"/>
      <c r="G124" s="31"/>
      <c r="H124" s="31"/>
      <c r="I124" s="31"/>
      <c r="J124" s="31"/>
    </row>
    <row r="125" spans="1:10" x14ac:dyDescent="0.45">
      <c r="A125" s="31"/>
      <c r="B125" s="31"/>
      <c r="C125" s="31"/>
      <c r="D125" s="31"/>
      <c r="E125" s="31"/>
      <c r="F125" s="31"/>
      <c r="G125" s="31"/>
      <c r="H125" s="31"/>
      <c r="I125" s="31"/>
      <c r="J125" s="31"/>
    </row>
    <row r="126" spans="1:10" x14ac:dyDescent="0.45">
      <c r="A126" s="31"/>
      <c r="B126" s="31"/>
      <c r="C126" s="31"/>
      <c r="D126" s="31"/>
      <c r="E126" s="31"/>
      <c r="F126" s="31"/>
      <c r="G126" s="31"/>
      <c r="H126" s="31"/>
      <c r="I126" s="31"/>
      <c r="J126" s="31"/>
    </row>
    <row r="127" spans="1:10" x14ac:dyDescent="0.45">
      <c r="A127" s="31"/>
      <c r="B127" s="31"/>
      <c r="C127" s="31"/>
      <c r="D127" s="31"/>
      <c r="E127" s="31"/>
      <c r="F127" s="31"/>
      <c r="G127" s="31"/>
      <c r="H127" s="31"/>
      <c r="I127" s="31"/>
      <c r="J127" s="31"/>
    </row>
    <row r="128" spans="1:10" x14ac:dyDescent="0.45">
      <c r="A128" s="31"/>
      <c r="B128" s="31"/>
      <c r="C128" s="31"/>
      <c r="D128" s="31"/>
      <c r="E128" s="31"/>
      <c r="F128" s="31"/>
      <c r="G128" s="31"/>
      <c r="H128" s="31"/>
      <c r="I128" s="31"/>
      <c r="J128" s="31"/>
    </row>
    <row r="129" spans="1:10" x14ac:dyDescent="0.45">
      <c r="A129" s="31"/>
      <c r="B129" s="31"/>
      <c r="C129" s="31"/>
      <c r="D129" s="31"/>
      <c r="E129" s="31"/>
      <c r="F129" s="31"/>
      <c r="G129" s="31"/>
      <c r="H129" s="31"/>
      <c r="I129" s="31"/>
      <c r="J129" s="31"/>
    </row>
    <row r="130" spans="1:10" x14ac:dyDescent="0.45">
      <c r="A130" s="31"/>
      <c r="B130" s="31"/>
      <c r="C130" s="31"/>
      <c r="D130" s="31"/>
      <c r="E130" s="31"/>
      <c r="F130" s="31"/>
      <c r="G130" s="31"/>
      <c r="H130" s="31"/>
      <c r="I130" s="31"/>
      <c r="J130" s="31"/>
    </row>
    <row r="131" spans="1:10" x14ac:dyDescent="0.45">
      <c r="A131" s="31"/>
      <c r="B131" s="31"/>
      <c r="C131" s="31"/>
      <c r="D131" s="31"/>
      <c r="E131" s="31"/>
      <c r="F131" s="31"/>
      <c r="G131" s="31"/>
      <c r="H131" s="31"/>
      <c r="I131" s="31"/>
      <c r="J131" s="31"/>
    </row>
    <row r="132" spans="1:10" x14ac:dyDescent="0.45">
      <c r="A132" s="31"/>
      <c r="B132" s="31"/>
      <c r="C132" s="31"/>
      <c r="D132" s="31"/>
      <c r="E132" s="31"/>
      <c r="F132" s="31"/>
      <c r="G132" s="31"/>
      <c r="H132" s="31"/>
      <c r="I132" s="31"/>
      <c r="J132" s="31"/>
    </row>
    <row r="133" spans="1:10" x14ac:dyDescent="0.45">
      <c r="A133" s="31"/>
      <c r="B133" s="31"/>
      <c r="C133" s="31"/>
      <c r="D133" s="31"/>
      <c r="E133" s="31"/>
      <c r="F133" s="31"/>
      <c r="G133" s="31"/>
      <c r="H133" s="31"/>
      <c r="I133" s="31"/>
      <c r="J133" s="31"/>
    </row>
    <row r="134" spans="1:10" x14ac:dyDescent="0.45">
      <c r="A134" s="31"/>
      <c r="B134" s="31"/>
      <c r="C134" s="31"/>
      <c r="D134" s="31"/>
      <c r="E134" s="31"/>
      <c r="F134" s="31"/>
      <c r="G134" s="31"/>
      <c r="H134" s="31"/>
      <c r="I134" s="31"/>
      <c r="J134" s="31"/>
    </row>
    <row r="135" spans="1:10" x14ac:dyDescent="0.45">
      <c r="A135" s="31"/>
      <c r="B135" s="31"/>
      <c r="C135" s="31"/>
      <c r="D135" s="31"/>
      <c r="E135" s="31"/>
      <c r="F135" s="31"/>
      <c r="G135" s="31"/>
      <c r="H135" s="31"/>
      <c r="I135" s="31"/>
      <c r="J135" s="31"/>
    </row>
    <row r="136" spans="1:10" x14ac:dyDescent="0.45">
      <c r="A136" s="31"/>
      <c r="B136" s="31"/>
      <c r="C136" s="31"/>
      <c r="D136" s="31"/>
      <c r="E136" s="31"/>
      <c r="F136" s="31"/>
      <c r="G136" s="31"/>
      <c r="H136" s="31"/>
      <c r="I136" s="31"/>
      <c r="J136" s="31"/>
    </row>
    <row r="137" spans="1:10" x14ac:dyDescent="0.45">
      <c r="A137" s="31"/>
      <c r="B137" s="31"/>
      <c r="C137" s="31"/>
      <c r="D137" s="31"/>
      <c r="E137" s="31"/>
      <c r="F137" s="31"/>
      <c r="G137" s="31"/>
      <c r="H137" s="31"/>
      <c r="I137" s="31"/>
      <c r="J137" s="31"/>
    </row>
    <row r="138" spans="1:10" x14ac:dyDescent="0.45">
      <c r="A138" s="31"/>
      <c r="B138" s="31"/>
      <c r="C138" s="31"/>
      <c r="D138" s="31"/>
      <c r="E138" s="31"/>
      <c r="F138" s="31"/>
      <c r="G138" s="31"/>
      <c r="H138" s="31"/>
      <c r="I138" s="31"/>
      <c r="J138" s="31"/>
    </row>
    <row r="139" spans="1:10" x14ac:dyDescent="0.45">
      <c r="A139" s="31"/>
      <c r="B139" s="31"/>
      <c r="C139" s="31"/>
      <c r="D139" s="31"/>
      <c r="E139" s="31"/>
      <c r="F139" s="31"/>
      <c r="G139" s="31"/>
      <c r="H139" s="31"/>
      <c r="I139" s="31"/>
      <c r="J139" s="31"/>
    </row>
    <row r="140" spans="1:10" x14ac:dyDescent="0.45">
      <c r="A140" s="31"/>
      <c r="B140" s="31"/>
      <c r="C140" s="31"/>
      <c r="D140" s="31"/>
      <c r="E140" s="31"/>
      <c r="F140" s="31"/>
      <c r="G140" s="31"/>
      <c r="H140" s="31"/>
      <c r="I140" s="31"/>
      <c r="J140" s="31"/>
    </row>
    <row r="141" spans="1:10" x14ac:dyDescent="0.45">
      <c r="A141" s="31"/>
      <c r="B141" s="31"/>
      <c r="C141" s="31"/>
      <c r="D141" s="31"/>
      <c r="E141" s="31"/>
      <c r="F141" s="31"/>
      <c r="G141" s="31"/>
      <c r="H141" s="31"/>
      <c r="I141" s="31"/>
      <c r="J141" s="31"/>
    </row>
    <row r="142" spans="1:10" x14ac:dyDescent="0.45">
      <c r="A142" s="31"/>
      <c r="B142" s="31"/>
      <c r="C142" s="31"/>
      <c r="D142" s="31"/>
      <c r="E142" s="31"/>
      <c r="F142" s="31"/>
      <c r="G142" s="31"/>
      <c r="H142" s="31"/>
      <c r="I142" s="31"/>
      <c r="J142" s="31"/>
    </row>
    <row r="143" spans="1:10" x14ac:dyDescent="0.45">
      <c r="A143" s="31"/>
      <c r="B143" s="31"/>
      <c r="C143" s="31"/>
      <c r="D143" s="31"/>
      <c r="E143" s="31"/>
      <c r="F143" s="31"/>
      <c r="G143" s="31"/>
      <c r="H143" s="31"/>
      <c r="I143" s="31"/>
      <c r="J143" s="31"/>
    </row>
    <row r="144" spans="1:10" x14ac:dyDescent="0.45">
      <c r="A144" s="31"/>
      <c r="B144" s="31"/>
      <c r="C144" s="31"/>
      <c r="D144" s="31"/>
      <c r="E144" s="31"/>
      <c r="F144" s="31"/>
      <c r="G144" s="31"/>
      <c r="H144" s="31"/>
      <c r="I144" s="31"/>
      <c r="J144" s="31"/>
    </row>
    <row r="145" spans="1:10" x14ac:dyDescent="0.45">
      <c r="A145" s="31"/>
      <c r="B145" s="31"/>
      <c r="C145" s="31"/>
      <c r="D145" s="31"/>
      <c r="E145" s="31"/>
      <c r="F145" s="31"/>
      <c r="G145" s="31"/>
      <c r="H145" s="31"/>
      <c r="I145" s="31"/>
      <c r="J145" s="31"/>
    </row>
    <row r="146" spans="1:10" x14ac:dyDescent="0.45">
      <c r="A146" s="31"/>
      <c r="B146" s="31"/>
      <c r="C146" s="31"/>
      <c r="D146" s="31"/>
      <c r="E146" s="31"/>
      <c r="F146" s="31"/>
      <c r="G146" s="31"/>
      <c r="H146" s="31"/>
      <c r="I146" s="31"/>
      <c r="J146" s="31"/>
    </row>
    <row r="147" spans="1:10" x14ac:dyDescent="0.45">
      <c r="A147" s="31"/>
      <c r="B147" s="31"/>
      <c r="C147" s="31"/>
      <c r="D147" s="31"/>
      <c r="E147" s="31"/>
      <c r="F147" s="31"/>
      <c r="G147" s="31"/>
      <c r="H147" s="31"/>
      <c r="I147" s="31"/>
      <c r="J147" s="31"/>
    </row>
    <row r="148" spans="1:10" x14ac:dyDescent="0.45">
      <c r="A148" s="31"/>
      <c r="B148" s="31"/>
      <c r="C148" s="31"/>
      <c r="D148" s="31"/>
      <c r="E148" s="31"/>
      <c r="F148" s="31"/>
      <c r="G148" s="31"/>
      <c r="H148" s="31"/>
      <c r="I148" s="31"/>
      <c r="J148" s="31"/>
    </row>
    <row r="149" spans="1:10" x14ac:dyDescent="0.45">
      <c r="A149" s="31"/>
      <c r="B149" s="31"/>
      <c r="C149" s="31"/>
      <c r="D149" s="31"/>
      <c r="E149" s="31"/>
      <c r="F149" s="31"/>
      <c r="G149" s="31"/>
      <c r="H149" s="31"/>
      <c r="I149" s="31"/>
      <c r="J149" s="31"/>
    </row>
    <row r="150" spans="1:10" x14ac:dyDescent="0.45">
      <c r="A150" s="31"/>
      <c r="B150" s="31"/>
      <c r="C150" s="31"/>
      <c r="D150" s="31"/>
      <c r="E150" s="31"/>
      <c r="F150" s="31"/>
      <c r="G150" s="31"/>
      <c r="H150" s="31"/>
      <c r="I150" s="31"/>
      <c r="J150" s="31"/>
    </row>
    <row r="151" spans="1:10" x14ac:dyDescent="0.45">
      <c r="A151" s="31"/>
      <c r="B151" s="31"/>
      <c r="C151" s="31"/>
      <c r="D151" s="31"/>
      <c r="E151" s="31"/>
      <c r="F151" s="31"/>
      <c r="G151" s="31"/>
      <c r="H151" s="31"/>
      <c r="I151" s="31"/>
      <c r="J151" s="31"/>
    </row>
    <row r="152" spans="1:10" x14ac:dyDescent="0.45">
      <c r="A152" s="31"/>
      <c r="B152" s="31"/>
      <c r="C152" s="31"/>
      <c r="D152" s="31"/>
      <c r="E152" s="31"/>
      <c r="F152" s="31"/>
      <c r="G152" s="31"/>
      <c r="H152" s="31"/>
      <c r="I152" s="31"/>
      <c r="J152" s="31"/>
    </row>
    <row r="153" spans="1:10" x14ac:dyDescent="0.45">
      <c r="A153" s="31"/>
      <c r="B153" s="31"/>
      <c r="C153" s="31"/>
      <c r="D153" s="31"/>
      <c r="E153" s="31"/>
      <c r="F153" s="31"/>
      <c r="G153" s="31"/>
      <c r="H153" s="31"/>
      <c r="I153" s="31"/>
      <c r="J153" s="31"/>
    </row>
    <row r="154" spans="1:10" x14ac:dyDescent="0.45">
      <c r="A154" s="31"/>
      <c r="B154" s="31"/>
      <c r="C154" s="31"/>
      <c r="D154" s="31"/>
      <c r="E154" s="31"/>
      <c r="F154" s="31"/>
      <c r="G154" s="31"/>
      <c r="H154" s="31"/>
      <c r="I154" s="31"/>
      <c r="J154" s="31"/>
    </row>
    <row r="155" spans="1:10" x14ac:dyDescent="0.45">
      <c r="A155" s="31"/>
      <c r="B155" s="31"/>
      <c r="C155" s="31"/>
      <c r="D155" s="31"/>
      <c r="E155" s="31"/>
      <c r="F155" s="31"/>
      <c r="G155" s="31"/>
      <c r="H155" s="31"/>
      <c r="I155" s="31"/>
      <c r="J155" s="31"/>
    </row>
    <row r="156" spans="1:10" x14ac:dyDescent="0.45">
      <c r="A156" s="31"/>
      <c r="B156" s="31"/>
      <c r="C156" s="31"/>
      <c r="D156" s="31"/>
      <c r="E156" s="31"/>
      <c r="F156" s="31"/>
      <c r="G156" s="31"/>
      <c r="H156" s="31"/>
      <c r="I156" s="31"/>
      <c r="J156" s="31"/>
    </row>
    <row r="157" spans="1:10" x14ac:dyDescent="0.45">
      <c r="A157" s="31"/>
      <c r="B157" s="31"/>
      <c r="C157" s="31"/>
      <c r="D157" s="31"/>
      <c r="E157" s="31"/>
      <c r="F157" s="31"/>
      <c r="G157" s="31"/>
      <c r="H157" s="31"/>
      <c r="I157" s="31"/>
      <c r="J157" s="31"/>
    </row>
    <row r="158" spans="1:10" x14ac:dyDescent="0.45">
      <c r="A158" s="31"/>
      <c r="B158" s="31"/>
      <c r="C158" s="31"/>
      <c r="D158" s="31"/>
      <c r="E158" s="31"/>
      <c r="F158" s="31"/>
      <c r="G158" s="31"/>
      <c r="H158" s="31"/>
      <c r="I158" s="31"/>
      <c r="J158" s="31"/>
    </row>
    <row r="159" spans="1:10" x14ac:dyDescent="0.45">
      <c r="A159" s="31"/>
      <c r="B159" s="31"/>
      <c r="C159" s="31"/>
      <c r="D159" s="31"/>
      <c r="E159" s="31"/>
      <c r="F159" s="31"/>
      <c r="G159" s="31"/>
      <c r="H159" s="31"/>
      <c r="I159" s="31"/>
      <c r="J159" s="31"/>
    </row>
    <row r="160" spans="1:10" x14ac:dyDescent="0.45">
      <c r="A160" s="31"/>
      <c r="B160" s="31"/>
      <c r="C160" s="31"/>
      <c r="D160" s="31"/>
      <c r="E160" s="31"/>
      <c r="F160" s="31"/>
      <c r="G160" s="31"/>
      <c r="H160" s="31"/>
      <c r="I160" s="31"/>
      <c r="J160" s="31"/>
    </row>
    <row r="161" spans="1:10" x14ac:dyDescent="0.45">
      <c r="A161" s="31"/>
      <c r="B161" s="31"/>
      <c r="C161" s="31"/>
      <c r="D161" s="31"/>
      <c r="E161" s="31"/>
      <c r="F161" s="31"/>
      <c r="G161" s="31"/>
      <c r="H161" s="31"/>
      <c r="I161" s="31"/>
      <c r="J161" s="31"/>
    </row>
    <row r="162" spans="1:10" x14ac:dyDescent="0.45">
      <c r="A162" s="31"/>
      <c r="B162" s="31"/>
      <c r="C162" s="31"/>
      <c r="D162" s="31"/>
      <c r="E162" s="31"/>
      <c r="F162" s="31"/>
      <c r="G162" s="31"/>
      <c r="H162" s="31"/>
      <c r="I162" s="31"/>
      <c r="J162" s="31"/>
    </row>
    <row r="163" spans="1:10" x14ac:dyDescent="0.45">
      <c r="A163" s="31"/>
      <c r="B163" s="31"/>
      <c r="C163" s="31"/>
      <c r="D163" s="31"/>
      <c r="E163" s="31"/>
      <c r="F163" s="31"/>
      <c r="G163" s="31"/>
      <c r="H163" s="31"/>
      <c r="I163" s="31"/>
      <c r="J163" s="31"/>
    </row>
    <row r="164" spans="1:10" x14ac:dyDescent="0.45">
      <c r="A164" s="31"/>
      <c r="B164" s="31"/>
      <c r="C164" s="31"/>
      <c r="D164" s="31"/>
      <c r="E164" s="31"/>
      <c r="F164" s="31"/>
      <c r="G164" s="31"/>
      <c r="H164" s="31"/>
      <c r="I164" s="31"/>
      <c r="J164" s="31"/>
    </row>
    <row r="165" spans="1:10" x14ac:dyDescent="0.45">
      <c r="A165" s="31"/>
      <c r="B165" s="31"/>
      <c r="C165" s="31"/>
      <c r="D165" s="31"/>
      <c r="E165" s="31"/>
      <c r="F165" s="31"/>
      <c r="G165" s="31"/>
      <c r="H165" s="31"/>
      <c r="I165" s="31"/>
      <c r="J165" s="31"/>
    </row>
    <row r="166" spans="1:10" x14ac:dyDescent="0.45">
      <c r="A166" s="31"/>
      <c r="B166" s="31"/>
      <c r="C166" s="31"/>
      <c r="D166" s="31"/>
      <c r="E166" s="31"/>
      <c r="F166" s="31"/>
      <c r="G166" s="31"/>
      <c r="H166" s="31"/>
      <c r="I166" s="31"/>
      <c r="J166" s="31"/>
    </row>
    <row r="167" spans="1:10" x14ac:dyDescent="0.45">
      <c r="A167" s="31"/>
      <c r="B167" s="31"/>
      <c r="C167" s="31"/>
      <c r="D167" s="31"/>
      <c r="E167" s="31"/>
      <c r="F167" s="31"/>
      <c r="G167" s="31"/>
      <c r="H167" s="31"/>
      <c r="I167" s="31"/>
      <c r="J167" s="31"/>
    </row>
    <row r="168" spans="1:10" x14ac:dyDescent="0.45">
      <c r="A168" s="31"/>
      <c r="B168" s="31"/>
      <c r="C168" s="31"/>
      <c r="D168" s="31"/>
      <c r="E168" s="31"/>
      <c r="F168" s="31"/>
      <c r="G168" s="31"/>
      <c r="H168" s="31"/>
      <c r="I168" s="31"/>
      <c r="J168" s="31"/>
    </row>
    <row r="169" spans="1:10" x14ac:dyDescent="0.45">
      <c r="A169" s="31"/>
      <c r="B169" s="31"/>
      <c r="C169" s="31"/>
      <c r="D169" s="31"/>
      <c r="E169" s="31"/>
      <c r="F169" s="31"/>
      <c r="G169" s="31"/>
      <c r="H169" s="31"/>
      <c r="I169" s="31"/>
      <c r="J169" s="31"/>
    </row>
    <row r="170" spans="1:10" x14ac:dyDescent="0.45">
      <c r="A170" s="31"/>
      <c r="B170" s="31"/>
      <c r="C170" s="31"/>
      <c r="D170" s="31"/>
      <c r="E170" s="31"/>
      <c r="F170" s="31"/>
      <c r="G170" s="31"/>
      <c r="H170" s="31"/>
      <c r="I170" s="31"/>
      <c r="J170" s="31"/>
    </row>
    <row r="171" spans="1:10" x14ac:dyDescent="0.45">
      <c r="A171" s="31"/>
      <c r="B171" s="31"/>
      <c r="C171" s="31"/>
      <c r="D171" s="31"/>
      <c r="E171" s="31"/>
      <c r="F171" s="31"/>
      <c r="G171" s="31"/>
      <c r="H171" s="31"/>
      <c r="I171" s="31"/>
      <c r="J171" s="31"/>
    </row>
    <row r="172" spans="1:10" x14ac:dyDescent="0.45">
      <c r="A172" s="31"/>
      <c r="B172" s="31"/>
      <c r="C172" s="31"/>
      <c r="D172" s="31"/>
      <c r="E172" s="31"/>
      <c r="F172" s="31"/>
      <c r="G172" s="31"/>
      <c r="H172" s="31"/>
      <c r="I172" s="31"/>
      <c r="J172" s="31"/>
    </row>
    <row r="173" spans="1:10" x14ac:dyDescent="0.45">
      <c r="A173" s="31"/>
      <c r="B173" s="31"/>
      <c r="C173" s="31"/>
      <c r="D173" s="31"/>
      <c r="E173" s="31"/>
      <c r="F173" s="31"/>
      <c r="G173" s="31"/>
      <c r="H173" s="31"/>
      <c r="I173" s="31"/>
      <c r="J173" s="31"/>
    </row>
    <row r="174" spans="1:10" x14ac:dyDescent="0.45">
      <c r="A174" s="31"/>
      <c r="B174" s="31"/>
      <c r="C174" s="31"/>
      <c r="D174" s="31"/>
      <c r="E174" s="31"/>
      <c r="F174" s="31"/>
      <c r="G174" s="31"/>
      <c r="H174" s="31"/>
      <c r="I174" s="31"/>
      <c r="J174" s="31"/>
    </row>
    <row r="175" spans="1:10" x14ac:dyDescent="0.45">
      <c r="A175" s="31"/>
      <c r="B175" s="31"/>
      <c r="C175" s="31"/>
      <c r="D175" s="31"/>
      <c r="E175" s="31"/>
      <c r="F175" s="31"/>
      <c r="G175" s="31"/>
      <c r="H175" s="31"/>
      <c r="I175" s="31"/>
      <c r="J175" s="31"/>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1:BP60"/>
  <sheetViews>
    <sheetView showGridLines="0" topLeftCell="A10" zoomScaleNormal="100" zoomScaleSheetLayoutView="85" workbookViewId="0">
      <selection activeCell="E21" sqref="E21"/>
    </sheetView>
  </sheetViews>
  <sheetFormatPr defaultColWidth="8.86328125" defaultRowHeight="14.25" x14ac:dyDescent="0.45"/>
  <cols>
    <col min="1" max="1" width="2.53125" style="17" customWidth="1"/>
    <col min="2" max="2" width="16.796875" style="17" bestFit="1" customWidth="1"/>
    <col min="3" max="3" width="7.86328125" style="17" bestFit="1" customWidth="1"/>
    <col min="4" max="5" width="10.46484375" style="17" customWidth="1"/>
    <col min="6" max="6" width="17.86328125" style="17" bestFit="1" customWidth="1"/>
    <col min="7" max="7" width="4.53125" style="17" bestFit="1" customWidth="1"/>
    <col min="8" max="68" width="1.86328125" style="17" customWidth="1"/>
    <col min="69" max="16384" width="8.86328125" style="17"/>
  </cols>
  <sheetData>
    <row r="1" spans="1:68" ht="12" customHeight="1" x14ac:dyDescent="0.45">
      <c r="BP1" s="63" t="str">
        <f>"Currently running: "&amp;CHOOSE(Sensitivity!$E$8,Sensitivity!$B$11,Sensitivity!$B$12,Sensitivity!$B$13)</f>
        <v>Currently running: Base Case</v>
      </c>
    </row>
    <row r="2" spans="1:68" ht="75" customHeight="1" x14ac:dyDescent="0.45">
      <c r="BP2" s="63"/>
    </row>
    <row r="3" spans="1:68" ht="18" x14ac:dyDescent="0.55000000000000004">
      <c r="B3" s="535" t="str">
        <f>Cover!A10</f>
        <v xml:space="preserve">Apartment Development Model 
</v>
      </c>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35"/>
      <c r="AE3" s="535"/>
      <c r="AF3" s="535"/>
      <c r="AG3" s="535"/>
      <c r="AH3" s="535"/>
      <c r="AI3" s="535"/>
      <c r="AJ3" s="535"/>
      <c r="AK3" s="535"/>
      <c r="AL3" s="535"/>
      <c r="AM3" s="535"/>
      <c r="AN3" s="535"/>
      <c r="AO3" s="535"/>
      <c r="AP3" s="535"/>
      <c r="AQ3" s="535"/>
      <c r="AR3" s="535"/>
      <c r="AS3" s="535"/>
      <c r="AT3" s="535"/>
      <c r="AU3" s="535"/>
      <c r="AV3" s="535"/>
      <c r="AW3" s="535"/>
      <c r="AX3" s="535"/>
      <c r="AY3" s="535"/>
      <c r="AZ3" s="535"/>
      <c r="BA3" s="535"/>
      <c r="BB3" s="535"/>
      <c r="BC3" s="535"/>
      <c r="BD3" s="535"/>
      <c r="BE3" s="535"/>
      <c r="BF3" s="535"/>
      <c r="BG3" s="535"/>
      <c r="BH3" s="535"/>
      <c r="BI3" s="535"/>
      <c r="BJ3" s="535"/>
      <c r="BK3" s="535"/>
      <c r="BL3" s="535"/>
      <c r="BM3" s="535"/>
      <c r="BN3" s="535"/>
      <c r="BO3" s="535"/>
      <c r="BP3" s="535"/>
    </row>
    <row r="4" spans="1:68" x14ac:dyDescent="0.45">
      <c r="B4" s="536" t="str">
        <f>Cover!A12</f>
        <v>Suburban / Urban Location</v>
      </c>
      <c r="C4" s="536"/>
      <c r="D4" s="536"/>
      <c r="E4" s="536"/>
      <c r="F4" s="536"/>
      <c r="G4" s="536"/>
      <c r="H4" s="536"/>
      <c r="I4" s="536"/>
      <c r="J4" s="536"/>
      <c r="K4" s="536"/>
      <c r="L4" s="536"/>
      <c r="M4" s="536"/>
      <c r="N4" s="536"/>
      <c r="O4" s="536"/>
      <c r="P4" s="536"/>
      <c r="Q4" s="536"/>
      <c r="R4" s="536"/>
      <c r="S4" s="536"/>
      <c r="T4" s="536"/>
      <c r="U4" s="536"/>
      <c r="V4" s="536"/>
      <c r="W4" s="536"/>
      <c r="X4" s="536"/>
      <c r="Y4" s="536"/>
      <c r="Z4" s="536"/>
      <c r="AA4" s="536"/>
      <c r="AB4" s="536"/>
      <c r="AC4" s="536"/>
      <c r="AD4" s="536"/>
      <c r="AE4" s="536"/>
      <c r="AF4" s="536"/>
      <c r="AG4" s="536"/>
      <c r="AH4" s="536"/>
      <c r="AI4" s="536"/>
      <c r="AJ4" s="536"/>
      <c r="AK4" s="536"/>
      <c r="AL4" s="536"/>
      <c r="AM4" s="536"/>
      <c r="AN4" s="536"/>
      <c r="AO4" s="536"/>
      <c r="AP4" s="536"/>
      <c r="AQ4" s="536"/>
      <c r="AR4" s="536"/>
      <c r="AS4" s="536"/>
      <c r="AT4" s="536"/>
      <c r="AU4" s="536"/>
      <c r="AV4" s="536"/>
      <c r="AW4" s="536"/>
      <c r="AX4" s="536"/>
      <c r="AY4" s="536"/>
      <c r="AZ4" s="536"/>
      <c r="BA4" s="536"/>
      <c r="BB4" s="536"/>
      <c r="BC4" s="536"/>
      <c r="BD4" s="536"/>
      <c r="BE4" s="536"/>
      <c r="BF4" s="536"/>
      <c r="BG4" s="536"/>
      <c r="BH4" s="536"/>
      <c r="BI4" s="536"/>
      <c r="BJ4" s="536"/>
      <c r="BK4" s="536"/>
      <c r="BL4" s="536"/>
      <c r="BM4" s="536"/>
      <c r="BN4" s="536"/>
      <c r="BO4" s="536"/>
      <c r="BP4" s="536"/>
    </row>
    <row r="5" spans="1:68" x14ac:dyDescent="0.45">
      <c r="B5" s="521" t="s">
        <v>112</v>
      </c>
      <c r="C5" s="521"/>
      <c r="D5" s="521"/>
      <c r="E5" s="521"/>
      <c r="F5" s="521"/>
      <c r="G5" s="521"/>
      <c r="H5" s="521"/>
      <c r="I5" s="521"/>
      <c r="J5" s="521"/>
      <c r="K5" s="521"/>
      <c r="L5" s="521"/>
      <c r="M5" s="521"/>
      <c r="N5" s="521"/>
      <c r="O5" s="521"/>
      <c r="P5" s="521"/>
      <c r="Q5" s="521"/>
      <c r="R5" s="521"/>
      <c r="S5" s="521"/>
      <c r="T5" s="521"/>
      <c r="U5" s="521"/>
      <c r="V5" s="521"/>
      <c r="W5" s="521"/>
      <c r="X5" s="521"/>
      <c r="Y5" s="521"/>
      <c r="Z5" s="521"/>
      <c r="AA5" s="521"/>
      <c r="AB5" s="521"/>
      <c r="AC5" s="521"/>
      <c r="AD5" s="521"/>
      <c r="AE5" s="521"/>
      <c r="AF5" s="521"/>
      <c r="AG5" s="521"/>
      <c r="AH5" s="521"/>
      <c r="AI5" s="521"/>
      <c r="AJ5" s="521"/>
      <c r="AK5" s="521"/>
      <c r="AL5" s="521"/>
      <c r="AM5" s="521"/>
      <c r="AN5" s="521"/>
      <c r="AO5" s="521"/>
      <c r="AP5" s="521"/>
      <c r="AQ5" s="521"/>
      <c r="AR5" s="521"/>
      <c r="AS5" s="521"/>
      <c r="AT5" s="521"/>
      <c r="AU5" s="521"/>
      <c r="AV5" s="521"/>
      <c r="AW5" s="521"/>
      <c r="AX5" s="521"/>
      <c r="AY5" s="521"/>
      <c r="AZ5" s="521"/>
      <c r="BA5" s="521"/>
      <c r="BB5" s="521"/>
      <c r="BC5" s="521"/>
      <c r="BD5" s="521"/>
      <c r="BE5" s="521"/>
      <c r="BF5" s="521"/>
      <c r="BG5" s="521"/>
      <c r="BH5" s="521"/>
      <c r="BI5" s="521"/>
      <c r="BJ5" s="521"/>
      <c r="BK5" s="521"/>
      <c r="BL5" s="521"/>
      <c r="BM5" s="521"/>
      <c r="BN5" s="521"/>
      <c r="BO5" s="521"/>
      <c r="BP5" s="521"/>
    </row>
    <row r="6" spans="1:68" ht="3.6" customHeight="1" thickBot="1" x14ac:dyDescent="0.5">
      <c r="A6" s="18"/>
      <c r="B6" s="18"/>
      <c r="C6" s="18"/>
      <c r="D6" s="18"/>
      <c r="E6" s="18"/>
      <c r="F6" s="18"/>
      <c r="G6" s="18"/>
      <c r="H6" s="18"/>
      <c r="I6" s="415"/>
      <c r="J6" s="415"/>
      <c r="K6" s="415"/>
      <c r="L6" s="415"/>
      <c r="M6" s="415"/>
      <c r="N6" s="415"/>
      <c r="O6" s="415"/>
      <c r="P6" s="415"/>
      <c r="Q6" s="415"/>
      <c r="R6" s="415"/>
      <c r="S6" s="415"/>
      <c r="T6" s="415"/>
      <c r="U6" s="415"/>
      <c r="V6" s="415"/>
      <c r="W6" s="415"/>
      <c r="X6" s="415"/>
      <c r="Y6" s="415"/>
      <c r="Z6" s="415"/>
      <c r="AA6" s="415"/>
      <c r="AB6" s="415"/>
      <c r="AC6" s="415"/>
      <c r="AD6" s="415"/>
      <c r="AE6" s="415"/>
      <c r="AF6" s="415"/>
      <c r="AG6" s="415"/>
      <c r="AH6" s="415"/>
      <c r="AI6" s="415"/>
      <c r="AJ6" s="415"/>
      <c r="AK6" s="415"/>
      <c r="AL6" s="415"/>
      <c r="AM6" s="415"/>
      <c r="AN6" s="415"/>
      <c r="AO6" s="415"/>
      <c r="AP6" s="415"/>
      <c r="AQ6" s="415"/>
      <c r="AR6" s="415"/>
      <c r="AS6" s="415"/>
      <c r="AT6" s="415"/>
      <c r="AU6" s="415"/>
      <c r="AV6" s="415"/>
      <c r="AW6" s="415"/>
      <c r="AX6" s="415"/>
      <c r="AY6" s="415"/>
      <c r="AZ6" s="415"/>
      <c r="BA6" s="415"/>
      <c r="BB6" s="415"/>
      <c r="BC6" s="415"/>
      <c r="BD6" s="415"/>
      <c r="BE6" s="18"/>
      <c r="BF6" s="18"/>
      <c r="BG6" s="18"/>
      <c r="BH6" s="18"/>
      <c r="BI6" s="18"/>
      <c r="BJ6" s="18"/>
      <c r="BK6" s="18"/>
      <c r="BL6" s="18"/>
      <c r="BM6" s="18"/>
      <c r="BN6" s="18"/>
      <c r="BO6" s="18"/>
      <c r="BP6" s="18"/>
    </row>
    <row r="7" spans="1:68" ht="14" customHeight="1" x14ac:dyDescent="0.45">
      <c r="A7" s="411"/>
      <c r="B7" s="412"/>
      <c r="C7" s="412"/>
      <c r="D7" s="412"/>
      <c r="E7" s="412"/>
      <c r="F7" s="412"/>
      <c r="G7" s="412"/>
      <c r="H7" s="412"/>
      <c r="I7" s="411"/>
      <c r="J7" s="412"/>
      <c r="K7" s="412"/>
      <c r="L7" s="412"/>
      <c r="M7" s="412"/>
      <c r="N7" s="412"/>
      <c r="O7" s="412"/>
      <c r="P7" s="412"/>
      <c r="Q7" s="412"/>
      <c r="R7" s="412"/>
      <c r="S7" s="412"/>
      <c r="T7" s="412"/>
      <c r="U7" s="412"/>
      <c r="V7" s="412"/>
      <c r="W7" s="412"/>
      <c r="X7" s="412"/>
      <c r="Y7" s="412"/>
      <c r="Z7" s="412"/>
      <c r="AA7" s="412"/>
      <c r="AB7" s="412"/>
      <c r="AC7" s="412"/>
      <c r="AD7" s="412"/>
      <c r="AE7" s="412"/>
      <c r="AF7" s="412"/>
      <c r="AG7" s="412"/>
      <c r="AH7" s="412"/>
      <c r="AI7" s="412"/>
      <c r="AJ7" s="412"/>
      <c r="AK7" s="412"/>
      <c r="AL7" s="412"/>
      <c r="AM7" s="412"/>
      <c r="AN7" s="412"/>
      <c r="AO7" s="412"/>
      <c r="AP7" s="412"/>
      <c r="AQ7" s="412"/>
      <c r="AR7" s="412"/>
      <c r="AS7" s="412"/>
      <c r="AT7" s="412"/>
      <c r="AU7" s="412"/>
      <c r="AV7" s="411"/>
      <c r="AW7" s="412"/>
      <c r="AX7" s="412"/>
      <c r="AY7" s="412"/>
      <c r="AZ7" s="412"/>
      <c r="BA7" s="412"/>
      <c r="BB7" s="412"/>
      <c r="BC7" s="412"/>
      <c r="BD7" s="413"/>
      <c r="BE7" s="412"/>
      <c r="BF7" s="412"/>
      <c r="BG7" s="412"/>
      <c r="BH7" s="412"/>
      <c r="BI7" s="412"/>
      <c r="BJ7" s="412"/>
      <c r="BK7" s="412"/>
      <c r="BL7" s="412"/>
      <c r="BM7" s="412"/>
      <c r="BN7" s="412"/>
      <c r="BO7" s="412"/>
      <c r="BP7" s="413"/>
    </row>
    <row r="8" spans="1:68" ht="14" customHeight="1" x14ac:dyDescent="0.45">
      <c r="A8" s="414"/>
      <c r="B8" s="415" t="s">
        <v>113</v>
      </c>
      <c r="C8" s="415"/>
      <c r="D8" s="106">
        <v>44562</v>
      </c>
      <c r="E8" s="415"/>
      <c r="F8" s="415"/>
      <c r="G8" s="415"/>
      <c r="H8" s="415"/>
      <c r="I8" s="414"/>
      <c r="J8" s="415"/>
      <c r="K8" s="415"/>
      <c r="L8" s="415"/>
      <c r="M8" s="415"/>
      <c r="N8" s="415"/>
      <c r="O8" s="415"/>
      <c r="P8" s="415"/>
      <c r="Q8" s="415"/>
      <c r="R8" s="415"/>
      <c r="S8" s="415"/>
      <c r="T8" s="415"/>
      <c r="U8" s="415"/>
      <c r="V8" s="415"/>
      <c r="W8" s="415"/>
      <c r="X8" s="415"/>
      <c r="Y8" s="415"/>
      <c r="Z8" s="415"/>
      <c r="AA8" s="415"/>
      <c r="AB8" s="415"/>
      <c r="AC8" s="415"/>
      <c r="AD8" s="415"/>
      <c r="AE8" s="415"/>
      <c r="AF8" s="415"/>
      <c r="AG8" s="415"/>
      <c r="AH8" s="415"/>
      <c r="AI8" s="415"/>
      <c r="AJ8" s="415"/>
      <c r="AK8" s="415"/>
      <c r="AL8" s="415"/>
      <c r="AM8" s="415"/>
      <c r="AN8" s="415"/>
      <c r="AO8" s="415"/>
      <c r="AP8" s="415"/>
      <c r="AQ8" s="415"/>
      <c r="AR8" s="415"/>
      <c r="AS8" s="415"/>
      <c r="AT8" s="415"/>
      <c r="AU8" s="415"/>
      <c r="AV8" s="414"/>
      <c r="AW8" s="415"/>
      <c r="AX8" s="415"/>
      <c r="AY8" s="415"/>
      <c r="AZ8" s="415"/>
      <c r="BA8" s="415"/>
      <c r="BB8" s="415"/>
      <c r="BC8" s="415"/>
      <c r="BD8" s="416"/>
      <c r="BE8" s="415"/>
      <c r="BF8" s="415"/>
      <c r="BG8" s="415"/>
      <c r="BH8" s="415"/>
      <c r="BI8" s="415"/>
      <c r="BJ8" s="415"/>
      <c r="BK8" s="415"/>
      <c r="BL8" s="415"/>
      <c r="BM8" s="415"/>
      <c r="BN8" s="415"/>
      <c r="BO8" s="415"/>
      <c r="BP8" s="416"/>
    </row>
    <row r="9" spans="1:68" ht="14" customHeight="1" x14ac:dyDescent="0.45">
      <c r="A9" s="414"/>
      <c r="B9" s="415"/>
      <c r="C9" s="415"/>
      <c r="D9" s="106"/>
      <c r="E9" s="415"/>
      <c r="F9" s="415"/>
      <c r="G9" s="415"/>
      <c r="H9" s="415"/>
      <c r="I9" s="414"/>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415"/>
      <c r="AU9" s="415"/>
      <c r="AV9" s="414"/>
      <c r="AW9" s="415"/>
      <c r="AX9" s="415"/>
      <c r="AY9" s="415"/>
      <c r="AZ9" s="415"/>
      <c r="BA9" s="415"/>
      <c r="BB9" s="415"/>
      <c r="BC9" s="415"/>
      <c r="BD9" s="416"/>
      <c r="BE9" s="415"/>
      <c r="BF9" s="415"/>
      <c r="BG9" s="415"/>
      <c r="BH9" s="415"/>
      <c r="BI9" s="415"/>
      <c r="BJ9" s="415"/>
      <c r="BK9" s="415"/>
      <c r="BL9" s="415"/>
      <c r="BM9" s="415"/>
      <c r="BN9" s="415"/>
      <c r="BO9" s="415"/>
      <c r="BP9" s="416"/>
    </row>
    <row r="10" spans="1:68" ht="14" customHeight="1" x14ac:dyDescent="0.45">
      <c r="A10" s="414"/>
      <c r="B10" s="415"/>
      <c r="C10" s="415"/>
      <c r="D10" s="415"/>
      <c r="E10" s="415"/>
      <c r="F10" s="415"/>
      <c r="G10" s="415"/>
      <c r="H10" s="415"/>
      <c r="I10" s="425">
        <f>D8</f>
        <v>44562</v>
      </c>
      <c r="J10" s="426">
        <f>EDATE(I10,1)</f>
        <v>44593</v>
      </c>
      <c r="K10" s="426">
        <f t="shared" ref="K10:BP10" si="0">EDATE(J10,1)</f>
        <v>44621</v>
      </c>
      <c r="L10" s="426">
        <f t="shared" si="0"/>
        <v>44652</v>
      </c>
      <c r="M10" s="426">
        <f t="shared" si="0"/>
        <v>44682</v>
      </c>
      <c r="N10" s="426">
        <f t="shared" si="0"/>
        <v>44713</v>
      </c>
      <c r="O10" s="426">
        <f t="shared" si="0"/>
        <v>44743</v>
      </c>
      <c r="P10" s="426">
        <f t="shared" si="0"/>
        <v>44774</v>
      </c>
      <c r="Q10" s="426">
        <f t="shared" si="0"/>
        <v>44805</v>
      </c>
      <c r="R10" s="426">
        <f t="shared" si="0"/>
        <v>44835</v>
      </c>
      <c r="S10" s="426">
        <f t="shared" si="0"/>
        <v>44866</v>
      </c>
      <c r="T10" s="426">
        <f t="shared" si="0"/>
        <v>44896</v>
      </c>
      <c r="U10" s="426">
        <f t="shared" si="0"/>
        <v>44927</v>
      </c>
      <c r="V10" s="426">
        <f t="shared" si="0"/>
        <v>44958</v>
      </c>
      <c r="W10" s="426">
        <f t="shared" si="0"/>
        <v>44986</v>
      </c>
      <c r="X10" s="426">
        <f t="shared" si="0"/>
        <v>45017</v>
      </c>
      <c r="Y10" s="426">
        <f t="shared" si="0"/>
        <v>45047</v>
      </c>
      <c r="Z10" s="426">
        <f t="shared" si="0"/>
        <v>45078</v>
      </c>
      <c r="AA10" s="426">
        <f t="shared" si="0"/>
        <v>45108</v>
      </c>
      <c r="AB10" s="426">
        <f t="shared" si="0"/>
        <v>45139</v>
      </c>
      <c r="AC10" s="426">
        <f t="shared" si="0"/>
        <v>45170</v>
      </c>
      <c r="AD10" s="426">
        <f t="shared" si="0"/>
        <v>45200</v>
      </c>
      <c r="AE10" s="426">
        <f t="shared" si="0"/>
        <v>45231</v>
      </c>
      <c r="AF10" s="426">
        <f t="shared" si="0"/>
        <v>45261</v>
      </c>
      <c r="AG10" s="426">
        <f t="shared" si="0"/>
        <v>45292</v>
      </c>
      <c r="AH10" s="426">
        <f t="shared" si="0"/>
        <v>45323</v>
      </c>
      <c r="AI10" s="426">
        <f t="shared" si="0"/>
        <v>45352</v>
      </c>
      <c r="AJ10" s="426">
        <f t="shared" si="0"/>
        <v>45383</v>
      </c>
      <c r="AK10" s="426">
        <f t="shared" si="0"/>
        <v>45413</v>
      </c>
      <c r="AL10" s="426">
        <f t="shared" si="0"/>
        <v>45444</v>
      </c>
      <c r="AM10" s="426">
        <f t="shared" si="0"/>
        <v>45474</v>
      </c>
      <c r="AN10" s="426">
        <f t="shared" si="0"/>
        <v>45505</v>
      </c>
      <c r="AO10" s="426">
        <f t="shared" si="0"/>
        <v>45536</v>
      </c>
      <c r="AP10" s="426">
        <f t="shared" si="0"/>
        <v>45566</v>
      </c>
      <c r="AQ10" s="426">
        <f t="shared" si="0"/>
        <v>45597</v>
      </c>
      <c r="AR10" s="426">
        <f t="shared" si="0"/>
        <v>45627</v>
      </c>
      <c r="AS10" s="426">
        <f t="shared" si="0"/>
        <v>45658</v>
      </c>
      <c r="AT10" s="426">
        <f t="shared" si="0"/>
        <v>45689</v>
      </c>
      <c r="AU10" s="426">
        <f t="shared" si="0"/>
        <v>45717</v>
      </c>
      <c r="AV10" s="513">
        <f t="shared" si="0"/>
        <v>45748</v>
      </c>
      <c r="AW10" s="426">
        <f t="shared" si="0"/>
        <v>45778</v>
      </c>
      <c r="AX10" s="426">
        <f t="shared" si="0"/>
        <v>45809</v>
      </c>
      <c r="AY10" s="426">
        <f t="shared" si="0"/>
        <v>45839</v>
      </c>
      <c r="AZ10" s="426">
        <f t="shared" si="0"/>
        <v>45870</v>
      </c>
      <c r="BA10" s="426">
        <f t="shared" si="0"/>
        <v>45901</v>
      </c>
      <c r="BB10" s="426">
        <f t="shared" si="0"/>
        <v>45931</v>
      </c>
      <c r="BC10" s="426">
        <f t="shared" si="0"/>
        <v>45962</v>
      </c>
      <c r="BD10" s="427">
        <f t="shared" si="0"/>
        <v>45992</v>
      </c>
      <c r="BE10" s="426">
        <f t="shared" si="0"/>
        <v>46023</v>
      </c>
      <c r="BF10" s="426">
        <f t="shared" si="0"/>
        <v>46054</v>
      </c>
      <c r="BG10" s="426">
        <f t="shared" si="0"/>
        <v>46082</v>
      </c>
      <c r="BH10" s="426">
        <f t="shared" si="0"/>
        <v>46113</v>
      </c>
      <c r="BI10" s="426">
        <f t="shared" si="0"/>
        <v>46143</v>
      </c>
      <c r="BJ10" s="426">
        <f t="shared" si="0"/>
        <v>46174</v>
      </c>
      <c r="BK10" s="426">
        <f t="shared" si="0"/>
        <v>46204</v>
      </c>
      <c r="BL10" s="426">
        <f t="shared" si="0"/>
        <v>46235</v>
      </c>
      <c r="BM10" s="426">
        <f t="shared" si="0"/>
        <v>46266</v>
      </c>
      <c r="BN10" s="426">
        <f t="shared" si="0"/>
        <v>46296</v>
      </c>
      <c r="BO10" s="426">
        <f t="shared" si="0"/>
        <v>46327</v>
      </c>
      <c r="BP10" s="427">
        <f t="shared" si="0"/>
        <v>46357</v>
      </c>
    </row>
    <row r="11" spans="1:68" ht="14" customHeight="1" x14ac:dyDescent="0.45">
      <c r="A11" s="417"/>
      <c r="B11" s="19"/>
      <c r="C11" s="107" t="s">
        <v>107</v>
      </c>
      <c r="D11" s="107" t="s">
        <v>108</v>
      </c>
      <c r="E11" s="107" t="s">
        <v>109</v>
      </c>
      <c r="F11" s="118" t="s">
        <v>110</v>
      </c>
      <c r="G11" s="107" t="s">
        <v>111</v>
      </c>
      <c r="H11" s="19"/>
      <c r="I11" s="537" t="str">
        <f>"Q"&amp;ROUNDUP(MONTH(I10)/3,0)&amp;" "&amp;YEAR(I10)</f>
        <v>Q1 2022</v>
      </c>
      <c r="J11" s="530"/>
      <c r="K11" s="530"/>
      <c r="L11" s="531" t="str">
        <f t="shared" ref="L11" si="1">"Q"&amp;ROUNDUP(MONTH(L10)/3,0)&amp;" "&amp;YEAR(L10)</f>
        <v>Q2 2022</v>
      </c>
      <c r="M11" s="532"/>
      <c r="N11" s="532"/>
      <c r="O11" s="531" t="str">
        <f t="shared" ref="O11" si="2">"Q"&amp;ROUNDUP(MONTH(O10)/3,0)&amp;" "&amp;YEAR(O10)</f>
        <v>Q3 2022</v>
      </c>
      <c r="P11" s="532"/>
      <c r="Q11" s="532"/>
      <c r="R11" s="531" t="str">
        <f t="shared" ref="R11" si="3">"Q"&amp;ROUNDUP(MONTH(R10)/3,0)&amp;" "&amp;YEAR(R10)</f>
        <v>Q4 2022</v>
      </c>
      <c r="S11" s="532"/>
      <c r="T11" s="532"/>
      <c r="U11" s="531" t="str">
        <f t="shared" ref="U11" si="4">"Q"&amp;ROUNDUP(MONTH(U10)/3,0)&amp;" "&amp;YEAR(U10)</f>
        <v>Q1 2023</v>
      </c>
      <c r="V11" s="532"/>
      <c r="W11" s="532"/>
      <c r="X11" s="531" t="str">
        <f t="shared" ref="X11" si="5">"Q"&amp;ROUNDUP(MONTH(X10)/3,0)&amp;" "&amp;YEAR(X10)</f>
        <v>Q2 2023</v>
      </c>
      <c r="Y11" s="532"/>
      <c r="Z11" s="532"/>
      <c r="AA11" s="531" t="str">
        <f t="shared" ref="AA11" si="6">"Q"&amp;ROUNDUP(MONTH(AA10)/3,0)&amp;" "&amp;YEAR(AA10)</f>
        <v>Q3 2023</v>
      </c>
      <c r="AB11" s="532"/>
      <c r="AC11" s="532"/>
      <c r="AD11" s="531" t="str">
        <f t="shared" ref="AD11" si="7">"Q"&amp;ROUNDUP(MONTH(AD10)/3,0)&amp;" "&amp;YEAR(AD10)</f>
        <v>Q4 2023</v>
      </c>
      <c r="AE11" s="532"/>
      <c r="AF11" s="532"/>
      <c r="AG11" s="531" t="str">
        <f t="shared" ref="AG11" si="8">"Q"&amp;ROUNDUP(MONTH(AG10)/3,0)&amp;" "&amp;YEAR(AG10)</f>
        <v>Q1 2024</v>
      </c>
      <c r="AH11" s="532"/>
      <c r="AI11" s="532"/>
      <c r="AJ11" s="531" t="str">
        <f t="shared" ref="AJ11" si="9">"Q"&amp;ROUNDUP(MONTH(AJ10)/3,0)&amp;" "&amp;YEAR(AJ10)</f>
        <v>Q2 2024</v>
      </c>
      <c r="AK11" s="532"/>
      <c r="AL11" s="532"/>
      <c r="AM11" s="529" t="str">
        <f t="shared" ref="AM11" si="10">"Q"&amp;ROUNDUP(MONTH(AM10)/3,0)&amp;" "&amp;YEAR(AM10)</f>
        <v>Q3 2024</v>
      </c>
      <c r="AN11" s="530"/>
      <c r="AO11" s="530"/>
      <c r="AP11" s="531" t="str">
        <f t="shared" ref="AP11" si="11">"Q"&amp;ROUNDUP(MONTH(AP10)/3,0)&amp;" "&amp;YEAR(AP10)</f>
        <v>Q4 2024</v>
      </c>
      <c r="AQ11" s="532"/>
      <c r="AR11" s="532"/>
      <c r="AS11" s="529" t="str">
        <f t="shared" ref="AS11" si="12">"Q"&amp;ROUNDUP(MONTH(AS10)/3,0)&amp;" "&amp;YEAR(AS10)</f>
        <v>Q1 2025</v>
      </c>
      <c r="AT11" s="530"/>
      <c r="AU11" s="530"/>
      <c r="AV11" s="533" t="str">
        <f t="shared" ref="AV11" si="13">"Q"&amp;ROUNDUP(MONTH(AV10)/3,0)&amp;" "&amp;YEAR(AV10)</f>
        <v>Q2 2025</v>
      </c>
      <c r="AW11" s="532"/>
      <c r="AX11" s="532"/>
      <c r="AY11" s="526" t="str">
        <f t="shared" ref="AY11" si="14">"Q"&amp;ROUNDUP(MONTH(AY10)/3,0)&amp;" "&amp;YEAR(AY10)</f>
        <v>Q3 2025</v>
      </c>
      <c r="AZ11" s="527"/>
      <c r="BA11" s="527"/>
      <c r="BB11" s="531" t="str">
        <f t="shared" ref="BB11" si="15">"Q"&amp;ROUNDUP(MONTH(BB10)/3,0)&amp;" "&amp;YEAR(BB10)</f>
        <v>Q4 2025</v>
      </c>
      <c r="BC11" s="532"/>
      <c r="BD11" s="534"/>
      <c r="BE11" s="527" t="str">
        <f t="shared" ref="BE11" si="16">"Q"&amp;ROUNDUP(MONTH(BE10)/3,0)&amp;" "&amp;YEAR(BE10)</f>
        <v>Q1 2026</v>
      </c>
      <c r="BF11" s="527"/>
      <c r="BG11" s="527"/>
      <c r="BH11" s="531" t="str">
        <f t="shared" ref="BH11" si="17">"Q"&amp;ROUNDUP(MONTH(BH10)/3,0)&amp;" "&amp;YEAR(BH10)</f>
        <v>Q2 2026</v>
      </c>
      <c r="BI11" s="532"/>
      <c r="BJ11" s="532"/>
      <c r="BK11" s="531" t="str">
        <f t="shared" ref="BK11" si="18">"Q"&amp;ROUNDUP(MONTH(BK10)/3,0)&amp;" "&amp;YEAR(BK10)</f>
        <v>Q3 2026</v>
      </c>
      <c r="BL11" s="532"/>
      <c r="BM11" s="532"/>
      <c r="BN11" s="526" t="str">
        <f t="shared" ref="BN11" si="19">"Q"&amp;ROUNDUP(MONTH(BN10)/3,0)&amp;" "&amp;YEAR(BN10)</f>
        <v>Q4 2026</v>
      </c>
      <c r="BO11" s="527"/>
      <c r="BP11" s="528"/>
    </row>
    <row r="12" spans="1:68" ht="14" customHeight="1" x14ac:dyDescent="0.45">
      <c r="A12" s="414"/>
      <c r="B12" s="82"/>
      <c r="C12" s="415"/>
      <c r="D12" s="415"/>
      <c r="E12" s="415"/>
      <c r="F12" s="415"/>
      <c r="G12" s="415"/>
      <c r="H12" s="86"/>
      <c r="I12" s="428"/>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428"/>
      <c r="AW12" s="86"/>
      <c r="AX12" s="86"/>
      <c r="AY12" s="86"/>
      <c r="AZ12" s="86"/>
      <c r="BA12" s="86"/>
      <c r="BB12" s="86"/>
      <c r="BC12" s="86"/>
      <c r="BD12" s="418"/>
      <c r="BE12" s="86"/>
      <c r="BF12" s="86"/>
      <c r="BG12" s="86"/>
      <c r="BH12" s="86"/>
      <c r="BI12" s="86"/>
      <c r="BJ12" s="86"/>
      <c r="BK12" s="86"/>
      <c r="BL12" s="86"/>
      <c r="BM12" s="86"/>
      <c r="BN12" s="86"/>
      <c r="BO12" s="86"/>
      <c r="BP12" s="418"/>
    </row>
    <row r="13" spans="1:68" ht="14" customHeight="1" x14ac:dyDescent="0.45">
      <c r="A13" s="414"/>
      <c r="B13" s="86" t="s">
        <v>106</v>
      </c>
      <c r="C13" s="116">
        <v>0</v>
      </c>
      <c r="D13" s="108">
        <f>D8</f>
        <v>44562</v>
      </c>
      <c r="E13" s="108">
        <f>EDATE(D13,C13)</f>
        <v>44562</v>
      </c>
      <c r="F13" s="82" t="str">
        <f>B8</f>
        <v>Project Start Date</v>
      </c>
      <c r="G13" s="105">
        <v>0</v>
      </c>
      <c r="H13" s="82"/>
      <c r="I13" s="429">
        <f>IF(AND(I$10&gt;=$D13,I$10&lt;=$E13),1,"")</f>
        <v>1</v>
      </c>
      <c r="J13" s="82" t="str">
        <f t="shared" ref="J13:BP20" si="20">IF(AND(J$10&gt;=$D13,J$10&lt;=$E13),1,"")</f>
        <v/>
      </c>
      <c r="K13" s="82" t="str">
        <f t="shared" si="20"/>
        <v/>
      </c>
      <c r="L13" s="82" t="str">
        <f t="shared" si="20"/>
        <v/>
      </c>
      <c r="M13" s="82" t="str">
        <f t="shared" si="20"/>
        <v/>
      </c>
      <c r="N13" s="82" t="str">
        <f t="shared" si="20"/>
        <v/>
      </c>
      <c r="O13" s="82" t="str">
        <f t="shared" si="20"/>
        <v/>
      </c>
      <c r="P13" s="82" t="str">
        <f t="shared" si="20"/>
        <v/>
      </c>
      <c r="Q13" s="82" t="str">
        <f t="shared" si="20"/>
        <v/>
      </c>
      <c r="R13" s="82" t="str">
        <f t="shared" si="20"/>
        <v/>
      </c>
      <c r="S13" s="82" t="str">
        <f t="shared" si="20"/>
        <v/>
      </c>
      <c r="T13" s="82" t="str">
        <f t="shared" si="20"/>
        <v/>
      </c>
      <c r="U13" s="82" t="str">
        <f t="shared" si="20"/>
        <v/>
      </c>
      <c r="V13" s="82" t="str">
        <f t="shared" si="20"/>
        <v/>
      </c>
      <c r="W13" s="82" t="str">
        <f t="shared" si="20"/>
        <v/>
      </c>
      <c r="X13" s="82" t="str">
        <f t="shared" si="20"/>
        <v/>
      </c>
      <c r="Y13" s="82" t="str">
        <f t="shared" si="20"/>
        <v/>
      </c>
      <c r="Z13" s="82" t="str">
        <f t="shared" si="20"/>
        <v/>
      </c>
      <c r="AA13" s="82" t="str">
        <f t="shared" si="20"/>
        <v/>
      </c>
      <c r="AB13" s="82" t="str">
        <f t="shared" si="20"/>
        <v/>
      </c>
      <c r="AC13" s="82" t="str">
        <f t="shared" si="20"/>
        <v/>
      </c>
      <c r="AD13" s="82" t="str">
        <f t="shared" si="20"/>
        <v/>
      </c>
      <c r="AE13" s="82" t="str">
        <f t="shared" si="20"/>
        <v/>
      </c>
      <c r="AF13" s="82" t="str">
        <f t="shared" si="20"/>
        <v/>
      </c>
      <c r="AG13" s="82" t="str">
        <f t="shared" si="20"/>
        <v/>
      </c>
      <c r="AH13" s="82" t="str">
        <f t="shared" si="20"/>
        <v/>
      </c>
      <c r="AI13" s="82" t="str">
        <f t="shared" si="20"/>
        <v/>
      </c>
      <c r="AJ13" s="82" t="str">
        <f t="shared" si="20"/>
        <v/>
      </c>
      <c r="AK13" s="82" t="str">
        <f t="shared" si="20"/>
        <v/>
      </c>
      <c r="AL13" s="82" t="str">
        <f t="shared" si="20"/>
        <v/>
      </c>
      <c r="AM13" s="82" t="str">
        <f t="shared" si="20"/>
        <v/>
      </c>
      <c r="AN13" s="82" t="str">
        <f t="shared" si="20"/>
        <v/>
      </c>
      <c r="AO13" s="82" t="str">
        <f t="shared" si="20"/>
        <v/>
      </c>
      <c r="AP13" s="82" t="str">
        <f t="shared" si="20"/>
        <v/>
      </c>
      <c r="AQ13" s="82" t="str">
        <f t="shared" si="20"/>
        <v/>
      </c>
      <c r="AR13" s="82" t="str">
        <f t="shared" si="20"/>
        <v/>
      </c>
      <c r="AS13" s="82" t="str">
        <f t="shared" si="20"/>
        <v/>
      </c>
      <c r="AT13" s="82" t="str">
        <f t="shared" si="20"/>
        <v/>
      </c>
      <c r="AU13" s="82" t="str">
        <f t="shared" si="20"/>
        <v/>
      </c>
      <c r="AV13" s="429" t="str">
        <f t="shared" si="20"/>
        <v/>
      </c>
      <c r="AW13" s="82" t="str">
        <f t="shared" si="20"/>
        <v/>
      </c>
      <c r="AX13" s="82" t="str">
        <f t="shared" si="20"/>
        <v/>
      </c>
      <c r="AY13" s="82" t="str">
        <f t="shared" si="20"/>
        <v/>
      </c>
      <c r="AZ13" s="82" t="str">
        <f t="shared" si="20"/>
        <v/>
      </c>
      <c r="BA13" s="82" t="str">
        <f t="shared" si="20"/>
        <v/>
      </c>
      <c r="BB13" s="82" t="str">
        <f t="shared" si="20"/>
        <v/>
      </c>
      <c r="BC13" s="82" t="str">
        <f t="shared" si="20"/>
        <v/>
      </c>
      <c r="BD13" s="419" t="str">
        <f t="shared" si="20"/>
        <v/>
      </c>
      <c r="BE13" s="82" t="str">
        <f t="shared" si="20"/>
        <v/>
      </c>
      <c r="BF13" s="82" t="str">
        <f t="shared" si="20"/>
        <v/>
      </c>
      <c r="BG13" s="82" t="str">
        <f t="shared" si="20"/>
        <v/>
      </c>
      <c r="BH13" s="82" t="str">
        <f t="shared" si="20"/>
        <v/>
      </c>
      <c r="BI13" s="82" t="str">
        <f t="shared" si="20"/>
        <v/>
      </c>
      <c r="BJ13" s="82" t="str">
        <f t="shared" si="20"/>
        <v/>
      </c>
      <c r="BK13" s="82" t="str">
        <f t="shared" si="20"/>
        <v/>
      </c>
      <c r="BL13" s="82" t="str">
        <f t="shared" si="20"/>
        <v/>
      </c>
      <c r="BM13" s="82" t="str">
        <f t="shared" si="20"/>
        <v/>
      </c>
      <c r="BN13" s="82" t="str">
        <f t="shared" si="20"/>
        <v/>
      </c>
      <c r="BO13" s="82" t="str">
        <f t="shared" si="20"/>
        <v/>
      </c>
      <c r="BP13" s="419" t="str">
        <f t="shared" si="20"/>
        <v/>
      </c>
    </row>
    <row r="14" spans="1:68" ht="14" customHeight="1" x14ac:dyDescent="0.45">
      <c r="A14" s="414"/>
      <c r="B14" s="86"/>
      <c r="C14" s="116"/>
      <c r="D14" s="108"/>
      <c r="E14" s="108"/>
      <c r="F14" s="82"/>
      <c r="G14" s="82"/>
      <c r="H14" s="82"/>
      <c r="I14" s="429"/>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429"/>
      <c r="AW14" s="82"/>
      <c r="AX14" s="82"/>
      <c r="AY14" s="82"/>
      <c r="AZ14" s="82"/>
      <c r="BA14" s="82"/>
      <c r="BB14" s="82"/>
      <c r="BC14" s="82"/>
      <c r="BD14" s="419"/>
      <c r="BE14" s="82"/>
      <c r="BF14" s="82"/>
      <c r="BG14" s="82"/>
      <c r="BH14" s="82"/>
      <c r="BI14" s="82"/>
      <c r="BJ14" s="82"/>
      <c r="BK14" s="82"/>
      <c r="BL14" s="82"/>
      <c r="BM14" s="82"/>
      <c r="BN14" s="82"/>
      <c r="BO14" s="82"/>
      <c r="BP14" s="419"/>
    </row>
    <row r="15" spans="1:68" ht="14" customHeight="1" x14ac:dyDescent="0.45">
      <c r="A15" s="414"/>
      <c r="B15" s="86" t="s">
        <v>94</v>
      </c>
      <c r="C15" s="116">
        <v>12</v>
      </c>
      <c r="D15" s="108">
        <f>EDATE(E13,G15+1)</f>
        <v>44593</v>
      </c>
      <c r="E15" s="108">
        <f>EDATE(D15,C15)</f>
        <v>44958</v>
      </c>
      <c r="F15" s="82" t="str">
        <f>B13</f>
        <v>Land Purchase</v>
      </c>
      <c r="G15" s="105">
        <v>0</v>
      </c>
      <c r="H15" s="82"/>
      <c r="I15" s="429" t="str">
        <f>IF(AND(I$10&gt;=$D15,I$10&lt;=$E15),1,"")</f>
        <v/>
      </c>
      <c r="J15" s="82">
        <f t="shared" si="20"/>
        <v>1</v>
      </c>
      <c r="K15" s="82">
        <f t="shared" si="20"/>
        <v>1</v>
      </c>
      <c r="L15" s="82">
        <f t="shared" si="20"/>
        <v>1</v>
      </c>
      <c r="M15" s="82">
        <f t="shared" si="20"/>
        <v>1</v>
      </c>
      <c r="N15" s="82">
        <f t="shared" si="20"/>
        <v>1</v>
      </c>
      <c r="O15" s="82">
        <f t="shared" si="20"/>
        <v>1</v>
      </c>
      <c r="P15" s="82">
        <f t="shared" si="20"/>
        <v>1</v>
      </c>
      <c r="Q15" s="82">
        <f t="shared" si="20"/>
        <v>1</v>
      </c>
      <c r="R15" s="82">
        <f t="shared" si="20"/>
        <v>1</v>
      </c>
      <c r="S15" s="82">
        <f t="shared" si="20"/>
        <v>1</v>
      </c>
      <c r="T15" s="82">
        <f t="shared" si="20"/>
        <v>1</v>
      </c>
      <c r="U15" s="82">
        <f t="shared" si="20"/>
        <v>1</v>
      </c>
      <c r="V15" s="82">
        <f t="shared" si="20"/>
        <v>1</v>
      </c>
      <c r="W15" s="82" t="str">
        <f t="shared" si="20"/>
        <v/>
      </c>
      <c r="X15" s="82" t="str">
        <f t="shared" si="20"/>
        <v/>
      </c>
      <c r="Y15" s="82" t="str">
        <f t="shared" si="20"/>
        <v/>
      </c>
      <c r="Z15" s="82" t="str">
        <f t="shared" si="20"/>
        <v/>
      </c>
      <c r="AA15" s="82" t="str">
        <f t="shared" si="20"/>
        <v/>
      </c>
      <c r="AB15" s="82" t="str">
        <f t="shared" si="20"/>
        <v/>
      </c>
      <c r="AC15" s="82" t="str">
        <f t="shared" si="20"/>
        <v/>
      </c>
      <c r="AD15" s="82" t="str">
        <f t="shared" si="20"/>
        <v/>
      </c>
      <c r="AE15" s="82" t="str">
        <f t="shared" si="20"/>
        <v/>
      </c>
      <c r="AF15" s="82" t="str">
        <f t="shared" si="20"/>
        <v/>
      </c>
      <c r="AG15" s="82" t="str">
        <f t="shared" si="20"/>
        <v/>
      </c>
      <c r="AH15" s="82" t="str">
        <f t="shared" si="20"/>
        <v/>
      </c>
      <c r="AI15" s="82" t="str">
        <f t="shared" si="20"/>
        <v/>
      </c>
      <c r="AJ15" s="82" t="str">
        <f t="shared" si="20"/>
        <v/>
      </c>
      <c r="AK15" s="82" t="str">
        <f t="shared" si="20"/>
        <v/>
      </c>
      <c r="AL15" s="82" t="str">
        <f t="shared" si="20"/>
        <v/>
      </c>
      <c r="AM15" s="82" t="str">
        <f t="shared" si="20"/>
        <v/>
      </c>
      <c r="AN15" s="82" t="str">
        <f t="shared" si="20"/>
        <v/>
      </c>
      <c r="AO15" s="82" t="str">
        <f t="shared" si="20"/>
        <v/>
      </c>
      <c r="AP15" s="82" t="str">
        <f t="shared" si="20"/>
        <v/>
      </c>
      <c r="AQ15" s="82" t="str">
        <f t="shared" si="20"/>
        <v/>
      </c>
      <c r="AR15" s="82" t="str">
        <f t="shared" si="20"/>
        <v/>
      </c>
      <c r="AS15" s="82" t="str">
        <f t="shared" si="20"/>
        <v/>
      </c>
      <c r="AT15" s="82" t="str">
        <f t="shared" si="20"/>
        <v/>
      </c>
      <c r="AU15" s="82" t="str">
        <f t="shared" si="20"/>
        <v/>
      </c>
      <c r="AV15" s="429" t="str">
        <f t="shared" si="20"/>
        <v/>
      </c>
      <c r="AW15" s="82" t="str">
        <f t="shared" si="20"/>
        <v/>
      </c>
      <c r="AX15" s="82" t="str">
        <f t="shared" si="20"/>
        <v/>
      </c>
      <c r="AY15" s="82" t="str">
        <f t="shared" si="20"/>
        <v/>
      </c>
      <c r="AZ15" s="82" t="str">
        <f t="shared" si="20"/>
        <v/>
      </c>
      <c r="BA15" s="82" t="str">
        <f t="shared" si="20"/>
        <v/>
      </c>
      <c r="BB15" s="82" t="str">
        <f t="shared" si="20"/>
        <v/>
      </c>
      <c r="BC15" s="82" t="str">
        <f t="shared" si="20"/>
        <v/>
      </c>
      <c r="BD15" s="419" t="str">
        <f t="shared" si="20"/>
        <v/>
      </c>
      <c r="BE15" s="82" t="str">
        <f t="shared" si="20"/>
        <v/>
      </c>
      <c r="BF15" s="82" t="str">
        <f t="shared" si="20"/>
        <v/>
      </c>
      <c r="BG15" s="82" t="str">
        <f t="shared" si="20"/>
        <v/>
      </c>
      <c r="BH15" s="82" t="str">
        <f t="shared" si="20"/>
        <v/>
      </c>
      <c r="BI15" s="82" t="str">
        <f t="shared" si="20"/>
        <v/>
      </c>
      <c r="BJ15" s="82" t="str">
        <f t="shared" si="20"/>
        <v/>
      </c>
      <c r="BK15" s="82" t="str">
        <f t="shared" si="20"/>
        <v/>
      </c>
      <c r="BL15" s="82" t="str">
        <f t="shared" si="20"/>
        <v/>
      </c>
      <c r="BM15" s="82" t="str">
        <f t="shared" si="20"/>
        <v/>
      </c>
      <c r="BN15" s="82" t="str">
        <f t="shared" si="20"/>
        <v/>
      </c>
      <c r="BO15" s="82" t="str">
        <f t="shared" si="20"/>
        <v/>
      </c>
      <c r="BP15" s="419" t="str">
        <f t="shared" si="20"/>
        <v/>
      </c>
    </row>
    <row r="16" spans="1:68" ht="14" customHeight="1" x14ac:dyDescent="0.45">
      <c r="A16" s="414"/>
      <c r="B16" s="86"/>
      <c r="C16" s="116"/>
      <c r="D16" s="108"/>
      <c r="E16" s="108"/>
      <c r="F16" s="82"/>
      <c r="G16" s="82"/>
      <c r="H16" s="82"/>
      <c r="I16" s="429"/>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429"/>
      <c r="AW16" s="82"/>
      <c r="AX16" s="82"/>
      <c r="AY16" s="82"/>
      <c r="AZ16" s="82"/>
      <c r="BA16" s="82"/>
      <c r="BB16" s="82"/>
      <c r="BC16" s="82"/>
      <c r="BD16" s="419"/>
      <c r="BE16" s="82"/>
      <c r="BF16" s="82"/>
      <c r="BG16" s="82"/>
      <c r="BH16" s="82"/>
      <c r="BI16" s="82"/>
      <c r="BJ16" s="82"/>
      <c r="BK16" s="82"/>
      <c r="BL16" s="82"/>
      <c r="BM16" s="82"/>
      <c r="BN16" s="82"/>
      <c r="BO16" s="82"/>
      <c r="BP16" s="419"/>
    </row>
    <row r="17" spans="1:68" ht="14" customHeight="1" x14ac:dyDescent="0.45">
      <c r="A17" s="414"/>
      <c r="B17" s="86" t="s">
        <v>22</v>
      </c>
      <c r="C17" s="117">
        <f>Sensitivity!H20</f>
        <v>18</v>
      </c>
      <c r="D17" s="108">
        <f t="shared" ref="D17:D21" si="21">EDATE(E15,G17+1)</f>
        <v>44986</v>
      </c>
      <c r="E17" s="108">
        <f t="shared" ref="E17:E21" si="22">EDATE(D17,C17)</f>
        <v>45536</v>
      </c>
      <c r="F17" s="82" t="str">
        <f>B15</f>
        <v>Pre-Development</v>
      </c>
      <c r="G17" s="105">
        <v>0</v>
      </c>
      <c r="H17" s="82"/>
      <c r="I17" s="429" t="str">
        <f>IF(AND(I$10&gt;=$D17,I$10&lt;=$E17),1,"")</f>
        <v/>
      </c>
      <c r="J17" s="82" t="str">
        <f t="shared" si="20"/>
        <v/>
      </c>
      <c r="K17" s="82" t="str">
        <f t="shared" si="20"/>
        <v/>
      </c>
      <c r="L17" s="82" t="str">
        <f t="shared" si="20"/>
        <v/>
      </c>
      <c r="M17" s="82" t="str">
        <f t="shared" si="20"/>
        <v/>
      </c>
      <c r="N17" s="82" t="str">
        <f t="shared" si="20"/>
        <v/>
      </c>
      <c r="O17" s="82" t="str">
        <f t="shared" si="20"/>
        <v/>
      </c>
      <c r="P17" s="82" t="str">
        <f t="shared" si="20"/>
        <v/>
      </c>
      <c r="Q17" s="82" t="str">
        <f t="shared" si="20"/>
        <v/>
      </c>
      <c r="R17" s="82" t="str">
        <f t="shared" si="20"/>
        <v/>
      </c>
      <c r="S17" s="82" t="str">
        <f t="shared" si="20"/>
        <v/>
      </c>
      <c r="T17" s="82" t="str">
        <f t="shared" si="20"/>
        <v/>
      </c>
      <c r="U17" s="82" t="str">
        <f t="shared" si="20"/>
        <v/>
      </c>
      <c r="V17" s="82" t="str">
        <f t="shared" si="20"/>
        <v/>
      </c>
      <c r="W17" s="82">
        <f t="shared" si="20"/>
        <v>1</v>
      </c>
      <c r="X17" s="82">
        <f t="shared" si="20"/>
        <v>1</v>
      </c>
      <c r="Y17" s="82">
        <f t="shared" si="20"/>
        <v>1</v>
      </c>
      <c r="Z17" s="82">
        <f t="shared" si="20"/>
        <v>1</v>
      </c>
      <c r="AA17" s="82">
        <f t="shared" si="20"/>
        <v>1</v>
      </c>
      <c r="AB17" s="82">
        <f t="shared" si="20"/>
        <v>1</v>
      </c>
      <c r="AC17" s="82">
        <f t="shared" si="20"/>
        <v>1</v>
      </c>
      <c r="AD17" s="82">
        <f t="shared" si="20"/>
        <v>1</v>
      </c>
      <c r="AE17" s="82">
        <f t="shared" si="20"/>
        <v>1</v>
      </c>
      <c r="AF17" s="82">
        <f t="shared" si="20"/>
        <v>1</v>
      </c>
      <c r="AG17" s="82">
        <f t="shared" si="20"/>
        <v>1</v>
      </c>
      <c r="AH17" s="82">
        <f t="shared" si="20"/>
        <v>1</v>
      </c>
      <c r="AI17" s="82">
        <f t="shared" si="20"/>
        <v>1</v>
      </c>
      <c r="AJ17" s="82">
        <f t="shared" si="20"/>
        <v>1</v>
      </c>
      <c r="AK17" s="82">
        <f t="shared" si="20"/>
        <v>1</v>
      </c>
      <c r="AL17" s="82">
        <f t="shared" si="20"/>
        <v>1</v>
      </c>
      <c r="AM17" s="82">
        <f t="shared" si="20"/>
        <v>1</v>
      </c>
      <c r="AN17" s="82">
        <f t="shared" si="20"/>
        <v>1</v>
      </c>
      <c r="AO17" s="82">
        <f t="shared" si="20"/>
        <v>1</v>
      </c>
      <c r="AP17" s="82" t="str">
        <f t="shared" si="20"/>
        <v/>
      </c>
      <c r="AQ17" s="82" t="str">
        <f t="shared" si="20"/>
        <v/>
      </c>
      <c r="AR17" s="82" t="str">
        <f t="shared" si="20"/>
        <v/>
      </c>
      <c r="AS17" s="82" t="str">
        <f t="shared" si="20"/>
        <v/>
      </c>
      <c r="AT17" s="82" t="str">
        <f t="shared" si="20"/>
        <v/>
      </c>
      <c r="AU17" s="82" t="str">
        <f t="shared" si="20"/>
        <v/>
      </c>
      <c r="AV17" s="429" t="str">
        <f t="shared" si="20"/>
        <v/>
      </c>
      <c r="AW17" s="82" t="str">
        <f t="shared" si="20"/>
        <v/>
      </c>
      <c r="AX17" s="82" t="str">
        <f t="shared" si="20"/>
        <v/>
      </c>
      <c r="AY17" s="82" t="str">
        <f t="shared" si="20"/>
        <v/>
      </c>
      <c r="AZ17" s="82" t="str">
        <f t="shared" si="20"/>
        <v/>
      </c>
      <c r="BA17" s="82" t="str">
        <f t="shared" si="20"/>
        <v/>
      </c>
      <c r="BB17" s="82" t="str">
        <f t="shared" si="20"/>
        <v/>
      </c>
      <c r="BC17" s="82" t="str">
        <f t="shared" si="20"/>
        <v/>
      </c>
      <c r="BD17" s="419" t="str">
        <f t="shared" si="20"/>
        <v/>
      </c>
      <c r="BE17" s="82" t="str">
        <f t="shared" si="20"/>
        <v/>
      </c>
      <c r="BF17" s="82" t="str">
        <f t="shared" si="20"/>
        <v/>
      </c>
      <c r="BG17" s="82" t="str">
        <f t="shared" si="20"/>
        <v/>
      </c>
      <c r="BH17" s="82" t="str">
        <f t="shared" si="20"/>
        <v/>
      </c>
      <c r="BI17" s="82" t="str">
        <f t="shared" si="20"/>
        <v/>
      </c>
      <c r="BJ17" s="82" t="str">
        <f t="shared" si="20"/>
        <v/>
      </c>
      <c r="BK17" s="82" t="str">
        <f t="shared" si="20"/>
        <v/>
      </c>
      <c r="BL17" s="82" t="str">
        <f t="shared" si="20"/>
        <v/>
      </c>
      <c r="BM17" s="82" t="str">
        <f t="shared" si="20"/>
        <v/>
      </c>
      <c r="BN17" s="82" t="str">
        <f t="shared" si="20"/>
        <v/>
      </c>
      <c r="BO17" s="82" t="str">
        <f t="shared" si="20"/>
        <v/>
      </c>
      <c r="BP17" s="419" t="str">
        <f t="shared" si="20"/>
        <v/>
      </c>
    </row>
    <row r="18" spans="1:68" ht="14" customHeight="1" x14ac:dyDescent="0.45">
      <c r="A18" s="414"/>
      <c r="B18" s="86"/>
      <c r="C18" s="116"/>
      <c r="D18" s="108"/>
      <c r="E18" s="108"/>
      <c r="F18" s="82"/>
      <c r="G18" s="82"/>
      <c r="H18" s="82"/>
      <c r="I18" s="429"/>
      <c r="J18" s="82"/>
      <c r="K18" s="82"/>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429"/>
      <c r="AW18" s="82"/>
      <c r="AX18" s="82"/>
      <c r="AY18" s="82"/>
      <c r="AZ18" s="82"/>
      <c r="BA18" s="82"/>
      <c r="BB18" s="82"/>
      <c r="BC18" s="82"/>
      <c r="BD18" s="419"/>
      <c r="BE18" s="82"/>
      <c r="BF18" s="82"/>
      <c r="BG18" s="82"/>
      <c r="BH18" s="82"/>
      <c r="BI18" s="82"/>
      <c r="BJ18" s="82"/>
      <c r="BK18" s="82"/>
      <c r="BL18" s="82"/>
      <c r="BM18" s="82"/>
      <c r="BN18" s="82"/>
      <c r="BO18" s="82"/>
      <c r="BP18" s="419"/>
    </row>
    <row r="19" spans="1:68" ht="14" customHeight="1" x14ac:dyDescent="0.45">
      <c r="A19" s="414"/>
      <c r="B19" s="86" t="s">
        <v>97</v>
      </c>
      <c r="C19" s="117">
        <f>Sensitivity!H25</f>
        <v>6</v>
      </c>
      <c r="D19" s="108">
        <f t="shared" si="21"/>
        <v>45474</v>
      </c>
      <c r="E19" s="108">
        <f t="shared" si="22"/>
        <v>45658</v>
      </c>
      <c r="F19" s="82" t="str">
        <f>B17</f>
        <v>Construction</v>
      </c>
      <c r="G19" s="105">
        <v>-3</v>
      </c>
      <c r="H19" s="89"/>
      <c r="I19" s="429" t="str">
        <f>IF(AND(I$10&gt;=$D19,I$10&lt;=$E19),1,"")</f>
        <v/>
      </c>
      <c r="J19" s="82" t="str">
        <f t="shared" si="20"/>
        <v/>
      </c>
      <c r="K19" s="82" t="str">
        <f t="shared" si="20"/>
        <v/>
      </c>
      <c r="L19" s="82" t="str">
        <f t="shared" si="20"/>
        <v/>
      </c>
      <c r="M19" s="82" t="str">
        <f t="shared" si="20"/>
        <v/>
      </c>
      <c r="N19" s="82" t="str">
        <f t="shared" si="20"/>
        <v/>
      </c>
      <c r="O19" s="82" t="str">
        <f t="shared" si="20"/>
        <v/>
      </c>
      <c r="P19" s="82" t="str">
        <f t="shared" si="20"/>
        <v/>
      </c>
      <c r="Q19" s="82" t="str">
        <f t="shared" si="20"/>
        <v/>
      </c>
      <c r="R19" s="82" t="str">
        <f t="shared" si="20"/>
        <v/>
      </c>
      <c r="S19" s="82" t="str">
        <f t="shared" si="20"/>
        <v/>
      </c>
      <c r="T19" s="82" t="str">
        <f t="shared" si="20"/>
        <v/>
      </c>
      <c r="U19" s="82" t="str">
        <f t="shared" si="20"/>
        <v/>
      </c>
      <c r="V19" s="82" t="str">
        <f t="shared" si="20"/>
        <v/>
      </c>
      <c r="W19" s="82" t="str">
        <f t="shared" si="20"/>
        <v/>
      </c>
      <c r="X19" s="82" t="str">
        <f t="shared" si="20"/>
        <v/>
      </c>
      <c r="Y19" s="82" t="str">
        <f t="shared" si="20"/>
        <v/>
      </c>
      <c r="Z19" s="82" t="str">
        <f t="shared" si="20"/>
        <v/>
      </c>
      <c r="AA19" s="82" t="str">
        <f t="shared" si="20"/>
        <v/>
      </c>
      <c r="AB19" s="82" t="str">
        <f t="shared" si="20"/>
        <v/>
      </c>
      <c r="AC19" s="82" t="str">
        <f t="shared" si="20"/>
        <v/>
      </c>
      <c r="AD19" s="82" t="str">
        <f t="shared" si="20"/>
        <v/>
      </c>
      <c r="AE19" s="82" t="str">
        <f t="shared" si="20"/>
        <v/>
      </c>
      <c r="AF19" s="82" t="str">
        <f t="shared" si="20"/>
        <v/>
      </c>
      <c r="AG19" s="82" t="str">
        <f t="shared" si="20"/>
        <v/>
      </c>
      <c r="AH19" s="82" t="str">
        <f t="shared" si="20"/>
        <v/>
      </c>
      <c r="AI19" s="82" t="str">
        <f t="shared" si="20"/>
        <v/>
      </c>
      <c r="AJ19" s="82" t="str">
        <f t="shared" si="20"/>
        <v/>
      </c>
      <c r="AK19" s="82" t="str">
        <f t="shared" si="20"/>
        <v/>
      </c>
      <c r="AL19" s="82" t="str">
        <f t="shared" si="20"/>
        <v/>
      </c>
      <c r="AM19" s="82">
        <f t="shared" si="20"/>
        <v>1</v>
      </c>
      <c r="AN19" s="82">
        <f t="shared" si="20"/>
        <v>1</v>
      </c>
      <c r="AO19" s="82">
        <f t="shared" si="20"/>
        <v>1</v>
      </c>
      <c r="AP19" s="82">
        <f t="shared" si="20"/>
        <v>1</v>
      </c>
      <c r="AQ19" s="82">
        <f t="shared" si="20"/>
        <v>1</v>
      </c>
      <c r="AR19" s="82">
        <f t="shared" si="20"/>
        <v>1</v>
      </c>
      <c r="AS19" s="82">
        <f t="shared" si="20"/>
        <v>1</v>
      </c>
      <c r="AT19" s="82" t="str">
        <f t="shared" si="20"/>
        <v/>
      </c>
      <c r="AU19" s="82" t="str">
        <f t="shared" si="20"/>
        <v/>
      </c>
      <c r="AV19" s="429" t="str">
        <f t="shared" si="20"/>
        <v/>
      </c>
      <c r="AW19" s="82" t="str">
        <f t="shared" si="20"/>
        <v/>
      </c>
      <c r="AX19" s="82" t="str">
        <f t="shared" si="20"/>
        <v/>
      </c>
      <c r="AY19" s="82" t="str">
        <f t="shared" si="20"/>
        <v/>
      </c>
      <c r="AZ19" s="82" t="str">
        <f t="shared" si="20"/>
        <v/>
      </c>
      <c r="BA19" s="82" t="str">
        <f t="shared" si="20"/>
        <v/>
      </c>
      <c r="BB19" s="82" t="str">
        <f t="shared" si="20"/>
        <v/>
      </c>
      <c r="BC19" s="82" t="str">
        <f t="shared" si="20"/>
        <v/>
      </c>
      <c r="BD19" s="419" t="str">
        <f t="shared" si="20"/>
        <v/>
      </c>
      <c r="BE19" s="82" t="str">
        <f t="shared" si="20"/>
        <v/>
      </c>
      <c r="BF19" s="82" t="str">
        <f t="shared" si="20"/>
        <v/>
      </c>
      <c r="BG19" s="82" t="str">
        <f t="shared" si="20"/>
        <v/>
      </c>
      <c r="BH19" s="82" t="str">
        <f t="shared" si="20"/>
        <v/>
      </c>
      <c r="BI19" s="82" t="str">
        <f t="shared" si="20"/>
        <v/>
      </c>
      <c r="BJ19" s="82" t="str">
        <f t="shared" si="20"/>
        <v/>
      </c>
      <c r="BK19" s="82" t="str">
        <f t="shared" si="20"/>
        <v/>
      </c>
      <c r="BL19" s="82" t="str">
        <f t="shared" si="20"/>
        <v/>
      </c>
      <c r="BM19" s="82" t="str">
        <f t="shared" si="20"/>
        <v/>
      </c>
      <c r="BN19" s="82" t="str">
        <f t="shared" si="20"/>
        <v/>
      </c>
      <c r="BO19" s="82" t="str">
        <f t="shared" si="20"/>
        <v/>
      </c>
      <c r="BP19" s="419" t="str">
        <f t="shared" si="20"/>
        <v/>
      </c>
    </row>
    <row r="20" spans="1:68" ht="14" customHeight="1" x14ac:dyDescent="0.45">
      <c r="A20" s="414"/>
      <c r="B20" s="86"/>
      <c r="C20" s="116"/>
      <c r="D20" s="108"/>
      <c r="E20" s="108"/>
      <c r="F20" s="82"/>
      <c r="G20" s="89"/>
      <c r="H20" s="89"/>
      <c r="I20" s="429" t="str">
        <f>IF(AND(I$10&gt;=$D20,I$10&lt;=$E20),1,"")</f>
        <v/>
      </c>
      <c r="J20" s="82" t="str">
        <f t="shared" si="20"/>
        <v/>
      </c>
      <c r="K20" s="82" t="str">
        <f t="shared" si="20"/>
        <v/>
      </c>
      <c r="L20" s="82" t="str">
        <f t="shared" si="20"/>
        <v/>
      </c>
      <c r="M20" s="82" t="str">
        <f t="shared" si="20"/>
        <v/>
      </c>
      <c r="N20" s="82" t="str">
        <f t="shared" si="20"/>
        <v/>
      </c>
      <c r="O20" s="82" t="str">
        <f t="shared" si="20"/>
        <v/>
      </c>
      <c r="P20" s="82" t="str">
        <f t="shared" si="20"/>
        <v/>
      </c>
      <c r="Q20" s="82" t="str">
        <f t="shared" si="20"/>
        <v/>
      </c>
      <c r="R20" s="82" t="str">
        <f t="shared" si="20"/>
        <v/>
      </c>
      <c r="S20" s="82" t="str">
        <f t="shared" si="20"/>
        <v/>
      </c>
      <c r="T20" s="82" t="str">
        <f t="shared" si="20"/>
        <v/>
      </c>
      <c r="U20" s="82" t="str">
        <f t="shared" si="20"/>
        <v/>
      </c>
      <c r="V20" s="82" t="str">
        <f t="shared" si="20"/>
        <v/>
      </c>
      <c r="W20" s="82" t="str">
        <f t="shared" si="20"/>
        <v/>
      </c>
      <c r="X20" s="82" t="str">
        <f t="shared" si="20"/>
        <v/>
      </c>
      <c r="Y20" s="82" t="str">
        <f t="shared" si="20"/>
        <v/>
      </c>
      <c r="Z20" s="82" t="str">
        <f t="shared" si="20"/>
        <v/>
      </c>
      <c r="AA20" s="82" t="str">
        <f t="shared" si="20"/>
        <v/>
      </c>
      <c r="AB20" s="82" t="str">
        <f t="shared" si="20"/>
        <v/>
      </c>
      <c r="AC20" s="82" t="str">
        <f t="shared" ref="AC20:BP20" si="23">IF(AND(AC$10&gt;=$D20,AC$10&lt;=$E20),1,"")</f>
        <v/>
      </c>
      <c r="AD20" s="82" t="str">
        <f t="shared" si="23"/>
        <v/>
      </c>
      <c r="AE20" s="82" t="str">
        <f t="shared" si="23"/>
        <v/>
      </c>
      <c r="AF20" s="82" t="str">
        <f t="shared" si="23"/>
        <v/>
      </c>
      <c r="AG20" s="82" t="str">
        <f t="shared" si="23"/>
        <v/>
      </c>
      <c r="AH20" s="82" t="str">
        <f t="shared" si="23"/>
        <v/>
      </c>
      <c r="AI20" s="82" t="str">
        <f t="shared" si="23"/>
        <v/>
      </c>
      <c r="AJ20" s="82" t="str">
        <f t="shared" si="23"/>
        <v/>
      </c>
      <c r="AK20" s="82" t="str">
        <f t="shared" si="23"/>
        <v/>
      </c>
      <c r="AL20" s="82" t="str">
        <f t="shared" si="23"/>
        <v/>
      </c>
      <c r="AM20" s="82" t="str">
        <f t="shared" si="23"/>
        <v/>
      </c>
      <c r="AN20" s="82" t="str">
        <f t="shared" si="23"/>
        <v/>
      </c>
      <c r="AO20" s="82" t="str">
        <f t="shared" si="23"/>
        <v/>
      </c>
      <c r="AP20" s="82" t="str">
        <f t="shared" si="23"/>
        <v/>
      </c>
      <c r="AQ20" s="82" t="str">
        <f t="shared" si="23"/>
        <v/>
      </c>
      <c r="AR20" s="82" t="str">
        <f t="shared" si="23"/>
        <v/>
      </c>
      <c r="AS20" s="82" t="str">
        <f t="shared" si="23"/>
        <v/>
      </c>
      <c r="AT20" s="82" t="str">
        <f t="shared" si="23"/>
        <v/>
      </c>
      <c r="AU20" s="82" t="str">
        <f t="shared" si="23"/>
        <v/>
      </c>
      <c r="AV20" s="429" t="str">
        <f t="shared" si="23"/>
        <v/>
      </c>
      <c r="AW20" s="82" t="str">
        <f t="shared" si="23"/>
        <v/>
      </c>
      <c r="AX20" s="82" t="str">
        <f t="shared" si="23"/>
        <v/>
      </c>
      <c r="AY20" s="82" t="str">
        <f t="shared" si="23"/>
        <v/>
      </c>
      <c r="AZ20" s="82" t="str">
        <f t="shared" si="23"/>
        <v/>
      </c>
      <c r="BA20" s="82" t="str">
        <f t="shared" si="23"/>
        <v/>
      </c>
      <c r="BB20" s="82" t="str">
        <f t="shared" si="23"/>
        <v/>
      </c>
      <c r="BC20" s="82" t="str">
        <f t="shared" si="23"/>
        <v/>
      </c>
      <c r="BD20" s="419" t="str">
        <f t="shared" si="23"/>
        <v/>
      </c>
      <c r="BE20" s="82" t="str">
        <f t="shared" si="23"/>
        <v/>
      </c>
      <c r="BF20" s="82" t="str">
        <f t="shared" si="23"/>
        <v/>
      </c>
      <c r="BG20" s="82" t="str">
        <f t="shared" si="23"/>
        <v/>
      </c>
      <c r="BH20" s="82" t="str">
        <f t="shared" si="23"/>
        <v/>
      </c>
      <c r="BI20" s="82" t="str">
        <f t="shared" si="23"/>
        <v/>
      </c>
      <c r="BJ20" s="82" t="str">
        <f t="shared" si="23"/>
        <v/>
      </c>
      <c r="BK20" s="82" t="str">
        <f t="shared" si="23"/>
        <v/>
      </c>
      <c r="BL20" s="82" t="str">
        <f t="shared" si="23"/>
        <v/>
      </c>
      <c r="BM20" s="82" t="str">
        <f t="shared" si="23"/>
        <v/>
      </c>
      <c r="BN20" s="82" t="str">
        <f t="shared" si="23"/>
        <v/>
      </c>
      <c r="BO20" s="82" t="str">
        <f t="shared" si="23"/>
        <v/>
      </c>
      <c r="BP20" s="419" t="str">
        <f t="shared" si="23"/>
        <v/>
      </c>
    </row>
    <row r="21" spans="1:68" ht="14" customHeight="1" x14ac:dyDescent="0.45">
      <c r="A21" s="414"/>
      <c r="B21" s="86" t="s">
        <v>96</v>
      </c>
      <c r="C21" s="116">
        <v>0</v>
      </c>
      <c r="D21" s="108">
        <f t="shared" si="21"/>
        <v>45689</v>
      </c>
      <c r="E21" s="108">
        <f t="shared" si="22"/>
        <v>45689</v>
      </c>
      <c r="F21" s="82" t="str">
        <f>B19</f>
        <v>Lease-up</v>
      </c>
      <c r="G21" s="105">
        <v>0</v>
      </c>
      <c r="H21" s="82"/>
      <c r="I21" s="429" t="str">
        <f>IF(AND(I$10&gt;=$D21,I$10&lt;=$E21),1,"")</f>
        <v/>
      </c>
      <c r="J21" s="82" t="str">
        <f t="shared" ref="J21:BP21" si="24">IF(AND(J$10&gt;=$D21,J$10&lt;=$E21),1,"")</f>
        <v/>
      </c>
      <c r="K21" s="82" t="str">
        <f t="shared" si="24"/>
        <v/>
      </c>
      <c r="L21" s="82" t="str">
        <f t="shared" si="24"/>
        <v/>
      </c>
      <c r="M21" s="82" t="str">
        <f t="shared" si="24"/>
        <v/>
      </c>
      <c r="N21" s="82" t="str">
        <f t="shared" si="24"/>
        <v/>
      </c>
      <c r="O21" s="82" t="str">
        <f t="shared" si="24"/>
        <v/>
      </c>
      <c r="P21" s="82" t="str">
        <f t="shared" si="24"/>
        <v/>
      </c>
      <c r="Q21" s="82" t="str">
        <f t="shared" si="24"/>
        <v/>
      </c>
      <c r="R21" s="82" t="str">
        <f t="shared" si="24"/>
        <v/>
      </c>
      <c r="S21" s="82" t="str">
        <f t="shared" si="24"/>
        <v/>
      </c>
      <c r="T21" s="82" t="str">
        <f t="shared" si="24"/>
        <v/>
      </c>
      <c r="U21" s="82" t="str">
        <f t="shared" si="24"/>
        <v/>
      </c>
      <c r="V21" s="82" t="str">
        <f t="shared" si="24"/>
        <v/>
      </c>
      <c r="W21" s="82" t="str">
        <f t="shared" si="24"/>
        <v/>
      </c>
      <c r="X21" s="82" t="str">
        <f t="shared" si="24"/>
        <v/>
      </c>
      <c r="Y21" s="82" t="str">
        <f t="shared" si="24"/>
        <v/>
      </c>
      <c r="Z21" s="82" t="str">
        <f t="shared" si="24"/>
        <v/>
      </c>
      <c r="AA21" s="82" t="str">
        <f t="shared" si="24"/>
        <v/>
      </c>
      <c r="AB21" s="82" t="str">
        <f t="shared" si="24"/>
        <v/>
      </c>
      <c r="AC21" s="82" t="str">
        <f t="shared" si="24"/>
        <v/>
      </c>
      <c r="AD21" s="82" t="str">
        <f t="shared" si="24"/>
        <v/>
      </c>
      <c r="AE21" s="82" t="str">
        <f t="shared" si="24"/>
        <v/>
      </c>
      <c r="AF21" s="82" t="str">
        <f t="shared" si="24"/>
        <v/>
      </c>
      <c r="AG21" s="82" t="str">
        <f t="shared" si="24"/>
        <v/>
      </c>
      <c r="AH21" s="82" t="str">
        <f t="shared" si="24"/>
        <v/>
      </c>
      <c r="AI21" s="82" t="str">
        <f t="shared" si="24"/>
        <v/>
      </c>
      <c r="AJ21" s="82" t="str">
        <f t="shared" si="24"/>
        <v/>
      </c>
      <c r="AK21" s="82" t="str">
        <f t="shared" si="24"/>
        <v/>
      </c>
      <c r="AL21" s="82" t="str">
        <f t="shared" si="24"/>
        <v/>
      </c>
      <c r="AM21" s="82" t="str">
        <f t="shared" si="24"/>
        <v/>
      </c>
      <c r="AN21" s="82" t="str">
        <f t="shared" si="24"/>
        <v/>
      </c>
      <c r="AO21" s="82" t="str">
        <f t="shared" si="24"/>
        <v/>
      </c>
      <c r="AP21" s="82" t="str">
        <f t="shared" si="24"/>
        <v/>
      </c>
      <c r="AQ21" s="82" t="str">
        <f t="shared" si="24"/>
        <v/>
      </c>
      <c r="AR21" s="82" t="str">
        <f t="shared" si="24"/>
        <v/>
      </c>
      <c r="AS21" s="82" t="str">
        <f t="shared" si="24"/>
        <v/>
      </c>
      <c r="AT21" s="82">
        <f t="shared" si="24"/>
        <v>1</v>
      </c>
      <c r="AU21" s="82" t="str">
        <f t="shared" si="24"/>
        <v/>
      </c>
      <c r="AV21" s="429" t="str">
        <f t="shared" si="24"/>
        <v/>
      </c>
      <c r="AW21" s="82" t="str">
        <f t="shared" si="24"/>
        <v/>
      </c>
      <c r="AX21" s="82" t="str">
        <f t="shared" si="24"/>
        <v/>
      </c>
      <c r="AY21" s="82" t="str">
        <f t="shared" si="24"/>
        <v/>
      </c>
      <c r="AZ21" s="82" t="str">
        <f t="shared" si="24"/>
        <v/>
      </c>
      <c r="BA21" s="82" t="str">
        <f t="shared" si="24"/>
        <v/>
      </c>
      <c r="BB21" s="82" t="str">
        <f t="shared" si="24"/>
        <v/>
      </c>
      <c r="BC21" s="82" t="str">
        <f t="shared" si="24"/>
        <v/>
      </c>
      <c r="BD21" s="419" t="str">
        <f t="shared" si="24"/>
        <v/>
      </c>
      <c r="BE21" s="82" t="str">
        <f t="shared" si="24"/>
        <v/>
      </c>
      <c r="BF21" s="82" t="str">
        <f t="shared" si="24"/>
        <v/>
      </c>
      <c r="BG21" s="82" t="str">
        <f t="shared" si="24"/>
        <v/>
      </c>
      <c r="BH21" s="82" t="str">
        <f t="shared" si="24"/>
        <v/>
      </c>
      <c r="BI21" s="82" t="str">
        <f t="shared" si="24"/>
        <v/>
      </c>
      <c r="BJ21" s="82" t="str">
        <f t="shared" si="24"/>
        <v/>
      </c>
      <c r="BK21" s="82" t="str">
        <f t="shared" si="24"/>
        <v/>
      </c>
      <c r="BL21" s="82" t="str">
        <f t="shared" si="24"/>
        <v/>
      </c>
      <c r="BM21" s="82" t="str">
        <f t="shared" si="24"/>
        <v/>
      </c>
      <c r="BN21" s="82" t="str">
        <f t="shared" si="24"/>
        <v/>
      </c>
      <c r="BO21" s="82" t="str">
        <f t="shared" si="24"/>
        <v/>
      </c>
      <c r="BP21" s="419" t="str">
        <f t="shared" si="24"/>
        <v/>
      </c>
    </row>
    <row r="22" spans="1:68" ht="14" customHeight="1" thickBot="1" x14ac:dyDescent="0.5">
      <c r="A22" s="420"/>
      <c r="B22" s="421"/>
      <c r="C22" s="422"/>
      <c r="D22" s="423"/>
      <c r="E22" s="423"/>
      <c r="F22" s="421"/>
      <c r="G22" s="421"/>
      <c r="H22" s="421"/>
      <c r="I22" s="430"/>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c r="AJ22" s="421"/>
      <c r="AK22" s="421"/>
      <c r="AL22" s="421"/>
      <c r="AM22" s="421"/>
      <c r="AN22" s="421"/>
      <c r="AO22" s="421"/>
      <c r="AP22" s="421"/>
      <c r="AQ22" s="421"/>
      <c r="AR22" s="421"/>
      <c r="AS22" s="421"/>
      <c r="AT22" s="421"/>
      <c r="AU22" s="421"/>
      <c r="AV22" s="430"/>
      <c r="AW22" s="421"/>
      <c r="AX22" s="421"/>
      <c r="AY22" s="421"/>
      <c r="AZ22" s="421"/>
      <c r="BA22" s="421"/>
      <c r="BB22" s="421"/>
      <c r="BC22" s="421"/>
      <c r="BD22" s="424"/>
      <c r="BE22" s="421"/>
      <c r="BF22" s="421"/>
      <c r="BG22" s="421"/>
      <c r="BH22" s="421"/>
      <c r="BI22" s="421"/>
      <c r="BJ22" s="421"/>
      <c r="BK22" s="421"/>
      <c r="BL22" s="421"/>
      <c r="BM22" s="421"/>
      <c r="BN22" s="421"/>
      <c r="BO22" s="421"/>
      <c r="BP22" s="424"/>
    </row>
    <row r="23" spans="1:68" ht="14" customHeight="1" x14ac:dyDescent="0.45">
      <c r="B23" s="104"/>
      <c r="C23" s="82"/>
      <c r="D23" s="81"/>
      <c r="E23" s="84"/>
      <c r="F23" s="81"/>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row>
    <row r="24" spans="1:68" ht="14" customHeight="1" x14ac:dyDescent="0.45">
      <c r="B24" s="104"/>
      <c r="C24" s="82"/>
      <c r="D24" s="81"/>
      <c r="E24" s="84"/>
      <c r="F24" s="81"/>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row>
    <row r="25" spans="1:68" ht="14" customHeight="1" x14ac:dyDescent="0.45">
      <c r="B25" s="104"/>
      <c r="C25" s="82"/>
      <c r="D25" s="81"/>
      <c r="E25" s="84"/>
      <c r="F25" s="81"/>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row>
    <row r="26" spans="1:68" ht="14" customHeight="1" x14ac:dyDescent="0.45">
      <c r="B26" s="104"/>
      <c r="C26" s="82"/>
      <c r="D26" s="81"/>
      <c r="E26" s="84"/>
      <c r="F26" s="81"/>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row>
    <row r="27" spans="1:68" ht="14" customHeight="1" x14ac:dyDescent="0.45">
      <c r="B27" s="82"/>
      <c r="C27" s="82"/>
      <c r="D27" s="82"/>
      <c r="E27" s="84"/>
      <c r="F27" s="81"/>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row>
    <row r="28" spans="1:68" x14ac:dyDescent="0.45">
      <c r="B28" s="82"/>
      <c r="C28" s="82"/>
      <c r="D28" s="82"/>
      <c r="E28" s="93"/>
      <c r="F28" s="82"/>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94"/>
      <c r="BK28" s="94"/>
      <c r="BL28" s="94"/>
      <c r="BM28" s="94"/>
      <c r="BN28" s="94"/>
      <c r="BO28" s="94"/>
      <c r="BP28" s="94"/>
    </row>
    <row r="29" spans="1:68" x14ac:dyDescent="0.45">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row>
    <row r="30" spans="1:68" x14ac:dyDescent="0.45">
      <c r="B30" s="83"/>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c r="BM30" s="82"/>
      <c r="BN30" s="82"/>
      <c r="BO30" s="82"/>
      <c r="BP30" s="82"/>
    </row>
    <row r="31" spans="1:68" x14ac:dyDescent="0.45">
      <c r="B31" s="95"/>
      <c r="C31" s="82"/>
      <c r="D31" s="82"/>
      <c r="E31" s="96"/>
      <c r="F31" s="81"/>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row>
    <row r="32" spans="1:68" x14ac:dyDescent="0.45">
      <c r="B32" s="95"/>
      <c r="C32" s="82"/>
      <c r="D32" s="82"/>
      <c r="E32" s="82"/>
      <c r="F32" s="82"/>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row>
    <row r="33" spans="2:68" x14ac:dyDescent="0.45">
      <c r="B33" s="95"/>
      <c r="C33" s="82"/>
      <c r="D33" s="82"/>
      <c r="E33" s="97"/>
      <c r="F33" s="81"/>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row>
    <row r="34" spans="2:68" x14ac:dyDescent="0.45">
      <c r="B34" s="95"/>
      <c r="C34" s="82"/>
      <c r="D34" s="82"/>
      <c r="E34" s="82"/>
      <c r="F34" s="82"/>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row>
    <row r="35" spans="2:68" x14ac:dyDescent="0.45">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c r="BM35" s="82"/>
      <c r="BN35" s="82"/>
      <c r="BO35" s="82"/>
      <c r="BP35" s="82"/>
    </row>
    <row r="36" spans="2:68" x14ac:dyDescent="0.45">
      <c r="B36" s="82"/>
      <c r="C36" s="82"/>
      <c r="D36" s="82"/>
      <c r="E36" s="82"/>
      <c r="F36" s="82"/>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row>
    <row r="37" spans="2:68" x14ac:dyDescent="0.45">
      <c r="B37" s="82"/>
      <c r="C37" s="82"/>
      <c r="D37" s="82"/>
      <c r="E37" s="82"/>
      <c r="F37" s="82"/>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row>
    <row r="38" spans="2:68" x14ac:dyDescent="0.45">
      <c r="B38" s="82"/>
      <c r="C38" s="82"/>
      <c r="D38" s="82"/>
      <c r="E38" s="82"/>
      <c r="F38" s="82"/>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row>
    <row r="39" spans="2:68" ht="4.3499999999999996" customHeight="1" x14ac:dyDescent="0.45">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c r="BM39" s="82"/>
      <c r="BN39" s="82"/>
      <c r="BO39" s="82"/>
      <c r="BP39" s="82"/>
    </row>
    <row r="40" spans="2:68" x14ac:dyDescent="0.45">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c r="BM40" s="82"/>
      <c r="BN40" s="82"/>
      <c r="BO40" s="82"/>
      <c r="BP40" s="82"/>
    </row>
    <row r="41" spans="2:68" s="27" customFormat="1" x14ac:dyDescent="0.45">
      <c r="B41" s="82"/>
      <c r="C41" s="82"/>
      <c r="D41" s="82"/>
      <c r="E41" s="83"/>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row>
    <row r="42" spans="2:68" s="31" customFormat="1" ht="13.15" x14ac:dyDescent="0.4">
      <c r="B42" s="91"/>
      <c r="C42" s="90"/>
      <c r="D42" s="90"/>
      <c r="E42" s="98"/>
      <c r="F42" s="99"/>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2"/>
      <c r="BD42" s="92"/>
      <c r="BE42" s="92"/>
      <c r="BF42" s="92"/>
      <c r="BG42" s="92"/>
      <c r="BH42" s="92"/>
      <c r="BI42" s="92"/>
      <c r="BJ42" s="92"/>
      <c r="BK42" s="92"/>
      <c r="BL42" s="92"/>
      <c r="BM42" s="92"/>
      <c r="BN42" s="92"/>
      <c r="BO42" s="92"/>
      <c r="BP42" s="92"/>
    </row>
    <row r="43" spans="2:68" s="31" customFormat="1" ht="13.15" x14ac:dyDescent="0.4">
      <c r="B43" s="91"/>
      <c r="C43" s="90"/>
      <c r="D43" s="90"/>
      <c r="E43" s="98"/>
      <c r="F43" s="99"/>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c r="BA43" s="92"/>
      <c r="BB43" s="92"/>
      <c r="BC43" s="92"/>
      <c r="BD43" s="92"/>
      <c r="BE43" s="92"/>
      <c r="BF43" s="92"/>
      <c r="BG43" s="92"/>
      <c r="BH43" s="92"/>
      <c r="BI43" s="92"/>
      <c r="BJ43" s="92"/>
      <c r="BK43" s="92"/>
      <c r="BL43" s="92"/>
      <c r="BM43" s="92"/>
      <c r="BN43" s="92"/>
      <c r="BO43" s="92"/>
      <c r="BP43" s="92"/>
    </row>
    <row r="44" spans="2:68" s="31" customFormat="1" ht="13.15" x14ac:dyDescent="0.4">
      <c r="B44" s="91"/>
      <c r="C44" s="90"/>
      <c r="D44" s="90"/>
      <c r="E44" s="98"/>
      <c r="F44" s="99"/>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2"/>
      <c r="BP44" s="92"/>
    </row>
    <row r="45" spans="2:68" s="31" customFormat="1" ht="13.15" x14ac:dyDescent="0.4">
      <c r="B45" s="91"/>
      <c r="C45" s="90"/>
      <c r="D45" s="90"/>
      <c r="E45" s="98"/>
      <c r="F45" s="99"/>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c r="BA45" s="92"/>
      <c r="BB45" s="92"/>
      <c r="BC45" s="92"/>
      <c r="BD45" s="92"/>
      <c r="BE45" s="92"/>
      <c r="BF45" s="92"/>
      <c r="BG45" s="92"/>
      <c r="BH45" s="92"/>
      <c r="BI45" s="92"/>
      <c r="BJ45" s="92"/>
      <c r="BK45" s="92"/>
      <c r="BL45" s="92"/>
      <c r="BM45" s="92"/>
      <c r="BN45" s="92"/>
      <c r="BO45" s="92"/>
      <c r="BP45" s="92"/>
    </row>
    <row r="46" spans="2:68" s="31" customFormat="1" ht="13.15" x14ac:dyDescent="0.4">
      <c r="B46" s="91"/>
      <c r="C46" s="90"/>
      <c r="D46" s="90"/>
      <c r="E46" s="98"/>
      <c r="F46" s="99"/>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row>
    <row r="47" spans="2:68" s="31" customFormat="1" ht="13.15" x14ac:dyDescent="0.4">
      <c r="B47" s="91"/>
      <c r="C47" s="90"/>
      <c r="D47" s="90"/>
      <c r="E47" s="98"/>
      <c r="F47" s="99"/>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row>
    <row r="48" spans="2:68" s="31" customFormat="1" ht="13.15" x14ac:dyDescent="0.4">
      <c r="B48" s="91"/>
      <c r="C48" s="90"/>
      <c r="D48" s="90"/>
      <c r="E48" s="98"/>
      <c r="F48" s="99"/>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2"/>
      <c r="BC48" s="92"/>
      <c r="BD48" s="92"/>
      <c r="BE48" s="92"/>
      <c r="BF48" s="92"/>
      <c r="BG48" s="92"/>
      <c r="BH48" s="92"/>
      <c r="BI48" s="92"/>
      <c r="BJ48" s="92"/>
      <c r="BK48" s="92"/>
      <c r="BL48" s="92"/>
      <c r="BM48" s="92"/>
      <c r="BN48" s="92"/>
      <c r="BO48" s="92"/>
      <c r="BP48" s="92"/>
    </row>
    <row r="49" spans="2:68" s="31" customFormat="1" ht="13.15" x14ac:dyDescent="0.4">
      <c r="B49" s="91"/>
      <c r="C49" s="90"/>
      <c r="D49" s="90"/>
      <c r="E49" s="98"/>
      <c r="F49" s="99"/>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row>
    <row r="50" spans="2:68" s="31" customFormat="1" ht="13.15" x14ac:dyDescent="0.4">
      <c r="B50" s="91"/>
      <c r="C50" s="90"/>
      <c r="D50" s="100"/>
      <c r="E50" s="98"/>
      <c r="F50" s="99"/>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c r="BA50" s="92"/>
      <c r="BB50" s="92"/>
      <c r="BC50" s="92"/>
      <c r="BD50" s="92"/>
      <c r="BE50" s="92"/>
      <c r="BF50" s="92"/>
      <c r="BG50" s="92"/>
      <c r="BH50" s="92"/>
      <c r="BI50" s="92"/>
      <c r="BJ50" s="92"/>
      <c r="BK50" s="92"/>
      <c r="BL50" s="92"/>
      <c r="BM50" s="92"/>
      <c r="BN50" s="92"/>
      <c r="BO50" s="92"/>
      <c r="BP50" s="92"/>
    </row>
    <row r="51" spans="2:68" s="31" customFormat="1" ht="13.15" x14ac:dyDescent="0.4">
      <c r="B51" s="91"/>
      <c r="C51" s="90"/>
      <c r="D51" s="100"/>
      <c r="E51" s="98"/>
      <c r="F51" s="99"/>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c r="BA51" s="92"/>
      <c r="BB51" s="92"/>
      <c r="BC51" s="92"/>
      <c r="BD51" s="92"/>
      <c r="BE51" s="92"/>
      <c r="BF51" s="92"/>
      <c r="BG51" s="92"/>
      <c r="BH51" s="92"/>
      <c r="BI51" s="92"/>
      <c r="BJ51" s="92"/>
      <c r="BK51" s="92"/>
      <c r="BL51" s="92"/>
      <c r="BM51" s="92"/>
      <c r="BN51" s="92"/>
      <c r="BO51" s="92"/>
      <c r="BP51" s="92"/>
    </row>
    <row r="52" spans="2:68" x14ac:dyDescent="0.45">
      <c r="B52" s="82"/>
      <c r="C52" s="82"/>
      <c r="D52" s="82"/>
      <c r="E52" s="94"/>
      <c r="F52" s="101"/>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94"/>
      <c r="BK52" s="94"/>
      <c r="BL52" s="94"/>
      <c r="BM52" s="94"/>
      <c r="BN52" s="94"/>
      <c r="BO52" s="94"/>
      <c r="BP52" s="94"/>
    </row>
    <row r="53" spans="2:68" x14ac:dyDescent="0.45">
      <c r="B53" s="82"/>
      <c r="C53" s="82"/>
      <c r="D53" s="82"/>
      <c r="E53" s="94"/>
      <c r="F53" s="101"/>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c r="BP53" s="94"/>
    </row>
    <row r="54" spans="2:68" x14ac:dyDescent="0.45">
      <c r="B54" s="82"/>
      <c r="C54" s="82"/>
      <c r="D54" s="82"/>
      <c r="E54" s="94"/>
      <c r="F54" s="101"/>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c r="BC54" s="94"/>
      <c r="BD54" s="94"/>
      <c r="BE54" s="94"/>
      <c r="BF54" s="94"/>
      <c r="BG54" s="94"/>
      <c r="BH54" s="94"/>
      <c r="BI54" s="94"/>
      <c r="BJ54" s="94"/>
      <c r="BK54" s="94"/>
      <c r="BL54" s="94"/>
      <c r="BM54" s="94"/>
      <c r="BN54" s="94"/>
      <c r="BO54" s="94"/>
      <c r="BP54" s="94"/>
    </row>
    <row r="55" spans="2:68" x14ac:dyDescent="0.45">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row>
    <row r="56" spans="2:68" ht="4.3499999999999996" customHeight="1" x14ac:dyDescent="0.45">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row>
    <row r="57" spans="2:68" x14ac:dyDescent="0.45">
      <c r="B57" s="86"/>
      <c r="C57" s="86"/>
      <c r="D57" s="86"/>
      <c r="E57" s="86"/>
      <c r="F57" s="86"/>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row>
    <row r="58" spans="2:68" s="27" customFormat="1" ht="4.3499999999999996" customHeight="1" x14ac:dyDescent="0.45">
      <c r="B58" s="86"/>
      <c r="C58" s="86"/>
      <c r="D58" s="86"/>
      <c r="E58" s="86"/>
      <c r="F58" s="86"/>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row>
    <row r="59" spans="2:68" x14ac:dyDescent="0.45">
      <c r="B59" s="86"/>
      <c r="C59" s="88"/>
      <c r="D59" s="102"/>
      <c r="E59" s="82"/>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row>
    <row r="60" spans="2:68" x14ac:dyDescent="0.45">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c r="AJ60" s="82"/>
      <c r="AK60" s="82"/>
      <c r="AL60" s="82"/>
      <c r="AM60" s="82"/>
      <c r="AN60" s="82"/>
      <c r="AO60" s="82"/>
      <c r="AP60" s="82"/>
      <c r="AQ60" s="82"/>
      <c r="AR60" s="82"/>
      <c r="AS60" s="82"/>
      <c r="AT60" s="82"/>
      <c r="AU60" s="82"/>
      <c r="AV60" s="82"/>
      <c r="AW60" s="82"/>
      <c r="AX60" s="82"/>
      <c r="AY60" s="82"/>
      <c r="AZ60" s="82"/>
      <c r="BA60" s="82"/>
      <c r="BB60" s="82"/>
      <c r="BC60" s="82"/>
      <c r="BD60" s="82"/>
      <c r="BE60" s="82"/>
      <c r="BF60" s="82"/>
      <c r="BG60" s="82"/>
      <c r="BH60" s="82"/>
      <c r="BI60" s="82"/>
      <c r="BJ60" s="82"/>
      <c r="BK60" s="82"/>
      <c r="BL60" s="82"/>
      <c r="BM60" s="82"/>
      <c r="BN60" s="82"/>
      <c r="BO60" s="82"/>
      <c r="BP60" s="82"/>
    </row>
  </sheetData>
  <mergeCells count="23">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 ref="BN11:BP11"/>
    <mergeCell ref="AM11:AO11"/>
    <mergeCell ref="AP11:AR11"/>
    <mergeCell ref="AS11:AU11"/>
    <mergeCell ref="AV11:AX11"/>
    <mergeCell ref="AY11:BA11"/>
    <mergeCell ref="BB11:BD11"/>
  </mergeCells>
  <conditionalFormatting sqref="I13:BP22">
    <cfRule type="cellIs" dxfId="0" priority="1" operator="equal">
      <formula>1</formula>
    </cfRule>
  </conditionalFormatting>
  <pageMargins left="0.25" right="0.25" top="0.75" bottom="0.75" header="0.3" footer="0.3"/>
  <pageSetup paperSize="3" scale="77"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W55"/>
  <sheetViews>
    <sheetView showGridLines="0" topLeftCell="A28" zoomScaleNormal="100" zoomScaleSheetLayoutView="89" workbookViewId="0">
      <selection activeCell="I45" sqref="I45"/>
    </sheetView>
  </sheetViews>
  <sheetFormatPr defaultColWidth="8.86328125" defaultRowHeight="14.25" x14ac:dyDescent="0.45"/>
  <cols>
    <col min="1" max="1" width="6.53125" style="17" customWidth="1"/>
    <col min="2" max="2" width="8.86328125" style="17" customWidth="1"/>
    <col min="3" max="3" width="10.1328125" style="17" customWidth="1"/>
    <col min="4" max="4" width="7.86328125" style="17" customWidth="1"/>
    <col min="5" max="5" width="11" style="17" bestFit="1" customWidth="1"/>
    <col min="6" max="6" width="8.1328125" style="17" bestFit="1" customWidth="1"/>
    <col min="7" max="7" width="15" style="17" bestFit="1" customWidth="1"/>
    <col min="8" max="8" width="11" style="17" bestFit="1" customWidth="1"/>
    <col min="9" max="9" width="12.86328125" style="17" bestFit="1" customWidth="1"/>
    <col min="10" max="10" width="7.46484375" style="17" customWidth="1"/>
    <col min="11" max="11" width="8.86328125" style="17"/>
    <col min="12" max="12" width="9.265625" style="17" bestFit="1" customWidth="1"/>
    <col min="13" max="13" width="13.46484375" style="17" bestFit="1" customWidth="1"/>
    <col min="14" max="15" width="11" style="17" bestFit="1" customWidth="1"/>
    <col min="16" max="16" width="11.46484375" style="17" bestFit="1" customWidth="1"/>
    <col min="17" max="17" width="12.46484375" style="17" bestFit="1" customWidth="1"/>
    <col min="18" max="21" width="8.86328125" style="17"/>
    <col min="22" max="22" width="12.46484375" style="17" bestFit="1" customWidth="1"/>
    <col min="23" max="16384" width="8.86328125" style="17"/>
  </cols>
  <sheetData>
    <row r="1" spans="1:23" ht="12" customHeight="1" x14ac:dyDescent="0.45">
      <c r="J1" s="63" t="str">
        <f>"Currently running: "&amp;CHOOSE(Sensitivity!$E$8,Sensitivity!$B$11,Sensitivity!$B$12,Sensitivity!$B$13)</f>
        <v>Currently running: Base Case</v>
      </c>
    </row>
    <row r="2" spans="1:23" ht="96.6" customHeight="1" x14ac:dyDescent="0.45">
      <c r="J2" s="63"/>
    </row>
    <row r="3" spans="1:23" ht="15.75" x14ac:dyDescent="0.5">
      <c r="B3" s="538" t="str">
        <f>Cover!A10</f>
        <v xml:space="preserve">Apartment Development Model 
</v>
      </c>
      <c r="C3" s="538"/>
      <c r="D3" s="538"/>
      <c r="E3" s="538"/>
      <c r="F3" s="538"/>
      <c r="G3" s="538"/>
      <c r="H3" s="538"/>
      <c r="I3" s="538"/>
    </row>
    <row r="4" spans="1:23" x14ac:dyDescent="0.45">
      <c r="B4" s="536" t="str">
        <f>Cover!A12</f>
        <v>Suburban / Urban Location</v>
      </c>
      <c r="C4" s="536"/>
      <c r="D4" s="536"/>
      <c r="E4" s="536"/>
      <c r="F4" s="536"/>
      <c r="G4" s="536"/>
      <c r="H4" s="536"/>
      <c r="I4" s="536"/>
    </row>
    <row r="5" spans="1:23" x14ac:dyDescent="0.45">
      <c r="B5" s="521" t="s">
        <v>5</v>
      </c>
      <c r="C5" s="521"/>
      <c r="D5" s="521"/>
      <c r="E5" s="521"/>
      <c r="F5" s="521"/>
      <c r="G5" s="521"/>
      <c r="H5" s="521"/>
      <c r="I5" s="521"/>
    </row>
    <row r="6" spans="1:23" ht="3.6" customHeight="1" thickBot="1" x14ac:dyDescent="0.5">
      <c r="A6" s="18"/>
      <c r="B6" s="18"/>
      <c r="C6" s="18"/>
      <c r="D6" s="18"/>
      <c r="E6" s="18"/>
      <c r="F6" s="18"/>
      <c r="G6" s="18"/>
      <c r="H6" s="18"/>
      <c r="I6" s="18"/>
      <c r="J6" s="18"/>
    </row>
    <row r="7" spans="1:23" ht="4.3499999999999996" customHeight="1" x14ac:dyDescent="0.45"/>
    <row r="8" spans="1:23" s="31" customFormat="1" ht="13.15" x14ac:dyDescent="0.4">
      <c r="A8" s="192"/>
      <c r="B8" s="192" t="s">
        <v>25</v>
      </c>
      <c r="C8" s="192"/>
      <c r="D8" s="192"/>
      <c r="E8" s="192"/>
      <c r="F8" s="192"/>
      <c r="G8" s="192"/>
      <c r="H8" s="192"/>
      <c r="I8" s="192"/>
      <c r="J8" s="192"/>
    </row>
    <row r="9" spans="1:23" s="31" customFormat="1" ht="13.15" x14ac:dyDescent="0.4">
      <c r="B9" s="31" t="s">
        <v>26</v>
      </c>
      <c r="E9" s="193">
        <v>105</v>
      </c>
    </row>
    <row r="10" spans="1:23" s="31" customFormat="1" ht="13.15" x14ac:dyDescent="0.4">
      <c r="B10" s="31" t="s">
        <v>27</v>
      </c>
      <c r="E10" s="193">
        <v>10</v>
      </c>
    </row>
    <row r="11" spans="1:23" s="31" customFormat="1" ht="13.15" x14ac:dyDescent="0.4">
      <c r="B11" s="71" t="s">
        <v>43</v>
      </c>
      <c r="C11" s="71"/>
      <c r="D11" s="71"/>
      <c r="E11" s="194">
        <v>0</v>
      </c>
    </row>
    <row r="12" spans="1:23" s="31" customFormat="1" ht="13.15" x14ac:dyDescent="0.4">
      <c r="B12" s="31" t="s">
        <v>14</v>
      </c>
      <c r="E12" s="31">
        <f>SUM(E9:E11)</f>
        <v>115</v>
      </c>
      <c r="G12" s="195" t="s">
        <v>44</v>
      </c>
      <c r="H12" s="196">
        <f>E12/F19</f>
        <v>1.1499999999999999</v>
      </c>
      <c r="I12" s="31" t="s">
        <v>45</v>
      </c>
    </row>
    <row r="13" spans="1:23" s="31" customFormat="1" ht="4.3499999999999996" customHeight="1" x14ac:dyDescent="0.4"/>
    <row r="14" spans="1:23" s="31" customFormat="1" ht="13.15" x14ac:dyDescent="0.4">
      <c r="A14" s="192"/>
      <c r="B14" s="192" t="s">
        <v>48</v>
      </c>
      <c r="C14" s="192"/>
      <c r="D14" s="192"/>
      <c r="E14" s="192"/>
      <c r="F14" s="192"/>
      <c r="G14" s="192"/>
      <c r="H14" s="192"/>
      <c r="I14" s="192"/>
      <c r="J14" s="192"/>
    </row>
    <row r="15" spans="1:23" s="31" customFormat="1" ht="13.15" x14ac:dyDescent="0.4">
      <c r="B15" s="197" t="s">
        <v>349</v>
      </c>
      <c r="C15" s="197"/>
      <c r="D15" s="198" t="s">
        <v>339</v>
      </c>
      <c r="E15" s="198" t="s">
        <v>340</v>
      </c>
      <c r="F15" s="198" t="s">
        <v>40</v>
      </c>
      <c r="G15" s="198" t="s">
        <v>41</v>
      </c>
      <c r="H15" s="198" t="s">
        <v>51</v>
      </c>
      <c r="I15" s="198" t="s">
        <v>50</v>
      </c>
      <c r="J15" s="198" t="s">
        <v>42</v>
      </c>
      <c r="M15" s="203"/>
      <c r="S15" s="76"/>
      <c r="V15" s="203"/>
      <c r="W15" s="203"/>
    </row>
    <row r="16" spans="1:23" s="31" customFormat="1" ht="13.15" x14ac:dyDescent="0.4">
      <c r="B16" s="64" t="s">
        <v>337</v>
      </c>
      <c r="D16" s="66">
        <v>720</v>
      </c>
      <c r="E16" s="66">
        <f>+D16*F16</f>
        <v>25200</v>
      </c>
      <c r="F16" s="65">
        <f>100*0.35</f>
        <v>35</v>
      </c>
      <c r="G16" s="67">
        <f>F16/$F$19</f>
        <v>0.35</v>
      </c>
      <c r="H16" s="66">
        <v>1990</v>
      </c>
      <c r="I16" s="240">
        <f>+H16*F16*12</f>
        <v>835800</v>
      </c>
      <c r="J16" s="69">
        <f>I16/E16/12</f>
        <v>2.7638888888888888</v>
      </c>
      <c r="M16" s="196"/>
      <c r="N16" s="319"/>
      <c r="O16" s="196"/>
      <c r="S16" s="76"/>
      <c r="V16" s="203"/>
      <c r="W16" s="203"/>
    </row>
    <row r="17" spans="1:23" s="31" customFormat="1" ht="13.15" x14ac:dyDescent="0.4">
      <c r="B17" s="359" t="s">
        <v>338</v>
      </c>
      <c r="C17" s="360"/>
      <c r="D17" s="362">
        <v>935</v>
      </c>
      <c r="E17" s="362">
        <f>+D17*F17</f>
        <v>60775</v>
      </c>
      <c r="F17" s="361">
        <f>100*0.65</f>
        <v>65</v>
      </c>
      <c r="G17" s="363">
        <f>F17/$F$19</f>
        <v>0.65</v>
      </c>
      <c r="H17" s="362">
        <v>2400</v>
      </c>
      <c r="I17" s="240">
        <f>+H17*F17*12</f>
        <v>1872000</v>
      </c>
      <c r="J17" s="69">
        <f>I17/E17/12</f>
        <v>2.5668449197860963</v>
      </c>
      <c r="M17" s="196"/>
      <c r="N17" s="196"/>
      <c r="O17" s="196"/>
      <c r="P17" s="68"/>
      <c r="S17" s="76"/>
      <c r="V17" s="203"/>
      <c r="W17" s="203"/>
    </row>
    <row r="18" spans="1:23" s="31" customFormat="1" ht="13.15" x14ac:dyDescent="0.4">
      <c r="B18" s="70"/>
      <c r="C18" s="71"/>
      <c r="D18" s="72"/>
      <c r="E18" s="73"/>
      <c r="F18" s="72"/>
      <c r="G18" s="363"/>
      <c r="H18" s="73"/>
      <c r="I18" s="240"/>
      <c r="J18" s="69"/>
      <c r="M18" s="387" t="s">
        <v>326</v>
      </c>
      <c r="N18" s="389">
        <f>Sensitiv2!D6</f>
        <v>1</v>
      </c>
      <c r="O18" s="196"/>
      <c r="P18" s="395"/>
      <c r="S18" s="394"/>
      <c r="U18" s="196"/>
      <c r="V18" s="68"/>
    </row>
    <row r="19" spans="1:23" s="31" customFormat="1" ht="13.15" x14ac:dyDescent="0.4">
      <c r="B19" s="199" t="s">
        <v>14</v>
      </c>
      <c r="C19" s="199"/>
      <c r="D19" s="396">
        <f>+E19/F19</f>
        <v>859.75</v>
      </c>
      <c r="E19" s="200">
        <f>SUM(E16:E18)</f>
        <v>85975</v>
      </c>
      <c r="F19" s="201">
        <f>SUM(F16:F18)</f>
        <v>100</v>
      </c>
      <c r="G19" s="202">
        <f>SUM(G16:G18)</f>
        <v>1</v>
      </c>
      <c r="H19" s="200">
        <f>+I19/12/F19</f>
        <v>2256.5</v>
      </c>
      <c r="I19" s="200">
        <f>SUM(I16:I18)*N18</f>
        <v>2707800</v>
      </c>
      <c r="J19" s="364">
        <f>I19/E19/12</f>
        <v>2.6246001744693226</v>
      </c>
      <c r="M19" s="196"/>
      <c r="N19" s="196"/>
      <c r="O19" s="196"/>
      <c r="V19" s="203"/>
    </row>
    <row r="20" spans="1:23" s="31" customFormat="1" ht="13.15" x14ac:dyDescent="0.4">
      <c r="B20" s="31" t="s">
        <v>284</v>
      </c>
      <c r="E20" s="358">
        <f>(E16+E17+E18)/F19</f>
        <v>859.75</v>
      </c>
      <c r="G20" s="68"/>
      <c r="H20" s="68">
        <f>(I16+I17)/(F16+F17)/12</f>
        <v>2256.5</v>
      </c>
      <c r="I20" s="68"/>
      <c r="J20" s="365">
        <f>H20/E20</f>
        <v>2.6246001744693226</v>
      </c>
      <c r="M20" s="196"/>
      <c r="N20" s="196"/>
      <c r="O20" s="196"/>
      <c r="V20" s="68"/>
    </row>
    <row r="21" spans="1:23" s="31" customFormat="1" ht="4.3499999999999996" customHeight="1" x14ac:dyDescent="0.4">
      <c r="M21" s="196"/>
      <c r="N21" s="196"/>
      <c r="O21" s="196"/>
    </row>
    <row r="22" spans="1:23" s="31" customFormat="1" ht="13.15" x14ac:dyDescent="0.4">
      <c r="A22" s="111"/>
      <c r="B22" s="112" t="s">
        <v>28</v>
      </c>
      <c r="C22" s="111"/>
      <c r="D22" s="111"/>
      <c r="E22" s="111"/>
      <c r="F22" s="111"/>
      <c r="G22" s="111"/>
      <c r="H22" s="111"/>
      <c r="I22" s="111"/>
      <c r="J22" s="111"/>
      <c r="M22" s="196"/>
      <c r="N22" s="196"/>
      <c r="O22" s="196"/>
    </row>
    <row r="23" spans="1:23" s="31" customFormat="1" ht="13.15" x14ac:dyDescent="0.4">
      <c r="B23" s="204" t="s">
        <v>244</v>
      </c>
      <c r="E23" s="315">
        <v>100</v>
      </c>
      <c r="G23" s="314">
        <v>40</v>
      </c>
      <c r="H23" s="205">
        <f>G23*E23</f>
        <v>4000</v>
      </c>
      <c r="I23" s="68">
        <f t="shared" ref="I23:I24" si="0">H23*12</f>
        <v>48000</v>
      </c>
    </row>
    <row r="24" spans="1:23" s="31" customFormat="1" ht="13.15" x14ac:dyDescent="0.4">
      <c r="B24" s="206" t="s">
        <v>29</v>
      </c>
      <c r="C24" s="71"/>
      <c r="D24" s="71"/>
      <c r="E24" s="207">
        <f>E9</f>
        <v>105</v>
      </c>
      <c r="F24" s="208" t="s">
        <v>47</v>
      </c>
      <c r="G24" s="209">
        <v>120</v>
      </c>
      <c r="H24" s="210">
        <f>E24*G24</f>
        <v>12600</v>
      </c>
      <c r="I24" s="80">
        <f t="shared" si="0"/>
        <v>151200</v>
      </c>
    </row>
    <row r="25" spans="1:23" s="31" customFormat="1" ht="13.15" x14ac:dyDescent="0.4">
      <c r="B25" s="204" t="s">
        <v>49</v>
      </c>
      <c r="H25" s="68"/>
      <c r="I25" s="68">
        <f>SUM(I23:I24)</f>
        <v>199200</v>
      </c>
    </row>
    <row r="26" spans="1:23" s="31" customFormat="1" ht="13.15" x14ac:dyDescent="0.4"/>
    <row r="27" spans="1:23" s="31" customFormat="1" ht="13.15" x14ac:dyDescent="0.4">
      <c r="B27" s="31" t="s">
        <v>357</v>
      </c>
      <c r="H27" s="68">
        <f>+I27/F19/12</f>
        <v>2422.5</v>
      </c>
      <c r="I27" s="68">
        <f>SUM(I19,I25)</f>
        <v>2907000</v>
      </c>
      <c r="J27" s="395">
        <f>+I27/E19/12</f>
        <v>2.8176795580110494</v>
      </c>
      <c r="L27" s="68"/>
    </row>
    <row r="28" spans="1:23" s="31" customFormat="1" ht="13.15" x14ac:dyDescent="0.4">
      <c r="B28" s="71" t="s">
        <v>30</v>
      </c>
      <c r="C28" s="71"/>
      <c r="D28" s="71"/>
      <c r="E28" s="71"/>
      <c r="F28" s="71" t="s">
        <v>46</v>
      </c>
      <c r="G28" s="305">
        <v>2.5000000000000001E-2</v>
      </c>
      <c r="H28" s="356">
        <f>G28*H27</f>
        <v>60.5625</v>
      </c>
      <c r="I28" s="356">
        <f>G28*I27</f>
        <v>72675</v>
      </c>
      <c r="L28" s="542"/>
    </row>
    <row r="29" spans="1:23" s="31" customFormat="1" ht="13.15" x14ac:dyDescent="0.4">
      <c r="B29" s="31" t="s">
        <v>31</v>
      </c>
      <c r="H29" s="68">
        <f>+H27-H28</f>
        <v>2361.9375</v>
      </c>
      <c r="I29" s="68">
        <f>+I27-I28</f>
        <v>2834325</v>
      </c>
    </row>
    <row r="30" spans="1:23" s="31" customFormat="1" ht="4.3499999999999996" customHeight="1" x14ac:dyDescent="0.4"/>
    <row r="31" spans="1:23" s="31" customFormat="1" ht="13.15" x14ac:dyDescent="0.4">
      <c r="A31" s="192"/>
      <c r="B31" s="192" t="s">
        <v>32</v>
      </c>
      <c r="C31" s="192"/>
      <c r="D31" s="192"/>
      <c r="E31" s="192"/>
      <c r="F31" s="192"/>
      <c r="G31" s="192"/>
      <c r="H31" s="192"/>
      <c r="I31" s="192"/>
      <c r="J31" s="192"/>
    </row>
    <row r="32" spans="1:23" s="111" customFormat="1" ht="13.15" x14ac:dyDescent="0.4">
      <c r="G32" s="440" t="s">
        <v>52</v>
      </c>
      <c r="H32" s="440" t="s">
        <v>53</v>
      </c>
      <c r="I32" s="441" t="s">
        <v>50</v>
      </c>
    </row>
    <row r="33" spans="1:14" s="31" customFormat="1" ht="13.15" x14ac:dyDescent="0.4">
      <c r="B33" s="74" t="s">
        <v>33</v>
      </c>
      <c r="G33" s="75">
        <v>3200</v>
      </c>
      <c r="H33" s="76">
        <f t="shared" ref="H33:H42" si="1">G33/$G$43</f>
        <v>0.41824051443583271</v>
      </c>
      <c r="I33" s="68">
        <f>G33*$F$19</f>
        <v>320000</v>
      </c>
    </row>
    <row r="34" spans="1:14" s="31" customFormat="1" ht="13.15" x14ac:dyDescent="0.4">
      <c r="B34" s="74" t="s">
        <v>34</v>
      </c>
      <c r="G34" s="75">
        <v>225</v>
      </c>
      <c r="H34" s="76">
        <f t="shared" si="1"/>
        <v>2.940753617126949E-2</v>
      </c>
      <c r="I34" s="68">
        <f>G34*$F$19*N34</f>
        <v>22500</v>
      </c>
      <c r="M34" s="387" t="s">
        <v>327</v>
      </c>
      <c r="N34" s="388">
        <f>+Sensitiv2!D8</f>
        <v>1</v>
      </c>
    </row>
    <row r="35" spans="1:14" s="31" customFormat="1" ht="13.15" x14ac:dyDescent="0.4">
      <c r="B35" s="74" t="s">
        <v>37</v>
      </c>
      <c r="G35" s="75">
        <v>900</v>
      </c>
      <c r="H35" s="76">
        <f t="shared" si="1"/>
        <v>0.11763014468507796</v>
      </c>
      <c r="I35" s="68">
        <f>G35*$F$19*N35</f>
        <v>90000</v>
      </c>
      <c r="M35" s="387" t="s">
        <v>327</v>
      </c>
      <c r="N35" s="388">
        <f>+N34</f>
        <v>1</v>
      </c>
    </row>
    <row r="36" spans="1:14" s="31" customFormat="1" ht="13.15" x14ac:dyDescent="0.4">
      <c r="B36" s="74" t="s">
        <v>282</v>
      </c>
      <c r="G36" s="75">
        <v>1500</v>
      </c>
      <c r="H36" s="76">
        <f t="shared" si="1"/>
        <v>0.19605024114179659</v>
      </c>
      <c r="I36" s="68">
        <f>G36*$F$19*N36</f>
        <v>150000</v>
      </c>
      <c r="M36" s="387" t="s">
        <v>327</v>
      </c>
      <c r="N36" s="388">
        <f t="shared" ref="N36:N40" si="2">+N35</f>
        <v>1</v>
      </c>
    </row>
    <row r="37" spans="1:14" s="31" customFormat="1" ht="13.15" hidden="1" x14ac:dyDescent="0.4">
      <c r="B37" s="74" t="s">
        <v>243</v>
      </c>
      <c r="G37" s="75">
        <v>0</v>
      </c>
      <c r="H37" s="76">
        <f t="shared" si="1"/>
        <v>0</v>
      </c>
      <c r="I37" s="68">
        <f>G37*$F$19</f>
        <v>0</v>
      </c>
      <c r="M37" s="387" t="s">
        <v>327</v>
      </c>
      <c r="N37" s="388">
        <f t="shared" si="2"/>
        <v>1</v>
      </c>
    </row>
    <row r="38" spans="1:14" s="31" customFormat="1" ht="12.75" customHeight="1" x14ac:dyDescent="0.4">
      <c r="B38" s="401" t="s">
        <v>345</v>
      </c>
      <c r="C38" s="310"/>
      <c r="D38" s="310"/>
      <c r="G38" s="402">
        <f>-8*12</f>
        <v>-96</v>
      </c>
      <c r="H38" s="403">
        <f t="shared" si="1"/>
        <v>-1.2547215433074983E-2</v>
      </c>
      <c r="I38" s="402">
        <f>G38*$F$19</f>
        <v>-9600</v>
      </c>
      <c r="K38" s="31" t="s">
        <v>347</v>
      </c>
      <c r="M38" s="404"/>
      <c r="N38" s="405"/>
    </row>
    <row r="39" spans="1:14" s="31" customFormat="1" ht="13.15" x14ac:dyDescent="0.4">
      <c r="B39" s="74" t="s">
        <v>257</v>
      </c>
      <c r="G39" s="75">
        <v>800</v>
      </c>
      <c r="H39" s="76">
        <f t="shared" si="1"/>
        <v>0.10456012860895818</v>
      </c>
      <c r="I39" s="68">
        <f>G39*$F$19*N39</f>
        <v>80000</v>
      </c>
      <c r="M39" s="387" t="s">
        <v>327</v>
      </c>
      <c r="N39" s="388">
        <f>+N36</f>
        <v>1</v>
      </c>
    </row>
    <row r="40" spans="1:14" s="31" customFormat="1" ht="13.15" x14ac:dyDescent="0.4">
      <c r="B40" s="74" t="s">
        <v>11</v>
      </c>
      <c r="G40" s="75">
        <v>250</v>
      </c>
      <c r="H40" s="76">
        <f t="shared" si="1"/>
        <v>3.2675040190299431E-2</v>
      </c>
      <c r="I40" s="68">
        <f>G40*$F$19*N40</f>
        <v>25000</v>
      </c>
      <c r="M40" s="387" t="s">
        <v>327</v>
      </c>
      <c r="N40" s="388">
        <f t="shared" si="2"/>
        <v>1</v>
      </c>
    </row>
    <row r="41" spans="1:14" s="31" customFormat="1" ht="13.15" hidden="1" x14ac:dyDescent="0.4">
      <c r="B41" s="74" t="s">
        <v>245</v>
      </c>
      <c r="G41" s="75">
        <v>0</v>
      </c>
      <c r="H41" s="76">
        <f t="shared" si="1"/>
        <v>0</v>
      </c>
      <c r="I41" s="68">
        <f>G41*$F$19</f>
        <v>0</v>
      </c>
    </row>
    <row r="42" spans="1:14" s="31" customFormat="1" ht="13.15" x14ac:dyDescent="0.4">
      <c r="B42" s="77" t="s">
        <v>38</v>
      </c>
      <c r="C42" s="71"/>
      <c r="D42" s="321">
        <v>0.03</v>
      </c>
      <c r="E42" s="71"/>
      <c r="F42" s="71"/>
      <c r="G42" s="78">
        <f>I42/F19</f>
        <v>872.1</v>
      </c>
      <c r="H42" s="79">
        <f t="shared" si="1"/>
        <v>0.11398361019984055</v>
      </c>
      <c r="I42" s="356">
        <f>D42*I27</f>
        <v>87210</v>
      </c>
    </row>
    <row r="43" spans="1:14" s="31" customFormat="1" ht="13.15" x14ac:dyDescent="0.4">
      <c r="B43" s="31" t="s">
        <v>36</v>
      </c>
      <c r="G43" s="68">
        <f>I43/F19</f>
        <v>7651.1</v>
      </c>
      <c r="H43" s="76">
        <f>SUM(H33:H42)</f>
        <v>0.99999999999999978</v>
      </c>
      <c r="I43" s="68">
        <f>SUM(I33:I42)</f>
        <v>765110</v>
      </c>
    </row>
    <row r="44" spans="1:14" s="31" customFormat="1" ht="13.15" x14ac:dyDescent="0.4">
      <c r="B44" s="31" t="s">
        <v>101</v>
      </c>
      <c r="E44" s="68"/>
      <c r="F44" s="76"/>
      <c r="G44" s="211"/>
      <c r="H44" s="68"/>
      <c r="I44" s="68">
        <f>Sensitivity!H30</f>
        <v>0</v>
      </c>
    </row>
    <row r="45" spans="1:14" s="31" customFormat="1" ht="13.15" x14ac:dyDescent="0.4">
      <c r="B45" s="31" t="s">
        <v>32</v>
      </c>
      <c r="E45" s="68"/>
      <c r="F45" s="76"/>
      <c r="G45" s="211"/>
      <c r="H45" s="68"/>
      <c r="I45" s="68">
        <f>(1+I44)*I43</f>
        <v>765110</v>
      </c>
    </row>
    <row r="46" spans="1:14" s="31" customFormat="1" ht="13.15" x14ac:dyDescent="0.4">
      <c r="B46" s="31" t="s">
        <v>35</v>
      </c>
      <c r="I46" s="76">
        <f>I45/I29</f>
        <v>0.26994434300935849</v>
      </c>
    </row>
    <row r="47" spans="1:14" s="31" customFormat="1" ht="4.3499999999999996" customHeight="1" x14ac:dyDescent="0.4"/>
    <row r="48" spans="1:14" s="31" customFormat="1" ht="13.15" x14ac:dyDescent="0.4">
      <c r="A48" s="45"/>
      <c r="B48" s="45" t="s">
        <v>187</v>
      </c>
      <c r="C48" s="45"/>
      <c r="D48" s="45"/>
      <c r="E48" s="45"/>
      <c r="F48" s="45"/>
      <c r="G48" s="45"/>
      <c r="H48" s="212"/>
      <c r="I48" s="45"/>
      <c r="J48" s="45"/>
    </row>
    <row r="49" spans="1:12" s="111" customFormat="1" ht="4.3499999999999996" customHeight="1" x14ac:dyDescent="0.4">
      <c r="A49" s="213"/>
      <c r="B49" s="213"/>
      <c r="C49" s="213"/>
      <c r="D49" s="213"/>
      <c r="E49" s="213"/>
      <c r="F49" s="213"/>
      <c r="G49" s="213"/>
      <c r="H49" s="214"/>
      <c r="I49" s="214"/>
      <c r="J49" s="213"/>
    </row>
    <row r="50" spans="1:12" s="31" customFormat="1" ht="13.15" x14ac:dyDescent="0.4">
      <c r="B50" s="31" t="s">
        <v>188</v>
      </c>
      <c r="D50" s="195" t="s">
        <v>46</v>
      </c>
      <c r="E50" s="241">
        <f>+I27/E19/12</f>
        <v>2.8176795580110494</v>
      </c>
      <c r="F50" s="242" t="s">
        <v>354</v>
      </c>
      <c r="G50" s="242"/>
      <c r="I50" s="220">
        <f>I29-I45</f>
        <v>2069215</v>
      </c>
    </row>
    <row r="51" spans="1:12" s="31" customFormat="1" ht="13.15" x14ac:dyDescent="0.4">
      <c r="B51" s="221" t="s">
        <v>189</v>
      </c>
      <c r="C51" s="71"/>
      <c r="D51" s="222" t="s">
        <v>46</v>
      </c>
      <c r="E51" s="223">
        <f>Sensitivity!H10</f>
        <v>0.04</v>
      </c>
      <c r="F51" s="71" t="s">
        <v>54</v>
      </c>
      <c r="G51" s="224">
        <f>I51/F19</f>
        <v>517303.75</v>
      </c>
      <c r="H51" s="225" t="s">
        <v>14</v>
      </c>
      <c r="I51" s="226">
        <f>I50/E51</f>
        <v>51730375</v>
      </c>
    </row>
    <row r="52" spans="1:12" s="31" customFormat="1" ht="13.15" x14ac:dyDescent="0.4">
      <c r="B52" s="31" t="s">
        <v>190</v>
      </c>
      <c r="D52" s="195" t="s">
        <v>46</v>
      </c>
      <c r="E52" s="196">
        <f>(MAX('Development Cash Flow'!I23:CZ23)*12)/E19/12</f>
        <v>2.9901440883977894</v>
      </c>
      <c r="F52" s="242" t="s">
        <v>354</v>
      </c>
      <c r="I52" s="220">
        <f>MAX('Development Cash Flow'!I26:CZ26)*12</f>
        <v>2195867.5117199998</v>
      </c>
      <c r="L52" s="310"/>
    </row>
    <row r="53" spans="1:12" s="31" customFormat="1" ht="13.15" x14ac:dyDescent="0.4">
      <c r="B53" s="221" t="s">
        <v>191</v>
      </c>
      <c r="C53" s="71"/>
      <c r="D53" s="222" t="s">
        <v>46</v>
      </c>
      <c r="E53" s="223">
        <f>Sensitivity!H10</f>
        <v>0.04</v>
      </c>
      <c r="F53" s="71" t="s">
        <v>54</v>
      </c>
      <c r="G53" s="224">
        <f>I53/F19</f>
        <v>548966.87792999996</v>
      </c>
      <c r="H53" s="225" t="s">
        <v>14</v>
      </c>
      <c r="I53" s="226">
        <f>I52/E53</f>
        <v>54896687.792999998</v>
      </c>
    </row>
    <row r="54" spans="1:12" s="31" customFormat="1" ht="13.15" x14ac:dyDescent="0.4">
      <c r="I54" s="220"/>
    </row>
    <row r="55" spans="1:12" s="31" customFormat="1" ht="13.15" x14ac:dyDescent="0.4">
      <c r="B55" s="215"/>
      <c r="D55" s="195"/>
      <c r="E55" s="216"/>
      <c r="G55" s="218"/>
      <c r="H55" s="217"/>
      <c r="I55" s="219"/>
    </row>
  </sheetData>
  <mergeCells count="3">
    <mergeCell ref="B3:I3"/>
    <mergeCell ref="B4:I4"/>
    <mergeCell ref="B5:I5"/>
  </mergeCells>
  <pageMargins left="0.25" right="0.25" top="0.75" bottom="0.75" header="0.3" footer="0.3"/>
  <pageSetup scale="9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N96"/>
  <sheetViews>
    <sheetView showGridLines="0" topLeftCell="A70" zoomScale="110" zoomScaleNormal="110" zoomScaleSheetLayoutView="100" workbookViewId="0">
      <selection activeCell="H77" sqref="H77"/>
    </sheetView>
  </sheetViews>
  <sheetFormatPr defaultRowHeight="14.25" x14ac:dyDescent="0.45"/>
  <cols>
    <col min="2" max="2" width="8.86328125" customWidth="1"/>
    <col min="5" max="5" width="7.86328125" customWidth="1"/>
    <col min="6" max="6" width="7.46484375" customWidth="1"/>
    <col min="7" max="7" width="8" customWidth="1"/>
    <col min="8" max="8" width="14.53125" customWidth="1"/>
    <col min="9" max="9" width="11.19921875" bestFit="1" customWidth="1"/>
    <col min="11" max="12" width="12.53125" bestFit="1" customWidth="1"/>
    <col min="13" max="13" width="10.53125" bestFit="1" customWidth="1"/>
  </cols>
  <sheetData>
    <row r="1" spans="1:13" ht="12" customHeight="1" x14ac:dyDescent="0.45">
      <c r="J1" s="63" t="str">
        <f>"Currently running: "&amp;CHOOSE(Sensitivity!$E$8,Sensitivity!$B$11,Sensitivity!$B$12,Sensitivity!$B$13)</f>
        <v>Currently running: Base Case</v>
      </c>
    </row>
    <row r="2" spans="1:13" ht="52.35" customHeight="1" x14ac:dyDescent="0.45">
      <c r="J2" s="63"/>
    </row>
    <row r="3" spans="1:13" ht="15.75" x14ac:dyDescent="0.5">
      <c r="B3" s="538" t="str">
        <f>Cover!A10</f>
        <v xml:space="preserve">Apartment Development Model 
</v>
      </c>
      <c r="C3" s="538"/>
      <c r="D3" s="538"/>
      <c r="E3" s="538"/>
      <c r="F3" s="538"/>
      <c r="G3" s="538"/>
      <c r="H3" s="538"/>
      <c r="I3" s="538"/>
    </row>
    <row r="4" spans="1:13" x14ac:dyDescent="0.45">
      <c r="B4" s="536" t="str">
        <f>Cover!A12</f>
        <v>Suburban / Urban Location</v>
      </c>
      <c r="C4" s="536"/>
      <c r="D4" s="536"/>
      <c r="E4" s="536"/>
      <c r="F4" s="536"/>
      <c r="G4" s="536"/>
      <c r="H4" s="536"/>
      <c r="I4" s="536"/>
    </row>
    <row r="5" spans="1:13" x14ac:dyDescent="0.45">
      <c r="B5" s="539" t="s">
        <v>21</v>
      </c>
      <c r="C5" s="539"/>
      <c r="D5" s="539"/>
      <c r="E5" s="539"/>
      <c r="F5" s="539"/>
      <c r="G5" s="539"/>
      <c r="H5" s="539"/>
      <c r="I5" s="539"/>
    </row>
    <row r="6" spans="1:13" ht="3.6" customHeight="1" thickBot="1" x14ac:dyDescent="0.5">
      <c r="A6" s="1"/>
      <c r="B6" s="1"/>
      <c r="C6" s="1"/>
      <c r="D6" s="1"/>
      <c r="E6" s="1"/>
      <c r="F6" s="1"/>
      <c r="G6" s="1"/>
      <c r="H6" s="1"/>
      <c r="I6" s="1"/>
      <c r="J6" s="1"/>
    </row>
    <row r="7" spans="1:13" ht="4.3499999999999996" customHeight="1" x14ac:dyDescent="0.45"/>
    <row r="8" spans="1:13" ht="14.1" customHeight="1" x14ac:dyDescent="0.45"/>
    <row r="9" spans="1:13" x14ac:dyDescent="0.45">
      <c r="B9" t="s">
        <v>6</v>
      </c>
      <c r="I9" s="21">
        <f>'Operating Revenue and Expenses'!F19</f>
        <v>100</v>
      </c>
      <c r="J9" t="s">
        <v>255</v>
      </c>
    </row>
    <row r="10" spans="1:13" x14ac:dyDescent="0.45">
      <c r="B10" t="s">
        <v>7</v>
      </c>
      <c r="I10" s="21">
        <f>'Operating Revenue and Expenses'!E19</f>
        <v>85975</v>
      </c>
      <c r="J10" t="s">
        <v>341</v>
      </c>
    </row>
    <row r="11" spans="1:13" ht="4.3499999999999996" customHeight="1" x14ac:dyDescent="0.45"/>
    <row r="12" spans="1:13" x14ac:dyDescent="0.45">
      <c r="B12" s="2"/>
      <c r="G12" s="2"/>
      <c r="H12" s="9" t="s">
        <v>14</v>
      </c>
      <c r="I12" s="9" t="s">
        <v>15</v>
      </c>
      <c r="J12" s="9" t="s">
        <v>16</v>
      </c>
    </row>
    <row r="13" spans="1:13" x14ac:dyDescent="0.45">
      <c r="A13" s="7"/>
      <c r="B13" s="8" t="s">
        <v>119</v>
      </c>
      <c r="C13" s="6"/>
      <c r="D13" s="6"/>
      <c r="E13" s="6"/>
      <c r="F13" s="6"/>
      <c r="G13" s="6"/>
      <c r="H13" s="6"/>
      <c r="I13" s="6"/>
      <c r="J13" s="6"/>
      <c r="M13" t="s">
        <v>359</v>
      </c>
    </row>
    <row r="14" spans="1:13" x14ac:dyDescent="0.45">
      <c r="B14" s="3" t="s">
        <v>8</v>
      </c>
      <c r="H14" s="350">
        <f>5350000+300000</f>
        <v>5650000</v>
      </c>
      <c r="I14" s="21">
        <f>H14/$I$9</f>
        <v>56500</v>
      </c>
      <c r="J14" s="20">
        <f>H14/$I$10</f>
        <v>65.716778133178252</v>
      </c>
    </row>
    <row r="15" spans="1:13" x14ac:dyDescent="0.45">
      <c r="B15" s="3" t="s">
        <v>342</v>
      </c>
      <c r="G15" s="399">
        <v>0.06</v>
      </c>
      <c r="H15" s="22">
        <f>G15*H14</f>
        <v>339000</v>
      </c>
      <c r="I15" s="22">
        <f>H15/$I$9</f>
        <v>3390</v>
      </c>
      <c r="J15" s="24">
        <f>H15/$I$10</f>
        <v>3.9430066879906951</v>
      </c>
    </row>
    <row r="16" spans="1:13" x14ac:dyDescent="0.45">
      <c r="B16" s="10" t="s">
        <v>120</v>
      </c>
      <c r="G16" s="355">
        <f>H16/$H$89</f>
        <v>0.12175787779751561</v>
      </c>
      <c r="H16" s="13">
        <f>SUM(H14:H15)</f>
        <v>5989000</v>
      </c>
      <c r="I16" s="13">
        <f t="shared" ref="I16:J16" si="0">SUM(I14:I15)</f>
        <v>59890</v>
      </c>
      <c r="J16" s="23">
        <f t="shared" si="0"/>
        <v>69.659784821168941</v>
      </c>
    </row>
    <row r="17" spans="1:14" ht="4.3499999999999996" customHeight="1" x14ac:dyDescent="0.45">
      <c r="B17" s="3"/>
      <c r="H17" s="12"/>
      <c r="I17" s="21"/>
      <c r="J17" s="20"/>
    </row>
    <row r="18" spans="1:14" x14ac:dyDescent="0.45">
      <c r="A18" s="7"/>
      <c r="B18" s="8" t="s">
        <v>121</v>
      </c>
      <c r="C18" s="6"/>
      <c r="D18" s="6"/>
      <c r="E18" s="6"/>
      <c r="F18" s="6"/>
      <c r="G18" s="6"/>
      <c r="H18" s="6"/>
      <c r="I18" s="6"/>
      <c r="J18" s="6"/>
    </row>
    <row r="19" spans="1:14" x14ac:dyDescent="0.45">
      <c r="B19" s="3" t="s">
        <v>122</v>
      </c>
      <c r="H19" s="12">
        <f>28500000*M19</f>
        <v>28500000</v>
      </c>
      <c r="I19" s="21">
        <f t="shared" ref="I19:I21" si="1">H19/$I$9</f>
        <v>285000</v>
      </c>
      <c r="J19" s="20">
        <f t="shared" ref="J19:J21" si="2">H19/$I$10</f>
        <v>331.49171270718233</v>
      </c>
      <c r="L19" s="370" t="s">
        <v>331</v>
      </c>
      <c r="M19" s="391">
        <f>+Sensitiv2!D10</f>
        <v>1</v>
      </c>
      <c r="N19" s="309"/>
    </row>
    <row r="20" spans="1:14" x14ac:dyDescent="0.45">
      <c r="B20" s="3" t="s">
        <v>9</v>
      </c>
      <c r="H20" s="12">
        <v>0</v>
      </c>
      <c r="I20" s="21">
        <f t="shared" si="1"/>
        <v>0</v>
      </c>
      <c r="J20" s="20">
        <f t="shared" si="2"/>
        <v>0</v>
      </c>
    </row>
    <row r="21" spans="1:14" x14ac:dyDescent="0.45">
      <c r="B21" s="3" t="s">
        <v>139</v>
      </c>
      <c r="G21" s="5">
        <f>+H21/H19</f>
        <v>5.2631578947368418E-2</v>
      </c>
      <c r="H21" s="28">
        <f>25000000*0.06</f>
        <v>1500000</v>
      </c>
      <c r="I21" s="22">
        <f t="shared" si="1"/>
        <v>15000</v>
      </c>
      <c r="J21" s="24">
        <f t="shared" si="2"/>
        <v>17.446932247746439</v>
      </c>
      <c r="K21" s="355">
        <f>+H21/H19</f>
        <v>5.2631578947368418E-2</v>
      </c>
      <c r="L21" s="13">
        <f>+H19</f>
        <v>28500000</v>
      </c>
      <c r="M21" s="13">
        <f>+H21</f>
        <v>1500000</v>
      </c>
      <c r="N21" s="355">
        <f>+M21/L21</f>
        <v>5.2631578947368418E-2</v>
      </c>
    </row>
    <row r="22" spans="1:14" x14ac:dyDescent="0.45">
      <c r="B22" s="10" t="s">
        <v>150</v>
      </c>
      <c r="G22" s="355">
        <f>H22/$H$89</f>
        <v>0.6099075528344412</v>
      </c>
      <c r="H22" s="13">
        <f>SUM(H19:H21)</f>
        <v>30000000</v>
      </c>
      <c r="I22" s="13">
        <f>SUM(I14:I21)</f>
        <v>419780</v>
      </c>
      <c r="J22" s="23">
        <f>SUM(J19:J21)</f>
        <v>348.93864495492875</v>
      </c>
    </row>
    <row r="23" spans="1:14" ht="4.3499999999999996" customHeight="1" x14ac:dyDescent="0.45"/>
    <row r="24" spans="1:14" x14ac:dyDescent="0.45">
      <c r="A24" s="7"/>
      <c r="B24" s="8" t="s">
        <v>123</v>
      </c>
      <c r="C24" s="8"/>
      <c r="D24" s="8"/>
      <c r="E24" s="8"/>
      <c r="F24" s="8"/>
      <c r="G24" s="8"/>
      <c r="H24" s="8"/>
      <c r="I24" s="8"/>
      <c r="J24" s="8"/>
    </row>
    <row r="25" spans="1:14" x14ac:dyDescent="0.45">
      <c r="B25" s="4" t="s">
        <v>124</v>
      </c>
      <c r="H25" s="307">
        <f>1200000*0.4</f>
        <v>480000</v>
      </c>
      <c r="I25" s="25">
        <f t="shared" ref="I25:I40" si="3">H25/$I$9</f>
        <v>4800</v>
      </c>
      <c r="J25" s="26">
        <f t="shared" ref="J25:J40" si="4">H25/$I$10</f>
        <v>5.5830183192788603</v>
      </c>
    </row>
    <row r="26" spans="1:14" x14ac:dyDescent="0.45">
      <c r="B26" s="4" t="s">
        <v>125</v>
      </c>
      <c r="H26" s="307">
        <f>80000*0.4</f>
        <v>32000</v>
      </c>
      <c r="I26" s="25">
        <f t="shared" si="3"/>
        <v>320</v>
      </c>
      <c r="J26" s="26">
        <f t="shared" si="4"/>
        <v>0.37220122128525734</v>
      </c>
      <c r="N26" s="309"/>
    </row>
    <row r="27" spans="1:14" x14ac:dyDescent="0.45">
      <c r="B27" s="4" t="s">
        <v>126</v>
      </c>
      <c r="H27" s="307">
        <f>400000*0.4</f>
        <v>160000</v>
      </c>
      <c r="I27" s="25">
        <f t="shared" si="3"/>
        <v>1600</v>
      </c>
      <c r="J27" s="26">
        <f t="shared" si="4"/>
        <v>1.8610061064262866</v>
      </c>
      <c r="N27" s="309"/>
    </row>
    <row r="28" spans="1:14" x14ac:dyDescent="0.45">
      <c r="B28" s="4" t="s">
        <v>127</v>
      </c>
      <c r="H28" s="307">
        <v>75000</v>
      </c>
      <c r="I28" s="25">
        <f t="shared" si="3"/>
        <v>750</v>
      </c>
      <c r="J28" s="26">
        <f t="shared" si="4"/>
        <v>0.87234661238732192</v>
      </c>
    </row>
    <row r="29" spans="1:14" x14ac:dyDescent="0.45">
      <c r="B29" s="4" t="s">
        <v>248</v>
      </c>
      <c r="H29" s="307">
        <f>220000*0.4</f>
        <v>88000</v>
      </c>
      <c r="I29" s="25">
        <f t="shared" si="3"/>
        <v>880</v>
      </c>
      <c r="J29" s="26">
        <f t="shared" si="4"/>
        <v>1.0235533585344576</v>
      </c>
    </row>
    <row r="30" spans="1:14" x14ac:dyDescent="0.45">
      <c r="B30" s="4" t="s">
        <v>128</v>
      </c>
      <c r="H30" s="307">
        <v>35000</v>
      </c>
      <c r="I30" s="25">
        <f t="shared" si="3"/>
        <v>350</v>
      </c>
      <c r="J30" s="26">
        <f t="shared" si="4"/>
        <v>0.40709508578075021</v>
      </c>
    </row>
    <row r="31" spans="1:14" x14ac:dyDescent="0.45">
      <c r="B31" s="4" t="s">
        <v>249</v>
      </c>
      <c r="H31" s="307">
        <v>0</v>
      </c>
      <c r="I31" s="25">
        <f t="shared" si="3"/>
        <v>0</v>
      </c>
      <c r="J31" s="26">
        <f t="shared" si="4"/>
        <v>0</v>
      </c>
    </row>
    <row r="32" spans="1:14" x14ac:dyDescent="0.45">
      <c r="B32" s="4" t="s">
        <v>129</v>
      </c>
      <c r="H32" s="307">
        <v>20000</v>
      </c>
      <c r="I32" s="25">
        <f t="shared" si="3"/>
        <v>200</v>
      </c>
      <c r="J32" s="26">
        <f t="shared" si="4"/>
        <v>0.23262576330328583</v>
      </c>
    </row>
    <row r="33" spans="1:14" x14ac:dyDescent="0.45">
      <c r="B33" s="4" t="s">
        <v>379</v>
      </c>
      <c r="H33" s="351">
        <v>0</v>
      </c>
      <c r="I33" s="25">
        <f t="shared" si="3"/>
        <v>0</v>
      </c>
      <c r="J33" s="26">
        <f t="shared" si="4"/>
        <v>0</v>
      </c>
    </row>
    <row r="34" spans="1:14" x14ac:dyDescent="0.45">
      <c r="B34" s="4"/>
      <c r="H34" s="351"/>
      <c r="I34" s="25">
        <f t="shared" si="3"/>
        <v>0</v>
      </c>
      <c r="J34" s="26">
        <f t="shared" si="4"/>
        <v>0</v>
      </c>
    </row>
    <row r="35" spans="1:14" x14ac:dyDescent="0.45">
      <c r="B35" s="4" t="s">
        <v>344</v>
      </c>
      <c r="H35" s="351">
        <v>400000</v>
      </c>
      <c r="I35" s="25">
        <f t="shared" si="3"/>
        <v>4000</v>
      </c>
      <c r="J35" s="26">
        <f t="shared" si="4"/>
        <v>4.6525152660657172</v>
      </c>
    </row>
    <row r="36" spans="1:14" x14ac:dyDescent="0.45">
      <c r="B36" s="4" t="s">
        <v>130</v>
      </c>
      <c r="H36" s="307">
        <v>0</v>
      </c>
      <c r="I36" s="25">
        <f t="shared" si="3"/>
        <v>0</v>
      </c>
      <c r="J36" s="26">
        <f t="shared" si="4"/>
        <v>0</v>
      </c>
    </row>
    <row r="37" spans="1:14" x14ac:dyDescent="0.45">
      <c r="B37" s="4" t="s">
        <v>131</v>
      </c>
      <c r="H37" s="307">
        <v>0</v>
      </c>
      <c r="I37" s="25">
        <f t="shared" si="3"/>
        <v>0</v>
      </c>
      <c r="J37" s="26">
        <f t="shared" si="4"/>
        <v>0</v>
      </c>
    </row>
    <row r="38" spans="1:14" x14ac:dyDescent="0.45">
      <c r="B38" s="4" t="s">
        <v>132</v>
      </c>
      <c r="H38" s="307">
        <v>0</v>
      </c>
      <c r="I38" s="25">
        <f t="shared" si="3"/>
        <v>0</v>
      </c>
      <c r="J38" s="26">
        <f t="shared" si="4"/>
        <v>0</v>
      </c>
    </row>
    <row r="39" spans="1:14" x14ac:dyDescent="0.45">
      <c r="B39" s="4" t="s">
        <v>133</v>
      </c>
      <c r="H39" s="307">
        <v>0</v>
      </c>
      <c r="I39" s="25">
        <f t="shared" si="3"/>
        <v>0</v>
      </c>
      <c r="J39" s="26">
        <f t="shared" si="4"/>
        <v>0</v>
      </c>
    </row>
    <row r="40" spans="1:14" x14ac:dyDescent="0.45">
      <c r="B40" s="4" t="s">
        <v>134</v>
      </c>
      <c r="G40" s="5">
        <v>0.1</v>
      </c>
      <c r="H40" s="307">
        <f>SUM(H25:H39)*G40</f>
        <v>129000</v>
      </c>
      <c r="I40" s="22">
        <f t="shared" si="3"/>
        <v>1290</v>
      </c>
      <c r="J40" s="24">
        <f t="shared" si="4"/>
        <v>1.5004361733061937</v>
      </c>
      <c r="L40" s="13"/>
    </row>
    <row r="41" spans="1:14" x14ac:dyDescent="0.45">
      <c r="B41" s="11" t="s">
        <v>135</v>
      </c>
      <c r="G41" s="355">
        <f>H41/$H$89</f>
        <v>2.8848627249069069E-2</v>
      </c>
      <c r="H41" s="353">
        <f>SUM(H25:H40)</f>
        <v>1419000</v>
      </c>
      <c r="I41" s="13">
        <f>SUM(I25:I40)</f>
        <v>14190</v>
      </c>
      <c r="J41" s="23">
        <f>SUM(J25:J40)</f>
        <v>16.504797906368129</v>
      </c>
      <c r="K41" s="355">
        <f>+H41/H22</f>
        <v>4.7300000000000002E-2</v>
      </c>
      <c r="L41" s="442">
        <f>+H41-H40</f>
        <v>1290000</v>
      </c>
      <c r="M41" s="13">
        <f>+H40</f>
        <v>129000</v>
      </c>
      <c r="N41" s="355">
        <f>+M41/L41</f>
        <v>0.1</v>
      </c>
    </row>
    <row r="42" spans="1:14" ht="4.3499999999999996" customHeight="1" x14ac:dyDescent="0.45">
      <c r="B42" s="11"/>
      <c r="H42" s="13"/>
      <c r="I42" s="13"/>
      <c r="J42" s="23"/>
    </row>
    <row r="43" spans="1:14" x14ac:dyDescent="0.45">
      <c r="A43" s="7"/>
      <c r="B43" s="8" t="s">
        <v>141</v>
      </c>
      <c r="C43" s="6"/>
      <c r="D43" s="6"/>
      <c r="E43" s="6"/>
      <c r="F43" s="6"/>
      <c r="G43" s="6"/>
      <c r="H43" s="6"/>
      <c r="I43" s="6"/>
      <c r="J43" s="6"/>
    </row>
    <row r="44" spans="1:14" x14ac:dyDescent="0.45">
      <c r="B44" s="4"/>
      <c r="C44" s="122"/>
      <c r="G44" s="16"/>
      <c r="H44" s="352"/>
      <c r="I44" s="25"/>
      <c r="J44" s="26"/>
    </row>
    <row r="45" spans="1:14" x14ac:dyDescent="0.45">
      <c r="B45" s="4" t="s">
        <v>289</v>
      </c>
      <c r="C45" s="122"/>
      <c r="G45" s="16"/>
      <c r="H45" s="352">
        <f>3300000*0.38</f>
        <v>1254000</v>
      </c>
      <c r="I45" s="25">
        <f t="shared" ref="I45" si="5">H45/$I$9</f>
        <v>12540</v>
      </c>
      <c r="J45" s="25">
        <f t="shared" ref="J45" si="6">H45/$I$10</f>
        <v>14.585635359116022</v>
      </c>
    </row>
    <row r="46" spans="1:14" x14ac:dyDescent="0.45">
      <c r="B46" s="11" t="s">
        <v>350</v>
      </c>
      <c r="G46" s="400">
        <f>H46/$H$89</f>
        <v>2.5494135708479641E-2</v>
      </c>
      <c r="H46" s="123">
        <f>SUM(H44:H45)</f>
        <v>1254000</v>
      </c>
      <c r="I46" s="123">
        <f>SUM(I44:I45)</f>
        <v>12540</v>
      </c>
      <c r="J46" s="123">
        <f>SUM(J44:J45)</f>
        <v>14.585635359116022</v>
      </c>
    </row>
    <row r="47" spans="1:14" ht="4.3499999999999996" customHeight="1" x14ac:dyDescent="0.45">
      <c r="B47" s="3"/>
      <c r="H47" s="13"/>
      <c r="I47" s="13"/>
      <c r="J47" s="23"/>
    </row>
    <row r="48" spans="1:14" x14ac:dyDescent="0.45">
      <c r="A48" s="7"/>
      <c r="B48" s="8" t="s">
        <v>136</v>
      </c>
      <c r="C48" s="8"/>
      <c r="D48" s="8"/>
      <c r="E48" s="8"/>
      <c r="F48" s="8"/>
      <c r="G48" s="8"/>
      <c r="H48" s="8"/>
      <c r="I48" s="8"/>
      <c r="J48" s="8"/>
    </row>
    <row r="49" spans="1:14" hidden="1" x14ac:dyDescent="0.45">
      <c r="B49" s="4" t="s">
        <v>346</v>
      </c>
      <c r="H49" s="307">
        <v>0</v>
      </c>
      <c r="I49" s="25">
        <f t="shared" ref="I49:I58" si="7">H49/$I$9</f>
        <v>0</v>
      </c>
      <c r="J49" s="26">
        <f t="shared" ref="J49:J58" si="8">H49/$I$10</f>
        <v>0</v>
      </c>
    </row>
    <row r="50" spans="1:14" hidden="1" x14ac:dyDescent="0.45">
      <c r="B50" s="4" t="s">
        <v>138</v>
      </c>
      <c r="H50" s="307">
        <v>0</v>
      </c>
      <c r="I50" s="25">
        <f t="shared" si="7"/>
        <v>0</v>
      </c>
      <c r="J50" s="26">
        <f t="shared" si="8"/>
        <v>0</v>
      </c>
    </row>
    <row r="51" spans="1:14" x14ac:dyDescent="0.45">
      <c r="B51" s="4" t="s">
        <v>137</v>
      </c>
      <c r="H51" s="307">
        <f>250000*0.4</f>
        <v>100000</v>
      </c>
      <c r="I51" s="25">
        <f t="shared" si="7"/>
        <v>1000</v>
      </c>
      <c r="J51" s="26">
        <f t="shared" si="8"/>
        <v>1.1631288165164293</v>
      </c>
    </row>
    <row r="52" spans="1:14" x14ac:dyDescent="0.45">
      <c r="B52" s="4" t="s">
        <v>246</v>
      </c>
      <c r="H52" s="307">
        <f>30000*100</f>
        <v>3000000</v>
      </c>
      <c r="I52" s="25">
        <f t="shared" si="7"/>
        <v>30000</v>
      </c>
      <c r="J52" s="26">
        <f t="shared" si="8"/>
        <v>34.893864495492878</v>
      </c>
      <c r="N52" s="309"/>
    </row>
    <row r="53" spans="1:14" x14ac:dyDescent="0.45">
      <c r="B53" s="4" t="s">
        <v>10</v>
      </c>
      <c r="H53" s="307">
        <v>0</v>
      </c>
      <c r="I53" s="25">
        <f t="shared" si="7"/>
        <v>0</v>
      </c>
      <c r="J53" s="26">
        <f t="shared" si="8"/>
        <v>0</v>
      </c>
    </row>
    <row r="54" spans="1:14" x14ac:dyDescent="0.45">
      <c r="B54" s="4" t="s">
        <v>247</v>
      </c>
      <c r="H54" s="307">
        <v>0</v>
      </c>
      <c r="I54" s="25">
        <f t="shared" si="7"/>
        <v>0</v>
      </c>
      <c r="J54" s="26">
        <f t="shared" si="8"/>
        <v>0</v>
      </c>
    </row>
    <row r="55" spans="1:14" x14ac:dyDescent="0.45">
      <c r="B55" s="406" t="s">
        <v>348</v>
      </c>
      <c r="C55" s="309"/>
      <c r="D55" s="309"/>
      <c r="E55" s="309"/>
      <c r="F55" s="309">
        <v>600</v>
      </c>
      <c r="G55" s="309"/>
      <c r="H55" s="407">
        <f>-F55*I9</f>
        <v>-60000</v>
      </c>
      <c r="I55" s="407">
        <f t="shared" si="7"/>
        <v>-600</v>
      </c>
      <c r="J55" s="408">
        <f t="shared" si="8"/>
        <v>-0.69787728990985753</v>
      </c>
    </row>
    <row r="56" spans="1:14" hidden="1" x14ac:dyDescent="0.45">
      <c r="B56" s="4" t="s">
        <v>151</v>
      </c>
      <c r="H56" s="307">
        <v>0</v>
      </c>
      <c r="I56" s="25">
        <f t="shared" si="7"/>
        <v>0</v>
      </c>
      <c r="J56" s="26">
        <f t="shared" si="8"/>
        <v>0</v>
      </c>
    </row>
    <row r="57" spans="1:14" hidden="1" x14ac:dyDescent="0.45">
      <c r="B57" s="4" t="s">
        <v>143</v>
      </c>
      <c r="H57" s="307">
        <v>0</v>
      </c>
      <c r="I57" s="25">
        <f t="shared" si="7"/>
        <v>0</v>
      </c>
      <c r="J57" s="26">
        <f t="shared" si="8"/>
        <v>0</v>
      </c>
    </row>
    <row r="58" spans="1:14" x14ac:dyDescent="0.45">
      <c r="B58" s="4" t="s">
        <v>140</v>
      </c>
      <c r="G58" s="5">
        <v>0.1</v>
      </c>
      <c r="H58" s="307">
        <f>SUM(H49:H57)*G58</f>
        <v>304000</v>
      </c>
      <c r="I58" s="22">
        <f t="shared" si="7"/>
        <v>3040</v>
      </c>
      <c r="J58" s="24">
        <f t="shared" si="8"/>
        <v>3.5359116022099446</v>
      </c>
    </row>
    <row r="59" spans="1:14" x14ac:dyDescent="0.45">
      <c r="B59" s="11" t="s">
        <v>154</v>
      </c>
      <c r="G59" s="355">
        <f>H59/$H$89</f>
        <v>6.7984361889279046E-2</v>
      </c>
      <c r="H59" s="13">
        <f>SUM(H49:H58)</f>
        <v>3344000</v>
      </c>
      <c r="I59" s="13">
        <f>SUM(I49:I58)</f>
        <v>33440</v>
      </c>
      <c r="J59" s="23">
        <f>SUM(J49:J58)</f>
        <v>38.895027624309392</v>
      </c>
      <c r="L59" s="13">
        <f>+H59-H58</f>
        <v>3040000</v>
      </c>
      <c r="M59" s="13">
        <f>+H58</f>
        <v>304000</v>
      </c>
      <c r="N59" s="355">
        <f>+M59/L59</f>
        <v>0.1</v>
      </c>
    </row>
    <row r="60" spans="1:14" ht="4.3499999999999996" customHeight="1" x14ac:dyDescent="0.45">
      <c r="B60" s="11"/>
      <c r="H60" s="13"/>
      <c r="I60" s="13"/>
      <c r="J60" s="23"/>
    </row>
    <row r="61" spans="1:14" x14ac:dyDescent="0.45">
      <c r="A61" s="7"/>
      <c r="B61" s="8" t="s">
        <v>153</v>
      </c>
      <c r="C61" s="8"/>
      <c r="D61" s="8"/>
      <c r="E61" s="8"/>
      <c r="F61" s="8"/>
      <c r="G61" s="8"/>
      <c r="H61" s="8"/>
      <c r="I61" s="8"/>
      <c r="J61" s="8"/>
    </row>
    <row r="62" spans="1:14" x14ac:dyDescent="0.45">
      <c r="B62" s="4" t="s">
        <v>286</v>
      </c>
      <c r="H62" s="351">
        <v>0</v>
      </c>
      <c r="I62" s="25">
        <f>H62/I9</f>
        <v>0</v>
      </c>
      <c r="J62" s="26">
        <f>H62/I10</f>
        <v>0</v>
      </c>
    </row>
    <row r="63" spans="1:14" x14ac:dyDescent="0.45">
      <c r="B63" s="4" t="s">
        <v>343</v>
      </c>
      <c r="H63" s="351">
        <f>'Operating Revenue and Expenses'!I27/12*1.5</f>
        <v>363375</v>
      </c>
      <c r="I63" s="357">
        <f>H63/I9</f>
        <v>3633.75</v>
      </c>
      <c r="J63" s="26">
        <f>H63/I10</f>
        <v>4.2265193370165743</v>
      </c>
    </row>
    <row r="64" spans="1:14" x14ac:dyDescent="0.45">
      <c r="B64" s="4" t="s">
        <v>287</v>
      </c>
      <c r="H64" s="351">
        <v>0</v>
      </c>
      <c r="I64" s="357">
        <f>H64/I9</f>
        <v>0</v>
      </c>
      <c r="J64" s="26">
        <f>H64/I10</f>
        <v>0</v>
      </c>
    </row>
    <row r="65" spans="1:14" x14ac:dyDescent="0.45">
      <c r="B65" s="4" t="s">
        <v>11</v>
      </c>
      <c r="H65" s="351">
        <f>'Operating Revenue and Expenses'!I27/12*1.5</f>
        <v>363375</v>
      </c>
      <c r="I65" s="25">
        <f>H65/$I$9</f>
        <v>3633.75</v>
      </c>
      <c r="J65" s="26">
        <f>H65/$I$10</f>
        <v>4.2265193370165743</v>
      </c>
      <c r="N65" s="309"/>
    </row>
    <row r="66" spans="1:14" x14ac:dyDescent="0.45">
      <c r="B66" s="11" t="s">
        <v>155</v>
      </c>
      <c r="G66" s="355">
        <f>H66/$H$89</f>
        <v>1.4775010467414338E-2</v>
      </c>
      <c r="H66" s="353">
        <f>SUM(H62:H65)</f>
        <v>726750</v>
      </c>
      <c r="I66" s="353">
        <f>SUM(I62:I65)</f>
        <v>7267.5</v>
      </c>
      <c r="J66" s="354">
        <f>SUM(J62:J65)</f>
        <v>8.4530386740331487</v>
      </c>
    </row>
    <row r="67" spans="1:14" ht="4.3499999999999996" customHeight="1" x14ac:dyDescent="0.45">
      <c r="B67" s="11"/>
      <c r="H67" s="13"/>
      <c r="I67" s="13"/>
      <c r="J67" s="23"/>
    </row>
    <row r="68" spans="1:14" x14ac:dyDescent="0.45">
      <c r="A68" s="7"/>
      <c r="B68" s="8" t="s">
        <v>148</v>
      </c>
      <c r="C68" s="8"/>
      <c r="D68" s="8"/>
      <c r="E68" s="8"/>
      <c r="F68" s="8"/>
      <c r="G68" s="8"/>
      <c r="H68" s="8"/>
      <c r="I68" s="8"/>
      <c r="J68" s="8"/>
    </row>
    <row r="69" spans="1:14" x14ac:dyDescent="0.45">
      <c r="B69" s="4" t="s">
        <v>142</v>
      </c>
      <c r="H69" s="351">
        <v>20000</v>
      </c>
      <c r="I69" s="25">
        <f t="shared" ref="I69:I79" si="9">H69/$I$9</f>
        <v>200</v>
      </c>
      <c r="J69" s="26">
        <f t="shared" ref="J69" si="10">H69/$I$10</f>
        <v>0.23262576330328583</v>
      </c>
    </row>
    <row r="70" spans="1:14" x14ac:dyDescent="0.45">
      <c r="B70" s="4" t="s">
        <v>144</v>
      </c>
      <c r="H70" s="351">
        <v>75000</v>
      </c>
      <c r="I70" s="25">
        <f t="shared" si="9"/>
        <v>750</v>
      </c>
      <c r="J70" s="26">
        <f t="shared" ref="J70:J79" si="11">H70/$I$10</f>
        <v>0.87234661238732192</v>
      </c>
    </row>
    <row r="71" spans="1:14" hidden="1" x14ac:dyDescent="0.45">
      <c r="B71" s="4" t="s">
        <v>13</v>
      </c>
      <c r="F71" t="s">
        <v>156</v>
      </c>
      <c r="G71" s="57"/>
      <c r="H71" s="307">
        <v>0</v>
      </c>
      <c r="I71" s="25">
        <f t="shared" si="9"/>
        <v>0</v>
      </c>
      <c r="J71" s="26">
        <f t="shared" si="11"/>
        <v>0</v>
      </c>
      <c r="N71" s="309"/>
    </row>
    <row r="72" spans="1:14" hidden="1" x14ac:dyDescent="0.45">
      <c r="B72" s="4" t="s">
        <v>145</v>
      </c>
      <c r="H72" s="307">
        <v>0</v>
      </c>
      <c r="I72" s="25">
        <f t="shared" si="9"/>
        <v>0</v>
      </c>
      <c r="J72" s="26">
        <f t="shared" si="11"/>
        <v>0</v>
      </c>
    </row>
    <row r="73" spans="1:14" hidden="1" x14ac:dyDescent="0.45">
      <c r="B73" s="4" t="s">
        <v>34</v>
      </c>
      <c r="H73" s="307">
        <v>0</v>
      </c>
      <c r="I73" s="25">
        <f t="shared" si="9"/>
        <v>0</v>
      </c>
      <c r="J73" s="26">
        <f t="shared" si="11"/>
        <v>0</v>
      </c>
    </row>
    <row r="74" spans="1:14" hidden="1" x14ac:dyDescent="0.45">
      <c r="B74" s="4" t="s">
        <v>146</v>
      </c>
      <c r="H74" s="307">
        <v>0</v>
      </c>
      <c r="I74" s="25">
        <f t="shared" si="9"/>
        <v>0</v>
      </c>
      <c r="J74" s="26">
        <f t="shared" si="11"/>
        <v>0</v>
      </c>
    </row>
    <row r="75" spans="1:14" x14ac:dyDescent="0.45">
      <c r="B75" s="4" t="s">
        <v>147</v>
      </c>
      <c r="H75" s="351">
        <v>480000</v>
      </c>
      <c r="I75" s="25">
        <f t="shared" si="9"/>
        <v>4800</v>
      </c>
      <c r="J75" s="26">
        <f t="shared" si="11"/>
        <v>5.5830183192788603</v>
      </c>
      <c r="M75" s="13"/>
    </row>
    <row r="76" spans="1:14" hidden="1" x14ac:dyDescent="0.45">
      <c r="B76" s="4" t="s">
        <v>256</v>
      </c>
      <c r="H76" s="307">
        <v>0</v>
      </c>
      <c r="I76" s="25">
        <f t="shared" si="9"/>
        <v>0</v>
      </c>
      <c r="J76" s="26">
        <f t="shared" si="11"/>
        <v>0</v>
      </c>
    </row>
    <row r="77" spans="1:14" x14ac:dyDescent="0.45">
      <c r="B77" s="4" t="s">
        <v>12</v>
      </c>
      <c r="H77" s="307">
        <f>HST!F18</f>
        <v>3820151.5153274327</v>
      </c>
      <c r="I77" s="25">
        <f t="shared" si="9"/>
        <v>38201.515153274326</v>
      </c>
      <c r="J77" s="26">
        <f t="shared" si="11"/>
        <v>44.433283109362407</v>
      </c>
      <c r="N77" s="309"/>
    </row>
    <row r="78" spans="1:14" x14ac:dyDescent="0.45">
      <c r="B78" s="4" t="s">
        <v>185</v>
      </c>
      <c r="F78" t="s">
        <v>46</v>
      </c>
      <c r="G78" s="316">
        <f>Sensitivity!H15</f>
        <v>4.6666666666666662E-2</v>
      </c>
      <c r="H78" s="190">
        <f>-'Development Cash Flow'!E94</f>
        <v>2639932.5244444441</v>
      </c>
      <c r="I78" s="25">
        <f t="shared" si="9"/>
        <v>26399.325244444441</v>
      </c>
      <c r="J78" s="26">
        <f t="shared" si="11"/>
        <v>30.705815928402956</v>
      </c>
    </row>
    <row r="79" spans="1:14" x14ac:dyDescent="0.45">
      <c r="B79" s="4" t="s">
        <v>194</v>
      </c>
      <c r="G79" s="5">
        <f>+H79/(H80-H79)</f>
        <v>7.1072356374610304E-2</v>
      </c>
      <c r="H79" s="14">
        <f>2000000*0.25</f>
        <v>500000</v>
      </c>
      <c r="I79" s="22">
        <f t="shared" si="9"/>
        <v>5000</v>
      </c>
      <c r="J79" s="24">
        <f t="shared" si="11"/>
        <v>5.8156440825821463</v>
      </c>
      <c r="K79" s="13"/>
    </row>
    <row r="80" spans="1:14" x14ac:dyDescent="0.45">
      <c r="B80" s="11" t="s">
        <v>149</v>
      </c>
      <c r="G80" s="355">
        <f>H80/$H$89</f>
        <v>0.15319015556997068</v>
      </c>
      <c r="H80" s="13">
        <f>SUM(H69:H79)</f>
        <v>7535084.0397718772</v>
      </c>
      <c r="I80" s="13">
        <f>SUM(I69:I79)</f>
        <v>75350.84039771877</v>
      </c>
      <c r="J80" s="23">
        <f>SUM(J69:J79)</f>
        <v>87.642733815316973</v>
      </c>
      <c r="K80" s="376"/>
      <c r="L80" s="13">
        <f>+H80-H79</f>
        <v>7035084.0397718772</v>
      </c>
      <c r="M80" s="13">
        <f>+H79</f>
        <v>500000</v>
      </c>
      <c r="N80" s="355">
        <f>+M80/L80</f>
        <v>7.1072356374610304E-2</v>
      </c>
    </row>
    <row r="81" spans="1:14" ht="4.3499999999999996" customHeight="1" x14ac:dyDescent="0.45">
      <c r="B81" s="11"/>
      <c r="H81" s="13"/>
      <c r="I81" s="13"/>
      <c r="J81" s="23"/>
    </row>
    <row r="82" spans="1:14" x14ac:dyDescent="0.45">
      <c r="A82" s="7"/>
      <c r="B82" s="8" t="s">
        <v>172</v>
      </c>
      <c r="C82" s="6"/>
      <c r="D82" s="6"/>
      <c r="E82" s="6"/>
      <c r="F82" s="6"/>
      <c r="G82" s="6"/>
      <c r="H82" s="6"/>
      <c r="I82" s="6"/>
      <c r="J82" s="6"/>
    </row>
    <row r="83" spans="1:14" x14ac:dyDescent="0.45">
      <c r="B83" s="10" t="s">
        <v>361</v>
      </c>
      <c r="C83" s="30"/>
      <c r="D83" s="30"/>
      <c r="E83" s="30"/>
      <c r="F83" s="30"/>
      <c r="G83" s="30"/>
      <c r="H83" s="448">
        <f>-'Development Cash Flow'!E22</f>
        <v>-252757.00542857146</v>
      </c>
      <c r="I83" s="448">
        <f>H83/$I$9</f>
        <v>-2527.5700542857144</v>
      </c>
      <c r="J83" s="448">
        <f>H83/$I$10</f>
        <v>-2.9398895659037101</v>
      </c>
    </row>
    <row r="84" spans="1:14" x14ac:dyDescent="0.45">
      <c r="B84" s="3" t="s">
        <v>48</v>
      </c>
      <c r="H84" s="160">
        <f>-'Development Cash Flow'!E23</f>
        <v>-1162250.1617142858</v>
      </c>
      <c r="I84" s="160">
        <f>H84/$I$9</f>
        <v>-11622.501617142858</v>
      </c>
      <c r="J84" s="160">
        <f>H84/$I$10</f>
        <v>-13.518466550907657</v>
      </c>
    </row>
    <row r="85" spans="1:14" x14ac:dyDescent="0.45">
      <c r="B85" s="3" t="s">
        <v>169</v>
      </c>
      <c r="G85" s="16"/>
      <c r="H85" s="160">
        <f>-'Development Cash Flow'!E24</f>
        <v>29056.254042857145</v>
      </c>
      <c r="I85" s="160">
        <f t="shared" ref="I85:I86" si="12">H85/$I$9</f>
        <v>290.56254042857142</v>
      </c>
      <c r="J85" s="160">
        <f t="shared" ref="J85:J86" si="13">H85/$I$10</f>
        <v>0.33796166377269143</v>
      </c>
    </row>
    <row r="86" spans="1:14" x14ac:dyDescent="0.45">
      <c r="B86" s="3" t="s">
        <v>32</v>
      </c>
      <c r="G86" s="16"/>
      <c r="H86" s="161">
        <f>-'Development Cash Flow'!E25</f>
        <v>305899.28490857146</v>
      </c>
      <c r="I86" s="161">
        <f t="shared" si="12"/>
        <v>3058.9928490857146</v>
      </c>
      <c r="J86" s="161">
        <f t="shared" si="13"/>
        <v>3.5580027322892871</v>
      </c>
    </row>
    <row r="87" spans="1:14" x14ac:dyDescent="0.45">
      <c r="B87" s="10" t="s">
        <v>362</v>
      </c>
      <c r="H87" s="160">
        <f>SUM(H83:H86)</f>
        <v>-1080051.6281914287</v>
      </c>
      <c r="I87" s="160">
        <f>SUM(I83:I86)</f>
        <v>-10800.516281914286</v>
      </c>
      <c r="J87" s="160">
        <f>SUM(J83:J86)</f>
        <v>-12.562391720749387</v>
      </c>
    </row>
    <row r="88" spans="1:14" ht="8.1" customHeight="1" x14ac:dyDescent="0.45">
      <c r="B88" s="10"/>
      <c r="H88" s="160"/>
      <c r="I88" s="160"/>
      <c r="J88" s="160"/>
    </row>
    <row r="89" spans="1:14" x14ac:dyDescent="0.45">
      <c r="A89" s="6"/>
      <c r="B89" s="6" t="s">
        <v>152</v>
      </c>
      <c r="C89" s="6"/>
      <c r="D89" s="6"/>
      <c r="E89" s="6"/>
      <c r="F89" s="6"/>
      <c r="G89" s="6"/>
      <c r="H89" s="15">
        <f>SUM(H16,H22,H41,H59,H46,H66,H80,H87)</f>
        <v>49187782.411580451</v>
      </c>
      <c r="I89" s="15">
        <f>H89/I9</f>
        <v>491877.82411580451</v>
      </c>
      <c r="J89" s="15">
        <f>H89/I10</f>
        <v>572.11727143449207</v>
      </c>
      <c r="L89" s="13">
        <f>+H89-H16</f>
        <v>43198782.411580451</v>
      </c>
      <c r="M89" s="13">
        <f>SUM(M21:M87)</f>
        <v>2433000</v>
      </c>
      <c r="N89" s="355">
        <f>+M89/L89</f>
        <v>5.6321031848059151E-2</v>
      </c>
    </row>
    <row r="90" spans="1:14" x14ac:dyDescent="0.45">
      <c r="H90" s="13"/>
      <c r="L90" s="13"/>
    </row>
    <row r="91" spans="1:14" x14ac:dyDescent="0.45">
      <c r="H91" s="514"/>
    </row>
    <row r="92" spans="1:14" x14ac:dyDescent="0.45">
      <c r="H92" s="21"/>
    </row>
    <row r="93" spans="1:14" x14ac:dyDescent="0.45">
      <c r="H93" s="21"/>
    </row>
    <row r="94" spans="1:14" x14ac:dyDescent="0.45">
      <c r="H94" s="431"/>
      <c r="I94" s="432"/>
    </row>
    <row r="95" spans="1:14" x14ac:dyDescent="0.45">
      <c r="H95" s="431"/>
      <c r="I95" s="432"/>
    </row>
    <row r="96" spans="1:14" x14ac:dyDescent="0.45">
      <c r="H96" s="431"/>
      <c r="I96" s="432"/>
    </row>
  </sheetData>
  <mergeCells count="3">
    <mergeCell ref="B3:I3"/>
    <mergeCell ref="B4:I4"/>
    <mergeCell ref="B5:I5"/>
  </mergeCells>
  <printOptions horizontalCentered="1"/>
  <pageMargins left="0.25" right="0.25" top="0.75" bottom="0.75" header="0.3" footer="0.3"/>
  <pageSetup paperSize="17" scale="91" orientation="landscape" r:id="rId1"/>
  <rowBreaks count="1" manualBreakCount="1">
    <brk id="47"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J33"/>
  <sheetViews>
    <sheetView showGridLines="0" zoomScaleNormal="100" zoomScaleSheetLayoutView="85" workbookViewId="0">
      <selection activeCell="E12" sqref="E12"/>
    </sheetView>
  </sheetViews>
  <sheetFormatPr defaultRowHeight="14.25" x14ac:dyDescent="0.45"/>
  <cols>
    <col min="9" max="9" width="14.86328125" customWidth="1"/>
    <col min="10" max="10" width="0.53125" customWidth="1"/>
  </cols>
  <sheetData>
    <row r="1" spans="1:10" ht="12" customHeight="1" x14ac:dyDescent="0.45">
      <c r="J1" s="63" t="str">
        <f>"Currently running: "&amp;CHOOSE(Sensitivity!$E$8,Sensitivity!$B$11,Sensitivity!$B$12,Sensitivity!$B$13)</f>
        <v>Currently running: Base Case</v>
      </c>
    </row>
    <row r="2" spans="1:10" ht="48.6" customHeight="1" x14ac:dyDescent="0.45">
      <c r="J2" s="63"/>
    </row>
    <row r="3" spans="1:10" ht="15.75" x14ac:dyDescent="0.5">
      <c r="B3" s="538" t="str">
        <f>Cover!A10</f>
        <v xml:space="preserve">Apartment Development Model 
</v>
      </c>
      <c r="C3" s="538"/>
      <c r="D3" s="538"/>
      <c r="E3" s="538"/>
      <c r="F3" s="538"/>
      <c r="G3" s="538"/>
      <c r="H3" s="538"/>
      <c r="I3" s="538"/>
    </row>
    <row r="4" spans="1:10" x14ac:dyDescent="0.45">
      <c r="B4" s="536" t="str">
        <f>Cover!A12</f>
        <v>Suburban / Urban Location</v>
      </c>
      <c r="C4" s="536"/>
      <c r="D4" s="536"/>
      <c r="E4" s="536"/>
      <c r="F4" s="536"/>
      <c r="G4" s="536"/>
      <c r="H4" s="536"/>
      <c r="I4" s="536"/>
    </row>
    <row r="5" spans="1:10" x14ac:dyDescent="0.45">
      <c r="B5" s="539" t="s">
        <v>24</v>
      </c>
      <c r="C5" s="539"/>
      <c r="D5" s="539"/>
      <c r="E5" s="539"/>
      <c r="F5" s="539"/>
      <c r="G5" s="539"/>
      <c r="H5" s="539"/>
      <c r="I5" s="539"/>
    </row>
    <row r="6" spans="1:10" ht="3.6" customHeight="1" thickBot="1" x14ac:dyDescent="0.5">
      <c r="A6" s="1"/>
      <c r="B6" s="1"/>
      <c r="C6" s="1"/>
      <c r="D6" s="1"/>
      <c r="E6" s="1"/>
      <c r="F6" s="1"/>
      <c r="G6" s="1"/>
      <c r="H6" s="1"/>
      <c r="I6" s="1"/>
      <c r="J6" s="1"/>
    </row>
    <row r="8" spans="1:10" x14ac:dyDescent="0.45">
      <c r="D8" s="62" t="s">
        <v>104</v>
      </c>
      <c r="E8">
        <v>1</v>
      </c>
    </row>
    <row r="9" spans="1:10" ht="15.75" x14ac:dyDescent="0.5">
      <c r="A9" s="247"/>
      <c r="B9" s="433" t="s">
        <v>352</v>
      </c>
      <c r="C9" s="255"/>
      <c r="D9" s="248"/>
      <c r="E9" s="248"/>
      <c r="F9" s="247"/>
      <c r="G9" s="247"/>
      <c r="H9" s="247"/>
      <c r="I9" s="247"/>
    </row>
    <row r="10" spans="1:10" x14ac:dyDescent="0.45">
      <c r="A10" s="27"/>
      <c r="B10" s="29" t="s">
        <v>19</v>
      </c>
      <c r="C10" s="27"/>
      <c r="D10" s="27"/>
      <c r="E10" s="27"/>
      <c r="F10" s="27"/>
      <c r="G10" s="27"/>
      <c r="H10" s="60">
        <f>CHOOSE($E$8,H11,H12,H13)</f>
        <v>0.04</v>
      </c>
      <c r="I10" s="27"/>
      <c r="J10" s="27"/>
    </row>
    <row r="11" spans="1:10" x14ac:dyDescent="0.45">
      <c r="B11" t="s">
        <v>87</v>
      </c>
      <c r="H11" s="57">
        <v>0.04</v>
      </c>
    </row>
    <row r="12" spans="1:10" x14ac:dyDescent="0.45">
      <c r="B12" t="s">
        <v>88</v>
      </c>
      <c r="H12" s="57">
        <v>3.7499999999999999E-2</v>
      </c>
    </row>
    <row r="13" spans="1:10" x14ac:dyDescent="0.45">
      <c r="B13" t="s">
        <v>89</v>
      </c>
      <c r="H13" s="57">
        <v>4.2500000000000003E-2</v>
      </c>
    </row>
    <row r="15" spans="1:10" x14ac:dyDescent="0.45">
      <c r="B15" s="30" t="s">
        <v>103</v>
      </c>
      <c r="H15" s="59">
        <f>CHOOSE($E$8,H16,H17,H18)</f>
        <v>4.6666666666666662E-2</v>
      </c>
    </row>
    <row r="16" spans="1:10" x14ac:dyDescent="0.45">
      <c r="B16" t="s">
        <v>87</v>
      </c>
      <c r="H16" s="57">
        <f>+'Debt Stack'!C20</f>
        <v>4.6666666666666662E-2</v>
      </c>
    </row>
    <row r="17" spans="2:8" x14ac:dyDescent="0.45">
      <c r="B17" t="s">
        <v>88</v>
      </c>
      <c r="H17" s="57">
        <f>+H16-0.0025</f>
        <v>4.416666666666666E-2</v>
      </c>
    </row>
    <row r="18" spans="2:8" x14ac:dyDescent="0.45">
      <c r="B18" t="s">
        <v>89</v>
      </c>
      <c r="H18" s="57">
        <f>+H16+0.0025</f>
        <v>4.9166666666666664E-2</v>
      </c>
    </row>
    <row r="20" spans="2:8" x14ac:dyDescent="0.45">
      <c r="B20" s="30" t="s">
        <v>90</v>
      </c>
      <c r="H20" s="58">
        <f>CHOOSE($E$8,H21,H22,H23)</f>
        <v>18</v>
      </c>
    </row>
    <row r="21" spans="2:8" x14ac:dyDescent="0.45">
      <c r="B21" t="s">
        <v>87</v>
      </c>
      <c r="H21" s="12">
        <v>18</v>
      </c>
    </row>
    <row r="22" spans="2:8" x14ac:dyDescent="0.45">
      <c r="B22" t="s">
        <v>88</v>
      </c>
      <c r="H22" s="12">
        <f>H21-3</f>
        <v>15</v>
      </c>
    </row>
    <row r="23" spans="2:8" x14ac:dyDescent="0.45">
      <c r="B23" t="s">
        <v>89</v>
      </c>
      <c r="H23" s="12">
        <f>H21+3</f>
        <v>21</v>
      </c>
    </row>
    <row r="25" spans="2:8" x14ac:dyDescent="0.45">
      <c r="B25" s="30" t="s">
        <v>114</v>
      </c>
      <c r="H25" s="58">
        <f>CHOOSE($E$8,H26,H27,H28)</f>
        <v>6</v>
      </c>
    </row>
    <row r="26" spans="2:8" x14ac:dyDescent="0.45">
      <c r="B26" t="s">
        <v>87</v>
      </c>
      <c r="H26" s="12">
        <v>6</v>
      </c>
    </row>
    <row r="27" spans="2:8" x14ac:dyDescent="0.45">
      <c r="B27" t="s">
        <v>88</v>
      </c>
      <c r="H27" s="12">
        <f>H26-2</f>
        <v>4</v>
      </c>
    </row>
    <row r="28" spans="2:8" x14ac:dyDescent="0.45">
      <c r="B28" t="s">
        <v>89</v>
      </c>
      <c r="H28" s="12">
        <f>H26+2</f>
        <v>8</v>
      </c>
    </row>
    <row r="30" spans="2:8" x14ac:dyDescent="0.45">
      <c r="B30" s="30" t="s">
        <v>102</v>
      </c>
      <c r="H30" s="59">
        <f>CHOOSE($E$8,H31,H32,H33)</f>
        <v>0</v>
      </c>
    </row>
    <row r="31" spans="2:8" x14ac:dyDescent="0.45">
      <c r="B31" t="s">
        <v>87</v>
      </c>
      <c r="H31" s="61">
        <v>0</v>
      </c>
    </row>
    <row r="32" spans="2:8" x14ac:dyDescent="0.45">
      <c r="B32" t="s">
        <v>88</v>
      </c>
      <c r="H32" s="61">
        <v>-0.05</v>
      </c>
    </row>
    <row r="33" spans="2:8" x14ac:dyDescent="0.45">
      <c r="B33" t="s">
        <v>89</v>
      </c>
      <c r="H33" s="61">
        <v>0.05</v>
      </c>
    </row>
  </sheetData>
  <mergeCells count="3">
    <mergeCell ref="B3:I3"/>
    <mergeCell ref="B4:I4"/>
    <mergeCell ref="B5:I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4</xdr:col>
                    <xdr:colOff>28575</xdr:colOff>
                    <xdr:row>6</xdr:row>
                    <xdr:rowOff>152400</xdr:rowOff>
                  </from>
                  <to>
                    <xdr:col>6</xdr:col>
                    <xdr:colOff>28575</xdr:colOff>
                    <xdr:row>8</xdr:row>
                    <xdr:rowOff>28575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pageSetUpPr fitToPage="1"/>
  </sheetPr>
  <dimension ref="B1:H26"/>
  <sheetViews>
    <sheetView showGridLines="0" topLeftCell="A7" workbookViewId="0">
      <selection activeCell="G27" sqref="G27"/>
    </sheetView>
  </sheetViews>
  <sheetFormatPr defaultRowHeight="14.25" x14ac:dyDescent="0.45"/>
  <cols>
    <col min="2" max="2" width="37.53125" customWidth="1"/>
    <col min="3" max="3" width="6" bestFit="1" customWidth="1"/>
    <col min="4" max="4" width="7.46484375" bestFit="1" customWidth="1"/>
    <col min="5" max="5" width="13.33203125" bestFit="1" customWidth="1"/>
    <col min="6" max="6" width="12.46484375" customWidth="1"/>
    <col min="8" max="8" width="14.796875" bestFit="1" customWidth="1"/>
  </cols>
  <sheetData>
    <row r="1" spans="2:8" x14ac:dyDescent="0.45">
      <c r="H1" s="62" t="str">
        <f>'Executive Summary'!J1</f>
        <v>Currently running: Base Case</v>
      </c>
    </row>
    <row r="4" spans="2:8" x14ac:dyDescent="0.45">
      <c r="B4" s="536" t="str">
        <f>'Executive Summary'!B3:I3</f>
        <v xml:space="preserve">Apartment Development Model 
</v>
      </c>
      <c r="C4" s="536"/>
      <c r="D4" s="536"/>
      <c r="E4" s="536"/>
      <c r="F4" s="536"/>
      <c r="G4" s="536"/>
      <c r="H4" s="536"/>
    </row>
    <row r="5" spans="2:8" x14ac:dyDescent="0.45">
      <c r="B5" s="536" t="str">
        <f>'Executive Summary'!B4:I4</f>
        <v>Suburban / Urban Location</v>
      </c>
      <c r="C5" s="536"/>
      <c r="D5" s="536"/>
      <c r="E5" s="536"/>
      <c r="F5" s="536"/>
      <c r="G5" s="536"/>
      <c r="H5" s="536"/>
    </row>
    <row r="8" spans="2:8" x14ac:dyDescent="0.45">
      <c r="B8" s="45" t="s">
        <v>366</v>
      </c>
      <c r="C8" s="45"/>
      <c r="D8" s="45"/>
      <c r="E8" s="45"/>
      <c r="F8" s="45"/>
      <c r="G8" s="45"/>
      <c r="H8" s="45"/>
    </row>
    <row r="9" spans="2:8" ht="8.4499999999999993" customHeight="1" x14ac:dyDescent="0.45"/>
    <row r="10" spans="2:8" ht="7.8" customHeight="1" x14ac:dyDescent="0.45"/>
    <row r="11" spans="2:8" x14ac:dyDescent="0.45">
      <c r="B11" s="515" t="s">
        <v>375</v>
      </c>
      <c r="C11" s="516"/>
      <c r="D11" s="516"/>
      <c r="E11" s="517"/>
    </row>
    <row r="12" spans="2:8" x14ac:dyDescent="0.45">
      <c r="B12" s="487"/>
      <c r="C12" s="488"/>
      <c r="D12" s="488" t="s">
        <v>367</v>
      </c>
      <c r="E12" s="489" t="s">
        <v>368</v>
      </c>
    </row>
    <row r="13" spans="2:8" x14ac:dyDescent="0.45">
      <c r="B13" s="487" t="s">
        <v>371</v>
      </c>
      <c r="C13" s="497">
        <f>+'Development Cash Flow'!D109</f>
        <v>0.10142553286911782</v>
      </c>
      <c r="D13" s="488"/>
      <c r="E13" s="489"/>
    </row>
    <row r="14" spans="2:8" x14ac:dyDescent="0.45">
      <c r="B14" s="487" t="s">
        <v>369</v>
      </c>
      <c r="C14" s="498">
        <f>1-C13</f>
        <v>0.89857446713088218</v>
      </c>
      <c r="D14" s="488"/>
      <c r="E14" s="489"/>
    </row>
    <row r="15" spans="2:8" x14ac:dyDescent="0.45">
      <c r="B15" s="487"/>
      <c r="C15" s="488"/>
      <c r="D15" s="488"/>
      <c r="E15" s="489"/>
    </row>
    <row r="16" spans="2:8" x14ac:dyDescent="0.45">
      <c r="B16" s="507" t="s">
        <v>369</v>
      </c>
      <c r="C16" s="508">
        <v>0.9</v>
      </c>
      <c r="D16" s="509"/>
      <c r="E16" s="510"/>
    </row>
    <row r="17" spans="2:7" x14ac:dyDescent="0.45">
      <c r="B17" s="499" t="s">
        <v>370</v>
      </c>
      <c r="C17" s="500">
        <v>0.15</v>
      </c>
      <c r="D17" s="501">
        <v>0.08</v>
      </c>
      <c r="E17" s="502">
        <f>+C17*D17</f>
        <v>1.2E-2</v>
      </c>
    </row>
    <row r="18" spans="2:7" x14ac:dyDescent="0.45">
      <c r="B18" s="503" t="s">
        <v>372</v>
      </c>
      <c r="C18" s="504">
        <f>+C16-C17</f>
        <v>0.75</v>
      </c>
      <c r="D18" s="505">
        <v>0.04</v>
      </c>
      <c r="E18" s="506">
        <f>+C18*D18</f>
        <v>0.03</v>
      </c>
    </row>
    <row r="19" spans="2:7" x14ac:dyDescent="0.45">
      <c r="B19" s="490" t="s">
        <v>369</v>
      </c>
      <c r="C19" s="491">
        <f>C17+C18</f>
        <v>0.9</v>
      </c>
      <c r="D19" s="492"/>
      <c r="E19" s="493">
        <f>+E17+E18</f>
        <v>4.1999999999999996E-2</v>
      </c>
    </row>
    <row r="20" spans="2:7" x14ac:dyDescent="0.45">
      <c r="B20" s="494" t="s">
        <v>374</v>
      </c>
      <c r="C20" s="495">
        <f>+E19/C19</f>
        <v>4.6666666666666662E-2</v>
      </c>
      <c r="D20" s="492"/>
      <c r="E20" s="496"/>
    </row>
    <row r="25" spans="2:7" x14ac:dyDescent="0.45">
      <c r="B25" t="s">
        <v>377</v>
      </c>
      <c r="E25" s="355">
        <f>'Development Cash Flow'!D108</f>
        <v>0.89857446713088218</v>
      </c>
      <c r="F25" s="543">
        <f>E25-C16</f>
        <v>-1.4255328691178404E-3</v>
      </c>
      <c r="G25" s="544" t="s">
        <v>378</v>
      </c>
    </row>
    <row r="26" spans="2:7" x14ac:dyDescent="0.45">
      <c r="B26" t="s">
        <v>373</v>
      </c>
    </row>
  </sheetData>
  <mergeCells count="3">
    <mergeCell ref="B4:H4"/>
    <mergeCell ref="B5:H5"/>
    <mergeCell ref="B11:E11"/>
  </mergeCells>
  <pageMargins left="0.7" right="0.7" top="0.75" bottom="0.75" header="0.3" footer="0.3"/>
  <pageSetup scale="74" orientation="landscape"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2:CZ123"/>
  <sheetViews>
    <sheetView showGridLines="0" topLeftCell="A5" zoomScaleNormal="100" zoomScaleSheetLayoutView="115" workbookViewId="0">
      <pane xSplit="2" ySplit="5" topLeftCell="C85" activePane="bottomRight" state="frozen"/>
      <selection activeCell="A5" sqref="A5"/>
      <selection pane="topRight" activeCell="C5" sqref="C5"/>
      <selection pane="bottomLeft" activeCell="A10" sqref="A10"/>
      <selection pane="bottomRight" activeCell="C93" sqref="C93"/>
    </sheetView>
  </sheetViews>
  <sheetFormatPr defaultColWidth="8.86328125" defaultRowHeight="11.65" x14ac:dyDescent="0.35"/>
  <cols>
    <col min="1" max="1" width="4.86328125" style="32" customWidth="1"/>
    <col min="2" max="2" width="34" style="32" customWidth="1"/>
    <col min="3" max="3" width="10.1328125" style="32" customWidth="1"/>
    <col min="4" max="4" width="21.19921875" style="32" customWidth="1"/>
    <col min="5" max="5" width="13.46484375" style="32" customWidth="1"/>
    <col min="6" max="6" width="7.86328125" style="32" customWidth="1"/>
    <col min="7" max="7" width="8.86328125" style="49" customWidth="1"/>
    <col min="8" max="8" width="8.86328125" style="32" customWidth="1"/>
    <col min="9" max="9" width="11.1328125" style="32" customWidth="1"/>
    <col min="10" max="10" width="9.46484375" style="32" customWidth="1"/>
    <col min="11" max="17" width="8.86328125" style="32" customWidth="1"/>
    <col min="18" max="18" width="9.1328125" style="32" customWidth="1"/>
    <col min="19" max="29" width="8.86328125" style="32" customWidth="1"/>
    <col min="30" max="30" width="9.53125" style="32" customWidth="1"/>
    <col min="31" max="53" width="8.86328125" style="32" customWidth="1"/>
    <col min="54" max="54" width="12.1328125" style="32" customWidth="1"/>
    <col min="55" max="57" width="8.86328125" style="32" customWidth="1"/>
    <col min="58" max="58" width="7.86328125" style="32" customWidth="1"/>
    <col min="59" max="59" width="8.86328125" style="32" customWidth="1"/>
    <col min="60" max="60" width="9.796875" style="32" customWidth="1"/>
    <col min="61" max="61" width="10.53125" style="32" customWidth="1"/>
    <col min="62" max="62" width="8.86328125" style="32" customWidth="1"/>
    <col min="63" max="66" width="8.86328125" style="32"/>
    <col min="67" max="67" width="9.86328125" style="32" bestFit="1" customWidth="1"/>
    <col min="68" max="72" width="8.86328125" style="32"/>
    <col min="73" max="73" width="9.46484375" style="32" bestFit="1" customWidth="1"/>
    <col min="74" max="74" width="10.796875" style="32" bestFit="1" customWidth="1"/>
    <col min="75" max="78" width="8.86328125" style="32"/>
    <col min="79" max="79" width="9.1328125" style="32" bestFit="1" customWidth="1"/>
    <col min="80" max="16384" width="8.86328125" style="32"/>
  </cols>
  <sheetData>
    <row r="2" spans="2:104" ht="14.25" x14ac:dyDescent="0.45">
      <c r="B2" s="30" t="str">
        <f>Cover!A10</f>
        <v xml:space="preserve">Apartment Development Model 
</v>
      </c>
    </row>
    <row r="3" spans="2:104" x14ac:dyDescent="0.35">
      <c r="B3" s="34" t="str">
        <f>Cover!A12</f>
        <v>Suburban / Urban Location</v>
      </c>
    </row>
    <row r="4" spans="2:104" ht="57.6" customHeight="1" x14ac:dyDescent="0.35">
      <c r="B4" s="34"/>
    </row>
    <row r="5" spans="2:104" x14ac:dyDescent="0.35">
      <c r="B5" s="34" t="s">
        <v>72</v>
      </c>
      <c r="I5" s="259">
        <f>YEAR(I7)</f>
        <v>2022</v>
      </c>
      <c r="J5" s="259">
        <f t="shared" ref="J5:BU5" si="0">YEAR(J7)</f>
        <v>2022</v>
      </c>
      <c r="K5" s="259">
        <f t="shared" si="0"/>
        <v>2022</v>
      </c>
      <c r="L5" s="259">
        <f t="shared" si="0"/>
        <v>2022</v>
      </c>
      <c r="M5" s="259">
        <f t="shared" si="0"/>
        <v>2022</v>
      </c>
      <c r="N5" s="259">
        <f t="shared" si="0"/>
        <v>2022</v>
      </c>
      <c r="O5" s="259">
        <f t="shared" si="0"/>
        <v>2022</v>
      </c>
      <c r="P5" s="259">
        <f t="shared" si="0"/>
        <v>2022</v>
      </c>
      <c r="Q5" s="259">
        <f t="shared" si="0"/>
        <v>2022</v>
      </c>
      <c r="R5" s="259">
        <f t="shared" si="0"/>
        <v>2022</v>
      </c>
      <c r="S5" s="259">
        <f t="shared" si="0"/>
        <v>2022</v>
      </c>
      <c r="T5" s="259">
        <f t="shared" si="0"/>
        <v>2022</v>
      </c>
      <c r="U5" s="259">
        <f t="shared" si="0"/>
        <v>2023</v>
      </c>
      <c r="V5" s="259">
        <f t="shared" si="0"/>
        <v>2023</v>
      </c>
      <c r="W5" s="259">
        <f t="shared" si="0"/>
        <v>2023</v>
      </c>
      <c r="X5" s="259">
        <f t="shared" si="0"/>
        <v>2023</v>
      </c>
      <c r="Y5" s="259">
        <f t="shared" si="0"/>
        <v>2023</v>
      </c>
      <c r="Z5" s="259">
        <f t="shared" si="0"/>
        <v>2023</v>
      </c>
      <c r="AA5" s="259">
        <f t="shared" si="0"/>
        <v>2023</v>
      </c>
      <c r="AB5" s="259">
        <f t="shared" si="0"/>
        <v>2023</v>
      </c>
      <c r="AC5" s="259">
        <f t="shared" si="0"/>
        <v>2023</v>
      </c>
      <c r="AD5" s="259">
        <f t="shared" si="0"/>
        <v>2023</v>
      </c>
      <c r="AE5" s="259">
        <f t="shared" si="0"/>
        <v>2023</v>
      </c>
      <c r="AF5" s="259">
        <f t="shared" si="0"/>
        <v>2023</v>
      </c>
      <c r="AG5" s="259">
        <f t="shared" si="0"/>
        <v>2024</v>
      </c>
      <c r="AH5" s="259">
        <f t="shared" si="0"/>
        <v>2024</v>
      </c>
      <c r="AI5" s="259">
        <f t="shared" si="0"/>
        <v>2024</v>
      </c>
      <c r="AJ5" s="259">
        <f t="shared" si="0"/>
        <v>2024</v>
      </c>
      <c r="AK5" s="259">
        <f t="shared" si="0"/>
        <v>2024</v>
      </c>
      <c r="AL5" s="259">
        <f t="shared" si="0"/>
        <v>2024</v>
      </c>
      <c r="AM5" s="259">
        <f t="shared" si="0"/>
        <v>2024</v>
      </c>
      <c r="AN5" s="259">
        <f t="shared" si="0"/>
        <v>2024</v>
      </c>
      <c r="AO5" s="259">
        <f t="shared" si="0"/>
        <v>2024</v>
      </c>
      <c r="AP5" s="259">
        <f t="shared" si="0"/>
        <v>2024</v>
      </c>
      <c r="AQ5" s="259">
        <f t="shared" si="0"/>
        <v>2024</v>
      </c>
      <c r="AR5" s="259">
        <f t="shared" si="0"/>
        <v>2024</v>
      </c>
      <c r="AS5" s="259">
        <f t="shared" si="0"/>
        <v>2025</v>
      </c>
      <c r="AT5" s="259">
        <f t="shared" si="0"/>
        <v>2025</v>
      </c>
      <c r="AU5" s="259">
        <f t="shared" si="0"/>
        <v>2025</v>
      </c>
      <c r="AV5" s="259">
        <f t="shared" si="0"/>
        <v>2025</v>
      </c>
      <c r="AW5" s="259">
        <f t="shared" si="0"/>
        <v>2025</v>
      </c>
      <c r="AX5" s="259">
        <f t="shared" si="0"/>
        <v>2025</v>
      </c>
      <c r="AY5" s="259">
        <f t="shared" si="0"/>
        <v>2025</v>
      </c>
      <c r="AZ5" s="259">
        <f t="shared" si="0"/>
        <v>2025</v>
      </c>
      <c r="BA5" s="259">
        <f t="shared" si="0"/>
        <v>2025</v>
      </c>
      <c r="BB5" s="259">
        <f t="shared" si="0"/>
        <v>2025</v>
      </c>
      <c r="BC5" s="259">
        <f t="shared" si="0"/>
        <v>2025</v>
      </c>
      <c r="BD5" s="259">
        <f t="shared" si="0"/>
        <v>2025</v>
      </c>
      <c r="BE5" s="259">
        <f t="shared" si="0"/>
        <v>2026</v>
      </c>
      <c r="BF5" s="259">
        <f t="shared" si="0"/>
        <v>2026</v>
      </c>
      <c r="BG5" s="259">
        <f t="shared" si="0"/>
        <v>2026</v>
      </c>
      <c r="BH5" s="259">
        <f t="shared" si="0"/>
        <v>2026</v>
      </c>
      <c r="BI5" s="259">
        <f t="shared" si="0"/>
        <v>2026</v>
      </c>
      <c r="BJ5" s="259">
        <f t="shared" si="0"/>
        <v>2026</v>
      </c>
      <c r="BK5" s="259">
        <f t="shared" si="0"/>
        <v>2026</v>
      </c>
      <c r="BL5" s="259">
        <f t="shared" si="0"/>
        <v>2026</v>
      </c>
      <c r="BM5" s="259">
        <f t="shared" si="0"/>
        <v>2026</v>
      </c>
      <c r="BN5" s="259">
        <f t="shared" si="0"/>
        <v>2026</v>
      </c>
      <c r="BO5" s="259">
        <f t="shared" si="0"/>
        <v>2026</v>
      </c>
      <c r="BP5" s="259">
        <f t="shared" si="0"/>
        <v>2026</v>
      </c>
      <c r="BQ5" s="259">
        <f t="shared" si="0"/>
        <v>2027</v>
      </c>
      <c r="BR5" s="259">
        <f t="shared" si="0"/>
        <v>2027</v>
      </c>
      <c r="BS5" s="259">
        <f t="shared" si="0"/>
        <v>2027</v>
      </c>
      <c r="BT5" s="259">
        <f t="shared" si="0"/>
        <v>2027</v>
      </c>
      <c r="BU5" s="259">
        <f t="shared" si="0"/>
        <v>2027</v>
      </c>
      <c r="BV5" s="259">
        <f t="shared" ref="BV5:CZ5" si="1">YEAR(BV7)</f>
        <v>2027</v>
      </c>
      <c r="BW5" s="259">
        <f t="shared" si="1"/>
        <v>2027</v>
      </c>
      <c r="BX5" s="259">
        <f t="shared" si="1"/>
        <v>2027</v>
      </c>
      <c r="BY5" s="259">
        <f t="shared" si="1"/>
        <v>2027</v>
      </c>
      <c r="BZ5" s="259">
        <f t="shared" si="1"/>
        <v>2027</v>
      </c>
      <c r="CA5" s="259">
        <f t="shared" si="1"/>
        <v>2027</v>
      </c>
      <c r="CB5" s="259">
        <f t="shared" si="1"/>
        <v>2027</v>
      </c>
      <c r="CC5" s="259">
        <f t="shared" si="1"/>
        <v>2028</v>
      </c>
      <c r="CD5" s="259">
        <f t="shared" si="1"/>
        <v>2028</v>
      </c>
      <c r="CE5" s="259">
        <f t="shared" si="1"/>
        <v>2028</v>
      </c>
      <c r="CF5" s="259">
        <f t="shared" si="1"/>
        <v>2028</v>
      </c>
      <c r="CG5" s="259">
        <f t="shared" si="1"/>
        <v>2028</v>
      </c>
      <c r="CH5" s="259">
        <f t="shared" si="1"/>
        <v>2028</v>
      </c>
      <c r="CI5" s="259">
        <f t="shared" si="1"/>
        <v>2028</v>
      </c>
      <c r="CJ5" s="259">
        <f t="shared" si="1"/>
        <v>2028</v>
      </c>
      <c r="CK5" s="259">
        <f t="shared" si="1"/>
        <v>2028</v>
      </c>
      <c r="CL5" s="259">
        <f t="shared" si="1"/>
        <v>2028</v>
      </c>
      <c r="CM5" s="259">
        <f t="shared" si="1"/>
        <v>2028</v>
      </c>
      <c r="CN5" s="259">
        <f t="shared" si="1"/>
        <v>2028</v>
      </c>
      <c r="CO5" s="259">
        <f t="shared" si="1"/>
        <v>2029</v>
      </c>
      <c r="CP5" s="259">
        <f t="shared" si="1"/>
        <v>2029</v>
      </c>
      <c r="CQ5" s="259">
        <f t="shared" si="1"/>
        <v>2029</v>
      </c>
      <c r="CR5" s="259">
        <f t="shared" si="1"/>
        <v>2029</v>
      </c>
      <c r="CS5" s="259">
        <f t="shared" si="1"/>
        <v>2029</v>
      </c>
      <c r="CT5" s="259">
        <f t="shared" si="1"/>
        <v>2029</v>
      </c>
      <c r="CU5" s="259">
        <f t="shared" si="1"/>
        <v>2029</v>
      </c>
      <c r="CV5" s="259">
        <f t="shared" si="1"/>
        <v>2029</v>
      </c>
      <c r="CW5" s="259">
        <f t="shared" si="1"/>
        <v>2029</v>
      </c>
      <c r="CX5" s="259">
        <f t="shared" si="1"/>
        <v>2029</v>
      </c>
      <c r="CY5" s="259">
        <f t="shared" si="1"/>
        <v>2029</v>
      </c>
      <c r="CZ5" s="259">
        <f t="shared" si="1"/>
        <v>2029</v>
      </c>
    </row>
    <row r="6" spans="2:104" x14ac:dyDescent="0.35">
      <c r="I6" s="158">
        <v>1</v>
      </c>
      <c r="J6" s="158">
        <v>2</v>
      </c>
      <c r="K6" s="158">
        <v>3</v>
      </c>
      <c r="L6" s="158">
        <v>4</v>
      </c>
      <c r="M6" s="158">
        <v>5</v>
      </c>
      <c r="N6" s="158">
        <v>6</v>
      </c>
      <c r="O6" s="158">
        <v>7</v>
      </c>
      <c r="P6" s="158">
        <v>8</v>
      </c>
      <c r="Q6" s="158">
        <v>9</v>
      </c>
      <c r="R6" s="158">
        <v>10</v>
      </c>
      <c r="S6" s="158">
        <v>11</v>
      </c>
      <c r="T6" s="158">
        <v>12</v>
      </c>
      <c r="U6" s="158">
        <v>13</v>
      </c>
      <c r="V6" s="158">
        <v>14</v>
      </c>
      <c r="W6" s="158">
        <v>15</v>
      </c>
      <c r="X6" s="158">
        <v>16</v>
      </c>
      <c r="Y6" s="158">
        <v>17</v>
      </c>
      <c r="Z6" s="158">
        <v>18</v>
      </c>
      <c r="AA6" s="158">
        <v>19</v>
      </c>
      <c r="AB6" s="158">
        <v>20</v>
      </c>
      <c r="AC6" s="158">
        <v>21</v>
      </c>
      <c r="AD6" s="158">
        <v>22</v>
      </c>
      <c r="AE6" s="158">
        <v>23</v>
      </c>
      <c r="AF6" s="158">
        <v>24</v>
      </c>
      <c r="AG6" s="158">
        <v>25</v>
      </c>
      <c r="AH6" s="158">
        <v>26</v>
      </c>
      <c r="AI6" s="158">
        <v>27</v>
      </c>
      <c r="AJ6" s="158">
        <v>28</v>
      </c>
      <c r="AK6" s="158">
        <v>29</v>
      </c>
      <c r="AL6" s="158">
        <v>30</v>
      </c>
      <c r="AM6" s="158">
        <v>31</v>
      </c>
      <c r="AN6" s="158">
        <v>32</v>
      </c>
      <c r="AO6" s="158">
        <v>33</v>
      </c>
      <c r="AP6" s="158">
        <v>34</v>
      </c>
      <c r="AQ6" s="158">
        <v>35</v>
      </c>
      <c r="AR6" s="158">
        <v>36</v>
      </c>
      <c r="AS6" s="158">
        <v>37</v>
      </c>
      <c r="AT6" s="158">
        <v>38</v>
      </c>
      <c r="AU6" s="158">
        <v>39</v>
      </c>
      <c r="AV6" s="158">
        <v>40</v>
      </c>
      <c r="AW6" s="158">
        <v>41</v>
      </c>
      <c r="AX6" s="158">
        <v>42</v>
      </c>
      <c r="AY6" s="158">
        <v>43</v>
      </c>
      <c r="AZ6" s="158">
        <v>44</v>
      </c>
      <c r="BA6" s="158">
        <v>45</v>
      </c>
      <c r="BB6" s="158">
        <v>46</v>
      </c>
      <c r="BC6" s="158">
        <v>47</v>
      </c>
      <c r="BD6" s="158">
        <v>48</v>
      </c>
      <c r="BE6" s="158">
        <v>49</v>
      </c>
      <c r="BF6" s="158">
        <v>50</v>
      </c>
      <c r="BG6" s="158">
        <v>51</v>
      </c>
      <c r="BH6" s="158">
        <v>52</v>
      </c>
      <c r="BI6" s="158">
        <v>53</v>
      </c>
      <c r="BJ6" s="158">
        <v>54</v>
      </c>
      <c r="BK6" s="158">
        <v>55</v>
      </c>
      <c r="BL6" s="158">
        <v>56</v>
      </c>
      <c r="BM6" s="158">
        <v>57</v>
      </c>
      <c r="BN6" s="158">
        <v>58</v>
      </c>
      <c r="BO6" s="158">
        <v>59</v>
      </c>
      <c r="BP6" s="158">
        <v>60</v>
      </c>
      <c r="BQ6" s="158">
        <v>61</v>
      </c>
      <c r="BR6" s="158">
        <v>62</v>
      </c>
      <c r="BS6" s="158">
        <v>63</v>
      </c>
      <c r="BT6" s="158">
        <v>64</v>
      </c>
      <c r="BU6" s="158">
        <v>65</v>
      </c>
      <c r="BV6" s="158">
        <v>66</v>
      </c>
      <c r="BW6" s="158">
        <v>67</v>
      </c>
      <c r="BX6" s="158">
        <v>68</v>
      </c>
      <c r="BY6" s="158">
        <v>69</v>
      </c>
      <c r="BZ6" s="158">
        <v>70</v>
      </c>
      <c r="CA6" s="158">
        <v>71</v>
      </c>
      <c r="CB6" s="158">
        <v>72</v>
      </c>
      <c r="CC6" s="158">
        <v>73</v>
      </c>
      <c r="CD6" s="158">
        <v>74</v>
      </c>
      <c r="CE6" s="158">
        <v>75</v>
      </c>
      <c r="CF6" s="158">
        <v>76</v>
      </c>
      <c r="CG6" s="158">
        <v>77</v>
      </c>
      <c r="CH6" s="158">
        <v>78</v>
      </c>
      <c r="CI6" s="158">
        <v>79</v>
      </c>
      <c r="CJ6" s="158">
        <v>80</v>
      </c>
      <c r="CK6" s="158">
        <v>81</v>
      </c>
      <c r="CL6" s="158">
        <v>82</v>
      </c>
      <c r="CM6" s="158">
        <v>83</v>
      </c>
      <c r="CN6" s="158">
        <v>84</v>
      </c>
      <c r="CO6" s="158">
        <v>85</v>
      </c>
      <c r="CP6" s="158">
        <v>86</v>
      </c>
      <c r="CQ6" s="158">
        <v>87</v>
      </c>
      <c r="CR6" s="158">
        <v>88</v>
      </c>
      <c r="CS6" s="158">
        <v>89</v>
      </c>
      <c r="CT6" s="158">
        <v>90</v>
      </c>
      <c r="CU6" s="158">
        <v>91</v>
      </c>
      <c r="CV6" s="158">
        <v>92</v>
      </c>
      <c r="CW6" s="158">
        <v>93</v>
      </c>
      <c r="CX6" s="158">
        <v>94</v>
      </c>
      <c r="CY6" s="158">
        <v>95</v>
      </c>
      <c r="CZ6" s="158">
        <v>96</v>
      </c>
    </row>
    <row r="7" spans="2:104" x14ac:dyDescent="0.35">
      <c r="B7" s="152" t="s">
        <v>68</v>
      </c>
      <c r="C7" s="42" t="s">
        <v>65</v>
      </c>
      <c r="D7" s="42" t="s">
        <v>67</v>
      </c>
      <c r="E7" s="42" t="s">
        <v>66</v>
      </c>
      <c r="F7" s="42" t="s">
        <v>117</v>
      </c>
      <c r="G7" s="42" t="s">
        <v>118</v>
      </c>
      <c r="H7" s="137" t="s">
        <v>100</v>
      </c>
      <c r="I7" s="132">
        <f>Schedule!D8</f>
        <v>44562</v>
      </c>
      <c r="J7" s="33">
        <f>EDATE(I7,1)</f>
        <v>44593</v>
      </c>
      <c r="K7" s="33">
        <f t="shared" ref="K7:BV7" si="2">EDATE(J7,1)</f>
        <v>44621</v>
      </c>
      <c r="L7" s="33">
        <f t="shared" si="2"/>
        <v>44652</v>
      </c>
      <c r="M7" s="33">
        <f t="shared" si="2"/>
        <v>44682</v>
      </c>
      <c r="N7" s="33">
        <f t="shared" si="2"/>
        <v>44713</v>
      </c>
      <c r="O7" s="33">
        <f t="shared" si="2"/>
        <v>44743</v>
      </c>
      <c r="P7" s="33">
        <f t="shared" si="2"/>
        <v>44774</v>
      </c>
      <c r="Q7" s="33">
        <f t="shared" si="2"/>
        <v>44805</v>
      </c>
      <c r="R7" s="33">
        <f t="shared" si="2"/>
        <v>44835</v>
      </c>
      <c r="S7" s="33">
        <f t="shared" si="2"/>
        <v>44866</v>
      </c>
      <c r="T7" s="33">
        <f t="shared" si="2"/>
        <v>44896</v>
      </c>
      <c r="U7" s="33">
        <f t="shared" si="2"/>
        <v>44927</v>
      </c>
      <c r="V7" s="33">
        <f t="shared" si="2"/>
        <v>44958</v>
      </c>
      <c r="W7" s="33">
        <f t="shared" si="2"/>
        <v>44986</v>
      </c>
      <c r="X7" s="33">
        <f t="shared" si="2"/>
        <v>45017</v>
      </c>
      <c r="Y7" s="33">
        <f t="shared" si="2"/>
        <v>45047</v>
      </c>
      <c r="Z7" s="33">
        <f t="shared" si="2"/>
        <v>45078</v>
      </c>
      <c r="AA7" s="33">
        <f t="shared" si="2"/>
        <v>45108</v>
      </c>
      <c r="AB7" s="33">
        <f t="shared" si="2"/>
        <v>45139</v>
      </c>
      <c r="AC7" s="33">
        <f t="shared" si="2"/>
        <v>45170</v>
      </c>
      <c r="AD7" s="33">
        <f t="shared" si="2"/>
        <v>45200</v>
      </c>
      <c r="AE7" s="33">
        <f t="shared" si="2"/>
        <v>45231</v>
      </c>
      <c r="AF7" s="33">
        <f t="shared" si="2"/>
        <v>45261</v>
      </c>
      <c r="AG7" s="33">
        <f t="shared" si="2"/>
        <v>45292</v>
      </c>
      <c r="AH7" s="33">
        <f t="shared" si="2"/>
        <v>45323</v>
      </c>
      <c r="AI7" s="33">
        <f t="shared" si="2"/>
        <v>45352</v>
      </c>
      <c r="AJ7" s="33">
        <f t="shared" si="2"/>
        <v>45383</v>
      </c>
      <c r="AK7" s="33">
        <f t="shared" si="2"/>
        <v>45413</v>
      </c>
      <c r="AL7" s="33">
        <f t="shared" si="2"/>
        <v>45444</v>
      </c>
      <c r="AM7" s="33">
        <f t="shared" si="2"/>
        <v>45474</v>
      </c>
      <c r="AN7" s="33">
        <f t="shared" si="2"/>
        <v>45505</v>
      </c>
      <c r="AO7" s="33">
        <f t="shared" si="2"/>
        <v>45536</v>
      </c>
      <c r="AP7" s="33">
        <f t="shared" si="2"/>
        <v>45566</v>
      </c>
      <c r="AQ7" s="33">
        <f t="shared" si="2"/>
        <v>45597</v>
      </c>
      <c r="AR7" s="33">
        <f t="shared" si="2"/>
        <v>45627</v>
      </c>
      <c r="AS7" s="33">
        <f t="shared" si="2"/>
        <v>45658</v>
      </c>
      <c r="AT7" s="33">
        <f t="shared" si="2"/>
        <v>45689</v>
      </c>
      <c r="AU7" s="459">
        <f t="shared" si="2"/>
        <v>45717</v>
      </c>
      <c r="AV7" s="33">
        <f t="shared" si="2"/>
        <v>45748</v>
      </c>
      <c r="AW7" s="33">
        <f t="shared" si="2"/>
        <v>45778</v>
      </c>
      <c r="AX7" s="33">
        <f t="shared" si="2"/>
        <v>45809</v>
      </c>
      <c r="AY7" s="33">
        <f t="shared" si="2"/>
        <v>45839</v>
      </c>
      <c r="AZ7" s="33">
        <f t="shared" si="2"/>
        <v>45870</v>
      </c>
      <c r="BA7" s="459">
        <f t="shared" si="2"/>
        <v>45901</v>
      </c>
      <c r="BB7" s="132">
        <f t="shared" si="2"/>
        <v>45931</v>
      </c>
      <c r="BC7" s="33">
        <f t="shared" si="2"/>
        <v>45962</v>
      </c>
      <c r="BD7" s="33">
        <f t="shared" si="2"/>
        <v>45992</v>
      </c>
      <c r="BE7" s="33">
        <f t="shared" si="2"/>
        <v>46023</v>
      </c>
      <c r="BF7" s="33">
        <f t="shared" si="2"/>
        <v>46054</v>
      </c>
      <c r="BG7" s="33">
        <f t="shared" si="2"/>
        <v>46082</v>
      </c>
      <c r="BH7" s="33">
        <f t="shared" si="2"/>
        <v>46113</v>
      </c>
      <c r="BI7" s="33">
        <f t="shared" si="2"/>
        <v>46143</v>
      </c>
      <c r="BJ7" s="33">
        <f t="shared" si="2"/>
        <v>46174</v>
      </c>
      <c r="BK7" s="33">
        <f t="shared" si="2"/>
        <v>46204</v>
      </c>
      <c r="BL7" s="33">
        <f t="shared" si="2"/>
        <v>46235</v>
      </c>
      <c r="BM7" s="33">
        <f t="shared" si="2"/>
        <v>46266</v>
      </c>
      <c r="BN7" s="33">
        <f t="shared" si="2"/>
        <v>46296</v>
      </c>
      <c r="BO7" s="33">
        <f t="shared" si="2"/>
        <v>46327</v>
      </c>
      <c r="BP7" s="33">
        <f t="shared" si="2"/>
        <v>46357</v>
      </c>
      <c r="BQ7" s="33">
        <f t="shared" si="2"/>
        <v>46388</v>
      </c>
      <c r="BR7" s="33">
        <f t="shared" si="2"/>
        <v>46419</v>
      </c>
      <c r="BS7" s="33">
        <f t="shared" si="2"/>
        <v>46447</v>
      </c>
      <c r="BT7" s="33">
        <f t="shared" si="2"/>
        <v>46478</v>
      </c>
      <c r="BU7" s="33">
        <f t="shared" si="2"/>
        <v>46508</v>
      </c>
      <c r="BV7" s="33">
        <f t="shared" si="2"/>
        <v>46539</v>
      </c>
      <c r="BW7" s="33">
        <f t="shared" ref="BW7:CZ7" si="3">EDATE(BV7,1)</f>
        <v>46569</v>
      </c>
      <c r="BX7" s="33">
        <f t="shared" si="3"/>
        <v>46600</v>
      </c>
      <c r="BY7" s="33">
        <f t="shared" si="3"/>
        <v>46631</v>
      </c>
      <c r="BZ7" s="33">
        <f t="shared" si="3"/>
        <v>46661</v>
      </c>
      <c r="CA7" s="33">
        <f t="shared" si="3"/>
        <v>46692</v>
      </c>
      <c r="CB7" s="33">
        <f t="shared" si="3"/>
        <v>46722</v>
      </c>
      <c r="CC7" s="33">
        <f t="shared" si="3"/>
        <v>46753</v>
      </c>
      <c r="CD7" s="33">
        <f t="shared" si="3"/>
        <v>46784</v>
      </c>
      <c r="CE7" s="33">
        <f t="shared" si="3"/>
        <v>46813</v>
      </c>
      <c r="CF7" s="33">
        <f t="shared" si="3"/>
        <v>46844</v>
      </c>
      <c r="CG7" s="33">
        <f t="shared" si="3"/>
        <v>46874</v>
      </c>
      <c r="CH7" s="33">
        <f t="shared" si="3"/>
        <v>46905</v>
      </c>
      <c r="CI7" s="33">
        <f t="shared" si="3"/>
        <v>46935</v>
      </c>
      <c r="CJ7" s="33">
        <f t="shared" si="3"/>
        <v>46966</v>
      </c>
      <c r="CK7" s="33">
        <f t="shared" si="3"/>
        <v>46997</v>
      </c>
      <c r="CL7" s="33">
        <f t="shared" si="3"/>
        <v>47027</v>
      </c>
      <c r="CM7" s="33">
        <f t="shared" si="3"/>
        <v>47058</v>
      </c>
      <c r="CN7" s="33">
        <f t="shared" si="3"/>
        <v>47088</v>
      </c>
      <c r="CO7" s="33">
        <f t="shared" si="3"/>
        <v>47119</v>
      </c>
      <c r="CP7" s="33">
        <f t="shared" si="3"/>
        <v>47150</v>
      </c>
      <c r="CQ7" s="33">
        <f t="shared" si="3"/>
        <v>47178</v>
      </c>
      <c r="CR7" s="33">
        <f t="shared" si="3"/>
        <v>47209</v>
      </c>
      <c r="CS7" s="33">
        <f t="shared" si="3"/>
        <v>47239</v>
      </c>
      <c r="CT7" s="33">
        <f t="shared" si="3"/>
        <v>47270</v>
      </c>
      <c r="CU7" s="33">
        <f t="shared" si="3"/>
        <v>47300</v>
      </c>
      <c r="CV7" s="33">
        <f t="shared" si="3"/>
        <v>47331</v>
      </c>
      <c r="CW7" s="33">
        <f t="shared" si="3"/>
        <v>47362</v>
      </c>
      <c r="CX7" s="33">
        <f t="shared" si="3"/>
        <v>47392</v>
      </c>
      <c r="CY7" s="33">
        <f t="shared" si="3"/>
        <v>47423</v>
      </c>
      <c r="CZ7" s="33">
        <f t="shared" si="3"/>
        <v>47453</v>
      </c>
    </row>
    <row r="8" spans="2:104" x14ac:dyDescent="0.35">
      <c r="B8" s="142" t="s">
        <v>167</v>
      </c>
      <c r="C8" s="133"/>
      <c r="D8" s="37"/>
      <c r="E8" s="38"/>
      <c r="F8" s="38"/>
      <c r="G8" s="119"/>
      <c r="H8" s="138"/>
      <c r="I8" s="133"/>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row>
    <row r="9" spans="2:104" hidden="1" x14ac:dyDescent="0.35">
      <c r="B9" s="131" t="s">
        <v>55</v>
      </c>
      <c r="C9" s="134">
        <f>'Development Costs'!$I$9</f>
        <v>100</v>
      </c>
      <c r="D9" s="130">
        <f>ROUND(C9-E9,0)</f>
        <v>0</v>
      </c>
      <c r="E9" s="35">
        <f t="shared" ref="E9:E15" si="4">SUM(I9:CZ9)</f>
        <v>100</v>
      </c>
      <c r="F9" s="109"/>
      <c r="G9" s="109"/>
      <c r="H9" s="139"/>
      <c r="I9" s="300">
        <f>IF(I7=Schedule!$E$17,'Development Cash Flow'!$C$9,0)</f>
        <v>0</v>
      </c>
      <c r="J9" s="300">
        <f>IF(J7=Schedule!$E$17,'Development Cash Flow'!$C$9,0)</f>
        <v>0</v>
      </c>
      <c r="K9" s="300">
        <f>IF(K7=Schedule!$E$17,'Development Cash Flow'!$C$9,0)</f>
        <v>0</v>
      </c>
      <c r="L9" s="300">
        <f>IF(L7=Schedule!$E$17,'Development Cash Flow'!$C$9,0)</f>
        <v>0</v>
      </c>
      <c r="M9" s="300">
        <f>IF(M7=Schedule!$E$17,'Development Cash Flow'!$C$9,0)</f>
        <v>0</v>
      </c>
      <c r="N9" s="300">
        <f>IF(N7=Schedule!$E$17,'Development Cash Flow'!$C$9,0)</f>
        <v>0</v>
      </c>
      <c r="O9" s="300">
        <f>IF(O7=Schedule!$E$17,'Development Cash Flow'!$C$9,0)</f>
        <v>0</v>
      </c>
      <c r="P9" s="300">
        <f>IF(P7=Schedule!$E$17,'Development Cash Flow'!$C$9,0)</f>
        <v>0</v>
      </c>
      <c r="Q9" s="300">
        <f>IF(Q7=Schedule!$E$17,'Development Cash Flow'!$C$9,0)</f>
        <v>0</v>
      </c>
      <c r="R9" s="300">
        <f>IF(R7=Schedule!$E$17,'Development Cash Flow'!$C$9,0)</f>
        <v>0</v>
      </c>
      <c r="S9" s="300">
        <f>IF(S7=Schedule!$E$17,'Development Cash Flow'!$C$9,0)</f>
        <v>0</v>
      </c>
      <c r="T9" s="300">
        <f>IF(T7=Schedule!$E$17,'Development Cash Flow'!$C$9,0)</f>
        <v>0</v>
      </c>
      <c r="U9" s="300">
        <f>IF(U7=Schedule!$E$17,'Development Cash Flow'!$C$9,0)</f>
        <v>0</v>
      </c>
      <c r="V9" s="300">
        <f>IF(V7=Schedule!$E$17,'Development Cash Flow'!$C$9,0)</f>
        <v>0</v>
      </c>
      <c r="W9" s="300">
        <f>IF(W7=Schedule!$E$17,'Development Cash Flow'!$C$9,0)</f>
        <v>0</v>
      </c>
      <c r="X9" s="300">
        <f>IF(X7=Schedule!$E$17,'Development Cash Flow'!$C$9,0)</f>
        <v>0</v>
      </c>
      <c r="Y9" s="300">
        <f>IF(Y7=Schedule!$E$17,'Development Cash Flow'!$C$9,0)</f>
        <v>0</v>
      </c>
      <c r="Z9" s="300">
        <f>IF(Z7=Schedule!$E$17,'Development Cash Flow'!$C$9,0)</f>
        <v>0</v>
      </c>
      <c r="AA9" s="300">
        <f>IF(AA7=Schedule!$E$17,'Development Cash Flow'!$C$9,0)</f>
        <v>0</v>
      </c>
      <c r="AB9" s="300">
        <f>IF(AB7=Schedule!$E$17,'Development Cash Flow'!$C$9,0)</f>
        <v>0</v>
      </c>
      <c r="AC9" s="300">
        <f>IF(AC7=Schedule!$E$17,'Development Cash Flow'!$C$9,0)</f>
        <v>0</v>
      </c>
      <c r="AD9" s="300">
        <f>IF(AD7=Schedule!$E$17,'Development Cash Flow'!$C$9,0)</f>
        <v>0</v>
      </c>
      <c r="AE9" s="300">
        <f>IF(AE7=Schedule!$E$17,'Development Cash Flow'!$C$9,0)</f>
        <v>0</v>
      </c>
      <c r="AF9" s="300">
        <f>IF(AF7=Schedule!$E$17,'Development Cash Flow'!$C$9,0)</f>
        <v>0</v>
      </c>
      <c r="AG9" s="300">
        <f>IF(AG7=Schedule!$E$17,'Development Cash Flow'!$C$9,0)</f>
        <v>0</v>
      </c>
      <c r="AH9" s="300">
        <f>IF(AH7=Schedule!$E$17,'Development Cash Flow'!$C$9,0)</f>
        <v>0</v>
      </c>
      <c r="AI9" s="300">
        <f>IF(AI7=Schedule!$E$17,'Development Cash Flow'!$C$9,0)</f>
        <v>0</v>
      </c>
      <c r="AJ9" s="300">
        <f>IF(AJ7=Schedule!$E$17,'Development Cash Flow'!$C$9,0)</f>
        <v>0</v>
      </c>
      <c r="AK9" s="300">
        <f>IF(AK7=Schedule!$E$17,'Development Cash Flow'!$C$9,0)</f>
        <v>0</v>
      </c>
      <c r="AL9" s="300">
        <f>IF(AL7=Schedule!$E$17,'Development Cash Flow'!$C$9,0)</f>
        <v>0</v>
      </c>
      <c r="AM9" s="300">
        <f>IF(AM7=Schedule!$E$17,'Development Cash Flow'!$C$9,0)</f>
        <v>0</v>
      </c>
      <c r="AN9" s="300">
        <f>IF(AN7=Schedule!$E$17,'Development Cash Flow'!$C$9,0)</f>
        <v>0</v>
      </c>
      <c r="AO9" s="300">
        <f>IF(AO7=Schedule!$E$17,'Development Cash Flow'!$C$9,0)</f>
        <v>100</v>
      </c>
      <c r="AP9" s="300">
        <f>IF(AP7=Schedule!$E$17,'Development Cash Flow'!$C$9,0)</f>
        <v>0</v>
      </c>
      <c r="AQ9" s="300">
        <f>IF(AQ7=Schedule!$E$17,'Development Cash Flow'!$C$9,0)</f>
        <v>0</v>
      </c>
      <c r="AR9" s="300">
        <f>IF(AR7=Schedule!$E$17,'Development Cash Flow'!$C$9,0)</f>
        <v>0</v>
      </c>
      <c r="AS9" s="300">
        <f>IF(AS7=Schedule!$E$17,'Development Cash Flow'!$C$9,0)</f>
        <v>0</v>
      </c>
      <c r="AT9" s="300">
        <f>IF(AT7=Schedule!$E$17,'Development Cash Flow'!$C$9,0)</f>
        <v>0</v>
      </c>
      <c r="AU9" s="300">
        <f>IF(AU7=Schedule!$E$17,'Development Cash Flow'!$C$9,0)</f>
        <v>0</v>
      </c>
      <c r="AV9" s="300">
        <f>IF(AV7=Schedule!$E$17,'Development Cash Flow'!$C$9,0)</f>
        <v>0</v>
      </c>
      <c r="AW9" s="300">
        <f>IF(AW7=Schedule!$E$17,'Development Cash Flow'!$C$9,0)</f>
        <v>0</v>
      </c>
      <c r="AX9" s="300">
        <f>IF(AX7=Schedule!$E$17,'Development Cash Flow'!$C$9,0)</f>
        <v>0</v>
      </c>
      <c r="AY9" s="300">
        <f>IF(AY7=Schedule!$E$17,'Development Cash Flow'!$C$9,0)</f>
        <v>0</v>
      </c>
      <c r="AZ9" s="300">
        <f>IF(AZ7=Schedule!$E$17,'Development Cash Flow'!$C$9,0)</f>
        <v>0</v>
      </c>
      <c r="BA9" s="300">
        <f>IF(BA7=Schedule!$E$17,'Development Cash Flow'!$C$9,0)</f>
        <v>0</v>
      </c>
      <c r="BB9" s="300">
        <f>IF(BB7=Schedule!$E$17,'Development Cash Flow'!$C$9,0)</f>
        <v>0</v>
      </c>
      <c r="BC9" s="300">
        <f>IF(BC7=Schedule!$E$17,'Development Cash Flow'!$C$9,0)</f>
        <v>0</v>
      </c>
      <c r="BD9" s="300">
        <f>IF(BD7=Schedule!$E$17,'Development Cash Flow'!$C$9,0)</f>
        <v>0</v>
      </c>
      <c r="BE9" s="300">
        <f>IF(BE7=Schedule!$E$17,'Development Cash Flow'!$C$9,0)</f>
        <v>0</v>
      </c>
      <c r="BF9" s="300">
        <f>IF(BF7=Schedule!$E$17,'Development Cash Flow'!$C$9,0)</f>
        <v>0</v>
      </c>
      <c r="BG9" s="300">
        <f>IF(BG7=Schedule!$E$17,'Development Cash Flow'!$C$9,0)</f>
        <v>0</v>
      </c>
      <c r="BH9" s="300">
        <f>IF(BH7=Schedule!$E$17,'Development Cash Flow'!$C$9,0)</f>
        <v>0</v>
      </c>
      <c r="BI9" s="300">
        <f>IF(BI7=Schedule!$E$17,'Development Cash Flow'!$C$9,0)</f>
        <v>0</v>
      </c>
      <c r="BJ9" s="300">
        <f>IF(BJ7=Schedule!$E$17,'Development Cash Flow'!$C$9,0)</f>
        <v>0</v>
      </c>
      <c r="BK9" s="300">
        <f>IF(BK7=Schedule!$E$17,'Development Cash Flow'!$C$9,0)</f>
        <v>0</v>
      </c>
      <c r="BL9" s="300">
        <f>IF(BL7=Schedule!$E$17,'Development Cash Flow'!$C$9,0)</f>
        <v>0</v>
      </c>
      <c r="BM9" s="300">
        <f>IF(BM7=Schedule!$E$17,'Development Cash Flow'!$C$9,0)</f>
        <v>0</v>
      </c>
      <c r="BN9" s="300">
        <f>IF(BN7=Schedule!$E$17,'Development Cash Flow'!$C$9,0)</f>
        <v>0</v>
      </c>
      <c r="BO9" s="300">
        <f>IF(BO7=Schedule!$E$17,'Development Cash Flow'!$C$9,0)</f>
        <v>0</v>
      </c>
      <c r="BP9" s="300">
        <f>IF(BP7=Schedule!$E$17,'Development Cash Flow'!$C$9,0)</f>
        <v>0</v>
      </c>
      <c r="BQ9" s="300">
        <f>IF(BQ7=Schedule!$E$17,'Development Cash Flow'!$C$9,0)</f>
        <v>0</v>
      </c>
      <c r="BR9" s="300">
        <f>IF(BR7=Schedule!$E$17,'Development Cash Flow'!$C$9,0)</f>
        <v>0</v>
      </c>
      <c r="BS9" s="300">
        <f>IF(BS7=Schedule!$E$17,'Development Cash Flow'!$C$9,0)</f>
        <v>0</v>
      </c>
      <c r="BT9" s="300">
        <f>IF(BT7=Schedule!$E$17,'Development Cash Flow'!$C$9,0)</f>
        <v>0</v>
      </c>
      <c r="BU9" s="300">
        <f>IF(BU7=Schedule!$E$17,'Development Cash Flow'!$C$9,0)</f>
        <v>0</v>
      </c>
      <c r="BV9" s="300">
        <f>IF(BV7=Schedule!$E$17,'Development Cash Flow'!$C$9,0)</f>
        <v>0</v>
      </c>
      <c r="BW9" s="300">
        <f>IF(BW7=Schedule!$E$17,'Development Cash Flow'!$C$9,0)</f>
        <v>0</v>
      </c>
      <c r="BX9" s="300">
        <f>IF(BX7=Schedule!$E$17,'Development Cash Flow'!$C$9,0)</f>
        <v>0</v>
      </c>
      <c r="BY9" s="300">
        <f>IF(BY7=Schedule!$E$17,'Development Cash Flow'!$C$9,0)</f>
        <v>0</v>
      </c>
      <c r="BZ9" s="300">
        <f>IF(BZ7=Schedule!$E$17,'Development Cash Flow'!$C$9,0)</f>
        <v>0</v>
      </c>
      <c r="CA9" s="300">
        <f>IF(CA7=Schedule!$E$17,'Development Cash Flow'!$C$9,0)</f>
        <v>0</v>
      </c>
      <c r="CB9" s="300">
        <f>IF(CB7=Schedule!$E$17,'Development Cash Flow'!$C$9,0)</f>
        <v>0</v>
      </c>
      <c r="CC9" s="300">
        <f>IF(CC7=Schedule!$E$17,'Development Cash Flow'!$C$9,0)</f>
        <v>0</v>
      </c>
      <c r="CD9" s="300">
        <f>IF(CD7=Schedule!$E$17,'Development Cash Flow'!$C$9,0)</f>
        <v>0</v>
      </c>
      <c r="CE9" s="300">
        <f>IF(CE7=Schedule!$E$17,'Development Cash Flow'!$C$9,0)</f>
        <v>0</v>
      </c>
      <c r="CF9" s="300">
        <f>IF(CF7=Schedule!$E$17,'Development Cash Flow'!$C$9,0)</f>
        <v>0</v>
      </c>
      <c r="CG9" s="300">
        <f>IF(CG7=Schedule!$E$17,'Development Cash Flow'!$C$9,0)</f>
        <v>0</v>
      </c>
      <c r="CH9" s="300">
        <f>IF(CH7=Schedule!$E$17,'Development Cash Flow'!$C$9,0)</f>
        <v>0</v>
      </c>
      <c r="CI9" s="300">
        <f>IF(CI7=Schedule!$E$17,'Development Cash Flow'!$C$9,0)</f>
        <v>0</v>
      </c>
      <c r="CJ9" s="300">
        <f>IF(CJ7=Schedule!$E$17,'Development Cash Flow'!$C$9,0)</f>
        <v>0</v>
      </c>
      <c r="CK9" s="300">
        <f>IF(CK7=Schedule!$E$17,'Development Cash Flow'!$C$9,0)</f>
        <v>0</v>
      </c>
      <c r="CL9" s="300">
        <f>IF(CL7=Schedule!$E$17,'Development Cash Flow'!$C$9,0)</f>
        <v>0</v>
      </c>
      <c r="CM9" s="300">
        <f>IF(CM7=Schedule!$E$17,'Development Cash Flow'!$C$9,0)</f>
        <v>0</v>
      </c>
      <c r="CN9" s="300">
        <f>IF(CN7=Schedule!$E$17,'Development Cash Flow'!$C$9,0)</f>
        <v>0</v>
      </c>
      <c r="CO9" s="300">
        <f>IF(CO7=Schedule!$E$17,'Development Cash Flow'!$C$9,0)</f>
        <v>0</v>
      </c>
      <c r="CP9" s="300">
        <f>IF(CP7=Schedule!$E$17,'Development Cash Flow'!$C$9,0)</f>
        <v>0</v>
      </c>
      <c r="CQ9" s="300">
        <f>IF(CQ7=Schedule!$E$17,'Development Cash Flow'!$C$9,0)</f>
        <v>0</v>
      </c>
      <c r="CR9" s="300">
        <f>IF(CR7=Schedule!$E$17,'Development Cash Flow'!$C$9,0)</f>
        <v>0</v>
      </c>
      <c r="CS9" s="300">
        <f>IF(CS7=Schedule!$E$17,'Development Cash Flow'!$C$9,0)</f>
        <v>0</v>
      </c>
      <c r="CT9" s="300">
        <f>IF(CT7=Schedule!$E$17,'Development Cash Flow'!$C$9,0)</f>
        <v>0</v>
      </c>
      <c r="CU9" s="300">
        <f>IF(CU7=Schedule!$E$17,'Development Cash Flow'!$C$9,0)</f>
        <v>0</v>
      </c>
      <c r="CV9" s="300">
        <f>IF(CV7=Schedule!$E$17,'Development Cash Flow'!$C$9,0)</f>
        <v>0</v>
      </c>
      <c r="CW9" s="300">
        <f>IF(CW7=Schedule!$E$17,'Development Cash Flow'!$C$9,0)</f>
        <v>0</v>
      </c>
      <c r="CX9" s="300">
        <f>IF(CX7=Schedule!$E$17,'Development Cash Flow'!$C$9,0)</f>
        <v>0</v>
      </c>
      <c r="CY9" s="300">
        <f>IF(CY7=Schedule!$E$17,'Development Cash Flow'!$C$9,0)</f>
        <v>0</v>
      </c>
      <c r="CZ9" s="300">
        <f>IF(CZ7=Schedule!$E$17,'Development Cash Flow'!$C$9,0)</f>
        <v>0</v>
      </c>
    </row>
    <row r="10" spans="2:104" x14ac:dyDescent="0.35">
      <c r="B10" s="450" t="s">
        <v>56</v>
      </c>
      <c r="C10" s="134">
        <f>'Development Costs'!$I$9</f>
        <v>100</v>
      </c>
      <c r="D10" s="130">
        <f>ROUND(C10-E10,0)</f>
        <v>0</v>
      </c>
      <c r="E10" s="35">
        <f>MAX(I10:CZ10)</f>
        <v>100</v>
      </c>
      <c r="F10" s="35"/>
      <c r="H10" s="139"/>
      <c r="I10" s="135">
        <f>I9</f>
        <v>0</v>
      </c>
      <c r="J10" s="41">
        <f>I10+J9</f>
        <v>0</v>
      </c>
      <c r="K10" s="41">
        <f t="shared" ref="K10:BV10" si="5">J10+K9</f>
        <v>0</v>
      </c>
      <c r="L10" s="41">
        <f t="shared" si="5"/>
        <v>0</v>
      </c>
      <c r="M10" s="41">
        <f t="shared" si="5"/>
        <v>0</v>
      </c>
      <c r="N10" s="41">
        <f t="shared" si="5"/>
        <v>0</v>
      </c>
      <c r="O10" s="41">
        <f t="shared" si="5"/>
        <v>0</v>
      </c>
      <c r="P10" s="41">
        <f t="shared" si="5"/>
        <v>0</v>
      </c>
      <c r="Q10" s="41">
        <f t="shared" si="5"/>
        <v>0</v>
      </c>
      <c r="R10" s="41">
        <f t="shared" si="5"/>
        <v>0</v>
      </c>
      <c r="S10" s="41">
        <f t="shared" si="5"/>
        <v>0</v>
      </c>
      <c r="T10" s="41">
        <f t="shared" si="5"/>
        <v>0</v>
      </c>
      <c r="U10" s="41">
        <f t="shared" si="5"/>
        <v>0</v>
      </c>
      <c r="V10" s="41">
        <f t="shared" si="5"/>
        <v>0</v>
      </c>
      <c r="W10" s="41">
        <f t="shared" si="5"/>
        <v>0</v>
      </c>
      <c r="X10" s="41">
        <f t="shared" si="5"/>
        <v>0</v>
      </c>
      <c r="Y10" s="41">
        <f t="shared" si="5"/>
        <v>0</v>
      </c>
      <c r="Z10" s="41">
        <f t="shared" si="5"/>
        <v>0</v>
      </c>
      <c r="AA10" s="41">
        <f t="shared" si="5"/>
        <v>0</v>
      </c>
      <c r="AB10" s="41">
        <f t="shared" si="5"/>
        <v>0</v>
      </c>
      <c r="AC10" s="41">
        <f t="shared" si="5"/>
        <v>0</v>
      </c>
      <c r="AD10" s="41">
        <f t="shared" si="5"/>
        <v>0</v>
      </c>
      <c r="AE10" s="41">
        <f t="shared" si="5"/>
        <v>0</v>
      </c>
      <c r="AF10" s="41">
        <f t="shared" si="5"/>
        <v>0</v>
      </c>
      <c r="AG10" s="41">
        <f t="shared" si="5"/>
        <v>0</v>
      </c>
      <c r="AH10" s="41">
        <f t="shared" si="5"/>
        <v>0</v>
      </c>
      <c r="AI10" s="41">
        <f t="shared" si="5"/>
        <v>0</v>
      </c>
      <c r="AJ10" s="41">
        <f t="shared" si="5"/>
        <v>0</v>
      </c>
      <c r="AK10" s="41">
        <f t="shared" si="5"/>
        <v>0</v>
      </c>
      <c r="AL10" s="41">
        <f t="shared" si="5"/>
        <v>0</v>
      </c>
      <c r="AM10" s="41">
        <f t="shared" si="5"/>
        <v>0</v>
      </c>
      <c r="AN10" s="41">
        <f t="shared" si="5"/>
        <v>0</v>
      </c>
      <c r="AO10" s="41">
        <f t="shared" si="5"/>
        <v>100</v>
      </c>
      <c r="AP10" s="41">
        <f t="shared" si="5"/>
        <v>100</v>
      </c>
      <c r="AQ10" s="41">
        <f t="shared" si="5"/>
        <v>100</v>
      </c>
      <c r="AR10" s="41">
        <f t="shared" si="5"/>
        <v>100</v>
      </c>
      <c r="AS10" s="41">
        <f t="shared" si="5"/>
        <v>100</v>
      </c>
      <c r="AT10" s="41">
        <f t="shared" si="5"/>
        <v>100</v>
      </c>
      <c r="AU10" s="41">
        <f t="shared" si="5"/>
        <v>100</v>
      </c>
      <c r="AV10" s="41">
        <f t="shared" si="5"/>
        <v>100</v>
      </c>
      <c r="AW10" s="41">
        <f t="shared" si="5"/>
        <v>100</v>
      </c>
      <c r="AX10" s="41">
        <f t="shared" si="5"/>
        <v>100</v>
      </c>
      <c r="AY10" s="41">
        <f t="shared" si="5"/>
        <v>100</v>
      </c>
      <c r="AZ10" s="41">
        <f t="shared" si="5"/>
        <v>100</v>
      </c>
      <c r="BA10" s="41">
        <f t="shared" si="5"/>
        <v>100</v>
      </c>
      <c r="BB10" s="41">
        <f t="shared" si="5"/>
        <v>100</v>
      </c>
      <c r="BC10" s="41">
        <f t="shared" si="5"/>
        <v>100</v>
      </c>
      <c r="BD10" s="41">
        <f t="shared" si="5"/>
        <v>100</v>
      </c>
      <c r="BE10" s="41">
        <f t="shared" si="5"/>
        <v>100</v>
      </c>
      <c r="BF10" s="41">
        <f t="shared" si="5"/>
        <v>100</v>
      </c>
      <c r="BG10" s="458">
        <f t="shared" si="5"/>
        <v>100</v>
      </c>
      <c r="BH10" s="41">
        <f t="shared" si="5"/>
        <v>100</v>
      </c>
      <c r="BI10" s="41">
        <f t="shared" si="5"/>
        <v>100</v>
      </c>
      <c r="BJ10" s="41">
        <f t="shared" si="5"/>
        <v>100</v>
      </c>
      <c r="BK10" s="41">
        <f t="shared" si="5"/>
        <v>100</v>
      </c>
      <c r="BL10" s="41">
        <f t="shared" si="5"/>
        <v>100</v>
      </c>
      <c r="BM10" s="41">
        <f t="shared" si="5"/>
        <v>100</v>
      </c>
      <c r="BN10" s="41">
        <f t="shared" si="5"/>
        <v>100</v>
      </c>
      <c r="BO10" s="41">
        <f t="shared" si="5"/>
        <v>100</v>
      </c>
      <c r="BP10" s="41">
        <f t="shared" si="5"/>
        <v>100</v>
      </c>
      <c r="BQ10" s="41">
        <f t="shared" si="5"/>
        <v>100</v>
      </c>
      <c r="BR10" s="41">
        <f t="shared" si="5"/>
        <v>100</v>
      </c>
      <c r="BS10" s="41">
        <f t="shared" si="5"/>
        <v>100</v>
      </c>
      <c r="BT10" s="41">
        <f t="shared" si="5"/>
        <v>100</v>
      </c>
      <c r="BU10" s="41">
        <f t="shared" si="5"/>
        <v>100</v>
      </c>
      <c r="BV10" s="41">
        <f t="shared" si="5"/>
        <v>100</v>
      </c>
      <c r="BW10" s="41">
        <f t="shared" ref="BW10:CZ10" si="6">BV10+BW9</f>
        <v>100</v>
      </c>
      <c r="BX10" s="41">
        <f t="shared" si="6"/>
        <v>100</v>
      </c>
      <c r="BY10" s="41">
        <f t="shared" si="6"/>
        <v>100</v>
      </c>
      <c r="BZ10" s="41">
        <f t="shared" si="6"/>
        <v>100</v>
      </c>
      <c r="CA10" s="41">
        <f t="shared" si="6"/>
        <v>100</v>
      </c>
      <c r="CB10" s="41">
        <f t="shared" si="6"/>
        <v>100</v>
      </c>
      <c r="CC10" s="41">
        <f t="shared" si="6"/>
        <v>100</v>
      </c>
      <c r="CD10" s="41">
        <f t="shared" si="6"/>
        <v>100</v>
      </c>
      <c r="CE10" s="41">
        <f t="shared" si="6"/>
        <v>100</v>
      </c>
      <c r="CF10" s="41">
        <f t="shared" si="6"/>
        <v>100</v>
      </c>
      <c r="CG10" s="41">
        <f t="shared" si="6"/>
        <v>100</v>
      </c>
      <c r="CH10" s="41">
        <f t="shared" si="6"/>
        <v>100</v>
      </c>
      <c r="CI10" s="41">
        <f t="shared" si="6"/>
        <v>100</v>
      </c>
      <c r="CJ10" s="41">
        <f t="shared" si="6"/>
        <v>100</v>
      </c>
      <c r="CK10" s="41">
        <f t="shared" si="6"/>
        <v>100</v>
      </c>
      <c r="CL10" s="41">
        <f t="shared" si="6"/>
        <v>100</v>
      </c>
      <c r="CM10" s="41">
        <f t="shared" si="6"/>
        <v>100</v>
      </c>
      <c r="CN10" s="41">
        <f t="shared" si="6"/>
        <v>100</v>
      </c>
      <c r="CO10" s="41">
        <f t="shared" si="6"/>
        <v>100</v>
      </c>
      <c r="CP10" s="41">
        <f t="shared" si="6"/>
        <v>100</v>
      </c>
      <c r="CQ10" s="41">
        <f t="shared" si="6"/>
        <v>100</v>
      </c>
      <c r="CR10" s="41">
        <f t="shared" si="6"/>
        <v>100</v>
      </c>
      <c r="CS10" s="41">
        <f t="shared" si="6"/>
        <v>100</v>
      </c>
      <c r="CT10" s="41">
        <f t="shared" si="6"/>
        <v>100</v>
      </c>
      <c r="CU10" s="41">
        <f t="shared" si="6"/>
        <v>100</v>
      </c>
      <c r="CV10" s="41">
        <f t="shared" si="6"/>
        <v>100</v>
      </c>
      <c r="CW10" s="41">
        <f t="shared" si="6"/>
        <v>100</v>
      </c>
      <c r="CX10" s="41">
        <f t="shared" si="6"/>
        <v>100</v>
      </c>
      <c r="CY10" s="41">
        <f t="shared" si="6"/>
        <v>100</v>
      </c>
      <c r="CZ10" s="41">
        <f t="shared" si="6"/>
        <v>100</v>
      </c>
    </row>
    <row r="11" spans="2:104" x14ac:dyDescent="0.35">
      <c r="B11" s="153" t="s">
        <v>57</v>
      </c>
      <c r="C11" s="40"/>
      <c r="D11" s="40"/>
      <c r="E11" s="154">
        <f>MAX(I11:CZ11)</f>
        <v>1</v>
      </c>
      <c r="F11" s="39"/>
      <c r="G11" s="52"/>
      <c r="H11" s="140"/>
      <c r="I11" s="154">
        <f>I10/'Development Costs'!$I$9</f>
        <v>0</v>
      </c>
      <c r="J11" s="154">
        <f>J10/'Development Costs'!$I$9</f>
        <v>0</v>
      </c>
      <c r="K11" s="154">
        <f>K10/'Development Costs'!$I$9</f>
        <v>0</v>
      </c>
      <c r="L11" s="154">
        <f>L10/'Development Costs'!$I$9</f>
        <v>0</v>
      </c>
      <c r="M11" s="154">
        <f>M10/'Development Costs'!$I$9</f>
        <v>0</v>
      </c>
      <c r="N11" s="154">
        <f>N10/'Development Costs'!$I$9</f>
        <v>0</v>
      </c>
      <c r="O11" s="154">
        <f>O10/'Development Costs'!$I$9</f>
        <v>0</v>
      </c>
      <c r="P11" s="154">
        <f>P10/'Development Costs'!$I$9</f>
        <v>0</v>
      </c>
      <c r="Q11" s="154">
        <f>Q10/'Development Costs'!$I$9</f>
        <v>0</v>
      </c>
      <c r="R11" s="154">
        <f>R10/'Development Costs'!$I$9</f>
        <v>0</v>
      </c>
      <c r="S11" s="154">
        <f>S10/'Development Costs'!$I$9</f>
        <v>0</v>
      </c>
      <c r="T11" s="154">
        <f>T10/'Development Costs'!$I$9</f>
        <v>0</v>
      </c>
      <c r="U11" s="154">
        <f>U10/'Development Costs'!$I$9</f>
        <v>0</v>
      </c>
      <c r="V11" s="154">
        <f>V10/'Development Costs'!$I$9</f>
        <v>0</v>
      </c>
      <c r="W11" s="154">
        <f>W10/'Development Costs'!$I$9</f>
        <v>0</v>
      </c>
      <c r="X11" s="154">
        <f>X10/'Development Costs'!$I$9</f>
        <v>0</v>
      </c>
      <c r="Y11" s="154">
        <f>Y10/'Development Costs'!$I$9</f>
        <v>0</v>
      </c>
      <c r="Z11" s="154">
        <f>Z10/'Development Costs'!$I$9</f>
        <v>0</v>
      </c>
      <c r="AA11" s="154">
        <f>AA10/'Development Costs'!$I$9</f>
        <v>0</v>
      </c>
      <c r="AB11" s="154">
        <f>AB10/'Development Costs'!$I$9</f>
        <v>0</v>
      </c>
      <c r="AC11" s="154">
        <f>AC10/'Development Costs'!$I$9</f>
        <v>0</v>
      </c>
      <c r="AD11" s="154">
        <f>AD10/'Development Costs'!$I$9</f>
        <v>0</v>
      </c>
      <c r="AE11" s="154">
        <f>AE10/'Development Costs'!$I$9</f>
        <v>0</v>
      </c>
      <c r="AF11" s="154">
        <f>AF10/'Development Costs'!$I$9</f>
        <v>0</v>
      </c>
      <c r="AG11" s="154">
        <f>AG10/'Development Costs'!$I$9</f>
        <v>0</v>
      </c>
      <c r="AH11" s="154">
        <f>AH10/'Development Costs'!$I$9</f>
        <v>0</v>
      </c>
      <c r="AI11" s="154">
        <f>AI10/'Development Costs'!$I$9</f>
        <v>0</v>
      </c>
      <c r="AJ11" s="154">
        <f>AJ10/'Development Costs'!$I$9</f>
        <v>0</v>
      </c>
      <c r="AK11" s="154">
        <f>AK10/'Development Costs'!$I$9</f>
        <v>0</v>
      </c>
      <c r="AL11" s="154">
        <f>AL10/'Development Costs'!$I$9</f>
        <v>0</v>
      </c>
      <c r="AM11" s="154">
        <f>AM10/'Development Costs'!$I$9</f>
        <v>0</v>
      </c>
      <c r="AN11" s="154">
        <f>AN10/'Development Costs'!$I$9</f>
        <v>0</v>
      </c>
      <c r="AO11" s="154">
        <f>AO10/'Development Costs'!$I$9</f>
        <v>1</v>
      </c>
      <c r="AP11" s="154">
        <f>AP10/'Development Costs'!$I$9</f>
        <v>1</v>
      </c>
      <c r="AQ11" s="154">
        <f>AQ10/'Development Costs'!$I$9</f>
        <v>1</v>
      </c>
      <c r="AR11" s="154">
        <f>AR10/'Development Costs'!$I$9</f>
        <v>1</v>
      </c>
      <c r="AS11" s="154">
        <f>AS10/'Development Costs'!$I$9</f>
        <v>1</v>
      </c>
      <c r="AT11" s="154">
        <f>AT10/'Development Costs'!$I$9</f>
        <v>1</v>
      </c>
      <c r="AU11" s="154">
        <f>AU10/'Development Costs'!$I$9</f>
        <v>1</v>
      </c>
      <c r="AV11" s="154">
        <f>AV10/'Development Costs'!$I$9</f>
        <v>1</v>
      </c>
      <c r="AW11" s="154">
        <f>AW10/'Development Costs'!$I$9</f>
        <v>1</v>
      </c>
      <c r="AX11" s="154">
        <f>AX10/'Development Costs'!$I$9</f>
        <v>1</v>
      </c>
      <c r="AY11" s="154">
        <f>AY10/'Development Costs'!$I$9</f>
        <v>1</v>
      </c>
      <c r="AZ11" s="154">
        <f>AZ10/'Development Costs'!$I$9</f>
        <v>1</v>
      </c>
      <c r="BA11" s="154">
        <f>BA10/'Development Costs'!$I$9</f>
        <v>1</v>
      </c>
      <c r="BB11" s="154">
        <f>BB10/'Development Costs'!$I$9</f>
        <v>1</v>
      </c>
      <c r="BC11" s="154">
        <f>BC10/'Development Costs'!$I$9</f>
        <v>1</v>
      </c>
      <c r="BD11" s="154">
        <f>BD10/'Development Costs'!$I$9</f>
        <v>1</v>
      </c>
      <c r="BE11" s="154">
        <f>BE10/'Development Costs'!$I$9</f>
        <v>1</v>
      </c>
      <c r="BF11" s="154">
        <f>BF10/'Development Costs'!$I$9</f>
        <v>1</v>
      </c>
      <c r="BG11" s="154">
        <f>BG10/'Development Costs'!$I$9</f>
        <v>1</v>
      </c>
      <c r="BH11" s="154">
        <f>BH10/'Development Costs'!$I$9</f>
        <v>1</v>
      </c>
      <c r="BI11" s="154">
        <f>BI10/'Development Costs'!$I$9</f>
        <v>1</v>
      </c>
      <c r="BJ11" s="154">
        <f>BJ10/'Development Costs'!$I$9</f>
        <v>1</v>
      </c>
      <c r="BK11" s="154">
        <f>BK10/'Development Costs'!$I$9</f>
        <v>1</v>
      </c>
      <c r="BL11" s="154">
        <f>BL10/'Development Costs'!$I$9</f>
        <v>1</v>
      </c>
      <c r="BM11" s="154">
        <f>BM10/'Development Costs'!$I$9</f>
        <v>1</v>
      </c>
      <c r="BN11" s="154">
        <f>BN10/'Development Costs'!$I$9</f>
        <v>1</v>
      </c>
      <c r="BO11" s="154">
        <f>BO10/'Development Costs'!$I$9</f>
        <v>1</v>
      </c>
      <c r="BP11" s="154">
        <f>BP10/'Development Costs'!$I$9</f>
        <v>1</v>
      </c>
      <c r="BQ11" s="154">
        <f>BQ10/'Development Costs'!$I$9</f>
        <v>1</v>
      </c>
      <c r="BR11" s="154">
        <f>BR10/'Development Costs'!$I$9</f>
        <v>1</v>
      </c>
      <c r="BS11" s="154">
        <f>BS10/'Development Costs'!$I$9</f>
        <v>1</v>
      </c>
      <c r="BT11" s="154">
        <f>BT10/'Development Costs'!$I$9</f>
        <v>1</v>
      </c>
      <c r="BU11" s="154">
        <f>BU10/'Development Costs'!$I$9</f>
        <v>1</v>
      </c>
      <c r="BV11" s="154">
        <f>BV10/'Development Costs'!$I$9</f>
        <v>1</v>
      </c>
      <c r="BW11" s="154">
        <f>BW10/'Development Costs'!$I$9</f>
        <v>1</v>
      </c>
      <c r="BX11" s="154">
        <f>BX10/'Development Costs'!$I$9</f>
        <v>1</v>
      </c>
      <c r="BY11" s="154">
        <f>BY10/'Development Costs'!$I$9</f>
        <v>1</v>
      </c>
      <c r="BZ11" s="154">
        <f>BZ10/'Development Costs'!$I$9</f>
        <v>1</v>
      </c>
      <c r="CA11" s="154">
        <f>CA10/'Development Costs'!$I$9</f>
        <v>1</v>
      </c>
      <c r="CB11" s="154">
        <f>CB10/'Development Costs'!$I$9</f>
        <v>1</v>
      </c>
      <c r="CC11" s="154">
        <f>CC10/'Development Costs'!$I$9</f>
        <v>1</v>
      </c>
      <c r="CD11" s="154">
        <f>CD10/'Development Costs'!$I$9</f>
        <v>1</v>
      </c>
      <c r="CE11" s="154">
        <f>CE10/'Development Costs'!$I$9</f>
        <v>1</v>
      </c>
      <c r="CF11" s="154">
        <f>CF10/'Development Costs'!$I$9</f>
        <v>1</v>
      </c>
      <c r="CG11" s="154">
        <f>CG10/'Development Costs'!$I$9</f>
        <v>1</v>
      </c>
      <c r="CH11" s="154">
        <f>CH10/'Development Costs'!$I$9</f>
        <v>1</v>
      </c>
      <c r="CI11" s="154">
        <f>CI10/'Development Costs'!$I$9</f>
        <v>1</v>
      </c>
      <c r="CJ11" s="154">
        <f>CJ10/'Development Costs'!$I$9</f>
        <v>1</v>
      </c>
      <c r="CK11" s="154">
        <f>CK10/'Development Costs'!$I$9</f>
        <v>1</v>
      </c>
      <c r="CL11" s="154">
        <f>CL10/'Development Costs'!$I$9</f>
        <v>1</v>
      </c>
      <c r="CM11" s="154">
        <f>CM10/'Development Costs'!$I$9</f>
        <v>1</v>
      </c>
      <c r="CN11" s="154">
        <f>CN10/'Development Costs'!$I$9</f>
        <v>1</v>
      </c>
      <c r="CO11" s="154">
        <f>CO10/'Development Costs'!$I$9</f>
        <v>1</v>
      </c>
      <c r="CP11" s="154">
        <f>CP10/'Development Costs'!$I$9</f>
        <v>1</v>
      </c>
      <c r="CQ11" s="154">
        <f>CQ10/'Development Costs'!$I$9</f>
        <v>1</v>
      </c>
      <c r="CR11" s="154">
        <f>CR10/'Development Costs'!$I$9</f>
        <v>1</v>
      </c>
      <c r="CS11" s="154">
        <f>CS10/'Development Costs'!$I$9</f>
        <v>1</v>
      </c>
      <c r="CT11" s="154">
        <f>CT10/'Development Costs'!$I$9</f>
        <v>1</v>
      </c>
      <c r="CU11" s="154">
        <f>CU10/'Development Costs'!$I$9</f>
        <v>1</v>
      </c>
      <c r="CV11" s="154">
        <f>CV10/'Development Costs'!$I$9</f>
        <v>1</v>
      </c>
      <c r="CW11" s="154">
        <f>CW10/'Development Costs'!$I$9</f>
        <v>1</v>
      </c>
      <c r="CX11" s="154">
        <f>CX10/'Development Costs'!$I$9</f>
        <v>1</v>
      </c>
      <c r="CY11" s="154">
        <f>CY10/'Development Costs'!$I$9</f>
        <v>1</v>
      </c>
      <c r="CZ11" s="154">
        <f>CZ10/'Development Costs'!$I$9</f>
        <v>1</v>
      </c>
    </row>
    <row r="12" spans="2:104" x14ac:dyDescent="0.35">
      <c r="B12" s="131" t="s">
        <v>58</v>
      </c>
      <c r="C12" s="134">
        <f>'Development Costs'!$I$9</f>
        <v>100</v>
      </c>
      <c r="D12" s="130">
        <f>ROUND(C12-E12,0)</f>
        <v>0</v>
      </c>
      <c r="E12" s="35">
        <f t="shared" si="4"/>
        <v>100.00000000000001</v>
      </c>
      <c r="F12" s="109">
        <f>Schedule!D19</f>
        <v>45474</v>
      </c>
      <c r="G12" s="109">
        <f>Schedule!E19</f>
        <v>45658</v>
      </c>
      <c r="H12" s="141">
        <f>DATEDIF(F12,G12,"m")+1</f>
        <v>7</v>
      </c>
      <c r="I12" s="301">
        <f t="shared" ref="I12:AB12" si="7">IF(AND(I$7&lt;=$G12,I$7&gt;=$F12,$H12&lt;&gt;0,$H12&lt;&gt;""),$C12/$H12,0)</f>
        <v>0</v>
      </c>
      <c r="J12" s="301">
        <f t="shared" si="7"/>
        <v>0</v>
      </c>
      <c r="K12" s="301">
        <f t="shared" si="7"/>
        <v>0</v>
      </c>
      <c r="L12" s="301">
        <f t="shared" si="7"/>
        <v>0</v>
      </c>
      <c r="M12" s="301">
        <f t="shared" si="7"/>
        <v>0</v>
      </c>
      <c r="N12" s="301">
        <f t="shared" si="7"/>
        <v>0</v>
      </c>
      <c r="O12" s="301">
        <f t="shared" si="7"/>
        <v>0</v>
      </c>
      <c r="P12" s="301">
        <f t="shared" si="7"/>
        <v>0</v>
      </c>
      <c r="Q12" s="301">
        <f t="shared" si="7"/>
        <v>0</v>
      </c>
      <c r="R12" s="301">
        <f t="shared" si="7"/>
        <v>0</v>
      </c>
      <c r="S12" s="301">
        <f t="shared" si="7"/>
        <v>0</v>
      </c>
      <c r="T12" s="301">
        <f t="shared" si="7"/>
        <v>0</v>
      </c>
      <c r="U12" s="301">
        <f t="shared" si="7"/>
        <v>0</v>
      </c>
      <c r="V12" s="301">
        <f t="shared" si="7"/>
        <v>0</v>
      </c>
      <c r="W12" s="301">
        <f t="shared" si="7"/>
        <v>0</v>
      </c>
      <c r="X12" s="301">
        <f t="shared" si="7"/>
        <v>0</v>
      </c>
      <c r="Y12" s="301">
        <f t="shared" si="7"/>
        <v>0</v>
      </c>
      <c r="Z12" s="301">
        <f t="shared" si="7"/>
        <v>0</v>
      </c>
      <c r="AA12" s="301">
        <f t="shared" si="7"/>
        <v>0</v>
      </c>
      <c r="AB12" s="301">
        <f t="shared" si="7"/>
        <v>0</v>
      </c>
      <c r="AC12" s="301">
        <f t="shared" ref="AC12:CM12" si="8">IF(AND(AC$7&lt;=$G12,AC$7&gt;=$F12,$H12&lt;&gt;0,$H12&lt;&gt;""),$C12/$H12,0)</f>
        <v>0</v>
      </c>
      <c r="AD12" s="301">
        <f t="shared" si="8"/>
        <v>0</v>
      </c>
      <c r="AE12" s="301">
        <f t="shared" si="8"/>
        <v>0</v>
      </c>
      <c r="AF12" s="301">
        <f t="shared" si="8"/>
        <v>0</v>
      </c>
      <c r="AG12" s="301">
        <f t="shared" si="8"/>
        <v>0</v>
      </c>
      <c r="AH12" s="301">
        <f t="shared" si="8"/>
        <v>0</v>
      </c>
      <c r="AI12" s="301">
        <f t="shared" si="8"/>
        <v>0</v>
      </c>
      <c r="AJ12" s="301">
        <f t="shared" si="8"/>
        <v>0</v>
      </c>
      <c r="AK12" s="301">
        <f t="shared" si="8"/>
        <v>0</v>
      </c>
      <c r="AL12" s="301">
        <f t="shared" si="8"/>
        <v>0</v>
      </c>
      <c r="AM12" s="301">
        <f t="shared" si="8"/>
        <v>14.285714285714286</v>
      </c>
      <c r="AN12" s="301">
        <f t="shared" si="8"/>
        <v>14.285714285714286</v>
      </c>
      <c r="AO12" s="301">
        <f t="shared" si="8"/>
        <v>14.285714285714286</v>
      </c>
      <c r="AP12" s="301">
        <f t="shared" si="8"/>
        <v>14.285714285714286</v>
      </c>
      <c r="AQ12" s="301">
        <f t="shared" si="8"/>
        <v>14.285714285714286</v>
      </c>
      <c r="AR12" s="301">
        <f t="shared" si="8"/>
        <v>14.285714285714286</v>
      </c>
      <c r="AS12" s="301">
        <f t="shared" si="8"/>
        <v>14.285714285714286</v>
      </c>
      <c r="AT12" s="301">
        <f t="shared" si="8"/>
        <v>0</v>
      </c>
      <c r="AU12" s="301">
        <f t="shared" si="8"/>
        <v>0</v>
      </c>
      <c r="AV12" s="301">
        <f t="shared" si="8"/>
        <v>0</v>
      </c>
      <c r="AW12" s="301">
        <f t="shared" si="8"/>
        <v>0</v>
      </c>
      <c r="AX12" s="301">
        <f t="shared" si="8"/>
        <v>0</v>
      </c>
      <c r="AY12" s="301">
        <f t="shared" si="8"/>
        <v>0</v>
      </c>
      <c r="AZ12" s="301">
        <f t="shared" si="8"/>
        <v>0</v>
      </c>
      <c r="BA12" s="301">
        <f t="shared" si="8"/>
        <v>0</v>
      </c>
      <c r="BB12" s="301">
        <f t="shared" si="8"/>
        <v>0</v>
      </c>
      <c r="BC12" s="301">
        <f t="shared" si="8"/>
        <v>0</v>
      </c>
      <c r="BD12" s="301">
        <f t="shared" si="8"/>
        <v>0</v>
      </c>
      <c r="BE12" s="301">
        <f t="shared" si="8"/>
        <v>0</v>
      </c>
      <c r="BF12" s="301">
        <f t="shared" si="8"/>
        <v>0</v>
      </c>
      <c r="BG12" s="301">
        <f t="shared" si="8"/>
        <v>0</v>
      </c>
      <c r="BH12" s="301">
        <f t="shared" si="8"/>
        <v>0</v>
      </c>
      <c r="BI12" s="301">
        <f t="shared" si="8"/>
        <v>0</v>
      </c>
      <c r="BJ12" s="301">
        <f t="shared" si="8"/>
        <v>0</v>
      </c>
      <c r="BK12" s="301">
        <f t="shared" si="8"/>
        <v>0</v>
      </c>
      <c r="BL12" s="301">
        <f t="shared" si="8"/>
        <v>0</v>
      </c>
      <c r="BM12" s="301">
        <f t="shared" si="8"/>
        <v>0</v>
      </c>
      <c r="BN12" s="301">
        <f t="shared" si="8"/>
        <v>0</v>
      </c>
      <c r="BO12" s="301">
        <f t="shared" si="8"/>
        <v>0</v>
      </c>
      <c r="BP12" s="301">
        <f t="shared" si="8"/>
        <v>0</v>
      </c>
      <c r="BQ12" s="301">
        <f t="shared" si="8"/>
        <v>0</v>
      </c>
      <c r="BR12" s="301">
        <f t="shared" si="8"/>
        <v>0</v>
      </c>
      <c r="BS12" s="301">
        <f t="shared" si="8"/>
        <v>0</v>
      </c>
      <c r="BT12" s="301">
        <f t="shared" si="8"/>
        <v>0</v>
      </c>
      <c r="BU12" s="301">
        <f t="shared" si="8"/>
        <v>0</v>
      </c>
      <c r="BV12" s="301">
        <f t="shared" si="8"/>
        <v>0</v>
      </c>
      <c r="BW12" s="301">
        <f t="shared" si="8"/>
        <v>0</v>
      </c>
      <c r="BX12" s="301">
        <f t="shared" si="8"/>
        <v>0</v>
      </c>
      <c r="BY12" s="301">
        <f t="shared" si="8"/>
        <v>0</v>
      </c>
      <c r="BZ12" s="301">
        <f t="shared" si="8"/>
        <v>0</v>
      </c>
      <c r="CA12" s="301">
        <f t="shared" si="8"/>
        <v>0</v>
      </c>
      <c r="CB12" s="301">
        <f t="shared" si="8"/>
        <v>0</v>
      </c>
      <c r="CC12" s="301">
        <f t="shared" si="8"/>
        <v>0</v>
      </c>
      <c r="CD12" s="301">
        <f t="shared" si="8"/>
        <v>0</v>
      </c>
      <c r="CE12" s="301">
        <f t="shared" si="8"/>
        <v>0</v>
      </c>
      <c r="CF12" s="301">
        <f t="shared" si="8"/>
        <v>0</v>
      </c>
      <c r="CG12" s="301">
        <f t="shared" si="8"/>
        <v>0</v>
      </c>
      <c r="CH12" s="301">
        <f t="shared" si="8"/>
        <v>0</v>
      </c>
      <c r="CI12" s="301">
        <f t="shared" si="8"/>
        <v>0</v>
      </c>
      <c r="CJ12" s="301">
        <f t="shared" si="8"/>
        <v>0</v>
      </c>
      <c r="CK12" s="301">
        <f t="shared" si="8"/>
        <v>0</v>
      </c>
      <c r="CL12" s="301">
        <f t="shared" si="8"/>
        <v>0</v>
      </c>
      <c r="CM12" s="301">
        <f t="shared" si="8"/>
        <v>0</v>
      </c>
      <c r="CN12" s="301">
        <f t="shared" ref="CN12:CZ12" si="9">IF(AND(CN$7&lt;=$G12,CN$7&gt;=$F12,$H12&lt;&gt;0,$H12&lt;&gt;""),$C12/$H12,0)</f>
        <v>0</v>
      </c>
      <c r="CO12" s="301">
        <f t="shared" si="9"/>
        <v>0</v>
      </c>
      <c r="CP12" s="301">
        <f t="shared" si="9"/>
        <v>0</v>
      </c>
      <c r="CQ12" s="301">
        <f t="shared" si="9"/>
        <v>0</v>
      </c>
      <c r="CR12" s="301">
        <f t="shared" si="9"/>
        <v>0</v>
      </c>
      <c r="CS12" s="301">
        <f t="shared" si="9"/>
        <v>0</v>
      </c>
      <c r="CT12" s="301">
        <f t="shared" si="9"/>
        <v>0</v>
      </c>
      <c r="CU12" s="301">
        <f t="shared" si="9"/>
        <v>0</v>
      </c>
      <c r="CV12" s="301">
        <f t="shared" si="9"/>
        <v>0</v>
      </c>
      <c r="CW12" s="301">
        <f t="shared" si="9"/>
        <v>0</v>
      </c>
      <c r="CX12" s="301">
        <f t="shared" si="9"/>
        <v>0</v>
      </c>
      <c r="CY12" s="301">
        <f t="shared" si="9"/>
        <v>0</v>
      </c>
      <c r="CZ12" s="301">
        <f t="shared" si="9"/>
        <v>0</v>
      </c>
    </row>
    <row r="13" spans="2:104" x14ac:dyDescent="0.35">
      <c r="B13" s="131" t="s">
        <v>59</v>
      </c>
      <c r="C13" s="134">
        <f>'Development Costs'!$I$9</f>
        <v>100</v>
      </c>
      <c r="D13" s="130">
        <f>ROUND(C13-E13,0)</f>
        <v>0</v>
      </c>
      <c r="E13" s="35">
        <f>MAX(I13:CZ13)</f>
        <v>100.00000000000001</v>
      </c>
      <c r="F13" s="35"/>
      <c r="H13" s="139"/>
      <c r="I13" s="135">
        <f>I12</f>
        <v>0</v>
      </c>
      <c r="J13" s="41">
        <f>I13+J12</f>
        <v>0</v>
      </c>
      <c r="K13" s="41">
        <f t="shared" ref="K13:BV13" si="10">J13+K12</f>
        <v>0</v>
      </c>
      <c r="L13" s="41">
        <f t="shared" si="10"/>
        <v>0</v>
      </c>
      <c r="M13" s="41">
        <f t="shared" si="10"/>
        <v>0</v>
      </c>
      <c r="N13" s="41">
        <f t="shared" si="10"/>
        <v>0</v>
      </c>
      <c r="O13" s="41">
        <f t="shared" si="10"/>
        <v>0</v>
      </c>
      <c r="P13" s="41">
        <f t="shared" si="10"/>
        <v>0</v>
      </c>
      <c r="Q13" s="41">
        <f t="shared" si="10"/>
        <v>0</v>
      </c>
      <c r="R13" s="41">
        <f t="shared" si="10"/>
        <v>0</v>
      </c>
      <c r="S13" s="41">
        <f t="shared" si="10"/>
        <v>0</v>
      </c>
      <c r="T13" s="41">
        <f t="shared" si="10"/>
        <v>0</v>
      </c>
      <c r="U13" s="41">
        <f t="shared" si="10"/>
        <v>0</v>
      </c>
      <c r="V13" s="41">
        <f t="shared" si="10"/>
        <v>0</v>
      </c>
      <c r="W13" s="41">
        <f t="shared" si="10"/>
        <v>0</v>
      </c>
      <c r="X13" s="41">
        <f t="shared" si="10"/>
        <v>0</v>
      </c>
      <c r="Y13" s="41">
        <f t="shared" si="10"/>
        <v>0</v>
      </c>
      <c r="Z13" s="41">
        <f t="shared" si="10"/>
        <v>0</v>
      </c>
      <c r="AA13" s="41">
        <f t="shared" si="10"/>
        <v>0</v>
      </c>
      <c r="AB13" s="41">
        <f t="shared" si="10"/>
        <v>0</v>
      </c>
      <c r="AC13" s="41">
        <f t="shared" si="10"/>
        <v>0</v>
      </c>
      <c r="AD13" s="41">
        <f t="shared" si="10"/>
        <v>0</v>
      </c>
      <c r="AE13" s="41">
        <f t="shared" si="10"/>
        <v>0</v>
      </c>
      <c r="AF13" s="41">
        <f t="shared" si="10"/>
        <v>0</v>
      </c>
      <c r="AG13" s="41">
        <f t="shared" si="10"/>
        <v>0</v>
      </c>
      <c r="AH13" s="41">
        <f t="shared" si="10"/>
        <v>0</v>
      </c>
      <c r="AI13" s="41">
        <f t="shared" si="10"/>
        <v>0</v>
      </c>
      <c r="AJ13" s="41">
        <f t="shared" si="10"/>
        <v>0</v>
      </c>
      <c r="AK13" s="41">
        <f t="shared" si="10"/>
        <v>0</v>
      </c>
      <c r="AL13" s="41">
        <f t="shared" si="10"/>
        <v>0</v>
      </c>
      <c r="AM13" s="41">
        <f t="shared" si="10"/>
        <v>14.285714285714286</v>
      </c>
      <c r="AN13" s="41">
        <f t="shared" si="10"/>
        <v>28.571428571428573</v>
      </c>
      <c r="AO13" s="41">
        <f t="shared" si="10"/>
        <v>42.857142857142861</v>
      </c>
      <c r="AP13" s="41">
        <f t="shared" si="10"/>
        <v>57.142857142857146</v>
      </c>
      <c r="AQ13" s="41">
        <f t="shared" si="10"/>
        <v>71.428571428571431</v>
      </c>
      <c r="AR13" s="41">
        <f t="shared" si="10"/>
        <v>85.714285714285722</v>
      </c>
      <c r="AS13" s="41">
        <f t="shared" si="10"/>
        <v>100.00000000000001</v>
      </c>
      <c r="AT13" s="41">
        <f t="shared" si="10"/>
        <v>100.00000000000001</v>
      </c>
      <c r="AU13" s="41">
        <f t="shared" si="10"/>
        <v>100.00000000000001</v>
      </c>
      <c r="AV13" s="41">
        <f t="shared" si="10"/>
        <v>100.00000000000001</v>
      </c>
      <c r="AW13" s="41">
        <f t="shared" si="10"/>
        <v>100.00000000000001</v>
      </c>
      <c r="AX13" s="41">
        <f t="shared" si="10"/>
        <v>100.00000000000001</v>
      </c>
      <c r="AY13" s="41">
        <f t="shared" si="10"/>
        <v>100.00000000000001</v>
      </c>
      <c r="AZ13" s="41">
        <f t="shared" si="10"/>
        <v>100.00000000000001</v>
      </c>
      <c r="BA13" s="41">
        <f t="shared" si="10"/>
        <v>100.00000000000001</v>
      </c>
      <c r="BB13" s="41">
        <f t="shared" si="10"/>
        <v>100.00000000000001</v>
      </c>
      <c r="BC13" s="41">
        <f t="shared" si="10"/>
        <v>100.00000000000001</v>
      </c>
      <c r="BD13" s="41">
        <f t="shared" si="10"/>
        <v>100.00000000000001</v>
      </c>
      <c r="BE13" s="41">
        <f t="shared" si="10"/>
        <v>100.00000000000001</v>
      </c>
      <c r="BF13" s="41">
        <f t="shared" si="10"/>
        <v>100.00000000000001</v>
      </c>
      <c r="BG13" s="41">
        <f t="shared" si="10"/>
        <v>100.00000000000001</v>
      </c>
      <c r="BH13" s="41">
        <f t="shared" si="10"/>
        <v>100.00000000000001</v>
      </c>
      <c r="BI13" s="41">
        <f t="shared" si="10"/>
        <v>100.00000000000001</v>
      </c>
      <c r="BJ13" s="41">
        <f t="shared" si="10"/>
        <v>100.00000000000001</v>
      </c>
      <c r="BK13" s="41">
        <f t="shared" si="10"/>
        <v>100.00000000000001</v>
      </c>
      <c r="BL13" s="41">
        <f t="shared" si="10"/>
        <v>100.00000000000001</v>
      </c>
      <c r="BM13" s="41">
        <f t="shared" si="10"/>
        <v>100.00000000000001</v>
      </c>
      <c r="BN13" s="41">
        <f t="shared" si="10"/>
        <v>100.00000000000001</v>
      </c>
      <c r="BO13" s="41">
        <f t="shared" si="10"/>
        <v>100.00000000000001</v>
      </c>
      <c r="BP13" s="41">
        <f t="shared" si="10"/>
        <v>100.00000000000001</v>
      </c>
      <c r="BQ13" s="41">
        <f t="shared" si="10"/>
        <v>100.00000000000001</v>
      </c>
      <c r="BR13" s="41">
        <f t="shared" si="10"/>
        <v>100.00000000000001</v>
      </c>
      <c r="BS13" s="41">
        <f t="shared" si="10"/>
        <v>100.00000000000001</v>
      </c>
      <c r="BT13" s="41">
        <f t="shared" si="10"/>
        <v>100.00000000000001</v>
      </c>
      <c r="BU13" s="41">
        <f t="shared" si="10"/>
        <v>100.00000000000001</v>
      </c>
      <c r="BV13" s="41">
        <f t="shared" si="10"/>
        <v>100.00000000000001</v>
      </c>
      <c r="BW13" s="41">
        <f t="shared" ref="BW13:CZ13" si="11">BV13+BW12</f>
        <v>100.00000000000001</v>
      </c>
      <c r="BX13" s="41">
        <f t="shared" si="11"/>
        <v>100.00000000000001</v>
      </c>
      <c r="BY13" s="41">
        <f t="shared" si="11"/>
        <v>100.00000000000001</v>
      </c>
      <c r="BZ13" s="41">
        <f t="shared" si="11"/>
        <v>100.00000000000001</v>
      </c>
      <c r="CA13" s="41">
        <f t="shared" si="11"/>
        <v>100.00000000000001</v>
      </c>
      <c r="CB13" s="41">
        <f t="shared" si="11"/>
        <v>100.00000000000001</v>
      </c>
      <c r="CC13" s="41">
        <f t="shared" si="11"/>
        <v>100.00000000000001</v>
      </c>
      <c r="CD13" s="41">
        <f t="shared" si="11"/>
        <v>100.00000000000001</v>
      </c>
      <c r="CE13" s="41">
        <f t="shared" si="11"/>
        <v>100.00000000000001</v>
      </c>
      <c r="CF13" s="41">
        <f t="shared" si="11"/>
        <v>100.00000000000001</v>
      </c>
      <c r="CG13" s="41">
        <f t="shared" si="11"/>
        <v>100.00000000000001</v>
      </c>
      <c r="CH13" s="41">
        <f t="shared" si="11"/>
        <v>100.00000000000001</v>
      </c>
      <c r="CI13" s="41">
        <f t="shared" si="11"/>
        <v>100.00000000000001</v>
      </c>
      <c r="CJ13" s="41">
        <f t="shared" si="11"/>
        <v>100.00000000000001</v>
      </c>
      <c r="CK13" s="41">
        <f t="shared" si="11"/>
        <v>100.00000000000001</v>
      </c>
      <c r="CL13" s="41">
        <f t="shared" si="11"/>
        <v>100.00000000000001</v>
      </c>
      <c r="CM13" s="41">
        <f t="shared" si="11"/>
        <v>100.00000000000001</v>
      </c>
      <c r="CN13" s="41">
        <f t="shared" si="11"/>
        <v>100.00000000000001</v>
      </c>
      <c r="CO13" s="41">
        <f t="shared" si="11"/>
        <v>100.00000000000001</v>
      </c>
      <c r="CP13" s="41">
        <f t="shared" si="11"/>
        <v>100.00000000000001</v>
      </c>
      <c r="CQ13" s="41">
        <f t="shared" si="11"/>
        <v>100.00000000000001</v>
      </c>
      <c r="CR13" s="41">
        <f t="shared" si="11"/>
        <v>100.00000000000001</v>
      </c>
      <c r="CS13" s="41">
        <f t="shared" si="11"/>
        <v>100.00000000000001</v>
      </c>
      <c r="CT13" s="41">
        <f t="shared" si="11"/>
        <v>100.00000000000001</v>
      </c>
      <c r="CU13" s="41">
        <f t="shared" si="11"/>
        <v>100.00000000000001</v>
      </c>
      <c r="CV13" s="41">
        <f t="shared" si="11"/>
        <v>100.00000000000001</v>
      </c>
      <c r="CW13" s="41">
        <f t="shared" si="11"/>
        <v>100.00000000000001</v>
      </c>
      <c r="CX13" s="41">
        <f t="shared" si="11"/>
        <v>100.00000000000001</v>
      </c>
      <c r="CY13" s="41">
        <f t="shared" si="11"/>
        <v>100.00000000000001</v>
      </c>
      <c r="CZ13" s="41">
        <f t="shared" si="11"/>
        <v>100.00000000000001</v>
      </c>
    </row>
    <row r="14" spans="2:104" x14ac:dyDescent="0.35">
      <c r="B14" s="153" t="s">
        <v>60</v>
      </c>
      <c r="C14" s="40"/>
      <c r="D14" s="40"/>
      <c r="E14" s="154">
        <f>MAX(I14:CZ14)</f>
        <v>1.0000000000000002</v>
      </c>
      <c r="F14" s="39"/>
      <c r="G14" s="52"/>
      <c r="H14" s="140"/>
      <c r="I14" s="154">
        <f>I13/'Development Costs'!$I$9</f>
        <v>0</v>
      </c>
      <c r="J14" s="154">
        <f>J13/'Development Costs'!$I$9</f>
        <v>0</v>
      </c>
      <c r="K14" s="154">
        <f>K13/'Development Costs'!$I$9</f>
        <v>0</v>
      </c>
      <c r="L14" s="154">
        <f>L13/'Development Costs'!$I$9</f>
        <v>0</v>
      </c>
      <c r="M14" s="154">
        <f>M13/'Development Costs'!$I$9</f>
        <v>0</v>
      </c>
      <c r="N14" s="154">
        <f>N13/'Development Costs'!$I$9</f>
        <v>0</v>
      </c>
      <c r="O14" s="154">
        <f>O13/'Development Costs'!$I$9</f>
        <v>0</v>
      </c>
      <c r="P14" s="154">
        <f>P13/'Development Costs'!$I$9</f>
        <v>0</v>
      </c>
      <c r="Q14" s="154">
        <f>Q13/'Development Costs'!$I$9</f>
        <v>0</v>
      </c>
      <c r="R14" s="154">
        <f>R13/'Development Costs'!$I$9</f>
        <v>0</v>
      </c>
      <c r="S14" s="154">
        <f>S13/'Development Costs'!$I$9</f>
        <v>0</v>
      </c>
      <c r="T14" s="154">
        <f>T13/'Development Costs'!$I$9</f>
        <v>0</v>
      </c>
      <c r="U14" s="154">
        <f>U13/'Development Costs'!$I$9</f>
        <v>0</v>
      </c>
      <c r="V14" s="154">
        <f>V13/'Development Costs'!$I$9</f>
        <v>0</v>
      </c>
      <c r="W14" s="154">
        <f>W13/'Development Costs'!$I$9</f>
        <v>0</v>
      </c>
      <c r="X14" s="154">
        <f>X13/'Development Costs'!$I$9</f>
        <v>0</v>
      </c>
      <c r="Y14" s="154">
        <f>Y13/'Development Costs'!$I$9</f>
        <v>0</v>
      </c>
      <c r="Z14" s="154">
        <f>Z13/'Development Costs'!$I$9</f>
        <v>0</v>
      </c>
      <c r="AA14" s="154">
        <f>AA13/'Development Costs'!$I$9</f>
        <v>0</v>
      </c>
      <c r="AB14" s="154">
        <f>AB13/'Development Costs'!$I$9</f>
        <v>0</v>
      </c>
      <c r="AC14" s="154">
        <f>AC13/'Development Costs'!$I$9</f>
        <v>0</v>
      </c>
      <c r="AD14" s="154">
        <f>AD13/'Development Costs'!$I$9</f>
        <v>0</v>
      </c>
      <c r="AE14" s="154">
        <f>AE13/'Development Costs'!$I$9</f>
        <v>0</v>
      </c>
      <c r="AF14" s="154">
        <f>AF13/'Development Costs'!$I$9</f>
        <v>0</v>
      </c>
      <c r="AG14" s="154">
        <f>AG13/'Development Costs'!$I$9</f>
        <v>0</v>
      </c>
      <c r="AH14" s="154">
        <f>AH13/'Development Costs'!$I$9</f>
        <v>0</v>
      </c>
      <c r="AI14" s="154">
        <f>AI13/'Development Costs'!$I$9</f>
        <v>0</v>
      </c>
      <c r="AJ14" s="154">
        <f>AJ13/'Development Costs'!$I$9</f>
        <v>0</v>
      </c>
      <c r="AK14" s="154">
        <f>AK13/'Development Costs'!$I$9</f>
        <v>0</v>
      </c>
      <c r="AL14" s="154">
        <f>AL13/'Development Costs'!$I$9</f>
        <v>0</v>
      </c>
      <c r="AM14" s="154">
        <f>AM13/'Development Costs'!$I$9</f>
        <v>0.14285714285714288</v>
      </c>
      <c r="AN14" s="154">
        <f>AN13/'Development Costs'!$I$9</f>
        <v>0.28571428571428575</v>
      </c>
      <c r="AO14" s="154">
        <f>AO13/'Development Costs'!$I$9</f>
        <v>0.4285714285714286</v>
      </c>
      <c r="AP14" s="154">
        <f>AP13/'Development Costs'!$I$9</f>
        <v>0.57142857142857151</v>
      </c>
      <c r="AQ14" s="154">
        <f>AQ13/'Development Costs'!$I$9</f>
        <v>0.7142857142857143</v>
      </c>
      <c r="AR14" s="154">
        <f>AR13/'Development Costs'!$I$9</f>
        <v>0.85714285714285721</v>
      </c>
      <c r="AS14" s="154">
        <f>AS13/'Development Costs'!$I$9</f>
        <v>1.0000000000000002</v>
      </c>
      <c r="AT14" s="154">
        <f>AT13/'Development Costs'!$I$9</f>
        <v>1.0000000000000002</v>
      </c>
      <c r="AU14" s="154">
        <f>AU13/'Development Costs'!$I$9</f>
        <v>1.0000000000000002</v>
      </c>
      <c r="AV14" s="154">
        <f>AV13/'Development Costs'!$I$9</f>
        <v>1.0000000000000002</v>
      </c>
      <c r="AW14" s="154">
        <f>AW13/'Development Costs'!$I$9</f>
        <v>1.0000000000000002</v>
      </c>
      <c r="AX14" s="154">
        <f>AX13/'Development Costs'!$I$9</f>
        <v>1.0000000000000002</v>
      </c>
      <c r="AY14" s="154">
        <f>AY13/'Development Costs'!$I$9</f>
        <v>1.0000000000000002</v>
      </c>
      <c r="AZ14" s="154">
        <f>AZ13/'Development Costs'!$I$9</f>
        <v>1.0000000000000002</v>
      </c>
      <c r="BA14" s="154">
        <f>BA13/'Development Costs'!$I$9</f>
        <v>1.0000000000000002</v>
      </c>
      <c r="BB14" s="154">
        <f>BB13/'Development Costs'!$I$9</f>
        <v>1.0000000000000002</v>
      </c>
      <c r="BC14" s="154">
        <f>BC13/'Development Costs'!$I$9</f>
        <v>1.0000000000000002</v>
      </c>
      <c r="BD14" s="154">
        <f>BD13/'Development Costs'!$I$9</f>
        <v>1.0000000000000002</v>
      </c>
      <c r="BE14" s="154">
        <f>BE13/'Development Costs'!$I$9</f>
        <v>1.0000000000000002</v>
      </c>
      <c r="BF14" s="154">
        <f>BF13/'Development Costs'!$I$9</f>
        <v>1.0000000000000002</v>
      </c>
      <c r="BG14" s="154">
        <f>BG13/'Development Costs'!$I$9</f>
        <v>1.0000000000000002</v>
      </c>
      <c r="BH14" s="154">
        <f>BH13/'Development Costs'!$I$9</f>
        <v>1.0000000000000002</v>
      </c>
      <c r="BI14" s="154">
        <f>BI13/'Development Costs'!$I$9</f>
        <v>1.0000000000000002</v>
      </c>
      <c r="BJ14" s="154">
        <f>BJ13/'Development Costs'!$I$9</f>
        <v>1.0000000000000002</v>
      </c>
      <c r="BK14" s="154">
        <f>BK13/'Development Costs'!$I$9</f>
        <v>1.0000000000000002</v>
      </c>
      <c r="BL14" s="154">
        <f>BL13/'Development Costs'!$I$9</f>
        <v>1.0000000000000002</v>
      </c>
      <c r="BM14" s="154">
        <f>BM13/'Development Costs'!$I$9</f>
        <v>1.0000000000000002</v>
      </c>
      <c r="BN14" s="154">
        <f>BN13/'Development Costs'!$I$9</f>
        <v>1.0000000000000002</v>
      </c>
      <c r="BO14" s="154">
        <f>BO13/'Development Costs'!$I$9</f>
        <v>1.0000000000000002</v>
      </c>
      <c r="BP14" s="154">
        <f>BP13/'Development Costs'!$I$9</f>
        <v>1.0000000000000002</v>
      </c>
      <c r="BQ14" s="154">
        <f>BQ13/'Development Costs'!$I$9</f>
        <v>1.0000000000000002</v>
      </c>
      <c r="BR14" s="154">
        <f>BR13/'Development Costs'!$I$9</f>
        <v>1.0000000000000002</v>
      </c>
      <c r="BS14" s="154">
        <f>BS13/'Development Costs'!$I$9</f>
        <v>1.0000000000000002</v>
      </c>
      <c r="BT14" s="154">
        <f>BT13/'Development Costs'!$I$9</f>
        <v>1.0000000000000002</v>
      </c>
      <c r="BU14" s="154">
        <f>BU13/'Development Costs'!$I$9</f>
        <v>1.0000000000000002</v>
      </c>
      <c r="BV14" s="154">
        <f>BV13/'Development Costs'!$I$9</f>
        <v>1.0000000000000002</v>
      </c>
      <c r="BW14" s="154">
        <f>BW13/'Development Costs'!$I$9</f>
        <v>1.0000000000000002</v>
      </c>
      <c r="BX14" s="154">
        <f>BX13/'Development Costs'!$I$9</f>
        <v>1.0000000000000002</v>
      </c>
      <c r="BY14" s="154">
        <f>BY13/'Development Costs'!$I$9</f>
        <v>1.0000000000000002</v>
      </c>
      <c r="BZ14" s="154">
        <f>BZ13/'Development Costs'!$I$9</f>
        <v>1.0000000000000002</v>
      </c>
      <c r="CA14" s="154">
        <f>CA13/'Development Costs'!$I$9</f>
        <v>1.0000000000000002</v>
      </c>
      <c r="CB14" s="154">
        <f>CB13/'Development Costs'!$I$9</f>
        <v>1.0000000000000002</v>
      </c>
      <c r="CC14" s="154">
        <f>CC13/'Development Costs'!$I$9</f>
        <v>1.0000000000000002</v>
      </c>
      <c r="CD14" s="154">
        <f>CD13/'Development Costs'!$I$9</f>
        <v>1.0000000000000002</v>
      </c>
      <c r="CE14" s="154">
        <f>CE13/'Development Costs'!$I$9</f>
        <v>1.0000000000000002</v>
      </c>
      <c r="CF14" s="154">
        <f>CF13/'Development Costs'!$I$9</f>
        <v>1.0000000000000002</v>
      </c>
      <c r="CG14" s="154">
        <f>CG13/'Development Costs'!$I$9</f>
        <v>1.0000000000000002</v>
      </c>
      <c r="CH14" s="154">
        <f>CH13/'Development Costs'!$I$9</f>
        <v>1.0000000000000002</v>
      </c>
      <c r="CI14" s="154">
        <f>CI13/'Development Costs'!$I$9</f>
        <v>1.0000000000000002</v>
      </c>
      <c r="CJ14" s="154">
        <f>CJ13/'Development Costs'!$I$9</f>
        <v>1.0000000000000002</v>
      </c>
      <c r="CK14" s="154">
        <f>CK13/'Development Costs'!$I$9</f>
        <v>1.0000000000000002</v>
      </c>
      <c r="CL14" s="154">
        <f>CL13/'Development Costs'!$I$9</f>
        <v>1.0000000000000002</v>
      </c>
      <c r="CM14" s="154">
        <f>CM13/'Development Costs'!$I$9</f>
        <v>1.0000000000000002</v>
      </c>
      <c r="CN14" s="154">
        <f>CN13/'Development Costs'!$I$9</f>
        <v>1.0000000000000002</v>
      </c>
      <c r="CO14" s="154">
        <f>CO13/'Development Costs'!$I$9</f>
        <v>1.0000000000000002</v>
      </c>
      <c r="CP14" s="154">
        <f>CP13/'Development Costs'!$I$9</f>
        <v>1.0000000000000002</v>
      </c>
      <c r="CQ14" s="154">
        <f>CQ13/'Development Costs'!$I$9</f>
        <v>1.0000000000000002</v>
      </c>
      <c r="CR14" s="154">
        <f>CR13/'Development Costs'!$I$9</f>
        <v>1.0000000000000002</v>
      </c>
      <c r="CS14" s="154">
        <f>CS13/'Development Costs'!$I$9</f>
        <v>1.0000000000000002</v>
      </c>
      <c r="CT14" s="154">
        <f>CT13/'Development Costs'!$I$9</f>
        <v>1.0000000000000002</v>
      </c>
      <c r="CU14" s="154">
        <f>CU13/'Development Costs'!$I$9</f>
        <v>1.0000000000000002</v>
      </c>
      <c r="CV14" s="154">
        <f>CV13/'Development Costs'!$I$9</f>
        <v>1.0000000000000002</v>
      </c>
      <c r="CW14" s="154">
        <f>CW13/'Development Costs'!$I$9</f>
        <v>1.0000000000000002</v>
      </c>
      <c r="CX14" s="154">
        <f>CX13/'Development Costs'!$I$9</f>
        <v>1.0000000000000002</v>
      </c>
      <c r="CY14" s="154">
        <f>CY13/'Development Costs'!$I$9</f>
        <v>1.0000000000000002</v>
      </c>
      <c r="CZ14" s="154">
        <f>CZ13/'Development Costs'!$I$9</f>
        <v>1.0000000000000002</v>
      </c>
    </row>
    <row r="15" spans="2:104" x14ac:dyDescent="0.35">
      <c r="B15" s="131" t="s">
        <v>61</v>
      </c>
      <c r="C15" s="134">
        <f>'Development Costs'!$I$9</f>
        <v>100</v>
      </c>
      <c r="D15" s="130">
        <f>ROUND(C15-E15,0)</f>
        <v>0</v>
      </c>
      <c r="E15" s="35">
        <f t="shared" si="4"/>
        <v>100</v>
      </c>
      <c r="F15" s="35"/>
      <c r="H15" s="139"/>
      <c r="I15" s="302">
        <v>0</v>
      </c>
      <c r="J15" s="303">
        <f>IF(I$7&gt;=$F$9,MIN(J10,J13)-I16,0)</f>
        <v>0</v>
      </c>
      <c r="K15" s="303">
        <f t="shared" ref="K15:BV15" si="12">IF(J$7&gt;=$F$9,MIN(K10,K13)-J16,0)</f>
        <v>0</v>
      </c>
      <c r="L15" s="303">
        <f t="shared" si="12"/>
        <v>0</v>
      </c>
      <c r="M15" s="303">
        <f t="shared" si="12"/>
        <v>0</v>
      </c>
      <c r="N15" s="303">
        <f t="shared" si="12"/>
        <v>0</v>
      </c>
      <c r="O15" s="303">
        <f t="shared" si="12"/>
        <v>0</v>
      </c>
      <c r="P15" s="303">
        <f t="shared" si="12"/>
        <v>0</v>
      </c>
      <c r="Q15" s="303">
        <f t="shared" si="12"/>
        <v>0</v>
      </c>
      <c r="R15" s="303">
        <f t="shared" si="12"/>
        <v>0</v>
      </c>
      <c r="S15" s="303">
        <f t="shared" si="12"/>
        <v>0</v>
      </c>
      <c r="T15" s="303">
        <f t="shared" si="12"/>
        <v>0</v>
      </c>
      <c r="U15" s="303">
        <f t="shared" si="12"/>
        <v>0</v>
      </c>
      <c r="V15" s="303">
        <f t="shared" si="12"/>
        <v>0</v>
      </c>
      <c r="W15" s="303">
        <f t="shared" si="12"/>
        <v>0</v>
      </c>
      <c r="X15" s="303">
        <f t="shared" si="12"/>
        <v>0</v>
      </c>
      <c r="Y15" s="303">
        <f t="shared" si="12"/>
        <v>0</v>
      </c>
      <c r="Z15" s="303">
        <f t="shared" si="12"/>
        <v>0</v>
      </c>
      <c r="AA15" s="303">
        <f t="shared" si="12"/>
        <v>0</v>
      </c>
      <c r="AB15" s="303">
        <f t="shared" si="12"/>
        <v>0</v>
      </c>
      <c r="AC15" s="303">
        <f t="shared" si="12"/>
        <v>0</v>
      </c>
      <c r="AD15" s="303">
        <f t="shared" si="12"/>
        <v>0</v>
      </c>
      <c r="AE15" s="303">
        <f t="shared" si="12"/>
        <v>0</v>
      </c>
      <c r="AF15" s="303">
        <f t="shared" si="12"/>
        <v>0</v>
      </c>
      <c r="AG15" s="303">
        <f t="shared" si="12"/>
        <v>0</v>
      </c>
      <c r="AH15" s="303">
        <f t="shared" si="12"/>
        <v>0</v>
      </c>
      <c r="AI15" s="303">
        <f t="shared" si="12"/>
        <v>0</v>
      </c>
      <c r="AJ15" s="303">
        <f t="shared" si="12"/>
        <v>0</v>
      </c>
      <c r="AK15" s="303">
        <f t="shared" si="12"/>
        <v>0</v>
      </c>
      <c r="AL15" s="303">
        <f t="shared" si="12"/>
        <v>0</v>
      </c>
      <c r="AM15" s="303">
        <f t="shared" si="12"/>
        <v>0</v>
      </c>
      <c r="AN15" s="303">
        <f t="shared" si="12"/>
        <v>0</v>
      </c>
      <c r="AO15" s="303">
        <f t="shared" si="12"/>
        <v>42.857142857142861</v>
      </c>
      <c r="AP15" s="303">
        <f t="shared" si="12"/>
        <v>14.285714285714285</v>
      </c>
      <c r="AQ15" s="303">
        <f t="shared" si="12"/>
        <v>14.285714285714285</v>
      </c>
      <c r="AR15" s="303">
        <f t="shared" si="12"/>
        <v>14.285714285714292</v>
      </c>
      <c r="AS15" s="303">
        <f t="shared" si="12"/>
        <v>14.285714285714278</v>
      </c>
      <c r="AT15" s="303">
        <f t="shared" si="12"/>
        <v>0</v>
      </c>
      <c r="AU15" s="303">
        <f t="shared" si="12"/>
        <v>0</v>
      </c>
      <c r="AV15" s="303">
        <f t="shared" si="12"/>
        <v>0</v>
      </c>
      <c r="AW15" s="303">
        <f t="shared" si="12"/>
        <v>0</v>
      </c>
      <c r="AX15" s="303">
        <f t="shared" si="12"/>
        <v>0</v>
      </c>
      <c r="AY15" s="303">
        <f t="shared" si="12"/>
        <v>0</v>
      </c>
      <c r="AZ15" s="303">
        <f t="shared" si="12"/>
        <v>0</v>
      </c>
      <c r="BA15" s="303">
        <f t="shared" si="12"/>
        <v>0</v>
      </c>
      <c r="BB15" s="303">
        <f t="shared" si="12"/>
        <v>0</v>
      </c>
      <c r="BC15" s="303">
        <f t="shared" si="12"/>
        <v>0</v>
      </c>
      <c r="BD15" s="303">
        <f t="shared" si="12"/>
        <v>0</v>
      </c>
      <c r="BE15" s="303">
        <f t="shared" si="12"/>
        <v>0</v>
      </c>
      <c r="BF15" s="303">
        <f t="shared" si="12"/>
        <v>0</v>
      </c>
      <c r="BG15" s="303">
        <f t="shared" si="12"/>
        <v>0</v>
      </c>
      <c r="BH15" s="303">
        <f t="shared" si="12"/>
        <v>0</v>
      </c>
      <c r="BI15" s="303">
        <f t="shared" si="12"/>
        <v>0</v>
      </c>
      <c r="BJ15" s="303">
        <f t="shared" si="12"/>
        <v>0</v>
      </c>
      <c r="BK15" s="303">
        <f t="shared" si="12"/>
        <v>0</v>
      </c>
      <c r="BL15" s="303">
        <f t="shared" si="12"/>
        <v>0</v>
      </c>
      <c r="BM15" s="303">
        <f t="shared" si="12"/>
        <v>0</v>
      </c>
      <c r="BN15" s="303">
        <f t="shared" si="12"/>
        <v>0</v>
      </c>
      <c r="BO15" s="303">
        <f t="shared" si="12"/>
        <v>0</v>
      </c>
      <c r="BP15" s="303">
        <f t="shared" si="12"/>
        <v>0</v>
      </c>
      <c r="BQ15" s="303">
        <f t="shared" si="12"/>
        <v>0</v>
      </c>
      <c r="BR15" s="303">
        <f t="shared" si="12"/>
        <v>0</v>
      </c>
      <c r="BS15" s="303">
        <f t="shared" si="12"/>
        <v>0</v>
      </c>
      <c r="BT15" s="303">
        <f t="shared" si="12"/>
        <v>0</v>
      </c>
      <c r="BU15" s="303">
        <f t="shared" si="12"/>
        <v>0</v>
      </c>
      <c r="BV15" s="303">
        <f t="shared" si="12"/>
        <v>0</v>
      </c>
      <c r="BW15" s="303">
        <f t="shared" ref="BW15:CZ15" si="13">IF(BV$7&gt;=$F$9,MIN(BW10,BW13)-BV16,0)</f>
        <v>0</v>
      </c>
      <c r="BX15" s="303">
        <f t="shared" si="13"/>
        <v>0</v>
      </c>
      <c r="BY15" s="303">
        <f t="shared" si="13"/>
        <v>0</v>
      </c>
      <c r="BZ15" s="303">
        <f t="shared" si="13"/>
        <v>0</v>
      </c>
      <c r="CA15" s="303">
        <f t="shared" si="13"/>
        <v>0</v>
      </c>
      <c r="CB15" s="303">
        <f t="shared" si="13"/>
        <v>0</v>
      </c>
      <c r="CC15" s="303">
        <f t="shared" si="13"/>
        <v>0</v>
      </c>
      <c r="CD15" s="303">
        <f t="shared" si="13"/>
        <v>0</v>
      </c>
      <c r="CE15" s="303">
        <f t="shared" si="13"/>
        <v>0</v>
      </c>
      <c r="CF15" s="303">
        <f t="shared" si="13"/>
        <v>0</v>
      </c>
      <c r="CG15" s="303">
        <f t="shared" si="13"/>
        <v>0</v>
      </c>
      <c r="CH15" s="303">
        <f t="shared" si="13"/>
        <v>0</v>
      </c>
      <c r="CI15" s="303">
        <f t="shared" si="13"/>
        <v>0</v>
      </c>
      <c r="CJ15" s="303">
        <f t="shared" si="13"/>
        <v>0</v>
      </c>
      <c r="CK15" s="303">
        <f t="shared" si="13"/>
        <v>0</v>
      </c>
      <c r="CL15" s="303">
        <f t="shared" si="13"/>
        <v>0</v>
      </c>
      <c r="CM15" s="303">
        <f t="shared" si="13"/>
        <v>0</v>
      </c>
      <c r="CN15" s="303">
        <f t="shared" si="13"/>
        <v>0</v>
      </c>
      <c r="CO15" s="303">
        <f t="shared" si="13"/>
        <v>0</v>
      </c>
      <c r="CP15" s="303">
        <f t="shared" si="13"/>
        <v>0</v>
      </c>
      <c r="CQ15" s="303">
        <f t="shared" si="13"/>
        <v>0</v>
      </c>
      <c r="CR15" s="303">
        <f t="shared" si="13"/>
        <v>0</v>
      </c>
      <c r="CS15" s="303">
        <f t="shared" si="13"/>
        <v>0</v>
      </c>
      <c r="CT15" s="303">
        <f t="shared" si="13"/>
        <v>0</v>
      </c>
      <c r="CU15" s="303">
        <f t="shared" si="13"/>
        <v>0</v>
      </c>
      <c r="CV15" s="303">
        <f t="shared" si="13"/>
        <v>0</v>
      </c>
      <c r="CW15" s="303">
        <f t="shared" si="13"/>
        <v>0</v>
      </c>
      <c r="CX15" s="303">
        <f t="shared" si="13"/>
        <v>0</v>
      </c>
      <c r="CY15" s="303">
        <f t="shared" si="13"/>
        <v>0</v>
      </c>
      <c r="CZ15" s="303">
        <f t="shared" si="13"/>
        <v>0</v>
      </c>
    </row>
    <row r="16" spans="2:104" x14ac:dyDescent="0.35">
      <c r="B16" s="450" t="s">
        <v>62</v>
      </c>
      <c r="C16" s="134">
        <f>'Development Costs'!$I$9</f>
        <v>100</v>
      </c>
      <c r="D16" s="130">
        <f>ROUND(C16-E16,0)</f>
        <v>0</v>
      </c>
      <c r="E16" s="35">
        <f>MAX(I16:CZ16)</f>
        <v>100</v>
      </c>
      <c r="F16" s="35"/>
      <c r="H16" s="139"/>
      <c r="I16" s="135">
        <f>I15</f>
        <v>0</v>
      </c>
      <c r="J16" s="41">
        <f>I16+J15</f>
        <v>0</v>
      </c>
      <c r="K16" s="41">
        <f t="shared" ref="K16:BV16" si="14">J16+K15</f>
        <v>0</v>
      </c>
      <c r="L16" s="35">
        <f t="shared" si="14"/>
        <v>0</v>
      </c>
      <c r="M16" s="35">
        <f t="shared" si="14"/>
        <v>0</v>
      </c>
      <c r="N16" s="35">
        <f t="shared" si="14"/>
        <v>0</v>
      </c>
      <c r="O16" s="35">
        <f t="shared" si="14"/>
        <v>0</v>
      </c>
      <c r="P16" s="35">
        <f t="shared" si="14"/>
        <v>0</v>
      </c>
      <c r="Q16" s="35">
        <f t="shared" si="14"/>
        <v>0</v>
      </c>
      <c r="R16" s="41">
        <f t="shared" si="14"/>
        <v>0</v>
      </c>
      <c r="S16" s="41">
        <f t="shared" si="14"/>
        <v>0</v>
      </c>
      <c r="T16" s="41">
        <f t="shared" si="14"/>
        <v>0</v>
      </c>
      <c r="U16" s="41">
        <f t="shared" si="14"/>
        <v>0</v>
      </c>
      <c r="V16" s="41">
        <f t="shared" si="14"/>
        <v>0</v>
      </c>
      <c r="W16" s="41">
        <f t="shared" si="14"/>
        <v>0</v>
      </c>
      <c r="X16" s="41">
        <f t="shared" si="14"/>
        <v>0</v>
      </c>
      <c r="Y16" s="41">
        <f t="shared" si="14"/>
        <v>0</v>
      </c>
      <c r="Z16" s="41">
        <f t="shared" si="14"/>
        <v>0</v>
      </c>
      <c r="AA16" s="41">
        <f t="shared" si="14"/>
        <v>0</v>
      </c>
      <c r="AB16" s="41">
        <f t="shared" si="14"/>
        <v>0</v>
      </c>
      <c r="AC16" s="41">
        <f t="shared" si="14"/>
        <v>0</v>
      </c>
      <c r="AD16" s="41">
        <f t="shared" si="14"/>
        <v>0</v>
      </c>
      <c r="AE16" s="41">
        <f t="shared" si="14"/>
        <v>0</v>
      </c>
      <c r="AF16" s="41">
        <f t="shared" si="14"/>
        <v>0</v>
      </c>
      <c r="AG16" s="41">
        <f t="shared" si="14"/>
        <v>0</v>
      </c>
      <c r="AH16" s="41">
        <f t="shared" si="14"/>
        <v>0</v>
      </c>
      <c r="AI16" s="41">
        <f t="shared" si="14"/>
        <v>0</v>
      </c>
      <c r="AJ16" s="41">
        <f t="shared" si="14"/>
        <v>0</v>
      </c>
      <c r="AK16" s="41">
        <f t="shared" si="14"/>
        <v>0</v>
      </c>
      <c r="AL16" s="41">
        <f t="shared" si="14"/>
        <v>0</v>
      </c>
      <c r="AM16" s="41">
        <f t="shared" si="14"/>
        <v>0</v>
      </c>
      <c r="AN16" s="41">
        <f t="shared" si="14"/>
        <v>0</v>
      </c>
      <c r="AO16" s="41">
        <f t="shared" si="14"/>
        <v>42.857142857142861</v>
      </c>
      <c r="AP16" s="41">
        <f t="shared" si="14"/>
        <v>57.142857142857146</v>
      </c>
      <c r="AQ16" s="41">
        <f t="shared" si="14"/>
        <v>71.428571428571431</v>
      </c>
      <c r="AR16" s="41">
        <f t="shared" si="14"/>
        <v>85.714285714285722</v>
      </c>
      <c r="AS16" s="41">
        <f t="shared" si="14"/>
        <v>100</v>
      </c>
      <c r="AT16" s="41">
        <f t="shared" si="14"/>
        <v>100</v>
      </c>
      <c r="AU16" s="41">
        <f t="shared" si="14"/>
        <v>100</v>
      </c>
      <c r="AV16" s="41">
        <f t="shared" si="14"/>
        <v>100</v>
      </c>
      <c r="AW16" s="41">
        <f t="shared" si="14"/>
        <v>100</v>
      </c>
      <c r="AX16" s="41">
        <f t="shared" si="14"/>
        <v>100</v>
      </c>
      <c r="AY16" s="41">
        <f t="shared" si="14"/>
        <v>100</v>
      </c>
      <c r="AZ16" s="41">
        <f t="shared" si="14"/>
        <v>100</v>
      </c>
      <c r="BA16" s="41">
        <f t="shared" si="14"/>
        <v>100</v>
      </c>
      <c r="BB16" s="41">
        <f t="shared" si="14"/>
        <v>100</v>
      </c>
      <c r="BC16" s="41">
        <f t="shared" si="14"/>
        <v>100</v>
      </c>
      <c r="BD16" s="41">
        <f t="shared" si="14"/>
        <v>100</v>
      </c>
      <c r="BE16" s="41">
        <f t="shared" si="14"/>
        <v>100</v>
      </c>
      <c r="BF16" s="41">
        <f t="shared" si="14"/>
        <v>100</v>
      </c>
      <c r="BG16" s="458">
        <f t="shared" si="14"/>
        <v>100</v>
      </c>
      <c r="BH16" s="41">
        <f t="shared" si="14"/>
        <v>100</v>
      </c>
      <c r="BI16" s="41">
        <f t="shared" si="14"/>
        <v>100</v>
      </c>
      <c r="BJ16" s="41">
        <f t="shared" si="14"/>
        <v>100</v>
      </c>
      <c r="BK16" s="41">
        <f t="shared" si="14"/>
        <v>100</v>
      </c>
      <c r="BL16" s="41">
        <f t="shared" si="14"/>
        <v>100</v>
      </c>
      <c r="BM16" s="41">
        <f t="shared" si="14"/>
        <v>100</v>
      </c>
      <c r="BN16" s="41">
        <f t="shared" si="14"/>
        <v>100</v>
      </c>
      <c r="BO16" s="41">
        <f t="shared" si="14"/>
        <v>100</v>
      </c>
      <c r="BP16" s="41">
        <f t="shared" si="14"/>
        <v>100</v>
      </c>
      <c r="BQ16" s="41">
        <f t="shared" si="14"/>
        <v>100</v>
      </c>
      <c r="BR16" s="41">
        <f t="shared" si="14"/>
        <v>100</v>
      </c>
      <c r="BS16" s="41">
        <f t="shared" si="14"/>
        <v>100</v>
      </c>
      <c r="BT16" s="41">
        <f t="shared" si="14"/>
        <v>100</v>
      </c>
      <c r="BU16" s="41">
        <f t="shared" si="14"/>
        <v>100</v>
      </c>
      <c r="BV16" s="41">
        <f t="shared" si="14"/>
        <v>100</v>
      </c>
      <c r="BW16" s="41">
        <f t="shared" ref="BW16:CZ16" si="15">BV16+BW15</f>
        <v>100</v>
      </c>
      <c r="BX16" s="41">
        <f t="shared" si="15"/>
        <v>100</v>
      </c>
      <c r="BY16" s="41">
        <f t="shared" si="15"/>
        <v>100</v>
      </c>
      <c r="BZ16" s="41">
        <f t="shared" si="15"/>
        <v>100</v>
      </c>
      <c r="CA16" s="41">
        <f t="shared" si="15"/>
        <v>100</v>
      </c>
      <c r="CB16" s="41">
        <f t="shared" si="15"/>
        <v>100</v>
      </c>
      <c r="CC16" s="41">
        <f t="shared" si="15"/>
        <v>100</v>
      </c>
      <c r="CD16" s="41">
        <f t="shared" si="15"/>
        <v>100</v>
      </c>
      <c r="CE16" s="41">
        <f t="shared" si="15"/>
        <v>100</v>
      </c>
      <c r="CF16" s="41">
        <f t="shared" si="15"/>
        <v>100</v>
      </c>
      <c r="CG16" s="41">
        <f t="shared" si="15"/>
        <v>100</v>
      </c>
      <c r="CH16" s="41">
        <f t="shared" si="15"/>
        <v>100</v>
      </c>
      <c r="CI16" s="41">
        <f t="shared" si="15"/>
        <v>100</v>
      </c>
      <c r="CJ16" s="41">
        <f t="shared" si="15"/>
        <v>100</v>
      </c>
      <c r="CK16" s="41">
        <f t="shared" si="15"/>
        <v>100</v>
      </c>
      <c r="CL16" s="41">
        <f t="shared" si="15"/>
        <v>100</v>
      </c>
      <c r="CM16" s="41">
        <f t="shared" si="15"/>
        <v>100</v>
      </c>
      <c r="CN16" s="41">
        <f t="shared" si="15"/>
        <v>100</v>
      </c>
      <c r="CO16" s="41">
        <f t="shared" si="15"/>
        <v>100</v>
      </c>
      <c r="CP16" s="41">
        <f t="shared" si="15"/>
        <v>100</v>
      </c>
      <c r="CQ16" s="41">
        <f t="shared" si="15"/>
        <v>100</v>
      </c>
      <c r="CR16" s="41">
        <f t="shared" si="15"/>
        <v>100</v>
      </c>
      <c r="CS16" s="41">
        <f t="shared" si="15"/>
        <v>100</v>
      </c>
      <c r="CT16" s="41">
        <f t="shared" si="15"/>
        <v>100</v>
      </c>
      <c r="CU16" s="41">
        <f t="shared" si="15"/>
        <v>100</v>
      </c>
      <c r="CV16" s="41">
        <f t="shared" si="15"/>
        <v>100</v>
      </c>
      <c r="CW16" s="41">
        <f t="shared" si="15"/>
        <v>100</v>
      </c>
      <c r="CX16" s="41">
        <f t="shared" si="15"/>
        <v>100</v>
      </c>
      <c r="CY16" s="41">
        <f t="shared" si="15"/>
        <v>100</v>
      </c>
      <c r="CZ16" s="41">
        <f t="shared" si="15"/>
        <v>100</v>
      </c>
    </row>
    <row r="17" spans="2:104" x14ac:dyDescent="0.35">
      <c r="B17" s="131" t="s">
        <v>63</v>
      </c>
      <c r="C17" s="134"/>
      <c r="E17" s="155">
        <f>MAX(I17:CZ17)</f>
        <v>1</v>
      </c>
      <c r="F17" s="35"/>
      <c r="H17" s="139"/>
      <c r="I17" s="155">
        <f>I16/'Development Costs'!$I$9</f>
        <v>0</v>
      </c>
      <c r="J17" s="155">
        <f>J16/'Development Costs'!$I$9</f>
        <v>0</v>
      </c>
      <c r="K17" s="155">
        <f>K16/'Development Costs'!$I$9</f>
        <v>0</v>
      </c>
      <c r="L17" s="155">
        <f>L16/'Development Costs'!$I$9</f>
        <v>0</v>
      </c>
      <c r="M17" s="155">
        <f>M16/'Development Costs'!$I$9</f>
        <v>0</v>
      </c>
      <c r="N17" s="155">
        <f>N16/'Development Costs'!$I$9</f>
        <v>0</v>
      </c>
      <c r="O17" s="155">
        <f>O16/'Development Costs'!$I$9</f>
        <v>0</v>
      </c>
      <c r="P17" s="155">
        <f>P16/'Development Costs'!$I$9</f>
        <v>0</v>
      </c>
      <c r="Q17" s="155">
        <f>Q16/'Development Costs'!$I$9</f>
        <v>0</v>
      </c>
      <c r="R17" s="155">
        <f>R16/'Development Costs'!$I$9</f>
        <v>0</v>
      </c>
      <c r="S17" s="155">
        <f>S16/'Development Costs'!$I$9</f>
        <v>0</v>
      </c>
      <c r="T17" s="155">
        <f>T16/'Development Costs'!$I$9</f>
        <v>0</v>
      </c>
      <c r="U17" s="155">
        <f>U16/'Development Costs'!$I$9</f>
        <v>0</v>
      </c>
      <c r="V17" s="155">
        <f>V16/'Development Costs'!$I$9</f>
        <v>0</v>
      </c>
      <c r="W17" s="155">
        <f>W16/'Development Costs'!$I$9</f>
        <v>0</v>
      </c>
      <c r="X17" s="155">
        <f>X16/'Development Costs'!$I$9</f>
        <v>0</v>
      </c>
      <c r="Y17" s="155">
        <f>Y16/'Development Costs'!$I$9</f>
        <v>0</v>
      </c>
      <c r="Z17" s="155">
        <f>Z16/'Development Costs'!$I$9</f>
        <v>0</v>
      </c>
      <c r="AA17" s="155">
        <f>AA16/'Development Costs'!$I$9</f>
        <v>0</v>
      </c>
      <c r="AB17" s="155">
        <f>AB16/'Development Costs'!$I$9</f>
        <v>0</v>
      </c>
      <c r="AC17" s="155">
        <f>AC16/'Development Costs'!$I$9</f>
        <v>0</v>
      </c>
      <c r="AD17" s="155">
        <f>AD16/'Development Costs'!$I$9</f>
        <v>0</v>
      </c>
      <c r="AE17" s="155">
        <f>AE16/'Development Costs'!$I$9</f>
        <v>0</v>
      </c>
      <c r="AF17" s="155">
        <f>AF16/'Development Costs'!$I$9</f>
        <v>0</v>
      </c>
      <c r="AG17" s="155">
        <f>AG16/'Development Costs'!$I$9</f>
        <v>0</v>
      </c>
      <c r="AH17" s="155">
        <f>AH16/'Development Costs'!$I$9</f>
        <v>0</v>
      </c>
      <c r="AI17" s="155">
        <f>AI16/'Development Costs'!$I$9</f>
        <v>0</v>
      </c>
      <c r="AJ17" s="155">
        <f>AJ16/'Development Costs'!$I$9</f>
        <v>0</v>
      </c>
      <c r="AK17" s="155">
        <f>AK16/'Development Costs'!$I$9</f>
        <v>0</v>
      </c>
      <c r="AL17" s="155">
        <f>AL16/'Development Costs'!$I$9</f>
        <v>0</v>
      </c>
      <c r="AM17" s="155">
        <f>AM16/'Development Costs'!$I$9</f>
        <v>0</v>
      </c>
      <c r="AN17" s="155">
        <f>AN16/'Development Costs'!$I$9</f>
        <v>0</v>
      </c>
      <c r="AO17" s="155">
        <f>AO16/'Development Costs'!$I$9</f>
        <v>0.4285714285714286</v>
      </c>
      <c r="AP17" s="155">
        <f>AP16/'Development Costs'!$I$9</f>
        <v>0.57142857142857151</v>
      </c>
      <c r="AQ17" s="155">
        <f>AQ16/'Development Costs'!$I$9</f>
        <v>0.7142857142857143</v>
      </c>
      <c r="AR17" s="155">
        <f>AR16/'Development Costs'!$I$9</f>
        <v>0.85714285714285721</v>
      </c>
      <c r="AS17" s="155">
        <f>AS16/'Development Costs'!$I$9</f>
        <v>1</v>
      </c>
      <c r="AT17" s="155">
        <f>AT16/'Development Costs'!$I$9</f>
        <v>1</v>
      </c>
      <c r="AU17" s="155">
        <f>AU16/'Development Costs'!$I$9</f>
        <v>1</v>
      </c>
      <c r="AV17" s="155">
        <f>AV16/'Development Costs'!$I$9</f>
        <v>1</v>
      </c>
      <c r="AW17" s="155">
        <f>AW16/'Development Costs'!$I$9</f>
        <v>1</v>
      </c>
      <c r="AX17" s="155">
        <f>AX16/'Development Costs'!$I$9</f>
        <v>1</v>
      </c>
      <c r="AY17" s="155">
        <f>AY16/'Development Costs'!$I$9</f>
        <v>1</v>
      </c>
      <c r="AZ17" s="155">
        <f>AZ16/'Development Costs'!$I$9</f>
        <v>1</v>
      </c>
      <c r="BA17" s="155">
        <f>BA16/'Development Costs'!$I$9</f>
        <v>1</v>
      </c>
      <c r="BB17" s="155">
        <f>BB16/'Development Costs'!$I$9</f>
        <v>1</v>
      </c>
      <c r="BC17" s="155">
        <f>BC16/'Development Costs'!$I$9</f>
        <v>1</v>
      </c>
      <c r="BD17" s="155">
        <f>BD16/'Development Costs'!$I$9</f>
        <v>1</v>
      </c>
      <c r="BE17" s="155">
        <f>BE16/'Development Costs'!$I$9</f>
        <v>1</v>
      </c>
      <c r="BF17" s="155">
        <f>BF16/'Development Costs'!$I$9</f>
        <v>1</v>
      </c>
      <c r="BG17" s="155">
        <f>BG16/'Development Costs'!$I$9</f>
        <v>1</v>
      </c>
      <c r="BH17" s="155">
        <f>BH16/'Development Costs'!$I$9</f>
        <v>1</v>
      </c>
      <c r="BI17" s="155">
        <f>BI16/'Development Costs'!$I$9</f>
        <v>1</v>
      </c>
      <c r="BJ17" s="155">
        <f>BJ16/'Development Costs'!$I$9</f>
        <v>1</v>
      </c>
      <c r="BK17" s="155">
        <f>BK16/'Development Costs'!$I$9</f>
        <v>1</v>
      </c>
      <c r="BL17" s="155">
        <f>BL16/'Development Costs'!$I$9</f>
        <v>1</v>
      </c>
      <c r="BM17" s="155">
        <f>BM16/'Development Costs'!$I$9</f>
        <v>1</v>
      </c>
      <c r="BN17" s="155">
        <f>BN16/'Development Costs'!$I$9</f>
        <v>1</v>
      </c>
      <c r="BO17" s="155">
        <f>BO16/'Development Costs'!$I$9</f>
        <v>1</v>
      </c>
      <c r="BP17" s="155">
        <f>BP16/'Development Costs'!$I$9</f>
        <v>1</v>
      </c>
      <c r="BQ17" s="155">
        <f>BQ16/'Development Costs'!$I$9</f>
        <v>1</v>
      </c>
      <c r="BR17" s="155">
        <f>BR16/'Development Costs'!$I$9</f>
        <v>1</v>
      </c>
      <c r="BS17" s="155">
        <f>BS16/'Development Costs'!$I$9</f>
        <v>1</v>
      </c>
      <c r="BT17" s="155">
        <f>BT16/'Development Costs'!$I$9</f>
        <v>1</v>
      </c>
      <c r="BU17" s="155">
        <f>BU16/'Development Costs'!$I$9</f>
        <v>1</v>
      </c>
      <c r="BV17" s="155">
        <f>BV16/'Development Costs'!$I$9</f>
        <v>1</v>
      </c>
      <c r="BW17" s="155">
        <f>BW16/'Development Costs'!$I$9</f>
        <v>1</v>
      </c>
      <c r="BX17" s="155">
        <f>BX16/'Development Costs'!$I$9</f>
        <v>1</v>
      </c>
      <c r="BY17" s="155">
        <f>BY16/'Development Costs'!$I$9</f>
        <v>1</v>
      </c>
      <c r="BZ17" s="155">
        <f>BZ16/'Development Costs'!$I$9</f>
        <v>1</v>
      </c>
      <c r="CA17" s="155">
        <f>CA16/'Development Costs'!$I$9</f>
        <v>1</v>
      </c>
      <c r="CB17" s="155">
        <f>CB16/'Development Costs'!$I$9</f>
        <v>1</v>
      </c>
      <c r="CC17" s="155">
        <f>CC16/'Development Costs'!$I$9</f>
        <v>1</v>
      </c>
      <c r="CD17" s="155">
        <f>CD16/'Development Costs'!$I$9</f>
        <v>1</v>
      </c>
      <c r="CE17" s="155">
        <f>CE16/'Development Costs'!$I$9</f>
        <v>1</v>
      </c>
      <c r="CF17" s="155">
        <f>CF16/'Development Costs'!$I$9</f>
        <v>1</v>
      </c>
      <c r="CG17" s="155">
        <f>CG16/'Development Costs'!$I$9</f>
        <v>1</v>
      </c>
      <c r="CH17" s="155">
        <f>CH16/'Development Costs'!$I$9</f>
        <v>1</v>
      </c>
      <c r="CI17" s="155">
        <f>CI16/'Development Costs'!$I$9</f>
        <v>1</v>
      </c>
      <c r="CJ17" s="155">
        <f>CJ16/'Development Costs'!$I$9</f>
        <v>1</v>
      </c>
      <c r="CK17" s="155">
        <f>CK16/'Development Costs'!$I$9</f>
        <v>1</v>
      </c>
      <c r="CL17" s="155">
        <f>CL16/'Development Costs'!$I$9</f>
        <v>1</v>
      </c>
      <c r="CM17" s="155">
        <f>CM16/'Development Costs'!$I$9</f>
        <v>1</v>
      </c>
      <c r="CN17" s="155">
        <f>CN16/'Development Costs'!$I$9</f>
        <v>1</v>
      </c>
      <c r="CO17" s="155">
        <f>CO16/'Development Costs'!$I$9</f>
        <v>1</v>
      </c>
      <c r="CP17" s="155">
        <f>CP16/'Development Costs'!$I$9</f>
        <v>1</v>
      </c>
      <c r="CQ17" s="155">
        <f>CQ16/'Development Costs'!$I$9</f>
        <v>1</v>
      </c>
      <c r="CR17" s="155">
        <f>CR16/'Development Costs'!$I$9</f>
        <v>1</v>
      </c>
      <c r="CS17" s="155">
        <f>CS16/'Development Costs'!$I$9</f>
        <v>1</v>
      </c>
      <c r="CT17" s="155">
        <f>CT16/'Development Costs'!$I$9</f>
        <v>1</v>
      </c>
      <c r="CU17" s="155">
        <f>CU16/'Development Costs'!$I$9</f>
        <v>1</v>
      </c>
      <c r="CV17" s="155">
        <f>CV16/'Development Costs'!$I$9</f>
        <v>1</v>
      </c>
      <c r="CW17" s="155">
        <f>CW16/'Development Costs'!$I$9</f>
        <v>1</v>
      </c>
      <c r="CX17" s="155">
        <f>CX16/'Development Costs'!$I$9</f>
        <v>1</v>
      </c>
      <c r="CY17" s="155">
        <f>CY16/'Development Costs'!$I$9</f>
        <v>1</v>
      </c>
      <c r="CZ17" s="155">
        <f>CZ16/'Development Costs'!$I$9</f>
        <v>1</v>
      </c>
    </row>
    <row r="18" spans="2:104" x14ac:dyDescent="0.35">
      <c r="B18" s="139"/>
      <c r="C18" s="134"/>
      <c r="E18" s="35"/>
      <c r="F18" s="35"/>
      <c r="H18" s="139"/>
      <c r="I18" s="134"/>
    </row>
    <row r="19" spans="2:104" x14ac:dyDescent="0.35">
      <c r="B19" s="142" t="s">
        <v>168</v>
      </c>
      <c r="C19" s="136"/>
      <c r="D19" s="36"/>
      <c r="E19" s="36"/>
      <c r="F19" s="36"/>
      <c r="G19" s="120"/>
      <c r="H19" s="142"/>
      <c r="I19" s="1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row>
    <row r="20" spans="2:104" s="43" customFormat="1" x14ac:dyDescent="0.35">
      <c r="B20" s="166" t="s">
        <v>202</v>
      </c>
      <c r="C20" s="167"/>
      <c r="D20" s="167"/>
      <c r="E20" s="167"/>
      <c r="F20" s="167"/>
      <c r="G20" s="168"/>
      <c r="H20" s="169"/>
      <c r="I20" s="170">
        <f>(1+'10-Yr Cash Flow IRR'!$E$9)^(YEAR(I7)-YEAR(Schedule!$D$8))</f>
        <v>1</v>
      </c>
      <c r="J20" s="170">
        <f>(1+'10-Yr Cash Flow IRR'!$E$9)^(YEAR(J7)-YEAR(Schedule!$D$8))</f>
        <v>1</v>
      </c>
      <c r="K20" s="170">
        <f>(1+'10-Yr Cash Flow IRR'!$E$9)^(YEAR(K7)-YEAR(Schedule!$D$8))</f>
        <v>1</v>
      </c>
      <c r="L20" s="170">
        <f>(1+'10-Yr Cash Flow IRR'!$E$9)^(YEAR(L7)-YEAR(Schedule!$D$8))</f>
        <v>1</v>
      </c>
      <c r="M20" s="170">
        <f>(1+'10-Yr Cash Flow IRR'!$E$9)^(YEAR(M7)-YEAR(Schedule!$D$8))</f>
        <v>1</v>
      </c>
      <c r="N20" s="170">
        <f>(1+'10-Yr Cash Flow IRR'!$E$9)^(YEAR(N7)-YEAR(Schedule!$D$8))</f>
        <v>1</v>
      </c>
      <c r="O20" s="170">
        <f>(1+'10-Yr Cash Flow IRR'!$E$9)^(YEAR(O7)-YEAR(Schedule!$D$8))</f>
        <v>1</v>
      </c>
      <c r="P20" s="170">
        <f>(1+'10-Yr Cash Flow IRR'!$E$9)^(YEAR(P7)-YEAR(Schedule!$D$8))</f>
        <v>1</v>
      </c>
      <c r="Q20" s="170">
        <f>(1+'10-Yr Cash Flow IRR'!$E$9)^(YEAR(Q7)-YEAR(Schedule!$D$8))</f>
        <v>1</v>
      </c>
      <c r="R20" s="170">
        <f>(1+'10-Yr Cash Flow IRR'!$E$9)^(YEAR(R7)-YEAR(Schedule!$D$8))</f>
        <v>1</v>
      </c>
      <c r="S20" s="170">
        <f>(1+'10-Yr Cash Flow IRR'!$E$9)^(YEAR(S7)-YEAR(Schedule!$D$8))</f>
        <v>1</v>
      </c>
      <c r="T20" s="170">
        <f>(1+'10-Yr Cash Flow IRR'!$E$9)^(YEAR(T7)-YEAR(Schedule!$D$8))</f>
        <v>1</v>
      </c>
      <c r="U20" s="170">
        <f>(1+'10-Yr Cash Flow IRR'!$E$9)^(YEAR(U7)-YEAR(Schedule!$D$8))</f>
        <v>1.02</v>
      </c>
      <c r="V20" s="170">
        <f>(1+'10-Yr Cash Flow IRR'!$E$9)^(YEAR(V7)-YEAR(Schedule!$D$8))</f>
        <v>1.02</v>
      </c>
      <c r="W20" s="170">
        <f>(1+'10-Yr Cash Flow IRR'!$E$9)^(YEAR(W7)-YEAR(Schedule!$D$8))</f>
        <v>1.02</v>
      </c>
      <c r="X20" s="170">
        <f>(1+'10-Yr Cash Flow IRR'!$E$9)^(YEAR(X7)-YEAR(Schedule!$D$8))</f>
        <v>1.02</v>
      </c>
      <c r="Y20" s="170">
        <f>(1+'10-Yr Cash Flow IRR'!$E$9)^(YEAR(Y7)-YEAR(Schedule!$D$8))</f>
        <v>1.02</v>
      </c>
      <c r="Z20" s="170">
        <f>(1+'10-Yr Cash Flow IRR'!$E$9)^(YEAR(Z7)-YEAR(Schedule!$D$8))</f>
        <v>1.02</v>
      </c>
      <c r="AA20" s="170">
        <f>(1+'10-Yr Cash Flow IRR'!$E$9)^(YEAR(AA7)-YEAR(Schedule!$D$8))</f>
        <v>1.02</v>
      </c>
      <c r="AB20" s="170">
        <f>(1+'10-Yr Cash Flow IRR'!$E$9)^(YEAR(AB7)-YEAR(Schedule!$D$8))</f>
        <v>1.02</v>
      </c>
      <c r="AC20" s="170">
        <f>(1+'10-Yr Cash Flow IRR'!$E$9)^(YEAR(AC7)-YEAR(Schedule!$D$8))</f>
        <v>1.02</v>
      </c>
      <c r="AD20" s="170">
        <f>(1+'10-Yr Cash Flow IRR'!$E$9)^(YEAR(AD7)-YEAR(Schedule!$D$8))</f>
        <v>1.02</v>
      </c>
      <c r="AE20" s="170">
        <f>(1+'10-Yr Cash Flow IRR'!$E$9)^(YEAR(AE7)-YEAR(Schedule!$D$8))</f>
        <v>1.02</v>
      </c>
      <c r="AF20" s="170">
        <f>(1+'10-Yr Cash Flow IRR'!$E$9)^(YEAR(AF7)-YEAR(Schedule!$D$8))</f>
        <v>1.02</v>
      </c>
      <c r="AG20" s="170">
        <f>(1+'10-Yr Cash Flow IRR'!$E$9)^(YEAR(AG7)-YEAR(Schedule!$D$8))</f>
        <v>1.0404</v>
      </c>
      <c r="AH20" s="170">
        <f>(1+'10-Yr Cash Flow IRR'!$E$9)^(YEAR(AH7)-YEAR(Schedule!$D$8))</f>
        <v>1.0404</v>
      </c>
      <c r="AI20" s="170">
        <f>(1+'10-Yr Cash Flow IRR'!$E$9)^(YEAR(AI7)-YEAR(Schedule!$D$8))</f>
        <v>1.0404</v>
      </c>
      <c r="AJ20" s="170">
        <f>(1+'10-Yr Cash Flow IRR'!$E$9)^(YEAR(AJ7)-YEAR(Schedule!$D$8))</f>
        <v>1.0404</v>
      </c>
      <c r="AK20" s="170">
        <f>(1+'10-Yr Cash Flow IRR'!$E$9)^(YEAR(AK7)-YEAR(Schedule!$D$8))</f>
        <v>1.0404</v>
      </c>
      <c r="AL20" s="170">
        <f>(1+'10-Yr Cash Flow IRR'!$E$9)^(YEAR(AL7)-YEAR(Schedule!$D$8))</f>
        <v>1.0404</v>
      </c>
      <c r="AM20" s="170">
        <f>(1+'10-Yr Cash Flow IRR'!$E$9)^(YEAR(AM7)-YEAR(Schedule!$D$8))</f>
        <v>1.0404</v>
      </c>
      <c r="AN20" s="170">
        <f>(1+'10-Yr Cash Flow IRR'!$E$9)^(YEAR(AN7)-YEAR(Schedule!$D$8))</f>
        <v>1.0404</v>
      </c>
      <c r="AO20" s="170">
        <f>(1+'10-Yr Cash Flow IRR'!$E$9)^(YEAR(AO7)-YEAR(Schedule!$D$8))</f>
        <v>1.0404</v>
      </c>
      <c r="AP20" s="170">
        <f>(1+'10-Yr Cash Flow IRR'!$E$9)^(YEAR(AP7)-YEAR(Schedule!$D$8))</f>
        <v>1.0404</v>
      </c>
      <c r="AQ20" s="170">
        <f>(1+'10-Yr Cash Flow IRR'!$E$9)^(YEAR(AQ7)-YEAR(Schedule!$D$8))</f>
        <v>1.0404</v>
      </c>
      <c r="AR20" s="170">
        <f>(1+'10-Yr Cash Flow IRR'!$E$9)^(YEAR(AR7)-YEAR(Schedule!$D$8))</f>
        <v>1.0404</v>
      </c>
      <c r="AS20" s="170">
        <f>(1+'10-Yr Cash Flow IRR'!$E$9)^(YEAR(AS7)-YEAR(Schedule!$D$8))</f>
        <v>1.0612079999999999</v>
      </c>
      <c r="AT20" s="170">
        <f>(1+'10-Yr Cash Flow IRR'!$E$9)^(YEAR(AT7)-YEAR(Schedule!$D$8))</f>
        <v>1.0612079999999999</v>
      </c>
      <c r="AU20" s="170">
        <f>(1+'10-Yr Cash Flow IRR'!$E$9)^(YEAR(AU7)-YEAR(Schedule!$D$8))</f>
        <v>1.0612079999999999</v>
      </c>
      <c r="AV20" s="170">
        <f>(1+'10-Yr Cash Flow IRR'!$E$9)^(YEAR(AV7)-YEAR(Schedule!$D$8))</f>
        <v>1.0612079999999999</v>
      </c>
      <c r="AW20" s="170">
        <f>(1+'10-Yr Cash Flow IRR'!$E$9)^(YEAR(AW7)-YEAR(Schedule!$D$8))</f>
        <v>1.0612079999999999</v>
      </c>
      <c r="AX20" s="170">
        <f>(1+'10-Yr Cash Flow IRR'!$E$9)^(YEAR(AX7)-YEAR(Schedule!$D$8))</f>
        <v>1.0612079999999999</v>
      </c>
      <c r="AY20" s="170">
        <f>(1+'10-Yr Cash Flow IRR'!$E$9)^(YEAR(AY7)-YEAR(Schedule!$D$8))</f>
        <v>1.0612079999999999</v>
      </c>
      <c r="AZ20" s="170">
        <f>(1+'10-Yr Cash Flow IRR'!$E$9)^(YEAR(AZ7)-YEAR(Schedule!$D$8))</f>
        <v>1.0612079999999999</v>
      </c>
      <c r="BA20" s="170">
        <f>(1+'10-Yr Cash Flow IRR'!$E$9)^(YEAR(BA7)-YEAR(Schedule!$D$8))</f>
        <v>1.0612079999999999</v>
      </c>
      <c r="BB20" s="170">
        <f>(1+'10-Yr Cash Flow IRR'!$E$9)^(YEAR(BB7)-YEAR(Schedule!$D$8))</f>
        <v>1.0612079999999999</v>
      </c>
      <c r="BC20" s="170">
        <f>(1+'10-Yr Cash Flow IRR'!$E$9)^(YEAR(BC7)-YEAR(Schedule!$D$8))</f>
        <v>1.0612079999999999</v>
      </c>
      <c r="BD20" s="170">
        <f>(1+'10-Yr Cash Flow IRR'!$E$9)^(YEAR(BD7)-YEAR(Schedule!$D$8))</f>
        <v>1.0612079999999999</v>
      </c>
      <c r="BE20" s="170">
        <f>(1+'10-Yr Cash Flow IRR'!$E$9)^(YEAR(BE7)-YEAR(Schedule!$D$8))</f>
        <v>1.08243216</v>
      </c>
      <c r="BF20" s="170">
        <f>(1+'10-Yr Cash Flow IRR'!$E$9)^(YEAR(BF7)-YEAR(Schedule!$D$8))</f>
        <v>1.08243216</v>
      </c>
      <c r="BG20" s="170">
        <f>(1+'10-Yr Cash Flow IRR'!$E$9)^(YEAR(BG7)-YEAR(Schedule!$D$8))</f>
        <v>1.08243216</v>
      </c>
      <c r="BH20" s="170">
        <f>(1+'10-Yr Cash Flow IRR'!$E$9)^(YEAR(BH7)-YEAR(Schedule!$D$8))</f>
        <v>1.08243216</v>
      </c>
      <c r="BI20" s="170">
        <f>(1+'10-Yr Cash Flow IRR'!$E$9)^(YEAR(BI7)-YEAR(Schedule!$D$8))</f>
        <v>1.08243216</v>
      </c>
      <c r="BJ20" s="170">
        <f>(1+'10-Yr Cash Flow IRR'!$E$9)^(YEAR(BJ7)-YEAR(Schedule!$D$8))</f>
        <v>1.08243216</v>
      </c>
      <c r="BK20" s="170">
        <f>(1+'10-Yr Cash Flow IRR'!$E$9)^(YEAR(BK7)-YEAR(Schedule!$D$8))</f>
        <v>1.08243216</v>
      </c>
      <c r="BL20" s="170">
        <f>(1+'10-Yr Cash Flow IRR'!$E$9)^(YEAR(BL7)-YEAR(Schedule!$D$8))</f>
        <v>1.08243216</v>
      </c>
      <c r="BM20" s="170">
        <f>(1+'10-Yr Cash Flow IRR'!$E$9)^(YEAR(BM7)-YEAR(Schedule!$D$8))</f>
        <v>1.08243216</v>
      </c>
      <c r="BN20" s="170">
        <f>(1+'10-Yr Cash Flow IRR'!$E$9)^(YEAR(BN7)-YEAR(Schedule!$D$8))</f>
        <v>1.08243216</v>
      </c>
      <c r="BO20" s="170">
        <f>(1+'10-Yr Cash Flow IRR'!$E$9)^(YEAR(BO7)-YEAR(Schedule!$D$8))</f>
        <v>1.08243216</v>
      </c>
      <c r="BP20" s="170">
        <f>(1+'10-Yr Cash Flow IRR'!$E$9)^(YEAR(BP7)-YEAR(Schedule!$D$8))</f>
        <v>1.08243216</v>
      </c>
      <c r="BQ20" s="170">
        <f>(1+'10-Yr Cash Flow IRR'!$E$9)^(YEAR(BQ7)-YEAR(Schedule!$D$8))</f>
        <v>1.1040808032</v>
      </c>
      <c r="BR20" s="170">
        <f>(1+'10-Yr Cash Flow IRR'!$E$9)^(YEAR(BR7)-YEAR(Schedule!$D$8))</f>
        <v>1.1040808032</v>
      </c>
      <c r="BS20" s="170">
        <f>(1+'10-Yr Cash Flow IRR'!$E$9)^(YEAR(BS7)-YEAR(Schedule!$D$8))</f>
        <v>1.1040808032</v>
      </c>
      <c r="BT20" s="170">
        <f>(1+'10-Yr Cash Flow IRR'!$E$9)^(YEAR(BT7)-YEAR(Schedule!$D$8))</f>
        <v>1.1040808032</v>
      </c>
      <c r="BU20" s="170">
        <f>(1+'10-Yr Cash Flow IRR'!$E$9)^(YEAR(BU7)-YEAR(Schedule!$D$8))</f>
        <v>1.1040808032</v>
      </c>
      <c r="BV20" s="170">
        <f>(1+'10-Yr Cash Flow IRR'!$E$9)^(YEAR(BV7)-YEAR(Schedule!$D$8))</f>
        <v>1.1040808032</v>
      </c>
      <c r="BW20" s="170">
        <f>(1+'10-Yr Cash Flow IRR'!$E$9)^(YEAR(BW7)-YEAR(Schedule!$D$8))</f>
        <v>1.1040808032</v>
      </c>
      <c r="BX20" s="170">
        <f>(1+'10-Yr Cash Flow IRR'!$E$9)^(YEAR(BX7)-YEAR(Schedule!$D$8))</f>
        <v>1.1040808032</v>
      </c>
      <c r="BY20" s="170">
        <f>(1+'10-Yr Cash Flow IRR'!$E$9)^(YEAR(BY7)-YEAR(Schedule!$D$8))</f>
        <v>1.1040808032</v>
      </c>
      <c r="BZ20" s="170">
        <f>(1+'10-Yr Cash Flow IRR'!$E$9)^(YEAR(BZ7)-YEAR(Schedule!$D$8))</f>
        <v>1.1040808032</v>
      </c>
      <c r="CA20" s="170">
        <f>(1+'10-Yr Cash Flow IRR'!$E$9)^(YEAR(CA7)-YEAR(Schedule!$D$8))</f>
        <v>1.1040808032</v>
      </c>
      <c r="CB20" s="170">
        <f>(1+'10-Yr Cash Flow IRR'!$E$9)^(YEAR(CB7)-YEAR(Schedule!$D$8))</f>
        <v>1.1040808032</v>
      </c>
      <c r="CC20" s="170">
        <f>(1+'10-Yr Cash Flow IRR'!$E$9)^(YEAR(CC7)-YEAR(Schedule!$D$8))</f>
        <v>1.1261624192640001</v>
      </c>
      <c r="CD20" s="170">
        <f>(1+'10-Yr Cash Flow IRR'!$E$9)^(YEAR(CD7)-YEAR(Schedule!$D$8))</f>
        <v>1.1261624192640001</v>
      </c>
      <c r="CE20" s="170">
        <f>(1+'10-Yr Cash Flow IRR'!$E$9)^(YEAR(CE7)-YEAR(Schedule!$D$8))</f>
        <v>1.1261624192640001</v>
      </c>
      <c r="CF20" s="170">
        <f>(1+'10-Yr Cash Flow IRR'!$E$9)^(YEAR(CF7)-YEAR(Schedule!$D$8))</f>
        <v>1.1261624192640001</v>
      </c>
      <c r="CG20" s="170">
        <f>(1+'10-Yr Cash Flow IRR'!$E$9)^(YEAR(CG7)-YEAR(Schedule!$D$8))</f>
        <v>1.1261624192640001</v>
      </c>
      <c r="CH20" s="170">
        <f>(1+'10-Yr Cash Flow IRR'!$E$9)^(YEAR(CH7)-YEAR(Schedule!$D$8))</f>
        <v>1.1261624192640001</v>
      </c>
      <c r="CI20" s="170">
        <f>(1+'10-Yr Cash Flow IRR'!$E$9)^(YEAR(CI7)-YEAR(Schedule!$D$8))</f>
        <v>1.1261624192640001</v>
      </c>
      <c r="CJ20" s="170">
        <f>(1+'10-Yr Cash Flow IRR'!$E$9)^(YEAR(CJ7)-YEAR(Schedule!$D$8))</f>
        <v>1.1261624192640001</v>
      </c>
      <c r="CK20" s="170">
        <f>(1+'10-Yr Cash Flow IRR'!$E$9)^(YEAR(CK7)-YEAR(Schedule!$D$8))</f>
        <v>1.1261624192640001</v>
      </c>
      <c r="CL20" s="170">
        <f>(1+'10-Yr Cash Flow IRR'!$E$9)^(YEAR(CL7)-YEAR(Schedule!$D$8))</f>
        <v>1.1261624192640001</v>
      </c>
      <c r="CM20" s="170">
        <f>(1+'10-Yr Cash Flow IRR'!$E$9)^(YEAR(CM7)-YEAR(Schedule!$D$8))</f>
        <v>1.1261624192640001</v>
      </c>
      <c r="CN20" s="170">
        <f>(1+'10-Yr Cash Flow IRR'!$E$9)^(YEAR(CN7)-YEAR(Schedule!$D$8))</f>
        <v>1.1261624192640001</v>
      </c>
      <c r="CO20" s="170">
        <f>(1+'10-Yr Cash Flow IRR'!$E$9)^(YEAR(CO7)-YEAR(Schedule!$D$8))</f>
        <v>1.1486856676492798</v>
      </c>
      <c r="CP20" s="170">
        <f>(1+'10-Yr Cash Flow IRR'!$E$9)^(YEAR(CP7)-YEAR(Schedule!$D$8))</f>
        <v>1.1486856676492798</v>
      </c>
      <c r="CQ20" s="170">
        <f>(1+'10-Yr Cash Flow IRR'!$E$9)^(YEAR(CQ7)-YEAR(Schedule!$D$8))</f>
        <v>1.1486856676492798</v>
      </c>
      <c r="CR20" s="170">
        <f>(1+'10-Yr Cash Flow IRR'!$E$9)^(YEAR(CR7)-YEAR(Schedule!$D$8))</f>
        <v>1.1486856676492798</v>
      </c>
      <c r="CS20" s="170">
        <f>(1+'10-Yr Cash Flow IRR'!$E$9)^(YEAR(CS7)-YEAR(Schedule!$D$8))</f>
        <v>1.1486856676492798</v>
      </c>
      <c r="CT20" s="170">
        <f>(1+'10-Yr Cash Flow IRR'!$E$9)^(YEAR(CT7)-YEAR(Schedule!$D$8))</f>
        <v>1.1486856676492798</v>
      </c>
      <c r="CU20" s="170">
        <f>(1+'10-Yr Cash Flow IRR'!$E$9)^(YEAR(CU7)-YEAR(Schedule!$D$8))</f>
        <v>1.1486856676492798</v>
      </c>
      <c r="CV20" s="170">
        <f>(1+'10-Yr Cash Flow IRR'!$E$9)^(YEAR(CV7)-YEAR(Schedule!$D$8))</f>
        <v>1.1486856676492798</v>
      </c>
      <c r="CW20" s="170">
        <f>(1+'10-Yr Cash Flow IRR'!$E$9)^(YEAR(CW7)-YEAR(Schedule!$D$8))</f>
        <v>1.1486856676492798</v>
      </c>
      <c r="CX20" s="170">
        <f>(1+'10-Yr Cash Flow IRR'!$E$9)^(YEAR(CX7)-YEAR(Schedule!$D$8))</f>
        <v>1.1486856676492798</v>
      </c>
      <c r="CY20" s="170">
        <f>(1+'10-Yr Cash Flow IRR'!$E$9)^(YEAR(CY7)-YEAR(Schedule!$D$8))</f>
        <v>1.1486856676492798</v>
      </c>
      <c r="CZ20" s="170">
        <f>(1+'10-Yr Cash Flow IRR'!$E$9)^(YEAR(CZ7)-YEAR(Schedule!$D$8))</f>
        <v>1.1486856676492798</v>
      </c>
    </row>
    <row r="21" spans="2:104" s="43" customFormat="1" x14ac:dyDescent="0.35">
      <c r="B21" s="166" t="s">
        <v>203</v>
      </c>
      <c r="C21" s="167"/>
      <c r="D21" s="167"/>
      <c r="E21" s="167"/>
      <c r="F21" s="167"/>
      <c r="G21" s="168"/>
      <c r="H21" s="169"/>
      <c r="I21" s="170">
        <f>(1+'10-Yr Cash Flow IRR'!$E$10)^(YEAR(I7)-YEAR(Schedule!$D$8))</f>
        <v>1</v>
      </c>
      <c r="J21" s="170">
        <f>(1+'10-Yr Cash Flow IRR'!$E$9)^(YEAR(J7)-YEAR(Schedule!$D$8))</f>
        <v>1</v>
      </c>
      <c r="K21" s="170">
        <f>(1+'10-Yr Cash Flow IRR'!$E$9)^(YEAR(K7)-YEAR(Schedule!$D$8))</f>
        <v>1</v>
      </c>
      <c r="L21" s="170">
        <f>(1+'10-Yr Cash Flow IRR'!$E$9)^(YEAR(L7)-YEAR(Schedule!$D$8))</f>
        <v>1</v>
      </c>
      <c r="M21" s="170">
        <f>(1+'10-Yr Cash Flow IRR'!$E$9)^(YEAR(M7)-YEAR(Schedule!$D$8))</f>
        <v>1</v>
      </c>
      <c r="N21" s="170">
        <f>(1+'10-Yr Cash Flow IRR'!$E$9)^(YEAR(N7)-YEAR(Schedule!$D$8))</f>
        <v>1</v>
      </c>
      <c r="O21" s="170">
        <f>(1+'10-Yr Cash Flow IRR'!$E$9)^(YEAR(O7)-YEAR(Schedule!$D$8))</f>
        <v>1</v>
      </c>
      <c r="P21" s="170">
        <f>(1+'10-Yr Cash Flow IRR'!$E$9)^(YEAR(P7)-YEAR(Schedule!$D$8))</f>
        <v>1</v>
      </c>
      <c r="Q21" s="170">
        <f>(1+'10-Yr Cash Flow IRR'!$E$9)^(YEAR(Q7)-YEAR(Schedule!$D$8))</f>
        <v>1</v>
      </c>
      <c r="R21" s="170">
        <f>(1+'10-Yr Cash Flow IRR'!$E$9)^(YEAR(R7)-YEAR(Schedule!$D$8))</f>
        <v>1</v>
      </c>
      <c r="S21" s="170">
        <f>(1+'10-Yr Cash Flow IRR'!$E$9)^(YEAR(S7)-YEAR(Schedule!$D$8))</f>
        <v>1</v>
      </c>
      <c r="T21" s="170">
        <f>(1+'10-Yr Cash Flow IRR'!$E$9)^(YEAR(T7)-YEAR(Schedule!$D$8))</f>
        <v>1</v>
      </c>
      <c r="U21" s="170">
        <f>(1+'10-Yr Cash Flow IRR'!$E$9)^(YEAR(U7)-YEAR(Schedule!$D$8))</f>
        <v>1.02</v>
      </c>
      <c r="V21" s="170">
        <f>(1+'10-Yr Cash Flow IRR'!$E$9)^(YEAR(V7)-YEAR(Schedule!$D$8))</f>
        <v>1.02</v>
      </c>
      <c r="W21" s="170">
        <f>(1+'10-Yr Cash Flow IRR'!$E$9)^(YEAR(W7)-YEAR(Schedule!$D$8))</f>
        <v>1.02</v>
      </c>
      <c r="X21" s="170">
        <f>(1+'10-Yr Cash Flow IRR'!$E$9)^(YEAR(X7)-YEAR(Schedule!$D$8))</f>
        <v>1.02</v>
      </c>
      <c r="Y21" s="170">
        <f>(1+'10-Yr Cash Flow IRR'!$E$9)^(YEAR(Y7)-YEAR(Schedule!$D$8))</f>
        <v>1.02</v>
      </c>
      <c r="Z21" s="170">
        <f>(1+'10-Yr Cash Flow IRR'!$E$9)^(YEAR(Z7)-YEAR(Schedule!$D$8))</f>
        <v>1.02</v>
      </c>
      <c r="AA21" s="170">
        <f>(1+'10-Yr Cash Flow IRR'!$E$9)^(YEAR(AA7)-YEAR(Schedule!$D$8))</f>
        <v>1.02</v>
      </c>
      <c r="AB21" s="170">
        <f>(1+'10-Yr Cash Flow IRR'!$E$9)^(YEAR(AB7)-YEAR(Schedule!$D$8))</f>
        <v>1.02</v>
      </c>
      <c r="AC21" s="170">
        <f>(1+'10-Yr Cash Flow IRR'!$E$9)^(YEAR(AC7)-YEAR(Schedule!$D$8))</f>
        <v>1.02</v>
      </c>
      <c r="AD21" s="170">
        <f>(1+'10-Yr Cash Flow IRR'!$E$9)^(YEAR(AD7)-YEAR(Schedule!$D$8))</f>
        <v>1.02</v>
      </c>
      <c r="AE21" s="170">
        <f>(1+'10-Yr Cash Flow IRR'!$E$9)^(YEAR(AE7)-YEAR(Schedule!$D$8))</f>
        <v>1.02</v>
      </c>
      <c r="AF21" s="170">
        <f>(1+'10-Yr Cash Flow IRR'!$E$9)^(YEAR(AF7)-YEAR(Schedule!$D$8))</f>
        <v>1.02</v>
      </c>
      <c r="AG21" s="170">
        <f>(1+'10-Yr Cash Flow IRR'!$E$9)^(YEAR(AG7)-YEAR(Schedule!$D$8))</f>
        <v>1.0404</v>
      </c>
      <c r="AH21" s="170">
        <f>(1+'10-Yr Cash Flow IRR'!$E$9)^(YEAR(AH7)-YEAR(Schedule!$D$8))</f>
        <v>1.0404</v>
      </c>
      <c r="AI21" s="170">
        <f>(1+'10-Yr Cash Flow IRR'!$E$9)^(YEAR(AI7)-YEAR(Schedule!$D$8))</f>
        <v>1.0404</v>
      </c>
      <c r="AJ21" s="170">
        <f>(1+'10-Yr Cash Flow IRR'!$E$9)^(YEAR(AJ7)-YEAR(Schedule!$D$8))</f>
        <v>1.0404</v>
      </c>
      <c r="AK21" s="170">
        <f>(1+'10-Yr Cash Flow IRR'!$E$9)^(YEAR(AK7)-YEAR(Schedule!$D$8))</f>
        <v>1.0404</v>
      </c>
      <c r="AL21" s="170">
        <f>(1+'10-Yr Cash Flow IRR'!$E$9)^(YEAR(AL7)-YEAR(Schedule!$D$8))</f>
        <v>1.0404</v>
      </c>
      <c r="AM21" s="170">
        <f>(1+'10-Yr Cash Flow IRR'!$E$9)^(YEAR(AM7)-YEAR(Schedule!$D$8))</f>
        <v>1.0404</v>
      </c>
      <c r="AN21" s="170">
        <f>(1+'10-Yr Cash Flow IRR'!$E$9)^(YEAR(AN7)-YEAR(Schedule!$D$8))</f>
        <v>1.0404</v>
      </c>
      <c r="AO21" s="170">
        <f>(1+'10-Yr Cash Flow IRR'!$E$9)^(YEAR(AO7)-YEAR(Schedule!$D$8))</f>
        <v>1.0404</v>
      </c>
      <c r="AP21" s="170">
        <f>(1+'10-Yr Cash Flow IRR'!$E$9)^(YEAR(AP7)-YEAR(Schedule!$D$8))</f>
        <v>1.0404</v>
      </c>
      <c r="AQ21" s="170">
        <f>(1+'10-Yr Cash Flow IRR'!$E$9)^(YEAR(AQ7)-YEAR(Schedule!$D$8))</f>
        <v>1.0404</v>
      </c>
      <c r="AR21" s="170">
        <f>(1+'10-Yr Cash Flow IRR'!$E$9)^(YEAR(AR7)-YEAR(Schedule!$D$8))</f>
        <v>1.0404</v>
      </c>
      <c r="AS21" s="170">
        <f>(1+'10-Yr Cash Flow IRR'!$E$9)^(YEAR(AS7)-YEAR(Schedule!$D$8))</f>
        <v>1.0612079999999999</v>
      </c>
      <c r="AT21" s="170">
        <f>(1+'10-Yr Cash Flow IRR'!$E$9)^(YEAR(AT7)-YEAR(Schedule!$D$8))</f>
        <v>1.0612079999999999</v>
      </c>
      <c r="AU21" s="170">
        <f>(1+'10-Yr Cash Flow IRR'!$E$9)^(YEAR(AU7)-YEAR(Schedule!$D$8))</f>
        <v>1.0612079999999999</v>
      </c>
      <c r="AV21" s="170">
        <f>(1+'10-Yr Cash Flow IRR'!$E$9)^(YEAR(AV7)-YEAR(Schedule!$D$8))</f>
        <v>1.0612079999999999</v>
      </c>
      <c r="AW21" s="170">
        <f>(1+'10-Yr Cash Flow IRR'!$E$9)^(YEAR(AW7)-YEAR(Schedule!$D$8))</f>
        <v>1.0612079999999999</v>
      </c>
      <c r="AX21" s="170">
        <f>(1+'10-Yr Cash Flow IRR'!$E$9)^(YEAR(AX7)-YEAR(Schedule!$D$8))</f>
        <v>1.0612079999999999</v>
      </c>
      <c r="AY21" s="170">
        <f>(1+'10-Yr Cash Flow IRR'!$E$9)^(YEAR(AY7)-YEAR(Schedule!$D$8))</f>
        <v>1.0612079999999999</v>
      </c>
      <c r="AZ21" s="170">
        <f>(1+'10-Yr Cash Flow IRR'!$E$9)^(YEAR(AZ7)-YEAR(Schedule!$D$8))</f>
        <v>1.0612079999999999</v>
      </c>
      <c r="BA21" s="170">
        <f>(1+'10-Yr Cash Flow IRR'!$E$9)^(YEAR(BA7)-YEAR(Schedule!$D$8))</f>
        <v>1.0612079999999999</v>
      </c>
      <c r="BB21" s="170">
        <f>(1+'10-Yr Cash Flow IRR'!$E$9)^(YEAR(BB7)-YEAR(Schedule!$D$8))</f>
        <v>1.0612079999999999</v>
      </c>
      <c r="BC21" s="170">
        <f>(1+'10-Yr Cash Flow IRR'!$E$9)^(YEAR(BC7)-YEAR(Schedule!$D$8))</f>
        <v>1.0612079999999999</v>
      </c>
      <c r="BD21" s="170">
        <f>(1+'10-Yr Cash Flow IRR'!$E$9)^(YEAR(BD7)-YEAR(Schedule!$D$8))</f>
        <v>1.0612079999999999</v>
      </c>
      <c r="BE21" s="170">
        <f>(1+'10-Yr Cash Flow IRR'!$E$9)^(YEAR(BE7)-YEAR(Schedule!$D$8))</f>
        <v>1.08243216</v>
      </c>
      <c r="BF21" s="170">
        <f>(1+'10-Yr Cash Flow IRR'!$E$9)^(YEAR(BF7)-YEAR(Schedule!$D$8))</f>
        <v>1.08243216</v>
      </c>
      <c r="BG21" s="170">
        <f>(1+'10-Yr Cash Flow IRR'!$E$9)^(YEAR(BG7)-YEAR(Schedule!$D$8))</f>
        <v>1.08243216</v>
      </c>
      <c r="BH21" s="170">
        <f>(1+'10-Yr Cash Flow IRR'!$E$9)^(YEAR(BH7)-YEAR(Schedule!$D$8))</f>
        <v>1.08243216</v>
      </c>
      <c r="BI21" s="170">
        <f>(1+'10-Yr Cash Flow IRR'!$E$9)^(YEAR(BI7)-YEAR(Schedule!$D$8))</f>
        <v>1.08243216</v>
      </c>
      <c r="BJ21" s="170">
        <f>(1+'10-Yr Cash Flow IRR'!$E$9)^(YEAR(BJ7)-YEAR(Schedule!$D$8))</f>
        <v>1.08243216</v>
      </c>
      <c r="BK21" s="170">
        <f>(1+'10-Yr Cash Flow IRR'!$E$9)^(YEAR(BK7)-YEAR(Schedule!$D$8))</f>
        <v>1.08243216</v>
      </c>
      <c r="BL21" s="170">
        <f>(1+'10-Yr Cash Flow IRR'!$E$9)^(YEAR(BL7)-YEAR(Schedule!$D$8))</f>
        <v>1.08243216</v>
      </c>
      <c r="BM21" s="170">
        <f>(1+'10-Yr Cash Flow IRR'!$E$9)^(YEAR(BM7)-YEAR(Schedule!$D$8))</f>
        <v>1.08243216</v>
      </c>
      <c r="BN21" s="170">
        <f>(1+'10-Yr Cash Flow IRR'!$E$9)^(YEAR(BN7)-YEAR(Schedule!$D$8))</f>
        <v>1.08243216</v>
      </c>
      <c r="BO21" s="170">
        <f>(1+'10-Yr Cash Flow IRR'!$E$9)^(YEAR(BO7)-YEAR(Schedule!$D$8))</f>
        <v>1.08243216</v>
      </c>
      <c r="BP21" s="170">
        <f>(1+'10-Yr Cash Flow IRR'!$E$9)^(YEAR(BP7)-YEAR(Schedule!$D$8))</f>
        <v>1.08243216</v>
      </c>
      <c r="BQ21" s="170">
        <f>(1+'10-Yr Cash Flow IRR'!$E$9)^(YEAR(BQ7)-YEAR(Schedule!$D$8))</f>
        <v>1.1040808032</v>
      </c>
      <c r="BR21" s="170">
        <f>(1+'10-Yr Cash Flow IRR'!$E$9)^(YEAR(BR7)-YEAR(Schedule!$D$8))</f>
        <v>1.1040808032</v>
      </c>
      <c r="BS21" s="170">
        <f>(1+'10-Yr Cash Flow IRR'!$E$9)^(YEAR(BS7)-YEAR(Schedule!$D$8))</f>
        <v>1.1040808032</v>
      </c>
      <c r="BT21" s="170">
        <f>(1+'10-Yr Cash Flow IRR'!$E$9)^(YEAR(BT7)-YEAR(Schedule!$D$8))</f>
        <v>1.1040808032</v>
      </c>
      <c r="BU21" s="170">
        <f>(1+'10-Yr Cash Flow IRR'!$E$9)^(YEAR(BU7)-YEAR(Schedule!$D$8))</f>
        <v>1.1040808032</v>
      </c>
      <c r="BV21" s="170">
        <f>(1+'10-Yr Cash Flow IRR'!$E$9)^(YEAR(BV7)-YEAR(Schedule!$D$8))</f>
        <v>1.1040808032</v>
      </c>
      <c r="BW21" s="170">
        <f>(1+'10-Yr Cash Flow IRR'!$E$9)^(YEAR(BW7)-YEAR(Schedule!$D$8))</f>
        <v>1.1040808032</v>
      </c>
      <c r="BX21" s="170">
        <f>(1+'10-Yr Cash Flow IRR'!$E$9)^(YEAR(BX7)-YEAR(Schedule!$D$8))</f>
        <v>1.1040808032</v>
      </c>
      <c r="BY21" s="170">
        <f>(1+'10-Yr Cash Flow IRR'!$E$9)^(YEAR(BY7)-YEAR(Schedule!$D$8))</f>
        <v>1.1040808032</v>
      </c>
      <c r="BZ21" s="170">
        <f>(1+'10-Yr Cash Flow IRR'!$E$9)^(YEAR(BZ7)-YEAR(Schedule!$D$8))</f>
        <v>1.1040808032</v>
      </c>
      <c r="CA21" s="170">
        <f>(1+'10-Yr Cash Flow IRR'!$E$9)^(YEAR(CA7)-YEAR(Schedule!$D$8))</f>
        <v>1.1040808032</v>
      </c>
      <c r="CB21" s="170">
        <f>(1+'10-Yr Cash Flow IRR'!$E$9)^(YEAR(CB7)-YEAR(Schedule!$D$8))</f>
        <v>1.1040808032</v>
      </c>
      <c r="CC21" s="170">
        <f>(1+'10-Yr Cash Flow IRR'!$E$9)^(YEAR(CC7)-YEAR(Schedule!$D$8))</f>
        <v>1.1261624192640001</v>
      </c>
      <c r="CD21" s="170">
        <f>(1+'10-Yr Cash Flow IRR'!$E$9)^(YEAR(CD7)-YEAR(Schedule!$D$8))</f>
        <v>1.1261624192640001</v>
      </c>
      <c r="CE21" s="170">
        <f>(1+'10-Yr Cash Flow IRR'!$E$9)^(YEAR(CE7)-YEAR(Schedule!$D$8))</f>
        <v>1.1261624192640001</v>
      </c>
      <c r="CF21" s="170">
        <f>(1+'10-Yr Cash Flow IRR'!$E$9)^(YEAR(CF7)-YEAR(Schedule!$D$8))</f>
        <v>1.1261624192640001</v>
      </c>
      <c r="CG21" s="170">
        <f>(1+'10-Yr Cash Flow IRR'!$E$9)^(YEAR(CG7)-YEAR(Schedule!$D$8))</f>
        <v>1.1261624192640001</v>
      </c>
      <c r="CH21" s="170">
        <f>(1+'10-Yr Cash Flow IRR'!$E$9)^(YEAR(CH7)-YEAR(Schedule!$D$8))</f>
        <v>1.1261624192640001</v>
      </c>
      <c r="CI21" s="170">
        <f>(1+'10-Yr Cash Flow IRR'!$E$9)^(YEAR(CI7)-YEAR(Schedule!$D$8))</f>
        <v>1.1261624192640001</v>
      </c>
      <c r="CJ21" s="170">
        <f>(1+'10-Yr Cash Flow IRR'!$E$9)^(YEAR(CJ7)-YEAR(Schedule!$D$8))</f>
        <v>1.1261624192640001</v>
      </c>
      <c r="CK21" s="170">
        <f>(1+'10-Yr Cash Flow IRR'!$E$9)^(YEAR(CK7)-YEAR(Schedule!$D$8))</f>
        <v>1.1261624192640001</v>
      </c>
      <c r="CL21" s="170">
        <f>(1+'10-Yr Cash Flow IRR'!$E$9)^(YEAR(CL7)-YEAR(Schedule!$D$8))</f>
        <v>1.1261624192640001</v>
      </c>
      <c r="CM21" s="170">
        <f>(1+'10-Yr Cash Flow IRR'!$E$9)^(YEAR(CM7)-YEAR(Schedule!$D$8))</f>
        <v>1.1261624192640001</v>
      </c>
      <c r="CN21" s="170">
        <f>(1+'10-Yr Cash Flow IRR'!$E$9)^(YEAR(CN7)-YEAR(Schedule!$D$8))</f>
        <v>1.1261624192640001</v>
      </c>
      <c r="CO21" s="170">
        <f>(1+'10-Yr Cash Flow IRR'!$E$9)^(YEAR(CO7)-YEAR(Schedule!$D$8))</f>
        <v>1.1486856676492798</v>
      </c>
      <c r="CP21" s="170">
        <f>(1+'10-Yr Cash Flow IRR'!$E$9)^(YEAR(CP7)-YEAR(Schedule!$D$8))</f>
        <v>1.1486856676492798</v>
      </c>
      <c r="CQ21" s="170">
        <f>(1+'10-Yr Cash Flow IRR'!$E$9)^(YEAR(CQ7)-YEAR(Schedule!$D$8))</f>
        <v>1.1486856676492798</v>
      </c>
      <c r="CR21" s="170">
        <f>(1+'10-Yr Cash Flow IRR'!$E$9)^(YEAR(CR7)-YEAR(Schedule!$D$8))</f>
        <v>1.1486856676492798</v>
      </c>
      <c r="CS21" s="170">
        <f>(1+'10-Yr Cash Flow IRR'!$E$9)^(YEAR(CS7)-YEAR(Schedule!$D$8))</f>
        <v>1.1486856676492798</v>
      </c>
      <c r="CT21" s="170">
        <f>(1+'10-Yr Cash Flow IRR'!$E$9)^(YEAR(CT7)-YEAR(Schedule!$D$8))</f>
        <v>1.1486856676492798</v>
      </c>
      <c r="CU21" s="170">
        <f>(1+'10-Yr Cash Flow IRR'!$E$9)^(YEAR(CU7)-YEAR(Schedule!$D$8))</f>
        <v>1.1486856676492798</v>
      </c>
      <c r="CV21" s="170">
        <f>(1+'10-Yr Cash Flow IRR'!$E$9)^(YEAR(CV7)-YEAR(Schedule!$D$8))</f>
        <v>1.1486856676492798</v>
      </c>
      <c r="CW21" s="170">
        <f>(1+'10-Yr Cash Flow IRR'!$E$9)^(YEAR(CW7)-YEAR(Schedule!$D$8))</f>
        <v>1.1486856676492798</v>
      </c>
      <c r="CX21" s="170">
        <f>(1+'10-Yr Cash Flow IRR'!$E$9)^(YEAR(CX7)-YEAR(Schedule!$D$8))</f>
        <v>1.1486856676492798</v>
      </c>
      <c r="CY21" s="170">
        <f>(1+'10-Yr Cash Flow IRR'!$E$9)^(YEAR(CY7)-YEAR(Schedule!$D$8))</f>
        <v>1.1486856676492798</v>
      </c>
      <c r="CZ21" s="170">
        <f>(1+'10-Yr Cash Flow IRR'!$E$9)^(YEAR(CZ7)-YEAR(Schedule!$D$8))</f>
        <v>1.1486856676492798</v>
      </c>
    </row>
    <row r="22" spans="2:104" s="43" customFormat="1" x14ac:dyDescent="0.35">
      <c r="B22" s="453" t="s">
        <v>361</v>
      </c>
      <c r="C22" s="454">
        <f>-'Development Costs'!H83</f>
        <v>252757.00542857146</v>
      </c>
      <c r="D22" s="455"/>
      <c r="E22" s="454">
        <f t="shared" ref="E22:E25" si="16">SUM(I22:CZ22)</f>
        <v>252757.00542857146</v>
      </c>
      <c r="F22" s="443"/>
      <c r="G22" s="444"/>
      <c r="H22" s="445"/>
      <c r="I22" s="446">
        <f>+'Operating Revenue and Expenses'!$I$27/'Operating Revenue and Expenses'!$F$19/12*I12*I20</f>
        <v>0</v>
      </c>
      <c r="J22" s="446">
        <f>+'Operating Revenue and Expenses'!$I$27/'Operating Revenue and Expenses'!$F$19/12*J12*J20</f>
        <v>0</v>
      </c>
      <c r="K22" s="446">
        <f>+'Operating Revenue and Expenses'!$I$27/'Operating Revenue and Expenses'!$F$19/12*K12*K20</f>
        <v>0</v>
      </c>
      <c r="L22" s="446">
        <f>+'Operating Revenue and Expenses'!$I$27/'Operating Revenue and Expenses'!$F$19/12*L12*L20</f>
        <v>0</v>
      </c>
      <c r="M22" s="446">
        <f>+'Operating Revenue and Expenses'!$I$27/'Operating Revenue and Expenses'!$F$19/12*M12*M20</f>
        <v>0</v>
      </c>
      <c r="N22" s="446">
        <f>+'Operating Revenue and Expenses'!$I$27/'Operating Revenue and Expenses'!$F$19/12*N12*N20</f>
        <v>0</v>
      </c>
      <c r="O22" s="446">
        <f>+'Operating Revenue and Expenses'!$I$27/'Operating Revenue and Expenses'!$F$19/12*O12*O20</f>
        <v>0</v>
      </c>
      <c r="P22" s="446">
        <f>+'Operating Revenue and Expenses'!$I$27/'Operating Revenue and Expenses'!$F$19/12*P12*P20</f>
        <v>0</v>
      </c>
      <c r="Q22" s="446">
        <f>+'Operating Revenue and Expenses'!$I$27/'Operating Revenue and Expenses'!$F$19/12*Q12*Q20</f>
        <v>0</v>
      </c>
      <c r="R22" s="446">
        <f>+'Operating Revenue and Expenses'!$I$27/'Operating Revenue and Expenses'!$F$19/12*R12*R20</f>
        <v>0</v>
      </c>
      <c r="S22" s="446">
        <f>+'Operating Revenue and Expenses'!$I$27/'Operating Revenue and Expenses'!$F$19/12*S12*S20</f>
        <v>0</v>
      </c>
      <c r="T22" s="446">
        <f>+'Operating Revenue and Expenses'!$I$27/'Operating Revenue and Expenses'!$F$19/12*T12*T20</f>
        <v>0</v>
      </c>
      <c r="U22" s="446">
        <f>+'Operating Revenue and Expenses'!$I$27/'Operating Revenue and Expenses'!$F$19/12*U12*U20</f>
        <v>0</v>
      </c>
      <c r="V22" s="446">
        <f>+'Operating Revenue and Expenses'!$I$27/'Operating Revenue and Expenses'!$F$19/12*V12*V20</f>
        <v>0</v>
      </c>
      <c r="W22" s="446">
        <f>+'Operating Revenue and Expenses'!$I$27/'Operating Revenue and Expenses'!$F$19/12*W12*W20</f>
        <v>0</v>
      </c>
      <c r="X22" s="446">
        <f>+'Operating Revenue and Expenses'!$I$27/'Operating Revenue and Expenses'!$F$19/12*X12*X20</f>
        <v>0</v>
      </c>
      <c r="Y22" s="446">
        <f>+'Operating Revenue and Expenses'!$I$27/'Operating Revenue and Expenses'!$F$19/12*Y12*Y20</f>
        <v>0</v>
      </c>
      <c r="Z22" s="446">
        <f>+'Operating Revenue and Expenses'!$I$27/'Operating Revenue and Expenses'!$F$19/12*Z12*Z20</f>
        <v>0</v>
      </c>
      <c r="AA22" s="446">
        <f>+'Operating Revenue and Expenses'!$I$27/'Operating Revenue and Expenses'!$F$19/12*AA12*AA20</f>
        <v>0</v>
      </c>
      <c r="AB22" s="446">
        <f>+'Operating Revenue and Expenses'!$I$27/'Operating Revenue and Expenses'!$F$19/12*AB12*AB20</f>
        <v>0</v>
      </c>
      <c r="AC22" s="446">
        <f>+'Operating Revenue and Expenses'!$I$27/'Operating Revenue and Expenses'!$F$19/12*AC12*AC20</f>
        <v>0</v>
      </c>
      <c r="AD22" s="446">
        <f>+'Operating Revenue and Expenses'!$I$27/'Operating Revenue and Expenses'!$F$19/12*AD12*AD20</f>
        <v>0</v>
      </c>
      <c r="AE22" s="446">
        <f>+'Operating Revenue and Expenses'!$I$27/'Operating Revenue and Expenses'!$F$19/12*AE12*AE20</f>
        <v>0</v>
      </c>
      <c r="AF22" s="446">
        <f>+'Operating Revenue and Expenses'!$I$27/'Operating Revenue and Expenses'!$F$19/12*AF12*AF20</f>
        <v>0</v>
      </c>
      <c r="AG22" s="446">
        <f>+'Operating Revenue and Expenses'!$I$27/'Operating Revenue and Expenses'!$F$19/12*AG12*AG20</f>
        <v>0</v>
      </c>
      <c r="AH22" s="446">
        <f>+'Operating Revenue and Expenses'!$I$27/'Operating Revenue and Expenses'!$F$19/12*AH12*AH20</f>
        <v>0</v>
      </c>
      <c r="AI22" s="446">
        <f>+'Operating Revenue and Expenses'!$I$27/'Operating Revenue and Expenses'!$F$19/12*AI12*AI20</f>
        <v>0</v>
      </c>
      <c r="AJ22" s="446">
        <f>+'Operating Revenue and Expenses'!$I$27/'Operating Revenue and Expenses'!$F$19/12*AJ12*AJ20</f>
        <v>0</v>
      </c>
      <c r="AK22" s="446">
        <f>+'Operating Revenue and Expenses'!$I$27/'Operating Revenue and Expenses'!$F$19/12*AK12*AK20</f>
        <v>0</v>
      </c>
      <c r="AL22" s="446">
        <f>+'Operating Revenue and Expenses'!$I$27/'Operating Revenue and Expenses'!$F$19/12*AL12*AL20</f>
        <v>0</v>
      </c>
      <c r="AM22" s="446">
        <f>+'Operating Revenue and Expenses'!$I$27/'Operating Revenue and Expenses'!$F$19/12*AM12*AM20</f>
        <v>36005.271428571432</v>
      </c>
      <c r="AN22" s="446">
        <f>+'Operating Revenue and Expenses'!$I$27/'Operating Revenue and Expenses'!$F$19/12*AN12*AN20</f>
        <v>36005.271428571432</v>
      </c>
      <c r="AO22" s="446">
        <f>+'Operating Revenue and Expenses'!$I$27/'Operating Revenue and Expenses'!$F$19/12*AO12*AO20</f>
        <v>36005.271428571432</v>
      </c>
      <c r="AP22" s="446">
        <f>+'Operating Revenue and Expenses'!$I$27/'Operating Revenue and Expenses'!$F$19/12*AP12*AP20</f>
        <v>36005.271428571432</v>
      </c>
      <c r="AQ22" s="446">
        <f>+'Operating Revenue and Expenses'!$I$27/'Operating Revenue and Expenses'!$F$19/12*AQ12*AQ20</f>
        <v>36005.271428571432</v>
      </c>
      <c r="AR22" s="446">
        <f>+'Operating Revenue and Expenses'!$I$27/'Operating Revenue and Expenses'!$F$19/12*AR12*AR20</f>
        <v>36005.271428571432</v>
      </c>
      <c r="AS22" s="446">
        <f>+'Operating Revenue and Expenses'!$I$27/'Operating Revenue and Expenses'!$F$19/12*AS12*AS20</f>
        <v>36725.376857142859</v>
      </c>
      <c r="AT22" s="446">
        <f>+'Operating Revenue and Expenses'!$I$27/'Operating Revenue and Expenses'!$F$19/12*AT12*AT20</f>
        <v>0</v>
      </c>
      <c r="AU22" s="446">
        <f>+'Operating Revenue and Expenses'!$I$27/'Operating Revenue and Expenses'!$F$19/12*AU12*AU20</f>
        <v>0</v>
      </c>
      <c r="AV22" s="446">
        <f>+'Operating Revenue and Expenses'!$I$27/'Operating Revenue and Expenses'!$F$19/12*AV12*AV20</f>
        <v>0</v>
      </c>
      <c r="AW22" s="446">
        <f>+'Operating Revenue and Expenses'!$I$27/'Operating Revenue and Expenses'!$F$19/12*AW12*AW20</f>
        <v>0</v>
      </c>
      <c r="AX22" s="446">
        <f>+'Operating Revenue and Expenses'!$I$27/'Operating Revenue and Expenses'!$F$19/12*AX12*AX20</f>
        <v>0</v>
      </c>
      <c r="AY22" s="446">
        <f>+'Operating Revenue and Expenses'!$I$27/'Operating Revenue and Expenses'!$F$19/12*AY12*AY20</f>
        <v>0</v>
      </c>
      <c r="AZ22" s="446">
        <f>+'Operating Revenue and Expenses'!$I$27/'Operating Revenue and Expenses'!$F$19/12*AZ12*AZ20</f>
        <v>0</v>
      </c>
      <c r="BA22" s="446">
        <f>+'Operating Revenue and Expenses'!$I$27/'Operating Revenue and Expenses'!$F$19/12*BA12*BA20</f>
        <v>0</v>
      </c>
      <c r="BB22" s="446">
        <f>+'Operating Revenue and Expenses'!$I$27/'Operating Revenue and Expenses'!$F$19/12*BB12*BB20</f>
        <v>0</v>
      </c>
      <c r="BC22" s="446">
        <f>+'Operating Revenue and Expenses'!$I$27/'Operating Revenue and Expenses'!$F$19/12*BC12*BC20</f>
        <v>0</v>
      </c>
      <c r="BD22" s="446">
        <f>+'Operating Revenue and Expenses'!$I$27/'Operating Revenue and Expenses'!$F$19/12*BD12*BD20</f>
        <v>0</v>
      </c>
      <c r="BE22" s="446">
        <f>+'Operating Revenue and Expenses'!$I$27/'Operating Revenue and Expenses'!$F$19/12*BE12*BE20</f>
        <v>0</v>
      </c>
      <c r="BF22" s="446">
        <f>+'Operating Revenue and Expenses'!$I$27/'Operating Revenue and Expenses'!$F$19/12*BF12*BF20</f>
        <v>0</v>
      </c>
      <c r="BG22" s="446">
        <f>+'Operating Revenue and Expenses'!$I$27/'Operating Revenue and Expenses'!$F$19/12*BG12*BG20</f>
        <v>0</v>
      </c>
      <c r="BH22" s="446">
        <f>+'Operating Revenue and Expenses'!$I$27/'Operating Revenue and Expenses'!$F$19/12*BH12*BH20</f>
        <v>0</v>
      </c>
      <c r="BI22" s="446">
        <f>+'Operating Revenue and Expenses'!$I$27/'Operating Revenue and Expenses'!$F$19/12*BI12*BI20</f>
        <v>0</v>
      </c>
      <c r="BJ22" s="446">
        <f>+'Operating Revenue and Expenses'!$I$27/'Operating Revenue and Expenses'!$F$19/12*BJ12*BJ20</f>
        <v>0</v>
      </c>
      <c r="BK22" s="446">
        <f>+'Operating Revenue and Expenses'!$I$27/'Operating Revenue and Expenses'!$F$19/12*BK12*BK20</f>
        <v>0</v>
      </c>
      <c r="BL22" s="446">
        <f>+'Operating Revenue and Expenses'!$I$27/'Operating Revenue and Expenses'!$F$19/12*BL12*BL20</f>
        <v>0</v>
      </c>
      <c r="BM22" s="446">
        <f>+'Operating Revenue and Expenses'!$I$27/'Operating Revenue and Expenses'!$F$19/12*BM12*BM20</f>
        <v>0</v>
      </c>
      <c r="BN22" s="446">
        <f>+'Operating Revenue and Expenses'!$I$27/'Operating Revenue and Expenses'!$F$19/12*BN12*BN20</f>
        <v>0</v>
      </c>
      <c r="BO22" s="446">
        <f>+'Operating Revenue and Expenses'!$I$27/'Operating Revenue and Expenses'!$F$19/12*BO12*BO20</f>
        <v>0</v>
      </c>
      <c r="BP22" s="446">
        <f>+'Operating Revenue and Expenses'!$I$27/'Operating Revenue and Expenses'!$F$19/12*BP12*BP20</f>
        <v>0</v>
      </c>
      <c r="BQ22" s="446">
        <f>+'Operating Revenue and Expenses'!$I$27/'Operating Revenue and Expenses'!$F$19/12*BQ12*BQ20</f>
        <v>0</v>
      </c>
      <c r="BR22" s="446">
        <f>+'Operating Revenue and Expenses'!$I$27/'Operating Revenue and Expenses'!$F$19/12*BR12*BR20</f>
        <v>0</v>
      </c>
      <c r="BS22" s="446">
        <f>+'Operating Revenue and Expenses'!$I$27/'Operating Revenue and Expenses'!$F$19/12*BS12*BS20</f>
        <v>0</v>
      </c>
      <c r="BT22" s="446">
        <f>+'Operating Revenue and Expenses'!$I$27/'Operating Revenue and Expenses'!$F$19/12*BT12*BT20</f>
        <v>0</v>
      </c>
      <c r="BU22" s="446">
        <f>+'Operating Revenue and Expenses'!$I$27/'Operating Revenue and Expenses'!$F$19/12*BU12*BU20</f>
        <v>0</v>
      </c>
      <c r="BV22" s="446">
        <f>+'Operating Revenue and Expenses'!$I$27/'Operating Revenue and Expenses'!$F$19/12*BV12*BV20</f>
        <v>0</v>
      </c>
      <c r="BW22" s="446">
        <f>+'Operating Revenue and Expenses'!$I$27/'Operating Revenue and Expenses'!$F$19/12*BW12*BW20</f>
        <v>0</v>
      </c>
      <c r="BX22" s="446">
        <f>+'Operating Revenue and Expenses'!$I$27/'Operating Revenue and Expenses'!$F$19/12*BX12*BX20</f>
        <v>0</v>
      </c>
      <c r="BY22" s="446">
        <f>+'Operating Revenue and Expenses'!$I$27/'Operating Revenue and Expenses'!$F$19/12*BY12*BY20</f>
        <v>0</v>
      </c>
      <c r="BZ22" s="446">
        <f>+'Operating Revenue and Expenses'!$I$27/'Operating Revenue and Expenses'!$F$19/12*BZ12*BZ20</f>
        <v>0</v>
      </c>
      <c r="CA22" s="446">
        <f>+'Operating Revenue and Expenses'!$I$27/'Operating Revenue and Expenses'!$F$19/12*CA12*CA20</f>
        <v>0</v>
      </c>
      <c r="CB22" s="446">
        <f>+'Operating Revenue and Expenses'!$I$27/'Operating Revenue and Expenses'!$F$19/12*CB12*CB20</f>
        <v>0</v>
      </c>
      <c r="CC22" s="446">
        <f>+'Operating Revenue and Expenses'!$I$27/'Operating Revenue and Expenses'!$F$19/12*CC12*CC20</f>
        <v>0</v>
      </c>
      <c r="CD22" s="446">
        <f>+'Operating Revenue and Expenses'!$I$27/'Operating Revenue and Expenses'!$F$19/12*CD12*CD20</f>
        <v>0</v>
      </c>
      <c r="CE22" s="446">
        <f>+'Operating Revenue and Expenses'!$I$27/'Operating Revenue and Expenses'!$F$19/12*CE12*CE20</f>
        <v>0</v>
      </c>
      <c r="CF22" s="446">
        <f>+'Operating Revenue and Expenses'!$I$27/'Operating Revenue and Expenses'!$F$19/12*CF12*CF20</f>
        <v>0</v>
      </c>
      <c r="CG22" s="446">
        <f>+'Operating Revenue and Expenses'!$I$27/'Operating Revenue and Expenses'!$F$19/12*CG12*CG20</f>
        <v>0</v>
      </c>
      <c r="CH22" s="446">
        <f>+'Operating Revenue and Expenses'!$I$27/'Operating Revenue and Expenses'!$F$19/12*CH12*CH20</f>
        <v>0</v>
      </c>
      <c r="CI22" s="446">
        <f>+'Operating Revenue and Expenses'!$I$27/'Operating Revenue and Expenses'!$F$19/12*CI12*CI20</f>
        <v>0</v>
      </c>
      <c r="CJ22" s="446">
        <f>+'Operating Revenue and Expenses'!$I$27/'Operating Revenue and Expenses'!$F$19/12*CJ12*CJ20</f>
        <v>0</v>
      </c>
      <c r="CK22" s="446">
        <f>+'Operating Revenue and Expenses'!$I$27/'Operating Revenue and Expenses'!$F$19/12*CK12*CK20</f>
        <v>0</v>
      </c>
      <c r="CL22" s="446">
        <f>+'Operating Revenue and Expenses'!$I$27/'Operating Revenue and Expenses'!$F$19/12*CL12*CL20</f>
        <v>0</v>
      </c>
      <c r="CM22" s="446">
        <f>+'Operating Revenue and Expenses'!$I$27/'Operating Revenue and Expenses'!$F$19/12*CM12*CM20</f>
        <v>0</v>
      </c>
      <c r="CN22" s="446">
        <f>+'Operating Revenue and Expenses'!$I$27/'Operating Revenue and Expenses'!$F$19/12*CN12*CN20</f>
        <v>0</v>
      </c>
      <c r="CO22" s="446">
        <f>+'Operating Revenue and Expenses'!$I$27/'Operating Revenue and Expenses'!$F$19/12*CO12*CO20</f>
        <v>0</v>
      </c>
      <c r="CP22" s="446">
        <f>+'Operating Revenue and Expenses'!$I$27/'Operating Revenue and Expenses'!$F$19/12*CP12*CP20</f>
        <v>0</v>
      </c>
      <c r="CQ22" s="446">
        <f>+'Operating Revenue and Expenses'!$I$27/'Operating Revenue and Expenses'!$F$19/12*CQ12*CQ20</f>
        <v>0</v>
      </c>
      <c r="CR22" s="446">
        <f>+'Operating Revenue and Expenses'!$I$27/'Operating Revenue and Expenses'!$F$19/12*CR12*CR20</f>
        <v>0</v>
      </c>
      <c r="CS22" s="446">
        <f>+'Operating Revenue and Expenses'!$I$27/'Operating Revenue and Expenses'!$F$19/12*CS12*CS20</f>
        <v>0</v>
      </c>
      <c r="CT22" s="446">
        <f>+'Operating Revenue and Expenses'!$I$27/'Operating Revenue and Expenses'!$F$19/12*CT12*CT20</f>
        <v>0</v>
      </c>
      <c r="CU22" s="446">
        <f>+'Operating Revenue and Expenses'!$I$27/'Operating Revenue and Expenses'!$F$19/12*CU12*CU20</f>
        <v>0</v>
      </c>
      <c r="CV22" s="446">
        <f>+'Operating Revenue and Expenses'!$I$27/'Operating Revenue and Expenses'!$F$19/12*CV12*CV20</f>
        <v>0</v>
      </c>
      <c r="CW22" s="446">
        <f>+'Operating Revenue and Expenses'!$I$27/'Operating Revenue and Expenses'!$F$19/12*CW12*CW20</f>
        <v>0</v>
      </c>
      <c r="CX22" s="446">
        <f>+'Operating Revenue and Expenses'!$I$27/'Operating Revenue and Expenses'!$F$19/12*CX12*CX20</f>
        <v>0</v>
      </c>
      <c r="CY22" s="446">
        <f>+'Operating Revenue and Expenses'!$I$27/'Operating Revenue and Expenses'!$F$19/12*CY12*CY20</f>
        <v>0</v>
      </c>
      <c r="CZ22" s="447">
        <f>+'Operating Revenue and Expenses'!$I$27/'Operating Revenue and Expenses'!$F$19/12*CZ12*CZ20</f>
        <v>0</v>
      </c>
    </row>
    <row r="23" spans="2:104" x14ac:dyDescent="0.35">
      <c r="B23" s="131" t="s">
        <v>48</v>
      </c>
      <c r="C23" s="130">
        <f>-'Development Costs'!H84</f>
        <v>1162250.1617142858</v>
      </c>
      <c r="D23" s="130">
        <f>ROUND(C23-E23,0)</f>
        <v>0</v>
      </c>
      <c r="E23" s="130">
        <f t="shared" si="16"/>
        <v>1162250.1617142858</v>
      </c>
      <c r="H23" s="139"/>
      <c r="I23" s="130">
        <f>IF(I111="PUD",'Operating Revenue and Expenses'!$I$27/12*I$17*I$20,0)</f>
        <v>0</v>
      </c>
      <c r="J23" s="130">
        <f>IF(J111="PUD",'Operating Revenue and Expenses'!$I$27/12*J$17*J$20,0)</f>
        <v>0</v>
      </c>
      <c r="K23" s="130">
        <f>IF(K111="PUD",'Operating Revenue and Expenses'!$I$27/12*K$17*K$20,0)</f>
        <v>0</v>
      </c>
      <c r="L23" s="130">
        <f>IF(L111="PUD",'Operating Revenue and Expenses'!$I$27/12*L$17*L$20,0)</f>
        <v>0</v>
      </c>
      <c r="M23" s="130">
        <f>IF(M111="PUD",'Operating Revenue and Expenses'!$I$27/12*M$17*M$20,0)</f>
        <v>0</v>
      </c>
      <c r="N23" s="130">
        <f>IF(N111="PUD",'Operating Revenue and Expenses'!$I$27/12*N$17*N$20,0)</f>
        <v>0</v>
      </c>
      <c r="O23" s="130">
        <f>IF(O111="PUD",'Operating Revenue and Expenses'!$I$27/12*O$17*O$20,0)</f>
        <v>0</v>
      </c>
      <c r="P23" s="130">
        <f>IF(P111="PUD",'Operating Revenue and Expenses'!$I$27/12*P$17*P$20,0)</f>
        <v>0</v>
      </c>
      <c r="Q23" s="130">
        <f>IF(Q111="PUD",'Operating Revenue and Expenses'!$I$27/12*Q$17*Q$20,0)</f>
        <v>0</v>
      </c>
      <c r="R23" s="130">
        <f>IF(R111="PUD",'Operating Revenue and Expenses'!$I$27/12*R$17*R$20,0)</f>
        <v>0</v>
      </c>
      <c r="S23" s="130">
        <f>IF(S111="PUD",'Operating Revenue and Expenses'!$I$27/12*S$17*S$20,0)</f>
        <v>0</v>
      </c>
      <c r="T23" s="130">
        <f>IF(T111="PUD",'Operating Revenue and Expenses'!$I$27/12*T$17*T$20,0)</f>
        <v>0</v>
      </c>
      <c r="U23" s="130">
        <f>IF(U111="PUD",'Operating Revenue and Expenses'!$I$27/12*U$17*U$20,0)</f>
        <v>0</v>
      </c>
      <c r="V23" s="130">
        <f>IF(V111="PUD",'Operating Revenue and Expenses'!$I$27/12*V$17*V$20,0)</f>
        <v>0</v>
      </c>
      <c r="W23" s="130">
        <f>IF(W111="PUD",'Operating Revenue and Expenses'!$I$27/12*W$17*W$20,0)</f>
        <v>0</v>
      </c>
      <c r="X23" s="130">
        <f>IF(X111="PUD",'Operating Revenue and Expenses'!$I$27/12*X$17*X$20,0)</f>
        <v>0</v>
      </c>
      <c r="Y23" s="130">
        <f>IF(Y111="PUD",'Operating Revenue and Expenses'!$I$27/12*Y$17*Y$20,0)</f>
        <v>0</v>
      </c>
      <c r="Z23" s="130">
        <f>IF(Z111="PUD",'Operating Revenue and Expenses'!$I$27/12*Z$17*Z$20,0)</f>
        <v>0</v>
      </c>
      <c r="AA23" s="130">
        <f>IF(AA111="PUD",'Operating Revenue and Expenses'!$I$27/12*AA$17*AA$20,0)</f>
        <v>0</v>
      </c>
      <c r="AB23" s="130">
        <f>IF(AB111="PUD",'Operating Revenue and Expenses'!$I$27/12*AB$17*AB$20,0)</f>
        <v>0</v>
      </c>
      <c r="AC23" s="130">
        <f>IF(AC111="PUD",'Operating Revenue and Expenses'!$I$27/12*AC$17*AC$20,0)</f>
        <v>0</v>
      </c>
      <c r="AD23" s="130">
        <f>IF(AD111="PUD",'Operating Revenue and Expenses'!$I$27/12*AD$17*AD$20,0)</f>
        <v>0</v>
      </c>
      <c r="AE23" s="130">
        <f>IF(AE111="PUD",'Operating Revenue and Expenses'!$I$27/12*AE$17*AE$20,0)</f>
        <v>0</v>
      </c>
      <c r="AF23" s="130">
        <f>IF(AF111="PUD",'Operating Revenue and Expenses'!$I$27/12*AF$17*AF$20,0)</f>
        <v>0</v>
      </c>
      <c r="AG23" s="130">
        <f>IF(AG111="PUD",'Operating Revenue and Expenses'!$I$27/12*AG$17*AG$20,0)</f>
        <v>0</v>
      </c>
      <c r="AH23" s="130">
        <f>IF(AH111="PUD",'Operating Revenue and Expenses'!$I$27/12*AH$17*AH$20,0)</f>
        <v>0</v>
      </c>
      <c r="AI23" s="130">
        <f>IF(AI111="PUD",'Operating Revenue and Expenses'!$I$27/12*AI$17*AI$20,0)</f>
        <v>0</v>
      </c>
      <c r="AJ23" s="130">
        <f>IF(AJ111="PUD",'Operating Revenue and Expenses'!$I$27/12*AJ$17*AJ$20,0)</f>
        <v>0</v>
      </c>
      <c r="AK23" s="130">
        <f>IF(AK111="PUD",'Operating Revenue and Expenses'!$I$27/12*AK$17*AK$20,0)</f>
        <v>0</v>
      </c>
      <c r="AL23" s="130">
        <f>IF(AL111="PUD",'Operating Revenue and Expenses'!$I$27/12*AL$17*AL$20,0)</f>
        <v>0</v>
      </c>
      <c r="AM23" s="130">
        <f>IF(AM111="PUD",'Operating Revenue and Expenses'!$I$27/12*AM$17*AM$20,0)</f>
        <v>0</v>
      </c>
      <c r="AN23" s="130">
        <f>IF(AN111="PUD",'Operating Revenue and Expenses'!$I$27/12*AN$17*AN$20,0)</f>
        <v>0</v>
      </c>
      <c r="AO23" s="130">
        <f>IF(AO111="PUD",'Operating Revenue and Expenses'!$I$27/12*AO$17*AO$20,0)</f>
        <v>108015.8142857143</v>
      </c>
      <c r="AP23" s="130">
        <f>IF(AP111="PUD",'Operating Revenue and Expenses'!$I$27/12*AP$17*AP$20,0)</f>
        <v>144021.08571428573</v>
      </c>
      <c r="AQ23" s="130">
        <f>IF(AQ111="PUD",'Operating Revenue and Expenses'!$I$27/12*AQ$17*AQ$20,0)</f>
        <v>180026.35714285716</v>
      </c>
      <c r="AR23" s="130">
        <f>IF(AR111="PUD",'Operating Revenue and Expenses'!$I$27/12*AR$17*AR$20,0)</f>
        <v>216031.62857142859</v>
      </c>
      <c r="AS23" s="130">
        <f>IF(AS111="PUD",'Operating Revenue and Expenses'!$I$27/12*AS$17*AS$20,0)</f>
        <v>257077.63799999998</v>
      </c>
      <c r="AT23" s="130">
        <f>IF(AT111="PUD",'Operating Revenue and Expenses'!$I$27/12*AT$17*AT$20,0)</f>
        <v>257077.63799999998</v>
      </c>
      <c r="AU23" s="130">
        <f>IF(AU111="PUD",'Operating Revenue and Expenses'!$I$27/12*AU$17*AU$20,0)</f>
        <v>0</v>
      </c>
      <c r="AV23" s="130">
        <f>IF(AV111="PUD",'Operating Revenue and Expenses'!$I$27/12*AV$17*AV$20,0)</f>
        <v>0</v>
      </c>
      <c r="AW23" s="130">
        <f>IF(AW111="PUD",'Operating Revenue and Expenses'!$I$27/12*AW$17*AW$20,0)</f>
        <v>0</v>
      </c>
      <c r="AX23" s="130">
        <f>IF(AX111="PUD",'Operating Revenue and Expenses'!$I$27/12*AX$17*AX$20,0)</f>
        <v>0</v>
      </c>
      <c r="AY23" s="130">
        <f>IF(AY111="PUD",'Operating Revenue and Expenses'!$I$27/12*AY$17*AY$20,0)</f>
        <v>0</v>
      </c>
      <c r="AZ23" s="130">
        <f>IF(AZ111="PUD",'Operating Revenue and Expenses'!$I$27/12*AZ$17*AZ$20,0)</f>
        <v>0</v>
      </c>
      <c r="BA23" s="130">
        <f>IF(BA111="PUD",'Operating Revenue and Expenses'!$I$27/12*BA$17*BA$20,0)</f>
        <v>0</v>
      </c>
      <c r="BB23" s="130">
        <f>IF(BB111="PUD",'Operating Revenue and Expenses'!$I$27/12*BB$17*BB$20,0)</f>
        <v>0</v>
      </c>
      <c r="BC23" s="130">
        <f>IF(BC111="PUD",'Operating Revenue and Expenses'!$I$27/12*BC$17*BC$20,0)</f>
        <v>0</v>
      </c>
      <c r="BD23" s="130">
        <f>IF(BD111="PUD",'Operating Revenue and Expenses'!$I$27/12*BD$17*BD$20,0)</f>
        <v>0</v>
      </c>
      <c r="BE23" s="130">
        <f>IF(BE111="PUD",'Operating Revenue and Expenses'!$I$27/12*BE$17*BE$20,0)</f>
        <v>0</v>
      </c>
      <c r="BF23" s="130">
        <f>IF(BF111="PUD",'Operating Revenue and Expenses'!$I$27/12*BF$17*BF$20,0)</f>
        <v>0</v>
      </c>
      <c r="BG23" s="130">
        <f>IF(BG111="PUD",'Operating Revenue and Expenses'!$I$27/12*BG$17*BG$20,0)</f>
        <v>0</v>
      </c>
      <c r="BH23" s="130">
        <f>IF(BH111="PUD",'Operating Revenue and Expenses'!$I$27/12*BH$17*BH$20,0)</f>
        <v>0</v>
      </c>
      <c r="BI23" s="130">
        <f>IF(BI111="PUD",'Operating Revenue and Expenses'!$I$27/12*BI$17*BI$20,0)</f>
        <v>0</v>
      </c>
      <c r="BJ23" s="130">
        <f>IF(BJ111="PUD",'Operating Revenue and Expenses'!$I$27/12*BJ$17*BJ$20,0)</f>
        <v>0</v>
      </c>
      <c r="BK23" s="130">
        <f>IF(BK111="PUD",'Operating Revenue and Expenses'!$I$27/12*BK$17*BK$20,0)</f>
        <v>0</v>
      </c>
      <c r="BL23" s="130">
        <f>IF(BL111="PUD",'Operating Revenue and Expenses'!$I$27/12*BL$17*BL$20,0)</f>
        <v>0</v>
      </c>
      <c r="BM23" s="130">
        <f>IF(BM111="PUD",'Operating Revenue and Expenses'!$I$27/12*BM$17*BM$20,0)</f>
        <v>0</v>
      </c>
      <c r="BN23" s="130">
        <f>IF(BN111="PUD",'Operating Revenue and Expenses'!$I$27/12*BN$17*BN$20,0)</f>
        <v>0</v>
      </c>
      <c r="BO23" s="130">
        <f>IF(BO111="PUD",'Operating Revenue and Expenses'!$I$27/12*BO$17*BO$20,0)</f>
        <v>0</v>
      </c>
      <c r="BP23" s="130">
        <f>IF(BP111="PUD",'Operating Revenue and Expenses'!$I$27/12*BP$17*BP$20,0)</f>
        <v>0</v>
      </c>
      <c r="BQ23" s="130">
        <f>IF(BQ111="PUD",'Operating Revenue and Expenses'!$I$27/12*BQ$17*BQ$20,0)</f>
        <v>0</v>
      </c>
      <c r="BR23" s="130">
        <f>IF(BR111="PUD",'Operating Revenue and Expenses'!$I$27/12*BR$17*BR$20,0)</f>
        <v>0</v>
      </c>
      <c r="BS23" s="130">
        <f>IF(BS111="PUD",'Operating Revenue and Expenses'!$I$27/12*BS$17*BS$20,0)</f>
        <v>0</v>
      </c>
      <c r="BT23" s="130">
        <f>IF(BT111="PUD",'Operating Revenue and Expenses'!$I$27/12*BT$17*BT$20,0)</f>
        <v>0</v>
      </c>
      <c r="BU23" s="130">
        <f>IF(BU111="PUD",'Operating Revenue and Expenses'!$I$27/12*BU$17*BU$20,0)</f>
        <v>0</v>
      </c>
      <c r="BV23" s="130">
        <f>IF(BV111="PUD",'Operating Revenue and Expenses'!$I$27/12*BV$17*BV$20,0)</f>
        <v>0</v>
      </c>
      <c r="BW23" s="130">
        <f>IF(BW111="PUD",'Operating Revenue and Expenses'!$I$27/12*BW$17*BW$20,0)</f>
        <v>0</v>
      </c>
      <c r="BX23" s="130">
        <f>IF(BX111="PUD",'Operating Revenue and Expenses'!$I$27/12*BX$17*BX$20,0)</f>
        <v>0</v>
      </c>
      <c r="BY23" s="130">
        <f>IF(BY111="PUD",'Operating Revenue and Expenses'!$I$27/12*BY$17*BY$20,0)</f>
        <v>0</v>
      </c>
      <c r="BZ23" s="130">
        <f>IF(BZ111="PUD",'Operating Revenue and Expenses'!$I$27/12*BZ$17*BZ$20,0)</f>
        <v>0</v>
      </c>
      <c r="CA23" s="130">
        <f>IF(CA111="PUD",'Operating Revenue and Expenses'!$I$27/12*CA$17*CA$20,0)</f>
        <v>0</v>
      </c>
      <c r="CB23" s="130">
        <f>IF(CB111="PUD",'Operating Revenue and Expenses'!$I$27/12*CB$17*CB$20,0)</f>
        <v>0</v>
      </c>
      <c r="CC23" s="130">
        <f>IF(CC111="PUD",'Operating Revenue and Expenses'!$I$27/12*CC$17*CC$20,0)</f>
        <v>0</v>
      </c>
      <c r="CD23" s="130">
        <f>IF(CD111="PUD",'Operating Revenue and Expenses'!$I$27/12*CD$17*CD$20,0)</f>
        <v>0</v>
      </c>
      <c r="CE23" s="130">
        <f>IF(CE111="PUD",'Operating Revenue and Expenses'!$I$27/12*CE$17*CE$20,0)</f>
        <v>0</v>
      </c>
      <c r="CF23" s="130">
        <f>IF(CF111="PUD",'Operating Revenue and Expenses'!$I$27/12*CF$17*CF$20,0)</f>
        <v>0</v>
      </c>
      <c r="CG23" s="130">
        <f>IF(CG111="PUD",'Operating Revenue and Expenses'!$I$27/12*CG$17*CG$20,0)</f>
        <v>0</v>
      </c>
      <c r="CH23" s="130">
        <f>IF(CH111="PUD",'Operating Revenue and Expenses'!$I$27/12*CH$17*CH$20,0)</f>
        <v>0</v>
      </c>
      <c r="CI23" s="130">
        <f>IF(CI111="PUD",'Operating Revenue and Expenses'!$I$27/12*CI$17*CI$20,0)</f>
        <v>0</v>
      </c>
      <c r="CJ23" s="130">
        <f>IF(CJ111="PUD",'Operating Revenue and Expenses'!$I$27/12*CJ$17*CJ$20,0)</f>
        <v>0</v>
      </c>
      <c r="CK23" s="130">
        <f>IF(CK111="PUD",'Operating Revenue and Expenses'!$I$27/12*CK$17*CK$20,0)</f>
        <v>0</v>
      </c>
      <c r="CL23" s="130">
        <f>IF(CL111="PUD",'Operating Revenue and Expenses'!$I$27/12*CL$17*CL$20,0)</f>
        <v>0</v>
      </c>
      <c r="CM23" s="130">
        <f>IF(CM111="PUD",'Operating Revenue and Expenses'!$I$27/12*CM$17*CM$20,0)</f>
        <v>0</v>
      </c>
      <c r="CN23" s="130">
        <f>IF(CN111="PUD",'Operating Revenue and Expenses'!$I$27/12*CN$17*CN$20,0)</f>
        <v>0</v>
      </c>
      <c r="CO23" s="130">
        <f>IF(CO111="PUD",'Operating Revenue and Expenses'!$I$27/12*CO$17*CO$20,0)</f>
        <v>0</v>
      </c>
      <c r="CP23" s="130">
        <f>IF(CP111="PUD",'Operating Revenue and Expenses'!$I$27/12*CP$17*CP$20,0)</f>
        <v>0</v>
      </c>
      <c r="CQ23" s="130">
        <f>IF(CQ111="PUD",'Operating Revenue and Expenses'!$I$27/12*CQ$17*CQ$20,0)</f>
        <v>0</v>
      </c>
      <c r="CR23" s="130">
        <f>IF(CR111="PUD",'Operating Revenue and Expenses'!$I$27/12*CR$17*CR$20,0)</f>
        <v>0</v>
      </c>
      <c r="CS23" s="130">
        <f>IF(CS111="PUD",'Operating Revenue and Expenses'!$I$27/12*CS$17*CS$20,0)</f>
        <v>0</v>
      </c>
      <c r="CT23" s="130">
        <f>IF(CT111="PUD",'Operating Revenue and Expenses'!$I$27/12*CT$17*CT$20,0)</f>
        <v>0</v>
      </c>
      <c r="CU23" s="130">
        <f>IF(CU111="PUD",'Operating Revenue and Expenses'!$I$27/12*CU$17*CU$20,0)</f>
        <v>0</v>
      </c>
      <c r="CV23" s="130">
        <f>IF(CV111="PUD",'Operating Revenue and Expenses'!$I$27/12*CV$17*CV$20,0)</f>
        <v>0</v>
      </c>
      <c r="CW23" s="130">
        <f>IF(CW111="PUD",'Operating Revenue and Expenses'!$I$27/12*CW$17*CW$20,0)</f>
        <v>0</v>
      </c>
      <c r="CX23" s="130">
        <f>IF(CX111="PUD",'Operating Revenue and Expenses'!$I$27/12*CX$17*CX$20,0)</f>
        <v>0</v>
      </c>
      <c r="CY23" s="130">
        <f>IF(CY111="PUD",'Operating Revenue and Expenses'!$I$27/12*CY$17*CY$20,0)</f>
        <v>0</v>
      </c>
      <c r="CZ23" s="130">
        <f>IF(CZ111="PUD",'Operating Revenue and Expenses'!$I$27/12*CZ$17*CZ$20,0)</f>
        <v>0</v>
      </c>
    </row>
    <row r="24" spans="2:104" x14ac:dyDescent="0.35">
      <c r="B24" s="131" t="s">
        <v>169</v>
      </c>
      <c r="C24" s="130">
        <f>-'Development Costs'!H85</f>
        <v>-29056.254042857145</v>
      </c>
      <c r="D24" s="130">
        <f>ROUND(C24-E24,0)</f>
        <v>0</v>
      </c>
      <c r="E24" s="130">
        <f t="shared" si="16"/>
        <v>-29056.254042857145</v>
      </c>
      <c r="H24" s="139"/>
      <c r="I24" s="130">
        <f>IF(I111="PUD",-'Operating Revenue and Expenses'!$I$28/12*I$17*I$20,0)</f>
        <v>0</v>
      </c>
      <c r="J24" s="130">
        <f>IF(J111="PUD",-'Operating Revenue and Expenses'!$I$28/12*J$17*J$20,0)</f>
        <v>0</v>
      </c>
      <c r="K24" s="130">
        <f>IF(K111="PUD",-'Operating Revenue and Expenses'!$I$28/12*K$17*K$20,0)</f>
        <v>0</v>
      </c>
      <c r="L24" s="130">
        <f>IF(L111="PUD",-'Operating Revenue and Expenses'!$I$28/12*L$17*L$20,0)</f>
        <v>0</v>
      </c>
      <c r="M24" s="130">
        <f>IF(M111="PUD",-'Operating Revenue and Expenses'!$I$28/12*M$17*M$20,0)</f>
        <v>0</v>
      </c>
      <c r="N24" s="130">
        <f>IF(N111="PUD",-'Operating Revenue and Expenses'!$I$28/12*N$17*N$20,0)</f>
        <v>0</v>
      </c>
      <c r="O24" s="130">
        <f>IF(O111="PUD",-'Operating Revenue and Expenses'!$I$28/12*O$17*O$20,0)</f>
        <v>0</v>
      </c>
      <c r="P24" s="130">
        <f>IF(P111="PUD",-'Operating Revenue and Expenses'!$I$28/12*P$17*P$20,0)</f>
        <v>0</v>
      </c>
      <c r="Q24" s="130">
        <f>IF(Q111="PUD",-'Operating Revenue and Expenses'!$I$28/12*Q$17*Q$20,0)</f>
        <v>0</v>
      </c>
      <c r="R24" s="130">
        <f>IF(R111="PUD",-'Operating Revenue and Expenses'!$I$28/12*R$17*R$20,0)</f>
        <v>0</v>
      </c>
      <c r="S24" s="130">
        <f>IF(S111="PUD",-'Operating Revenue and Expenses'!$I$28/12*S$17*S$20,0)</f>
        <v>0</v>
      </c>
      <c r="T24" s="130">
        <f>IF(T111="PUD",-'Operating Revenue and Expenses'!$I$28/12*T$17*T$20,0)</f>
        <v>0</v>
      </c>
      <c r="U24" s="130">
        <f>IF(U111="PUD",-'Operating Revenue and Expenses'!$I$28/12*U$17*U$20,0)</f>
        <v>0</v>
      </c>
      <c r="V24" s="130">
        <f>IF(V111="PUD",-'Operating Revenue and Expenses'!$I$28/12*V$17*V$20,0)</f>
        <v>0</v>
      </c>
      <c r="W24" s="130">
        <f>IF(W111="PUD",-'Operating Revenue and Expenses'!$I$28/12*W$17*W$20,0)</f>
        <v>0</v>
      </c>
      <c r="X24" s="130">
        <f>IF(X111="PUD",-'Operating Revenue and Expenses'!$I$28/12*X$17*X$20,0)</f>
        <v>0</v>
      </c>
      <c r="Y24" s="130">
        <f>IF(Y111="PUD",-'Operating Revenue and Expenses'!$I$28/12*Y$17*Y$20,0)</f>
        <v>0</v>
      </c>
      <c r="Z24" s="130">
        <f>IF(Z111="PUD",-'Operating Revenue and Expenses'!$I$28/12*Z$17*Z$20,0)</f>
        <v>0</v>
      </c>
      <c r="AA24" s="130">
        <f>IF(AA111="PUD",-'Operating Revenue and Expenses'!$I$28/12*AA$17*AA$20,0)</f>
        <v>0</v>
      </c>
      <c r="AB24" s="130">
        <f>IF(AB111="PUD",-'Operating Revenue and Expenses'!$I$28/12*AB$17*AB$20,0)</f>
        <v>0</v>
      </c>
      <c r="AC24" s="130">
        <f>IF(AC111="PUD",-'Operating Revenue and Expenses'!$I$28/12*AC$17*AC$20,0)</f>
        <v>0</v>
      </c>
      <c r="AD24" s="130">
        <f>IF(AD111="PUD",-'Operating Revenue and Expenses'!$I$28/12*AD$17*AD$20,0)</f>
        <v>0</v>
      </c>
      <c r="AE24" s="130">
        <f>IF(AE111="PUD",-'Operating Revenue and Expenses'!$I$28/12*AE$17*AE$20,0)</f>
        <v>0</v>
      </c>
      <c r="AF24" s="130">
        <f>IF(AF111="PUD",-'Operating Revenue and Expenses'!$I$28/12*AF$17*AF$20,0)</f>
        <v>0</v>
      </c>
      <c r="AG24" s="130">
        <f>IF(AG111="PUD",-'Operating Revenue and Expenses'!$I$28/12*AG$17*AG$20,0)</f>
        <v>0</v>
      </c>
      <c r="AH24" s="130">
        <f>IF(AH111="PUD",-'Operating Revenue and Expenses'!$I$28/12*AH$17*AH$20,0)</f>
        <v>0</v>
      </c>
      <c r="AI24" s="130">
        <f>IF(AI111="PUD",-'Operating Revenue and Expenses'!$I$28/12*AI$17*AI$20,0)</f>
        <v>0</v>
      </c>
      <c r="AJ24" s="130">
        <f>IF(AJ111="PUD",-'Operating Revenue and Expenses'!$I$28/12*AJ$17*AJ$20,0)</f>
        <v>0</v>
      </c>
      <c r="AK24" s="130">
        <f>IF(AK111="PUD",-'Operating Revenue and Expenses'!$I$28/12*AK$17*AK$20,0)</f>
        <v>0</v>
      </c>
      <c r="AL24" s="130">
        <f>IF(AL111="PUD",-'Operating Revenue and Expenses'!$I$28/12*AL$17*AL$20,0)</f>
        <v>0</v>
      </c>
      <c r="AM24" s="130">
        <f>IF(AM111="PUD",-'Operating Revenue and Expenses'!$I$28/12*AM$17*AM$20,0)</f>
        <v>0</v>
      </c>
      <c r="AN24" s="130">
        <f>IF(AN111="PUD",-'Operating Revenue and Expenses'!$I$28/12*AN$17*AN$20,0)</f>
        <v>0</v>
      </c>
      <c r="AO24" s="130">
        <f>IF(AO111="PUD",-'Operating Revenue and Expenses'!$I$28/12*AO$17*AO$20,0)</f>
        <v>-2700.3953571428574</v>
      </c>
      <c r="AP24" s="130">
        <f>IF(AP111="PUD",-'Operating Revenue and Expenses'!$I$28/12*AP$17*AP$20,0)</f>
        <v>-3600.5271428571432</v>
      </c>
      <c r="AQ24" s="130">
        <f>IF(AQ111="PUD",-'Operating Revenue and Expenses'!$I$28/12*AQ$17*AQ$20,0)</f>
        <v>-4500.6589285714281</v>
      </c>
      <c r="AR24" s="130">
        <f>IF(AR111="PUD",-'Operating Revenue and Expenses'!$I$28/12*AR$17*AR$20,0)</f>
        <v>-5400.7907142857148</v>
      </c>
      <c r="AS24" s="130">
        <f>IF(AS111="PUD",-'Operating Revenue and Expenses'!$I$28/12*AS$17*AS$20,0)</f>
        <v>-6426.9409499999992</v>
      </c>
      <c r="AT24" s="130">
        <f>IF(AT111="PUD",-'Operating Revenue and Expenses'!$I$28/12*AT$17*AT$20,0)</f>
        <v>-6426.9409499999992</v>
      </c>
      <c r="AU24" s="130">
        <f>IF(AU111="PUD",-'Operating Revenue and Expenses'!$I$28/12*AU$17*AU$20,0)</f>
        <v>0</v>
      </c>
      <c r="AV24" s="130">
        <f>IF(AV111="PUD",-'Operating Revenue and Expenses'!$I$28/12*AV$17*AV$20,0)</f>
        <v>0</v>
      </c>
      <c r="AW24" s="130">
        <f>IF(AW111="PUD",-'Operating Revenue and Expenses'!$I$28/12*AW$17*AW$20,0)</f>
        <v>0</v>
      </c>
      <c r="AX24" s="130">
        <f>IF(AX111="PUD",-'Operating Revenue and Expenses'!$I$28/12*AX$17*AX$20,0)</f>
        <v>0</v>
      </c>
      <c r="AY24" s="130">
        <f>IF(AY111="PUD",-'Operating Revenue and Expenses'!$I$28/12*AY$17*AY$20,0)</f>
        <v>0</v>
      </c>
      <c r="AZ24" s="130">
        <f>IF(AZ111="PUD",-'Operating Revenue and Expenses'!$I$28/12*AZ$17*AZ$20,0)</f>
        <v>0</v>
      </c>
      <c r="BA24" s="130">
        <f>IF(BA111="PUD",-'Operating Revenue and Expenses'!$I$28/12*BA$17*BA$20,0)</f>
        <v>0</v>
      </c>
      <c r="BB24" s="130">
        <f>IF(BB111="PUD",-'Operating Revenue and Expenses'!$I$28/12*BB$17*BB$20,0)</f>
        <v>0</v>
      </c>
      <c r="BC24" s="130">
        <f>IF(BC111="PUD",-'Operating Revenue and Expenses'!$I$28/12*BC$17*BC$20,0)</f>
        <v>0</v>
      </c>
      <c r="BD24" s="130">
        <f>IF(BD111="PUD",-'Operating Revenue and Expenses'!$I$28/12*BD$17*BD$20,0)</f>
        <v>0</v>
      </c>
      <c r="BE24" s="130">
        <f>IF(BE111="PUD",-'Operating Revenue and Expenses'!$I$28/12*BE$17*BE$20,0)</f>
        <v>0</v>
      </c>
      <c r="BF24" s="130">
        <f>IF(BF111="PUD",-'Operating Revenue and Expenses'!$I$28/12*BF$17*BF$20,0)</f>
        <v>0</v>
      </c>
      <c r="BG24" s="130">
        <f>IF(BG111="PUD",-'Operating Revenue and Expenses'!$I$28/12*BG$17*BG$20,0)</f>
        <v>0</v>
      </c>
      <c r="BH24" s="130">
        <f>IF(BH111="PUD",-'Operating Revenue and Expenses'!$I$28/12*BH$17*BH$20,0)</f>
        <v>0</v>
      </c>
      <c r="BI24" s="130">
        <f>IF(BI111="PUD",-'Operating Revenue and Expenses'!$I$28/12*BI$17*BI$20,0)</f>
        <v>0</v>
      </c>
      <c r="BJ24" s="130">
        <f>IF(BJ111="PUD",-'Operating Revenue and Expenses'!$I$28/12*BJ$17*BJ$20,0)</f>
        <v>0</v>
      </c>
      <c r="BK24" s="130">
        <f>IF(BK111="PUD",-'Operating Revenue and Expenses'!$I$28/12*BK$17*BK$20,0)</f>
        <v>0</v>
      </c>
      <c r="BL24" s="130">
        <f>IF(BL111="PUD",-'Operating Revenue and Expenses'!$I$28/12*BL$17*BL$20,0)</f>
        <v>0</v>
      </c>
      <c r="BM24" s="130">
        <f>IF(BM111="PUD",-'Operating Revenue and Expenses'!$I$28/12*BM$17*BM$20,0)</f>
        <v>0</v>
      </c>
      <c r="BN24" s="130">
        <f>IF(BN111="PUD",-'Operating Revenue and Expenses'!$I$28/12*BN$17*BN$20,0)</f>
        <v>0</v>
      </c>
      <c r="BO24" s="130">
        <f>IF(BO111="PUD",-'Operating Revenue and Expenses'!$I$28/12*BO$17*BO$20,0)</f>
        <v>0</v>
      </c>
      <c r="BP24" s="130">
        <f>IF(BP111="PUD",-'Operating Revenue and Expenses'!$I$28/12*BP$17*BP$20,0)</f>
        <v>0</v>
      </c>
      <c r="BQ24" s="130">
        <f>IF(BQ111="PUD",-'Operating Revenue and Expenses'!$I$28/12*BQ$17*BQ$20,0)</f>
        <v>0</v>
      </c>
      <c r="BR24" s="130">
        <f>IF(BR111="PUD",-'Operating Revenue and Expenses'!$I$28/12*BR$17*BR$20,0)</f>
        <v>0</v>
      </c>
      <c r="BS24" s="130">
        <f>IF(BS111="PUD",-'Operating Revenue and Expenses'!$I$28/12*BS$17*BS$20,0)</f>
        <v>0</v>
      </c>
      <c r="BT24" s="130">
        <f>IF(BT111="PUD",-'Operating Revenue and Expenses'!$I$28/12*BT$17*BT$20,0)</f>
        <v>0</v>
      </c>
      <c r="BU24" s="130">
        <f>IF(BU111="PUD",-'Operating Revenue and Expenses'!$I$28/12*BU$17*BU$20,0)</f>
        <v>0</v>
      </c>
      <c r="BV24" s="130">
        <f>IF(BV111="PUD",-'Operating Revenue and Expenses'!$I$28/12*BV$17*BV$20,0)</f>
        <v>0</v>
      </c>
      <c r="BW24" s="130">
        <f>IF(BW111="PUD",-'Operating Revenue and Expenses'!$I$28/12*BW$17*BW$20,0)</f>
        <v>0</v>
      </c>
      <c r="BX24" s="130">
        <f>IF(BX111="PUD",-'Operating Revenue and Expenses'!$I$28/12*BX$17*BX$20,0)</f>
        <v>0</v>
      </c>
      <c r="BY24" s="130">
        <f>IF(BY111="PUD",-'Operating Revenue and Expenses'!$I$28/12*BY$17*BY$20,0)</f>
        <v>0</v>
      </c>
      <c r="BZ24" s="130">
        <f>IF(BZ111="PUD",-'Operating Revenue and Expenses'!$I$28/12*BZ$17*BZ$20,0)</f>
        <v>0</v>
      </c>
      <c r="CA24" s="130">
        <f>IF(CA111="PUD",-'Operating Revenue and Expenses'!$I$28/12*CA$17*CA$20,0)</f>
        <v>0</v>
      </c>
      <c r="CB24" s="130">
        <f>IF(CB111="PUD",-'Operating Revenue and Expenses'!$I$28/12*CB$17*CB$20,0)</f>
        <v>0</v>
      </c>
      <c r="CC24" s="130">
        <f>IF(CC111="PUD",-'Operating Revenue and Expenses'!$I$28/12*CC$17*CC$20,0)</f>
        <v>0</v>
      </c>
      <c r="CD24" s="130">
        <f>IF(CD111="PUD",-'Operating Revenue and Expenses'!$I$28/12*CD$17*CD$20,0)</f>
        <v>0</v>
      </c>
      <c r="CE24" s="130">
        <f>IF(CE111="PUD",-'Operating Revenue and Expenses'!$I$28/12*CE$17*CE$20,0)</f>
        <v>0</v>
      </c>
      <c r="CF24" s="130">
        <f>IF(CF111="PUD",-'Operating Revenue and Expenses'!$I$28/12*CF$17*CF$20,0)</f>
        <v>0</v>
      </c>
      <c r="CG24" s="130">
        <f>IF(CG111="PUD",-'Operating Revenue and Expenses'!$I$28/12*CG$17*CG$20,0)</f>
        <v>0</v>
      </c>
      <c r="CH24" s="130">
        <f>IF(CH111="PUD",-'Operating Revenue and Expenses'!$I$28/12*CH$17*CH$20,0)</f>
        <v>0</v>
      </c>
      <c r="CI24" s="130">
        <f>IF(CI111="PUD",-'Operating Revenue and Expenses'!$I$28/12*CI$17*CI$20,0)</f>
        <v>0</v>
      </c>
      <c r="CJ24" s="130">
        <f>IF(CJ111="PUD",-'Operating Revenue and Expenses'!$I$28/12*CJ$17*CJ$20,0)</f>
        <v>0</v>
      </c>
      <c r="CK24" s="130">
        <f>IF(CK111="PUD",-'Operating Revenue and Expenses'!$I$28/12*CK$17*CK$20,0)</f>
        <v>0</v>
      </c>
      <c r="CL24" s="130">
        <f>IF(CL111="PUD",-'Operating Revenue and Expenses'!$I$28/12*CL$17*CL$20,0)</f>
        <v>0</v>
      </c>
      <c r="CM24" s="130">
        <f>IF(CM111="PUD",-'Operating Revenue and Expenses'!$I$28/12*CM$17*CM$20,0)</f>
        <v>0</v>
      </c>
      <c r="CN24" s="130">
        <f>IF(CN111="PUD",-'Operating Revenue and Expenses'!$I$28/12*CN$17*CN$20,0)</f>
        <v>0</v>
      </c>
      <c r="CO24" s="130">
        <f>IF(CO111="PUD",-'Operating Revenue and Expenses'!$I$28/12*CO$17*CO$20,0)</f>
        <v>0</v>
      </c>
      <c r="CP24" s="130">
        <f>IF(CP111="PUD",-'Operating Revenue and Expenses'!$I$28/12*CP$17*CP$20,0)</f>
        <v>0</v>
      </c>
      <c r="CQ24" s="130">
        <f>IF(CQ111="PUD",-'Operating Revenue and Expenses'!$I$28/12*CQ$17*CQ$20,0)</f>
        <v>0</v>
      </c>
      <c r="CR24" s="130">
        <f>IF(CR111="PUD",-'Operating Revenue and Expenses'!$I$28/12*CR$17*CR$20,0)</f>
        <v>0</v>
      </c>
      <c r="CS24" s="130">
        <f>IF(CS111="PUD",-'Operating Revenue and Expenses'!$I$28/12*CS$17*CS$20,0)</f>
        <v>0</v>
      </c>
      <c r="CT24" s="130">
        <f>IF(CT111="PUD",-'Operating Revenue and Expenses'!$I$28/12*CT$17*CT$20,0)</f>
        <v>0</v>
      </c>
      <c r="CU24" s="130">
        <f>IF(CU111="PUD",-'Operating Revenue and Expenses'!$I$28/12*CU$17*CU$20,0)</f>
        <v>0</v>
      </c>
      <c r="CV24" s="130">
        <f>IF(CV111="PUD",-'Operating Revenue and Expenses'!$I$28/12*CV$17*CV$20,0)</f>
        <v>0</v>
      </c>
      <c r="CW24" s="130">
        <f>IF(CW111="PUD",-'Operating Revenue and Expenses'!$I$28/12*CW$17*CW$20,0)</f>
        <v>0</v>
      </c>
      <c r="CX24" s="130">
        <f>IF(CX111="PUD",-'Operating Revenue and Expenses'!$I$28/12*CX$17*CX$20,0)</f>
        <v>0</v>
      </c>
      <c r="CY24" s="130">
        <f>IF(CY111="PUD",-'Operating Revenue and Expenses'!$I$28/12*CY$17*CY$20,0)</f>
        <v>0</v>
      </c>
      <c r="CZ24" s="130">
        <f>IF(CZ111="PUD",-'Operating Revenue and Expenses'!$I$28/12*CZ$17*CZ$20,0)</f>
        <v>0</v>
      </c>
    </row>
    <row r="25" spans="2:104" x14ac:dyDescent="0.35">
      <c r="B25" s="153" t="s">
        <v>32</v>
      </c>
      <c r="C25" s="162">
        <f>-'Development Costs'!H86</f>
        <v>-305899.28490857146</v>
      </c>
      <c r="D25" s="157">
        <f>ROUND(C25-E25,0)</f>
        <v>0</v>
      </c>
      <c r="E25" s="130">
        <f t="shared" si="16"/>
        <v>-305899.28490857146</v>
      </c>
      <c r="F25" s="40"/>
      <c r="G25" s="52"/>
      <c r="H25" s="140"/>
      <c r="I25" s="157">
        <f>IF(I111="PUD",-'Operating Revenue and Expenses'!$I$45/12*I$17*I$21,0)</f>
        <v>0</v>
      </c>
      <c r="J25" s="157">
        <f>IF(J111="PUD",-'Operating Revenue and Expenses'!$I$45/12*J$17*J$21,0)</f>
        <v>0</v>
      </c>
      <c r="K25" s="157">
        <f>IF(K111="PUD",-'Operating Revenue and Expenses'!$I$45/12*K$17*K$21,0)</f>
        <v>0</v>
      </c>
      <c r="L25" s="157">
        <f>IF(L111="PUD",-'Operating Revenue and Expenses'!$I$45/12*L$17*L$21,0)</f>
        <v>0</v>
      </c>
      <c r="M25" s="157">
        <f>IF(M111="PUD",-'Operating Revenue and Expenses'!$I$45/12*M$17*M$21,0)</f>
        <v>0</v>
      </c>
      <c r="N25" s="157">
        <f>IF(N111="PUD",-'Operating Revenue and Expenses'!$I$45/12*N$17*N$21,0)</f>
        <v>0</v>
      </c>
      <c r="O25" s="157">
        <f>IF(O111="PUD",-'Operating Revenue and Expenses'!$I$45/12*O$17*O$21,0)</f>
        <v>0</v>
      </c>
      <c r="P25" s="157">
        <f>IF(P111="PUD",-'Operating Revenue and Expenses'!$I$45/12*P$17*P$21,0)</f>
        <v>0</v>
      </c>
      <c r="Q25" s="157">
        <f>IF(Q111="PUD",-'Operating Revenue and Expenses'!$I$45/12*Q$17*Q$21,0)</f>
        <v>0</v>
      </c>
      <c r="R25" s="157">
        <f>IF(R111="PUD",-'Operating Revenue and Expenses'!$I$45/12*R$17*R$21,0)</f>
        <v>0</v>
      </c>
      <c r="S25" s="157">
        <f>IF(S111="PUD",-'Operating Revenue and Expenses'!$I$45/12*S$17*S$21,0)</f>
        <v>0</v>
      </c>
      <c r="T25" s="157">
        <f>IF(T111="PUD",-'Operating Revenue and Expenses'!$I$45/12*T$17*T$21,0)</f>
        <v>0</v>
      </c>
      <c r="U25" s="157">
        <f>IF(U111="PUD",-'Operating Revenue and Expenses'!$I$45/12*U$17*U$21,0)</f>
        <v>0</v>
      </c>
      <c r="V25" s="157">
        <f>IF(V111="PUD",-'Operating Revenue and Expenses'!$I$45/12*V$17*V$21,0)</f>
        <v>0</v>
      </c>
      <c r="W25" s="157">
        <f>IF(W111="PUD",-'Operating Revenue and Expenses'!$I$45/12*W$17*W$21,0)</f>
        <v>0</v>
      </c>
      <c r="X25" s="157">
        <f>IF(X111="PUD",-'Operating Revenue and Expenses'!$I$45/12*X$17*X$21,0)</f>
        <v>0</v>
      </c>
      <c r="Y25" s="157">
        <f>IF(Y111="PUD",-'Operating Revenue and Expenses'!$I$45/12*Y$17*Y$21,0)</f>
        <v>0</v>
      </c>
      <c r="Z25" s="157">
        <f>IF(Z111="PUD",-'Operating Revenue and Expenses'!$I$45/12*Z$17*Z$21,0)</f>
        <v>0</v>
      </c>
      <c r="AA25" s="157">
        <f>IF(AA111="PUD",-'Operating Revenue and Expenses'!$I$45/12*AA$17*AA$21,0)</f>
        <v>0</v>
      </c>
      <c r="AB25" s="157">
        <f>IF(AB111="PUD",-'Operating Revenue and Expenses'!$I$45/12*AB$17*AB$21,0)</f>
        <v>0</v>
      </c>
      <c r="AC25" s="157">
        <f>IF(AC111="PUD",-'Operating Revenue and Expenses'!$I$45/12*AC$17*AC$21,0)</f>
        <v>0</v>
      </c>
      <c r="AD25" s="157">
        <f>IF(AD111="PUD",-'Operating Revenue and Expenses'!$I$45/12*AD$17*AD$21,0)</f>
        <v>0</v>
      </c>
      <c r="AE25" s="157">
        <f>IF(AE111="PUD",-'Operating Revenue and Expenses'!$I$45/12*AE$17*AE$21,0)</f>
        <v>0</v>
      </c>
      <c r="AF25" s="157">
        <f>IF(AF111="PUD",-'Operating Revenue and Expenses'!$I$45/12*AF$17*AF$21,0)</f>
        <v>0</v>
      </c>
      <c r="AG25" s="157">
        <f>IF(AG111="PUD",-'Operating Revenue and Expenses'!$I$45/12*AG$17*AG$21,0)</f>
        <v>0</v>
      </c>
      <c r="AH25" s="157">
        <f>IF(AH111="PUD",-'Operating Revenue and Expenses'!$I$45/12*AH$17*AH$21,0)</f>
        <v>0</v>
      </c>
      <c r="AI25" s="157">
        <f>IF(AI111="PUD",-'Operating Revenue and Expenses'!$I$45/12*AI$17*AI$21,0)</f>
        <v>0</v>
      </c>
      <c r="AJ25" s="157">
        <f>IF(AJ111="PUD",-'Operating Revenue and Expenses'!$I$45/12*AJ$17*AJ$21,0)</f>
        <v>0</v>
      </c>
      <c r="AK25" s="157">
        <f>IF(AK111="PUD",-'Operating Revenue and Expenses'!$I$45/12*AK$17*AK$21,0)</f>
        <v>0</v>
      </c>
      <c r="AL25" s="157">
        <f>IF(AL111="PUD",-'Operating Revenue and Expenses'!$I$45/12*AL$17*AL$21,0)</f>
        <v>0</v>
      </c>
      <c r="AM25" s="157">
        <f>IF(AM111="PUD",-'Operating Revenue and Expenses'!$I$45/12*AM$17*AM$21,0)</f>
        <v>0</v>
      </c>
      <c r="AN25" s="157">
        <f>IF(AN111="PUD",-'Operating Revenue and Expenses'!$I$45/12*AN$17*AN$21,0)</f>
        <v>0</v>
      </c>
      <c r="AO25" s="157">
        <f>IF(AO111="PUD",-'Operating Revenue and Expenses'!$I$45/12*AO$17*AO$21,0)</f>
        <v>-28429.301571428572</v>
      </c>
      <c r="AP25" s="157">
        <f>IF(AP111="PUD",-'Operating Revenue and Expenses'!$I$45/12*AP$17*AP$21,0)</f>
        <v>-37905.735428571432</v>
      </c>
      <c r="AQ25" s="157">
        <f>IF(AQ111="PUD",-'Operating Revenue and Expenses'!$I$45/12*AQ$17*AQ$21,0)</f>
        <v>-47382.169285714284</v>
      </c>
      <c r="AR25" s="157">
        <f>IF(AR111="PUD",-'Operating Revenue and Expenses'!$I$45/12*AR$17*AR$21,0)</f>
        <v>-56858.603142857144</v>
      </c>
      <c r="AS25" s="157">
        <f>IF(AS111="PUD",-'Operating Revenue and Expenses'!$I$45/12*AS$17*AS$21,0)</f>
        <v>-67661.737739999997</v>
      </c>
      <c r="AT25" s="157">
        <f>IF(AT111="PUD",-'Operating Revenue and Expenses'!$I$45/12*AT$17*AT$21,0)</f>
        <v>-67661.737739999997</v>
      </c>
      <c r="AU25" s="157">
        <f>IF(AU111="PUD",-'Operating Revenue and Expenses'!$I$45/12*AU$17*AU$21,0)</f>
        <v>0</v>
      </c>
      <c r="AV25" s="157">
        <f>IF(AV111="PUD",-'Operating Revenue and Expenses'!$I$45/12*AV$17*AV$21,0)</f>
        <v>0</v>
      </c>
      <c r="AW25" s="157">
        <f>IF(AW111="PUD",-'Operating Revenue and Expenses'!$I$45/12*AW$17*AW$21,0)</f>
        <v>0</v>
      </c>
      <c r="AX25" s="157">
        <f>IF(AX111="PUD",-'Operating Revenue and Expenses'!$I$45/12*AX$17*AX$21,0)</f>
        <v>0</v>
      </c>
      <c r="AY25" s="157">
        <f>IF(AY111="PUD",-'Operating Revenue and Expenses'!$I$45/12*AY$17*AY$21,0)</f>
        <v>0</v>
      </c>
      <c r="AZ25" s="157">
        <f>IF(AZ111="PUD",-'Operating Revenue and Expenses'!$I$45/12*AZ$17*AZ$21,0)</f>
        <v>0</v>
      </c>
      <c r="BA25" s="157">
        <f>IF(BA111="PUD",-'Operating Revenue and Expenses'!$I$45/12*BA$17*BA$21,0)</f>
        <v>0</v>
      </c>
      <c r="BB25" s="157">
        <f>IF(BB111="PUD",-'Operating Revenue and Expenses'!$I$45/12*BB$17*BB$21,0)</f>
        <v>0</v>
      </c>
      <c r="BC25" s="157">
        <f>IF(BC111="PUD",-'Operating Revenue and Expenses'!$I$45/12*BC$17*BC$21,0)</f>
        <v>0</v>
      </c>
      <c r="BD25" s="157">
        <f>IF(BD111="PUD",-'Operating Revenue and Expenses'!$I$45/12*BD$17*BD$21,0)</f>
        <v>0</v>
      </c>
      <c r="BE25" s="157">
        <f>IF(BE111="PUD",-'Operating Revenue and Expenses'!$I$45/12*BE$17*BE$21,0)</f>
        <v>0</v>
      </c>
      <c r="BF25" s="157">
        <f>IF(BF111="PUD",-'Operating Revenue and Expenses'!$I$45/12*BF$17*BF$21,0)</f>
        <v>0</v>
      </c>
      <c r="BG25" s="157">
        <f>IF(BG111="PUD",-'Operating Revenue and Expenses'!$I$45/12*BG$17*BG$21,0)</f>
        <v>0</v>
      </c>
      <c r="BH25" s="157">
        <f>IF(BH111="PUD",-'Operating Revenue and Expenses'!$I$45/12*BH$17*BH$21,0)</f>
        <v>0</v>
      </c>
      <c r="BI25" s="157">
        <f>IF(BI111="PUD",-'Operating Revenue and Expenses'!$I$45/12*BI$17*BI$21,0)</f>
        <v>0</v>
      </c>
      <c r="BJ25" s="157">
        <f>IF(BJ111="PUD",-'Operating Revenue and Expenses'!$I$45/12*BJ$17*BJ$21,0)</f>
        <v>0</v>
      </c>
      <c r="BK25" s="157">
        <f>IF(BK111="PUD",-'Operating Revenue and Expenses'!$I$45/12*BK$17*BK$21,0)</f>
        <v>0</v>
      </c>
      <c r="BL25" s="157">
        <f>IF(BL111="PUD",-'Operating Revenue and Expenses'!$I$45/12*BL$17*BL$21,0)</f>
        <v>0</v>
      </c>
      <c r="BM25" s="157">
        <f>IF(BM111="PUD",-'Operating Revenue and Expenses'!$I$45/12*BM$17*BM$21,0)</f>
        <v>0</v>
      </c>
      <c r="BN25" s="157">
        <f>IF(BN111="PUD",-'Operating Revenue and Expenses'!$I$45/12*BN$17*BN$21,0)</f>
        <v>0</v>
      </c>
      <c r="BO25" s="157">
        <f>IF(BO111="PUD",-'Operating Revenue and Expenses'!$I$45/12*BO$17*BO$21,0)</f>
        <v>0</v>
      </c>
      <c r="BP25" s="157">
        <f>IF(BP111="PUD",-'Operating Revenue and Expenses'!$I$45/12*BP$17*BP$21,0)</f>
        <v>0</v>
      </c>
      <c r="BQ25" s="157">
        <f>IF(BQ111="PUD",-'Operating Revenue and Expenses'!$I$45/12*BQ$17*BQ$21,0)</f>
        <v>0</v>
      </c>
      <c r="BR25" s="157">
        <f>IF(BR111="PUD",-'Operating Revenue and Expenses'!$I$45/12*BR$17*BR$21,0)</f>
        <v>0</v>
      </c>
      <c r="BS25" s="157">
        <f>IF(BS111="PUD",-'Operating Revenue and Expenses'!$I$45/12*BS$17*BS$21,0)</f>
        <v>0</v>
      </c>
      <c r="BT25" s="157">
        <f>IF(BT111="PUD",-'Operating Revenue and Expenses'!$I$45/12*BT$17*BT$21,0)</f>
        <v>0</v>
      </c>
      <c r="BU25" s="157">
        <f>IF(BU111="PUD",-'Operating Revenue and Expenses'!$I$45/12*BU$17*BU$21,0)</f>
        <v>0</v>
      </c>
      <c r="BV25" s="157">
        <f>IF(BV111="PUD",-'Operating Revenue and Expenses'!$I$45/12*BV$17*BV$21,0)</f>
        <v>0</v>
      </c>
      <c r="BW25" s="157">
        <f>IF(BW111="PUD",-'Operating Revenue and Expenses'!$I$45/12*BW$17*BW$21,0)</f>
        <v>0</v>
      </c>
      <c r="BX25" s="157">
        <f>IF(BX111="PUD",-'Operating Revenue and Expenses'!$I$45/12*BX$17*BX$21,0)</f>
        <v>0</v>
      </c>
      <c r="BY25" s="157">
        <f>IF(BY111="PUD",-'Operating Revenue and Expenses'!$I$45/12*BY$17*BY$21,0)</f>
        <v>0</v>
      </c>
      <c r="BZ25" s="157">
        <f>IF(BZ111="PUD",-'Operating Revenue and Expenses'!$I$45/12*BZ$17*BZ$21,0)</f>
        <v>0</v>
      </c>
      <c r="CA25" s="157">
        <f>IF(CA111="PUD",-'Operating Revenue and Expenses'!$I$45/12*CA$17*CA$21,0)</f>
        <v>0</v>
      </c>
      <c r="CB25" s="157">
        <f>IF(CB111="PUD",-'Operating Revenue and Expenses'!$I$45/12*CB$17*CB$21,0)</f>
        <v>0</v>
      </c>
      <c r="CC25" s="157">
        <f>IF(CC111="PUD",-'Operating Revenue and Expenses'!$I$45/12*CC$17*CC$21,0)</f>
        <v>0</v>
      </c>
      <c r="CD25" s="157">
        <f>IF(CD111="PUD",-'Operating Revenue and Expenses'!$I$45/12*CD$17*CD$21,0)</f>
        <v>0</v>
      </c>
      <c r="CE25" s="157">
        <f>IF(CE111="PUD",-'Operating Revenue and Expenses'!$I$45/12*CE$17*CE$21,0)</f>
        <v>0</v>
      </c>
      <c r="CF25" s="157">
        <f>IF(CF111="PUD",-'Operating Revenue and Expenses'!$I$45/12*CF$17*CF$21,0)</f>
        <v>0</v>
      </c>
      <c r="CG25" s="157">
        <f>IF(CG111="PUD",-'Operating Revenue and Expenses'!$I$45/12*CG$17*CG$21,0)</f>
        <v>0</v>
      </c>
      <c r="CH25" s="157">
        <f>IF(CH111="PUD",-'Operating Revenue and Expenses'!$I$45/12*CH$17*CH$21,0)</f>
        <v>0</v>
      </c>
      <c r="CI25" s="157">
        <f>IF(CI111="PUD",-'Operating Revenue and Expenses'!$I$45/12*CI$17*CI$21,0)</f>
        <v>0</v>
      </c>
      <c r="CJ25" s="157">
        <f>IF(CJ111="PUD",-'Operating Revenue and Expenses'!$I$45/12*CJ$17*CJ$21,0)</f>
        <v>0</v>
      </c>
      <c r="CK25" s="157">
        <f>IF(CK111="PUD",-'Operating Revenue and Expenses'!$I$45/12*CK$17*CK$21,0)</f>
        <v>0</v>
      </c>
      <c r="CL25" s="157">
        <f>IF(CL111="PUD",-'Operating Revenue and Expenses'!$I$45/12*CL$17*CL$21,0)</f>
        <v>0</v>
      </c>
      <c r="CM25" s="157">
        <f>IF(CM111="PUD",-'Operating Revenue and Expenses'!$I$45/12*CM$17*CM$21,0)</f>
        <v>0</v>
      </c>
      <c r="CN25" s="157">
        <f>IF(CN111="PUD",-'Operating Revenue and Expenses'!$I$45/12*CN$17*CN$21,0)</f>
        <v>0</v>
      </c>
      <c r="CO25" s="157">
        <f>IF(CO111="PUD",-'Operating Revenue and Expenses'!$I$45/12*CO$17*CO$21,0)</f>
        <v>0</v>
      </c>
      <c r="CP25" s="157">
        <f>IF(CP111="PUD",-'Operating Revenue and Expenses'!$I$45/12*CP$17*CP$21,0)</f>
        <v>0</v>
      </c>
      <c r="CQ25" s="157">
        <f>IF(CQ111="PUD",-'Operating Revenue and Expenses'!$I$45/12*CQ$17*CQ$21,0)</f>
        <v>0</v>
      </c>
      <c r="CR25" s="157">
        <f>IF(CR111="PUD",-'Operating Revenue and Expenses'!$I$45/12*CR$17*CR$21,0)</f>
        <v>0</v>
      </c>
      <c r="CS25" s="157">
        <f>IF(CS111="PUD",-'Operating Revenue and Expenses'!$I$45/12*CS$17*CS$21,0)</f>
        <v>0</v>
      </c>
      <c r="CT25" s="157">
        <f>IF(CT111="PUD",-'Operating Revenue and Expenses'!$I$45/12*CT$17*CT$21,0)</f>
        <v>0</v>
      </c>
      <c r="CU25" s="157">
        <f>IF(CU111="PUD",-'Operating Revenue and Expenses'!$I$45/12*CU$17*CU$21,0)</f>
        <v>0</v>
      </c>
      <c r="CV25" s="157">
        <f>IF(CV111="PUD",-'Operating Revenue and Expenses'!$I$45/12*CV$17*CV$21,0)</f>
        <v>0</v>
      </c>
      <c r="CW25" s="157">
        <f>IF(CW111="PUD",-'Operating Revenue and Expenses'!$I$45/12*CW$17*CW$21,0)</f>
        <v>0</v>
      </c>
      <c r="CX25" s="157">
        <f>IF(CX111="PUD",-'Operating Revenue and Expenses'!$I$45/12*CX$17*CX$21,0)</f>
        <v>0</v>
      </c>
      <c r="CY25" s="157">
        <f>IF(CY111="PUD",-'Operating Revenue and Expenses'!$I$45/12*CY$17*CY$21,0)</f>
        <v>0</v>
      </c>
      <c r="CZ25" s="157">
        <f>IF(CZ111="PUD",-'Operating Revenue and Expenses'!$I$45/12*CZ$17*CZ$21,0)</f>
        <v>0</v>
      </c>
    </row>
    <row r="26" spans="2:104" x14ac:dyDescent="0.35">
      <c r="B26" s="457" t="s">
        <v>170</v>
      </c>
      <c r="C26" s="451">
        <f>SUM(C23:C25)</f>
        <v>827294.62276285724</v>
      </c>
      <c r="D26" s="452"/>
      <c r="E26" s="456">
        <f>SUM(I26:CZ26)+E21</f>
        <v>827294.62276285724</v>
      </c>
      <c r="H26" s="139"/>
      <c r="I26" s="159">
        <f>SUM(I23:I25)</f>
        <v>0</v>
      </c>
      <c r="J26" s="159">
        <f t="shared" ref="J26:BU26" si="17">SUM(J23:J25)</f>
        <v>0</v>
      </c>
      <c r="K26" s="159">
        <f t="shared" si="17"/>
        <v>0</v>
      </c>
      <c r="L26" s="159">
        <f t="shared" si="17"/>
        <v>0</v>
      </c>
      <c r="M26" s="159">
        <f t="shared" si="17"/>
        <v>0</v>
      </c>
      <c r="N26" s="159">
        <f t="shared" si="17"/>
        <v>0</v>
      </c>
      <c r="O26" s="159">
        <f t="shared" si="17"/>
        <v>0</v>
      </c>
      <c r="P26" s="159">
        <f t="shared" si="17"/>
        <v>0</v>
      </c>
      <c r="Q26" s="159">
        <f t="shared" si="17"/>
        <v>0</v>
      </c>
      <c r="R26" s="159">
        <f t="shared" si="17"/>
        <v>0</v>
      </c>
      <c r="S26" s="159">
        <f t="shared" si="17"/>
        <v>0</v>
      </c>
      <c r="T26" s="159">
        <f t="shared" si="17"/>
        <v>0</v>
      </c>
      <c r="U26" s="159">
        <f t="shared" si="17"/>
        <v>0</v>
      </c>
      <c r="V26" s="159">
        <f t="shared" si="17"/>
        <v>0</v>
      </c>
      <c r="W26" s="159">
        <f t="shared" si="17"/>
        <v>0</v>
      </c>
      <c r="X26" s="159">
        <f t="shared" si="17"/>
        <v>0</v>
      </c>
      <c r="Y26" s="159">
        <f t="shared" si="17"/>
        <v>0</v>
      </c>
      <c r="Z26" s="159">
        <f t="shared" si="17"/>
        <v>0</v>
      </c>
      <c r="AA26" s="159">
        <f t="shared" si="17"/>
        <v>0</v>
      </c>
      <c r="AB26" s="159">
        <f t="shared" si="17"/>
        <v>0</v>
      </c>
      <c r="AC26" s="159">
        <f t="shared" si="17"/>
        <v>0</v>
      </c>
      <c r="AD26" s="159">
        <f t="shared" si="17"/>
        <v>0</v>
      </c>
      <c r="AE26" s="159">
        <f t="shared" si="17"/>
        <v>0</v>
      </c>
      <c r="AF26" s="159">
        <f t="shared" si="17"/>
        <v>0</v>
      </c>
      <c r="AG26" s="159">
        <f t="shared" si="17"/>
        <v>0</v>
      </c>
      <c r="AH26" s="159">
        <f t="shared" si="17"/>
        <v>0</v>
      </c>
      <c r="AI26" s="159">
        <f t="shared" si="17"/>
        <v>0</v>
      </c>
      <c r="AJ26" s="159">
        <f t="shared" si="17"/>
        <v>0</v>
      </c>
      <c r="AK26" s="159">
        <f t="shared" si="17"/>
        <v>0</v>
      </c>
      <c r="AL26" s="159">
        <f t="shared" si="17"/>
        <v>0</v>
      </c>
      <c r="AM26" s="159">
        <f t="shared" si="17"/>
        <v>0</v>
      </c>
      <c r="AN26" s="159">
        <f t="shared" si="17"/>
        <v>0</v>
      </c>
      <c r="AO26" s="159">
        <f t="shared" si="17"/>
        <v>76886.117357142866</v>
      </c>
      <c r="AP26" s="159">
        <f t="shared" si="17"/>
        <v>102514.82314285715</v>
      </c>
      <c r="AQ26" s="159">
        <f t="shared" si="17"/>
        <v>128143.52892857147</v>
      </c>
      <c r="AR26" s="159">
        <f t="shared" si="17"/>
        <v>153772.23471428573</v>
      </c>
      <c r="AS26" s="159">
        <f t="shared" si="17"/>
        <v>182988.95931000001</v>
      </c>
      <c r="AT26" s="159">
        <f t="shared" si="17"/>
        <v>182988.95931000001</v>
      </c>
      <c r="AU26" s="159">
        <f t="shared" si="17"/>
        <v>0</v>
      </c>
      <c r="AV26" s="159">
        <f t="shared" si="17"/>
        <v>0</v>
      </c>
      <c r="AW26" s="159">
        <f t="shared" si="17"/>
        <v>0</v>
      </c>
      <c r="AX26" s="159">
        <f t="shared" si="17"/>
        <v>0</v>
      </c>
      <c r="AY26" s="159">
        <f t="shared" si="17"/>
        <v>0</v>
      </c>
      <c r="AZ26" s="159">
        <f t="shared" si="17"/>
        <v>0</v>
      </c>
      <c r="BA26" s="159">
        <f t="shared" si="17"/>
        <v>0</v>
      </c>
      <c r="BB26" s="159">
        <f t="shared" si="17"/>
        <v>0</v>
      </c>
      <c r="BC26" s="159">
        <f t="shared" si="17"/>
        <v>0</v>
      </c>
      <c r="BD26" s="159">
        <f t="shared" si="17"/>
        <v>0</v>
      </c>
      <c r="BE26" s="159">
        <f t="shared" si="17"/>
        <v>0</v>
      </c>
      <c r="BF26" s="159">
        <f t="shared" si="17"/>
        <v>0</v>
      </c>
      <c r="BG26" s="159">
        <f t="shared" si="17"/>
        <v>0</v>
      </c>
      <c r="BH26" s="159">
        <f t="shared" si="17"/>
        <v>0</v>
      </c>
      <c r="BI26" s="159">
        <f t="shared" si="17"/>
        <v>0</v>
      </c>
      <c r="BJ26" s="159">
        <f t="shared" si="17"/>
        <v>0</v>
      </c>
      <c r="BK26" s="159">
        <f t="shared" si="17"/>
        <v>0</v>
      </c>
      <c r="BL26" s="159">
        <f t="shared" si="17"/>
        <v>0</v>
      </c>
      <c r="BM26" s="159">
        <f t="shared" si="17"/>
        <v>0</v>
      </c>
      <c r="BN26" s="159">
        <f t="shared" si="17"/>
        <v>0</v>
      </c>
      <c r="BO26" s="159">
        <f t="shared" si="17"/>
        <v>0</v>
      </c>
      <c r="BP26" s="159">
        <f t="shared" si="17"/>
        <v>0</v>
      </c>
      <c r="BQ26" s="159">
        <f t="shared" si="17"/>
        <v>0</v>
      </c>
      <c r="BR26" s="159">
        <f t="shared" si="17"/>
        <v>0</v>
      </c>
      <c r="BS26" s="159">
        <f t="shared" si="17"/>
        <v>0</v>
      </c>
      <c r="BT26" s="159">
        <f t="shared" si="17"/>
        <v>0</v>
      </c>
      <c r="BU26" s="159">
        <f t="shared" si="17"/>
        <v>0</v>
      </c>
      <c r="BV26" s="159">
        <f t="shared" ref="BV26:CZ26" si="18">SUM(BV23:BV25)</f>
        <v>0</v>
      </c>
      <c r="BW26" s="159">
        <f t="shared" si="18"/>
        <v>0</v>
      </c>
      <c r="BX26" s="159">
        <f t="shared" si="18"/>
        <v>0</v>
      </c>
      <c r="BY26" s="159">
        <f t="shared" si="18"/>
        <v>0</v>
      </c>
      <c r="BZ26" s="159">
        <f t="shared" si="18"/>
        <v>0</v>
      </c>
      <c r="CA26" s="159">
        <f t="shared" si="18"/>
        <v>0</v>
      </c>
      <c r="CB26" s="159">
        <f t="shared" si="18"/>
        <v>0</v>
      </c>
      <c r="CC26" s="159">
        <f t="shared" si="18"/>
        <v>0</v>
      </c>
      <c r="CD26" s="159">
        <f t="shared" si="18"/>
        <v>0</v>
      </c>
      <c r="CE26" s="159">
        <f t="shared" si="18"/>
        <v>0</v>
      </c>
      <c r="CF26" s="159">
        <f t="shared" si="18"/>
        <v>0</v>
      </c>
      <c r="CG26" s="159">
        <f t="shared" si="18"/>
        <v>0</v>
      </c>
      <c r="CH26" s="159">
        <f t="shared" si="18"/>
        <v>0</v>
      </c>
      <c r="CI26" s="159">
        <f t="shared" si="18"/>
        <v>0</v>
      </c>
      <c r="CJ26" s="159">
        <f t="shared" si="18"/>
        <v>0</v>
      </c>
      <c r="CK26" s="159">
        <f t="shared" si="18"/>
        <v>0</v>
      </c>
      <c r="CL26" s="159">
        <f t="shared" si="18"/>
        <v>0</v>
      </c>
      <c r="CM26" s="159">
        <f t="shared" si="18"/>
        <v>0</v>
      </c>
      <c r="CN26" s="159">
        <f t="shared" si="18"/>
        <v>0</v>
      </c>
      <c r="CO26" s="159">
        <f t="shared" si="18"/>
        <v>0</v>
      </c>
      <c r="CP26" s="159">
        <f t="shared" si="18"/>
        <v>0</v>
      </c>
      <c r="CQ26" s="159">
        <f t="shared" si="18"/>
        <v>0</v>
      </c>
      <c r="CR26" s="159">
        <f t="shared" si="18"/>
        <v>0</v>
      </c>
      <c r="CS26" s="159">
        <f t="shared" si="18"/>
        <v>0</v>
      </c>
      <c r="CT26" s="159">
        <f t="shared" si="18"/>
        <v>0</v>
      </c>
      <c r="CU26" s="159">
        <f t="shared" si="18"/>
        <v>0</v>
      </c>
      <c r="CV26" s="159">
        <f t="shared" si="18"/>
        <v>0</v>
      </c>
      <c r="CW26" s="159">
        <f t="shared" si="18"/>
        <v>0</v>
      </c>
      <c r="CX26" s="159">
        <f t="shared" si="18"/>
        <v>0</v>
      </c>
      <c r="CY26" s="159">
        <f t="shared" si="18"/>
        <v>0</v>
      </c>
      <c r="CZ26" s="159">
        <f t="shared" si="18"/>
        <v>0</v>
      </c>
    </row>
    <row r="27" spans="2:104" x14ac:dyDescent="0.35">
      <c r="B27" s="139"/>
      <c r="C27" s="134"/>
      <c r="H27" s="139"/>
      <c r="I27" s="134"/>
    </row>
    <row r="28" spans="2:104" x14ac:dyDescent="0.35">
      <c r="B28" s="142" t="s">
        <v>119</v>
      </c>
      <c r="C28" s="133"/>
      <c r="D28" s="37"/>
      <c r="E28" s="38"/>
      <c r="F28" s="38"/>
      <c r="G28" s="119"/>
      <c r="H28" s="138"/>
      <c r="I28" s="133"/>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row>
    <row r="29" spans="2:104" x14ac:dyDescent="0.35">
      <c r="B29" s="131" t="str">
        <f>'Development Costs'!B14</f>
        <v>Land</v>
      </c>
      <c r="C29" s="130">
        <f>-'Development Costs'!H14</f>
        <v>-5650000</v>
      </c>
      <c r="D29" s="130">
        <f>ROUND(C29-E29,0)</f>
        <v>0</v>
      </c>
      <c r="E29" s="130">
        <f t="shared" ref="E29:E31" si="19">SUM(I29:CZ29)</f>
        <v>-5650000</v>
      </c>
      <c r="F29" s="304">
        <f>Schedule!D13</f>
        <v>44562</v>
      </c>
      <c r="G29" s="304">
        <f>Schedule!E13</f>
        <v>44562</v>
      </c>
      <c r="H29" s="141">
        <f>DATEDIF(F29,G29,"m")+1</f>
        <v>1</v>
      </c>
      <c r="I29" s="130">
        <f>IF(AND(I$7&lt;=$G29,I$7&gt;=$F29,$H29&lt;&gt;0,$H29&lt;&gt;""),$C29/$H29,0)</f>
        <v>-5650000</v>
      </c>
      <c r="J29" s="130">
        <f t="shared" ref="J29:BU30" si="20">IF(AND(J$7&lt;=$G29,J$7&gt;=$F29,$H29&lt;&gt;0,$H29&lt;&gt;""),$C29/$H29,0)</f>
        <v>0</v>
      </c>
      <c r="K29" s="130">
        <f t="shared" si="20"/>
        <v>0</v>
      </c>
      <c r="L29" s="130">
        <f t="shared" si="20"/>
        <v>0</v>
      </c>
      <c r="M29" s="130">
        <f t="shared" si="20"/>
        <v>0</v>
      </c>
      <c r="N29" s="130">
        <f t="shared" si="20"/>
        <v>0</v>
      </c>
      <c r="O29" s="130">
        <f t="shared" si="20"/>
        <v>0</v>
      </c>
      <c r="P29" s="130">
        <f t="shared" si="20"/>
        <v>0</v>
      </c>
      <c r="Q29" s="130">
        <f t="shared" si="20"/>
        <v>0</v>
      </c>
      <c r="R29" s="130">
        <f t="shared" si="20"/>
        <v>0</v>
      </c>
      <c r="S29" s="130">
        <f t="shared" si="20"/>
        <v>0</v>
      </c>
      <c r="T29" s="130">
        <f t="shared" si="20"/>
        <v>0</v>
      </c>
      <c r="U29" s="130">
        <f t="shared" si="20"/>
        <v>0</v>
      </c>
      <c r="V29" s="130">
        <f t="shared" si="20"/>
        <v>0</v>
      </c>
      <c r="W29" s="130">
        <f t="shared" si="20"/>
        <v>0</v>
      </c>
      <c r="X29" s="130">
        <f t="shared" si="20"/>
        <v>0</v>
      </c>
      <c r="Y29" s="130">
        <f t="shared" si="20"/>
        <v>0</v>
      </c>
      <c r="Z29" s="130">
        <f t="shared" si="20"/>
        <v>0</v>
      </c>
      <c r="AA29" s="130">
        <f t="shared" si="20"/>
        <v>0</v>
      </c>
      <c r="AB29" s="130">
        <f t="shared" si="20"/>
        <v>0</v>
      </c>
      <c r="AC29" s="130">
        <f t="shared" si="20"/>
        <v>0</v>
      </c>
      <c r="AD29" s="130">
        <f t="shared" si="20"/>
        <v>0</v>
      </c>
      <c r="AE29" s="130">
        <f t="shared" si="20"/>
        <v>0</v>
      </c>
      <c r="AF29" s="130">
        <f t="shared" si="20"/>
        <v>0</v>
      </c>
      <c r="AG29" s="130">
        <f t="shared" si="20"/>
        <v>0</v>
      </c>
      <c r="AH29" s="130">
        <f t="shared" si="20"/>
        <v>0</v>
      </c>
      <c r="AI29" s="130">
        <f t="shared" si="20"/>
        <v>0</v>
      </c>
      <c r="AJ29" s="130">
        <f t="shared" si="20"/>
        <v>0</v>
      </c>
      <c r="AK29" s="130">
        <f t="shared" si="20"/>
        <v>0</v>
      </c>
      <c r="AL29" s="130">
        <f t="shared" si="20"/>
        <v>0</v>
      </c>
      <c r="AM29" s="130">
        <f t="shared" si="20"/>
        <v>0</v>
      </c>
      <c r="AN29" s="130">
        <f t="shared" si="20"/>
        <v>0</v>
      </c>
      <c r="AO29" s="130">
        <f t="shared" si="20"/>
        <v>0</v>
      </c>
      <c r="AP29" s="130">
        <f t="shared" si="20"/>
        <v>0</v>
      </c>
      <c r="AQ29" s="130">
        <f t="shared" si="20"/>
        <v>0</v>
      </c>
      <c r="AR29" s="130">
        <f t="shared" si="20"/>
        <v>0</v>
      </c>
      <c r="AS29" s="130">
        <f t="shared" si="20"/>
        <v>0</v>
      </c>
      <c r="AT29" s="130">
        <f t="shared" si="20"/>
        <v>0</v>
      </c>
      <c r="AU29" s="130">
        <f t="shared" si="20"/>
        <v>0</v>
      </c>
      <c r="AV29" s="130">
        <f t="shared" si="20"/>
        <v>0</v>
      </c>
      <c r="AW29" s="130">
        <f t="shared" si="20"/>
        <v>0</v>
      </c>
      <c r="AX29" s="130">
        <f t="shared" si="20"/>
        <v>0</v>
      </c>
      <c r="AY29" s="130">
        <f t="shared" si="20"/>
        <v>0</v>
      </c>
      <c r="AZ29" s="130">
        <f t="shared" si="20"/>
        <v>0</v>
      </c>
      <c r="BA29" s="130">
        <f t="shared" si="20"/>
        <v>0</v>
      </c>
      <c r="BB29" s="130">
        <f t="shared" si="20"/>
        <v>0</v>
      </c>
      <c r="BC29" s="130">
        <f t="shared" si="20"/>
        <v>0</v>
      </c>
      <c r="BD29" s="130">
        <f t="shared" si="20"/>
        <v>0</v>
      </c>
      <c r="BE29" s="130">
        <f t="shared" si="20"/>
        <v>0</v>
      </c>
      <c r="BF29" s="130">
        <f t="shared" si="20"/>
        <v>0</v>
      </c>
      <c r="BG29" s="130">
        <f t="shared" si="20"/>
        <v>0</v>
      </c>
      <c r="BH29" s="130">
        <f t="shared" si="20"/>
        <v>0</v>
      </c>
      <c r="BI29" s="130">
        <f t="shared" si="20"/>
        <v>0</v>
      </c>
      <c r="BJ29" s="130">
        <f t="shared" si="20"/>
        <v>0</v>
      </c>
      <c r="BK29" s="130">
        <f t="shared" si="20"/>
        <v>0</v>
      </c>
      <c r="BL29" s="130">
        <f t="shared" si="20"/>
        <v>0</v>
      </c>
      <c r="BM29" s="130">
        <f t="shared" si="20"/>
        <v>0</v>
      </c>
      <c r="BN29" s="130">
        <f t="shared" si="20"/>
        <v>0</v>
      </c>
      <c r="BO29" s="130">
        <f t="shared" si="20"/>
        <v>0</v>
      </c>
      <c r="BP29" s="130">
        <f t="shared" si="20"/>
        <v>0</v>
      </c>
      <c r="BQ29" s="130">
        <f t="shared" si="20"/>
        <v>0</v>
      </c>
      <c r="BR29" s="130">
        <f t="shared" si="20"/>
        <v>0</v>
      </c>
      <c r="BS29" s="130">
        <f t="shared" si="20"/>
        <v>0</v>
      </c>
      <c r="BT29" s="130">
        <f t="shared" si="20"/>
        <v>0</v>
      </c>
      <c r="BU29" s="130">
        <f t="shared" si="20"/>
        <v>0</v>
      </c>
      <c r="BV29" s="130">
        <f t="shared" ref="BV29:CZ30" si="21">IF(AND(BV$7&lt;=$G29,BV$7&gt;=$F29,$H29&lt;&gt;0,$H29&lt;&gt;""),$C29/$H29,0)</f>
        <v>0</v>
      </c>
      <c r="BW29" s="130">
        <f t="shared" si="21"/>
        <v>0</v>
      </c>
      <c r="BX29" s="130">
        <f t="shared" si="21"/>
        <v>0</v>
      </c>
      <c r="BY29" s="130">
        <f t="shared" si="21"/>
        <v>0</v>
      </c>
      <c r="BZ29" s="130">
        <f t="shared" si="21"/>
        <v>0</v>
      </c>
      <c r="CA29" s="130">
        <f t="shared" si="21"/>
        <v>0</v>
      </c>
      <c r="CB29" s="130">
        <f t="shared" si="21"/>
        <v>0</v>
      </c>
      <c r="CC29" s="130">
        <f t="shared" si="21"/>
        <v>0</v>
      </c>
      <c r="CD29" s="130">
        <f t="shared" si="21"/>
        <v>0</v>
      </c>
      <c r="CE29" s="130">
        <f t="shared" si="21"/>
        <v>0</v>
      </c>
      <c r="CF29" s="130">
        <f t="shared" si="21"/>
        <v>0</v>
      </c>
      <c r="CG29" s="130">
        <f t="shared" si="21"/>
        <v>0</v>
      </c>
      <c r="CH29" s="130">
        <f t="shared" si="21"/>
        <v>0</v>
      </c>
      <c r="CI29" s="130">
        <f t="shared" si="21"/>
        <v>0</v>
      </c>
      <c r="CJ29" s="130">
        <f t="shared" si="21"/>
        <v>0</v>
      </c>
      <c r="CK29" s="130">
        <f t="shared" si="21"/>
        <v>0</v>
      </c>
      <c r="CL29" s="130">
        <f t="shared" si="21"/>
        <v>0</v>
      </c>
      <c r="CM29" s="130">
        <f t="shared" si="21"/>
        <v>0</v>
      </c>
      <c r="CN29" s="130">
        <f t="shared" si="21"/>
        <v>0</v>
      </c>
      <c r="CO29" s="130">
        <f t="shared" si="21"/>
        <v>0</v>
      </c>
      <c r="CP29" s="130">
        <f t="shared" si="21"/>
        <v>0</v>
      </c>
      <c r="CQ29" s="130">
        <f t="shared" si="21"/>
        <v>0</v>
      </c>
      <c r="CR29" s="130">
        <f t="shared" si="21"/>
        <v>0</v>
      </c>
      <c r="CS29" s="130">
        <f t="shared" si="21"/>
        <v>0</v>
      </c>
      <c r="CT29" s="130">
        <f t="shared" si="21"/>
        <v>0</v>
      </c>
      <c r="CU29" s="130">
        <f t="shared" si="21"/>
        <v>0</v>
      </c>
      <c r="CV29" s="130">
        <f t="shared" si="21"/>
        <v>0</v>
      </c>
      <c r="CW29" s="130">
        <f t="shared" si="21"/>
        <v>0</v>
      </c>
      <c r="CX29" s="130">
        <f t="shared" si="21"/>
        <v>0</v>
      </c>
      <c r="CY29" s="130">
        <f t="shared" si="21"/>
        <v>0</v>
      </c>
      <c r="CZ29" s="130">
        <f t="shared" si="21"/>
        <v>0</v>
      </c>
    </row>
    <row r="30" spans="2:104" x14ac:dyDescent="0.35">
      <c r="B30" s="131" t="str">
        <f>'Development Costs'!B15</f>
        <v>Closing / Other Cost</v>
      </c>
      <c r="C30" s="130">
        <f>-'Development Costs'!H15</f>
        <v>-339000</v>
      </c>
      <c r="D30" s="130">
        <f>ROUND(C30-E30,0)</f>
        <v>0</v>
      </c>
      <c r="E30" s="130">
        <f t="shared" si="19"/>
        <v>-339000</v>
      </c>
      <c r="F30" s="304">
        <f>F29</f>
        <v>44562</v>
      </c>
      <c r="G30" s="304">
        <f>G29</f>
        <v>44562</v>
      </c>
      <c r="H30" s="141">
        <f t="shared" ref="H30" si="22">DATEDIF(F30,G30,"m")+1</f>
        <v>1</v>
      </c>
      <c r="I30" s="130">
        <f>IF(AND(I$7&lt;=$G30,I$7&gt;=$F30,$H30&lt;&gt;0,$H30&lt;&gt;""),$C30/$H30,0)</f>
        <v>-339000</v>
      </c>
      <c r="J30" s="130">
        <f t="shared" si="20"/>
        <v>0</v>
      </c>
      <c r="K30" s="130">
        <f t="shared" si="20"/>
        <v>0</v>
      </c>
      <c r="L30" s="130">
        <f t="shared" si="20"/>
        <v>0</v>
      </c>
      <c r="M30" s="130">
        <f t="shared" si="20"/>
        <v>0</v>
      </c>
      <c r="N30" s="130">
        <f t="shared" si="20"/>
        <v>0</v>
      </c>
      <c r="O30" s="130">
        <f t="shared" si="20"/>
        <v>0</v>
      </c>
      <c r="P30" s="130">
        <f t="shared" si="20"/>
        <v>0</v>
      </c>
      <c r="Q30" s="130">
        <f t="shared" si="20"/>
        <v>0</v>
      </c>
      <c r="R30" s="130">
        <f t="shared" si="20"/>
        <v>0</v>
      </c>
      <c r="S30" s="130">
        <f t="shared" si="20"/>
        <v>0</v>
      </c>
      <c r="T30" s="130">
        <f t="shared" si="20"/>
        <v>0</v>
      </c>
      <c r="U30" s="130">
        <f t="shared" si="20"/>
        <v>0</v>
      </c>
      <c r="V30" s="130">
        <f t="shared" si="20"/>
        <v>0</v>
      </c>
      <c r="W30" s="130">
        <f t="shared" si="20"/>
        <v>0</v>
      </c>
      <c r="X30" s="130">
        <f t="shared" si="20"/>
        <v>0</v>
      </c>
      <c r="Y30" s="130">
        <f t="shared" si="20"/>
        <v>0</v>
      </c>
      <c r="Z30" s="130">
        <f t="shared" si="20"/>
        <v>0</v>
      </c>
      <c r="AA30" s="130">
        <f t="shared" si="20"/>
        <v>0</v>
      </c>
      <c r="AB30" s="130">
        <f t="shared" si="20"/>
        <v>0</v>
      </c>
      <c r="AC30" s="130">
        <f t="shared" si="20"/>
        <v>0</v>
      </c>
      <c r="AD30" s="130">
        <f t="shared" si="20"/>
        <v>0</v>
      </c>
      <c r="AE30" s="130">
        <f t="shared" si="20"/>
        <v>0</v>
      </c>
      <c r="AF30" s="130">
        <f t="shared" si="20"/>
        <v>0</v>
      </c>
      <c r="AG30" s="130">
        <f t="shared" si="20"/>
        <v>0</v>
      </c>
      <c r="AH30" s="130">
        <f t="shared" si="20"/>
        <v>0</v>
      </c>
      <c r="AI30" s="130">
        <f t="shared" si="20"/>
        <v>0</v>
      </c>
      <c r="AJ30" s="130">
        <f t="shared" si="20"/>
        <v>0</v>
      </c>
      <c r="AK30" s="130">
        <f t="shared" si="20"/>
        <v>0</v>
      </c>
      <c r="AL30" s="130">
        <f t="shared" si="20"/>
        <v>0</v>
      </c>
      <c r="AM30" s="130">
        <f t="shared" si="20"/>
        <v>0</v>
      </c>
      <c r="AN30" s="130">
        <f t="shared" si="20"/>
        <v>0</v>
      </c>
      <c r="AO30" s="130">
        <f t="shared" si="20"/>
        <v>0</v>
      </c>
      <c r="AP30" s="130">
        <f t="shared" si="20"/>
        <v>0</v>
      </c>
      <c r="AQ30" s="130">
        <f t="shared" si="20"/>
        <v>0</v>
      </c>
      <c r="AR30" s="130">
        <f t="shared" si="20"/>
        <v>0</v>
      </c>
      <c r="AS30" s="130">
        <f t="shared" si="20"/>
        <v>0</v>
      </c>
      <c r="AT30" s="130">
        <f t="shared" si="20"/>
        <v>0</v>
      </c>
      <c r="AU30" s="130">
        <f t="shared" si="20"/>
        <v>0</v>
      </c>
      <c r="AV30" s="130">
        <f t="shared" si="20"/>
        <v>0</v>
      </c>
      <c r="AW30" s="130">
        <f t="shared" si="20"/>
        <v>0</v>
      </c>
      <c r="AX30" s="130">
        <f t="shared" si="20"/>
        <v>0</v>
      </c>
      <c r="AY30" s="130">
        <f t="shared" si="20"/>
        <v>0</v>
      </c>
      <c r="AZ30" s="130">
        <f t="shared" si="20"/>
        <v>0</v>
      </c>
      <c r="BA30" s="130">
        <f t="shared" si="20"/>
        <v>0</v>
      </c>
      <c r="BB30" s="130">
        <f t="shared" si="20"/>
        <v>0</v>
      </c>
      <c r="BC30" s="130">
        <f t="shared" si="20"/>
        <v>0</v>
      </c>
      <c r="BD30" s="130">
        <f t="shared" si="20"/>
        <v>0</v>
      </c>
      <c r="BE30" s="130">
        <f t="shared" si="20"/>
        <v>0</v>
      </c>
      <c r="BF30" s="130">
        <f t="shared" si="20"/>
        <v>0</v>
      </c>
      <c r="BG30" s="130">
        <f t="shared" si="20"/>
        <v>0</v>
      </c>
      <c r="BH30" s="130">
        <f t="shared" si="20"/>
        <v>0</v>
      </c>
      <c r="BI30" s="130">
        <f t="shared" si="20"/>
        <v>0</v>
      </c>
      <c r="BJ30" s="130">
        <f t="shared" si="20"/>
        <v>0</v>
      </c>
      <c r="BK30" s="130">
        <f t="shared" si="20"/>
        <v>0</v>
      </c>
      <c r="BL30" s="130">
        <f t="shared" si="20"/>
        <v>0</v>
      </c>
      <c r="BM30" s="130">
        <f t="shared" si="20"/>
        <v>0</v>
      </c>
      <c r="BN30" s="130">
        <f t="shared" si="20"/>
        <v>0</v>
      </c>
      <c r="BO30" s="130">
        <f t="shared" si="20"/>
        <v>0</v>
      </c>
      <c r="BP30" s="130">
        <f t="shared" si="20"/>
        <v>0</v>
      </c>
      <c r="BQ30" s="130">
        <f t="shared" si="20"/>
        <v>0</v>
      </c>
      <c r="BR30" s="130">
        <f t="shared" si="20"/>
        <v>0</v>
      </c>
      <c r="BS30" s="130">
        <f t="shared" si="20"/>
        <v>0</v>
      </c>
      <c r="BT30" s="130">
        <f t="shared" si="20"/>
        <v>0</v>
      </c>
      <c r="BU30" s="130">
        <f t="shared" si="20"/>
        <v>0</v>
      </c>
      <c r="BV30" s="130">
        <f t="shared" si="21"/>
        <v>0</v>
      </c>
      <c r="BW30" s="130">
        <f t="shared" si="21"/>
        <v>0</v>
      </c>
      <c r="BX30" s="130">
        <f t="shared" si="21"/>
        <v>0</v>
      </c>
      <c r="BY30" s="130">
        <f t="shared" si="21"/>
        <v>0</v>
      </c>
      <c r="BZ30" s="130">
        <f t="shared" si="21"/>
        <v>0</v>
      </c>
      <c r="CA30" s="130">
        <f t="shared" si="21"/>
        <v>0</v>
      </c>
      <c r="CB30" s="130">
        <f t="shared" si="21"/>
        <v>0</v>
      </c>
      <c r="CC30" s="130">
        <f t="shared" si="21"/>
        <v>0</v>
      </c>
      <c r="CD30" s="130">
        <f t="shared" si="21"/>
        <v>0</v>
      </c>
      <c r="CE30" s="130">
        <f t="shared" si="21"/>
        <v>0</v>
      </c>
      <c r="CF30" s="130">
        <f t="shared" si="21"/>
        <v>0</v>
      </c>
      <c r="CG30" s="130">
        <f t="shared" si="21"/>
        <v>0</v>
      </c>
      <c r="CH30" s="130">
        <f t="shared" si="21"/>
        <v>0</v>
      </c>
      <c r="CI30" s="130">
        <f t="shared" si="21"/>
        <v>0</v>
      </c>
      <c r="CJ30" s="130">
        <f t="shared" si="21"/>
        <v>0</v>
      </c>
      <c r="CK30" s="130">
        <f t="shared" si="21"/>
        <v>0</v>
      </c>
      <c r="CL30" s="130">
        <f t="shared" si="21"/>
        <v>0</v>
      </c>
      <c r="CM30" s="130">
        <f t="shared" si="21"/>
        <v>0</v>
      </c>
      <c r="CN30" s="130">
        <f t="shared" si="21"/>
        <v>0</v>
      </c>
      <c r="CO30" s="130">
        <f t="shared" si="21"/>
        <v>0</v>
      </c>
      <c r="CP30" s="130">
        <f t="shared" si="21"/>
        <v>0</v>
      </c>
      <c r="CQ30" s="130">
        <f t="shared" si="21"/>
        <v>0</v>
      </c>
      <c r="CR30" s="130">
        <f t="shared" si="21"/>
        <v>0</v>
      </c>
      <c r="CS30" s="130">
        <f t="shared" si="21"/>
        <v>0</v>
      </c>
      <c r="CT30" s="130">
        <f t="shared" si="21"/>
        <v>0</v>
      </c>
      <c r="CU30" s="130">
        <f t="shared" si="21"/>
        <v>0</v>
      </c>
      <c r="CV30" s="130">
        <f t="shared" si="21"/>
        <v>0</v>
      </c>
      <c r="CW30" s="130">
        <f t="shared" si="21"/>
        <v>0</v>
      </c>
      <c r="CX30" s="130">
        <f t="shared" si="21"/>
        <v>0</v>
      </c>
      <c r="CY30" s="130">
        <f t="shared" si="21"/>
        <v>0</v>
      </c>
      <c r="CZ30" s="130">
        <f t="shared" si="21"/>
        <v>0</v>
      </c>
    </row>
    <row r="31" spans="2:104" x14ac:dyDescent="0.35">
      <c r="B31" s="143" t="str">
        <f>'Development Costs'!B16</f>
        <v>Total Land Costs</v>
      </c>
      <c r="C31" s="144">
        <f>-'Development Costs'!H16</f>
        <v>-5989000</v>
      </c>
      <c r="D31" s="144">
        <f t="shared" ref="D31" si="23">C31-E31</f>
        <v>0</v>
      </c>
      <c r="E31" s="144">
        <f t="shared" si="19"/>
        <v>-5989000</v>
      </c>
      <c r="F31" s="145"/>
      <c r="G31" s="146"/>
      <c r="H31" s="147"/>
      <c r="I31" s="144">
        <f>SUM(I29:I30)</f>
        <v>-5989000</v>
      </c>
      <c r="J31" s="144">
        <f t="shared" ref="J31:BU31" si="24">SUM(J29:J30)</f>
        <v>0</v>
      </c>
      <c r="K31" s="144">
        <f t="shared" si="24"/>
        <v>0</v>
      </c>
      <c r="L31" s="144">
        <f t="shared" si="24"/>
        <v>0</v>
      </c>
      <c r="M31" s="144">
        <f t="shared" si="24"/>
        <v>0</v>
      </c>
      <c r="N31" s="144">
        <f t="shared" si="24"/>
        <v>0</v>
      </c>
      <c r="O31" s="144">
        <f t="shared" si="24"/>
        <v>0</v>
      </c>
      <c r="P31" s="144">
        <f t="shared" si="24"/>
        <v>0</v>
      </c>
      <c r="Q31" s="144">
        <f t="shared" si="24"/>
        <v>0</v>
      </c>
      <c r="R31" s="144">
        <f t="shared" si="24"/>
        <v>0</v>
      </c>
      <c r="S31" s="144">
        <f t="shared" si="24"/>
        <v>0</v>
      </c>
      <c r="T31" s="144">
        <f t="shared" si="24"/>
        <v>0</v>
      </c>
      <c r="U31" s="144">
        <f t="shared" si="24"/>
        <v>0</v>
      </c>
      <c r="V31" s="144">
        <f t="shared" si="24"/>
        <v>0</v>
      </c>
      <c r="W31" s="144">
        <f t="shared" si="24"/>
        <v>0</v>
      </c>
      <c r="X31" s="144">
        <f t="shared" si="24"/>
        <v>0</v>
      </c>
      <c r="Y31" s="144">
        <f t="shared" si="24"/>
        <v>0</v>
      </c>
      <c r="Z31" s="144">
        <f t="shared" si="24"/>
        <v>0</v>
      </c>
      <c r="AA31" s="144">
        <f t="shared" si="24"/>
        <v>0</v>
      </c>
      <c r="AB31" s="144">
        <f t="shared" si="24"/>
        <v>0</v>
      </c>
      <c r="AC31" s="144">
        <f t="shared" si="24"/>
        <v>0</v>
      </c>
      <c r="AD31" s="144">
        <f t="shared" si="24"/>
        <v>0</v>
      </c>
      <c r="AE31" s="144">
        <f t="shared" si="24"/>
        <v>0</v>
      </c>
      <c r="AF31" s="144">
        <f t="shared" si="24"/>
        <v>0</v>
      </c>
      <c r="AG31" s="144">
        <f t="shared" si="24"/>
        <v>0</v>
      </c>
      <c r="AH31" s="144">
        <f t="shared" si="24"/>
        <v>0</v>
      </c>
      <c r="AI31" s="144">
        <f t="shared" si="24"/>
        <v>0</v>
      </c>
      <c r="AJ31" s="144">
        <f t="shared" si="24"/>
        <v>0</v>
      </c>
      <c r="AK31" s="144">
        <f t="shared" si="24"/>
        <v>0</v>
      </c>
      <c r="AL31" s="144">
        <f t="shared" si="24"/>
        <v>0</v>
      </c>
      <c r="AM31" s="144">
        <f t="shared" si="24"/>
        <v>0</v>
      </c>
      <c r="AN31" s="144">
        <f t="shared" si="24"/>
        <v>0</v>
      </c>
      <c r="AO31" s="144">
        <f t="shared" si="24"/>
        <v>0</v>
      </c>
      <c r="AP31" s="144">
        <f t="shared" si="24"/>
        <v>0</v>
      </c>
      <c r="AQ31" s="144">
        <f t="shared" si="24"/>
        <v>0</v>
      </c>
      <c r="AR31" s="144">
        <f t="shared" si="24"/>
        <v>0</v>
      </c>
      <c r="AS31" s="144">
        <f t="shared" si="24"/>
        <v>0</v>
      </c>
      <c r="AT31" s="144">
        <f t="shared" si="24"/>
        <v>0</v>
      </c>
      <c r="AU31" s="144">
        <f t="shared" si="24"/>
        <v>0</v>
      </c>
      <c r="AV31" s="144">
        <f t="shared" si="24"/>
        <v>0</v>
      </c>
      <c r="AW31" s="144">
        <f t="shared" si="24"/>
        <v>0</v>
      </c>
      <c r="AX31" s="144">
        <f t="shared" si="24"/>
        <v>0</v>
      </c>
      <c r="AY31" s="144">
        <f t="shared" si="24"/>
        <v>0</v>
      </c>
      <c r="AZ31" s="144">
        <f t="shared" si="24"/>
        <v>0</v>
      </c>
      <c r="BA31" s="144">
        <f t="shared" si="24"/>
        <v>0</v>
      </c>
      <c r="BB31" s="144">
        <f t="shared" si="24"/>
        <v>0</v>
      </c>
      <c r="BC31" s="144">
        <f t="shared" si="24"/>
        <v>0</v>
      </c>
      <c r="BD31" s="144">
        <f t="shared" si="24"/>
        <v>0</v>
      </c>
      <c r="BE31" s="144">
        <f t="shared" si="24"/>
        <v>0</v>
      </c>
      <c r="BF31" s="144">
        <f t="shared" si="24"/>
        <v>0</v>
      </c>
      <c r="BG31" s="144">
        <f t="shared" si="24"/>
        <v>0</v>
      </c>
      <c r="BH31" s="144">
        <f t="shared" si="24"/>
        <v>0</v>
      </c>
      <c r="BI31" s="144">
        <f t="shared" si="24"/>
        <v>0</v>
      </c>
      <c r="BJ31" s="144">
        <f t="shared" si="24"/>
        <v>0</v>
      </c>
      <c r="BK31" s="144">
        <f t="shared" si="24"/>
        <v>0</v>
      </c>
      <c r="BL31" s="144">
        <f t="shared" si="24"/>
        <v>0</v>
      </c>
      <c r="BM31" s="144">
        <f t="shared" si="24"/>
        <v>0</v>
      </c>
      <c r="BN31" s="144">
        <f t="shared" si="24"/>
        <v>0</v>
      </c>
      <c r="BO31" s="144">
        <f t="shared" si="24"/>
        <v>0</v>
      </c>
      <c r="BP31" s="144">
        <f t="shared" si="24"/>
        <v>0</v>
      </c>
      <c r="BQ31" s="144">
        <f t="shared" si="24"/>
        <v>0</v>
      </c>
      <c r="BR31" s="144">
        <f t="shared" si="24"/>
        <v>0</v>
      </c>
      <c r="BS31" s="144">
        <f t="shared" si="24"/>
        <v>0</v>
      </c>
      <c r="BT31" s="144">
        <f t="shared" si="24"/>
        <v>0</v>
      </c>
      <c r="BU31" s="144">
        <f t="shared" si="24"/>
        <v>0</v>
      </c>
      <c r="BV31" s="144">
        <f t="shared" ref="BV31:CZ31" si="25">SUM(BV29:BV30)</f>
        <v>0</v>
      </c>
      <c r="BW31" s="144">
        <f t="shared" si="25"/>
        <v>0</v>
      </c>
      <c r="BX31" s="144">
        <f t="shared" si="25"/>
        <v>0</v>
      </c>
      <c r="BY31" s="144">
        <f t="shared" si="25"/>
        <v>0</v>
      </c>
      <c r="BZ31" s="144">
        <f t="shared" si="25"/>
        <v>0</v>
      </c>
      <c r="CA31" s="144">
        <f t="shared" si="25"/>
        <v>0</v>
      </c>
      <c r="CB31" s="144">
        <f t="shared" si="25"/>
        <v>0</v>
      </c>
      <c r="CC31" s="144">
        <f t="shared" si="25"/>
        <v>0</v>
      </c>
      <c r="CD31" s="144">
        <f t="shared" si="25"/>
        <v>0</v>
      </c>
      <c r="CE31" s="144">
        <f t="shared" si="25"/>
        <v>0</v>
      </c>
      <c r="CF31" s="144">
        <f t="shared" si="25"/>
        <v>0</v>
      </c>
      <c r="CG31" s="144">
        <f t="shared" si="25"/>
        <v>0</v>
      </c>
      <c r="CH31" s="144">
        <f t="shared" si="25"/>
        <v>0</v>
      </c>
      <c r="CI31" s="144">
        <f t="shared" si="25"/>
        <v>0</v>
      </c>
      <c r="CJ31" s="144">
        <f t="shared" si="25"/>
        <v>0</v>
      </c>
      <c r="CK31" s="144">
        <f t="shared" si="25"/>
        <v>0</v>
      </c>
      <c r="CL31" s="144">
        <f t="shared" si="25"/>
        <v>0</v>
      </c>
      <c r="CM31" s="144">
        <f t="shared" si="25"/>
        <v>0</v>
      </c>
      <c r="CN31" s="144">
        <f t="shared" si="25"/>
        <v>0</v>
      </c>
      <c r="CO31" s="144">
        <f t="shared" si="25"/>
        <v>0</v>
      </c>
      <c r="CP31" s="144">
        <f t="shared" si="25"/>
        <v>0</v>
      </c>
      <c r="CQ31" s="144">
        <f t="shared" si="25"/>
        <v>0</v>
      </c>
      <c r="CR31" s="144">
        <f t="shared" si="25"/>
        <v>0</v>
      </c>
      <c r="CS31" s="144">
        <f t="shared" si="25"/>
        <v>0</v>
      </c>
      <c r="CT31" s="144">
        <f t="shared" si="25"/>
        <v>0</v>
      </c>
      <c r="CU31" s="144">
        <f t="shared" si="25"/>
        <v>0</v>
      </c>
      <c r="CV31" s="144">
        <f t="shared" si="25"/>
        <v>0</v>
      </c>
      <c r="CW31" s="144">
        <f t="shared" si="25"/>
        <v>0</v>
      </c>
      <c r="CX31" s="144">
        <f t="shared" si="25"/>
        <v>0</v>
      </c>
      <c r="CY31" s="144">
        <f t="shared" si="25"/>
        <v>0</v>
      </c>
      <c r="CZ31" s="144">
        <f t="shared" si="25"/>
        <v>0</v>
      </c>
    </row>
    <row r="32" spans="2:104" x14ac:dyDescent="0.35">
      <c r="B32" s="139"/>
      <c r="C32" s="134"/>
      <c r="E32" s="35"/>
      <c r="F32" s="35"/>
      <c r="H32" s="139"/>
      <c r="I32" s="134"/>
    </row>
    <row r="33" spans="1:104" x14ac:dyDescent="0.35">
      <c r="B33" s="142" t="s">
        <v>121</v>
      </c>
      <c r="C33" s="133"/>
      <c r="D33" s="37"/>
      <c r="E33" s="38"/>
      <c r="F33" s="38"/>
      <c r="G33" s="119"/>
      <c r="H33" s="138"/>
      <c r="I33" s="133"/>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row>
    <row r="34" spans="1:104" x14ac:dyDescent="0.35">
      <c r="A34" s="178" t="s">
        <v>179</v>
      </c>
      <c r="B34" s="131" t="s">
        <v>183</v>
      </c>
      <c r="C34" s="130"/>
      <c r="D34" s="130"/>
      <c r="E34" s="130"/>
      <c r="F34" s="109"/>
      <c r="G34" s="109"/>
      <c r="H34" s="141"/>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row>
    <row r="35" spans="1:104" x14ac:dyDescent="0.35">
      <c r="A35" s="179" t="s">
        <v>180</v>
      </c>
      <c r="B35" s="131">
        <v>2</v>
      </c>
      <c r="C35" s="177" t="s">
        <v>178</v>
      </c>
      <c r="D35" s="176">
        <f>H36/B35</f>
        <v>9.5</v>
      </c>
      <c r="F35" s="109"/>
      <c r="G35" s="109"/>
      <c r="H35" s="141"/>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0"/>
      <c r="CN35" s="130"/>
      <c r="CO35" s="130"/>
      <c r="CP35" s="130"/>
      <c r="CQ35" s="130"/>
      <c r="CR35" s="130"/>
      <c r="CS35" s="130"/>
      <c r="CT35" s="130"/>
      <c r="CU35" s="130"/>
      <c r="CV35" s="130"/>
      <c r="CW35" s="130"/>
      <c r="CX35" s="130"/>
      <c r="CY35" s="130"/>
      <c r="CZ35" s="130"/>
    </row>
    <row r="36" spans="1:104" s="43" customFormat="1" x14ac:dyDescent="0.35">
      <c r="A36" s="179" t="s">
        <v>181</v>
      </c>
      <c r="B36" s="166" t="s">
        <v>176</v>
      </c>
      <c r="C36" s="173">
        <v>1</v>
      </c>
      <c r="D36" s="173">
        <f>C36-E36</f>
        <v>0</v>
      </c>
      <c r="E36" s="173">
        <f t="shared" ref="E36:E37" si="26">SUM(I36:CZ36)</f>
        <v>0.99999999999999978</v>
      </c>
      <c r="F36" s="171">
        <f>F41</f>
        <v>44986</v>
      </c>
      <c r="G36" s="171">
        <f>G41</f>
        <v>45536</v>
      </c>
      <c r="H36" s="172">
        <f t="shared" ref="H36:H37" si="27">DATEDIF(F36,G36,"m")+1</f>
        <v>19</v>
      </c>
      <c r="I36" s="175">
        <f t="shared" ref="I36:AN36" si="28">IF(AND(I$7&gt;=$F36,I$7&lt;=$G36),(_xlfn.NORM.DIST((YEAR(I$7)-YEAR($F36))*12+MONTH(I$7)-MONTH($F36)+1,$H36/2,$D35,TRUE)-_xlfn.NORM.DIST((YEAR(I$7)-YEAR($F36))*12+MONTH(I$7)-MONTH($F36),$H36/2,$D35,TRUE))/(1-2*_xlfn.NORM.DIST(0,$H36/2,$D35,TRUE))*$C36,0)</f>
        <v>0</v>
      </c>
      <c r="J36" s="175">
        <f t="shared" si="28"/>
        <v>0</v>
      </c>
      <c r="K36" s="175">
        <f t="shared" si="28"/>
        <v>0</v>
      </c>
      <c r="L36" s="175">
        <f t="shared" si="28"/>
        <v>0</v>
      </c>
      <c r="M36" s="175">
        <f t="shared" si="28"/>
        <v>0</v>
      </c>
      <c r="N36" s="175">
        <f t="shared" si="28"/>
        <v>0</v>
      </c>
      <c r="O36" s="175">
        <f t="shared" si="28"/>
        <v>0</v>
      </c>
      <c r="P36" s="175">
        <f t="shared" si="28"/>
        <v>0</v>
      </c>
      <c r="Q36" s="175">
        <f t="shared" si="28"/>
        <v>0</v>
      </c>
      <c r="R36" s="175">
        <f t="shared" si="28"/>
        <v>0</v>
      </c>
      <c r="S36" s="175">
        <f t="shared" si="28"/>
        <v>0</v>
      </c>
      <c r="T36" s="175">
        <f t="shared" si="28"/>
        <v>0</v>
      </c>
      <c r="U36" s="175">
        <f t="shared" si="28"/>
        <v>0</v>
      </c>
      <c r="V36" s="175">
        <f t="shared" si="28"/>
        <v>0</v>
      </c>
      <c r="W36" s="175">
        <f t="shared" si="28"/>
        <v>3.9269149466416464E-2</v>
      </c>
      <c r="X36" s="175">
        <f t="shared" si="28"/>
        <v>4.3143644384697623E-2</v>
      </c>
      <c r="Y36" s="175">
        <f t="shared" si="28"/>
        <v>4.6878582692781466E-2</v>
      </c>
      <c r="Z36" s="175">
        <f t="shared" si="28"/>
        <v>5.0376087125693393E-2</v>
      </c>
      <c r="AA36" s="175">
        <f t="shared" si="28"/>
        <v>5.3538562140213214E-2</v>
      </c>
      <c r="AB36" s="175">
        <f t="shared" si="28"/>
        <v>5.6273158135216432E-2</v>
      </c>
      <c r="AC36" s="175">
        <f t="shared" si="28"/>
        <v>5.8496271964211165E-2</v>
      </c>
      <c r="AD36" s="175">
        <f t="shared" si="28"/>
        <v>6.0137781505297867E-2</v>
      </c>
      <c r="AE36" s="175">
        <f t="shared" si="28"/>
        <v>6.1144715862349923E-2</v>
      </c>
      <c r="AF36" s="175">
        <f t="shared" si="28"/>
        <v>6.1484093446244836E-2</v>
      </c>
      <c r="AG36" s="175">
        <f t="shared" si="28"/>
        <v>6.1144715862350006E-2</v>
      </c>
      <c r="AH36" s="175">
        <f t="shared" si="28"/>
        <v>6.0137781505297701E-2</v>
      </c>
      <c r="AI36" s="175">
        <f t="shared" si="28"/>
        <v>5.8496271964211248E-2</v>
      </c>
      <c r="AJ36" s="175">
        <f t="shared" si="28"/>
        <v>5.6273158135216432E-2</v>
      </c>
      <c r="AK36" s="175">
        <f t="shared" si="28"/>
        <v>5.3538562140213214E-2</v>
      </c>
      <c r="AL36" s="175">
        <f t="shared" si="28"/>
        <v>5.0376087125693469E-2</v>
      </c>
      <c r="AM36" s="175">
        <f t="shared" si="28"/>
        <v>4.6878582692781383E-2</v>
      </c>
      <c r="AN36" s="175">
        <f t="shared" si="28"/>
        <v>4.3143644384697623E-2</v>
      </c>
      <c r="AO36" s="175">
        <f t="shared" ref="AO36:BT36" si="29">IF(AND(AO$7&gt;=$F36,AO$7&lt;=$G36),(_xlfn.NORM.DIST((YEAR(AO$7)-YEAR($F36))*12+MONTH(AO$7)-MONTH($F36)+1,$H36/2,$D35,TRUE)-_xlfn.NORM.DIST((YEAR(AO$7)-YEAR($F36))*12+MONTH(AO$7)-MONTH($F36),$H36/2,$D35,TRUE))/(1-2*_xlfn.NORM.DIST(0,$H36/2,$D35,TRUE))*$C36,0)</f>
        <v>3.9269149466416506E-2</v>
      </c>
      <c r="AP36" s="175">
        <f t="shared" si="29"/>
        <v>0</v>
      </c>
      <c r="AQ36" s="175">
        <f t="shared" si="29"/>
        <v>0</v>
      </c>
      <c r="AR36" s="175">
        <f t="shared" si="29"/>
        <v>0</v>
      </c>
      <c r="AS36" s="175">
        <f t="shared" si="29"/>
        <v>0</v>
      </c>
      <c r="AT36" s="175">
        <f t="shared" si="29"/>
        <v>0</v>
      </c>
      <c r="AU36" s="175">
        <f t="shared" si="29"/>
        <v>0</v>
      </c>
      <c r="AV36" s="175">
        <f t="shared" si="29"/>
        <v>0</v>
      </c>
      <c r="AW36" s="175">
        <f t="shared" si="29"/>
        <v>0</v>
      </c>
      <c r="AX36" s="175">
        <f t="shared" si="29"/>
        <v>0</v>
      </c>
      <c r="AY36" s="175">
        <f t="shared" si="29"/>
        <v>0</v>
      </c>
      <c r="AZ36" s="175">
        <f t="shared" si="29"/>
        <v>0</v>
      </c>
      <c r="BA36" s="175">
        <f t="shared" si="29"/>
        <v>0</v>
      </c>
      <c r="BB36" s="175">
        <f t="shared" si="29"/>
        <v>0</v>
      </c>
      <c r="BC36" s="175">
        <f t="shared" si="29"/>
        <v>0</v>
      </c>
      <c r="BD36" s="175">
        <f t="shared" si="29"/>
        <v>0</v>
      </c>
      <c r="BE36" s="175">
        <f t="shared" si="29"/>
        <v>0</v>
      </c>
      <c r="BF36" s="175">
        <f t="shared" si="29"/>
        <v>0</v>
      </c>
      <c r="BG36" s="175">
        <f t="shared" si="29"/>
        <v>0</v>
      </c>
      <c r="BH36" s="175">
        <f t="shared" si="29"/>
        <v>0</v>
      </c>
      <c r="BI36" s="175">
        <f t="shared" si="29"/>
        <v>0</v>
      </c>
      <c r="BJ36" s="175">
        <f t="shared" si="29"/>
        <v>0</v>
      </c>
      <c r="BK36" s="175">
        <f t="shared" si="29"/>
        <v>0</v>
      </c>
      <c r="BL36" s="175">
        <f t="shared" si="29"/>
        <v>0</v>
      </c>
      <c r="BM36" s="175">
        <f t="shared" si="29"/>
        <v>0</v>
      </c>
      <c r="BN36" s="175">
        <f t="shared" si="29"/>
        <v>0</v>
      </c>
      <c r="BO36" s="175">
        <f t="shared" si="29"/>
        <v>0</v>
      </c>
      <c r="BP36" s="175">
        <f t="shared" si="29"/>
        <v>0</v>
      </c>
      <c r="BQ36" s="175">
        <f t="shared" si="29"/>
        <v>0</v>
      </c>
      <c r="BR36" s="175">
        <f t="shared" si="29"/>
        <v>0</v>
      </c>
      <c r="BS36" s="175">
        <f t="shared" si="29"/>
        <v>0</v>
      </c>
      <c r="BT36" s="175">
        <f t="shared" si="29"/>
        <v>0</v>
      </c>
      <c r="BU36" s="175">
        <f t="shared" ref="BU36:CZ36" si="30">IF(AND(BU$7&gt;=$F36,BU$7&lt;=$G36),(_xlfn.NORM.DIST((YEAR(BU$7)-YEAR($F36))*12+MONTH(BU$7)-MONTH($F36)+1,$H36/2,$D35,TRUE)-_xlfn.NORM.DIST((YEAR(BU$7)-YEAR($F36))*12+MONTH(BU$7)-MONTH($F36),$H36/2,$D35,TRUE))/(1-2*_xlfn.NORM.DIST(0,$H36/2,$D35,TRUE))*$C36,0)</f>
        <v>0</v>
      </c>
      <c r="BV36" s="175">
        <f t="shared" si="30"/>
        <v>0</v>
      </c>
      <c r="BW36" s="175">
        <f t="shared" si="30"/>
        <v>0</v>
      </c>
      <c r="BX36" s="175">
        <f t="shared" si="30"/>
        <v>0</v>
      </c>
      <c r="BY36" s="175">
        <f t="shared" si="30"/>
        <v>0</v>
      </c>
      <c r="BZ36" s="175">
        <f t="shared" si="30"/>
        <v>0</v>
      </c>
      <c r="CA36" s="175">
        <f t="shared" si="30"/>
        <v>0</v>
      </c>
      <c r="CB36" s="175">
        <f t="shared" si="30"/>
        <v>0</v>
      </c>
      <c r="CC36" s="175">
        <f t="shared" si="30"/>
        <v>0</v>
      </c>
      <c r="CD36" s="175">
        <f t="shared" si="30"/>
        <v>0</v>
      </c>
      <c r="CE36" s="175">
        <f t="shared" si="30"/>
        <v>0</v>
      </c>
      <c r="CF36" s="175">
        <f t="shared" si="30"/>
        <v>0</v>
      </c>
      <c r="CG36" s="175">
        <f t="shared" si="30"/>
        <v>0</v>
      </c>
      <c r="CH36" s="175">
        <f t="shared" si="30"/>
        <v>0</v>
      </c>
      <c r="CI36" s="175">
        <f t="shared" si="30"/>
        <v>0</v>
      </c>
      <c r="CJ36" s="175">
        <f t="shared" si="30"/>
        <v>0</v>
      </c>
      <c r="CK36" s="175">
        <f t="shared" si="30"/>
        <v>0</v>
      </c>
      <c r="CL36" s="175">
        <f t="shared" si="30"/>
        <v>0</v>
      </c>
      <c r="CM36" s="175">
        <f t="shared" si="30"/>
        <v>0</v>
      </c>
      <c r="CN36" s="175">
        <f t="shared" si="30"/>
        <v>0</v>
      </c>
      <c r="CO36" s="175">
        <f t="shared" si="30"/>
        <v>0</v>
      </c>
      <c r="CP36" s="175">
        <f t="shared" si="30"/>
        <v>0</v>
      </c>
      <c r="CQ36" s="175">
        <f t="shared" si="30"/>
        <v>0</v>
      </c>
      <c r="CR36" s="175">
        <f t="shared" si="30"/>
        <v>0</v>
      </c>
      <c r="CS36" s="175">
        <f t="shared" si="30"/>
        <v>0</v>
      </c>
      <c r="CT36" s="175">
        <f t="shared" si="30"/>
        <v>0</v>
      </c>
      <c r="CU36" s="175">
        <f t="shared" si="30"/>
        <v>0</v>
      </c>
      <c r="CV36" s="175">
        <f t="shared" si="30"/>
        <v>0</v>
      </c>
      <c r="CW36" s="175">
        <f t="shared" si="30"/>
        <v>0</v>
      </c>
      <c r="CX36" s="175">
        <f t="shared" si="30"/>
        <v>0</v>
      </c>
      <c r="CY36" s="175">
        <f t="shared" si="30"/>
        <v>0</v>
      </c>
      <c r="CZ36" s="175">
        <f t="shared" si="30"/>
        <v>0</v>
      </c>
    </row>
    <row r="37" spans="1:104" s="43" customFormat="1" x14ac:dyDescent="0.35">
      <c r="A37" s="178" t="s">
        <v>182</v>
      </c>
      <c r="B37" s="166" t="s">
        <v>177</v>
      </c>
      <c r="C37" s="173">
        <v>1</v>
      </c>
      <c r="D37" s="173">
        <f>C37-E37</f>
        <v>0</v>
      </c>
      <c r="E37" s="173">
        <f t="shared" si="26"/>
        <v>0.99999999999999956</v>
      </c>
      <c r="F37" s="171">
        <f>F41</f>
        <v>44986</v>
      </c>
      <c r="G37" s="171">
        <f>G41</f>
        <v>45536</v>
      </c>
      <c r="H37" s="172">
        <f t="shared" si="27"/>
        <v>19</v>
      </c>
      <c r="I37" s="174">
        <f t="shared" ref="I37:BT37" si="31">IF(AND(I$7&lt;=$G37,I$7&gt;=$F37,$H37&lt;&gt;0,$H37&lt;&gt;""),$C37/$H37,0)</f>
        <v>0</v>
      </c>
      <c r="J37" s="175">
        <f t="shared" si="31"/>
        <v>0</v>
      </c>
      <c r="K37" s="175">
        <f t="shared" si="31"/>
        <v>0</v>
      </c>
      <c r="L37" s="175">
        <f t="shared" si="31"/>
        <v>0</v>
      </c>
      <c r="M37" s="175">
        <f t="shared" si="31"/>
        <v>0</v>
      </c>
      <c r="N37" s="175">
        <f t="shared" si="31"/>
        <v>0</v>
      </c>
      <c r="O37" s="175">
        <f t="shared" si="31"/>
        <v>0</v>
      </c>
      <c r="P37" s="175">
        <f t="shared" si="31"/>
        <v>0</v>
      </c>
      <c r="Q37" s="175">
        <f t="shared" si="31"/>
        <v>0</v>
      </c>
      <c r="R37" s="175">
        <f t="shared" si="31"/>
        <v>0</v>
      </c>
      <c r="S37" s="175">
        <f t="shared" si="31"/>
        <v>0</v>
      </c>
      <c r="T37" s="175">
        <f t="shared" si="31"/>
        <v>0</v>
      </c>
      <c r="U37" s="175">
        <f t="shared" si="31"/>
        <v>0</v>
      </c>
      <c r="V37" s="175">
        <f t="shared" si="31"/>
        <v>0</v>
      </c>
      <c r="W37" s="175">
        <f t="shared" si="31"/>
        <v>5.2631578947368418E-2</v>
      </c>
      <c r="X37" s="175">
        <f t="shared" si="31"/>
        <v>5.2631578947368418E-2</v>
      </c>
      <c r="Y37" s="175">
        <f t="shared" si="31"/>
        <v>5.2631578947368418E-2</v>
      </c>
      <c r="Z37" s="175">
        <f t="shared" si="31"/>
        <v>5.2631578947368418E-2</v>
      </c>
      <c r="AA37" s="175">
        <f t="shared" si="31"/>
        <v>5.2631578947368418E-2</v>
      </c>
      <c r="AB37" s="175">
        <f t="shared" si="31"/>
        <v>5.2631578947368418E-2</v>
      </c>
      <c r="AC37" s="175">
        <f t="shared" si="31"/>
        <v>5.2631578947368418E-2</v>
      </c>
      <c r="AD37" s="175">
        <f t="shared" si="31"/>
        <v>5.2631578947368418E-2</v>
      </c>
      <c r="AE37" s="175">
        <f t="shared" si="31"/>
        <v>5.2631578947368418E-2</v>
      </c>
      <c r="AF37" s="175">
        <f t="shared" si="31"/>
        <v>5.2631578947368418E-2</v>
      </c>
      <c r="AG37" s="175">
        <f t="shared" si="31"/>
        <v>5.2631578947368418E-2</v>
      </c>
      <c r="AH37" s="175">
        <f t="shared" si="31"/>
        <v>5.2631578947368418E-2</v>
      </c>
      <c r="AI37" s="175">
        <f t="shared" si="31"/>
        <v>5.2631578947368418E-2</v>
      </c>
      <c r="AJ37" s="175">
        <f t="shared" si="31"/>
        <v>5.2631578947368418E-2</v>
      </c>
      <c r="AK37" s="175">
        <f t="shared" si="31"/>
        <v>5.2631578947368418E-2</v>
      </c>
      <c r="AL37" s="175">
        <f t="shared" si="31"/>
        <v>5.2631578947368418E-2</v>
      </c>
      <c r="AM37" s="175">
        <f t="shared" si="31"/>
        <v>5.2631578947368418E-2</v>
      </c>
      <c r="AN37" s="175">
        <f t="shared" si="31"/>
        <v>5.2631578947368418E-2</v>
      </c>
      <c r="AO37" s="175">
        <f t="shared" si="31"/>
        <v>5.2631578947368418E-2</v>
      </c>
      <c r="AP37" s="175">
        <f t="shared" si="31"/>
        <v>0</v>
      </c>
      <c r="AQ37" s="175">
        <f t="shared" si="31"/>
        <v>0</v>
      </c>
      <c r="AR37" s="175">
        <f t="shared" si="31"/>
        <v>0</v>
      </c>
      <c r="AS37" s="175">
        <f t="shared" si="31"/>
        <v>0</v>
      </c>
      <c r="AT37" s="175">
        <f t="shared" si="31"/>
        <v>0</v>
      </c>
      <c r="AU37" s="175">
        <f t="shared" si="31"/>
        <v>0</v>
      </c>
      <c r="AV37" s="175">
        <f t="shared" si="31"/>
        <v>0</v>
      </c>
      <c r="AW37" s="175">
        <f t="shared" si="31"/>
        <v>0</v>
      </c>
      <c r="AX37" s="175">
        <f t="shared" si="31"/>
        <v>0</v>
      </c>
      <c r="AY37" s="175">
        <f t="shared" si="31"/>
        <v>0</v>
      </c>
      <c r="AZ37" s="175">
        <f t="shared" si="31"/>
        <v>0</v>
      </c>
      <c r="BA37" s="175">
        <f t="shared" si="31"/>
        <v>0</v>
      </c>
      <c r="BB37" s="175">
        <f t="shared" si="31"/>
        <v>0</v>
      </c>
      <c r="BC37" s="175">
        <f t="shared" si="31"/>
        <v>0</v>
      </c>
      <c r="BD37" s="175">
        <f t="shared" si="31"/>
        <v>0</v>
      </c>
      <c r="BE37" s="175">
        <f t="shared" si="31"/>
        <v>0</v>
      </c>
      <c r="BF37" s="175">
        <f t="shared" si="31"/>
        <v>0</v>
      </c>
      <c r="BG37" s="175">
        <f t="shared" si="31"/>
        <v>0</v>
      </c>
      <c r="BH37" s="175">
        <f t="shared" si="31"/>
        <v>0</v>
      </c>
      <c r="BI37" s="175">
        <f t="shared" si="31"/>
        <v>0</v>
      </c>
      <c r="BJ37" s="175">
        <f t="shared" si="31"/>
        <v>0</v>
      </c>
      <c r="BK37" s="175">
        <f t="shared" si="31"/>
        <v>0</v>
      </c>
      <c r="BL37" s="175">
        <f t="shared" si="31"/>
        <v>0</v>
      </c>
      <c r="BM37" s="175">
        <f t="shared" si="31"/>
        <v>0</v>
      </c>
      <c r="BN37" s="175">
        <f t="shared" si="31"/>
        <v>0</v>
      </c>
      <c r="BO37" s="175">
        <f t="shared" si="31"/>
        <v>0</v>
      </c>
      <c r="BP37" s="175">
        <f t="shared" si="31"/>
        <v>0</v>
      </c>
      <c r="BQ37" s="175">
        <f t="shared" si="31"/>
        <v>0</v>
      </c>
      <c r="BR37" s="175">
        <f t="shared" si="31"/>
        <v>0</v>
      </c>
      <c r="BS37" s="175">
        <f t="shared" si="31"/>
        <v>0</v>
      </c>
      <c r="BT37" s="175">
        <f t="shared" si="31"/>
        <v>0</v>
      </c>
      <c r="BU37" s="175">
        <f t="shared" ref="BU37:CZ37" si="32">IF(AND(BU$7&lt;=$G37,BU$7&gt;=$F37,$H37&lt;&gt;0,$H37&lt;&gt;""),$C37/$H37,0)</f>
        <v>0</v>
      </c>
      <c r="BV37" s="175">
        <f t="shared" si="32"/>
        <v>0</v>
      </c>
      <c r="BW37" s="175">
        <f t="shared" si="32"/>
        <v>0</v>
      </c>
      <c r="BX37" s="175">
        <f t="shared" si="32"/>
        <v>0</v>
      </c>
      <c r="BY37" s="175">
        <f t="shared" si="32"/>
        <v>0</v>
      </c>
      <c r="BZ37" s="175">
        <f t="shared" si="32"/>
        <v>0</v>
      </c>
      <c r="CA37" s="175">
        <f t="shared" si="32"/>
        <v>0</v>
      </c>
      <c r="CB37" s="175">
        <f t="shared" si="32"/>
        <v>0</v>
      </c>
      <c r="CC37" s="175">
        <f t="shared" si="32"/>
        <v>0</v>
      </c>
      <c r="CD37" s="175">
        <f t="shared" si="32"/>
        <v>0</v>
      </c>
      <c r="CE37" s="175">
        <f t="shared" si="32"/>
        <v>0</v>
      </c>
      <c r="CF37" s="175">
        <f t="shared" si="32"/>
        <v>0</v>
      </c>
      <c r="CG37" s="175">
        <f t="shared" si="32"/>
        <v>0</v>
      </c>
      <c r="CH37" s="175">
        <f t="shared" si="32"/>
        <v>0</v>
      </c>
      <c r="CI37" s="175">
        <f t="shared" si="32"/>
        <v>0</v>
      </c>
      <c r="CJ37" s="175">
        <f t="shared" si="32"/>
        <v>0</v>
      </c>
      <c r="CK37" s="175">
        <f t="shared" si="32"/>
        <v>0</v>
      </c>
      <c r="CL37" s="175">
        <f t="shared" si="32"/>
        <v>0</v>
      </c>
      <c r="CM37" s="175">
        <f t="shared" si="32"/>
        <v>0</v>
      </c>
      <c r="CN37" s="175">
        <f t="shared" si="32"/>
        <v>0</v>
      </c>
      <c r="CO37" s="175">
        <f t="shared" si="32"/>
        <v>0</v>
      </c>
      <c r="CP37" s="175">
        <f t="shared" si="32"/>
        <v>0</v>
      </c>
      <c r="CQ37" s="175">
        <f t="shared" si="32"/>
        <v>0</v>
      </c>
      <c r="CR37" s="175">
        <f t="shared" si="32"/>
        <v>0</v>
      </c>
      <c r="CS37" s="175">
        <f t="shared" si="32"/>
        <v>0</v>
      </c>
      <c r="CT37" s="175">
        <f t="shared" si="32"/>
        <v>0</v>
      </c>
      <c r="CU37" s="175">
        <f t="shared" si="32"/>
        <v>0</v>
      </c>
      <c r="CV37" s="175">
        <f t="shared" si="32"/>
        <v>0</v>
      </c>
      <c r="CW37" s="175">
        <f t="shared" si="32"/>
        <v>0</v>
      </c>
      <c r="CX37" s="175">
        <f t="shared" si="32"/>
        <v>0</v>
      </c>
      <c r="CY37" s="175">
        <f t="shared" si="32"/>
        <v>0</v>
      </c>
      <c r="CZ37" s="175">
        <f t="shared" si="32"/>
        <v>0</v>
      </c>
    </row>
    <row r="38" spans="1:104" x14ac:dyDescent="0.35">
      <c r="A38" s="178"/>
      <c r="B38" s="131" t="s">
        <v>184</v>
      </c>
      <c r="E38" s="130"/>
      <c r="F38" s="109"/>
      <c r="G38" s="109"/>
      <c r="H38" s="141"/>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c r="CR38" s="130"/>
      <c r="CS38" s="130"/>
      <c r="CT38" s="130"/>
      <c r="CU38" s="130"/>
      <c r="CV38" s="130"/>
      <c r="CW38" s="130"/>
      <c r="CX38" s="130"/>
      <c r="CY38" s="130"/>
      <c r="CZ38" s="130"/>
    </row>
    <row r="39" spans="1:104" x14ac:dyDescent="0.35">
      <c r="B39" s="165">
        <v>1</v>
      </c>
      <c r="D39" s="130"/>
      <c r="E39" s="130"/>
      <c r="F39" s="109"/>
      <c r="G39" s="109"/>
      <c r="H39" s="141"/>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c r="CW39" s="130"/>
      <c r="CX39" s="130"/>
      <c r="CY39" s="130"/>
      <c r="CZ39" s="130"/>
    </row>
    <row r="40" spans="1:104" x14ac:dyDescent="0.35">
      <c r="B40" s="131" t="s">
        <v>175</v>
      </c>
      <c r="C40" s="130"/>
      <c r="D40" s="130"/>
      <c r="E40" s="130"/>
      <c r="F40" s="109"/>
      <c r="G40" s="109"/>
      <c r="H40" s="141"/>
      <c r="I40" s="127">
        <f>CHOOSE($B$39,I36,I37)</f>
        <v>0</v>
      </c>
      <c r="J40" s="127">
        <f t="shared" ref="J40:AO40" si="33">CHOOSE($B$39,J36,J37)+I40</f>
        <v>0</v>
      </c>
      <c r="K40" s="127">
        <f t="shared" si="33"/>
        <v>0</v>
      </c>
      <c r="L40" s="127">
        <f t="shared" si="33"/>
        <v>0</v>
      </c>
      <c r="M40" s="127">
        <f t="shared" si="33"/>
        <v>0</v>
      </c>
      <c r="N40" s="127">
        <f t="shared" si="33"/>
        <v>0</v>
      </c>
      <c r="O40" s="127">
        <f t="shared" si="33"/>
        <v>0</v>
      </c>
      <c r="P40" s="127">
        <f t="shared" si="33"/>
        <v>0</v>
      </c>
      <c r="Q40" s="127">
        <f t="shared" si="33"/>
        <v>0</v>
      </c>
      <c r="R40" s="127">
        <f t="shared" si="33"/>
        <v>0</v>
      </c>
      <c r="S40" s="127">
        <f t="shared" si="33"/>
        <v>0</v>
      </c>
      <c r="T40" s="127">
        <f t="shared" si="33"/>
        <v>0</v>
      </c>
      <c r="U40" s="127">
        <f t="shared" si="33"/>
        <v>0</v>
      </c>
      <c r="V40" s="127">
        <f t="shared" si="33"/>
        <v>0</v>
      </c>
      <c r="W40" s="127">
        <f t="shared" si="33"/>
        <v>3.9269149466416464E-2</v>
      </c>
      <c r="X40" s="127">
        <f t="shared" si="33"/>
        <v>8.241279385111408E-2</v>
      </c>
      <c r="Y40" s="127">
        <f t="shared" si="33"/>
        <v>0.12929137654389555</v>
      </c>
      <c r="Z40" s="127">
        <f t="shared" si="33"/>
        <v>0.17966746366958894</v>
      </c>
      <c r="AA40" s="127">
        <f t="shared" si="33"/>
        <v>0.23320602580980215</v>
      </c>
      <c r="AB40" s="127">
        <f t="shared" si="33"/>
        <v>0.28947918394501859</v>
      </c>
      <c r="AC40" s="127">
        <f t="shared" si="33"/>
        <v>0.34797545590922974</v>
      </c>
      <c r="AD40" s="127">
        <f t="shared" si="33"/>
        <v>0.4081132374145276</v>
      </c>
      <c r="AE40" s="127">
        <f t="shared" si="33"/>
        <v>0.46925795327687753</v>
      </c>
      <c r="AF40" s="127">
        <f t="shared" si="33"/>
        <v>0.53074204672312231</v>
      </c>
      <c r="AG40" s="127">
        <f t="shared" si="33"/>
        <v>0.59188676258547235</v>
      </c>
      <c r="AH40" s="127">
        <f t="shared" si="33"/>
        <v>0.65202454409077004</v>
      </c>
      <c r="AI40" s="127">
        <f t="shared" si="33"/>
        <v>0.7105208160549813</v>
      </c>
      <c r="AJ40" s="127">
        <f t="shared" si="33"/>
        <v>0.76679397419019768</v>
      </c>
      <c r="AK40" s="127">
        <f t="shared" si="33"/>
        <v>0.82033253633041092</v>
      </c>
      <c r="AL40" s="127">
        <f t="shared" si="33"/>
        <v>0.87070862345610434</v>
      </c>
      <c r="AM40" s="127">
        <f t="shared" si="33"/>
        <v>0.91758720614888567</v>
      </c>
      <c r="AN40" s="127">
        <f t="shared" si="33"/>
        <v>0.96073085053358331</v>
      </c>
      <c r="AO40" s="127">
        <f t="shared" si="33"/>
        <v>0.99999999999999978</v>
      </c>
      <c r="AP40" s="127">
        <f t="shared" ref="AP40:BU40" si="34">CHOOSE($B$39,AP36,AP37)+AO40</f>
        <v>0.99999999999999978</v>
      </c>
      <c r="AQ40" s="127">
        <f t="shared" si="34"/>
        <v>0.99999999999999978</v>
      </c>
      <c r="AR40" s="127">
        <f t="shared" si="34"/>
        <v>0.99999999999999978</v>
      </c>
      <c r="AS40" s="127">
        <f t="shared" si="34"/>
        <v>0.99999999999999978</v>
      </c>
      <c r="AT40" s="127">
        <f t="shared" si="34"/>
        <v>0.99999999999999978</v>
      </c>
      <c r="AU40" s="127">
        <f t="shared" si="34"/>
        <v>0.99999999999999978</v>
      </c>
      <c r="AV40" s="127">
        <f t="shared" si="34"/>
        <v>0.99999999999999978</v>
      </c>
      <c r="AW40" s="127">
        <f t="shared" si="34"/>
        <v>0.99999999999999978</v>
      </c>
      <c r="AX40" s="127">
        <f t="shared" si="34"/>
        <v>0.99999999999999978</v>
      </c>
      <c r="AY40" s="127">
        <f t="shared" si="34"/>
        <v>0.99999999999999978</v>
      </c>
      <c r="AZ40" s="127">
        <f t="shared" si="34"/>
        <v>0.99999999999999978</v>
      </c>
      <c r="BA40" s="127">
        <f t="shared" si="34"/>
        <v>0.99999999999999978</v>
      </c>
      <c r="BB40" s="127">
        <f t="shared" si="34"/>
        <v>0.99999999999999978</v>
      </c>
      <c r="BC40" s="127">
        <f t="shared" si="34"/>
        <v>0.99999999999999978</v>
      </c>
      <c r="BD40" s="127">
        <f t="shared" si="34"/>
        <v>0.99999999999999978</v>
      </c>
      <c r="BE40" s="127">
        <f t="shared" si="34"/>
        <v>0.99999999999999978</v>
      </c>
      <c r="BF40" s="127">
        <f t="shared" si="34"/>
        <v>0.99999999999999978</v>
      </c>
      <c r="BG40" s="127">
        <f t="shared" si="34"/>
        <v>0.99999999999999978</v>
      </c>
      <c r="BH40" s="127">
        <f t="shared" si="34"/>
        <v>0.99999999999999978</v>
      </c>
      <c r="BI40" s="127">
        <f t="shared" si="34"/>
        <v>0.99999999999999978</v>
      </c>
      <c r="BJ40" s="127">
        <f t="shared" si="34"/>
        <v>0.99999999999999978</v>
      </c>
      <c r="BK40" s="127">
        <f t="shared" si="34"/>
        <v>0.99999999999999978</v>
      </c>
      <c r="BL40" s="127">
        <f t="shared" si="34"/>
        <v>0.99999999999999978</v>
      </c>
      <c r="BM40" s="127">
        <f t="shared" si="34"/>
        <v>0.99999999999999978</v>
      </c>
      <c r="BN40" s="127">
        <f t="shared" si="34"/>
        <v>0.99999999999999978</v>
      </c>
      <c r="BO40" s="127">
        <f t="shared" si="34"/>
        <v>0.99999999999999978</v>
      </c>
      <c r="BP40" s="127">
        <f t="shared" si="34"/>
        <v>0.99999999999999978</v>
      </c>
      <c r="BQ40" s="127">
        <f t="shared" si="34"/>
        <v>0.99999999999999978</v>
      </c>
      <c r="BR40" s="127">
        <f t="shared" si="34"/>
        <v>0.99999999999999978</v>
      </c>
      <c r="BS40" s="127">
        <f t="shared" si="34"/>
        <v>0.99999999999999978</v>
      </c>
      <c r="BT40" s="127">
        <f t="shared" si="34"/>
        <v>0.99999999999999978</v>
      </c>
      <c r="BU40" s="127">
        <f t="shared" si="34"/>
        <v>0.99999999999999978</v>
      </c>
      <c r="BV40" s="127">
        <f t="shared" ref="BV40:CZ40" si="35">CHOOSE($B$39,BV36,BV37)+BU40</f>
        <v>0.99999999999999978</v>
      </c>
      <c r="BW40" s="127">
        <f t="shared" si="35"/>
        <v>0.99999999999999978</v>
      </c>
      <c r="BX40" s="127">
        <f t="shared" si="35"/>
        <v>0.99999999999999978</v>
      </c>
      <c r="BY40" s="127">
        <f t="shared" si="35"/>
        <v>0.99999999999999978</v>
      </c>
      <c r="BZ40" s="127">
        <f t="shared" si="35"/>
        <v>0.99999999999999978</v>
      </c>
      <c r="CA40" s="127">
        <f t="shared" si="35"/>
        <v>0.99999999999999978</v>
      </c>
      <c r="CB40" s="127">
        <f t="shared" si="35"/>
        <v>0.99999999999999978</v>
      </c>
      <c r="CC40" s="127">
        <f t="shared" si="35"/>
        <v>0.99999999999999978</v>
      </c>
      <c r="CD40" s="127">
        <f t="shared" si="35"/>
        <v>0.99999999999999978</v>
      </c>
      <c r="CE40" s="127">
        <f t="shared" si="35"/>
        <v>0.99999999999999978</v>
      </c>
      <c r="CF40" s="127">
        <f t="shared" si="35"/>
        <v>0.99999999999999978</v>
      </c>
      <c r="CG40" s="127">
        <f t="shared" si="35"/>
        <v>0.99999999999999978</v>
      </c>
      <c r="CH40" s="127">
        <f t="shared" si="35"/>
        <v>0.99999999999999978</v>
      </c>
      <c r="CI40" s="127">
        <f t="shared" si="35"/>
        <v>0.99999999999999978</v>
      </c>
      <c r="CJ40" s="127">
        <f t="shared" si="35"/>
        <v>0.99999999999999978</v>
      </c>
      <c r="CK40" s="127">
        <f t="shared" si="35"/>
        <v>0.99999999999999978</v>
      </c>
      <c r="CL40" s="127">
        <f t="shared" si="35"/>
        <v>0.99999999999999978</v>
      </c>
      <c r="CM40" s="127">
        <f t="shared" si="35"/>
        <v>0.99999999999999978</v>
      </c>
      <c r="CN40" s="127">
        <f t="shared" si="35"/>
        <v>0.99999999999999978</v>
      </c>
      <c r="CO40" s="127">
        <f t="shared" si="35"/>
        <v>0.99999999999999978</v>
      </c>
      <c r="CP40" s="127">
        <f t="shared" si="35"/>
        <v>0.99999999999999978</v>
      </c>
      <c r="CQ40" s="127">
        <f t="shared" si="35"/>
        <v>0.99999999999999978</v>
      </c>
      <c r="CR40" s="127">
        <f t="shared" si="35"/>
        <v>0.99999999999999978</v>
      </c>
      <c r="CS40" s="127">
        <f t="shared" si="35"/>
        <v>0.99999999999999978</v>
      </c>
      <c r="CT40" s="127">
        <f t="shared" si="35"/>
        <v>0.99999999999999978</v>
      </c>
      <c r="CU40" s="127">
        <f t="shared" si="35"/>
        <v>0.99999999999999978</v>
      </c>
      <c r="CV40" s="127">
        <f t="shared" si="35"/>
        <v>0.99999999999999978</v>
      </c>
      <c r="CW40" s="127">
        <f t="shared" si="35"/>
        <v>0.99999999999999978</v>
      </c>
      <c r="CX40" s="127">
        <f t="shared" si="35"/>
        <v>0.99999999999999978</v>
      </c>
      <c r="CY40" s="127">
        <f t="shared" si="35"/>
        <v>0.99999999999999978</v>
      </c>
      <c r="CZ40" s="127">
        <f t="shared" si="35"/>
        <v>0.99999999999999978</v>
      </c>
    </row>
    <row r="41" spans="1:104" x14ac:dyDescent="0.35">
      <c r="B41" s="131" t="str">
        <f>'Development Costs'!B19</f>
        <v>Construction hard cost</v>
      </c>
      <c r="C41" s="130">
        <f>-'Development Costs'!H19</f>
        <v>-28500000</v>
      </c>
      <c r="D41" s="130">
        <f>ROUND(C41-E41,0)</f>
        <v>0</v>
      </c>
      <c r="E41" s="130">
        <f t="shared" ref="E41:E44" si="36">SUM(I41:CZ41)</f>
        <v>-28499999.999999989</v>
      </c>
      <c r="F41" s="304">
        <f>Schedule!D17</f>
        <v>44986</v>
      </c>
      <c r="G41" s="304">
        <f>Schedule!E17</f>
        <v>45536</v>
      </c>
      <c r="H41" s="141">
        <f>DATEDIF(F41,G41,"m")+1</f>
        <v>19</v>
      </c>
      <c r="I41" s="130">
        <f>I40*$C$41</f>
        <v>0</v>
      </c>
      <c r="J41" s="130">
        <f>(J40-I40)*$C$41</f>
        <v>0</v>
      </c>
      <c r="K41" s="130">
        <f t="shared" ref="K41:BV41" si="37">(K40-J40)*$C$41</f>
        <v>0</v>
      </c>
      <c r="L41" s="130">
        <f t="shared" si="37"/>
        <v>0</v>
      </c>
      <c r="M41" s="130">
        <f t="shared" si="37"/>
        <v>0</v>
      </c>
      <c r="N41" s="130">
        <f t="shared" si="37"/>
        <v>0</v>
      </c>
      <c r="O41" s="130">
        <f t="shared" si="37"/>
        <v>0</v>
      </c>
      <c r="P41" s="130">
        <f t="shared" si="37"/>
        <v>0</v>
      </c>
      <c r="Q41" s="130">
        <f t="shared" si="37"/>
        <v>0</v>
      </c>
      <c r="R41" s="130">
        <f t="shared" si="37"/>
        <v>0</v>
      </c>
      <c r="S41" s="130">
        <f t="shared" si="37"/>
        <v>0</v>
      </c>
      <c r="T41" s="130">
        <f t="shared" si="37"/>
        <v>0</v>
      </c>
      <c r="U41" s="130">
        <f t="shared" si="37"/>
        <v>0</v>
      </c>
      <c r="V41" s="130">
        <f t="shared" si="37"/>
        <v>0</v>
      </c>
      <c r="W41" s="130">
        <f t="shared" si="37"/>
        <v>-1119170.7597928692</v>
      </c>
      <c r="X41" s="130">
        <f t="shared" si="37"/>
        <v>-1229593.8649638821</v>
      </c>
      <c r="Y41" s="130">
        <f t="shared" si="37"/>
        <v>-1336039.6067442719</v>
      </c>
      <c r="Z41" s="130">
        <f t="shared" si="37"/>
        <v>-1435718.4830822614</v>
      </c>
      <c r="AA41" s="130">
        <f t="shared" si="37"/>
        <v>-1525849.0209960765</v>
      </c>
      <c r="AB41" s="130">
        <f t="shared" si="37"/>
        <v>-1603785.0068536685</v>
      </c>
      <c r="AC41" s="130">
        <f t="shared" si="37"/>
        <v>-1667143.7509800177</v>
      </c>
      <c r="AD41" s="130">
        <f t="shared" si="37"/>
        <v>-1713926.772900989</v>
      </c>
      <c r="AE41" s="130">
        <f t="shared" si="37"/>
        <v>-1742624.4020769731</v>
      </c>
      <c r="AF41" s="130">
        <f t="shared" si="37"/>
        <v>-1752296.6632179762</v>
      </c>
      <c r="AG41" s="130">
        <f t="shared" si="37"/>
        <v>-1742624.4020769761</v>
      </c>
      <c r="AH41" s="130">
        <f t="shared" si="37"/>
        <v>-1713926.7729009844</v>
      </c>
      <c r="AI41" s="130">
        <f t="shared" si="37"/>
        <v>-1667143.7509800207</v>
      </c>
      <c r="AJ41" s="130">
        <f t="shared" si="37"/>
        <v>-1603785.0068536669</v>
      </c>
      <c r="AK41" s="130">
        <f t="shared" si="37"/>
        <v>-1525849.0209960775</v>
      </c>
      <c r="AL41" s="130">
        <f t="shared" si="37"/>
        <v>-1435718.4830822623</v>
      </c>
      <c r="AM41" s="130">
        <f t="shared" si="37"/>
        <v>-1336039.606744268</v>
      </c>
      <c r="AN41" s="130">
        <f t="shared" si="37"/>
        <v>-1229593.8649638828</v>
      </c>
      <c r="AO41" s="130">
        <f t="shared" si="37"/>
        <v>-1119170.7597928692</v>
      </c>
      <c r="AP41" s="130">
        <f t="shared" si="37"/>
        <v>0</v>
      </c>
      <c r="AQ41" s="130">
        <f t="shared" si="37"/>
        <v>0</v>
      </c>
      <c r="AR41" s="130">
        <f t="shared" si="37"/>
        <v>0</v>
      </c>
      <c r="AS41" s="130">
        <f t="shared" si="37"/>
        <v>0</v>
      </c>
      <c r="AT41" s="130">
        <f t="shared" si="37"/>
        <v>0</v>
      </c>
      <c r="AU41" s="130">
        <f t="shared" si="37"/>
        <v>0</v>
      </c>
      <c r="AV41" s="130">
        <f t="shared" si="37"/>
        <v>0</v>
      </c>
      <c r="AW41" s="130">
        <f t="shared" si="37"/>
        <v>0</v>
      </c>
      <c r="AX41" s="130">
        <f t="shared" si="37"/>
        <v>0</v>
      </c>
      <c r="AY41" s="130">
        <f t="shared" si="37"/>
        <v>0</v>
      </c>
      <c r="AZ41" s="130">
        <f t="shared" si="37"/>
        <v>0</v>
      </c>
      <c r="BA41" s="130">
        <f t="shared" si="37"/>
        <v>0</v>
      </c>
      <c r="BB41" s="130">
        <f t="shared" si="37"/>
        <v>0</v>
      </c>
      <c r="BC41" s="130">
        <f t="shared" si="37"/>
        <v>0</v>
      </c>
      <c r="BD41" s="130">
        <f t="shared" si="37"/>
        <v>0</v>
      </c>
      <c r="BE41" s="130">
        <f t="shared" si="37"/>
        <v>0</v>
      </c>
      <c r="BF41" s="130">
        <f t="shared" si="37"/>
        <v>0</v>
      </c>
      <c r="BG41" s="130">
        <f t="shared" si="37"/>
        <v>0</v>
      </c>
      <c r="BH41" s="130">
        <f t="shared" si="37"/>
        <v>0</v>
      </c>
      <c r="BI41" s="130">
        <f t="shared" si="37"/>
        <v>0</v>
      </c>
      <c r="BJ41" s="130">
        <f t="shared" si="37"/>
        <v>0</v>
      </c>
      <c r="BK41" s="130">
        <f t="shared" si="37"/>
        <v>0</v>
      </c>
      <c r="BL41" s="130">
        <f t="shared" si="37"/>
        <v>0</v>
      </c>
      <c r="BM41" s="130">
        <f t="shared" si="37"/>
        <v>0</v>
      </c>
      <c r="BN41" s="130">
        <f t="shared" si="37"/>
        <v>0</v>
      </c>
      <c r="BO41" s="130">
        <f t="shared" si="37"/>
        <v>0</v>
      </c>
      <c r="BP41" s="130">
        <f t="shared" si="37"/>
        <v>0</v>
      </c>
      <c r="BQ41" s="130">
        <f t="shared" si="37"/>
        <v>0</v>
      </c>
      <c r="BR41" s="130">
        <f t="shared" si="37"/>
        <v>0</v>
      </c>
      <c r="BS41" s="130">
        <f t="shared" si="37"/>
        <v>0</v>
      </c>
      <c r="BT41" s="130">
        <f t="shared" si="37"/>
        <v>0</v>
      </c>
      <c r="BU41" s="130">
        <f t="shared" si="37"/>
        <v>0</v>
      </c>
      <c r="BV41" s="130">
        <f t="shared" si="37"/>
        <v>0</v>
      </c>
      <c r="BW41" s="130">
        <f t="shared" ref="BW41:CZ41" si="38">(BW40-BV40)*$C$41</f>
        <v>0</v>
      </c>
      <c r="BX41" s="130">
        <f t="shared" si="38"/>
        <v>0</v>
      </c>
      <c r="BY41" s="130">
        <f t="shared" si="38"/>
        <v>0</v>
      </c>
      <c r="BZ41" s="130">
        <f t="shared" si="38"/>
        <v>0</v>
      </c>
      <c r="CA41" s="130">
        <f t="shared" si="38"/>
        <v>0</v>
      </c>
      <c r="CB41" s="130">
        <f t="shared" si="38"/>
        <v>0</v>
      </c>
      <c r="CC41" s="130">
        <f t="shared" si="38"/>
        <v>0</v>
      </c>
      <c r="CD41" s="130">
        <f t="shared" si="38"/>
        <v>0</v>
      </c>
      <c r="CE41" s="130">
        <f t="shared" si="38"/>
        <v>0</v>
      </c>
      <c r="CF41" s="130">
        <f t="shared" si="38"/>
        <v>0</v>
      </c>
      <c r="CG41" s="130">
        <f t="shared" si="38"/>
        <v>0</v>
      </c>
      <c r="CH41" s="130">
        <f t="shared" si="38"/>
        <v>0</v>
      </c>
      <c r="CI41" s="130">
        <f t="shared" si="38"/>
        <v>0</v>
      </c>
      <c r="CJ41" s="130">
        <f t="shared" si="38"/>
        <v>0</v>
      </c>
      <c r="CK41" s="130">
        <f t="shared" si="38"/>
        <v>0</v>
      </c>
      <c r="CL41" s="130">
        <f t="shared" si="38"/>
        <v>0</v>
      </c>
      <c r="CM41" s="130">
        <f t="shared" si="38"/>
        <v>0</v>
      </c>
      <c r="CN41" s="130">
        <f t="shared" si="38"/>
        <v>0</v>
      </c>
      <c r="CO41" s="130">
        <f t="shared" si="38"/>
        <v>0</v>
      </c>
      <c r="CP41" s="130">
        <f t="shared" si="38"/>
        <v>0</v>
      </c>
      <c r="CQ41" s="130">
        <f t="shared" si="38"/>
        <v>0</v>
      </c>
      <c r="CR41" s="130">
        <f t="shared" si="38"/>
        <v>0</v>
      </c>
      <c r="CS41" s="130">
        <f t="shared" si="38"/>
        <v>0</v>
      </c>
      <c r="CT41" s="130">
        <f t="shared" si="38"/>
        <v>0</v>
      </c>
      <c r="CU41" s="130">
        <f t="shared" si="38"/>
        <v>0</v>
      </c>
      <c r="CV41" s="130">
        <f t="shared" si="38"/>
        <v>0</v>
      </c>
      <c r="CW41" s="130">
        <f t="shared" si="38"/>
        <v>0</v>
      </c>
      <c r="CX41" s="130">
        <f t="shared" si="38"/>
        <v>0</v>
      </c>
      <c r="CY41" s="130">
        <f t="shared" si="38"/>
        <v>0</v>
      </c>
      <c r="CZ41" s="130">
        <f t="shared" si="38"/>
        <v>0</v>
      </c>
    </row>
    <row r="42" spans="1:104" x14ac:dyDescent="0.35">
      <c r="B42" s="131" t="str">
        <f>'Development Costs'!B20</f>
        <v>Offsite/Sitework Costs</v>
      </c>
      <c r="C42" s="130">
        <f>-'Development Costs'!H20</f>
        <v>0</v>
      </c>
      <c r="D42" s="130">
        <f t="shared" ref="D42:D43" si="39">ROUND(C42-E42,0)</f>
        <v>0</v>
      </c>
      <c r="E42" s="130">
        <f t="shared" si="36"/>
        <v>0</v>
      </c>
      <c r="F42" s="304">
        <f>F41</f>
        <v>44986</v>
      </c>
      <c r="G42" s="304">
        <f>G41</f>
        <v>45536</v>
      </c>
      <c r="H42" s="141">
        <f t="shared" ref="H42:H43" si="40">DATEDIF(F42,G42,"m")+1</f>
        <v>19</v>
      </c>
      <c r="I42" s="130">
        <f t="shared" ref="I42:X43" si="41">IF(AND(I$7&lt;=$G42,I$7&gt;=$F42,$H42&lt;&gt;0,$H42&lt;&gt;""),$C42/$H42,0)</f>
        <v>0</v>
      </c>
      <c r="J42" s="130">
        <f t="shared" si="41"/>
        <v>0</v>
      </c>
      <c r="K42" s="130">
        <f t="shared" si="41"/>
        <v>0</v>
      </c>
      <c r="L42" s="130">
        <f t="shared" si="41"/>
        <v>0</v>
      </c>
      <c r="M42" s="130">
        <f t="shared" si="41"/>
        <v>0</v>
      </c>
      <c r="N42" s="130">
        <f t="shared" si="41"/>
        <v>0</v>
      </c>
      <c r="O42" s="130">
        <f t="shared" si="41"/>
        <v>0</v>
      </c>
      <c r="P42" s="130">
        <f t="shared" si="41"/>
        <v>0</v>
      </c>
      <c r="Q42" s="130">
        <f t="shared" si="41"/>
        <v>0</v>
      </c>
      <c r="R42" s="130">
        <f t="shared" si="41"/>
        <v>0</v>
      </c>
      <c r="S42" s="130">
        <f t="shared" si="41"/>
        <v>0</v>
      </c>
      <c r="T42" s="130">
        <f t="shared" si="41"/>
        <v>0</v>
      </c>
      <c r="U42" s="130">
        <f t="shared" si="41"/>
        <v>0</v>
      </c>
      <c r="V42" s="130">
        <f t="shared" si="41"/>
        <v>0</v>
      </c>
      <c r="W42" s="130">
        <f t="shared" si="41"/>
        <v>0</v>
      </c>
      <c r="X42" s="130">
        <f t="shared" si="41"/>
        <v>0</v>
      </c>
      <c r="Y42" s="130">
        <f t="shared" ref="Y42:BU42" si="42">IF(AND(Y$7&lt;=$G42,Y$7&gt;=$F42,$H42&lt;&gt;0,$H42&lt;&gt;""),$C42/$H42,0)</f>
        <v>0</v>
      </c>
      <c r="Z42" s="130">
        <f t="shared" si="42"/>
        <v>0</v>
      </c>
      <c r="AA42" s="130">
        <f t="shared" si="42"/>
        <v>0</v>
      </c>
      <c r="AB42" s="130">
        <f t="shared" si="42"/>
        <v>0</v>
      </c>
      <c r="AC42" s="130">
        <f t="shared" si="42"/>
        <v>0</v>
      </c>
      <c r="AD42" s="130">
        <f t="shared" si="42"/>
        <v>0</v>
      </c>
      <c r="AE42" s="130">
        <f t="shared" si="42"/>
        <v>0</v>
      </c>
      <c r="AF42" s="130">
        <f t="shared" si="42"/>
        <v>0</v>
      </c>
      <c r="AG42" s="130">
        <f t="shared" si="42"/>
        <v>0</v>
      </c>
      <c r="AH42" s="130">
        <f t="shared" si="42"/>
        <v>0</v>
      </c>
      <c r="AI42" s="130">
        <f t="shared" si="42"/>
        <v>0</v>
      </c>
      <c r="AJ42" s="130">
        <f t="shared" si="42"/>
        <v>0</v>
      </c>
      <c r="AK42" s="130">
        <f t="shared" si="42"/>
        <v>0</v>
      </c>
      <c r="AL42" s="130">
        <f t="shared" si="42"/>
        <v>0</v>
      </c>
      <c r="AM42" s="130">
        <f t="shared" si="42"/>
        <v>0</v>
      </c>
      <c r="AN42" s="130">
        <f t="shared" si="42"/>
        <v>0</v>
      </c>
      <c r="AO42" s="130">
        <f t="shared" si="42"/>
        <v>0</v>
      </c>
      <c r="AP42" s="130">
        <f t="shared" si="42"/>
        <v>0</v>
      </c>
      <c r="AQ42" s="130">
        <f t="shared" si="42"/>
        <v>0</v>
      </c>
      <c r="AR42" s="130">
        <f t="shared" si="42"/>
        <v>0</v>
      </c>
      <c r="AS42" s="130">
        <f t="shared" si="42"/>
        <v>0</v>
      </c>
      <c r="AT42" s="130">
        <f t="shared" si="42"/>
        <v>0</v>
      </c>
      <c r="AU42" s="130">
        <f t="shared" si="42"/>
        <v>0</v>
      </c>
      <c r="AV42" s="130">
        <f t="shared" si="42"/>
        <v>0</v>
      </c>
      <c r="AW42" s="130">
        <f t="shared" si="42"/>
        <v>0</v>
      </c>
      <c r="AX42" s="130">
        <f t="shared" si="42"/>
        <v>0</v>
      </c>
      <c r="AY42" s="130">
        <f t="shared" si="42"/>
        <v>0</v>
      </c>
      <c r="AZ42" s="130">
        <f t="shared" si="42"/>
        <v>0</v>
      </c>
      <c r="BA42" s="130">
        <f t="shared" si="42"/>
        <v>0</v>
      </c>
      <c r="BB42" s="130">
        <f t="shared" si="42"/>
        <v>0</v>
      </c>
      <c r="BC42" s="130">
        <f t="shared" si="42"/>
        <v>0</v>
      </c>
      <c r="BD42" s="130">
        <f t="shared" si="42"/>
        <v>0</v>
      </c>
      <c r="BE42" s="130">
        <f t="shared" si="42"/>
        <v>0</v>
      </c>
      <c r="BF42" s="130">
        <f t="shared" si="42"/>
        <v>0</v>
      </c>
      <c r="BG42" s="130">
        <f t="shared" si="42"/>
        <v>0</v>
      </c>
      <c r="BH42" s="130">
        <f t="shared" si="42"/>
        <v>0</v>
      </c>
      <c r="BI42" s="130">
        <f t="shared" si="42"/>
        <v>0</v>
      </c>
      <c r="BJ42" s="130">
        <f t="shared" si="42"/>
        <v>0</v>
      </c>
      <c r="BK42" s="130">
        <f t="shared" si="42"/>
        <v>0</v>
      </c>
      <c r="BL42" s="130">
        <f t="shared" si="42"/>
        <v>0</v>
      </c>
      <c r="BM42" s="130">
        <f t="shared" si="42"/>
        <v>0</v>
      </c>
      <c r="BN42" s="130">
        <f t="shared" si="42"/>
        <v>0</v>
      </c>
      <c r="BO42" s="130">
        <f t="shared" si="42"/>
        <v>0</v>
      </c>
      <c r="BP42" s="130">
        <f t="shared" si="42"/>
        <v>0</v>
      </c>
      <c r="BQ42" s="130">
        <f t="shared" si="42"/>
        <v>0</v>
      </c>
      <c r="BR42" s="130">
        <f t="shared" si="42"/>
        <v>0</v>
      </c>
      <c r="BS42" s="130">
        <f t="shared" si="42"/>
        <v>0</v>
      </c>
      <c r="BT42" s="130">
        <f t="shared" si="42"/>
        <v>0</v>
      </c>
      <c r="BU42" s="130">
        <f t="shared" si="42"/>
        <v>0</v>
      </c>
      <c r="BV42" s="130">
        <f t="shared" ref="BV42:CZ43" si="43">IF(AND(BV$7&lt;=$G42,BV$7&gt;=$F42,$H42&lt;&gt;0,$H42&lt;&gt;""),$C42/$H42,0)</f>
        <v>0</v>
      </c>
      <c r="BW42" s="130">
        <f t="shared" si="43"/>
        <v>0</v>
      </c>
      <c r="BX42" s="130">
        <f t="shared" si="43"/>
        <v>0</v>
      </c>
      <c r="BY42" s="130">
        <f t="shared" si="43"/>
        <v>0</v>
      </c>
      <c r="BZ42" s="130">
        <f t="shared" si="43"/>
        <v>0</v>
      </c>
      <c r="CA42" s="130">
        <f t="shared" si="43"/>
        <v>0</v>
      </c>
      <c r="CB42" s="130">
        <f t="shared" si="43"/>
        <v>0</v>
      </c>
      <c r="CC42" s="130">
        <f t="shared" si="43"/>
        <v>0</v>
      </c>
      <c r="CD42" s="130">
        <f t="shared" si="43"/>
        <v>0</v>
      </c>
      <c r="CE42" s="130">
        <f t="shared" si="43"/>
        <v>0</v>
      </c>
      <c r="CF42" s="130">
        <f t="shared" si="43"/>
        <v>0</v>
      </c>
      <c r="CG42" s="130">
        <f t="shared" si="43"/>
        <v>0</v>
      </c>
      <c r="CH42" s="130">
        <f t="shared" si="43"/>
        <v>0</v>
      </c>
      <c r="CI42" s="130">
        <f t="shared" si="43"/>
        <v>0</v>
      </c>
      <c r="CJ42" s="130">
        <f t="shared" si="43"/>
        <v>0</v>
      </c>
      <c r="CK42" s="130">
        <f t="shared" si="43"/>
        <v>0</v>
      </c>
      <c r="CL42" s="130">
        <f t="shared" si="43"/>
        <v>0</v>
      </c>
      <c r="CM42" s="130">
        <f t="shared" si="43"/>
        <v>0</v>
      </c>
      <c r="CN42" s="130">
        <f t="shared" si="43"/>
        <v>0</v>
      </c>
      <c r="CO42" s="130">
        <f t="shared" si="43"/>
        <v>0</v>
      </c>
      <c r="CP42" s="130">
        <f t="shared" si="43"/>
        <v>0</v>
      </c>
      <c r="CQ42" s="130">
        <f t="shared" si="43"/>
        <v>0</v>
      </c>
      <c r="CR42" s="130">
        <f t="shared" si="43"/>
        <v>0</v>
      </c>
      <c r="CS42" s="130">
        <f t="shared" si="43"/>
        <v>0</v>
      </c>
      <c r="CT42" s="130">
        <f t="shared" si="43"/>
        <v>0</v>
      </c>
      <c r="CU42" s="130">
        <f t="shared" si="43"/>
        <v>0</v>
      </c>
      <c r="CV42" s="130">
        <f t="shared" si="43"/>
        <v>0</v>
      </c>
      <c r="CW42" s="130">
        <f t="shared" si="43"/>
        <v>0</v>
      </c>
      <c r="CX42" s="130">
        <f t="shared" si="43"/>
        <v>0</v>
      </c>
      <c r="CY42" s="130">
        <f t="shared" si="43"/>
        <v>0</v>
      </c>
      <c r="CZ42" s="130">
        <f t="shared" si="43"/>
        <v>0</v>
      </c>
    </row>
    <row r="43" spans="1:104" x14ac:dyDescent="0.35">
      <c r="B43" s="131" t="str">
        <f>'Development Costs'!B21</f>
        <v>Construction contingency</v>
      </c>
      <c r="C43" s="130">
        <f>-'Development Costs'!H21</f>
        <v>-1500000</v>
      </c>
      <c r="D43" s="130">
        <f t="shared" si="39"/>
        <v>0</v>
      </c>
      <c r="E43" s="130">
        <f t="shared" si="36"/>
        <v>-1499999.9999999995</v>
      </c>
      <c r="F43" s="304">
        <f>F41</f>
        <v>44986</v>
      </c>
      <c r="G43" s="304">
        <f>G41</f>
        <v>45536</v>
      </c>
      <c r="H43" s="141">
        <f t="shared" si="40"/>
        <v>19</v>
      </c>
      <c r="I43" s="130">
        <f t="shared" si="41"/>
        <v>0</v>
      </c>
      <c r="J43" s="130">
        <f t="shared" ref="J43:BU43" si="44">IF(AND(J$7&lt;=$G43,J$7&gt;=$F43,$H43&lt;&gt;0,$H43&lt;&gt;""),$C43/$H43,0)</f>
        <v>0</v>
      </c>
      <c r="K43" s="130">
        <f t="shared" si="44"/>
        <v>0</v>
      </c>
      <c r="L43" s="130">
        <f t="shared" si="44"/>
        <v>0</v>
      </c>
      <c r="M43" s="130">
        <f t="shared" si="44"/>
        <v>0</v>
      </c>
      <c r="N43" s="130">
        <f t="shared" si="44"/>
        <v>0</v>
      </c>
      <c r="O43" s="130">
        <f t="shared" si="44"/>
        <v>0</v>
      </c>
      <c r="P43" s="130">
        <f t="shared" si="44"/>
        <v>0</v>
      </c>
      <c r="Q43" s="130">
        <f t="shared" si="44"/>
        <v>0</v>
      </c>
      <c r="R43" s="130">
        <f t="shared" si="44"/>
        <v>0</v>
      </c>
      <c r="S43" s="130">
        <f t="shared" si="44"/>
        <v>0</v>
      </c>
      <c r="T43" s="130">
        <f t="shared" si="44"/>
        <v>0</v>
      </c>
      <c r="U43" s="130">
        <f t="shared" si="44"/>
        <v>0</v>
      </c>
      <c r="V43" s="130">
        <f t="shared" si="44"/>
        <v>0</v>
      </c>
      <c r="W43" s="130">
        <f t="shared" si="44"/>
        <v>-78947.368421052626</v>
      </c>
      <c r="X43" s="130">
        <f t="shared" si="44"/>
        <v>-78947.368421052626</v>
      </c>
      <c r="Y43" s="130">
        <f t="shared" si="44"/>
        <v>-78947.368421052626</v>
      </c>
      <c r="Z43" s="130">
        <f t="shared" si="44"/>
        <v>-78947.368421052626</v>
      </c>
      <c r="AA43" s="130">
        <f t="shared" si="44"/>
        <v>-78947.368421052626</v>
      </c>
      <c r="AB43" s="130">
        <f t="shared" si="44"/>
        <v>-78947.368421052626</v>
      </c>
      <c r="AC43" s="130">
        <f t="shared" si="44"/>
        <v>-78947.368421052626</v>
      </c>
      <c r="AD43" s="130">
        <f t="shared" si="44"/>
        <v>-78947.368421052626</v>
      </c>
      <c r="AE43" s="130">
        <f t="shared" si="44"/>
        <v>-78947.368421052626</v>
      </c>
      <c r="AF43" s="130">
        <f t="shared" si="44"/>
        <v>-78947.368421052626</v>
      </c>
      <c r="AG43" s="130">
        <f t="shared" si="44"/>
        <v>-78947.368421052626</v>
      </c>
      <c r="AH43" s="130">
        <f t="shared" si="44"/>
        <v>-78947.368421052626</v>
      </c>
      <c r="AI43" s="130">
        <f t="shared" si="44"/>
        <v>-78947.368421052626</v>
      </c>
      <c r="AJ43" s="130">
        <f t="shared" si="44"/>
        <v>-78947.368421052626</v>
      </c>
      <c r="AK43" s="130">
        <f t="shared" si="44"/>
        <v>-78947.368421052626</v>
      </c>
      <c r="AL43" s="130">
        <f t="shared" si="44"/>
        <v>-78947.368421052626</v>
      </c>
      <c r="AM43" s="130">
        <f t="shared" si="44"/>
        <v>-78947.368421052626</v>
      </c>
      <c r="AN43" s="130">
        <f t="shared" si="44"/>
        <v>-78947.368421052626</v>
      </c>
      <c r="AO43" s="130">
        <f t="shared" si="44"/>
        <v>-78947.368421052626</v>
      </c>
      <c r="AP43" s="130">
        <f t="shared" si="44"/>
        <v>0</v>
      </c>
      <c r="AQ43" s="130">
        <f t="shared" si="44"/>
        <v>0</v>
      </c>
      <c r="AR43" s="130">
        <f t="shared" si="44"/>
        <v>0</v>
      </c>
      <c r="AS43" s="130">
        <f t="shared" si="44"/>
        <v>0</v>
      </c>
      <c r="AT43" s="130">
        <f t="shared" si="44"/>
        <v>0</v>
      </c>
      <c r="AU43" s="130">
        <f t="shared" si="44"/>
        <v>0</v>
      </c>
      <c r="AV43" s="130">
        <f t="shared" si="44"/>
        <v>0</v>
      </c>
      <c r="AW43" s="130">
        <f t="shared" si="44"/>
        <v>0</v>
      </c>
      <c r="AX43" s="130">
        <f t="shared" si="44"/>
        <v>0</v>
      </c>
      <c r="AY43" s="130">
        <f t="shared" si="44"/>
        <v>0</v>
      </c>
      <c r="AZ43" s="130">
        <f t="shared" si="44"/>
        <v>0</v>
      </c>
      <c r="BA43" s="130">
        <f t="shared" si="44"/>
        <v>0</v>
      </c>
      <c r="BB43" s="130">
        <f t="shared" si="44"/>
        <v>0</v>
      </c>
      <c r="BC43" s="130">
        <f t="shared" si="44"/>
        <v>0</v>
      </c>
      <c r="BD43" s="130">
        <f t="shared" si="44"/>
        <v>0</v>
      </c>
      <c r="BE43" s="130">
        <f t="shared" si="44"/>
        <v>0</v>
      </c>
      <c r="BF43" s="130">
        <f t="shared" si="44"/>
        <v>0</v>
      </c>
      <c r="BG43" s="130">
        <f t="shared" si="44"/>
        <v>0</v>
      </c>
      <c r="BH43" s="130">
        <f t="shared" si="44"/>
        <v>0</v>
      </c>
      <c r="BI43" s="130">
        <f t="shared" si="44"/>
        <v>0</v>
      </c>
      <c r="BJ43" s="130">
        <f t="shared" si="44"/>
        <v>0</v>
      </c>
      <c r="BK43" s="130">
        <f t="shared" si="44"/>
        <v>0</v>
      </c>
      <c r="BL43" s="130">
        <f t="shared" si="44"/>
        <v>0</v>
      </c>
      <c r="BM43" s="130">
        <f t="shared" si="44"/>
        <v>0</v>
      </c>
      <c r="BN43" s="130">
        <f t="shared" si="44"/>
        <v>0</v>
      </c>
      <c r="BO43" s="130">
        <f t="shared" si="44"/>
        <v>0</v>
      </c>
      <c r="BP43" s="130">
        <f t="shared" si="44"/>
        <v>0</v>
      </c>
      <c r="BQ43" s="130">
        <f t="shared" si="44"/>
        <v>0</v>
      </c>
      <c r="BR43" s="130">
        <f t="shared" si="44"/>
        <v>0</v>
      </c>
      <c r="BS43" s="130">
        <f t="shared" si="44"/>
        <v>0</v>
      </c>
      <c r="BT43" s="130">
        <f t="shared" si="44"/>
        <v>0</v>
      </c>
      <c r="BU43" s="130">
        <f t="shared" si="44"/>
        <v>0</v>
      </c>
      <c r="BV43" s="130">
        <f t="shared" si="43"/>
        <v>0</v>
      </c>
      <c r="BW43" s="130">
        <f t="shared" si="43"/>
        <v>0</v>
      </c>
      <c r="BX43" s="130">
        <f t="shared" si="43"/>
        <v>0</v>
      </c>
      <c r="BY43" s="130">
        <f t="shared" si="43"/>
        <v>0</v>
      </c>
      <c r="BZ43" s="130">
        <f t="shared" si="43"/>
        <v>0</v>
      </c>
      <c r="CA43" s="130">
        <f t="shared" si="43"/>
        <v>0</v>
      </c>
      <c r="CB43" s="130">
        <f t="shared" si="43"/>
        <v>0</v>
      </c>
      <c r="CC43" s="130">
        <f t="shared" si="43"/>
        <v>0</v>
      </c>
      <c r="CD43" s="130">
        <f t="shared" si="43"/>
        <v>0</v>
      </c>
      <c r="CE43" s="130">
        <f t="shared" si="43"/>
        <v>0</v>
      </c>
      <c r="CF43" s="130">
        <f t="shared" si="43"/>
        <v>0</v>
      </c>
      <c r="CG43" s="130">
        <f t="shared" si="43"/>
        <v>0</v>
      </c>
      <c r="CH43" s="130">
        <f t="shared" si="43"/>
        <v>0</v>
      </c>
      <c r="CI43" s="130">
        <f t="shared" si="43"/>
        <v>0</v>
      </c>
      <c r="CJ43" s="130">
        <f t="shared" si="43"/>
        <v>0</v>
      </c>
      <c r="CK43" s="130">
        <f t="shared" si="43"/>
        <v>0</v>
      </c>
      <c r="CL43" s="130">
        <f t="shared" si="43"/>
        <v>0</v>
      </c>
      <c r="CM43" s="130">
        <f t="shared" si="43"/>
        <v>0</v>
      </c>
      <c r="CN43" s="130">
        <f t="shared" si="43"/>
        <v>0</v>
      </c>
      <c r="CO43" s="130">
        <f t="shared" si="43"/>
        <v>0</v>
      </c>
      <c r="CP43" s="130">
        <f t="shared" si="43"/>
        <v>0</v>
      </c>
      <c r="CQ43" s="130">
        <f t="shared" si="43"/>
        <v>0</v>
      </c>
      <c r="CR43" s="130">
        <f t="shared" si="43"/>
        <v>0</v>
      </c>
      <c r="CS43" s="130">
        <f t="shared" si="43"/>
        <v>0</v>
      </c>
      <c r="CT43" s="130">
        <f t="shared" si="43"/>
        <v>0</v>
      </c>
      <c r="CU43" s="130">
        <f t="shared" si="43"/>
        <v>0</v>
      </c>
      <c r="CV43" s="130">
        <f t="shared" si="43"/>
        <v>0</v>
      </c>
      <c r="CW43" s="130">
        <f t="shared" si="43"/>
        <v>0</v>
      </c>
      <c r="CX43" s="130">
        <f t="shared" si="43"/>
        <v>0</v>
      </c>
      <c r="CY43" s="130">
        <f t="shared" si="43"/>
        <v>0</v>
      </c>
      <c r="CZ43" s="130">
        <f t="shared" si="43"/>
        <v>0</v>
      </c>
    </row>
    <row r="44" spans="1:104" x14ac:dyDescent="0.35">
      <c r="B44" s="143" t="str">
        <f>'Development Costs'!B22</f>
        <v>Total Construction Costs</v>
      </c>
      <c r="C44" s="144">
        <f>-'Development Costs'!H22</f>
        <v>-30000000</v>
      </c>
      <c r="D44" s="144">
        <f t="shared" ref="D44" si="45">C44-E44</f>
        <v>0</v>
      </c>
      <c r="E44" s="144">
        <f t="shared" si="36"/>
        <v>-29999999.999999996</v>
      </c>
      <c r="F44" s="145"/>
      <c r="G44" s="146"/>
      <c r="H44" s="147"/>
      <c r="I44" s="144">
        <f t="shared" ref="I44:AN44" si="46">SUM(I41:I43)</f>
        <v>0</v>
      </c>
      <c r="J44" s="144">
        <f t="shared" si="46"/>
        <v>0</v>
      </c>
      <c r="K44" s="144">
        <f t="shared" si="46"/>
        <v>0</v>
      </c>
      <c r="L44" s="144">
        <f t="shared" si="46"/>
        <v>0</v>
      </c>
      <c r="M44" s="144">
        <f t="shared" si="46"/>
        <v>0</v>
      </c>
      <c r="N44" s="144">
        <f t="shared" si="46"/>
        <v>0</v>
      </c>
      <c r="O44" s="144">
        <f t="shared" si="46"/>
        <v>0</v>
      </c>
      <c r="P44" s="144">
        <f t="shared" si="46"/>
        <v>0</v>
      </c>
      <c r="Q44" s="144">
        <f t="shared" si="46"/>
        <v>0</v>
      </c>
      <c r="R44" s="144">
        <f t="shared" si="46"/>
        <v>0</v>
      </c>
      <c r="S44" s="144">
        <f t="shared" si="46"/>
        <v>0</v>
      </c>
      <c r="T44" s="144">
        <f t="shared" si="46"/>
        <v>0</v>
      </c>
      <c r="U44" s="144">
        <f t="shared" si="46"/>
        <v>0</v>
      </c>
      <c r="V44" s="144">
        <f t="shared" si="46"/>
        <v>0</v>
      </c>
      <c r="W44" s="144">
        <f t="shared" si="46"/>
        <v>-1198118.1282139218</v>
      </c>
      <c r="X44" s="144">
        <f t="shared" si="46"/>
        <v>-1308541.2333849347</v>
      </c>
      <c r="Y44" s="144">
        <f t="shared" si="46"/>
        <v>-1414986.9751653245</v>
      </c>
      <c r="Z44" s="144">
        <f t="shared" si="46"/>
        <v>-1514665.851503314</v>
      </c>
      <c r="AA44" s="144">
        <f t="shared" si="46"/>
        <v>-1604796.3894171291</v>
      </c>
      <c r="AB44" s="144">
        <f t="shared" si="46"/>
        <v>-1682732.3752747211</v>
      </c>
      <c r="AC44" s="144">
        <f t="shared" si="46"/>
        <v>-1746091.1194010703</v>
      </c>
      <c r="AD44" s="144">
        <f t="shared" si="46"/>
        <v>-1792874.1413220416</v>
      </c>
      <c r="AE44" s="144">
        <f t="shared" si="46"/>
        <v>-1821571.7704980257</v>
      </c>
      <c r="AF44" s="144">
        <f t="shared" si="46"/>
        <v>-1831244.0316390288</v>
      </c>
      <c r="AG44" s="144">
        <f t="shared" si="46"/>
        <v>-1821571.7704980287</v>
      </c>
      <c r="AH44" s="144">
        <f t="shared" si="46"/>
        <v>-1792874.141322037</v>
      </c>
      <c r="AI44" s="144">
        <f t="shared" si="46"/>
        <v>-1746091.1194010733</v>
      </c>
      <c r="AJ44" s="144">
        <f t="shared" si="46"/>
        <v>-1682732.3752747194</v>
      </c>
      <c r="AK44" s="144">
        <f t="shared" si="46"/>
        <v>-1604796.38941713</v>
      </c>
      <c r="AL44" s="144">
        <f t="shared" si="46"/>
        <v>-1514665.8515033149</v>
      </c>
      <c r="AM44" s="144">
        <f t="shared" si="46"/>
        <v>-1414986.9751653206</v>
      </c>
      <c r="AN44" s="144">
        <f t="shared" si="46"/>
        <v>-1308541.2333849354</v>
      </c>
      <c r="AO44" s="144">
        <f t="shared" ref="AO44:BT44" si="47">SUM(AO41:AO43)</f>
        <v>-1198118.1282139218</v>
      </c>
      <c r="AP44" s="144">
        <f t="shared" si="47"/>
        <v>0</v>
      </c>
      <c r="AQ44" s="144">
        <f t="shared" si="47"/>
        <v>0</v>
      </c>
      <c r="AR44" s="144">
        <f t="shared" si="47"/>
        <v>0</v>
      </c>
      <c r="AS44" s="144">
        <f t="shared" si="47"/>
        <v>0</v>
      </c>
      <c r="AT44" s="144">
        <f t="shared" si="47"/>
        <v>0</v>
      </c>
      <c r="AU44" s="144">
        <f t="shared" si="47"/>
        <v>0</v>
      </c>
      <c r="AV44" s="144">
        <f t="shared" si="47"/>
        <v>0</v>
      </c>
      <c r="AW44" s="144">
        <f t="shared" si="47"/>
        <v>0</v>
      </c>
      <c r="AX44" s="144">
        <f t="shared" si="47"/>
        <v>0</v>
      </c>
      <c r="AY44" s="144">
        <f t="shared" si="47"/>
        <v>0</v>
      </c>
      <c r="AZ44" s="144">
        <f t="shared" si="47"/>
        <v>0</v>
      </c>
      <c r="BA44" s="144">
        <f t="shared" si="47"/>
        <v>0</v>
      </c>
      <c r="BB44" s="144">
        <f t="shared" si="47"/>
        <v>0</v>
      </c>
      <c r="BC44" s="144">
        <f t="shared" si="47"/>
        <v>0</v>
      </c>
      <c r="BD44" s="144">
        <f t="shared" si="47"/>
        <v>0</v>
      </c>
      <c r="BE44" s="144">
        <f t="shared" si="47"/>
        <v>0</v>
      </c>
      <c r="BF44" s="144">
        <f t="shared" si="47"/>
        <v>0</v>
      </c>
      <c r="BG44" s="144">
        <f t="shared" si="47"/>
        <v>0</v>
      </c>
      <c r="BH44" s="144">
        <f t="shared" si="47"/>
        <v>0</v>
      </c>
      <c r="BI44" s="144">
        <f t="shared" si="47"/>
        <v>0</v>
      </c>
      <c r="BJ44" s="144">
        <f t="shared" si="47"/>
        <v>0</v>
      </c>
      <c r="BK44" s="144">
        <f t="shared" si="47"/>
        <v>0</v>
      </c>
      <c r="BL44" s="144">
        <f t="shared" si="47"/>
        <v>0</v>
      </c>
      <c r="BM44" s="144">
        <f t="shared" si="47"/>
        <v>0</v>
      </c>
      <c r="BN44" s="144">
        <f t="shared" si="47"/>
        <v>0</v>
      </c>
      <c r="BO44" s="144">
        <f t="shared" si="47"/>
        <v>0</v>
      </c>
      <c r="BP44" s="144">
        <f t="shared" si="47"/>
        <v>0</v>
      </c>
      <c r="BQ44" s="144">
        <f t="shared" si="47"/>
        <v>0</v>
      </c>
      <c r="BR44" s="144">
        <f t="shared" si="47"/>
        <v>0</v>
      </c>
      <c r="BS44" s="144">
        <f t="shared" si="47"/>
        <v>0</v>
      </c>
      <c r="BT44" s="144">
        <f t="shared" si="47"/>
        <v>0</v>
      </c>
      <c r="BU44" s="144">
        <f t="shared" ref="BU44:CZ44" si="48">SUM(BU41:BU43)</f>
        <v>0</v>
      </c>
      <c r="BV44" s="144">
        <f t="shared" si="48"/>
        <v>0</v>
      </c>
      <c r="BW44" s="144">
        <f t="shared" si="48"/>
        <v>0</v>
      </c>
      <c r="BX44" s="144">
        <f t="shared" si="48"/>
        <v>0</v>
      </c>
      <c r="BY44" s="144">
        <f t="shared" si="48"/>
        <v>0</v>
      </c>
      <c r="BZ44" s="144">
        <f t="shared" si="48"/>
        <v>0</v>
      </c>
      <c r="CA44" s="144">
        <f t="shared" si="48"/>
        <v>0</v>
      </c>
      <c r="CB44" s="144">
        <f t="shared" si="48"/>
        <v>0</v>
      </c>
      <c r="CC44" s="144">
        <f t="shared" si="48"/>
        <v>0</v>
      </c>
      <c r="CD44" s="144">
        <f t="shared" si="48"/>
        <v>0</v>
      </c>
      <c r="CE44" s="144">
        <f t="shared" si="48"/>
        <v>0</v>
      </c>
      <c r="CF44" s="144">
        <f t="shared" si="48"/>
        <v>0</v>
      </c>
      <c r="CG44" s="144">
        <f t="shared" si="48"/>
        <v>0</v>
      </c>
      <c r="CH44" s="144">
        <f t="shared" si="48"/>
        <v>0</v>
      </c>
      <c r="CI44" s="144">
        <f t="shared" si="48"/>
        <v>0</v>
      </c>
      <c r="CJ44" s="144">
        <f t="shared" si="48"/>
        <v>0</v>
      </c>
      <c r="CK44" s="144">
        <f t="shared" si="48"/>
        <v>0</v>
      </c>
      <c r="CL44" s="144">
        <f t="shared" si="48"/>
        <v>0</v>
      </c>
      <c r="CM44" s="144">
        <f t="shared" si="48"/>
        <v>0</v>
      </c>
      <c r="CN44" s="144">
        <f t="shared" si="48"/>
        <v>0</v>
      </c>
      <c r="CO44" s="144">
        <f t="shared" si="48"/>
        <v>0</v>
      </c>
      <c r="CP44" s="144">
        <f t="shared" si="48"/>
        <v>0</v>
      </c>
      <c r="CQ44" s="144">
        <f t="shared" si="48"/>
        <v>0</v>
      </c>
      <c r="CR44" s="144">
        <f t="shared" si="48"/>
        <v>0</v>
      </c>
      <c r="CS44" s="144">
        <f t="shared" si="48"/>
        <v>0</v>
      </c>
      <c r="CT44" s="144">
        <f t="shared" si="48"/>
        <v>0</v>
      </c>
      <c r="CU44" s="144">
        <f t="shared" si="48"/>
        <v>0</v>
      </c>
      <c r="CV44" s="144">
        <f t="shared" si="48"/>
        <v>0</v>
      </c>
      <c r="CW44" s="144">
        <f t="shared" si="48"/>
        <v>0</v>
      </c>
      <c r="CX44" s="144">
        <f t="shared" si="48"/>
        <v>0</v>
      </c>
      <c r="CY44" s="144">
        <f t="shared" si="48"/>
        <v>0</v>
      </c>
      <c r="CZ44" s="144">
        <f t="shared" si="48"/>
        <v>0</v>
      </c>
    </row>
    <row r="45" spans="1:104" x14ac:dyDescent="0.35">
      <c r="B45" s="131"/>
      <c r="C45" s="130"/>
      <c r="E45" s="130"/>
      <c r="F45" s="35"/>
      <c r="H45" s="139"/>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130"/>
      <c r="BU45" s="130"/>
      <c r="BV45" s="130"/>
      <c r="BW45" s="130"/>
      <c r="BX45" s="130"/>
      <c r="BY45" s="130"/>
      <c r="BZ45" s="130"/>
      <c r="CA45" s="130"/>
      <c r="CB45" s="130"/>
      <c r="CC45" s="130"/>
      <c r="CD45" s="130"/>
      <c r="CE45" s="130"/>
      <c r="CF45" s="130"/>
      <c r="CG45" s="130"/>
      <c r="CH45" s="130"/>
      <c r="CI45" s="130"/>
      <c r="CJ45" s="130"/>
      <c r="CK45" s="130"/>
      <c r="CL45" s="130"/>
      <c r="CM45" s="130"/>
      <c r="CN45" s="130"/>
      <c r="CO45" s="130"/>
      <c r="CP45" s="130"/>
      <c r="CQ45" s="130"/>
      <c r="CR45" s="130"/>
      <c r="CS45" s="130"/>
      <c r="CT45" s="130"/>
      <c r="CU45" s="130"/>
      <c r="CV45" s="130"/>
      <c r="CW45" s="130"/>
      <c r="CX45" s="130"/>
      <c r="CY45" s="130"/>
      <c r="CZ45" s="130"/>
    </row>
    <row r="46" spans="1:104" x14ac:dyDescent="0.35">
      <c r="B46" s="142" t="s">
        <v>123</v>
      </c>
      <c r="C46" s="133"/>
      <c r="D46" s="37"/>
      <c r="E46" s="38"/>
      <c r="F46" s="38"/>
      <c r="G46" s="119"/>
      <c r="H46" s="138"/>
      <c r="I46" s="133"/>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row>
    <row r="47" spans="1:104" x14ac:dyDescent="0.35">
      <c r="B47" s="131" t="str">
        <f>'Development Costs'!B25</f>
        <v>Architect</v>
      </c>
      <c r="C47" s="130">
        <f>-'Development Costs'!H25</f>
        <v>-480000</v>
      </c>
      <c r="D47" s="130">
        <f>ROUND(C47-E47,0)</f>
        <v>0</v>
      </c>
      <c r="E47" s="130">
        <f t="shared" ref="E47:E62" si="49">SUM(I47:CZ47)</f>
        <v>-480000</v>
      </c>
      <c r="F47" s="304">
        <f>Schedule!D15</f>
        <v>44593</v>
      </c>
      <c r="G47" s="304">
        <f>Schedule!E17</f>
        <v>45536</v>
      </c>
      <c r="H47" s="141">
        <f>DATEDIF(F47,G47,"m")+1</f>
        <v>32</v>
      </c>
      <c r="I47" s="130">
        <f>IF(AND(I$7&lt;=$G47,I$7&gt;=$F47,$H47&lt;&gt;0,$H47&lt;&gt;""),$C47/$H47,0)</f>
        <v>0</v>
      </c>
      <c r="J47" s="130">
        <f t="shared" ref="J47:BU48" si="50">IF(AND(J$7&lt;=$G47,J$7&gt;=$F47,$H47&lt;&gt;0,$H47&lt;&gt;""),$C47/$H47,0)</f>
        <v>-15000</v>
      </c>
      <c r="K47" s="130">
        <f t="shared" si="50"/>
        <v>-15000</v>
      </c>
      <c r="L47" s="130">
        <f t="shared" si="50"/>
        <v>-15000</v>
      </c>
      <c r="M47" s="130">
        <f t="shared" si="50"/>
        <v>-15000</v>
      </c>
      <c r="N47" s="130">
        <f t="shared" si="50"/>
        <v>-15000</v>
      </c>
      <c r="O47" s="130">
        <f t="shared" si="50"/>
        <v>-15000</v>
      </c>
      <c r="P47" s="130">
        <f t="shared" si="50"/>
        <v>-15000</v>
      </c>
      <c r="Q47" s="130">
        <f t="shared" si="50"/>
        <v>-15000</v>
      </c>
      <c r="R47" s="130">
        <f t="shared" si="50"/>
        <v>-15000</v>
      </c>
      <c r="S47" s="130">
        <f t="shared" si="50"/>
        <v>-15000</v>
      </c>
      <c r="T47" s="130">
        <f t="shared" si="50"/>
        <v>-15000</v>
      </c>
      <c r="U47" s="130">
        <f t="shared" si="50"/>
        <v>-15000</v>
      </c>
      <c r="V47" s="130">
        <f t="shared" si="50"/>
        <v>-15000</v>
      </c>
      <c r="W47" s="130">
        <f t="shared" si="50"/>
        <v>-15000</v>
      </c>
      <c r="X47" s="130">
        <f t="shared" si="50"/>
        <v>-15000</v>
      </c>
      <c r="Y47" s="130">
        <f t="shared" si="50"/>
        <v>-15000</v>
      </c>
      <c r="Z47" s="130">
        <f t="shared" si="50"/>
        <v>-15000</v>
      </c>
      <c r="AA47" s="130">
        <f t="shared" si="50"/>
        <v>-15000</v>
      </c>
      <c r="AB47" s="130">
        <f t="shared" si="50"/>
        <v>-15000</v>
      </c>
      <c r="AC47" s="130">
        <f t="shared" si="50"/>
        <v>-15000</v>
      </c>
      <c r="AD47" s="130">
        <f t="shared" si="50"/>
        <v>-15000</v>
      </c>
      <c r="AE47" s="130">
        <f t="shared" si="50"/>
        <v>-15000</v>
      </c>
      <c r="AF47" s="130">
        <f t="shared" si="50"/>
        <v>-15000</v>
      </c>
      <c r="AG47" s="130">
        <f t="shared" si="50"/>
        <v>-15000</v>
      </c>
      <c r="AH47" s="130">
        <f t="shared" si="50"/>
        <v>-15000</v>
      </c>
      <c r="AI47" s="130">
        <f t="shared" si="50"/>
        <v>-15000</v>
      </c>
      <c r="AJ47" s="130">
        <f t="shared" si="50"/>
        <v>-15000</v>
      </c>
      <c r="AK47" s="130">
        <f t="shared" si="50"/>
        <v>-15000</v>
      </c>
      <c r="AL47" s="130">
        <f t="shared" si="50"/>
        <v>-15000</v>
      </c>
      <c r="AM47" s="130">
        <f t="shared" si="50"/>
        <v>-15000</v>
      </c>
      <c r="AN47" s="130">
        <f t="shared" si="50"/>
        <v>-15000</v>
      </c>
      <c r="AO47" s="130">
        <f t="shared" si="50"/>
        <v>-15000</v>
      </c>
      <c r="AP47" s="130">
        <f t="shared" si="50"/>
        <v>0</v>
      </c>
      <c r="AQ47" s="130">
        <f t="shared" si="50"/>
        <v>0</v>
      </c>
      <c r="AR47" s="130">
        <f t="shared" si="50"/>
        <v>0</v>
      </c>
      <c r="AS47" s="130">
        <f t="shared" si="50"/>
        <v>0</v>
      </c>
      <c r="AT47" s="130">
        <f t="shared" si="50"/>
        <v>0</v>
      </c>
      <c r="AU47" s="130">
        <f t="shared" si="50"/>
        <v>0</v>
      </c>
      <c r="AV47" s="130">
        <f t="shared" si="50"/>
        <v>0</v>
      </c>
      <c r="AW47" s="130">
        <f t="shared" si="50"/>
        <v>0</v>
      </c>
      <c r="AX47" s="130">
        <f t="shared" si="50"/>
        <v>0</v>
      </c>
      <c r="AY47" s="130">
        <f t="shared" si="50"/>
        <v>0</v>
      </c>
      <c r="AZ47" s="130">
        <f t="shared" si="50"/>
        <v>0</v>
      </c>
      <c r="BA47" s="130">
        <f t="shared" si="50"/>
        <v>0</v>
      </c>
      <c r="BB47" s="130">
        <f t="shared" si="50"/>
        <v>0</v>
      </c>
      <c r="BC47" s="130">
        <f t="shared" si="50"/>
        <v>0</v>
      </c>
      <c r="BD47" s="130">
        <f t="shared" si="50"/>
        <v>0</v>
      </c>
      <c r="BE47" s="130">
        <f t="shared" si="50"/>
        <v>0</v>
      </c>
      <c r="BF47" s="130">
        <f t="shared" si="50"/>
        <v>0</v>
      </c>
      <c r="BG47" s="130">
        <f t="shared" si="50"/>
        <v>0</v>
      </c>
      <c r="BH47" s="130">
        <f t="shared" si="50"/>
        <v>0</v>
      </c>
      <c r="BI47" s="130">
        <f t="shared" si="50"/>
        <v>0</v>
      </c>
      <c r="BJ47" s="130">
        <f t="shared" si="50"/>
        <v>0</v>
      </c>
      <c r="BK47" s="130">
        <f t="shared" si="50"/>
        <v>0</v>
      </c>
      <c r="BL47" s="130">
        <f t="shared" si="50"/>
        <v>0</v>
      </c>
      <c r="BM47" s="130">
        <f t="shared" si="50"/>
        <v>0</v>
      </c>
      <c r="BN47" s="130">
        <f t="shared" si="50"/>
        <v>0</v>
      </c>
      <c r="BO47" s="130">
        <f t="shared" si="50"/>
        <v>0</v>
      </c>
      <c r="BP47" s="130">
        <f t="shared" si="50"/>
        <v>0</v>
      </c>
      <c r="BQ47" s="130">
        <f t="shared" si="50"/>
        <v>0</v>
      </c>
      <c r="BR47" s="130">
        <f t="shared" si="50"/>
        <v>0</v>
      </c>
      <c r="BS47" s="130">
        <f t="shared" si="50"/>
        <v>0</v>
      </c>
      <c r="BT47" s="130">
        <f t="shared" si="50"/>
        <v>0</v>
      </c>
      <c r="BU47" s="130">
        <f t="shared" si="50"/>
        <v>0</v>
      </c>
      <c r="BV47" s="130">
        <f t="shared" ref="BV47:CZ51" si="51">IF(AND(BV$7&lt;=$G47,BV$7&gt;=$F47,$H47&lt;&gt;0,$H47&lt;&gt;""),$C47/$H47,0)</f>
        <v>0</v>
      </c>
      <c r="BW47" s="130">
        <f t="shared" si="51"/>
        <v>0</v>
      </c>
      <c r="BX47" s="130">
        <f t="shared" si="51"/>
        <v>0</v>
      </c>
      <c r="BY47" s="130">
        <f t="shared" si="51"/>
        <v>0</v>
      </c>
      <c r="BZ47" s="130">
        <f t="shared" si="51"/>
        <v>0</v>
      </c>
      <c r="CA47" s="130">
        <f t="shared" si="51"/>
        <v>0</v>
      </c>
      <c r="CB47" s="130">
        <f t="shared" si="51"/>
        <v>0</v>
      </c>
      <c r="CC47" s="130">
        <f t="shared" si="51"/>
        <v>0</v>
      </c>
      <c r="CD47" s="130">
        <f t="shared" si="51"/>
        <v>0</v>
      </c>
      <c r="CE47" s="130">
        <f t="shared" si="51"/>
        <v>0</v>
      </c>
      <c r="CF47" s="130">
        <f t="shared" si="51"/>
        <v>0</v>
      </c>
      <c r="CG47" s="130">
        <f t="shared" si="51"/>
        <v>0</v>
      </c>
      <c r="CH47" s="130">
        <f t="shared" si="51"/>
        <v>0</v>
      </c>
      <c r="CI47" s="130">
        <f t="shared" si="51"/>
        <v>0</v>
      </c>
      <c r="CJ47" s="130">
        <f t="shared" si="51"/>
        <v>0</v>
      </c>
      <c r="CK47" s="130">
        <f t="shared" si="51"/>
        <v>0</v>
      </c>
      <c r="CL47" s="130">
        <f t="shared" si="51"/>
        <v>0</v>
      </c>
      <c r="CM47" s="130">
        <f t="shared" si="51"/>
        <v>0</v>
      </c>
      <c r="CN47" s="130">
        <f t="shared" si="51"/>
        <v>0</v>
      </c>
      <c r="CO47" s="130">
        <f t="shared" si="51"/>
        <v>0</v>
      </c>
      <c r="CP47" s="130">
        <f t="shared" si="51"/>
        <v>0</v>
      </c>
      <c r="CQ47" s="130">
        <f t="shared" si="51"/>
        <v>0</v>
      </c>
      <c r="CR47" s="130">
        <f t="shared" si="51"/>
        <v>0</v>
      </c>
      <c r="CS47" s="130">
        <f t="shared" si="51"/>
        <v>0</v>
      </c>
      <c r="CT47" s="130">
        <f t="shared" si="51"/>
        <v>0</v>
      </c>
      <c r="CU47" s="130">
        <f t="shared" si="51"/>
        <v>0</v>
      </c>
      <c r="CV47" s="130">
        <f t="shared" si="51"/>
        <v>0</v>
      </c>
      <c r="CW47" s="130">
        <f t="shared" si="51"/>
        <v>0</v>
      </c>
      <c r="CX47" s="130">
        <f t="shared" si="51"/>
        <v>0</v>
      </c>
      <c r="CY47" s="130">
        <f t="shared" si="51"/>
        <v>0</v>
      </c>
      <c r="CZ47" s="130">
        <f t="shared" si="51"/>
        <v>0</v>
      </c>
    </row>
    <row r="48" spans="1:104" x14ac:dyDescent="0.35">
      <c r="B48" s="131" t="str">
        <f>'Development Costs'!B26</f>
        <v>Landscape architect</v>
      </c>
      <c r="C48" s="130">
        <f>-'Development Costs'!H26</f>
        <v>-32000</v>
      </c>
      <c r="D48" s="130">
        <f t="shared" ref="D48:D61" si="52">ROUND(C48-E48,0)</f>
        <v>0</v>
      </c>
      <c r="E48" s="130">
        <f t="shared" si="49"/>
        <v>-32000</v>
      </c>
      <c r="F48" s="304">
        <f t="shared" ref="F48:G60" si="53">F$47</f>
        <v>44593</v>
      </c>
      <c r="G48" s="304">
        <f t="shared" si="53"/>
        <v>45536</v>
      </c>
      <c r="H48" s="141">
        <f t="shared" ref="H48:H61" si="54">DATEDIF(F48,G48,"m")+1</f>
        <v>32</v>
      </c>
      <c r="I48" s="130">
        <f t="shared" ref="I48:X61" si="55">IF(AND(I$7&lt;=$G48,I$7&gt;=$F48,$H48&lt;&gt;0,$H48&lt;&gt;""),$C48/$H48,0)</f>
        <v>0</v>
      </c>
      <c r="J48" s="130">
        <f t="shared" si="55"/>
        <v>-1000</v>
      </c>
      <c r="K48" s="130">
        <f t="shared" si="55"/>
        <v>-1000</v>
      </c>
      <c r="L48" s="130">
        <f t="shared" si="55"/>
        <v>-1000</v>
      </c>
      <c r="M48" s="130">
        <f t="shared" si="55"/>
        <v>-1000</v>
      </c>
      <c r="N48" s="130">
        <f t="shared" si="55"/>
        <v>-1000</v>
      </c>
      <c r="O48" s="130">
        <f t="shared" si="55"/>
        <v>-1000</v>
      </c>
      <c r="P48" s="130">
        <f t="shared" si="55"/>
        <v>-1000</v>
      </c>
      <c r="Q48" s="130">
        <f t="shared" si="55"/>
        <v>-1000</v>
      </c>
      <c r="R48" s="130">
        <f t="shared" si="55"/>
        <v>-1000</v>
      </c>
      <c r="S48" s="130">
        <f t="shared" si="55"/>
        <v>-1000</v>
      </c>
      <c r="T48" s="130">
        <f t="shared" si="55"/>
        <v>-1000</v>
      </c>
      <c r="U48" s="130">
        <f t="shared" si="55"/>
        <v>-1000</v>
      </c>
      <c r="V48" s="130">
        <f t="shared" si="55"/>
        <v>-1000</v>
      </c>
      <c r="W48" s="130">
        <f t="shared" si="55"/>
        <v>-1000</v>
      </c>
      <c r="X48" s="130">
        <f t="shared" si="55"/>
        <v>-1000</v>
      </c>
      <c r="Y48" s="130">
        <f t="shared" si="50"/>
        <v>-1000</v>
      </c>
      <c r="Z48" s="130">
        <f t="shared" si="50"/>
        <v>-1000</v>
      </c>
      <c r="AA48" s="130">
        <f t="shared" si="50"/>
        <v>-1000</v>
      </c>
      <c r="AB48" s="130">
        <f t="shared" si="50"/>
        <v>-1000</v>
      </c>
      <c r="AC48" s="130">
        <f t="shared" si="50"/>
        <v>-1000</v>
      </c>
      <c r="AD48" s="130">
        <f t="shared" si="50"/>
        <v>-1000</v>
      </c>
      <c r="AE48" s="130">
        <f t="shared" si="50"/>
        <v>-1000</v>
      </c>
      <c r="AF48" s="130">
        <f t="shared" si="50"/>
        <v>-1000</v>
      </c>
      <c r="AG48" s="130">
        <f t="shared" si="50"/>
        <v>-1000</v>
      </c>
      <c r="AH48" s="130">
        <f t="shared" si="50"/>
        <v>-1000</v>
      </c>
      <c r="AI48" s="130">
        <f t="shared" si="50"/>
        <v>-1000</v>
      </c>
      <c r="AJ48" s="130">
        <f t="shared" si="50"/>
        <v>-1000</v>
      </c>
      <c r="AK48" s="130">
        <f t="shared" si="50"/>
        <v>-1000</v>
      </c>
      <c r="AL48" s="130">
        <f t="shared" si="50"/>
        <v>-1000</v>
      </c>
      <c r="AM48" s="130">
        <f t="shared" si="50"/>
        <v>-1000</v>
      </c>
      <c r="AN48" s="130">
        <f t="shared" si="50"/>
        <v>-1000</v>
      </c>
      <c r="AO48" s="130">
        <f t="shared" si="50"/>
        <v>-1000</v>
      </c>
      <c r="AP48" s="130">
        <f t="shared" si="50"/>
        <v>0</v>
      </c>
      <c r="AQ48" s="130">
        <f t="shared" si="50"/>
        <v>0</v>
      </c>
      <c r="AR48" s="130">
        <f t="shared" si="50"/>
        <v>0</v>
      </c>
      <c r="AS48" s="130">
        <f t="shared" si="50"/>
        <v>0</v>
      </c>
      <c r="AT48" s="130">
        <f t="shared" si="50"/>
        <v>0</v>
      </c>
      <c r="AU48" s="130">
        <f t="shared" si="50"/>
        <v>0</v>
      </c>
      <c r="AV48" s="130">
        <f t="shared" si="50"/>
        <v>0</v>
      </c>
      <c r="AW48" s="130">
        <f t="shared" si="50"/>
        <v>0</v>
      </c>
      <c r="AX48" s="130">
        <f t="shared" si="50"/>
        <v>0</v>
      </c>
      <c r="AY48" s="130">
        <f t="shared" si="50"/>
        <v>0</v>
      </c>
      <c r="AZ48" s="130">
        <f t="shared" si="50"/>
        <v>0</v>
      </c>
      <c r="BA48" s="130">
        <f t="shared" si="50"/>
        <v>0</v>
      </c>
      <c r="BB48" s="130">
        <f t="shared" si="50"/>
        <v>0</v>
      </c>
      <c r="BC48" s="130">
        <f t="shared" si="50"/>
        <v>0</v>
      </c>
      <c r="BD48" s="130">
        <f t="shared" si="50"/>
        <v>0</v>
      </c>
      <c r="BE48" s="130">
        <f t="shared" si="50"/>
        <v>0</v>
      </c>
      <c r="BF48" s="130">
        <f t="shared" si="50"/>
        <v>0</v>
      </c>
      <c r="BG48" s="130">
        <f t="shared" si="50"/>
        <v>0</v>
      </c>
      <c r="BH48" s="130">
        <f t="shared" si="50"/>
        <v>0</v>
      </c>
      <c r="BI48" s="130">
        <f t="shared" si="50"/>
        <v>0</v>
      </c>
      <c r="BJ48" s="130">
        <f t="shared" si="50"/>
        <v>0</v>
      </c>
      <c r="BK48" s="130">
        <f t="shared" si="50"/>
        <v>0</v>
      </c>
      <c r="BL48" s="130">
        <f t="shared" si="50"/>
        <v>0</v>
      </c>
      <c r="BM48" s="130">
        <f t="shared" si="50"/>
        <v>0</v>
      </c>
      <c r="BN48" s="130">
        <f t="shared" si="50"/>
        <v>0</v>
      </c>
      <c r="BO48" s="130">
        <f t="shared" si="50"/>
        <v>0</v>
      </c>
      <c r="BP48" s="130">
        <f t="shared" si="50"/>
        <v>0</v>
      </c>
      <c r="BQ48" s="130">
        <f t="shared" si="50"/>
        <v>0</v>
      </c>
      <c r="BR48" s="130">
        <f t="shared" si="50"/>
        <v>0</v>
      </c>
      <c r="BS48" s="130">
        <f t="shared" si="50"/>
        <v>0</v>
      </c>
      <c r="BT48" s="130">
        <f t="shared" si="50"/>
        <v>0</v>
      </c>
      <c r="BU48" s="130">
        <f t="shared" si="50"/>
        <v>0</v>
      </c>
      <c r="BV48" s="130">
        <f t="shared" si="51"/>
        <v>0</v>
      </c>
      <c r="BW48" s="130">
        <f t="shared" si="51"/>
        <v>0</v>
      </c>
      <c r="BX48" s="130">
        <f t="shared" si="51"/>
        <v>0</v>
      </c>
      <c r="BY48" s="130">
        <f t="shared" si="51"/>
        <v>0</v>
      </c>
      <c r="BZ48" s="130">
        <f t="shared" si="51"/>
        <v>0</v>
      </c>
      <c r="CA48" s="130">
        <f t="shared" si="51"/>
        <v>0</v>
      </c>
      <c r="CB48" s="130">
        <f t="shared" si="51"/>
        <v>0</v>
      </c>
      <c r="CC48" s="130">
        <f t="shared" si="51"/>
        <v>0</v>
      </c>
      <c r="CD48" s="130">
        <f t="shared" si="51"/>
        <v>0</v>
      </c>
      <c r="CE48" s="130">
        <f t="shared" si="51"/>
        <v>0</v>
      </c>
      <c r="CF48" s="130">
        <f t="shared" si="51"/>
        <v>0</v>
      </c>
      <c r="CG48" s="130">
        <f t="shared" si="51"/>
        <v>0</v>
      </c>
      <c r="CH48" s="130">
        <f t="shared" si="51"/>
        <v>0</v>
      </c>
      <c r="CI48" s="130">
        <f t="shared" si="51"/>
        <v>0</v>
      </c>
      <c r="CJ48" s="130">
        <f t="shared" si="51"/>
        <v>0</v>
      </c>
      <c r="CK48" s="130">
        <f t="shared" si="51"/>
        <v>0</v>
      </c>
      <c r="CL48" s="130">
        <f t="shared" si="51"/>
        <v>0</v>
      </c>
      <c r="CM48" s="130">
        <f t="shared" si="51"/>
        <v>0</v>
      </c>
      <c r="CN48" s="130">
        <f t="shared" si="51"/>
        <v>0</v>
      </c>
      <c r="CO48" s="130">
        <f t="shared" si="51"/>
        <v>0</v>
      </c>
      <c r="CP48" s="130">
        <f t="shared" si="51"/>
        <v>0</v>
      </c>
      <c r="CQ48" s="130">
        <f t="shared" si="51"/>
        <v>0</v>
      </c>
      <c r="CR48" s="130">
        <f t="shared" si="51"/>
        <v>0</v>
      </c>
      <c r="CS48" s="130">
        <f t="shared" si="51"/>
        <v>0</v>
      </c>
      <c r="CT48" s="130">
        <f t="shared" si="51"/>
        <v>0</v>
      </c>
      <c r="CU48" s="130">
        <f t="shared" si="51"/>
        <v>0</v>
      </c>
      <c r="CV48" s="130">
        <f t="shared" si="51"/>
        <v>0</v>
      </c>
      <c r="CW48" s="130">
        <f t="shared" si="51"/>
        <v>0</v>
      </c>
      <c r="CX48" s="130">
        <f t="shared" si="51"/>
        <v>0</v>
      </c>
      <c r="CY48" s="130">
        <f t="shared" si="51"/>
        <v>0</v>
      </c>
      <c r="CZ48" s="130">
        <f t="shared" si="51"/>
        <v>0</v>
      </c>
    </row>
    <row r="49" spans="2:104" x14ac:dyDescent="0.35">
      <c r="B49" s="131" t="str">
        <f>'Development Costs'!B27</f>
        <v>Structural engineer</v>
      </c>
      <c r="C49" s="130">
        <f>-'Development Costs'!H27</f>
        <v>-160000</v>
      </c>
      <c r="D49" s="130">
        <f t="shared" si="52"/>
        <v>0</v>
      </c>
      <c r="E49" s="130">
        <f t="shared" si="49"/>
        <v>-160000</v>
      </c>
      <c r="F49" s="304">
        <f t="shared" si="53"/>
        <v>44593</v>
      </c>
      <c r="G49" s="304">
        <f t="shared" si="53"/>
        <v>45536</v>
      </c>
      <c r="H49" s="141">
        <f t="shared" si="54"/>
        <v>32</v>
      </c>
      <c r="I49" s="130">
        <f t="shared" si="55"/>
        <v>0</v>
      </c>
      <c r="J49" s="130">
        <f t="shared" ref="J49:BU52" si="56">IF(AND(J$7&lt;=$G49,J$7&gt;=$F49,$H49&lt;&gt;0,$H49&lt;&gt;""),$C49/$H49,0)</f>
        <v>-5000</v>
      </c>
      <c r="K49" s="130">
        <f t="shared" si="56"/>
        <v>-5000</v>
      </c>
      <c r="L49" s="130">
        <f t="shared" si="56"/>
        <v>-5000</v>
      </c>
      <c r="M49" s="130">
        <f t="shared" si="56"/>
        <v>-5000</v>
      </c>
      <c r="N49" s="130">
        <f t="shared" si="56"/>
        <v>-5000</v>
      </c>
      <c r="O49" s="130">
        <f t="shared" si="56"/>
        <v>-5000</v>
      </c>
      <c r="P49" s="130">
        <f t="shared" si="56"/>
        <v>-5000</v>
      </c>
      <c r="Q49" s="130">
        <f t="shared" si="56"/>
        <v>-5000</v>
      </c>
      <c r="R49" s="130">
        <f t="shared" si="56"/>
        <v>-5000</v>
      </c>
      <c r="S49" s="130">
        <f t="shared" si="56"/>
        <v>-5000</v>
      </c>
      <c r="T49" s="130">
        <f t="shared" si="56"/>
        <v>-5000</v>
      </c>
      <c r="U49" s="130">
        <f t="shared" si="56"/>
        <v>-5000</v>
      </c>
      <c r="V49" s="130">
        <f t="shared" si="56"/>
        <v>-5000</v>
      </c>
      <c r="W49" s="130">
        <f t="shared" si="56"/>
        <v>-5000</v>
      </c>
      <c r="X49" s="130">
        <f t="shared" si="56"/>
        <v>-5000</v>
      </c>
      <c r="Y49" s="130">
        <f t="shared" si="56"/>
        <v>-5000</v>
      </c>
      <c r="Z49" s="130">
        <f t="shared" si="56"/>
        <v>-5000</v>
      </c>
      <c r="AA49" s="130">
        <f t="shared" si="56"/>
        <v>-5000</v>
      </c>
      <c r="AB49" s="130">
        <f t="shared" si="56"/>
        <v>-5000</v>
      </c>
      <c r="AC49" s="130">
        <f t="shared" si="56"/>
        <v>-5000</v>
      </c>
      <c r="AD49" s="130">
        <f t="shared" si="56"/>
        <v>-5000</v>
      </c>
      <c r="AE49" s="130">
        <f t="shared" si="56"/>
        <v>-5000</v>
      </c>
      <c r="AF49" s="130">
        <f t="shared" si="56"/>
        <v>-5000</v>
      </c>
      <c r="AG49" s="130">
        <f t="shared" si="56"/>
        <v>-5000</v>
      </c>
      <c r="AH49" s="130">
        <f t="shared" si="56"/>
        <v>-5000</v>
      </c>
      <c r="AI49" s="130">
        <f t="shared" si="56"/>
        <v>-5000</v>
      </c>
      <c r="AJ49" s="130">
        <f t="shared" si="56"/>
        <v>-5000</v>
      </c>
      <c r="AK49" s="130">
        <f t="shared" si="56"/>
        <v>-5000</v>
      </c>
      <c r="AL49" s="130">
        <f t="shared" si="56"/>
        <v>-5000</v>
      </c>
      <c r="AM49" s="130">
        <f t="shared" si="56"/>
        <v>-5000</v>
      </c>
      <c r="AN49" s="130">
        <f t="shared" si="56"/>
        <v>-5000</v>
      </c>
      <c r="AO49" s="130">
        <f t="shared" si="56"/>
        <v>-5000</v>
      </c>
      <c r="AP49" s="130">
        <f t="shared" si="56"/>
        <v>0</v>
      </c>
      <c r="AQ49" s="130">
        <f t="shared" si="56"/>
        <v>0</v>
      </c>
      <c r="AR49" s="130">
        <f t="shared" si="56"/>
        <v>0</v>
      </c>
      <c r="AS49" s="130">
        <f t="shared" si="56"/>
        <v>0</v>
      </c>
      <c r="AT49" s="130">
        <f t="shared" si="56"/>
        <v>0</v>
      </c>
      <c r="AU49" s="130">
        <f t="shared" si="56"/>
        <v>0</v>
      </c>
      <c r="AV49" s="130">
        <f t="shared" si="56"/>
        <v>0</v>
      </c>
      <c r="AW49" s="130">
        <f t="shared" si="56"/>
        <v>0</v>
      </c>
      <c r="AX49" s="130">
        <f t="shared" si="56"/>
        <v>0</v>
      </c>
      <c r="AY49" s="130">
        <f t="shared" si="56"/>
        <v>0</v>
      </c>
      <c r="AZ49" s="130">
        <f t="shared" si="56"/>
        <v>0</v>
      </c>
      <c r="BA49" s="130">
        <f t="shared" si="56"/>
        <v>0</v>
      </c>
      <c r="BB49" s="130">
        <f t="shared" si="56"/>
        <v>0</v>
      </c>
      <c r="BC49" s="130">
        <f t="shared" si="56"/>
        <v>0</v>
      </c>
      <c r="BD49" s="130">
        <f t="shared" si="56"/>
        <v>0</v>
      </c>
      <c r="BE49" s="130">
        <f t="shared" si="56"/>
        <v>0</v>
      </c>
      <c r="BF49" s="130">
        <f t="shared" si="56"/>
        <v>0</v>
      </c>
      <c r="BG49" s="130">
        <f t="shared" si="56"/>
        <v>0</v>
      </c>
      <c r="BH49" s="130">
        <f t="shared" si="56"/>
        <v>0</v>
      </c>
      <c r="BI49" s="130">
        <f t="shared" si="56"/>
        <v>0</v>
      </c>
      <c r="BJ49" s="130">
        <f t="shared" si="56"/>
        <v>0</v>
      </c>
      <c r="BK49" s="130">
        <f t="shared" si="56"/>
        <v>0</v>
      </c>
      <c r="BL49" s="130">
        <f t="shared" si="56"/>
        <v>0</v>
      </c>
      <c r="BM49" s="130">
        <f t="shared" si="56"/>
        <v>0</v>
      </c>
      <c r="BN49" s="130">
        <f t="shared" si="56"/>
        <v>0</v>
      </c>
      <c r="BO49" s="130">
        <f t="shared" si="56"/>
        <v>0</v>
      </c>
      <c r="BP49" s="130">
        <f t="shared" si="56"/>
        <v>0</v>
      </c>
      <c r="BQ49" s="130">
        <f t="shared" si="56"/>
        <v>0</v>
      </c>
      <c r="BR49" s="130">
        <f t="shared" si="56"/>
        <v>0</v>
      </c>
      <c r="BS49" s="130">
        <f t="shared" si="56"/>
        <v>0</v>
      </c>
      <c r="BT49" s="130">
        <f t="shared" si="56"/>
        <v>0</v>
      </c>
      <c r="BU49" s="130">
        <f t="shared" si="56"/>
        <v>0</v>
      </c>
      <c r="BV49" s="130">
        <f t="shared" si="51"/>
        <v>0</v>
      </c>
      <c r="BW49" s="130">
        <f t="shared" si="51"/>
        <v>0</v>
      </c>
      <c r="BX49" s="130">
        <f t="shared" si="51"/>
        <v>0</v>
      </c>
      <c r="BY49" s="130">
        <f t="shared" si="51"/>
        <v>0</v>
      </c>
      <c r="BZ49" s="130">
        <f t="shared" si="51"/>
        <v>0</v>
      </c>
      <c r="CA49" s="130">
        <f t="shared" si="51"/>
        <v>0</v>
      </c>
      <c r="CB49" s="130">
        <f t="shared" si="51"/>
        <v>0</v>
      </c>
      <c r="CC49" s="130">
        <f t="shared" si="51"/>
        <v>0</v>
      </c>
      <c r="CD49" s="130">
        <f t="shared" si="51"/>
        <v>0</v>
      </c>
      <c r="CE49" s="130">
        <f t="shared" si="51"/>
        <v>0</v>
      </c>
      <c r="CF49" s="130">
        <f t="shared" si="51"/>
        <v>0</v>
      </c>
      <c r="CG49" s="130">
        <f t="shared" si="51"/>
        <v>0</v>
      </c>
      <c r="CH49" s="130">
        <f t="shared" si="51"/>
        <v>0</v>
      </c>
      <c r="CI49" s="130">
        <f t="shared" si="51"/>
        <v>0</v>
      </c>
      <c r="CJ49" s="130">
        <f t="shared" si="51"/>
        <v>0</v>
      </c>
      <c r="CK49" s="130">
        <f t="shared" si="51"/>
        <v>0</v>
      </c>
      <c r="CL49" s="130">
        <f t="shared" si="51"/>
        <v>0</v>
      </c>
      <c r="CM49" s="130">
        <f t="shared" si="51"/>
        <v>0</v>
      </c>
      <c r="CN49" s="130">
        <f t="shared" si="51"/>
        <v>0</v>
      </c>
      <c r="CO49" s="130">
        <f t="shared" si="51"/>
        <v>0</v>
      </c>
      <c r="CP49" s="130">
        <f t="shared" si="51"/>
        <v>0</v>
      </c>
      <c r="CQ49" s="130">
        <f t="shared" si="51"/>
        <v>0</v>
      </c>
      <c r="CR49" s="130">
        <f t="shared" si="51"/>
        <v>0</v>
      </c>
      <c r="CS49" s="130">
        <f t="shared" si="51"/>
        <v>0</v>
      </c>
      <c r="CT49" s="130">
        <f t="shared" si="51"/>
        <v>0</v>
      </c>
      <c r="CU49" s="130">
        <f t="shared" si="51"/>
        <v>0</v>
      </c>
      <c r="CV49" s="130">
        <f t="shared" si="51"/>
        <v>0</v>
      </c>
      <c r="CW49" s="130">
        <f t="shared" si="51"/>
        <v>0</v>
      </c>
      <c r="CX49" s="130">
        <f t="shared" si="51"/>
        <v>0</v>
      </c>
      <c r="CY49" s="130">
        <f t="shared" si="51"/>
        <v>0</v>
      </c>
      <c r="CZ49" s="130">
        <f t="shared" si="51"/>
        <v>0</v>
      </c>
    </row>
    <row r="50" spans="2:104" x14ac:dyDescent="0.35">
      <c r="B50" s="131" t="str">
        <f>'Development Costs'!B28</f>
        <v>Civil engineer</v>
      </c>
      <c r="C50" s="130">
        <f>-'Development Costs'!H28</f>
        <v>-75000</v>
      </c>
      <c r="D50" s="130">
        <f t="shared" si="52"/>
        <v>0</v>
      </c>
      <c r="E50" s="130">
        <f t="shared" si="49"/>
        <v>-75000</v>
      </c>
      <c r="F50" s="304">
        <f t="shared" si="53"/>
        <v>44593</v>
      </c>
      <c r="G50" s="304">
        <f t="shared" si="53"/>
        <v>45536</v>
      </c>
      <c r="H50" s="141">
        <f t="shared" si="54"/>
        <v>32</v>
      </c>
      <c r="I50" s="130">
        <f t="shared" si="55"/>
        <v>0</v>
      </c>
      <c r="J50" s="130">
        <f t="shared" si="56"/>
        <v>-2343.75</v>
      </c>
      <c r="K50" s="130">
        <f t="shared" si="56"/>
        <v>-2343.75</v>
      </c>
      <c r="L50" s="130">
        <f t="shared" si="56"/>
        <v>-2343.75</v>
      </c>
      <c r="M50" s="130">
        <f t="shared" si="56"/>
        <v>-2343.75</v>
      </c>
      <c r="N50" s="130">
        <f t="shared" si="56"/>
        <v>-2343.75</v>
      </c>
      <c r="O50" s="130">
        <f t="shared" si="56"/>
        <v>-2343.75</v>
      </c>
      <c r="P50" s="130">
        <f t="shared" si="56"/>
        <v>-2343.75</v>
      </c>
      <c r="Q50" s="130">
        <f t="shared" si="56"/>
        <v>-2343.75</v>
      </c>
      <c r="R50" s="130">
        <f t="shared" si="56"/>
        <v>-2343.75</v>
      </c>
      <c r="S50" s="130">
        <f t="shared" si="56"/>
        <v>-2343.75</v>
      </c>
      <c r="T50" s="130">
        <f t="shared" si="56"/>
        <v>-2343.75</v>
      </c>
      <c r="U50" s="130">
        <f t="shared" si="56"/>
        <v>-2343.75</v>
      </c>
      <c r="V50" s="130">
        <f t="shared" si="56"/>
        <v>-2343.75</v>
      </c>
      <c r="W50" s="130">
        <f t="shared" si="56"/>
        <v>-2343.75</v>
      </c>
      <c r="X50" s="130">
        <f t="shared" si="56"/>
        <v>-2343.75</v>
      </c>
      <c r="Y50" s="130">
        <f t="shared" si="56"/>
        <v>-2343.75</v>
      </c>
      <c r="Z50" s="130">
        <f t="shared" si="56"/>
        <v>-2343.75</v>
      </c>
      <c r="AA50" s="130">
        <f t="shared" si="56"/>
        <v>-2343.75</v>
      </c>
      <c r="AB50" s="130">
        <f t="shared" si="56"/>
        <v>-2343.75</v>
      </c>
      <c r="AC50" s="130">
        <f t="shared" si="56"/>
        <v>-2343.75</v>
      </c>
      <c r="AD50" s="130">
        <f t="shared" si="56"/>
        <v>-2343.75</v>
      </c>
      <c r="AE50" s="130">
        <f t="shared" si="56"/>
        <v>-2343.75</v>
      </c>
      <c r="AF50" s="130">
        <f t="shared" si="56"/>
        <v>-2343.75</v>
      </c>
      <c r="AG50" s="130">
        <f t="shared" si="56"/>
        <v>-2343.75</v>
      </c>
      <c r="AH50" s="130">
        <f t="shared" si="56"/>
        <v>-2343.75</v>
      </c>
      <c r="AI50" s="130">
        <f t="shared" si="56"/>
        <v>-2343.75</v>
      </c>
      <c r="AJ50" s="130">
        <f t="shared" si="56"/>
        <v>-2343.75</v>
      </c>
      <c r="AK50" s="130">
        <f t="shared" si="56"/>
        <v>-2343.75</v>
      </c>
      <c r="AL50" s="130">
        <f t="shared" si="56"/>
        <v>-2343.75</v>
      </c>
      <c r="AM50" s="130">
        <f t="shared" si="56"/>
        <v>-2343.75</v>
      </c>
      <c r="AN50" s="130">
        <f t="shared" si="56"/>
        <v>-2343.75</v>
      </c>
      <c r="AO50" s="130">
        <f t="shared" si="56"/>
        <v>-2343.75</v>
      </c>
      <c r="AP50" s="130">
        <f t="shared" si="56"/>
        <v>0</v>
      </c>
      <c r="AQ50" s="130">
        <f t="shared" si="56"/>
        <v>0</v>
      </c>
      <c r="AR50" s="130">
        <f t="shared" si="56"/>
        <v>0</v>
      </c>
      <c r="AS50" s="130">
        <f t="shared" si="56"/>
        <v>0</v>
      </c>
      <c r="AT50" s="130">
        <f t="shared" si="56"/>
        <v>0</v>
      </c>
      <c r="AU50" s="130">
        <f t="shared" si="56"/>
        <v>0</v>
      </c>
      <c r="AV50" s="130">
        <f t="shared" si="56"/>
        <v>0</v>
      </c>
      <c r="AW50" s="130">
        <f t="shared" si="56"/>
        <v>0</v>
      </c>
      <c r="AX50" s="130">
        <f t="shared" si="56"/>
        <v>0</v>
      </c>
      <c r="AY50" s="130">
        <f t="shared" si="56"/>
        <v>0</v>
      </c>
      <c r="AZ50" s="130">
        <f t="shared" si="56"/>
        <v>0</v>
      </c>
      <c r="BA50" s="130">
        <f t="shared" si="56"/>
        <v>0</v>
      </c>
      <c r="BB50" s="130">
        <f t="shared" si="56"/>
        <v>0</v>
      </c>
      <c r="BC50" s="130">
        <f t="shared" si="56"/>
        <v>0</v>
      </c>
      <c r="BD50" s="130">
        <f t="shared" si="56"/>
        <v>0</v>
      </c>
      <c r="BE50" s="130">
        <f t="shared" si="56"/>
        <v>0</v>
      </c>
      <c r="BF50" s="130">
        <f t="shared" si="56"/>
        <v>0</v>
      </c>
      <c r="BG50" s="130">
        <f t="shared" si="56"/>
        <v>0</v>
      </c>
      <c r="BH50" s="130">
        <f t="shared" si="56"/>
        <v>0</v>
      </c>
      <c r="BI50" s="130">
        <f t="shared" si="56"/>
        <v>0</v>
      </c>
      <c r="BJ50" s="130">
        <f t="shared" si="56"/>
        <v>0</v>
      </c>
      <c r="BK50" s="130">
        <f t="shared" si="56"/>
        <v>0</v>
      </c>
      <c r="BL50" s="130">
        <f t="shared" si="56"/>
        <v>0</v>
      </c>
      <c r="BM50" s="130">
        <f t="shared" si="56"/>
        <v>0</v>
      </c>
      <c r="BN50" s="130">
        <f t="shared" si="56"/>
        <v>0</v>
      </c>
      <c r="BO50" s="130">
        <f t="shared" si="56"/>
        <v>0</v>
      </c>
      <c r="BP50" s="130">
        <f t="shared" si="56"/>
        <v>0</v>
      </c>
      <c r="BQ50" s="130">
        <f t="shared" si="56"/>
        <v>0</v>
      </c>
      <c r="BR50" s="130">
        <f t="shared" si="56"/>
        <v>0</v>
      </c>
      <c r="BS50" s="130">
        <f t="shared" si="56"/>
        <v>0</v>
      </c>
      <c r="BT50" s="130">
        <f t="shared" si="56"/>
        <v>0</v>
      </c>
      <c r="BU50" s="130">
        <f t="shared" si="56"/>
        <v>0</v>
      </c>
      <c r="BV50" s="130">
        <f t="shared" si="51"/>
        <v>0</v>
      </c>
      <c r="BW50" s="130">
        <f t="shared" si="51"/>
        <v>0</v>
      </c>
      <c r="BX50" s="130">
        <f t="shared" si="51"/>
        <v>0</v>
      </c>
      <c r="BY50" s="130">
        <f t="shared" si="51"/>
        <v>0</v>
      </c>
      <c r="BZ50" s="130">
        <f t="shared" si="51"/>
        <v>0</v>
      </c>
      <c r="CA50" s="130">
        <f t="shared" si="51"/>
        <v>0</v>
      </c>
      <c r="CB50" s="130">
        <f t="shared" si="51"/>
        <v>0</v>
      </c>
      <c r="CC50" s="130">
        <f t="shared" si="51"/>
        <v>0</v>
      </c>
      <c r="CD50" s="130">
        <f t="shared" si="51"/>
        <v>0</v>
      </c>
      <c r="CE50" s="130">
        <f t="shared" si="51"/>
        <v>0</v>
      </c>
      <c r="CF50" s="130">
        <f t="shared" si="51"/>
        <v>0</v>
      </c>
      <c r="CG50" s="130">
        <f t="shared" si="51"/>
        <v>0</v>
      </c>
      <c r="CH50" s="130">
        <f t="shared" si="51"/>
        <v>0</v>
      </c>
      <c r="CI50" s="130">
        <f t="shared" si="51"/>
        <v>0</v>
      </c>
      <c r="CJ50" s="130">
        <f t="shared" si="51"/>
        <v>0</v>
      </c>
      <c r="CK50" s="130">
        <f t="shared" si="51"/>
        <v>0</v>
      </c>
      <c r="CL50" s="130">
        <f t="shared" si="51"/>
        <v>0</v>
      </c>
      <c r="CM50" s="130">
        <f t="shared" si="51"/>
        <v>0</v>
      </c>
      <c r="CN50" s="130">
        <f t="shared" si="51"/>
        <v>0</v>
      </c>
      <c r="CO50" s="130">
        <f t="shared" si="51"/>
        <v>0</v>
      </c>
      <c r="CP50" s="130">
        <f t="shared" si="51"/>
        <v>0</v>
      </c>
      <c r="CQ50" s="130">
        <f t="shared" si="51"/>
        <v>0</v>
      </c>
      <c r="CR50" s="130">
        <f t="shared" si="51"/>
        <v>0</v>
      </c>
      <c r="CS50" s="130">
        <f t="shared" si="51"/>
        <v>0</v>
      </c>
      <c r="CT50" s="130">
        <f t="shared" si="51"/>
        <v>0</v>
      </c>
      <c r="CU50" s="130">
        <f t="shared" si="51"/>
        <v>0</v>
      </c>
      <c r="CV50" s="130">
        <f t="shared" si="51"/>
        <v>0</v>
      </c>
      <c r="CW50" s="130">
        <f t="shared" si="51"/>
        <v>0</v>
      </c>
      <c r="CX50" s="130">
        <f t="shared" si="51"/>
        <v>0</v>
      </c>
      <c r="CY50" s="130">
        <f t="shared" si="51"/>
        <v>0</v>
      </c>
      <c r="CZ50" s="130">
        <f t="shared" si="51"/>
        <v>0</v>
      </c>
    </row>
    <row r="51" spans="2:104" x14ac:dyDescent="0.35">
      <c r="B51" s="131" t="str">
        <f>'Development Costs'!B29</f>
        <v>Mechanical &amp; Electrical engineer</v>
      </c>
      <c r="C51" s="130">
        <f>-'Development Costs'!H29</f>
        <v>-88000</v>
      </c>
      <c r="D51" s="130">
        <f t="shared" si="52"/>
        <v>0</v>
      </c>
      <c r="E51" s="130">
        <f t="shared" si="49"/>
        <v>-88000</v>
      </c>
      <c r="F51" s="304">
        <f t="shared" si="53"/>
        <v>44593</v>
      </c>
      <c r="G51" s="304">
        <f t="shared" si="53"/>
        <v>45536</v>
      </c>
      <c r="H51" s="141">
        <f t="shared" si="54"/>
        <v>32</v>
      </c>
      <c r="I51" s="130">
        <f t="shared" si="55"/>
        <v>0</v>
      </c>
      <c r="J51" s="130">
        <f t="shared" si="56"/>
        <v>-2750</v>
      </c>
      <c r="K51" s="130">
        <f t="shared" si="56"/>
        <v>-2750</v>
      </c>
      <c r="L51" s="130">
        <f t="shared" si="56"/>
        <v>-2750</v>
      </c>
      <c r="M51" s="130">
        <f t="shared" si="56"/>
        <v>-2750</v>
      </c>
      <c r="N51" s="130">
        <f t="shared" si="56"/>
        <v>-2750</v>
      </c>
      <c r="O51" s="130">
        <f t="shared" si="56"/>
        <v>-2750</v>
      </c>
      <c r="P51" s="130">
        <f t="shared" si="56"/>
        <v>-2750</v>
      </c>
      <c r="Q51" s="130">
        <f t="shared" si="56"/>
        <v>-2750</v>
      </c>
      <c r="R51" s="130">
        <f t="shared" si="56"/>
        <v>-2750</v>
      </c>
      <c r="S51" s="130">
        <f t="shared" si="56"/>
        <v>-2750</v>
      </c>
      <c r="T51" s="130">
        <f t="shared" si="56"/>
        <v>-2750</v>
      </c>
      <c r="U51" s="130">
        <f t="shared" si="56"/>
        <v>-2750</v>
      </c>
      <c r="V51" s="130">
        <f t="shared" si="56"/>
        <v>-2750</v>
      </c>
      <c r="W51" s="130">
        <f t="shared" si="56"/>
        <v>-2750</v>
      </c>
      <c r="X51" s="130">
        <f t="shared" si="56"/>
        <v>-2750</v>
      </c>
      <c r="Y51" s="130">
        <f t="shared" si="56"/>
        <v>-2750</v>
      </c>
      <c r="Z51" s="130">
        <f t="shared" si="56"/>
        <v>-2750</v>
      </c>
      <c r="AA51" s="130">
        <f t="shared" si="56"/>
        <v>-2750</v>
      </c>
      <c r="AB51" s="130">
        <f t="shared" si="56"/>
        <v>-2750</v>
      </c>
      <c r="AC51" s="130">
        <f t="shared" si="56"/>
        <v>-2750</v>
      </c>
      <c r="AD51" s="130">
        <f t="shared" si="56"/>
        <v>-2750</v>
      </c>
      <c r="AE51" s="130">
        <f t="shared" si="56"/>
        <v>-2750</v>
      </c>
      <c r="AF51" s="130">
        <f t="shared" si="56"/>
        <v>-2750</v>
      </c>
      <c r="AG51" s="130">
        <f t="shared" si="56"/>
        <v>-2750</v>
      </c>
      <c r="AH51" s="130">
        <f t="shared" si="56"/>
        <v>-2750</v>
      </c>
      <c r="AI51" s="130">
        <f t="shared" si="56"/>
        <v>-2750</v>
      </c>
      <c r="AJ51" s="130">
        <f t="shared" si="56"/>
        <v>-2750</v>
      </c>
      <c r="AK51" s="130">
        <f t="shared" si="56"/>
        <v>-2750</v>
      </c>
      <c r="AL51" s="130">
        <f t="shared" si="56"/>
        <v>-2750</v>
      </c>
      <c r="AM51" s="130">
        <f t="shared" si="56"/>
        <v>-2750</v>
      </c>
      <c r="AN51" s="130">
        <f t="shared" si="56"/>
        <v>-2750</v>
      </c>
      <c r="AO51" s="130">
        <f t="shared" si="56"/>
        <v>-2750</v>
      </c>
      <c r="AP51" s="130">
        <f t="shared" si="56"/>
        <v>0</v>
      </c>
      <c r="AQ51" s="130">
        <f t="shared" si="56"/>
        <v>0</v>
      </c>
      <c r="AR51" s="130">
        <f t="shared" si="56"/>
        <v>0</v>
      </c>
      <c r="AS51" s="130">
        <f t="shared" si="56"/>
        <v>0</v>
      </c>
      <c r="AT51" s="130">
        <f t="shared" si="56"/>
        <v>0</v>
      </c>
      <c r="AU51" s="130">
        <f t="shared" si="56"/>
        <v>0</v>
      </c>
      <c r="AV51" s="130">
        <f t="shared" si="56"/>
        <v>0</v>
      </c>
      <c r="AW51" s="130">
        <f t="shared" si="56"/>
        <v>0</v>
      </c>
      <c r="AX51" s="130">
        <f t="shared" si="56"/>
        <v>0</v>
      </c>
      <c r="AY51" s="130">
        <f t="shared" si="56"/>
        <v>0</v>
      </c>
      <c r="AZ51" s="130">
        <f t="shared" si="56"/>
        <v>0</v>
      </c>
      <c r="BA51" s="130">
        <f t="shared" si="56"/>
        <v>0</v>
      </c>
      <c r="BB51" s="130">
        <f t="shared" si="56"/>
        <v>0</v>
      </c>
      <c r="BC51" s="130">
        <f t="shared" si="56"/>
        <v>0</v>
      </c>
      <c r="BD51" s="130">
        <f t="shared" si="56"/>
        <v>0</v>
      </c>
      <c r="BE51" s="130">
        <f t="shared" si="56"/>
        <v>0</v>
      </c>
      <c r="BF51" s="130">
        <f t="shared" si="56"/>
        <v>0</v>
      </c>
      <c r="BG51" s="130">
        <f t="shared" si="56"/>
        <v>0</v>
      </c>
      <c r="BH51" s="130">
        <f t="shared" si="56"/>
        <v>0</v>
      </c>
      <c r="BI51" s="130">
        <f t="shared" si="56"/>
        <v>0</v>
      </c>
      <c r="BJ51" s="130">
        <f t="shared" si="56"/>
        <v>0</v>
      </c>
      <c r="BK51" s="130">
        <f t="shared" si="56"/>
        <v>0</v>
      </c>
      <c r="BL51" s="130">
        <f t="shared" si="56"/>
        <v>0</v>
      </c>
      <c r="BM51" s="130">
        <f t="shared" si="56"/>
        <v>0</v>
      </c>
      <c r="BN51" s="130">
        <f t="shared" si="56"/>
        <v>0</v>
      </c>
      <c r="BO51" s="130">
        <f t="shared" si="56"/>
        <v>0</v>
      </c>
      <c r="BP51" s="130">
        <f t="shared" si="56"/>
        <v>0</v>
      </c>
      <c r="BQ51" s="130">
        <f t="shared" si="56"/>
        <v>0</v>
      </c>
      <c r="BR51" s="130">
        <f t="shared" si="56"/>
        <v>0</v>
      </c>
      <c r="BS51" s="130">
        <f t="shared" si="56"/>
        <v>0</v>
      </c>
      <c r="BT51" s="130">
        <f t="shared" si="56"/>
        <v>0</v>
      </c>
      <c r="BU51" s="130">
        <f t="shared" si="56"/>
        <v>0</v>
      </c>
      <c r="BV51" s="130">
        <f t="shared" si="51"/>
        <v>0</v>
      </c>
      <c r="BW51" s="130">
        <f t="shared" si="51"/>
        <v>0</v>
      </c>
      <c r="BX51" s="130">
        <f t="shared" si="51"/>
        <v>0</v>
      </c>
      <c r="BY51" s="130">
        <f t="shared" si="51"/>
        <v>0</v>
      </c>
      <c r="BZ51" s="130">
        <f t="shared" si="51"/>
        <v>0</v>
      </c>
      <c r="CA51" s="130">
        <f t="shared" si="51"/>
        <v>0</v>
      </c>
      <c r="CB51" s="130">
        <f t="shared" si="51"/>
        <v>0</v>
      </c>
      <c r="CC51" s="130">
        <f t="shared" si="51"/>
        <v>0</v>
      </c>
      <c r="CD51" s="130">
        <f t="shared" si="51"/>
        <v>0</v>
      </c>
      <c r="CE51" s="130">
        <f t="shared" si="51"/>
        <v>0</v>
      </c>
      <c r="CF51" s="130">
        <f t="shared" si="51"/>
        <v>0</v>
      </c>
      <c r="CG51" s="130">
        <f t="shared" si="51"/>
        <v>0</v>
      </c>
      <c r="CH51" s="130">
        <f t="shared" si="51"/>
        <v>0</v>
      </c>
      <c r="CI51" s="130">
        <f t="shared" si="51"/>
        <v>0</v>
      </c>
      <c r="CJ51" s="130">
        <f t="shared" si="51"/>
        <v>0</v>
      </c>
      <c r="CK51" s="130">
        <f t="shared" si="51"/>
        <v>0</v>
      </c>
      <c r="CL51" s="130">
        <f t="shared" si="51"/>
        <v>0</v>
      </c>
      <c r="CM51" s="130">
        <f t="shared" si="51"/>
        <v>0</v>
      </c>
      <c r="CN51" s="130">
        <f t="shared" si="51"/>
        <v>0</v>
      </c>
      <c r="CO51" s="130">
        <f t="shared" si="51"/>
        <v>0</v>
      </c>
      <c r="CP51" s="130">
        <f t="shared" si="51"/>
        <v>0</v>
      </c>
      <c r="CQ51" s="130">
        <f t="shared" si="51"/>
        <v>0</v>
      </c>
      <c r="CR51" s="130">
        <f t="shared" si="51"/>
        <v>0</v>
      </c>
      <c r="CS51" s="130">
        <f t="shared" si="51"/>
        <v>0</v>
      </c>
      <c r="CT51" s="130">
        <f t="shared" si="51"/>
        <v>0</v>
      </c>
      <c r="CU51" s="130">
        <f t="shared" si="51"/>
        <v>0</v>
      </c>
      <c r="CV51" s="130">
        <f t="shared" si="51"/>
        <v>0</v>
      </c>
      <c r="CW51" s="130">
        <f t="shared" si="51"/>
        <v>0</v>
      </c>
      <c r="CX51" s="130">
        <f t="shared" si="51"/>
        <v>0</v>
      </c>
      <c r="CY51" s="130">
        <f t="shared" si="51"/>
        <v>0</v>
      </c>
      <c r="CZ51" s="130">
        <f t="shared" si="51"/>
        <v>0</v>
      </c>
    </row>
    <row r="52" spans="2:104" x14ac:dyDescent="0.35">
      <c r="B52" s="131" t="str">
        <f>'Development Costs'!B30</f>
        <v>Geotechnical engineer</v>
      </c>
      <c r="C52" s="130">
        <f>-'Development Costs'!H30</f>
        <v>-35000</v>
      </c>
      <c r="D52" s="130">
        <f t="shared" si="52"/>
        <v>0</v>
      </c>
      <c r="E52" s="130">
        <f t="shared" si="49"/>
        <v>-35000</v>
      </c>
      <c r="F52" s="304">
        <f t="shared" si="53"/>
        <v>44593</v>
      </c>
      <c r="G52" s="304">
        <f t="shared" si="53"/>
        <v>45536</v>
      </c>
      <c r="H52" s="141">
        <f t="shared" si="54"/>
        <v>32</v>
      </c>
      <c r="I52" s="130">
        <f t="shared" si="55"/>
        <v>0</v>
      </c>
      <c r="J52" s="130">
        <f t="shared" si="56"/>
        <v>-1093.75</v>
      </c>
      <c r="K52" s="130">
        <f t="shared" si="56"/>
        <v>-1093.75</v>
      </c>
      <c r="L52" s="130">
        <f t="shared" si="56"/>
        <v>-1093.75</v>
      </c>
      <c r="M52" s="130">
        <f t="shared" si="56"/>
        <v>-1093.75</v>
      </c>
      <c r="N52" s="130">
        <f t="shared" si="56"/>
        <v>-1093.75</v>
      </c>
      <c r="O52" s="130">
        <f t="shared" si="56"/>
        <v>-1093.75</v>
      </c>
      <c r="P52" s="130">
        <f t="shared" si="56"/>
        <v>-1093.75</v>
      </c>
      <c r="Q52" s="130">
        <f t="shared" si="56"/>
        <v>-1093.75</v>
      </c>
      <c r="R52" s="130">
        <f t="shared" si="56"/>
        <v>-1093.75</v>
      </c>
      <c r="S52" s="130">
        <f t="shared" si="56"/>
        <v>-1093.75</v>
      </c>
      <c r="T52" s="130">
        <f t="shared" si="56"/>
        <v>-1093.75</v>
      </c>
      <c r="U52" s="130">
        <f t="shared" si="56"/>
        <v>-1093.75</v>
      </c>
      <c r="V52" s="130">
        <f t="shared" si="56"/>
        <v>-1093.75</v>
      </c>
      <c r="W52" s="130">
        <f t="shared" si="56"/>
        <v>-1093.75</v>
      </c>
      <c r="X52" s="130">
        <f t="shared" si="56"/>
        <v>-1093.75</v>
      </c>
      <c r="Y52" s="130">
        <f t="shared" si="56"/>
        <v>-1093.75</v>
      </c>
      <c r="Z52" s="130">
        <f t="shared" si="56"/>
        <v>-1093.75</v>
      </c>
      <c r="AA52" s="130">
        <f t="shared" si="56"/>
        <v>-1093.75</v>
      </c>
      <c r="AB52" s="130">
        <f t="shared" si="56"/>
        <v>-1093.75</v>
      </c>
      <c r="AC52" s="130">
        <f t="shared" si="56"/>
        <v>-1093.75</v>
      </c>
      <c r="AD52" s="130">
        <f t="shared" si="56"/>
        <v>-1093.75</v>
      </c>
      <c r="AE52" s="130">
        <f t="shared" si="56"/>
        <v>-1093.75</v>
      </c>
      <c r="AF52" s="130">
        <f t="shared" si="56"/>
        <v>-1093.75</v>
      </c>
      <c r="AG52" s="130">
        <f t="shared" si="56"/>
        <v>-1093.75</v>
      </c>
      <c r="AH52" s="130">
        <f t="shared" si="56"/>
        <v>-1093.75</v>
      </c>
      <c r="AI52" s="130">
        <f t="shared" si="56"/>
        <v>-1093.75</v>
      </c>
      <c r="AJ52" s="130">
        <f t="shared" si="56"/>
        <v>-1093.75</v>
      </c>
      <c r="AK52" s="130">
        <f t="shared" si="56"/>
        <v>-1093.75</v>
      </c>
      <c r="AL52" s="130">
        <f t="shared" si="56"/>
        <v>-1093.75</v>
      </c>
      <c r="AM52" s="130">
        <f t="shared" si="56"/>
        <v>-1093.75</v>
      </c>
      <c r="AN52" s="130">
        <f t="shared" si="56"/>
        <v>-1093.75</v>
      </c>
      <c r="AO52" s="130">
        <f t="shared" si="56"/>
        <v>-1093.75</v>
      </c>
      <c r="AP52" s="130">
        <f t="shared" si="56"/>
        <v>0</v>
      </c>
      <c r="AQ52" s="130">
        <f t="shared" si="56"/>
        <v>0</v>
      </c>
      <c r="AR52" s="130">
        <f t="shared" si="56"/>
        <v>0</v>
      </c>
      <c r="AS52" s="130">
        <f t="shared" si="56"/>
        <v>0</v>
      </c>
      <c r="AT52" s="130">
        <f t="shared" si="56"/>
        <v>0</v>
      </c>
      <c r="AU52" s="130">
        <f t="shared" si="56"/>
        <v>0</v>
      </c>
      <c r="AV52" s="130">
        <f t="shared" si="56"/>
        <v>0</v>
      </c>
      <c r="AW52" s="130">
        <f t="shared" si="56"/>
        <v>0</v>
      </c>
      <c r="AX52" s="130">
        <f t="shared" si="56"/>
        <v>0</v>
      </c>
      <c r="AY52" s="130">
        <f t="shared" si="56"/>
        <v>0</v>
      </c>
      <c r="AZ52" s="130">
        <f t="shared" si="56"/>
        <v>0</v>
      </c>
      <c r="BA52" s="130">
        <f t="shared" si="56"/>
        <v>0</v>
      </c>
      <c r="BB52" s="130">
        <f t="shared" si="56"/>
        <v>0</v>
      </c>
      <c r="BC52" s="130">
        <f t="shared" si="56"/>
        <v>0</v>
      </c>
      <c r="BD52" s="130">
        <f t="shared" si="56"/>
        <v>0</v>
      </c>
      <c r="BE52" s="130">
        <f t="shared" si="56"/>
        <v>0</v>
      </c>
      <c r="BF52" s="130">
        <f t="shared" si="56"/>
        <v>0</v>
      </c>
      <c r="BG52" s="130">
        <f t="shared" si="56"/>
        <v>0</v>
      </c>
      <c r="BH52" s="130">
        <f t="shared" si="56"/>
        <v>0</v>
      </c>
      <c r="BI52" s="130">
        <f t="shared" si="56"/>
        <v>0</v>
      </c>
      <c r="BJ52" s="130">
        <f t="shared" si="56"/>
        <v>0</v>
      </c>
      <c r="BK52" s="130">
        <f t="shared" si="56"/>
        <v>0</v>
      </c>
      <c r="BL52" s="130">
        <f t="shared" si="56"/>
        <v>0</v>
      </c>
      <c r="BM52" s="130">
        <f t="shared" si="56"/>
        <v>0</v>
      </c>
      <c r="BN52" s="130">
        <f t="shared" si="56"/>
        <v>0</v>
      </c>
      <c r="BO52" s="130">
        <f t="shared" si="56"/>
        <v>0</v>
      </c>
      <c r="BP52" s="130">
        <f t="shared" si="56"/>
        <v>0</v>
      </c>
      <c r="BQ52" s="130">
        <f t="shared" si="56"/>
        <v>0</v>
      </c>
      <c r="BR52" s="130">
        <f t="shared" si="56"/>
        <v>0</v>
      </c>
      <c r="BS52" s="130">
        <f t="shared" si="56"/>
        <v>0</v>
      </c>
      <c r="BT52" s="130">
        <f t="shared" si="56"/>
        <v>0</v>
      </c>
      <c r="BU52" s="130">
        <f t="shared" ref="BU52:CZ56" si="57">IF(AND(BU$7&lt;=$G52,BU$7&gt;=$F52,$H52&lt;&gt;0,$H52&lt;&gt;""),$C52/$H52,0)</f>
        <v>0</v>
      </c>
      <c r="BV52" s="130">
        <f t="shared" si="57"/>
        <v>0</v>
      </c>
      <c r="BW52" s="130">
        <f t="shared" si="57"/>
        <v>0</v>
      </c>
      <c r="BX52" s="130">
        <f t="shared" si="57"/>
        <v>0</v>
      </c>
      <c r="BY52" s="130">
        <f t="shared" si="57"/>
        <v>0</v>
      </c>
      <c r="BZ52" s="130">
        <f t="shared" si="57"/>
        <v>0</v>
      </c>
      <c r="CA52" s="130">
        <f t="shared" si="57"/>
        <v>0</v>
      </c>
      <c r="CB52" s="130">
        <f t="shared" si="57"/>
        <v>0</v>
      </c>
      <c r="CC52" s="130">
        <f t="shared" si="57"/>
        <v>0</v>
      </c>
      <c r="CD52" s="130">
        <f t="shared" si="57"/>
        <v>0</v>
      </c>
      <c r="CE52" s="130">
        <f t="shared" si="57"/>
        <v>0</v>
      </c>
      <c r="CF52" s="130">
        <f t="shared" si="57"/>
        <v>0</v>
      </c>
      <c r="CG52" s="130">
        <f t="shared" si="57"/>
        <v>0</v>
      </c>
      <c r="CH52" s="130">
        <f t="shared" si="57"/>
        <v>0</v>
      </c>
      <c r="CI52" s="130">
        <f t="shared" si="57"/>
        <v>0</v>
      </c>
      <c r="CJ52" s="130">
        <f t="shared" si="57"/>
        <v>0</v>
      </c>
      <c r="CK52" s="130">
        <f t="shared" si="57"/>
        <v>0</v>
      </c>
      <c r="CL52" s="130">
        <f t="shared" si="57"/>
        <v>0</v>
      </c>
      <c r="CM52" s="130">
        <f t="shared" si="57"/>
        <v>0</v>
      </c>
      <c r="CN52" s="130">
        <f t="shared" si="57"/>
        <v>0</v>
      </c>
      <c r="CO52" s="130">
        <f t="shared" si="57"/>
        <v>0</v>
      </c>
      <c r="CP52" s="130">
        <f t="shared" si="57"/>
        <v>0</v>
      </c>
      <c r="CQ52" s="130">
        <f t="shared" si="57"/>
        <v>0</v>
      </c>
      <c r="CR52" s="130">
        <f t="shared" si="57"/>
        <v>0</v>
      </c>
      <c r="CS52" s="130">
        <f t="shared" si="57"/>
        <v>0</v>
      </c>
      <c r="CT52" s="130">
        <f t="shared" si="57"/>
        <v>0</v>
      </c>
      <c r="CU52" s="130">
        <f t="shared" si="57"/>
        <v>0</v>
      </c>
      <c r="CV52" s="130">
        <f t="shared" si="57"/>
        <v>0</v>
      </c>
      <c r="CW52" s="130">
        <f t="shared" si="57"/>
        <v>0</v>
      </c>
      <c r="CX52" s="130">
        <f t="shared" si="57"/>
        <v>0</v>
      </c>
      <c r="CY52" s="130">
        <f t="shared" si="57"/>
        <v>0</v>
      </c>
      <c r="CZ52" s="130">
        <f t="shared" si="57"/>
        <v>0</v>
      </c>
    </row>
    <row r="53" spans="2:104" x14ac:dyDescent="0.35">
      <c r="B53" s="131" t="str">
        <f>'Development Costs'!B31</f>
        <v>Site Servicing Engineer</v>
      </c>
      <c r="C53" s="130">
        <f>-'Development Costs'!H31</f>
        <v>0</v>
      </c>
      <c r="D53" s="130">
        <f t="shared" si="52"/>
        <v>0</v>
      </c>
      <c r="E53" s="130">
        <f t="shared" si="49"/>
        <v>0</v>
      </c>
      <c r="F53" s="304">
        <f t="shared" si="53"/>
        <v>44593</v>
      </c>
      <c r="G53" s="304">
        <f t="shared" si="53"/>
        <v>45536</v>
      </c>
      <c r="H53" s="141">
        <f t="shared" si="54"/>
        <v>32</v>
      </c>
      <c r="I53" s="130">
        <f t="shared" si="55"/>
        <v>0</v>
      </c>
      <c r="J53" s="130">
        <f t="shared" ref="J53:BU57" si="58">IF(AND(J$7&lt;=$G53,J$7&gt;=$F53,$H53&lt;&gt;0,$H53&lt;&gt;""),$C53/$H53,0)</f>
        <v>0</v>
      </c>
      <c r="K53" s="130">
        <f t="shared" si="58"/>
        <v>0</v>
      </c>
      <c r="L53" s="130">
        <f t="shared" si="58"/>
        <v>0</v>
      </c>
      <c r="M53" s="130">
        <f t="shared" si="58"/>
        <v>0</v>
      </c>
      <c r="N53" s="130">
        <f t="shared" si="58"/>
        <v>0</v>
      </c>
      <c r="O53" s="130">
        <f t="shared" si="58"/>
        <v>0</v>
      </c>
      <c r="P53" s="130">
        <f t="shared" si="58"/>
        <v>0</v>
      </c>
      <c r="Q53" s="130">
        <f t="shared" si="58"/>
        <v>0</v>
      </c>
      <c r="R53" s="130">
        <f t="shared" si="58"/>
        <v>0</v>
      </c>
      <c r="S53" s="130">
        <f t="shared" si="58"/>
        <v>0</v>
      </c>
      <c r="T53" s="130">
        <f t="shared" si="58"/>
        <v>0</v>
      </c>
      <c r="U53" s="130">
        <f t="shared" si="58"/>
        <v>0</v>
      </c>
      <c r="V53" s="130">
        <f t="shared" si="58"/>
        <v>0</v>
      </c>
      <c r="W53" s="130">
        <f t="shared" si="58"/>
        <v>0</v>
      </c>
      <c r="X53" s="130">
        <f t="shared" si="58"/>
        <v>0</v>
      </c>
      <c r="Y53" s="130">
        <f t="shared" si="58"/>
        <v>0</v>
      </c>
      <c r="Z53" s="130">
        <f t="shared" si="58"/>
        <v>0</v>
      </c>
      <c r="AA53" s="130">
        <f t="shared" si="58"/>
        <v>0</v>
      </c>
      <c r="AB53" s="130">
        <f t="shared" si="58"/>
        <v>0</v>
      </c>
      <c r="AC53" s="130">
        <f t="shared" si="58"/>
        <v>0</v>
      </c>
      <c r="AD53" s="130">
        <f t="shared" si="58"/>
        <v>0</v>
      </c>
      <c r="AE53" s="130">
        <f t="shared" si="58"/>
        <v>0</v>
      </c>
      <c r="AF53" s="130">
        <f t="shared" si="58"/>
        <v>0</v>
      </c>
      <c r="AG53" s="130">
        <f t="shared" si="58"/>
        <v>0</v>
      </c>
      <c r="AH53" s="130">
        <f t="shared" si="58"/>
        <v>0</v>
      </c>
      <c r="AI53" s="130">
        <f t="shared" si="58"/>
        <v>0</v>
      </c>
      <c r="AJ53" s="130">
        <f t="shared" si="58"/>
        <v>0</v>
      </c>
      <c r="AK53" s="130">
        <f t="shared" si="58"/>
        <v>0</v>
      </c>
      <c r="AL53" s="130">
        <f t="shared" si="58"/>
        <v>0</v>
      </c>
      <c r="AM53" s="130">
        <f t="shared" si="58"/>
        <v>0</v>
      </c>
      <c r="AN53" s="130">
        <f t="shared" si="58"/>
        <v>0</v>
      </c>
      <c r="AO53" s="130">
        <f t="shared" si="58"/>
        <v>0</v>
      </c>
      <c r="AP53" s="130">
        <f t="shared" si="58"/>
        <v>0</v>
      </c>
      <c r="AQ53" s="130">
        <f t="shared" si="58"/>
        <v>0</v>
      </c>
      <c r="AR53" s="130">
        <f t="shared" si="58"/>
        <v>0</v>
      </c>
      <c r="AS53" s="130">
        <f t="shared" si="58"/>
        <v>0</v>
      </c>
      <c r="AT53" s="130">
        <f t="shared" si="58"/>
        <v>0</v>
      </c>
      <c r="AU53" s="130">
        <f t="shared" si="58"/>
        <v>0</v>
      </c>
      <c r="AV53" s="130">
        <f t="shared" si="58"/>
        <v>0</v>
      </c>
      <c r="AW53" s="130">
        <f t="shared" si="58"/>
        <v>0</v>
      </c>
      <c r="AX53" s="130">
        <f t="shared" si="58"/>
        <v>0</v>
      </c>
      <c r="AY53" s="130">
        <f t="shared" si="58"/>
        <v>0</v>
      </c>
      <c r="AZ53" s="130">
        <f t="shared" si="58"/>
        <v>0</v>
      </c>
      <c r="BA53" s="130">
        <f t="shared" si="58"/>
        <v>0</v>
      </c>
      <c r="BB53" s="130">
        <f t="shared" si="58"/>
        <v>0</v>
      </c>
      <c r="BC53" s="130">
        <f t="shared" si="58"/>
        <v>0</v>
      </c>
      <c r="BD53" s="130">
        <f t="shared" si="58"/>
        <v>0</v>
      </c>
      <c r="BE53" s="130">
        <f t="shared" si="58"/>
        <v>0</v>
      </c>
      <c r="BF53" s="130">
        <f t="shared" si="58"/>
        <v>0</v>
      </c>
      <c r="BG53" s="130">
        <f t="shared" si="58"/>
        <v>0</v>
      </c>
      <c r="BH53" s="130">
        <f t="shared" si="58"/>
        <v>0</v>
      </c>
      <c r="BI53" s="130">
        <f t="shared" si="58"/>
        <v>0</v>
      </c>
      <c r="BJ53" s="130">
        <f t="shared" si="58"/>
        <v>0</v>
      </c>
      <c r="BK53" s="130">
        <f t="shared" si="58"/>
        <v>0</v>
      </c>
      <c r="BL53" s="130">
        <f t="shared" si="58"/>
        <v>0</v>
      </c>
      <c r="BM53" s="130">
        <f t="shared" si="58"/>
        <v>0</v>
      </c>
      <c r="BN53" s="130">
        <f t="shared" si="58"/>
        <v>0</v>
      </c>
      <c r="BO53" s="130">
        <f t="shared" si="58"/>
        <v>0</v>
      </c>
      <c r="BP53" s="130">
        <f t="shared" si="58"/>
        <v>0</v>
      </c>
      <c r="BQ53" s="130">
        <f t="shared" si="58"/>
        <v>0</v>
      </c>
      <c r="BR53" s="130">
        <f t="shared" si="58"/>
        <v>0</v>
      </c>
      <c r="BS53" s="130">
        <f t="shared" si="58"/>
        <v>0</v>
      </c>
      <c r="BT53" s="130">
        <f t="shared" si="58"/>
        <v>0</v>
      </c>
      <c r="BU53" s="130">
        <f t="shared" si="58"/>
        <v>0</v>
      </c>
      <c r="BV53" s="130">
        <f t="shared" si="57"/>
        <v>0</v>
      </c>
      <c r="BW53" s="130">
        <f t="shared" si="57"/>
        <v>0</v>
      </c>
      <c r="BX53" s="130">
        <f t="shared" si="57"/>
        <v>0</v>
      </c>
      <c r="BY53" s="130">
        <f t="shared" si="57"/>
        <v>0</v>
      </c>
      <c r="BZ53" s="130">
        <f t="shared" si="57"/>
        <v>0</v>
      </c>
      <c r="CA53" s="130">
        <f t="shared" si="57"/>
        <v>0</v>
      </c>
      <c r="CB53" s="130">
        <f t="shared" si="57"/>
        <v>0</v>
      </c>
      <c r="CC53" s="130">
        <f t="shared" si="57"/>
        <v>0</v>
      </c>
      <c r="CD53" s="130">
        <f t="shared" si="57"/>
        <v>0</v>
      </c>
      <c r="CE53" s="130">
        <f t="shared" si="57"/>
        <v>0</v>
      </c>
      <c r="CF53" s="130">
        <f t="shared" si="57"/>
        <v>0</v>
      </c>
      <c r="CG53" s="130">
        <f t="shared" si="57"/>
        <v>0</v>
      </c>
      <c r="CH53" s="130">
        <f t="shared" si="57"/>
        <v>0</v>
      </c>
      <c r="CI53" s="130">
        <f t="shared" si="57"/>
        <v>0</v>
      </c>
      <c r="CJ53" s="130">
        <f t="shared" si="57"/>
        <v>0</v>
      </c>
      <c r="CK53" s="130">
        <f t="shared" si="57"/>
        <v>0</v>
      </c>
      <c r="CL53" s="130">
        <f t="shared" si="57"/>
        <v>0</v>
      </c>
      <c r="CM53" s="130">
        <f t="shared" si="57"/>
        <v>0</v>
      </c>
      <c r="CN53" s="130">
        <f t="shared" si="57"/>
        <v>0</v>
      </c>
      <c r="CO53" s="130">
        <f t="shared" si="57"/>
        <v>0</v>
      </c>
      <c r="CP53" s="130">
        <f t="shared" si="57"/>
        <v>0</v>
      </c>
      <c r="CQ53" s="130">
        <f t="shared" si="57"/>
        <v>0</v>
      </c>
      <c r="CR53" s="130">
        <f t="shared" si="57"/>
        <v>0</v>
      </c>
      <c r="CS53" s="130">
        <f t="shared" si="57"/>
        <v>0</v>
      </c>
      <c r="CT53" s="130">
        <f t="shared" si="57"/>
        <v>0</v>
      </c>
      <c r="CU53" s="130">
        <f t="shared" si="57"/>
        <v>0</v>
      </c>
      <c r="CV53" s="130">
        <f t="shared" si="57"/>
        <v>0</v>
      </c>
      <c r="CW53" s="130">
        <f t="shared" si="57"/>
        <v>0</v>
      </c>
      <c r="CX53" s="130">
        <f t="shared" si="57"/>
        <v>0</v>
      </c>
      <c r="CY53" s="130">
        <f t="shared" si="57"/>
        <v>0</v>
      </c>
      <c r="CZ53" s="130">
        <f t="shared" si="57"/>
        <v>0</v>
      </c>
    </row>
    <row r="54" spans="2:104" x14ac:dyDescent="0.35">
      <c r="B54" s="131" t="str">
        <f>'Development Costs'!B32</f>
        <v>Survey</v>
      </c>
      <c r="C54" s="130">
        <f>-'Development Costs'!H32</f>
        <v>-20000</v>
      </c>
      <c r="D54" s="130">
        <f t="shared" si="52"/>
        <v>0</v>
      </c>
      <c r="E54" s="130">
        <f t="shared" si="49"/>
        <v>-20000</v>
      </c>
      <c r="F54" s="304">
        <f t="shared" si="53"/>
        <v>44593</v>
      </c>
      <c r="G54" s="304">
        <f t="shared" si="53"/>
        <v>45536</v>
      </c>
      <c r="H54" s="141">
        <f t="shared" si="54"/>
        <v>32</v>
      </c>
      <c r="I54" s="130">
        <f t="shared" si="55"/>
        <v>0</v>
      </c>
      <c r="J54" s="130">
        <f t="shared" si="58"/>
        <v>-625</v>
      </c>
      <c r="K54" s="130">
        <f t="shared" si="58"/>
        <v>-625</v>
      </c>
      <c r="L54" s="130">
        <f t="shared" si="58"/>
        <v>-625</v>
      </c>
      <c r="M54" s="130">
        <f t="shared" si="58"/>
        <v>-625</v>
      </c>
      <c r="N54" s="130">
        <f t="shared" si="58"/>
        <v>-625</v>
      </c>
      <c r="O54" s="130">
        <f t="shared" si="58"/>
        <v>-625</v>
      </c>
      <c r="P54" s="130">
        <f t="shared" si="58"/>
        <v>-625</v>
      </c>
      <c r="Q54" s="130">
        <f t="shared" si="58"/>
        <v>-625</v>
      </c>
      <c r="R54" s="130">
        <f t="shared" si="58"/>
        <v>-625</v>
      </c>
      <c r="S54" s="130">
        <f t="shared" si="58"/>
        <v>-625</v>
      </c>
      <c r="T54" s="130">
        <f t="shared" si="58"/>
        <v>-625</v>
      </c>
      <c r="U54" s="130">
        <f t="shared" si="58"/>
        <v>-625</v>
      </c>
      <c r="V54" s="130">
        <f t="shared" si="58"/>
        <v>-625</v>
      </c>
      <c r="W54" s="130">
        <f t="shared" si="58"/>
        <v>-625</v>
      </c>
      <c r="X54" s="130">
        <f t="shared" si="58"/>
        <v>-625</v>
      </c>
      <c r="Y54" s="130">
        <f t="shared" si="58"/>
        <v>-625</v>
      </c>
      <c r="Z54" s="130">
        <f t="shared" si="58"/>
        <v>-625</v>
      </c>
      <c r="AA54" s="130">
        <f t="shared" si="58"/>
        <v>-625</v>
      </c>
      <c r="AB54" s="130">
        <f t="shared" si="58"/>
        <v>-625</v>
      </c>
      <c r="AC54" s="130">
        <f t="shared" si="58"/>
        <v>-625</v>
      </c>
      <c r="AD54" s="130">
        <f t="shared" si="58"/>
        <v>-625</v>
      </c>
      <c r="AE54" s="130">
        <f t="shared" si="58"/>
        <v>-625</v>
      </c>
      <c r="AF54" s="130">
        <f t="shared" si="58"/>
        <v>-625</v>
      </c>
      <c r="AG54" s="130">
        <f t="shared" si="58"/>
        <v>-625</v>
      </c>
      <c r="AH54" s="130">
        <f t="shared" si="58"/>
        <v>-625</v>
      </c>
      <c r="AI54" s="130">
        <f t="shared" si="58"/>
        <v>-625</v>
      </c>
      <c r="AJ54" s="130">
        <f t="shared" si="58"/>
        <v>-625</v>
      </c>
      <c r="AK54" s="130">
        <f t="shared" si="58"/>
        <v>-625</v>
      </c>
      <c r="AL54" s="130">
        <f t="shared" si="58"/>
        <v>-625</v>
      </c>
      <c r="AM54" s="130">
        <f t="shared" si="58"/>
        <v>-625</v>
      </c>
      <c r="AN54" s="130">
        <f t="shared" si="58"/>
        <v>-625</v>
      </c>
      <c r="AO54" s="130">
        <f t="shared" si="58"/>
        <v>-625</v>
      </c>
      <c r="AP54" s="130">
        <f t="shared" si="58"/>
        <v>0</v>
      </c>
      <c r="AQ54" s="130">
        <f t="shared" si="58"/>
        <v>0</v>
      </c>
      <c r="AR54" s="130">
        <f t="shared" si="58"/>
        <v>0</v>
      </c>
      <c r="AS54" s="130">
        <f t="shared" si="58"/>
        <v>0</v>
      </c>
      <c r="AT54" s="130">
        <f t="shared" si="58"/>
        <v>0</v>
      </c>
      <c r="AU54" s="130">
        <f t="shared" si="58"/>
        <v>0</v>
      </c>
      <c r="AV54" s="130">
        <f t="shared" si="58"/>
        <v>0</v>
      </c>
      <c r="AW54" s="130">
        <f t="shared" si="58"/>
        <v>0</v>
      </c>
      <c r="AX54" s="130">
        <f t="shared" si="58"/>
        <v>0</v>
      </c>
      <c r="AY54" s="130">
        <f t="shared" si="58"/>
        <v>0</v>
      </c>
      <c r="AZ54" s="130">
        <f t="shared" si="58"/>
        <v>0</v>
      </c>
      <c r="BA54" s="130">
        <f t="shared" si="58"/>
        <v>0</v>
      </c>
      <c r="BB54" s="130">
        <f t="shared" si="58"/>
        <v>0</v>
      </c>
      <c r="BC54" s="130">
        <f t="shared" si="58"/>
        <v>0</v>
      </c>
      <c r="BD54" s="130">
        <f t="shared" si="58"/>
        <v>0</v>
      </c>
      <c r="BE54" s="130">
        <f t="shared" si="58"/>
        <v>0</v>
      </c>
      <c r="BF54" s="130">
        <f t="shared" si="58"/>
        <v>0</v>
      </c>
      <c r="BG54" s="130">
        <f t="shared" si="58"/>
        <v>0</v>
      </c>
      <c r="BH54" s="130">
        <f t="shared" si="58"/>
        <v>0</v>
      </c>
      <c r="BI54" s="130">
        <f t="shared" si="58"/>
        <v>0</v>
      </c>
      <c r="BJ54" s="130">
        <f t="shared" si="58"/>
        <v>0</v>
      </c>
      <c r="BK54" s="130">
        <f t="shared" si="58"/>
        <v>0</v>
      </c>
      <c r="BL54" s="130">
        <f t="shared" si="58"/>
        <v>0</v>
      </c>
      <c r="BM54" s="130">
        <f t="shared" si="58"/>
        <v>0</v>
      </c>
      <c r="BN54" s="130">
        <f t="shared" si="58"/>
        <v>0</v>
      </c>
      <c r="BO54" s="130">
        <f t="shared" si="58"/>
        <v>0</v>
      </c>
      <c r="BP54" s="130">
        <f t="shared" si="58"/>
        <v>0</v>
      </c>
      <c r="BQ54" s="130">
        <f t="shared" si="58"/>
        <v>0</v>
      </c>
      <c r="BR54" s="130">
        <f t="shared" si="58"/>
        <v>0</v>
      </c>
      <c r="BS54" s="130">
        <f t="shared" si="58"/>
        <v>0</v>
      </c>
      <c r="BT54" s="130">
        <f t="shared" si="58"/>
        <v>0</v>
      </c>
      <c r="BU54" s="130">
        <f t="shared" si="58"/>
        <v>0</v>
      </c>
      <c r="BV54" s="130">
        <f t="shared" si="57"/>
        <v>0</v>
      </c>
      <c r="BW54" s="130">
        <f t="shared" si="57"/>
        <v>0</v>
      </c>
      <c r="BX54" s="130">
        <f t="shared" si="57"/>
        <v>0</v>
      </c>
      <c r="BY54" s="130">
        <f t="shared" si="57"/>
        <v>0</v>
      </c>
      <c r="BZ54" s="130">
        <f t="shared" si="57"/>
        <v>0</v>
      </c>
      <c r="CA54" s="130">
        <f t="shared" si="57"/>
        <v>0</v>
      </c>
      <c r="CB54" s="130">
        <f t="shared" si="57"/>
        <v>0</v>
      </c>
      <c r="CC54" s="130">
        <f t="shared" si="57"/>
        <v>0</v>
      </c>
      <c r="CD54" s="130">
        <f t="shared" si="57"/>
        <v>0</v>
      </c>
      <c r="CE54" s="130">
        <f t="shared" si="57"/>
        <v>0</v>
      </c>
      <c r="CF54" s="130">
        <f t="shared" si="57"/>
        <v>0</v>
      </c>
      <c r="CG54" s="130">
        <f t="shared" si="57"/>
        <v>0</v>
      </c>
      <c r="CH54" s="130">
        <f t="shared" si="57"/>
        <v>0</v>
      </c>
      <c r="CI54" s="130">
        <f t="shared" si="57"/>
        <v>0</v>
      </c>
      <c r="CJ54" s="130">
        <f t="shared" si="57"/>
        <v>0</v>
      </c>
      <c r="CK54" s="130">
        <f t="shared" si="57"/>
        <v>0</v>
      </c>
      <c r="CL54" s="130">
        <f t="shared" si="57"/>
        <v>0</v>
      </c>
      <c r="CM54" s="130">
        <f t="shared" si="57"/>
        <v>0</v>
      </c>
      <c r="CN54" s="130">
        <f t="shared" si="57"/>
        <v>0</v>
      </c>
      <c r="CO54" s="130">
        <f t="shared" si="57"/>
        <v>0</v>
      </c>
      <c r="CP54" s="130">
        <f t="shared" si="57"/>
        <v>0</v>
      </c>
      <c r="CQ54" s="130">
        <f t="shared" si="57"/>
        <v>0</v>
      </c>
      <c r="CR54" s="130">
        <f t="shared" si="57"/>
        <v>0</v>
      </c>
      <c r="CS54" s="130">
        <f t="shared" si="57"/>
        <v>0</v>
      </c>
      <c r="CT54" s="130">
        <f t="shared" si="57"/>
        <v>0</v>
      </c>
      <c r="CU54" s="130">
        <f t="shared" si="57"/>
        <v>0</v>
      </c>
      <c r="CV54" s="130">
        <f t="shared" si="57"/>
        <v>0</v>
      </c>
      <c r="CW54" s="130">
        <f t="shared" si="57"/>
        <v>0</v>
      </c>
      <c r="CX54" s="130">
        <f t="shared" si="57"/>
        <v>0</v>
      </c>
      <c r="CY54" s="130">
        <f t="shared" si="57"/>
        <v>0</v>
      </c>
      <c r="CZ54" s="130">
        <f t="shared" si="57"/>
        <v>0</v>
      </c>
    </row>
    <row r="55" spans="2:104" x14ac:dyDescent="0.35">
      <c r="B55" s="131" t="str">
        <f>'Development Costs'!B33</f>
        <v>Env Phase 3 Cost</v>
      </c>
      <c r="C55" s="130">
        <f>-'Development Costs'!H33</f>
        <v>0</v>
      </c>
      <c r="D55" s="130">
        <f t="shared" ref="D55" si="59">ROUND(C55-E55,0)</f>
        <v>0</v>
      </c>
      <c r="E55" s="130">
        <f t="shared" ref="E55" si="60">SUM(I55:CZ55)</f>
        <v>0</v>
      </c>
      <c r="F55" s="304">
        <f t="shared" si="53"/>
        <v>44593</v>
      </c>
      <c r="G55" s="304">
        <f t="shared" si="53"/>
        <v>45536</v>
      </c>
      <c r="H55" s="141">
        <f t="shared" ref="H55" si="61">DATEDIF(F55,G55,"m")+1</f>
        <v>32</v>
      </c>
      <c r="I55" s="130">
        <f t="shared" si="55"/>
        <v>0</v>
      </c>
      <c r="J55" s="130">
        <f t="shared" si="55"/>
        <v>0</v>
      </c>
      <c r="K55" s="130">
        <f t="shared" si="55"/>
        <v>0</v>
      </c>
      <c r="L55" s="130">
        <f t="shared" si="55"/>
        <v>0</v>
      </c>
      <c r="M55" s="130">
        <f t="shared" si="55"/>
        <v>0</v>
      </c>
      <c r="N55" s="130">
        <f t="shared" si="55"/>
        <v>0</v>
      </c>
      <c r="O55" s="130">
        <f t="shared" si="55"/>
        <v>0</v>
      </c>
      <c r="P55" s="130">
        <f t="shared" si="55"/>
        <v>0</v>
      </c>
      <c r="Q55" s="130">
        <f t="shared" si="55"/>
        <v>0</v>
      </c>
      <c r="R55" s="130">
        <f t="shared" si="55"/>
        <v>0</v>
      </c>
      <c r="S55" s="130">
        <f t="shared" si="55"/>
        <v>0</v>
      </c>
      <c r="T55" s="130">
        <f t="shared" si="55"/>
        <v>0</v>
      </c>
      <c r="U55" s="130">
        <f t="shared" si="55"/>
        <v>0</v>
      </c>
      <c r="V55" s="130">
        <f t="shared" si="55"/>
        <v>0</v>
      </c>
      <c r="W55" s="130">
        <f t="shared" si="55"/>
        <v>0</v>
      </c>
      <c r="X55" s="130">
        <f t="shared" si="55"/>
        <v>0</v>
      </c>
      <c r="Y55" s="130">
        <f t="shared" ref="Y55:CJ55" si="62">IF(AND(Y$7&lt;=$G55,Y$7&gt;=$F55,$H55&lt;&gt;0,$H55&lt;&gt;""),$C55/$H55,0)</f>
        <v>0</v>
      </c>
      <c r="Z55" s="130">
        <f t="shared" si="62"/>
        <v>0</v>
      </c>
      <c r="AA55" s="130">
        <f t="shared" si="62"/>
        <v>0</v>
      </c>
      <c r="AB55" s="130">
        <f t="shared" si="62"/>
        <v>0</v>
      </c>
      <c r="AC55" s="130">
        <f t="shared" si="62"/>
        <v>0</v>
      </c>
      <c r="AD55" s="130">
        <f t="shared" si="62"/>
        <v>0</v>
      </c>
      <c r="AE55" s="130">
        <f t="shared" si="62"/>
        <v>0</v>
      </c>
      <c r="AF55" s="130">
        <f t="shared" si="62"/>
        <v>0</v>
      </c>
      <c r="AG55" s="130">
        <f t="shared" si="62"/>
        <v>0</v>
      </c>
      <c r="AH55" s="130">
        <f t="shared" si="62"/>
        <v>0</v>
      </c>
      <c r="AI55" s="130">
        <f t="shared" si="62"/>
        <v>0</v>
      </c>
      <c r="AJ55" s="130">
        <f t="shared" si="62"/>
        <v>0</v>
      </c>
      <c r="AK55" s="130">
        <f t="shared" si="62"/>
        <v>0</v>
      </c>
      <c r="AL55" s="130">
        <f t="shared" si="62"/>
        <v>0</v>
      </c>
      <c r="AM55" s="130">
        <f t="shared" si="62"/>
        <v>0</v>
      </c>
      <c r="AN55" s="130">
        <f t="shared" si="62"/>
        <v>0</v>
      </c>
      <c r="AO55" s="130">
        <f t="shared" si="62"/>
        <v>0</v>
      </c>
      <c r="AP55" s="130">
        <f t="shared" si="62"/>
        <v>0</v>
      </c>
      <c r="AQ55" s="130">
        <f t="shared" si="62"/>
        <v>0</v>
      </c>
      <c r="AR55" s="130">
        <f t="shared" si="62"/>
        <v>0</v>
      </c>
      <c r="AS55" s="130">
        <f t="shared" si="62"/>
        <v>0</v>
      </c>
      <c r="AT55" s="130">
        <f t="shared" si="62"/>
        <v>0</v>
      </c>
      <c r="AU55" s="130">
        <f t="shared" si="62"/>
        <v>0</v>
      </c>
      <c r="AV55" s="130">
        <f t="shared" si="62"/>
        <v>0</v>
      </c>
      <c r="AW55" s="130">
        <f t="shared" si="62"/>
        <v>0</v>
      </c>
      <c r="AX55" s="130">
        <f t="shared" si="62"/>
        <v>0</v>
      </c>
      <c r="AY55" s="130">
        <f t="shared" si="62"/>
        <v>0</v>
      </c>
      <c r="AZ55" s="130">
        <f t="shared" si="62"/>
        <v>0</v>
      </c>
      <c r="BA55" s="130">
        <f t="shared" si="62"/>
        <v>0</v>
      </c>
      <c r="BB55" s="130">
        <f t="shared" si="62"/>
        <v>0</v>
      </c>
      <c r="BC55" s="130">
        <f t="shared" si="62"/>
        <v>0</v>
      </c>
      <c r="BD55" s="130">
        <f t="shared" si="62"/>
        <v>0</v>
      </c>
      <c r="BE55" s="130">
        <f t="shared" si="62"/>
        <v>0</v>
      </c>
      <c r="BF55" s="130">
        <f t="shared" si="62"/>
        <v>0</v>
      </c>
      <c r="BG55" s="130">
        <f t="shared" si="62"/>
        <v>0</v>
      </c>
      <c r="BH55" s="130">
        <f t="shared" si="62"/>
        <v>0</v>
      </c>
      <c r="BI55" s="130">
        <f t="shared" si="62"/>
        <v>0</v>
      </c>
      <c r="BJ55" s="130">
        <f t="shared" si="62"/>
        <v>0</v>
      </c>
      <c r="BK55" s="130">
        <f t="shared" si="62"/>
        <v>0</v>
      </c>
      <c r="BL55" s="130">
        <f t="shared" si="62"/>
        <v>0</v>
      </c>
      <c r="BM55" s="130">
        <f t="shared" si="62"/>
        <v>0</v>
      </c>
      <c r="BN55" s="130">
        <f t="shared" si="62"/>
        <v>0</v>
      </c>
      <c r="BO55" s="130">
        <f t="shared" si="62"/>
        <v>0</v>
      </c>
      <c r="BP55" s="130">
        <f t="shared" si="62"/>
        <v>0</v>
      </c>
      <c r="BQ55" s="130">
        <f t="shared" si="62"/>
        <v>0</v>
      </c>
      <c r="BR55" s="130">
        <f t="shared" si="62"/>
        <v>0</v>
      </c>
      <c r="BS55" s="130">
        <f t="shared" si="62"/>
        <v>0</v>
      </c>
      <c r="BT55" s="130">
        <f t="shared" si="62"/>
        <v>0</v>
      </c>
      <c r="BU55" s="130">
        <f t="shared" si="62"/>
        <v>0</v>
      </c>
      <c r="BV55" s="130">
        <f t="shared" si="57"/>
        <v>0</v>
      </c>
      <c r="BW55" s="130">
        <f t="shared" si="57"/>
        <v>0</v>
      </c>
      <c r="BX55" s="130">
        <f t="shared" si="57"/>
        <v>0</v>
      </c>
      <c r="BY55" s="130">
        <f t="shared" si="57"/>
        <v>0</v>
      </c>
      <c r="BZ55" s="130">
        <f t="shared" si="57"/>
        <v>0</v>
      </c>
      <c r="CA55" s="130">
        <f t="shared" si="57"/>
        <v>0</v>
      </c>
      <c r="CB55" s="130">
        <f t="shared" si="57"/>
        <v>0</v>
      </c>
      <c r="CC55" s="130">
        <f t="shared" si="57"/>
        <v>0</v>
      </c>
      <c r="CD55" s="130">
        <f t="shared" si="57"/>
        <v>0</v>
      </c>
      <c r="CE55" s="130">
        <f t="shared" si="57"/>
        <v>0</v>
      </c>
      <c r="CF55" s="130">
        <f t="shared" si="57"/>
        <v>0</v>
      </c>
      <c r="CG55" s="130">
        <f t="shared" si="57"/>
        <v>0</v>
      </c>
      <c r="CH55" s="130">
        <f t="shared" si="57"/>
        <v>0</v>
      </c>
      <c r="CI55" s="130">
        <f t="shared" si="57"/>
        <v>0</v>
      </c>
      <c r="CJ55" s="130">
        <f t="shared" si="57"/>
        <v>0</v>
      </c>
      <c r="CK55" s="130">
        <f t="shared" si="57"/>
        <v>0</v>
      </c>
      <c r="CL55" s="130">
        <f t="shared" si="57"/>
        <v>0</v>
      </c>
      <c r="CM55" s="130">
        <f t="shared" si="57"/>
        <v>0</v>
      </c>
      <c r="CN55" s="130">
        <f t="shared" si="57"/>
        <v>0</v>
      </c>
      <c r="CO55" s="130">
        <f t="shared" si="57"/>
        <v>0</v>
      </c>
      <c r="CP55" s="130">
        <f t="shared" si="57"/>
        <v>0</v>
      </c>
      <c r="CQ55" s="130">
        <f t="shared" si="57"/>
        <v>0</v>
      </c>
      <c r="CR55" s="130">
        <f t="shared" si="57"/>
        <v>0</v>
      </c>
      <c r="CS55" s="130">
        <f t="shared" si="57"/>
        <v>0</v>
      </c>
      <c r="CT55" s="130">
        <f t="shared" si="57"/>
        <v>0</v>
      </c>
      <c r="CU55" s="130">
        <f t="shared" si="57"/>
        <v>0</v>
      </c>
      <c r="CV55" s="130">
        <f t="shared" si="57"/>
        <v>0</v>
      </c>
      <c r="CW55" s="130">
        <f t="shared" si="57"/>
        <v>0</v>
      </c>
      <c r="CX55" s="130">
        <f t="shared" si="57"/>
        <v>0</v>
      </c>
      <c r="CY55" s="130">
        <f t="shared" si="57"/>
        <v>0</v>
      </c>
      <c r="CZ55" s="130">
        <f t="shared" si="57"/>
        <v>0</v>
      </c>
    </row>
    <row r="56" spans="2:104" x14ac:dyDescent="0.35">
      <c r="B56" s="131" t="s">
        <v>288</v>
      </c>
      <c r="C56" s="130">
        <f>-'Development Costs'!H35</f>
        <v>-400000</v>
      </c>
      <c r="D56" s="130">
        <f t="shared" si="52"/>
        <v>0</v>
      </c>
      <c r="E56" s="130">
        <f t="shared" si="49"/>
        <v>-400000</v>
      </c>
      <c r="F56" s="304">
        <f t="shared" si="53"/>
        <v>44593</v>
      </c>
      <c r="G56" s="304">
        <f t="shared" si="53"/>
        <v>45536</v>
      </c>
      <c r="H56" s="141">
        <f t="shared" si="54"/>
        <v>32</v>
      </c>
      <c r="I56" s="130">
        <f t="shared" si="55"/>
        <v>0</v>
      </c>
      <c r="J56" s="130">
        <f t="shared" si="58"/>
        <v>-12500</v>
      </c>
      <c r="K56" s="130">
        <f t="shared" si="58"/>
        <v>-12500</v>
      </c>
      <c r="L56" s="130">
        <f t="shared" si="58"/>
        <v>-12500</v>
      </c>
      <c r="M56" s="130">
        <f t="shared" si="58"/>
        <v>-12500</v>
      </c>
      <c r="N56" s="130">
        <f t="shared" si="58"/>
        <v>-12500</v>
      </c>
      <c r="O56" s="130">
        <f t="shared" si="58"/>
        <v>-12500</v>
      </c>
      <c r="P56" s="130">
        <f t="shared" si="58"/>
        <v>-12500</v>
      </c>
      <c r="Q56" s="130">
        <f t="shared" si="58"/>
        <v>-12500</v>
      </c>
      <c r="R56" s="130">
        <f t="shared" si="58"/>
        <v>-12500</v>
      </c>
      <c r="S56" s="130">
        <f t="shared" si="58"/>
        <v>-12500</v>
      </c>
      <c r="T56" s="130">
        <f t="shared" si="58"/>
        <v>-12500</v>
      </c>
      <c r="U56" s="130">
        <f t="shared" si="58"/>
        <v>-12500</v>
      </c>
      <c r="V56" s="130">
        <f t="shared" si="58"/>
        <v>-12500</v>
      </c>
      <c r="W56" s="130">
        <f t="shared" si="58"/>
        <v>-12500</v>
      </c>
      <c r="X56" s="130">
        <f t="shared" si="58"/>
        <v>-12500</v>
      </c>
      <c r="Y56" s="130">
        <f t="shared" si="58"/>
        <v>-12500</v>
      </c>
      <c r="Z56" s="130">
        <f t="shared" si="58"/>
        <v>-12500</v>
      </c>
      <c r="AA56" s="130">
        <f t="shared" si="58"/>
        <v>-12500</v>
      </c>
      <c r="AB56" s="130">
        <f t="shared" si="58"/>
        <v>-12500</v>
      </c>
      <c r="AC56" s="130">
        <f t="shared" si="58"/>
        <v>-12500</v>
      </c>
      <c r="AD56" s="130">
        <f t="shared" si="58"/>
        <v>-12500</v>
      </c>
      <c r="AE56" s="130">
        <f t="shared" si="58"/>
        <v>-12500</v>
      </c>
      <c r="AF56" s="130">
        <f t="shared" si="58"/>
        <v>-12500</v>
      </c>
      <c r="AG56" s="130">
        <f t="shared" si="58"/>
        <v>-12500</v>
      </c>
      <c r="AH56" s="130">
        <f t="shared" si="58"/>
        <v>-12500</v>
      </c>
      <c r="AI56" s="130">
        <f t="shared" si="58"/>
        <v>-12500</v>
      </c>
      <c r="AJ56" s="130">
        <f t="shared" si="58"/>
        <v>-12500</v>
      </c>
      <c r="AK56" s="130">
        <f t="shared" si="58"/>
        <v>-12500</v>
      </c>
      <c r="AL56" s="130">
        <f t="shared" si="58"/>
        <v>-12500</v>
      </c>
      <c r="AM56" s="130">
        <f t="shared" si="58"/>
        <v>-12500</v>
      </c>
      <c r="AN56" s="130">
        <f t="shared" si="58"/>
        <v>-12500</v>
      </c>
      <c r="AO56" s="130">
        <f t="shared" si="58"/>
        <v>-12500</v>
      </c>
      <c r="AP56" s="130">
        <f t="shared" si="58"/>
        <v>0</v>
      </c>
      <c r="AQ56" s="130">
        <f t="shared" si="58"/>
        <v>0</v>
      </c>
      <c r="AR56" s="130">
        <f t="shared" si="58"/>
        <v>0</v>
      </c>
      <c r="AS56" s="130">
        <f t="shared" si="58"/>
        <v>0</v>
      </c>
      <c r="AT56" s="130">
        <f t="shared" si="58"/>
        <v>0</v>
      </c>
      <c r="AU56" s="130">
        <f t="shared" si="58"/>
        <v>0</v>
      </c>
      <c r="AV56" s="130">
        <f t="shared" si="58"/>
        <v>0</v>
      </c>
      <c r="AW56" s="130">
        <f t="shared" si="58"/>
        <v>0</v>
      </c>
      <c r="AX56" s="130">
        <f t="shared" si="58"/>
        <v>0</v>
      </c>
      <c r="AY56" s="130">
        <f t="shared" si="58"/>
        <v>0</v>
      </c>
      <c r="AZ56" s="130">
        <f t="shared" si="58"/>
        <v>0</v>
      </c>
      <c r="BA56" s="130">
        <f t="shared" si="58"/>
        <v>0</v>
      </c>
      <c r="BB56" s="130">
        <f t="shared" si="58"/>
        <v>0</v>
      </c>
      <c r="BC56" s="130">
        <f t="shared" si="58"/>
        <v>0</v>
      </c>
      <c r="BD56" s="130">
        <f t="shared" si="58"/>
        <v>0</v>
      </c>
      <c r="BE56" s="130">
        <f t="shared" si="58"/>
        <v>0</v>
      </c>
      <c r="BF56" s="130">
        <f t="shared" si="58"/>
        <v>0</v>
      </c>
      <c r="BG56" s="130">
        <f t="shared" si="58"/>
        <v>0</v>
      </c>
      <c r="BH56" s="130">
        <f t="shared" si="58"/>
        <v>0</v>
      </c>
      <c r="BI56" s="130">
        <f t="shared" si="58"/>
        <v>0</v>
      </c>
      <c r="BJ56" s="130">
        <f t="shared" si="58"/>
        <v>0</v>
      </c>
      <c r="BK56" s="130">
        <f t="shared" si="58"/>
        <v>0</v>
      </c>
      <c r="BL56" s="130">
        <f t="shared" si="58"/>
        <v>0</v>
      </c>
      <c r="BM56" s="130">
        <f t="shared" si="58"/>
        <v>0</v>
      </c>
      <c r="BN56" s="130">
        <f t="shared" si="58"/>
        <v>0</v>
      </c>
      <c r="BO56" s="130">
        <f t="shared" si="58"/>
        <v>0</v>
      </c>
      <c r="BP56" s="130">
        <f t="shared" si="58"/>
        <v>0</v>
      </c>
      <c r="BQ56" s="130">
        <f t="shared" si="58"/>
        <v>0</v>
      </c>
      <c r="BR56" s="130">
        <f t="shared" si="58"/>
        <v>0</v>
      </c>
      <c r="BS56" s="130">
        <f t="shared" si="58"/>
        <v>0</v>
      </c>
      <c r="BT56" s="130">
        <f t="shared" si="58"/>
        <v>0</v>
      </c>
      <c r="BU56" s="130">
        <f t="shared" si="58"/>
        <v>0</v>
      </c>
      <c r="BV56" s="130">
        <f t="shared" si="57"/>
        <v>0</v>
      </c>
      <c r="BW56" s="130">
        <f t="shared" si="57"/>
        <v>0</v>
      </c>
      <c r="BX56" s="130">
        <f t="shared" si="57"/>
        <v>0</v>
      </c>
      <c r="BY56" s="130">
        <f t="shared" si="57"/>
        <v>0</v>
      </c>
      <c r="BZ56" s="130">
        <f t="shared" si="57"/>
        <v>0</v>
      </c>
      <c r="CA56" s="130">
        <f t="shared" si="57"/>
        <v>0</v>
      </c>
      <c r="CB56" s="130">
        <f t="shared" si="57"/>
        <v>0</v>
      </c>
      <c r="CC56" s="130">
        <f t="shared" si="57"/>
        <v>0</v>
      </c>
      <c r="CD56" s="130">
        <f t="shared" si="57"/>
        <v>0</v>
      </c>
      <c r="CE56" s="130">
        <f t="shared" si="57"/>
        <v>0</v>
      </c>
      <c r="CF56" s="130">
        <f t="shared" si="57"/>
        <v>0</v>
      </c>
      <c r="CG56" s="130">
        <f t="shared" si="57"/>
        <v>0</v>
      </c>
      <c r="CH56" s="130">
        <f t="shared" si="57"/>
        <v>0</v>
      </c>
      <c r="CI56" s="130">
        <f t="shared" si="57"/>
        <v>0</v>
      </c>
      <c r="CJ56" s="130">
        <f t="shared" si="57"/>
        <v>0</v>
      </c>
      <c r="CK56" s="130">
        <f t="shared" si="57"/>
        <v>0</v>
      </c>
      <c r="CL56" s="130">
        <f t="shared" si="57"/>
        <v>0</v>
      </c>
      <c r="CM56" s="130">
        <f t="shared" si="57"/>
        <v>0</v>
      </c>
      <c r="CN56" s="130">
        <f t="shared" si="57"/>
        <v>0</v>
      </c>
      <c r="CO56" s="130">
        <f t="shared" si="57"/>
        <v>0</v>
      </c>
      <c r="CP56" s="130">
        <f t="shared" si="57"/>
        <v>0</v>
      </c>
      <c r="CQ56" s="130">
        <f t="shared" si="57"/>
        <v>0</v>
      </c>
      <c r="CR56" s="130">
        <f t="shared" si="57"/>
        <v>0</v>
      </c>
      <c r="CS56" s="130">
        <f t="shared" si="57"/>
        <v>0</v>
      </c>
      <c r="CT56" s="130">
        <f t="shared" si="57"/>
        <v>0</v>
      </c>
      <c r="CU56" s="130">
        <f t="shared" si="57"/>
        <v>0</v>
      </c>
      <c r="CV56" s="130">
        <f t="shared" si="57"/>
        <v>0</v>
      </c>
      <c r="CW56" s="130">
        <f t="shared" si="57"/>
        <v>0</v>
      </c>
      <c r="CX56" s="130">
        <f t="shared" si="57"/>
        <v>0</v>
      </c>
      <c r="CY56" s="130">
        <f t="shared" si="57"/>
        <v>0</v>
      </c>
      <c r="CZ56" s="130">
        <f t="shared" si="57"/>
        <v>0</v>
      </c>
    </row>
    <row r="57" spans="2:104" x14ac:dyDescent="0.35">
      <c r="B57" s="131" t="str">
        <f>'Development Costs'!B36</f>
        <v>Environmental consultant</v>
      </c>
      <c r="C57" s="130">
        <f>-'Development Costs'!H36</f>
        <v>0</v>
      </c>
      <c r="D57" s="130">
        <f t="shared" si="52"/>
        <v>0</v>
      </c>
      <c r="E57" s="130">
        <f t="shared" si="49"/>
        <v>0</v>
      </c>
      <c r="F57" s="304">
        <f t="shared" si="53"/>
        <v>44593</v>
      </c>
      <c r="G57" s="304">
        <f t="shared" si="53"/>
        <v>45536</v>
      </c>
      <c r="H57" s="141">
        <f t="shared" si="54"/>
        <v>32</v>
      </c>
      <c r="I57" s="130">
        <f t="shared" si="55"/>
        <v>0</v>
      </c>
      <c r="J57" s="130">
        <f t="shared" si="58"/>
        <v>0</v>
      </c>
      <c r="K57" s="130">
        <f t="shared" si="58"/>
        <v>0</v>
      </c>
      <c r="L57" s="130">
        <f t="shared" si="58"/>
        <v>0</v>
      </c>
      <c r="M57" s="130">
        <f t="shared" si="58"/>
        <v>0</v>
      </c>
      <c r="N57" s="130">
        <f t="shared" si="58"/>
        <v>0</v>
      </c>
      <c r="O57" s="130">
        <f t="shared" si="58"/>
        <v>0</v>
      </c>
      <c r="P57" s="130">
        <f t="shared" si="58"/>
        <v>0</v>
      </c>
      <c r="Q57" s="130">
        <f t="shared" si="58"/>
        <v>0</v>
      </c>
      <c r="R57" s="130">
        <f t="shared" si="58"/>
        <v>0</v>
      </c>
      <c r="S57" s="130">
        <f t="shared" si="58"/>
        <v>0</v>
      </c>
      <c r="T57" s="130">
        <f t="shared" si="58"/>
        <v>0</v>
      </c>
      <c r="U57" s="130">
        <f t="shared" si="58"/>
        <v>0</v>
      </c>
      <c r="V57" s="130">
        <f t="shared" si="58"/>
        <v>0</v>
      </c>
      <c r="W57" s="130">
        <f t="shared" si="58"/>
        <v>0</v>
      </c>
      <c r="X57" s="130">
        <f t="shared" si="58"/>
        <v>0</v>
      </c>
      <c r="Y57" s="130">
        <f t="shared" si="58"/>
        <v>0</v>
      </c>
      <c r="Z57" s="130">
        <f t="shared" si="58"/>
        <v>0</v>
      </c>
      <c r="AA57" s="130">
        <f t="shared" si="58"/>
        <v>0</v>
      </c>
      <c r="AB57" s="130">
        <f t="shared" si="58"/>
        <v>0</v>
      </c>
      <c r="AC57" s="130">
        <f t="shared" si="58"/>
        <v>0</v>
      </c>
      <c r="AD57" s="130">
        <f t="shared" si="58"/>
        <v>0</v>
      </c>
      <c r="AE57" s="130">
        <f t="shared" si="58"/>
        <v>0</v>
      </c>
      <c r="AF57" s="130">
        <f t="shared" si="58"/>
        <v>0</v>
      </c>
      <c r="AG57" s="130">
        <f t="shared" si="58"/>
        <v>0</v>
      </c>
      <c r="AH57" s="130">
        <f t="shared" si="58"/>
        <v>0</v>
      </c>
      <c r="AI57" s="130">
        <f t="shared" si="58"/>
        <v>0</v>
      </c>
      <c r="AJ57" s="130">
        <f t="shared" si="58"/>
        <v>0</v>
      </c>
      <c r="AK57" s="130">
        <f t="shared" si="58"/>
        <v>0</v>
      </c>
      <c r="AL57" s="130">
        <f t="shared" si="58"/>
        <v>0</v>
      </c>
      <c r="AM57" s="130">
        <f t="shared" si="58"/>
        <v>0</v>
      </c>
      <c r="AN57" s="130">
        <f t="shared" si="58"/>
        <v>0</v>
      </c>
      <c r="AO57" s="130">
        <f t="shared" si="58"/>
        <v>0</v>
      </c>
      <c r="AP57" s="130">
        <f t="shared" si="58"/>
        <v>0</v>
      </c>
      <c r="AQ57" s="130">
        <f t="shared" si="58"/>
        <v>0</v>
      </c>
      <c r="AR57" s="130">
        <f t="shared" si="58"/>
        <v>0</v>
      </c>
      <c r="AS57" s="130">
        <f t="shared" si="58"/>
        <v>0</v>
      </c>
      <c r="AT57" s="130">
        <f t="shared" si="58"/>
        <v>0</v>
      </c>
      <c r="AU57" s="130">
        <f t="shared" si="58"/>
        <v>0</v>
      </c>
      <c r="AV57" s="130">
        <f t="shared" si="58"/>
        <v>0</v>
      </c>
      <c r="AW57" s="130">
        <f t="shared" si="58"/>
        <v>0</v>
      </c>
      <c r="AX57" s="130">
        <f t="shared" si="58"/>
        <v>0</v>
      </c>
      <c r="AY57" s="130">
        <f t="shared" si="58"/>
        <v>0</v>
      </c>
      <c r="AZ57" s="130">
        <f t="shared" si="58"/>
        <v>0</v>
      </c>
      <c r="BA57" s="130">
        <f t="shared" si="58"/>
        <v>0</v>
      </c>
      <c r="BB57" s="130">
        <f t="shared" si="58"/>
        <v>0</v>
      </c>
      <c r="BC57" s="130">
        <f t="shared" si="58"/>
        <v>0</v>
      </c>
      <c r="BD57" s="130">
        <f t="shared" si="58"/>
        <v>0</v>
      </c>
      <c r="BE57" s="130">
        <f t="shared" si="58"/>
        <v>0</v>
      </c>
      <c r="BF57" s="130">
        <f t="shared" si="58"/>
        <v>0</v>
      </c>
      <c r="BG57" s="130">
        <f t="shared" si="58"/>
        <v>0</v>
      </c>
      <c r="BH57" s="130">
        <f t="shared" si="58"/>
        <v>0</v>
      </c>
      <c r="BI57" s="130">
        <f t="shared" si="58"/>
        <v>0</v>
      </c>
      <c r="BJ57" s="130">
        <f t="shared" si="58"/>
        <v>0</v>
      </c>
      <c r="BK57" s="130">
        <f t="shared" si="58"/>
        <v>0</v>
      </c>
      <c r="BL57" s="130">
        <f t="shared" si="58"/>
        <v>0</v>
      </c>
      <c r="BM57" s="130">
        <f t="shared" si="58"/>
        <v>0</v>
      </c>
      <c r="BN57" s="130">
        <f t="shared" si="58"/>
        <v>0</v>
      </c>
      <c r="BO57" s="130">
        <f t="shared" si="58"/>
        <v>0</v>
      </c>
      <c r="BP57" s="130">
        <f t="shared" si="58"/>
        <v>0</v>
      </c>
      <c r="BQ57" s="130">
        <f t="shared" si="58"/>
        <v>0</v>
      </c>
      <c r="BR57" s="130">
        <f t="shared" si="58"/>
        <v>0</v>
      </c>
      <c r="BS57" s="130">
        <f t="shared" si="58"/>
        <v>0</v>
      </c>
      <c r="BT57" s="130">
        <f t="shared" si="58"/>
        <v>0</v>
      </c>
      <c r="BU57" s="130">
        <f t="shared" ref="BU57:CZ59" si="63">IF(AND(BU$7&lt;=$G57,BU$7&gt;=$F57,$H57&lt;&gt;0,$H57&lt;&gt;""),$C57/$H57,0)</f>
        <v>0</v>
      </c>
      <c r="BV57" s="130">
        <f t="shared" si="63"/>
        <v>0</v>
      </c>
      <c r="BW57" s="130">
        <f t="shared" si="63"/>
        <v>0</v>
      </c>
      <c r="BX57" s="130">
        <f t="shared" si="63"/>
        <v>0</v>
      </c>
      <c r="BY57" s="130">
        <f t="shared" si="63"/>
        <v>0</v>
      </c>
      <c r="BZ57" s="130">
        <f t="shared" si="63"/>
        <v>0</v>
      </c>
      <c r="CA57" s="130">
        <f t="shared" si="63"/>
        <v>0</v>
      </c>
      <c r="CB57" s="130">
        <f t="shared" si="63"/>
        <v>0</v>
      </c>
      <c r="CC57" s="130">
        <f t="shared" si="63"/>
        <v>0</v>
      </c>
      <c r="CD57" s="130">
        <f t="shared" si="63"/>
        <v>0</v>
      </c>
      <c r="CE57" s="130">
        <f t="shared" si="63"/>
        <v>0</v>
      </c>
      <c r="CF57" s="130">
        <f t="shared" si="63"/>
        <v>0</v>
      </c>
      <c r="CG57" s="130">
        <f t="shared" si="63"/>
        <v>0</v>
      </c>
      <c r="CH57" s="130">
        <f t="shared" si="63"/>
        <v>0</v>
      </c>
      <c r="CI57" s="130">
        <f t="shared" si="63"/>
        <v>0</v>
      </c>
      <c r="CJ57" s="130">
        <f t="shared" si="63"/>
        <v>0</v>
      </c>
      <c r="CK57" s="130">
        <f t="shared" si="63"/>
        <v>0</v>
      </c>
      <c r="CL57" s="130">
        <f t="shared" si="63"/>
        <v>0</v>
      </c>
      <c r="CM57" s="130">
        <f t="shared" si="63"/>
        <v>0</v>
      </c>
      <c r="CN57" s="130">
        <f t="shared" si="63"/>
        <v>0</v>
      </c>
      <c r="CO57" s="130">
        <f t="shared" si="63"/>
        <v>0</v>
      </c>
      <c r="CP57" s="130">
        <f t="shared" si="63"/>
        <v>0</v>
      </c>
      <c r="CQ57" s="130">
        <f t="shared" si="63"/>
        <v>0</v>
      </c>
      <c r="CR57" s="130">
        <f t="shared" si="63"/>
        <v>0</v>
      </c>
      <c r="CS57" s="130">
        <f t="shared" si="63"/>
        <v>0</v>
      </c>
      <c r="CT57" s="130">
        <f t="shared" si="63"/>
        <v>0</v>
      </c>
      <c r="CU57" s="130">
        <f t="shared" si="63"/>
        <v>0</v>
      </c>
      <c r="CV57" s="130">
        <f t="shared" si="63"/>
        <v>0</v>
      </c>
      <c r="CW57" s="130">
        <f t="shared" si="63"/>
        <v>0</v>
      </c>
      <c r="CX57" s="130">
        <f t="shared" si="63"/>
        <v>0</v>
      </c>
      <c r="CY57" s="130">
        <f t="shared" si="63"/>
        <v>0</v>
      </c>
      <c r="CZ57" s="130">
        <f t="shared" si="63"/>
        <v>0</v>
      </c>
    </row>
    <row r="58" spans="2:104" x14ac:dyDescent="0.35">
      <c r="B58" s="131" t="str">
        <f>'Development Costs'!B37</f>
        <v>Interior design</v>
      </c>
      <c r="C58" s="130">
        <f>-'Development Costs'!H37</f>
        <v>0</v>
      </c>
      <c r="D58" s="130">
        <f t="shared" si="52"/>
        <v>0</v>
      </c>
      <c r="E58" s="130">
        <f t="shared" si="49"/>
        <v>0</v>
      </c>
      <c r="F58" s="304">
        <f t="shared" si="53"/>
        <v>44593</v>
      </c>
      <c r="G58" s="304">
        <f t="shared" si="53"/>
        <v>45536</v>
      </c>
      <c r="H58" s="141">
        <f t="shared" si="54"/>
        <v>32</v>
      </c>
      <c r="I58" s="130">
        <f t="shared" si="55"/>
        <v>0</v>
      </c>
      <c r="J58" s="130">
        <f t="shared" ref="J58:BU60" si="64">IF(AND(J$7&lt;=$G58,J$7&gt;=$F58,$H58&lt;&gt;0,$H58&lt;&gt;""),$C58/$H58,0)</f>
        <v>0</v>
      </c>
      <c r="K58" s="130">
        <f t="shared" si="64"/>
        <v>0</v>
      </c>
      <c r="L58" s="130">
        <f t="shared" si="64"/>
        <v>0</v>
      </c>
      <c r="M58" s="130">
        <f t="shared" si="64"/>
        <v>0</v>
      </c>
      <c r="N58" s="130">
        <f t="shared" si="64"/>
        <v>0</v>
      </c>
      <c r="O58" s="130">
        <f t="shared" si="64"/>
        <v>0</v>
      </c>
      <c r="P58" s="130">
        <f t="shared" si="64"/>
        <v>0</v>
      </c>
      <c r="Q58" s="130">
        <f t="shared" si="64"/>
        <v>0</v>
      </c>
      <c r="R58" s="130">
        <f t="shared" si="64"/>
        <v>0</v>
      </c>
      <c r="S58" s="130">
        <f t="shared" si="64"/>
        <v>0</v>
      </c>
      <c r="T58" s="130">
        <f t="shared" si="64"/>
        <v>0</v>
      </c>
      <c r="U58" s="130">
        <f t="shared" si="64"/>
        <v>0</v>
      </c>
      <c r="V58" s="130">
        <f t="shared" si="64"/>
        <v>0</v>
      </c>
      <c r="W58" s="130">
        <f t="shared" si="64"/>
        <v>0</v>
      </c>
      <c r="X58" s="130">
        <f t="shared" si="64"/>
        <v>0</v>
      </c>
      <c r="Y58" s="130">
        <f t="shared" si="64"/>
        <v>0</v>
      </c>
      <c r="Z58" s="130">
        <f t="shared" si="64"/>
        <v>0</v>
      </c>
      <c r="AA58" s="130">
        <f t="shared" si="64"/>
        <v>0</v>
      </c>
      <c r="AB58" s="130">
        <f t="shared" si="64"/>
        <v>0</v>
      </c>
      <c r="AC58" s="130">
        <f t="shared" si="64"/>
        <v>0</v>
      </c>
      <c r="AD58" s="130">
        <f t="shared" si="64"/>
        <v>0</v>
      </c>
      <c r="AE58" s="130">
        <f t="shared" si="64"/>
        <v>0</v>
      </c>
      <c r="AF58" s="130">
        <f t="shared" si="64"/>
        <v>0</v>
      </c>
      <c r="AG58" s="130">
        <f t="shared" si="64"/>
        <v>0</v>
      </c>
      <c r="AH58" s="130">
        <f t="shared" si="64"/>
        <v>0</v>
      </c>
      <c r="AI58" s="130">
        <f t="shared" si="64"/>
        <v>0</v>
      </c>
      <c r="AJ58" s="130">
        <f t="shared" si="64"/>
        <v>0</v>
      </c>
      <c r="AK58" s="130">
        <f t="shared" si="64"/>
        <v>0</v>
      </c>
      <c r="AL58" s="130">
        <f t="shared" si="64"/>
        <v>0</v>
      </c>
      <c r="AM58" s="130">
        <f t="shared" si="64"/>
        <v>0</v>
      </c>
      <c r="AN58" s="130">
        <f t="shared" si="64"/>
        <v>0</v>
      </c>
      <c r="AO58" s="130">
        <f t="shared" si="64"/>
        <v>0</v>
      </c>
      <c r="AP58" s="130">
        <f t="shared" si="64"/>
        <v>0</v>
      </c>
      <c r="AQ58" s="130">
        <f t="shared" si="64"/>
        <v>0</v>
      </c>
      <c r="AR58" s="130">
        <f t="shared" si="64"/>
        <v>0</v>
      </c>
      <c r="AS58" s="130">
        <f t="shared" si="64"/>
        <v>0</v>
      </c>
      <c r="AT58" s="130">
        <f t="shared" si="64"/>
        <v>0</v>
      </c>
      <c r="AU58" s="130">
        <f t="shared" si="64"/>
        <v>0</v>
      </c>
      <c r="AV58" s="130">
        <f t="shared" si="64"/>
        <v>0</v>
      </c>
      <c r="AW58" s="130">
        <f t="shared" si="64"/>
        <v>0</v>
      </c>
      <c r="AX58" s="130">
        <f t="shared" si="64"/>
        <v>0</v>
      </c>
      <c r="AY58" s="130">
        <f t="shared" si="64"/>
        <v>0</v>
      </c>
      <c r="AZ58" s="130">
        <f t="shared" si="64"/>
        <v>0</v>
      </c>
      <c r="BA58" s="130">
        <f t="shared" si="64"/>
        <v>0</v>
      </c>
      <c r="BB58" s="130">
        <f t="shared" si="64"/>
        <v>0</v>
      </c>
      <c r="BC58" s="130">
        <f t="shared" si="64"/>
        <v>0</v>
      </c>
      <c r="BD58" s="130">
        <f t="shared" si="64"/>
        <v>0</v>
      </c>
      <c r="BE58" s="130">
        <f t="shared" si="64"/>
        <v>0</v>
      </c>
      <c r="BF58" s="130">
        <f t="shared" si="64"/>
        <v>0</v>
      </c>
      <c r="BG58" s="130">
        <f t="shared" si="64"/>
        <v>0</v>
      </c>
      <c r="BH58" s="130">
        <f t="shared" si="64"/>
        <v>0</v>
      </c>
      <c r="BI58" s="130">
        <f t="shared" si="64"/>
        <v>0</v>
      </c>
      <c r="BJ58" s="130">
        <f t="shared" si="64"/>
        <v>0</v>
      </c>
      <c r="BK58" s="130">
        <f t="shared" si="64"/>
        <v>0</v>
      </c>
      <c r="BL58" s="130">
        <f t="shared" si="64"/>
        <v>0</v>
      </c>
      <c r="BM58" s="130">
        <f t="shared" si="64"/>
        <v>0</v>
      </c>
      <c r="BN58" s="130">
        <f t="shared" si="64"/>
        <v>0</v>
      </c>
      <c r="BO58" s="130">
        <f t="shared" si="64"/>
        <v>0</v>
      </c>
      <c r="BP58" s="130">
        <f t="shared" si="64"/>
        <v>0</v>
      </c>
      <c r="BQ58" s="130">
        <f t="shared" si="64"/>
        <v>0</v>
      </c>
      <c r="BR58" s="130">
        <f t="shared" si="64"/>
        <v>0</v>
      </c>
      <c r="BS58" s="130">
        <f t="shared" si="64"/>
        <v>0</v>
      </c>
      <c r="BT58" s="130">
        <f t="shared" si="64"/>
        <v>0</v>
      </c>
      <c r="BU58" s="130">
        <f t="shared" si="64"/>
        <v>0</v>
      </c>
      <c r="BV58" s="130">
        <f t="shared" si="63"/>
        <v>0</v>
      </c>
      <c r="BW58" s="130">
        <f t="shared" si="63"/>
        <v>0</v>
      </c>
      <c r="BX58" s="130">
        <f t="shared" si="63"/>
        <v>0</v>
      </c>
      <c r="BY58" s="130">
        <f t="shared" si="63"/>
        <v>0</v>
      </c>
      <c r="BZ58" s="130">
        <f t="shared" si="63"/>
        <v>0</v>
      </c>
      <c r="CA58" s="130">
        <f t="shared" si="63"/>
        <v>0</v>
      </c>
      <c r="CB58" s="130">
        <f t="shared" si="63"/>
        <v>0</v>
      </c>
      <c r="CC58" s="130">
        <f t="shared" si="63"/>
        <v>0</v>
      </c>
      <c r="CD58" s="130">
        <f t="shared" si="63"/>
        <v>0</v>
      </c>
      <c r="CE58" s="130">
        <f t="shared" si="63"/>
        <v>0</v>
      </c>
      <c r="CF58" s="130">
        <f t="shared" si="63"/>
        <v>0</v>
      </c>
      <c r="CG58" s="130">
        <f t="shared" si="63"/>
        <v>0</v>
      </c>
      <c r="CH58" s="130">
        <f t="shared" si="63"/>
        <v>0</v>
      </c>
      <c r="CI58" s="130">
        <f t="shared" si="63"/>
        <v>0</v>
      </c>
      <c r="CJ58" s="130">
        <f t="shared" si="63"/>
        <v>0</v>
      </c>
      <c r="CK58" s="130">
        <f t="shared" si="63"/>
        <v>0</v>
      </c>
      <c r="CL58" s="130">
        <f t="shared" si="63"/>
        <v>0</v>
      </c>
      <c r="CM58" s="130">
        <f t="shared" si="63"/>
        <v>0</v>
      </c>
      <c r="CN58" s="130">
        <f t="shared" si="63"/>
        <v>0</v>
      </c>
      <c r="CO58" s="130">
        <f t="shared" si="63"/>
        <v>0</v>
      </c>
      <c r="CP58" s="130">
        <f t="shared" si="63"/>
        <v>0</v>
      </c>
      <c r="CQ58" s="130">
        <f t="shared" si="63"/>
        <v>0</v>
      </c>
      <c r="CR58" s="130">
        <f t="shared" si="63"/>
        <v>0</v>
      </c>
      <c r="CS58" s="130">
        <f t="shared" si="63"/>
        <v>0</v>
      </c>
      <c r="CT58" s="130">
        <f t="shared" si="63"/>
        <v>0</v>
      </c>
      <c r="CU58" s="130">
        <f t="shared" si="63"/>
        <v>0</v>
      </c>
      <c r="CV58" s="130">
        <f t="shared" si="63"/>
        <v>0</v>
      </c>
      <c r="CW58" s="130">
        <f t="shared" si="63"/>
        <v>0</v>
      </c>
      <c r="CX58" s="130">
        <f t="shared" si="63"/>
        <v>0</v>
      </c>
      <c r="CY58" s="130">
        <f t="shared" si="63"/>
        <v>0</v>
      </c>
      <c r="CZ58" s="130">
        <f t="shared" si="63"/>
        <v>0</v>
      </c>
    </row>
    <row r="59" spans="2:104" x14ac:dyDescent="0.35">
      <c r="B59" s="131" t="str">
        <f>'Development Costs'!B38</f>
        <v>Traffic consultant</v>
      </c>
      <c r="C59" s="130">
        <f>-'Development Costs'!H38</f>
        <v>0</v>
      </c>
      <c r="D59" s="130">
        <f t="shared" si="52"/>
        <v>0</v>
      </c>
      <c r="E59" s="130">
        <f t="shared" si="49"/>
        <v>0</v>
      </c>
      <c r="F59" s="304">
        <f t="shared" si="53"/>
        <v>44593</v>
      </c>
      <c r="G59" s="304">
        <f t="shared" si="53"/>
        <v>45536</v>
      </c>
      <c r="H59" s="141">
        <f t="shared" si="54"/>
        <v>32</v>
      </c>
      <c r="I59" s="130">
        <f t="shared" si="55"/>
        <v>0</v>
      </c>
      <c r="J59" s="130">
        <f t="shared" si="64"/>
        <v>0</v>
      </c>
      <c r="K59" s="130">
        <f t="shared" si="64"/>
        <v>0</v>
      </c>
      <c r="L59" s="130">
        <f t="shared" si="64"/>
        <v>0</v>
      </c>
      <c r="M59" s="130">
        <f t="shared" si="64"/>
        <v>0</v>
      </c>
      <c r="N59" s="130">
        <f t="shared" si="64"/>
        <v>0</v>
      </c>
      <c r="O59" s="130">
        <f t="shared" si="64"/>
        <v>0</v>
      </c>
      <c r="P59" s="130">
        <f t="shared" si="64"/>
        <v>0</v>
      </c>
      <c r="Q59" s="130">
        <f t="shared" si="64"/>
        <v>0</v>
      </c>
      <c r="R59" s="130">
        <f t="shared" si="64"/>
        <v>0</v>
      </c>
      <c r="S59" s="130">
        <f t="shared" si="64"/>
        <v>0</v>
      </c>
      <c r="T59" s="130">
        <f t="shared" si="64"/>
        <v>0</v>
      </c>
      <c r="U59" s="130">
        <f t="shared" si="64"/>
        <v>0</v>
      </c>
      <c r="V59" s="130">
        <f t="shared" si="64"/>
        <v>0</v>
      </c>
      <c r="W59" s="130">
        <f t="shared" si="64"/>
        <v>0</v>
      </c>
      <c r="X59" s="130">
        <f t="shared" si="64"/>
        <v>0</v>
      </c>
      <c r="Y59" s="130">
        <f t="shared" si="64"/>
        <v>0</v>
      </c>
      <c r="Z59" s="130">
        <f t="shared" si="64"/>
        <v>0</v>
      </c>
      <c r="AA59" s="130">
        <f t="shared" si="64"/>
        <v>0</v>
      </c>
      <c r="AB59" s="130">
        <f t="shared" si="64"/>
        <v>0</v>
      </c>
      <c r="AC59" s="130">
        <f t="shared" si="64"/>
        <v>0</v>
      </c>
      <c r="AD59" s="130">
        <f t="shared" si="64"/>
        <v>0</v>
      </c>
      <c r="AE59" s="130">
        <f t="shared" si="64"/>
        <v>0</v>
      </c>
      <c r="AF59" s="130">
        <f t="shared" si="64"/>
        <v>0</v>
      </c>
      <c r="AG59" s="130">
        <f t="shared" si="64"/>
        <v>0</v>
      </c>
      <c r="AH59" s="130">
        <f t="shared" si="64"/>
        <v>0</v>
      </c>
      <c r="AI59" s="130">
        <f t="shared" si="64"/>
        <v>0</v>
      </c>
      <c r="AJ59" s="130">
        <f t="shared" si="64"/>
        <v>0</v>
      </c>
      <c r="AK59" s="130">
        <f t="shared" si="64"/>
        <v>0</v>
      </c>
      <c r="AL59" s="130">
        <f t="shared" si="64"/>
        <v>0</v>
      </c>
      <c r="AM59" s="130">
        <f t="shared" si="64"/>
        <v>0</v>
      </c>
      <c r="AN59" s="130">
        <f t="shared" si="64"/>
        <v>0</v>
      </c>
      <c r="AO59" s="130">
        <f t="shared" si="64"/>
        <v>0</v>
      </c>
      <c r="AP59" s="130">
        <f t="shared" si="64"/>
        <v>0</v>
      </c>
      <c r="AQ59" s="130">
        <f t="shared" si="64"/>
        <v>0</v>
      </c>
      <c r="AR59" s="130">
        <f t="shared" si="64"/>
        <v>0</v>
      </c>
      <c r="AS59" s="130">
        <f t="shared" si="64"/>
        <v>0</v>
      </c>
      <c r="AT59" s="130">
        <f t="shared" si="64"/>
        <v>0</v>
      </c>
      <c r="AU59" s="130">
        <f t="shared" si="64"/>
        <v>0</v>
      </c>
      <c r="AV59" s="130">
        <f t="shared" si="64"/>
        <v>0</v>
      </c>
      <c r="AW59" s="130">
        <f t="shared" si="64"/>
        <v>0</v>
      </c>
      <c r="AX59" s="130">
        <f t="shared" si="64"/>
        <v>0</v>
      </c>
      <c r="AY59" s="130">
        <f t="shared" si="64"/>
        <v>0</v>
      </c>
      <c r="AZ59" s="130">
        <f t="shared" si="64"/>
        <v>0</v>
      </c>
      <c r="BA59" s="130">
        <f t="shared" si="64"/>
        <v>0</v>
      </c>
      <c r="BB59" s="130">
        <f t="shared" si="64"/>
        <v>0</v>
      </c>
      <c r="BC59" s="130">
        <f t="shared" si="64"/>
        <v>0</v>
      </c>
      <c r="BD59" s="130">
        <f t="shared" si="64"/>
        <v>0</v>
      </c>
      <c r="BE59" s="130">
        <f t="shared" si="64"/>
        <v>0</v>
      </c>
      <c r="BF59" s="130">
        <f t="shared" si="64"/>
        <v>0</v>
      </c>
      <c r="BG59" s="130">
        <f t="shared" si="64"/>
        <v>0</v>
      </c>
      <c r="BH59" s="130">
        <f t="shared" si="64"/>
        <v>0</v>
      </c>
      <c r="BI59" s="130">
        <f t="shared" si="64"/>
        <v>0</v>
      </c>
      <c r="BJ59" s="130">
        <f t="shared" si="64"/>
        <v>0</v>
      </c>
      <c r="BK59" s="130">
        <f t="shared" si="64"/>
        <v>0</v>
      </c>
      <c r="BL59" s="130">
        <f t="shared" si="64"/>
        <v>0</v>
      </c>
      <c r="BM59" s="130">
        <f t="shared" si="64"/>
        <v>0</v>
      </c>
      <c r="BN59" s="130">
        <f t="shared" si="64"/>
        <v>0</v>
      </c>
      <c r="BO59" s="130">
        <f t="shared" si="64"/>
        <v>0</v>
      </c>
      <c r="BP59" s="130">
        <f t="shared" si="64"/>
        <v>0</v>
      </c>
      <c r="BQ59" s="130">
        <f t="shared" si="64"/>
        <v>0</v>
      </c>
      <c r="BR59" s="130">
        <f t="shared" si="64"/>
        <v>0</v>
      </c>
      <c r="BS59" s="130">
        <f t="shared" si="64"/>
        <v>0</v>
      </c>
      <c r="BT59" s="130">
        <f t="shared" si="64"/>
        <v>0</v>
      </c>
      <c r="BU59" s="130">
        <f t="shared" si="64"/>
        <v>0</v>
      </c>
      <c r="BV59" s="130">
        <f t="shared" si="63"/>
        <v>0</v>
      </c>
      <c r="BW59" s="130">
        <f t="shared" si="63"/>
        <v>0</v>
      </c>
      <c r="BX59" s="130">
        <f t="shared" si="63"/>
        <v>0</v>
      </c>
      <c r="BY59" s="130">
        <f t="shared" si="63"/>
        <v>0</v>
      </c>
      <c r="BZ59" s="130">
        <f t="shared" si="63"/>
        <v>0</v>
      </c>
      <c r="CA59" s="130">
        <f t="shared" si="63"/>
        <v>0</v>
      </c>
      <c r="CB59" s="130">
        <f t="shared" si="63"/>
        <v>0</v>
      </c>
      <c r="CC59" s="130">
        <f t="shared" si="63"/>
        <v>0</v>
      </c>
      <c r="CD59" s="130">
        <f t="shared" si="63"/>
        <v>0</v>
      </c>
      <c r="CE59" s="130">
        <f t="shared" si="63"/>
        <v>0</v>
      </c>
      <c r="CF59" s="130">
        <f t="shared" si="63"/>
        <v>0</v>
      </c>
      <c r="CG59" s="130">
        <f t="shared" si="63"/>
        <v>0</v>
      </c>
      <c r="CH59" s="130">
        <f t="shared" si="63"/>
        <v>0</v>
      </c>
      <c r="CI59" s="130">
        <f t="shared" si="63"/>
        <v>0</v>
      </c>
      <c r="CJ59" s="130">
        <f t="shared" si="63"/>
        <v>0</v>
      </c>
      <c r="CK59" s="130">
        <f t="shared" si="63"/>
        <v>0</v>
      </c>
      <c r="CL59" s="130">
        <f t="shared" si="63"/>
        <v>0</v>
      </c>
      <c r="CM59" s="130">
        <f t="shared" si="63"/>
        <v>0</v>
      </c>
      <c r="CN59" s="130">
        <f t="shared" si="63"/>
        <v>0</v>
      </c>
      <c r="CO59" s="130">
        <f t="shared" si="63"/>
        <v>0</v>
      </c>
      <c r="CP59" s="130">
        <f t="shared" si="63"/>
        <v>0</v>
      </c>
      <c r="CQ59" s="130">
        <f t="shared" si="63"/>
        <v>0</v>
      </c>
      <c r="CR59" s="130">
        <f t="shared" si="63"/>
        <v>0</v>
      </c>
      <c r="CS59" s="130">
        <f t="shared" si="63"/>
        <v>0</v>
      </c>
      <c r="CT59" s="130">
        <f t="shared" si="63"/>
        <v>0</v>
      </c>
      <c r="CU59" s="130">
        <f t="shared" si="63"/>
        <v>0</v>
      </c>
      <c r="CV59" s="130">
        <f t="shared" si="63"/>
        <v>0</v>
      </c>
      <c r="CW59" s="130">
        <f t="shared" si="63"/>
        <v>0</v>
      </c>
      <c r="CX59" s="130">
        <f t="shared" si="63"/>
        <v>0</v>
      </c>
      <c r="CY59" s="130">
        <f t="shared" si="63"/>
        <v>0</v>
      </c>
      <c r="CZ59" s="130">
        <f t="shared" si="63"/>
        <v>0</v>
      </c>
    </row>
    <row r="60" spans="2:104" x14ac:dyDescent="0.35">
      <c r="B60" s="131" t="str">
        <f>'Development Costs'!B39</f>
        <v>Disbursements</v>
      </c>
      <c r="C60" s="130">
        <f>-'Development Costs'!H39</f>
        <v>0</v>
      </c>
      <c r="D60" s="130">
        <f t="shared" si="52"/>
        <v>0</v>
      </c>
      <c r="E60" s="130">
        <f t="shared" si="49"/>
        <v>0</v>
      </c>
      <c r="F60" s="304">
        <f t="shared" si="53"/>
        <v>44593</v>
      </c>
      <c r="G60" s="304">
        <f t="shared" si="53"/>
        <v>45536</v>
      </c>
      <c r="H60" s="141">
        <f t="shared" si="54"/>
        <v>32</v>
      </c>
      <c r="I60" s="130">
        <f t="shared" si="55"/>
        <v>0</v>
      </c>
      <c r="J60" s="130">
        <f t="shared" si="64"/>
        <v>0</v>
      </c>
      <c r="K60" s="130">
        <f t="shared" si="64"/>
        <v>0</v>
      </c>
      <c r="L60" s="130">
        <f t="shared" si="64"/>
        <v>0</v>
      </c>
      <c r="M60" s="130">
        <f t="shared" si="64"/>
        <v>0</v>
      </c>
      <c r="N60" s="130">
        <f t="shared" si="64"/>
        <v>0</v>
      </c>
      <c r="O60" s="130">
        <f t="shared" si="64"/>
        <v>0</v>
      </c>
      <c r="P60" s="130">
        <f t="shared" si="64"/>
        <v>0</v>
      </c>
      <c r="Q60" s="130">
        <f t="shared" si="64"/>
        <v>0</v>
      </c>
      <c r="R60" s="130">
        <f t="shared" si="64"/>
        <v>0</v>
      </c>
      <c r="S60" s="130">
        <f t="shared" si="64"/>
        <v>0</v>
      </c>
      <c r="T60" s="130">
        <f t="shared" si="64"/>
        <v>0</v>
      </c>
      <c r="U60" s="130">
        <f t="shared" si="64"/>
        <v>0</v>
      </c>
      <c r="V60" s="130">
        <f t="shared" si="64"/>
        <v>0</v>
      </c>
      <c r="W60" s="130">
        <f t="shared" si="64"/>
        <v>0</v>
      </c>
      <c r="X60" s="130">
        <f t="shared" si="64"/>
        <v>0</v>
      </c>
      <c r="Y60" s="130">
        <f t="shared" si="64"/>
        <v>0</v>
      </c>
      <c r="Z60" s="130">
        <f t="shared" si="64"/>
        <v>0</v>
      </c>
      <c r="AA60" s="130">
        <f t="shared" si="64"/>
        <v>0</v>
      </c>
      <c r="AB60" s="130">
        <f t="shared" si="64"/>
        <v>0</v>
      </c>
      <c r="AC60" s="130">
        <f t="shared" si="64"/>
        <v>0</v>
      </c>
      <c r="AD60" s="130">
        <f t="shared" si="64"/>
        <v>0</v>
      </c>
      <c r="AE60" s="130">
        <f t="shared" si="64"/>
        <v>0</v>
      </c>
      <c r="AF60" s="130">
        <f t="shared" si="64"/>
        <v>0</v>
      </c>
      <c r="AG60" s="130">
        <f t="shared" si="64"/>
        <v>0</v>
      </c>
      <c r="AH60" s="130">
        <f t="shared" si="64"/>
        <v>0</v>
      </c>
      <c r="AI60" s="130">
        <f t="shared" si="64"/>
        <v>0</v>
      </c>
      <c r="AJ60" s="130">
        <f t="shared" si="64"/>
        <v>0</v>
      </c>
      <c r="AK60" s="130">
        <f t="shared" si="64"/>
        <v>0</v>
      </c>
      <c r="AL60" s="130">
        <f t="shared" si="64"/>
        <v>0</v>
      </c>
      <c r="AM60" s="130">
        <f t="shared" si="64"/>
        <v>0</v>
      </c>
      <c r="AN60" s="130">
        <f t="shared" si="64"/>
        <v>0</v>
      </c>
      <c r="AO60" s="130">
        <f t="shared" si="64"/>
        <v>0</v>
      </c>
      <c r="AP60" s="130">
        <f t="shared" si="64"/>
        <v>0</v>
      </c>
      <c r="AQ60" s="130">
        <f t="shared" si="64"/>
        <v>0</v>
      </c>
      <c r="AR60" s="130">
        <f t="shared" si="64"/>
        <v>0</v>
      </c>
      <c r="AS60" s="130">
        <f t="shared" si="64"/>
        <v>0</v>
      </c>
      <c r="AT60" s="130">
        <f t="shared" si="64"/>
        <v>0</v>
      </c>
      <c r="AU60" s="130">
        <f t="shared" si="64"/>
        <v>0</v>
      </c>
      <c r="AV60" s="130">
        <f t="shared" si="64"/>
        <v>0</v>
      </c>
      <c r="AW60" s="130">
        <f t="shared" si="64"/>
        <v>0</v>
      </c>
      <c r="AX60" s="130">
        <f t="shared" si="64"/>
        <v>0</v>
      </c>
      <c r="AY60" s="130">
        <f t="shared" si="64"/>
        <v>0</v>
      </c>
      <c r="AZ60" s="130">
        <f t="shared" si="64"/>
        <v>0</v>
      </c>
      <c r="BA60" s="130">
        <f t="shared" si="64"/>
        <v>0</v>
      </c>
      <c r="BB60" s="130">
        <f t="shared" si="64"/>
        <v>0</v>
      </c>
      <c r="BC60" s="130">
        <f t="shared" si="64"/>
        <v>0</v>
      </c>
      <c r="BD60" s="130">
        <f t="shared" si="64"/>
        <v>0</v>
      </c>
      <c r="BE60" s="130">
        <f t="shared" si="64"/>
        <v>0</v>
      </c>
      <c r="BF60" s="130">
        <f t="shared" si="64"/>
        <v>0</v>
      </c>
      <c r="BG60" s="130">
        <f t="shared" si="64"/>
        <v>0</v>
      </c>
      <c r="BH60" s="130">
        <f t="shared" si="64"/>
        <v>0</v>
      </c>
      <c r="BI60" s="130">
        <f t="shared" si="64"/>
        <v>0</v>
      </c>
      <c r="BJ60" s="130">
        <f t="shared" si="64"/>
        <v>0</v>
      </c>
      <c r="BK60" s="130">
        <f t="shared" si="64"/>
        <v>0</v>
      </c>
      <c r="BL60" s="130">
        <f t="shared" si="64"/>
        <v>0</v>
      </c>
      <c r="BM60" s="130">
        <f t="shared" si="64"/>
        <v>0</v>
      </c>
      <c r="BN60" s="130">
        <f t="shared" si="64"/>
        <v>0</v>
      </c>
      <c r="BO60" s="130">
        <f t="shared" si="64"/>
        <v>0</v>
      </c>
      <c r="BP60" s="130">
        <f t="shared" si="64"/>
        <v>0</v>
      </c>
      <c r="BQ60" s="130">
        <f t="shared" si="64"/>
        <v>0</v>
      </c>
      <c r="BR60" s="130">
        <f t="shared" si="64"/>
        <v>0</v>
      </c>
      <c r="BS60" s="130">
        <f t="shared" si="64"/>
        <v>0</v>
      </c>
      <c r="BT60" s="130">
        <f t="shared" si="64"/>
        <v>0</v>
      </c>
      <c r="BU60" s="130">
        <f t="shared" ref="BU60:CZ61" si="65">IF(AND(BU$7&lt;=$G60,BU$7&gt;=$F60,$H60&lt;&gt;0,$H60&lt;&gt;""),$C60/$H60,0)</f>
        <v>0</v>
      </c>
      <c r="BV60" s="130">
        <f t="shared" si="65"/>
        <v>0</v>
      </c>
      <c r="BW60" s="130">
        <f t="shared" si="65"/>
        <v>0</v>
      </c>
      <c r="BX60" s="130">
        <f t="shared" si="65"/>
        <v>0</v>
      </c>
      <c r="BY60" s="130">
        <f t="shared" si="65"/>
        <v>0</v>
      </c>
      <c r="BZ60" s="130">
        <f t="shared" si="65"/>
        <v>0</v>
      </c>
      <c r="CA60" s="130">
        <f t="shared" si="65"/>
        <v>0</v>
      </c>
      <c r="CB60" s="130">
        <f t="shared" si="65"/>
        <v>0</v>
      </c>
      <c r="CC60" s="130">
        <f t="shared" si="65"/>
        <v>0</v>
      </c>
      <c r="CD60" s="130">
        <f t="shared" si="65"/>
        <v>0</v>
      </c>
      <c r="CE60" s="130">
        <f t="shared" si="65"/>
        <v>0</v>
      </c>
      <c r="CF60" s="130">
        <f t="shared" si="65"/>
        <v>0</v>
      </c>
      <c r="CG60" s="130">
        <f t="shared" si="65"/>
        <v>0</v>
      </c>
      <c r="CH60" s="130">
        <f t="shared" si="65"/>
        <v>0</v>
      </c>
      <c r="CI60" s="130">
        <f t="shared" si="65"/>
        <v>0</v>
      </c>
      <c r="CJ60" s="130">
        <f t="shared" si="65"/>
        <v>0</v>
      </c>
      <c r="CK60" s="130">
        <f t="shared" si="65"/>
        <v>0</v>
      </c>
      <c r="CL60" s="130">
        <f t="shared" si="65"/>
        <v>0</v>
      </c>
      <c r="CM60" s="130">
        <f t="shared" si="65"/>
        <v>0</v>
      </c>
      <c r="CN60" s="130">
        <f t="shared" si="65"/>
        <v>0</v>
      </c>
      <c r="CO60" s="130">
        <f t="shared" si="65"/>
        <v>0</v>
      </c>
      <c r="CP60" s="130">
        <f t="shared" si="65"/>
        <v>0</v>
      </c>
      <c r="CQ60" s="130">
        <f t="shared" si="65"/>
        <v>0</v>
      </c>
      <c r="CR60" s="130">
        <f t="shared" si="65"/>
        <v>0</v>
      </c>
      <c r="CS60" s="130">
        <f t="shared" si="65"/>
        <v>0</v>
      </c>
      <c r="CT60" s="130">
        <f t="shared" si="65"/>
        <v>0</v>
      </c>
      <c r="CU60" s="130">
        <f t="shared" si="65"/>
        <v>0</v>
      </c>
      <c r="CV60" s="130">
        <f t="shared" si="65"/>
        <v>0</v>
      </c>
      <c r="CW60" s="130">
        <f t="shared" si="65"/>
        <v>0</v>
      </c>
      <c r="CX60" s="130">
        <f t="shared" si="65"/>
        <v>0</v>
      </c>
      <c r="CY60" s="130">
        <f t="shared" si="65"/>
        <v>0</v>
      </c>
      <c r="CZ60" s="130">
        <f t="shared" si="65"/>
        <v>0</v>
      </c>
    </row>
    <row r="61" spans="2:104" x14ac:dyDescent="0.35">
      <c r="B61" s="131" t="str">
        <f>'Development Costs'!B40</f>
        <v>Professional fee contingency</v>
      </c>
      <c r="C61" s="130">
        <f>-'Development Costs'!H40</f>
        <v>-129000</v>
      </c>
      <c r="D61" s="130">
        <f t="shared" si="52"/>
        <v>0</v>
      </c>
      <c r="E61" s="130">
        <f t="shared" si="49"/>
        <v>-129000</v>
      </c>
      <c r="F61" s="304">
        <f t="shared" ref="F61:G61" si="66">F$47</f>
        <v>44593</v>
      </c>
      <c r="G61" s="304">
        <f t="shared" si="66"/>
        <v>45536</v>
      </c>
      <c r="H61" s="141">
        <f t="shared" si="54"/>
        <v>32</v>
      </c>
      <c r="I61" s="130">
        <f t="shared" si="55"/>
        <v>0</v>
      </c>
      <c r="J61" s="130">
        <f t="shared" ref="J61:BU61" si="67">IF(AND(J$7&lt;=$G61,J$7&gt;=$F61,$H61&lt;&gt;0,$H61&lt;&gt;""),$C61/$H61,0)</f>
        <v>-4031.25</v>
      </c>
      <c r="K61" s="130">
        <f t="shared" si="67"/>
        <v>-4031.25</v>
      </c>
      <c r="L61" s="130">
        <f t="shared" si="67"/>
        <v>-4031.25</v>
      </c>
      <c r="M61" s="130">
        <f t="shared" si="67"/>
        <v>-4031.25</v>
      </c>
      <c r="N61" s="130">
        <f t="shared" si="67"/>
        <v>-4031.25</v>
      </c>
      <c r="O61" s="130">
        <f t="shared" si="67"/>
        <v>-4031.25</v>
      </c>
      <c r="P61" s="130">
        <f t="shared" si="67"/>
        <v>-4031.25</v>
      </c>
      <c r="Q61" s="130">
        <f t="shared" si="67"/>
        <v>-4031.25</v>
      </c>
      <c r="R61" s="130">
        <f t="shared" si="67"/>
        <v>-4031.25</v>
      </c>
      <c r="S61" s="130">
        <f t="shared" si="67"/>
        <v>-4031.25</v>
      </c>
      <c r="T61" s="130">
        <f t="shared" si="67"/>
        <v>-4031.25</v>
      </c>
      <c r="U61" s="130">
        <f t="shared" si="67"/>
        <v>-4031.25</v>
      </c>
      <c r="V61" s="130">
        <f t="shared" si="67"/>
        <v>-4031.25</v>
      </c>
      <c r="W61" s="130">
        <f t="shared" si="67"/>
        <v>-4031.25</v>
      </c>
      <c r="X61" s="130">
        <f t="shared" si="67"/>
        <v>-4031.25</v>
      </c>
      <c r="Y61" s="130">
        <f t="shared" si="67"/>
        <v>-4031.25</v>
      </c>
      <c r="Z61" s="130">
        <f t="shared" si="67"/>
        <v>-4031.25</v>
      </c>
      <c r="AA61" s="130">
        <f t="shared" si="67"/>
        <v>-4031.25</v>
      </c>
      <c r="AB61" s="130">
        <f t="shared" si="67"/>
        <v>-4031.25</v>
      </c>
      <c r="AC61" s="130">
        <f t="shared" si="67"/>
        <v>-4031.25</v>
      </c>
      <c r="AD61" s="130">
        <f t="shared" si="67"/>
        <v>-4031.25</v>
      </c>
      <c r="AE61" s="130">
        <f t="shared" si="67"/>
        <v>-4031.25</v>
      </c>
      <c r="AF61" s="130">
        <f t="shared" si="67"/>
        <v>-4031.25</v>
      </c>
      <c r="AG61" s="130">
        <f t="shared" si="67"/>
        <v>-4031.25</v>
      </c>
      <c r="AH61" s="130">
        <f t="shared" si="67"/>
        <v>-4031.25</v>
      </c>
      <c r="AI61" s="130">
        <f t="shared" si="67"/>
        <v>-4031.25</v>
      </c>
      <c r="AJ61" s="130">
        <f t="shared" si="67"/>
        <v>-4031.25</v>
      </c>
      <c r="AK61" s="130">
        <f t="shared" si="67"/>
        <v>-4031.25</v>
      </c>
      <c r="AL61" s="130">
        <f t="shared" si="67"/>
        <v>-4031.25</v>
      </c>
      <c r="AM61" s="130">
        <f t="shared" si="67"/>
        <v>-4031.25</v>
      </c>
      <c r="AN61" s="130">
        <f t="shared" si="67"/>
        <v>-4031.25</v>
      </c>
      <c r="AO61" s="130">
        <f t="shared" si="67"/>
        <v>-4031.25</v>
      </c>
      <c r="AP61" s="130">
        <f t="shared" si="67"/>
        <v>0</v>
      </c>
      <c r="AQ61" s="130">
        <f t="shared" si="67"/>
        <v>0</v>
      </c>
      <c r="AR61" s="130">
        <f t="shared" si="67"/>
        <v>0</v>
      </c>
      <c r="AS61" s="130">
        <f t="shared" si="67"/>
        <v>0</v>
      </c>
      <c r="AT61" s="130">
        <f t="shared" si="67"/>
        <v>0</v>
      </c>
      <c r="AU61" s="130">
        <f t="shared" si="67"/>
        <v>0</v>
      </c>
      <c r="AV61" s="130">
        <f t="shared" si="67"/>
        <v>0</v>
      </c>
      <c r="AW61" s="130">
        <f t="shared" si="67"/>
        <v>0</v>
      </c>
      <c r="AX61" s="130">
        <f t="shared" si="67"/>
        <v>0</v>
      </c>
      <c r="AY61" s="130">
        <f t="shared" si="67"/>
        <v>0</v>
      </c>
      <c r="AZ61" s="130">
        <f t="shared" si="67"/>
        <v>0</v>
      </c>
      <c r="BA61" s="130">
        <f t="shared" si="67"/>
        <v>0</v>
      </c>
      <c r="BB61" s="130">
        <f t="shared" si="67"/>
        <v>0</v>
      </c>
      <c r="BC61" s="130">
        <f t="shared" si="67"/>
        <v>0</v>
      </c>
      <c r="BD61" s="130">
        <f t="shared" si="67"/>
        <v>0</v>
      </c>
      <c r="BE61" s="130">
        <f t="shared" si="67"/>
        <v>0</v>
      </c>
      <c r="BF61" s="130">
        <f t="shared" si="67"/>
        <v>0</v>
      </c>
      <c r="BG61" s="130">
        <f t="shared" si="67"/>
        <v>0</v>
      </c>
      <c r="BH61" s="130">
        <f t="shared" si="67"/>
        <v>0</v>
      </c>
      <c r="BI61" s="130">
        <f t="shared" si="67"/>
        <v>0</v>
      </c>
      <c r="BJ61" s="130">
        <f t="shared" si="67"/>
        <v>0</v>
      </c>
      <c r="BK61" s="130">
        <f t="shared" si="67"/>
        <v>0</v>
      </c>
      <c r="BL61" s="130">
        <f t="shared" si="67"/>
        <v>0</v>
      </c>
      <c r="BM61" s="130">
        <f t="shared" si="67"/>
        <v>0</v>
      </c>
      <c r="BN61" s="130">
        <f t="shared" si="67"/>
        <v>0</v>
      </c>
      <c r="BO61" s="130">
        <f t="shared" si="67"/>
        <v>0</v>
      </c>
      <c r="BP61" s="130">
        <f t="shared" si="67"/>
        <v>0</v>
      </c>
      <c r="BQ61" s="130">
        <f t="shared" si="67"/>
        <v>0</v>
      </c>
      <c r="BR61" s="130">
        <f t="shared" si="67"/>
        <v>0</v>
      </c>
      <c r="BS61" s="130">
        <f t="shared" si="67"/>
        <v>0</v>
      </c>
      <c r="BT61" s="130">
        <f t="shared" si="67"/>
        <v>0</v>
      </c>
      <c r="BU61" s="130">
        <f t="shared" si="67"/>
        <v>0</v>
      </c>
      <c r="BV61" s="130">
        <f t="shared" si="65"/>
        <v>0</v>
      </c>
      <c r="BW61" s="130">
        <f t="shared" si="65"/>
        <v>0</v>
      </c>
      <c r="BX61" s="130">
        <f t="shared" si="65"/>
        <v>0</v>
      </c>
      <c r="BY61" s="130">
        <f t="shared" si="65"/>
        <v>0</v>
      </c>
      <c r="BZ61" s="130">
        <f t="shared" si="65"/>
        <v>0</v>
      </c>
      <c r="CA61" s="130">
        <f t="shared" si="65"/>
        <v>0</v>
      </c>
      <c r="CB61" s="130">
        <f t="shared" si="65"/>
        <v>0</v>
      </c>
      <c r="CC61" s="130">
        <f t="shared" si="65"/>
        <v>0</v>
      </c>
      <c r="CD61" s="130">
        <f t="shared" si="65"/>
        <v>0</v>
      </c>
      <c r="CE61" s="130">
        <f t="shared" si="65"/>
        <v>0</v>
      </c>
      <c r="CF61" s="130">
        <f t="shared" si="65"/>
        <v>0</v>
      </c>
      <c r="CG61" s="130">
        <f t="shared" si="65"/>
        <v>0</v>
      </c>
      <c r="CH61" s="130">
        <f t="shared" si="65"/>
        <v>0</v>
      </c>
      <c r="CI61" s="130">
        <f t="shared" si="65"/>
        <v>0</v>
      </c>
      <c r="CJ61" s="130">
        <f t="shared" si="65"/>
        <v>0</v>
      </c>
      <c r="CK61" s="130">
        <f t="shared" si="65"/>
        <v>0</v>
      </c>
      <c r="CL61" s="130">
        <f t="shared" si="65"/>
        <v>0</v>
      </c>
      <c r="CM61" s="130">
        <f t="shared" si="65"/>
        <v>0</v>
      </c>
      <c r="CN61" s="130">
        <f t="shared" si="65"/>
        <v>0</v>
      </c>
      <c r="CO61" s="130">
        <f t="shared" si="65"/>
        <v>0</v>
      </c>
      <c r="CP61" s="130">
        <f t="shared" si="65"/>
        <v>0</v>
      </c>
      <c r="CQ61" s="130">
        <f t="shared" si="65"/>
        <v>0</v>
      </c>
      <c r="CR61" s="130">
        <f t="shared" si="65"/>
        <v>0</v>
      </c>
      <c r="CS61" s="130">
        <f t="shared" si="65"/>
        <v>0</v>
      </c>
      <c r="CT61" s="130">
        <f t="shared" si="65"/>
        <v>0</v>
      </c>
      <c r="CU61" s="130">
        <f t="shared" si="65"/>
        <v>0</v>
      </c>
      <c r="CV61" s="130">
        <f t="shared" si="65"/>
        <v>0</v>
      </c>
      <c r="CW61" s="130">
        <f t="shared" si="65"/>
        <v>0</v>
      </c>
      <c r="CX61" s="130">
        <f t="shared" si="65"/>
        <v>0</v>
      </c>
      <c r="CY61" s="130">
        <f t="shared" si="65"/>
        <v>0</v>
      </c>
      <c r="CZ61" s="130">
        <f t="shared" si="65"/>
        <v>0</v>
      </c>
    </row>
    <row r="62" spans="2:104" x14ac:dyDescent="0.35">
      <c r="B62" s="143" t="str">
        <f>'Development Costs'!B41</f>
        <v>Total Professional Fees</v>
      </c>
      <c r="C62" s="144">
        <f>SUM(C47:C61)</f>
        <v>-1419000</v>
      </c>
      <c r="D62" s="369">
        <f t="shared" ref="D62" si="68">C62-E62</f>
        <v>0</v>
      </c>
      <c r="E62" s="144">
        <f t="shared" si="49"/>
        <v>-1419000</v>
      </c>
      <c r="F62" s="145"/>
      <c r="G62" s="146"/>
      <c r="H62" s="147"/>
      <c r="I62" s="144">
        <f t="shared" ref="I62:AN62" si="69">SUM(I47:I61)</f>
        <v>0</v>
      </c>
      <c r="J62" s="144">
        <f t="shared" si="69"/>
        <v>-44343.75</v>
      </c>
      <c r="K62" s="144">
        <f t="shared" si="69"/>
        <v>-44343.75</v>
      </c>
      <c r="L62" s="144">
        <f t="shared" si="69"/>
        <v>-44343.75</v>
      </c>
      <c r="M62" s="144">
        <f t="shared" si="69"/>
        <v>-44343.75</v>
      </c>
      <c r="N62" s="144">
        <f t="shared" si="69"/>
        <v>-44343.75</v>
      </c>
      <c r="O62" s="144">
        <f t="shared" si="69"/>
        <v>-44343.75</v>
      </c>
      <c r="P62" s="144">
        <f t="shared" si="69"/>
        <v>-44343.75</v>
      </c>
      <c r="Q62" s="144">
        <f t="shared" si="69"/>
        <v>-44343.75</v>
      </c>
      <c r="R62" s="144">
        <f t="shared" si="69"/>
        <v>-44343.75</v>
      </c>
      <c r="S62" s="144">
        <f t="shared" si="69"/>
        <v>-44343.75</v>
      </c>
      <c r="T62" s="144">
        <f t="shared" si="69"/>
        <v>-44343.75</v>
      </c>
      <c r="U62" s="144">
        <f t="shared" si="69"/>
        <v>-44343.75</v>
      </c>
      <c r="V62" s="144">
        <f t="shared" si="69"/>
        <v>-44343.75</v>
      </c>
      <c r="W62" s="144">
        <f t="shared" si="69"/>
        <v>-44343.75</v>
      </c>
      <c r="X62" s="144">
        <f t="shared" si="69"/>
        <v>-44343.75</v>
      </c>
      <c r="Y62" s="144">
        <f t="shared" si="69"/>
        <v>-44343.75</v>
      </c>
      <c r="Z62" s="144">
        <f t="shared" si="69"/>
        <v>-44343.75</v>
      </c>
      <c r="AA62" s="144">
        <f t="shared" si="69"/>
        <v>-44343.75</v>
      </c>
      <c r="AB62" s="144">
        <f t="shared" si="69"/>
        <v>-44343.75</v>
      </c>
      <c r="AC62" s="144">
        <f t="shared" si="69"/>
        <v>-44343.75</v>
      </c>
      <c r="AD62" s="144">
        <f t="shared" si="69"/>
        <v>-44343.75</v>
      </c>
      <c r="AE62" s="144">
        <f t="shared" si="69"/>
        <v>-44343.75</v>
      </c>
      <c r="AF62" s="144">
        <f t="shared" si="69"/>
        <v>-44343.75</v>
      </c>
      <c r="AG62" s="144">
        <f t="shared" si="69"/>
        <v>-44343.75</v>
      </c>
      <c r="AH62" s="144">
        <f t="shared" si="69"/>
        <v>-44343.75</v>
      </c>
      <c r="AI62" s="144">
        <f t="shared" si="69"/>
        <v>-44343.75</v>
      </c>
      <c r="AJ62" s="144">
        <f t="shared" si="69"/>
        <v>-44343.75</v>
      </c>
      <c r="AK62" s="144">
        <f t="shared" si="69"/>
        <v>-44343.75</v>
      </c>
      <c r="AL62" s="144">
        <f t="shared" si="69"/>
        <v>-44343.75</v>
      </c>
      <c r="AM62" s="144">
        <f t="shared" si="69"/>
        <v>-44343.75</v>
      </c>
      <c r="AN62" s="144">
        <f t="shared" si="69"/>
        <v>-44343.75</v>
      </c>
      <c r="AO62" s="144">
        <f t="shared" ref="AO62:BT62" si="70">SUM(AO47:AO61)</f>
        <v>-44343.75</v>
      </c>
      <c r="AP62" s="144">
        <f t="shared" si="70"/>
        <v>0</v>
      </c>
      <c r="AQ62" s="144">
        <f t="shared" si="70"/>
        <v>0</v>
      </c>
      <c r="AR62" s="144">
        <f t="shared" si="70"/>
        <v>0</v>
      </c>
      <c r="AS62" s="144">
        <f t="shared" si="70"/>
        <v>0</v>
      </c>
      <c r="AT62" s="144">
        <f t="shared" si="70"/>
        <v>0</v>
      </c>
      <c r="AU62" s="144">
        <f t="shared" si="70"/>
        <v>0</v>
      </c>
      <c r="AV62" s="144">
        <f t="shared" si="70"/>
        <v>0</v>
      </c>
      <c r="AW62" s="144">
        <f t="shared" si="70"/>
        <v>0</v>
      </c>
      <c r="AX62" s="144">
        <f t="shared" si="70"/>
        <v>0</v>
      </c>
      <c r="AY62" s="144">
        <f t="shared" si="70"/>
        <v>0</v>
      </c>
      <c r="AZ62" s="144">
        <f t="shared" si="70"/>
        <v>0</v>
      </c>
      <c r="BA62" s="144">
        <f t="shared" si="70"/>
        <v>0</v>
      </c>
      <c r="BB62" s="144">
        <f t="shared" si="70"/>
        <v>0</v>
      </c>
      <c r="BC62" s="144">
        <f t="shared" si="70"/>
        <v>0</v>
      </c>
      <c r="BD62" s="144">
        <f t="shared" si="70"/>
        <v>0</v>
      </c>
      <c r="BE62" s="144">
        <f t="shared" si="70"/>
        <v>0</v>
      </c>
      <c r="BF62" s="144">
        <f t="shared" si="70"/>
        <v>0</v>
      </c>
      <c r="BG62" s="144">
        <f t="shared" si="70"/>
        <v>0</v>
      </c>
      <c r="BH62" s="144">
        <f t="shared" si="70"/>
        <v>0</v>
      </c>
      <c r="BI62" s="144">
        <f t="shared" si="70"/>
        <v>0</v>
      </c>
      <c r="BJ62" s="144">
        <f t="shared" si="70"/>
        <v>0</v>
      </c>
      <c r="BK62" s="144">
        <f t="shared" si="70"/>
        <v>0</v>
      </c>
      <c r="BL62" s="144">
        <f t="shared" si="70"/>
        <v>0</v>
      </c>
      <c r="BM62" s="144">
        <f t="shared" si="70"/>
        <v>0</v>
      </c>
      <c r="BN62" s="144">
        <f t="shared" si="70"/>
        <v>0</v>
      </c>
      <c r="BO62" s="144">
        <f t="shared" si="70"/>
        <v>0</v>
      </c>
      <c r="BP62" s="144">
        <f t="shared" si="70"/>
        <v>0</v>
      </c>
      <c r="BQ62" s="144">
        <f t="shared" si="70"/>
        <v>0</v>
      </c>
      <c r="BR62" s="144">
        <f t="shared" si="70"/>
        <v>0</v>
      </c>
      <c r="BS62" s="144">
        <f t="shared" si="70"/>
        <v>0</v>
      </c>
      <c r="BT62" s="144">
        <f t="shared" si="70"/>
        <v>0</v>
      </c>
      <c r="BU62" s="144">
        <f t="shared" ref="BU62:CZ62" si="71">SUM(BU47:BU61)</f>
        <v>0</v>
      </c>
      <c r="BV62" s="144">
        <f t="shared" si="71"/>
        <v>0</v>
      </c>
      <c r="BW62" s="144">
        <f t="shared" si="71"/>
        <v>0</v>
      </c>
      <c r="BX62" s="144">
        <f t="shared" si="71"/>
        <v>0</v>
      </c>
      <c r="BY62" s="144">
        <f t="shared" si="71"/>
        <v>0</v>
      </c>
      <c r="BZ62" s="144">
        <f t="shared" si="71"/>
        <v>0</v>
      </c>
      <c r="CA62" s="144">
        <f t="shared" si="71"/>
        <v>0</v>
      </c>
      <c r="CB62" s="144">
        <f t="shared" si="71"/>
        <v>0</v>
      </c>
      <c r="CC62" s="144">
        <f t="shared" si="71"/>
        <v>0</v>
      </c>
      <c r="CD62" s="144">
        <f t="shared" si="71"/>
        <v>0</v>
      </c>
      <c r="CE62" s="144">
        <f t="shared" si="71"/>
        <v>0</v>
      </c>
      <c r="CF62" s="144">
        <f t="shared" si="71"/>
        <v>0</v>
      </c>
      <c r="CG62" s="144">
        <f t="shared" si="71"/>
        <v>0</v>
      </c>
      <c r="CH62" s="144">
        <f t="shared" si="71"/>
        <v>0</v>
      </c>
      <c r="CI62" s="144">
        <f t="shared" si="71"/>
        <v>0</v>
      </c>
      <c r="CJ62" s="144">
        <f t="shared" si="71"/>
        <v>0</v>
      </c>
      <c r="CK62" s="144">
        <f t="shared" si="71"/>
        <v>0</v>
      </c>
      <c r="CL62" s="144">
        <f t="shared" si="71"/>
        <v>0</v>
      </c>
      <c r="CM62" s="144">
        <f t="shared" si="71"/>
        <v>0</v>
      </c>
      <c r="CN62" s="144">
        <f t="shared" si="71"/>
        <v>0</v>
      </c>
      <c r="CO62" s="144">
        <f t="shared" si="71"/>
        <v>0</v>
      </c>
      <c r="CP62" s="144">
        <f t="shared" si="71"/>
        <v>0</v>
      </c>
      <c r="CQ62" s="144">
        <f t="shared" si="71"/>
        <v>0</v>
      </c>
      <c r="CR62" s="144">
        <f t="shared" si="71"/>
        <v>0</v>
      </c>
      <c r="CS62" s="144">
        <f t="shared" si="71"/>
        <v>0</v>
      </c>
      <c r="CT62" s="144">
        <f t="shared" si="71"/>
        <v>0</v>
      </c>
      <c r="CU62" s="144">
        <f t="shared" si="71"/>
        <v>0</v>
      </c>
      <c r="CV62" s="144">
        <f t="shared" si="71"/>
        <v>0</v>
      </c>
      <c r="CW62" s="144">
        <f t="shared" si="71"/>
        <v>0</v>
      </c>
      <c r="CX62" s="144">
        <f t="shared" si="71"/>
        <v>0</v>
      </c>
      <c r="CY62" s="144">
        <f t="shared" si="71"/>
        <v>0</v>
      </c>
      <c r="CZ62" s="144">
        <f t="shared" si="71"/>
        <v>0</v>
      </c>
    </row>
    <row r="63" spans="2:104" x14ac:dyDescent="0.35">
      <c r="B63" s="131"/>
      <c r="C63" s="130"/>
      <c r="D63" s="130"/>
      <c r="E63" s="130"/>
      <c r="F63" s="35"/>
      <c r="H63" s="139"/>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30"/>
      <c r="BT63" s="130"/>
      <c r="BU63" s="130"/>
      <c r="BV63" s="130"/>
      <c r="BW63" s="130"/>
      <c r="BX63" s="130"/>
      <c r="BY63" s="130"/>
      <c r="BZ63" s="130"/>
      <c r="CA63" s="130"/>
      <c r="CB63" s="130"/>
      <c r="CC63" s="130"/>
      <c r="CD63" s="130"/>
      <c r="CE63" s="130"/>
      <c r="CF63" s="130"/>
      <c r="CG63" s="130"/>
      <c r="CH63" s="130"/>
      <c r="CI63" s="130"/>
      <c r="CJ63" s="130"/>
      <c r="CK63" s="130"/>
      <c r="CL63" s="130"/>
      <c r="CM63" s="130"/>
      <c r="CN63" s="130"/>
      <c r="CO63" s="130"/>
      <c r="CP63" s="130"/>
      <c r="CQ63" s="130"/>
      <c r="CR63" s="130"/>
      <c r="CS63" s="130"/>
      <c r="CT63" s="130"/>
      <c r="CU63" s="130"/>
      <c r="CV63" s="130"/>
      <c r="CW63" s="130"/>
      <c r="CX63" s="130"/>
      <c r="CY63" s="130"/>
      <c r="CZ63" s="130"/>
    </row>
    <row r="64" spans="2:104" x14ac:dyDescent="0.35">
      <c r="B64" s="142" t="s">
        <v>141</v>
      </c>
      <c r="C64" s="133"/>
      <c r="D64" s="37"/>
      <c r="E64" s="38"/>
      <c r="F64" s="38"/>
      <c r="G64" s="119"/>
      <c r="H64" s="138"/>
      <c r="I64" s="133"/>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row>
    <row r="65" spans="2:104" x14ac:dyDescent="0.35">
      <c r="B65" s="131" t="str">
        <f>'Development Costs'!B46</f>
        <v>Total Development Management Fee</v>
      </c>
      <c r="C65" s="130">
        <f>-'Development Costs'!H46</f>
        <v>-1254000</v>
      </c>
      <c r="D65" s="130">
        <f t="shared" ref="D65" si="72">ROUND(C65-E65,0)</f>
        <v>0</v>
      </c>
      <c r="E65" s="130">
        <f t="shared" ref="E65" si="73">SUM(I65:CZ65)</f>
        <v>-1254000</v>
      </c>
      <c r="F65" s="109">
        <f>Schedule!D13</f>
        <v>44562</v>
      </c>
      <c r="G65" s="109">
        <f>Schedule!E17</f>
        <v>45536</v>
      </c>
      <c r="H65" s="141">
        <f>DATEDIF(F65,G65,"m")+1</f>
        <v>33</v>
      </c>
      <c r="I65" s="130">
        <f>IF(AND(I$7&lt;=$G65,I$7&gt;=$F65,$H65&lt;&gt;0,$H65&lt;&gt;""),$C65/$H65,0)</f>
        <v>-38000</v>
      </c>
      <c r="J65" s="130">
        <f t="shared" ref="J65:BU65" si="74">IF(AND(J$7&lt;=$G65,J$7&gt;=$F65,$H65&lt;&gt;0,$H65&lt;&gt;""),$C65/$H65,0)</f>
        <v>-38000</v>
      </c>
      <c r="K65" s="130">
        <f t="shared" si="74"/>
        <v>-38000</v>
      </c>
      <c r="L65" s="130">
        <f t="shared" si="74"/>
        <v>-38000</v>
      </c>
      <c r="M65" s="130">
        <f t="shared" si="74"/>
        <v>-38000</v>
      </c>
      <c r="N65" s="130">
        <f t="shared" si="74"/>
        <v>-38000</v>
      </c>
      <c r="O65" s="130">
        <f t="shared" si="74"/>
        <v>-38000</v>
      </c>
      <c r="P65" s="130">
        <f t="shared" si="74"/>
        <v>-38000</v>
      </c>
      <c r="Q65" s="130">
        <f t="shared" si="74"/>
        <v>-38000</v>
      </c>
      <c r="R65" s="130">
        <f t="shared" si="74"/>
        <v>-38000</v>
      </c>
      <c r="S65" s="130">
        <f t="shared" si="74"/>
        <v>-38000</v>
      </c>
      <c r="T65" s="130">
        <f t="shared" si="74"/>
        <v>-38000</v>
      </c>
      <c r="U65" s="130">
        <f t="shared" si="74"/>
        <v>-38000</v>
      </c>
      <c r="V65" s="130">
        <f t="shared" si="74"/>
        <v>-38000</v>
      </c>
      <c r="W65" s="130">
        <f t="shared" si="74"/>
        <v>-38000</v>
      </c>
      <c r="X65" s="130">
        <f t="shared" si="74"/>
        <v>-38000</v>
      </c>
      <c r="Y65" s="130">
        <f t="shared" si="74"/>
        <v>-38000</v>
      </c>
      <c r="Z65" s="130">
        <f t="shared" si="74"/>
        <v>-38000</v>
      </c>
      <c r="AA65" s="130">
        <f t="shared" si="74"/>
        <v>-38000</v>
      </c>
      <c r="AB65" s="130">
        <f t="shared" si="74"/>
        <v>-38000</v>
      </c>
      <c r="AC65" s="130">
        <f t="shared" si="74"/>
        <v>-38000</v>
      </c>
      <c r="AD65" s="130">
        <f t="shared" si="74"/>
        <v>-38000</v>
      </c>
      <c r="AE65" s="130">
        <f t="shared" si="74"/>
        <v>-38000</v>
      </c>
      <c r="AF65" s="130">
        <f t="shared" si="74"/>
        <v>-38000</v>
      </c>
      <c r="AG65" s="130">
        <f t="shared" si="74"/>
        <v>-38000</v>
      </c>
      <c r="AH65" s="130">
        <f t="shared" si="74"/>
        <v>-38000</v>
      </c>
      <c r="AI65" s="130">
        <f t="shared" si="74"/>
        <v>-38000</v>
      </c>
      <c r="AJ65" s="130">
        <f t="shared" si="74"/>
        <v>-38000</v>
      </c>
      <c r="AK65" s="130">
        <f t="shared" si="74"/>
        <v>-38000</v>
      </c>
      <c r="AL65" s="130">
        <f t="shared" si="74"/>
        <v>-38000</v>
      </c>
      <c r="AM65" s="130">
        <f t="shared" si="74"/>
        <v>-38000</v>
      </c>
      <c r="AN65" s="130">
        <f t="shared" si="74"/>
        <v>-38000</v>
      </c>
      <c r="AO65" s="130">
        <f t="shared" si="74"/>
        <v>-38000</v>
      </c>
      <c r="AP65" s="130">
        <f t="shared" si="74"/>
        <v>0</v>
      </c>
      <c r="AQ65" s="130">
        <f t="shared" si="74"/>
        <v>0</v>
      </c>
      <c r="AR65" s="130">
        <f t="shared" si="74"/>
        <v>0</v>
      </c>
      <c r="AS65" s="130">
        <f t="shared" si="74"/>
        <v>0</v>
      </c>
      <c r="AT65" s="130">
        <f t="shared" si="74"/>
        <v>0</v>
      </c>
      <c r="AU65" s="130">
        <f t="shared" si="74"/>
        <v>0</v>
      </c>
      <c r="AV65" s="130">
        <f t="shared" si="74"/>
        <v>0</v>
      </c>
      <c r="AW65" s="130">
        <f t="shared" si="74"/>
        <v>0</v>
      </c>
      <c r="AX65" s="130">
        <f t="shared" si="74"/>
        <v>0</v>
      </c>
      <c r="AY65" s="130">
        <f t="shared" si="74"/>
        <v>0</v>
      </c>
      <c r="AZ65" s="130">
        <f t="shared" si="74"/>
        <v>0</v>
      </c>
      <c r="BA65" s="130">
        <f t="shared" si="74"/>
        <v>0</v>
      </c>
      <c r="BB65" s="130">
        <f t="shared" si="74"/>
        <v>0</v>
      </c>
      <c r="BC65" s="130">
        <f t="shared" si="74"/>
        <v>0</v>
      </c>
      <c r="BD65" s="130">
        <f t="shared" si="74"/>
        <v>0</v>
      </c>
      <c r="BE65" s="130">
        <f t="shared" si="74"/>
        <v>0</v>
      </c>
      <c r="BF65" s="130">
        <f t="shared" si="74"/>
        <v>0</v>
      </c>
      <c r="BG65" s="130">
        <f t="shared" si="74"/>
        <v>0</v>
      </c>
      <c r="BH65" s="130">
        <f t="shared" si="74"/>
        <v>0</v>
      </c>
      <c r="BI65" s="130">
        <f t="shared" si="74"/>
        <v>0</v>
      </c>
      <c r="BJ65" s="130">
        <f t="shared" si="74"/>
        <v>0</v>
      </c>
      <c r="BK65" s="130">
        <f t="shared" si="74"/>
        <v>0</v>
      </c>
      <c r="BL65" s="130">
        <f t="shared" si="74"/>
        <v>0</v>
      </c>
      <c r="BM65" s="130">
        <f t="shared" si="74"/>
        <v>0</v>
      </c>
      <c r="BN65" s="130">
        <f t="shared" si="74"/>
        <v>0</v>
      </c>
      <c r="BO65" s="130">
        <f t="shared" si="74"/>
        <v>0</v>
      </c>
      <c r="BP65" s="130">
        <f t="shared" si="74"/>
        <v>0</v>
      </c>
      <c r="BQ65" s="130">
        <f t="shared" si="74"/>
        <v>0</v>
      </c>
      <c r="BR65" s="130">
        <f t="shared" si="74"/>
        <v>0</v>
      </c>
      <c r="BS65" s="130">
        <f t="shared" si="74"/>
        <v>0</v>
      </c>
      <c r="BT65" s="130">
        <f t="shared" si="74"/>
        <v>0</v>
      </c>
      <c r="BU65" s="130">
        <f t="shared" si="74"/>
        <v>0</v>
      </c>
      <c r="BV65" s="130">
        <f t="shared" ref="BV65:CZ65" si="75">IF(AND(BV$7&lt;=$G65,BV$7&gt;=$F65,$H65&lt;&gt;0,$H65&lt;&gt;""),$C65/$H65,0)</f>
        <v>0</v>
      </c>
      <c r="BW65" s="130">
        <f t="shared" si="75"/>
        <v>0</v>
      </c>
      <c r="BX65" s="130">
        <f t="shared" si="75"/>
        <v>0</v>
      </c>
      <c r="BY65" s="130">
        <f t="shared" si="75"/>
        <v>0</v>
      </c>
      <c r="BZ65" s="130">
        <f t="shared" si="75"/>
        <v>0</v>
      </c>
      <c r="CA65" s="130">
        <f t="shared" si="75"/>
        <v>0</v>
      </c>
      <c r="CB65" s="130">
        <f t="shared" si="75"/>
        <v>0</v>
      </c>
      <c r="CC65" s="130">
        <f t="shared" si="75"/>
        <v>0</v>
      </c>
      <c r="CD65" s="130">
        <f t="shared" si="75"/>
        <v>0</v>
      </c>
      <c r="CE65" s="130">
        <f t="shared" si="75"/>
        <v>0</v>
      </c>
      <c r="CF65" s="130">
        <f t="shared" si="75"/>
        <v>0</v>
      </c>
      <c r="CG65" s="130">
        <f t="shared" si="75"/>
        <v>0</v>
      </c>
      <c r="CH65" s="130">
        <f t="shared" si="75"/>
        <v>0</v>
      </c>
      <c r="CI65" s="130">
        <f t="shared" si="75"/>
        <v>0</v>
      </c>
      <c r="CJ65" s="130">
        <f t="shared" si="75"/>
        <v>0</v>
      </c>
      <c r="CK65" s="130">
        <f t="shared" si="75"/>
        <v>0</v>
      </c>
      <c r="CL65" s="130">
        <f t="shared" si="75"/>
        <v>0</v>
      </c>
      <c r="CM65" s="130">
        <f t="shared" si="75"/>
        <v>0</v>
      </c>
      <c r="CN65" s="130">
        <f t="shared" si="75"/>
        <v>0</v>
      </c>
      <c r="CO65" s="130">
        <f t="shared" si="75"/>
        <v>0</v>
      </c>
      <c r="CP65" s="130">
        <f t="shared" si="75"/>
        <v>0</v>
      </c>
      <c r="CQ65" s="130">
        <f t="shared" si="75"/>
        <v>0</v>
      </c>
      <c r="CR65" s="130">
        <f t="shared" si="75"/>
        <v>0</v>
      </c>
      <c r="CS65" s="130">
        <f t="shared" si="75"/>
        <v>0</v>
      </c>
      <c r="CT65" s="130">
        <f t="shared" si="75"/>
        <v>0</v>
      </c>
      <c r="CU65" s="130">
        <f t="shared" si="75"/>
        <v>0</v>
      </c>
      <c r="CV65" s="130">
        <f t="shared" si="75"/>
        <v>0</v>
      </c>
      <c r="CW65" s="130">
        <f t="shared" si="75"/>
        <v>0</v>
      </c>
      <c r="CX65" s="130">
        <f t="shared" si="75"/>
        <v>0</v>
      </c>
      <c r="CY65" s="130">
        <f t="shared" si="75"/>
        <v>0</v>
      </c>
      <c r="CZ65" s="130">
        <f t="shared" si="75"/>
        <v>0</v>
      </c>
    </row>
    <row r="66" spans="2:104" x14ac:dyDescent="0.35">
      <c r="B66" s="131"/>
      <c r="C66" s="130"/>
      <c r="D66" s="130"/>
      <c r="E66" s="130"/>
      <c r="F66" s="35"/>
      <c r="H66" s="139"/>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c r="CA66" s="130"/>
      <c r="CB66" s="130"/>
      <c r="CC66" s="130"/>
      <c r="CD66" s="130"/>
      <c r="CE66" s="130"/>
      <c r="CF66" s="130"/>
      <c r="CG66" s="130"/>
      <c r="CH66" s="130"/>
      <c r="CI66" s="130"/>
      <c r="CJ66" s="130"/>
      <c r="CK66" s="130"/>
      <c r="CL66" s="130"/>
      <c r="CM66" s="130"/>
      <c r="CN66" s="130"/>
      <c r="CO66" s="130"/>
      <c r="CP66" s="130"/>
      <c r="CQ66" s="130"/>
      <c r="CR66" s="130"/>
      <c r="CS66" s="130"/>
      <c r="CT66" s="130"/>
      <c r="CU66" s="130"/>
      <c r="CV66" s="130"/>
      <c r="CW66" s="130"/>
      <c r="CX66" s="130"/>
      <c r="CY66" s="130"/>
      <c r="CZ66" s="130"/>
    </row>
    <row r="67" spans="2:104" x14ac:dyDescent="0.35">
      <c r="B67" s="142" t="s">
        <v>163</v>
      </c>
      <c r="C67" s="133"/>
      <c r="D67" s="37"/>
      <c r="E67" s="38"/>
      <c r="F67" s="38"/>
      <c r="G67" s="119"/>
      <c r="H67" s="138"/>
      <c r="I67" s="133"/>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row>
    <row r="68" spans="2:104" x14ac:dyDescent="0.35">
      <c r="B68" s="131" t="str">
        <f>'Development Costs'!B49</f>
        <v>Development Permit</v>
      </c>
      <c r="C68" s="130">
        <f>-'Development Costs'!H49</f>
        <v>0</v>
      </c>
      <c r="D68" s="130">
        <f t="shared" ref="D68:D77" si="76">ROUND(C68-E68,0)</f>
        <v>0</v>
      </c>
      <c r="E68" s="130">
        <f t="shared" ref="E68:E78" si="77">SUM(I68:CZ68)</f>
        <v>0</v>
      </c>
      <c r="F68" s="121">
        <f>Schedule!D15</f>
        <v>44593</v>
      </c>
      <c r="G68" s="121">
        <f>Schedule!E15</f>
        <v>44958</v>
      </c>
      <c r="H68" s="141">
        <f>DATEDIF(F68,G68,"m")+1</f>
        <v>13</v>
      </c>
      <c r="I68" s="130">
        <f>IF(AND(I$7&lt;=$G68,I$7&gt;=$F68,$H68&lt;&gt;0,$H68&lt;&gt;""),$C68/$H68,0)</f>
        <v>0</v>
      </c>
      <c r="J68" s="130">
        <f t="shared" ref="J68:BU72" si="78">IF(AND(J$7&lt;=$G68,J$7&gt;=$F68,$H68&lt;&gt;0,$H68&lt;&gt;""),$C68/$H68,0)</f>
        <v>0</v>
      </c>
      <c r="K68" s="130">
        <f t="shared" si="78"/>
        <v>0</v>
      </c>
      <c r="L68" s="130">
        <f t="shared" si="78"/>
        <v>0</v>
      </c>
      <c r="M68" s="130">
        <f t="shared" si="78"/>
        <v>0</v>
      </c>
      <c r="N68" s="130">
        <f t="shared" si="78"/>
        <v>0</v>
      </c>
      <c r="O68" s="130">
        <f t="shared" si="78"/>
        <v>0</v>
      </c>
      <c r="P68" s="130">
        <f t="shared" si="78"/>
        <v>0</v>
      </c>
      <c r="Q68" s="130">
        <f t="shared" si="78"/>
        <v>0</v>
      </c>
      <c r="R68" s="130">
        <f t="shared" si="78"/>
        <v>0</v>
      </c>
      <c r="S68" s="130">
        <f t="shared" si="78"/>
        <v>0</v>
      </c>
      <c r="T68" s="130">
        <f t="shared" si="78"/>
        <v>0</v>
      </c>
      <c r="U68" s="130">
        <f t="shared" si="78"/>
        <v>0</v>
      </c>
      <c r="V68" s="130">
        <f t="shared" si="78"/>
        <v>0</v>
      </c>
      <c r="W68" s="130">
        <f t="shared" si="78"/>
        <v>0</v>
      </c>
      <c r="X68" s="130">
        <f t="shared" si="78"/>
        <v>0</v>
      </c>
      <c r="Y68" s="130">
        <f t="shared" si="78"/>
        <v>0</v>
      </c>
      <c r="Z68" s="130">
        <f t="shared" si="78"/>
        <v>0</v>
      </c>
      <c r="AA68" s="130">
        <f t="shared" si="78"/>
        <v>0</v>
      </c>
      <c r="AB68" s="130">
        <f t="shared" si="78"/>
        <v>0</v>
      </c>
      <c r="AC68" s="130">
        <f t="shared" si="78"/>
        <v>0</v>
      </c>
      <c r="AD68" s="130">
        <f t="shared" si="78"/>
        <v>0</v>
      </c>
      <c r="AE68" s="130">
        <f t="shared" si="78"/>
        <v>0</v>
      </c>
      <c r="AF68" s="130">
        <f t="shared" si="78"/>
        <v>0</v>
      </c>
      <c r="AG68" s="130">
        <f t="shared" si="78"/>
        <v>0</v>
      </c>
      <c r="AH68" s="130">
        <f t="shared" si="78"/>
        <v>0</v>
      </c>
      <c r="AI68" s="130">
        <f t="shared" si="78"/>
        <v>0</v>
      </c>
      <c r="AJ68" s="130">
        <f t="shared" si="78"/>
        <v>0</v>
      </c>
      <c r="AK68" s="130">
        <f t="shared" si="78"/>
        <v>0</v>
      </c>
      <c r="AL68" s="130">
        <f t="shared" si="78"/>
        <v>0</v>
      </c>
      <c r="AM68" s="130">
        <f t="shared" si="78"/>
        <v>0</v>
      </c>
      <c r="AN68" s="130">
        <f t="shared" si="78"/>
        <v>0</v>
      </c>
      <c r="AO68" s="130">
        <f t="shared" si="78"/>
        <v>0</v>
      </c>
      <c r="AP68" s="130">
        <f t="shared" si="78"/>
        <v>0</v>
      </c>
      <c r="AQ68" s="130">
        <f t="shared" si="78"/>
        <v>0</v>
      </c>
      <c r="AR68" s="130">
        <f t="shared" si="78"/>
        <v>0</v>
      </c>
      <c r="AS68" s="130">
        <f t="shared" si="78"/>
        <v>0</v>
      </c>
      <c r="AT68" s="130">
        <f t="shared" si="78"/>
        <v>0</v>
      </c>
      <c r="AU68" s="130">
        <f t="shared" si="78"/>
        <v>0</v>
      </c>
      <c r="AV68" s="130">
        <f t="shared" si="78"/>
        <v>0</v>
      </c>
      <c r="AW68" s="130">
        <f t="shared" si="78"/>
        <v>0</v>
      </c>
      <c r="AX68" s="130">
        <f t="shared" si="78"/>
        <v>0</v>
      </c>
      <c r="AY68" s="130">
        <f t="shared" si="78"/>
        <v>0</v>
      </c>
      <c r="AZ68" s="130">
        <f t="shared" si="78"/>
        <v>0</v>
      </c>
      <c r="BA68" s="130">
        <f t="shared" si="78"/>
        <v>0</v>
      </c>
      <c r="BB68" s="130">
        <f t="shared" si="78"/>
        <v>0</v>
      </c>
      <c r="BC68" s="130">
        <f t="shared" si="78"/>
        <v>0</v>
      </c>
      <c r="BD68" s="130">
        <f t="shared" si="78"/>
        <v>0</v>
      </c>
      <c r="BE68" s="130">
        <f t="shared" si="78"/>
        <v>0</v>
      </c>
      <c r="BF68" s="130">
        <f t="shared" si="78"/>
        <v>0</v>
      </c>
      <c r="BG68" s="130">
        <f t="shared" si="78"/>
        <v>0</v>
      </c>
      <c r="BH68" s="130">
        <f t="shared" si="78"/>
        <v>0</v>
      </c>
      <c r="BI68" s="130">
        <f t="shared" si="78"/>
        <v>0</v>
      </c>
      <c r="BJ68" s="130">
        <f t="shared" si="78"/>
        <v>0</v>
      </c>
      <c r="BK68" s="130">
        <f t="shared" si="78"/>
        <v>0</v>
      </c>
      <c r="BL68" s="130">
        <f t="shared" si="78"/>
        <v>0</v>
      </c>
      <c r="BM68" s="130">
        <f t="shared" si="78"/>
        <v>0</v>
      </c>
      <c r="BN68" s="130">
        <f t="shared" si="78"/>
        <v>0</v>
      </c>
      <c r="BO68" s="130">
        <f t="shared" si="78"/>
        <v>0</v>
      </c>
      <c r="BP68" s="130">
        <f t="shared" si="78"/>
        <v>0</v>
      </c>
      <c r="BQ68" s="130">
        <f t="shared" si="78"/>
        <v>0</v>
      </c>
      <c r="BR68" s="130">
        <f t="shared" si="78"/>
        <v>0</v>
      </c>
      <c r="BS68" s="130">
        <f t="shared" si="78"/>
        <v>0</v>
      </c>
      <c r="BT68" s="130">
        <f t="shared" si="78"/>
        <v>0</v>
      </c>
      <c r="BU68" s="130">
        <f t="shared" si="78"/>
        <v>0</v>
      </c>
      <c r="BV68" s="130">
        <f t="shared" ref="BV68:CZ77" si="79">IF(AND(BV$7&lt;=$G68,BV$7&gt;=$F68,$H68&lt;&gt;0,$H68&lt;&gt;""),$C68/$H68,0)</f>
        <v>0</v>
      </c>
      <c r="BW68" s="130">
        <f t="shared" si="79"/>
        <v>0</v>
      </c>
      <c r="BX68" s="130">
        <f t="shared" si="79"/>
        <v>0</v>
      </c>
      <c r="BY68" s="130">
        <f t="shared" si="79"/>
        <v>0</v>
      </c>
      <c r="BZ68" s="130">
        <f t="shared" si="79"/>
        <v>0</v>
      </c>
      <c r="CA68" s="130">
        <f t="shared" si="79"/>
        <v>0</v>
      </c>
      <c r="CB68" s="130">
        <f t="shared" si="79"/>
        <v>0</v>
      </c>
      <c r="CC68" s="130">
        <f t="shared" si="79"/>
        <v>0</v>
      </c>
      <c r="CD68" s="130">
        <f t="shared" si="79"/>
        <v>0</v>
      </c>
      <c r="CE68" s="130">
        <f t="shared" si="79"/>
        <v>0</v>
      </c>
      <c r="CF68" s="130">
        <f t="shared" si="79"/>
        <v>0</v>
      </c>
      <c r="CG68" s="130">
        <f t="shared" si="79"/>
        <v>0</v>
      </c>
      <c r="CH68" s="130">
        <f t="shared" si="79"/>
        <v>0</v>
      </c>
      <c r="CI68" s="130">
        <f t="shared" si="79"/>
        <v>0</v>
      </c>
      <c r="CJ68" s="130">
        <f t="shared" si="79"/>
        <v>0</v>
      </c>
      <c r="CK68" s="130">
        <f t="shared" si="79"/>
        <v>0</v>
      </c>
      <c r="CL68" s="130">
        <f t="shared" si="79"/>
        <v>0</v>
      </c>
      <c r="CM68" s="130">
        <f t="shared" si="79"/>
        <v>0</v>
      </c>
      <c r="CN68" s="130">
        <f t="shared" si="79"/>
        <v>0</v>
      </c>
      <c r="CO68" s="130">
        <f t="shared" si="79"/>
        <v>0</v>
      </c>
      <c r="CP68" s="130">
        <f t="shared" si="79"/>
        <v>0</v>
      </c>
      <c r="CQ68" s="130">
        <f t="shared" si="79"/>
        <v>0</v>
      </c>
      <c r="CR68" s="130">
        <f t="shared" si="79"/>
        <v>0</v>
      </c>
      <c r="CS68" s="130">
        <f t="shared" si="79"/>
        <v>0</v>
      </c>
      <c r="CT68" s="130">
        <f t="shared" si="79"/>
        <v>0</v>
      </c>
      <c r="CU68" s="130">
        <f t="shared" si="79"/>
        <v>0</v>
      </c>
      <c r="CV68" s="130">
        <f t="shared" si="79"/>
        <v>0</v>
      </c>
      <c r="CW68" s="130">
        <f t="shared" si="79"/>
        <v>0</v>
      </c>
      <c r="CX68" s="130">
        <f t="shared" si="79"/>
        <v>0</v>
      </c>
      <c r="CY68" s="130">
        <f t="shared" si="79"/>
        <v>0</v>
      </c>
      <c r="CZ68" s="130">
        <f t="shared" si="79"/>
        <v>0</v>
      </c>
    </row>
    <row r="69" spans="2:104" x14ac:dyDescent="0.35">
      <c r="B69" s="131" t="str">
        <f>'Development Costs'!B50</f>
        <v>Rezoning</v>
      </c>
      <c r="C69" s="130">
        <f>-'Development Costs'!H50</f>
        <v>0</v>
      </c>
      <c r="D69" s="130">
        <f t="shared" si="76"/>
        <v>0</v>
      </c>
      <c r="E69" s="130">
        <f t="shared" si="77"/>
        <v>0</v>
      </c>
      <c r="F69" s="304">
        <f>F68</f>
        <v>44593</v>
      </c>
      <c r="G69" s="304">
        <f>G68</f>
        <v>44958</v>
      </c>
      <c r="H69" s="141">
        <f t="shared" ref="H69:H77" si="80">DATEDIF(F69,G69,"m")+1</f>
        <v>13</v>
      </c>
      <c r="I69" s="130">
        <f t="shared" ref="I69:X77" si="81">IF(AND(I$7&lt;=$G69,I$7&gt;=$F69,$H69&lt;&gt;0,$H69&lt;&gt;""),$C69/$H69,0)</f>
        <v>0</v>
      </c>
      <c r="J69" s="130">
        <f t="shared" si="81"/>
        <v>0</v>
      </c>
      <c r="K69" s="130">
        <f t="shared" si="81"/>
        <v>0</v>
      </c>
      <c r="L69" s="130">
        <f t="shared" si="81"/>
        <v>0</v>
      </c>
      <c r="M69" s="130">
        <f t="shared" si="81"/>
        <v>0</v>
      </c>
      <c r="N69" s="130">
        <f t="shared" si="81"/>
        <v>0</v>
      </c>
      <c r="O69" s="130">
        <f t="shared" si="81"/>
        <v>0</v>
      </c>
      <c r="P69" s="130">
        <f t="shared" si="81"/>
        <v>0</v>
      </c>
      <c r="Q69" s="130">
        <f t="shared" si="81"/>
        <v>0</v>
      </c>
      <c r="R69" s="130">
        <f t="shared" si="81"/>
        <v>0</v>
      </c>
      <c r="S69" s="130">
        <f t="shared" si="81"/>
        <v>0</v>
      </c>
      <c r="T69" s="130">
        <f t="shared" si="81"/>
        <v>0</v>
      </c>
      <c r="U69" s="130">
        <f t="shared" si="81"/>
        <v>0</v>
      </c>
      <c r="V69" s="130">
        <f t="shared" si="81"/>
        <v>0</v>
      </c>
      <c r="W69" s="130">
        <f t="shared" si="81"/>
        <v>0</v>
      </c>
      <c r="X69" s="130">
        <f t="shared" si="81"/>
        <v>0</v>
      </c>
      <c r="Y69" s="130">
        <f t="shared" si="78"/>
        <v>0</v>
      </c>
      <c r="Z69" s="130">
        <f t="shared" si="78"/>
        <v>0</v>
      </c>
      <c r="AA69" s="130">
        <f t="shared" si="78"/>
        <v>0</v>
      </c>
      <c r="AB69" s="130">
        <f t="shared" si="78"/>
        <v>0</v>
      </c>
      <c r="AC69" s="130">
        <f t="shared" si="78"/>
        <v>0</v>
      </c>
      <c r="AD69" s="130">
        <f t="shared" si="78"/>
        <v>0</v>
      </c>
      <c r="AE69" s="130">
        <f t="shared" si="78"/>
        <v>0</v>
      </c>
      <c r="AF69" s="130">
        <f t="shared" si="78"/>
        <v>0</v>
      </c>
      <c r="AG69" s="130">
        <f t="shared" si="78"/>
        <v>0</v>
      </c>
      <c r="AH69" s="130">
        <f t="shared" si="78"/>
        <v>0</v>
      </c>
      <c r="AI69" s="130">
        <f t="shared" si="78"/>
        <v>0</v>
      </c>
      <c r="AJ69" s="130">
        <f t="shared" si="78"/>
        <v>0</v>
      </c>
      <c r="AK69" s="130">
        <f t="shared" si="78"/>
        <v>0</v>
      </c>
      <c r="AL69" s="130">
        <f t="shared" si="78"/>
        <v>0</v>
      </c>
      <c r="AM69" s="130">
        <f t="shared" si="78"/>
        <v>0</v>
      </c>
      <c r="AN69" s="130">
        <f t="shared" si="78"/>
        <v>0</v>
      </c>
      <c r="AO69" s="130">
        <f t="shared" si="78"/>
        <v>0</v>
      </c>
      <c r="AP69" s="130">
        <f t="shared" si="78"/>
        <v>0</v>
      </c>
      <c r="AQ69" s="130">
        <f t="shared" si="78"/>
        <v>0</v>
      </c>
      <c r="AR69" s="130">
        <f t="shared" si="78"/>
        <v>0</v>
      </c>
      <c r="AS69" s="130">
        <f t="shared" si="78"/>
        <v>0</v>
      </c>
      <c r="AT69" s="130">
        <f t="shared" si="78"/>
        <v>0</v>
      </c>
      <c r="AU69" s="130">
        <f t="shared" si="78"/>
        <v>0</v>
      </c>
      <c r="AV69" s="130">
        <f t="shared" si="78"/>
        <v>0</v>
      </c>
      <c r="AW69" s="130">
        <f t="shared" si="78"/>
        <v>0</v>
      </c>
      <c r="AX69" s="130">
        <f t="shared" si="78"/>
        <v>0</v>
      </c>
      <c r="AY69" s="130">
        <f t="shared" si="78"/>
        <v>0</v>
      </c>
      <c r="AZ69" s="130">
        <f t="shared" si="78"/>
        <v>0</v>
      </c>
      <c r="BA69" s="130">
        <f t="shared" si="78"/>
        <v>0</v>
      </c>
      <c r="BB69" s="130">
        <f t="shared" si="78"/>
        <v>0</v>
      </c>
      <c r="BC69" s="130">
        <f t="shared" si="78"/>
        <v>0</v>
      </c>
      <c r="BD69" s="130">
        <f t="shared" si="78"/>
        <v>0</v>
      </c>
      <c r="BE69" s="130">
        <f t="shared" si="78"/>
        <v>0</v>
      </c>
      <c r="BF69" s="130">
        <f t="shared" si="78"/>
        <v>0</v>
      </c>
      <c r="BG69" s="130">
        <f t="shared" si="78"/>
        <v>0</v>
      </c>
      <c r="BH69" s="130">
        <f t="shared" si="78"/>
        <v>0</v>
      </c>
      <c r="BI69" s="130">
        <f t="shared" si="78"/>
        <v>0</v>
      </c>
      <c r="BJ69" s="130">
        <f t="shared" si="78"/>
        <v>0</v>
      </c>
      <c r="BK69" s="130">
        <f t="shared" si="78"/>
        <v>0</v>
      </c>
      <c r="BL69" s="130">
        <f t="shared" si="78"/>
        <v>0</v>
      </c>
      <c r="BM69" s="130">
        <f t="shared" si="78"/>
        <v>0</v>
      </c>
      <c r="BN69" s="130">
        <f t="shared" si="78"/>
        <v>0</v>
      </c>
      <c r="BO69" s="130">
        <f t="shared" si="78"/>
        <v>0</v>
      </c>
      <c r="BP69" s="130">
        <f t="shared" si="78"/>
        <v>0</v>
      </c>
      <c r="BQ69" s="130">
        <f t="shared" si="78"/>
        <v>0</v>
      </c>
      <c r="BR69" s="130">
        <f t="shared" si="78"/>
        <v>0</v>
      </c>
      <c r="BS69" s="130">
        <f t="shared" si="78"/>
        <v>0</v>
      </c>
      <c r="BT69" s="130">
        <f t="shared" si="78"/>
        <v>0</v>
      </c>
      <c r="BU69" s="130">
        <f t="shared" si="78"/>
        <v>0</v>
      </c>
      <c r="BV69" s="130">
        <f t="shared" si="79"/>
        <v>0</v>
      </c>
      <c r="BW69" s="130">
        <f t="shared" si="79"/>
        <v>0</v>
      </c>
      <c r="BX69" s="130">
        <f t="shared" si="79"/>
        <v>0</v>
      </c>
      <c r="BY69" s="130">
        <f t="shared" si="79"/>
        <v>0</v>
      </c>
      <c r="BZ69" s="130">
        <f t="shared" si="79"/>
        <v>0</v>
      </c>
      <c r="CA69" s="130">
        <f t="shared" si="79"/>
        <v>0</v>
      </c>
      <c r="CB69" s="130">
        <f t="shared" si="79"/>
        <v>0</v>
      </c>
      <c r="CC69" s="130">
        <f t="shared" si="79"/>
        <v>0</v>
      </c>
      <c r="CD69" s="130">
        <f t="shared" si="79"/>
        <v>0</v>
      </c>
      <c r="CE69" s="130">
        <f t="shared" si="79"/>
        <v>0</v>
      </c>
      <c r="CF69" s="130">
        <f t="shared" si="79"/>
        <v>0</v>
      </c>
      <c r="CG69" s="130">
        <f t="shared" si="79"/>
        <v>0</v>
      </c>
      <c r="CH69" s="130">
        <f t="shared" si="79"/>
        <v>0</v>
      </c>
      <c r="CI69" s="130">
        <f t="shared" si="79"/>
        <v>0</v>
      </c>
      <c r="CJ69" s="130">
        <f t="shared" si="79"/>
        <v>0</v>
      </c>
      <c r="CK69" s="130">
        <f t="shared" si="79"/>
        <v>0</v>
      </c>
      <c r="CL69" s="130">
        <f t="shared" si="79"/>
        <v>0</v>
      </c>
      <c r="CM69" s="130">
        <f t="shared" si="79"/>
        <v>0</v>
      </c>
      <c r="CN69" s="130">
        <f t="shared" si="79"/>
        <v>0</v>
      </c>
      <c r="CO69" s="130">
        <f t="shared" si="79"/>
        <v>0</v>
      </c>
      <c r="CP69" s="130">
        <f t="shared" si="79"/>
        <v>0</v>
      </c>
      <c r="CQ69" s="130">
        <f t="shared" si="79"/>
        <v>0</v>
      </c>
      <c r="CR69" s="130">
        <f t="shared" si="79"/>
        <v>0</v>
      </c>
      <c r="CS69" s="130">
        <f t="shared" si="79"/>
        <v>0</v>
      </c>
      <c r="CT69" s="130">
        <f t="shared" si="79"/>
        <v>0</v>
      </c>
      <c r="CU69" s="130">
        <f t="shared" si="79"/>
        <v>0</v>
      </c>
      <c r="CV69" s="130">
        <f t="shared" si="79"/>
        <v>0</v>
      </c>
      <c r="CW69" s="130">
        <f t="shared" si="79"/>
        <v>0</v>
      </c>
      <c r="CX69" s="130">
        <f t="shared" si="79"/>
        <v>0</v>
      </c>
      <c r="CY69" s="130">
        <f t="shared" si="79"/>
        <v>0</v>
      </c>
      <c r="CZ69" s="130">
        <f t="shared" si="79"/>
        <v>0</v>
      </c>
    </row>
    <row r="70" spans="2:104" x14ac:dyDescent="0.35">
      <c r="B70" s="131" t="str">
        <f>'Development Costs'!B51</f>
        <v>Building permit</v>
      </c>
      <c r="C70" s="130">
        <f>-'Development Costs'!H51</f>
        <v>-100000</v>
      </c>
      <c r="D70" s="130">
        <f t="shared" si="76"/>
        <v>0</v>
      </c>
      <c r="E70" s="130">
        <f t="shared" si="77"/>
        <v>-99999.999999999985</v>
      </c>
      <c r="F70" s="304">
        <f>F69</f>
        <v>44593</v>
      </c>
      <c r="G70" s="304">
        <f>G69</f>
        <v>44958</v>
      </c>
      <c r="H70" s="141">
        <f t="shared" si="80"/>
        <v>13</v>
      </c>
      <c r="I70" s="130">
        <f t="shared" si="81"/>
        <v>0</v>
      </c>
      <c r="J70" s="130">
        <f t="shared" si="81"/>
        <v>-7692.3076923076924</v>
      </c>
      <c r="K70" s="130">
        <f t="shared" si="81"/>
        <v>-7692.3076923076924</v>
      </c>
      <c r="L70" s="130">
        <f t="shared" si="81"/>
        <v>-7692.3076923076924</v>
      </c>
      <c r="M70" s="130">
        <f t="shared" si="81"/>
        <v>-7692.3076923076924</v>
      </c>
      <c r="N70" s="130">
        <f t="shared" si="81"/>
        <v>-7692.3076923076924</v>
      </c>
      <c r="O70" s="130">
        <f t="shared" si="81"/>
        <v>-7692.3076923076924</v>
      </c>
      <c r="P70" s="130">
        <f t="shared" si="81"/>
        <v>-7692.3076923076924</v>
      </c>
      <c r="Q70" s="130">
        <f t="shared" si="81"/>
        <v>-7692.3076923076924</v>
      </c>
      <c r="R70" s="130">
        <f t="shared" si="81"/>
        <v>-7692.3076923076924</v>
      </c>
      <c r="S70" s="130">
        <f t="shared" si="81"/>
        <v>-7692.3076923076924</v>
      </c>
      <c r="T70" s="130">
        <f t="shared" si="81"/>
        <v>-7692.3076923076924</v>
      </c>
      <c r="U70" s="130">
        <f t="shared" si="81"/>
        <v>-7692.3076923076924</v>
      </c>
      <c r="V70" s="130">
        <f t="shared" si="81"/>
        <v>-7692.3076923076924</v>
      </c>
      <c r="W70" s="130">
        <f t="shared" si="81"/>
        <v>0</v>
      </c>
      <c r="X70" s="130">
        <f t="shared" si="81"/>
        <v>0</v>
      </c>
      <c r="Y70" s="130">
        <f t="shared" si="78"/>
        <v>0</v>
      </c>
      <c r="Z70" s="130">
        <f t="shared" si="78"/>
        <v>0</v>
      </c>
      <c r="AA70" s="130">
        <f t="shared" si="78"/>
        <v>0</v>
      </c>
      <c r="AB70" s="130">
        <f t="shared" si="78"/>
        <v>0</v>
      </c>
      <c r="AC70" s="130">
        <f t="shared" si="78"/>
        <v>0</v>
      </c>
      <c r="AD70" s="130">
        <f t="shared" si="78"/>
        <v>0</v>
      </c>
      <c r="AE70" s="130">
        <f t="shared" si="78"/>
        <v>0</v>
      </c>
      <c r="AF70" s="130">
        <f t="shared" si="78"/>
        <v>0</v>
      </c>
      <c r="AG70" s="130">
        <f t="shared" si="78"/>
        <v>0</v>
      </c>
      <c r="AH70" s="130">
        <f t="shared" si="78"/>
        <v>0</v>
      </c>
      <c r="AI70" s="130">
        <f t="shared" si="78"/>
        <v>0</v>
      </c>
      <c r="AJ70" s="130">
        <f t="shared" si="78"/>
        <v>0</v>
      </c>
      <c r="AK70" s="130">
        <f t="shared" si="78"/>
        <v>0</v>
      </c>
      <c r="AL70" s="130">
        <f t="shared" si="78"/>
        <v>0</v>
      </c>
      <c r="AM70" s="130">
        <f t="shared" si="78"/>
        <v>0</v>
      </c>
      <c r="AN70" s="130">
        <f t="shared" si="78"/>
        <v>0</v>
      </c>
      <c r="AO70" s="130">
        <f t="shared" si="78"/>
        <v>0</v>
      </c>
      <c r="AP70" s="130">
        <f t="shared" si="78"/>
        <v>0</v>
      </c>
      <c r="AQ70" s="130">
        <f t="shared" si="78"/>
        <v>0</v>
      </c>
      <c r="AR70" s="130">
        <f t="shared" si="78"/>
        <v>0</v>
      </c>
      <c r="AS70" s="130">
        <f t="shared" si="78"/>
        <v>0</v>
      </c>
      <c r="AT70" s="130">
        <f t="shared" si="78"/>
        <v>0</v>
      </c>
      <c r="AU70" s="130">
        <f t="shared" si="78"/>
        <v>0</v>
      </c>
      <c r="AV70" s="130">
        <f t="shared" si="78"/>
        <v>0</v>
      </c>
      <c r="AW70" s="130">
        <f t="shared" si="78"/>
        <v>0</v>
      </c>
      <c r="AX70" s="130">
        <f t="shared" si="78"/>
        <v>0</v>
      </c>
      <c r="AY70" s="130">
        <f t="shared" si="78"/>
        <v>0</v>
      </c>
      <c r="AZ70" s="130">
        <f t="shared" si="78"/>
        <v>0</v>
      </c>
      <c r="BA70" s="130">
        <f t="shared" si="78"/>
        <v>0</v>
      </c>
      <c r="BB70" s="130">
        <f t="shared" si="78"/>
        <v>0</v>
      </c>
      <c r="BC70" s="130">
        <f t="shared" si="78"/>
        <v>0</v>
      </c>
      <c r="BD70" s="130">
        <f t="shared" si="78"/>
        <v>0</v>
      </c>
      <c r="BE70" s="130">
        <f t="shared" si="78"/>
        <v>0</v>
      </c>
      <c r="BF70" s="130">
        <f t="shared" si="78"/>
        <v>0</v>
      </c>
      <c r="BG70" s="130">
        <f t="shared" si="78"/>
        <v>0</v>
      </c>
      <c r="BH70" s="130">
        <f t="shared" si="78"/>
        <v>0</v>
      </c>
      <c r="BI70" s="130">
        <f t="shared" si="78"/>
        <v>0</v>
      </c>
      <c r="BJ70" s="130">
        <f t="shared" si="78"/>
        <v>0</v>
      </c>
      <c r="BK70" s="130">
        <f t="shared" si="78"/>
        <v>0</v>
      </c>
      <c r="BL70" s="130">
        <f t="shared" si="78"/>
        <v>0</v>
      </c>
      <c r="BM70" s="130">
        <f t="shared" si="78"/>
        <v>0</v>
      </c>
      <c r="BN70" s="130">
        <f t="shared" si="78"/>
        <v>0</v>
      </c>
      <c r="BO70" s="130">
        <f t="shared" si="78"/>
        <v>0</v>
      </c>
      <c r="BP70" s="130">
        <f t="shared" si="78"/>
        <v>0</v>
      </c>
      <c r="BQ70" s="130">
        <f t="shared" si="78"/>
        <v>0</v>
      </c>
      <c r="BR70" s="130">
        <f t="shared" si="78"/>
        <v>0</v>
      </c>
      <c r="BS70" s="130">
        <f t="shared" si="78"/>
        <v>0</v>
      </c>
      <c r="BT70" s="130">
        <f t="shared" si="78"/>
        <v>0</v>
      </c>
      <c r="BU70" s="130">
        <f t="shared" si="78"/>
        <v>0</v>
      </c>
      <c r="BV70" s="130">
        <f t="shared" si="79"/>
        <v>0</v>
      </c>
      <c r="BW70" s="130">
        <f t="shared" si="79"/>
        <v>0</v>
      </c>
      <c r="BX70" s="130">
        <f t="shared" si="79"/>
        <v>0</v>
      </c>
      <c r="BY70" s="130">
        <f t="shared" si="79"/>
        <v>0</v>
      </c>
      <c r="BZ70" s="130">
        <f t="shared" si="79"/>
        <v>0</v>
      </c>
      <c r="CA70" s="130">
        <f t="shared" si="79"/>
        <v>0</v>
      </c>
      <c r="CB70" s="130">
        <f t="shared" si="79"/>
        <v>0</v>
      </c>
      <c r="CC70" s="130">
        <f t="shared" si="79"/>
        <v>0</v>
      </c>
      <c r="CD70" s="130">
        <f t="shared" si="79"/>
        <v>0</v>
      </c>
      <c r="CE70" s="130">
        <f t="shared" si="79"/>
        <v>0</v>
      </c>
      <c r="CF70" s="130">
        <f t="shared" si="79"/>
        <v>0</v>
      </c>
      <c r="CG70" s="130">
        <f t="shared" si="79"/>
        <v>0</v>
      </c>
      <c r="CH70" s="130">
        <f t="shared" si="79"/>
        <v>0</v>
      </c>
      <c r="CI70" s="130">
        <f t="shared" si="79"/>
        <v>0</v>
      </c>
      <c r="CJ70" s="130">
        <f t="shared" si="79"/>
        <v>0</v>
      </c>
      <c r="CK70" s="130">
        <f t="shared" si="79"/>
        <v>0</v>
      </c>
      <c r="CL70" s="130">
        <f t="shared" si="79"/>
        <v>0</v>
      </c>
      <c r="CM70" s="130">
        <f t="shared" si="79"/>
        <v>0</v>
      </c>
      <c r="CN70" s="130">
        <f t="shared" si="79"/>
        <v>0</v>
      </c>
      <c r="CO70" s="130">
        <f t="shared" si="79"/>
        <v>0</v>
      </c>
      <c r="CP70" s="130">
        <f t="shared" si="79"/>
        <v>0</v>
      </c>
      <c r="CQ70" s="130">
        <f t="shared" si="79"/>
        <v>0</v>
      </c>
      <c r="CR70" s="130">
        <f t="shared" si="79"/>
        <v>0</v>
      </c>
      <c r="CS70" s="130">
        <f t="shared" si="79"/>
        <v>0</v>
      </c>
      <c r="CT70" s="130">
        <f t="shared" si="79"/>
        <v>0</v>
      </c>
      <c r="CU70" s="130">
        <f t="shared" si="79"/>
        <v>0</v>
      </c>
      <c r="CV70" s="130">
        <f t="shared" si="79"/>
        <v>0</v>
      </c>
      <c r="CW70" s="130">
        <f t="shared" si="79"/>
        <v>0</v>
      </c>
      <c r="CX70" s="130">
        <f t="shared" si="79"/>
        <v>0</v>
      </c>
      <c r="CY70" s="130">
        <f t="shared" si="79"/>
        <v>0</v>
      </c>
      <c r="CZ70" s="130">
        <f t="shared" si="79"/>
        <v>0</v>
      </c>
    </row>
    <row r="71" spans="2:104" x14ac:dyDescent="0.35">
      <c r="B71" s="131" t="str">
        <f>'Development Costs'!B52</f>
        <v>City Development charges</v>
      </c>
      <c r="C71" s="130">
        <f>-'Development Costs'!H52</f>
        <v>-3000000</v>
      </c>
      <c r="D71" s="130">
        <f t="shared" si="76"/>
        <v>0</v>
      </c>
      <c r="E71" s="130">
        <f t="shared" si="77"/>
        <v>-3000000.0000000009</v>
      </c>
      <c r="F71" s="304">
        <f t="shared" ref="F71" si="82">F70</f>
        <v>44593</v>
      </c>
      <c r="G71" s="121">
        <f>G70</f>
        <v>44958</v>
      </c>
      <c r="H71" s="141">
        <f t="shared" si="80"/>
        <v>13</v>
      </c>
      <c r="I71" s="130">
        <f t="shared" si="81"/>
        <v>0</v>
      </c>
      <c r="J71" s="130">
        <f t="shared" si="78"/>
        <v>-230769.23076923078</v>
      </c>
      <c r="K71" s="130">
        <f t="shared" si="78"/>
        <v>-230769.23076923078</v>
      </c>
      <c r="L71" s="130">
        <f t="shared" si="78"/>
        <v>-230769.23076923078</v>
      </c>
      <c r="M71" s="130">
        <f t="shared" si="78"/>
        <v>-230769.23076923078</v>
      </c>
      <c r="N71" s="130">
        <f t="shared" si="78"/>
        <v>-230769.23076923078</v>
      </c>
      <c r="O71" s="130">
        <f t="shared" si="78"/>
        <v>-230769.23076923078</v>
      </c>
      <c r="P71" s="130">
        <f t="shared" si="78"/>
        <v>-230769.23076923078</v>
      </c>
      <c r="Q71" s="130">
        <f t="shared" si="78"/>
        <v>-230769.23076923078</v>
      </c>
      <c r="R71" s="130">
        <f t="shared" si="78"/>
        <v>-230769.23076923078</v>
      </c>
      <c r="S71" s="130">
        <f t="shared" si="78"/>
        <v>-230769.23076923078</v>
      </c>
      <c r="T71" s="130">
        <f t="shared" si="78"/>
        <v>-230769.23076923078</v>
      </c>
      <c r="U71" s="130">
        <f t="shared" si="78"/>
        <v>-230769.23076923078</v>
      </c>
      <c r="V71" s="130">
        <f t="shared" si="78"/>
        <v>-230769.23076923078</v>
      </c>
      <c r="W71" s="130">
        <f t="shared" si="78"/>
        <v>0</v>
      </c>
      <c r="X71" s="130">
        <f t="shared" si="78"/>
        <v>0</v>
      </c>
      <c r="Y71" s="130">
        <f t="shared" si="78"/>
        <v>0</v>
      </c>
      <c r="Z71" s="130">
        <f t="shared" si="78"/>
        <v>0</v>
      </c>
      <c r="AA71" s="130">
        <f t="shared" si="78"/>
        <v>0</v>
      </c>
      <c r="AB71" s="130">
        <f t="shared" si="78"/>
        <v>0</v>
      </c>
      <c r="AC71" s="130">
        <f t="shared" si="78"/>
        <v>0</v>
      </c>
      <c r="AD71" s="130">
        <f t="shared" si="78"/>
        <v>0</v>
      </c>
      <c r="AE71" s="130">
        <f t="shared" si="78"/>
        <v>0</v>
      </c>
      <c r="AF71" s="130">
        <f t="shared" si="78"/>
        <v>0</v>
      </c>
      <c r="AG71" s="130">
        <f t="shared" si="78"/>
        <v>0</v>
      </c>
      <c r="AH71" s="130">
        <f t="shared" si="78"/>
        <v>0</v>
      </c>
      <c r="AI71" s="130">
        <f t="shared" si="78"/>
        <v>0</v>
      </c>
      <c r="AJ71" s="130">
        <f t="shared" si="78"/>
        <v>0</v>
      </c>
      <c r="AK71" s="130">
        <f t="shared" si="78"/>
        <v>0</v>
      </c>
      <c r="AL71" s="130">
        <f t="shared" si="78"/>
        <v>0</v>
      </c>
      <c r="AM71" s="130">
        <f t="shared" si="78"/>
        <v>0</v>
      </c>
      <c r="AN71" s="130">
        <f t="shared" si="78"/>
        <v>0</v>
      </c>
      <c r="AO71" s="130">
        <f t="shared" si="78"/>
        <v>0</v>
      </c>
      <c r="AP71" s="130">
        <f t="shared" si="78"/>
        <v>0</v>
      </c>
      <c r="AQ71" s="130">
        <f t="shared" si="78"/>
        <v>0</v>
      </c>
      <c r="AR71" s="130">
        <f t="shared" si="78"/>
        <v>0</v>
      </c>
      <c r="AS71" s="130">
        <f t="shared" si="78"/>
        <v>0</v>
      </c>
      <c r="AT71" s="130">
        <f t="shared" si="78"/>
        <v>0</v>
      </c>
      <c r="AU71" s="130">
        <f t="shared" si="78"/>
        <v>0</v>
      </c>
      <c r="AV71" s="130">
        <f t="shared" si="78"/>
        <v>0</v>
      </c>
      <c r="AW71" s="130">
        <f t="shared" si="78"/>
        <v>0</v>
      </c>
      <c r="AX71" s="130">
        <f t="shared" si="78"/>
        <v>0</v>
      </c>
      <c r="AY71" s="130">
        <f t="shared" si="78"/>
        <v>0</v>
      </c>
      <c r="AZ71" s="130">
        <f t="shared" si="78"/>
        <v>0</v>
      </c>
      <c r="BA71" s="130">
        <f t="shared" si="78"/>
        <v>0</v>
      </c>
      <c r="BB71" s="130">
        <f t="shared" si="78"/>
        <v>0</v>
      </c>
      <c r="BC71" s="130">
        <f t="shared" si="78"/>
        <v>0</v>
      </c>
      <c r="BD71" s="130">
        <f t="shared" si="78"/>
        <v>0</v>
      </c>
      <c r="BE71" s="130">
        <f t="shared" si="78"/>
        <v>0</v>
      </c>
      <c r="BF71" s="130">
        <f t="shared" si="78"/>
        <v>0</v>
      </c>
      <c r="BG71" s="130">
        <f t="shared" si="78"/>
        <v>0</v>
      </c>
      <c r="BH71" s="130">
        <f t="shared" si="78"/>
        <v>0</v>
      </c>
      <c r="BI71" s="130">
        <f t="shared" si="78"/>
        <v>0</v>
      </c>
      <c r="BJ71" s="130">
        <f t="shared" si="78"/>
        <v>0</v>
      </c>
      <c r="BK71" s="130">
        <f t="shared" si="78"/>
        <v>0</v>
      </c>
      <c r="BL71" s="130">
        <f t="shared" si="78"/>
        <v>0</v>
      </c>
      <c r="BM71" s="130">
        <f t="shared" si="78"/>
        <v>0</v>
      </c>
      <c r="BN71" s="130">
        <f t="shared" si="78"/>
        <v>0</v>
      </c>
      <c r="BO71" s="130">
        <f t="shared" si="78"/>
        <v>0</v>
      </c>
      <c r="BP71" s="130">
        <f t="shared" si="78"/>
        <v>0</v>
      </c>
      <c r="BQ71" s="130">
        <f t="shared" si="78"/>
        <v>0</v>
      </c>
      <c r="BR71" s="130">
        <f t="shared" si="78"/>
        <v>0</v>
      </c>
      <c r="BS71" s="130">
        <f t="shared" si="78"/>
        <v>0</v>
      </c>
      <c r="BT71" s="130">
        <f t="shared" si="78"/>
        <v>0</v>
      </c>
      <c r="BU71" s="130">
        <f t="shared" si="78"/>
        <v>0</v>
      </c>
      <c r="BV71" s="130">
        <f t="shared" si="79"/>
        <v>0</v>
      </c>
      <c r="BW71" s="130">
        <f t="shared" si="79"/>
        <v>0</v>
      </c>
      <c r="BX71" s="130">
        <f t="shared" si="79"/>
        <v>0</v>
      </c>
      <c r="BY71" s="130">
        <f t="shared" si="79"/>
        <v>0</v>
      </c>
      <c r="BZ71" s="130">
        <f t="shared" si="79"/>
        <v>0</v>
      </c>
      <c r="CA71" s="130">
        <f t="shared" si="79"/>
        <v>0</v>
      </c>
      <c r="CB71" s="130">
        <f t="shared" si="79"/>
        <v>0</v>
      </c>
      <c r="CC71" s="130">
        <f t="shared" si="79"/>
        <v>0</v>
      </c>
      <c r="CD71" s="130">
        <f t="shared" si="79"/>
        <v>0</v>
      </c>
      <c r="CE71" s="130">
        <f t="shared" si="79"/>
        <v>0</v>
      </c>
      <c r="CF71" s="130">
        <f t="shared" si="79"/>
        <v>0</v>
      </c>
      <c r="CG71" s="130">
        <f t="shared" si="79"/>
        <v>0</v>
      </c>
      <c r="CH71" s="130">
        <f t="shared" si="79"/>
        <v>0</v>
      </c>
      <c r="CI71" s="130">
        <f t="shared" si="79"/>
        <v>0</v>
      </c>
      <c r="CJ71" s="130">
        <f t="shared" si="79"/>
        <v>0</v>
      </c>
      <c r="CK71" s="130">
        <f t="shared" si="79"/>
        <v>0</v>
      </c>
      <c r="CL71" s="130">
        <f t="shared" si="79"/>
        <v>0</v>
      </c>
      <c r="CM71" s="130">
        <f t="shared" si="79"/>
        <v>0</v>
      </c>
      <c r="CN71" s="130">
        <f t="shared" si="79"/>
        <v>0</v>
      </c>
      <c r="CO71" s="130">
        <f t="shared" si="79"/>
        <v>0</v>
      </c>
      <c r="CP71" s="130">
        <f t="shared" si="79"/>
        <v>0</v>
      </c>
      <c r="CQ71" s="130">
        <f t="shared" si="79"/>
        <v>0</v>
      </c>
      <c r="CR71" s="130">
        <f t="shared" si="79"/>
        <v>0</v>
      </c>
      <c r="CS71" s="130">
        <f t="shared" si="79"/>
        <v>0</v>
      </c>
      <c r="CT71" s="130">
        <f t="shared" si="79"/>
        <v>0</v>
      </c>
      <c r="CU71" s="130">
        <f t="shared" si="79"/>
        <v>0</v>
      </c>
      <c r="CV71" s="130">
        <f t="shared" si="79"/>
        <v>0</v>
      </c>
      <c r="CW71" s="130">
        <f t="shared" si="79"/>
        <v>0</v>
      </c>
      <c r="CX71" s="130">
        <f t="shared" si="79"/>
        <v>0</v>
      </c>
      <c r="CY71" s="130">
        <f t="shared" si="79"/>
        <v>0</v>
      </c>
      <c r="CZ71" s="130">
        <f t="shared" si="79"/>
        <v>0</v>
      </c>
    </row>
    <row r="72" spans="2:104" x14ac:dyDescent="0.35">
      <c r="B72" s="131" t="str">
        <f>'Development Costs'!B53</f>
        <v>Park Dedication Fee</v>
      </c>
      <c r="C72" s="130">
        <f>-'Development Costs'!H53</f>
        <v>0</v>
      </c>
      <c r="D72" s="130">
        <f t="shared" si="76"/>
        <v>0</v>
      </c>
      <c r="E72" s="130">
        <f t="shared" si="77"/>
        <v>0</v>
      </c>
      <c r="F72" s="304">
        <f>F71</f>
        <v>44593</v>
      </c>
      <c r="G72" s="304">
        <f>G71</f>
        <v>44958</v>
      </c>
      <c r="H72" s="141">
        <f t="shared" si="80"/>
        <v>13</v>
      </c>
      <c r="I72" s="130">
        <f t="shared" si="81"/>
        <v>0</v>
      </c>
      <c r="J72" s="130">
        <f t="shared" si="78"/>
        <v>0</v>
      </c>
      <c r="K72" s="130">
        <f t="shared" si="78"/>
        <v>0</v>
      </c>
      <c r="L72" s="130">
        <f t="shared" si="78"/>
        <v>0</v>
      </c>
      <c r="M72" s="130">
        <f t="shared" si="78"/>
        <v>0</v>
      </c>
      <c r="N72" s="130">
        <f t="shared" si="78"/>
        <v>0</v>
      </c>
      <c r="O72" s="130">
        <f t="shared" si="78"/>
        <v>0</v>
      </c>
      <c r="P72" s="130">
        <f t="shared" si="78"/>
        <v>0</v>
      </c>
      <c r="Q72" s="130">
        <f t="shared" si="78"/>
        <v>0</v>
      </c>
      <c r="R72" s="130">
        <f t="shared" si="78"/>
        <v>0</v>
      </c>
      <c r="S72" s="130">
        <f t="shared" si="78"/>
        <v>0</v>
      </c>
      <c r="T72" s="130">
        <f t="shared" si="78"/>
        <v>0</v>
      </c>
      <c r="U72" s="130">
        <f t="shared" si="78"/>
        <v>0</v>
      </c>
      <c r="V72" s="130">
        <f t="shared" si="78"/>
        <v>0</v>
      </c>
      <c r="W72" s="130">
        <f t="shared" si="78"/>
        <v>0</v>
      </c>
      <c r="X72" s="130">
        <f t="shared" si="78"/>
        <v>0</v>
      </c>
      <c r="Y72" s="130">
        <f t="shared" si="78"/>
        <v>0</v>
      </c>
      <c r="Z72" s="130">
        <f t="shared" si="78"/>
        <v>0</v>
      </c>
      <c r="AA72" s="130">
        <f t="shared" si="78"/>
        <v>0</v>
      </c>
      <c r="AB72" s="130">
        <f t="shared" si="78"/>
        <v>0</v>
      </c>
      <c r="AC72" s="130">
        <f t="shared" si="78"/>
        <v>0</v>
      </c>
      <c r="AD72" s="130">
        <f t="shared" si="78"/>
        <v>0</v>
      </c>
      <c r="AE72" s="130">
        <f t="shared" si="78"/>
        <v>0</v>
      </c>
      <c r="AF72" s="130">
        <f t="shared" si="78"/>
        <v>0</v>
      </c>
      <c r="AG72" s="130">
        <f t="shared" si="78"/>
        <v>0</v>
      </c>
      <c r="AH72" s="130">
        <f t="shared" si="78"/>
        <v>0</v>
      </c>
      <c r="AI72" s="130">
        <f t="shared" si="78"/>
        <v>0</v>
      </c>
      <c r="AJ72" s="130">
        <f t="shared" si="78"/>
        <v>0</v>
      </c>
      <c r="AK72" s="130">
        <f t="shared" si="78"/>
        <v>0</v>
      </c>
      <c r="AL72" s="130">
        <f t="shared" si="78"/>
        <v>0</v>
      </c>
      <c r="AM72" s="130">
        <f t="shared" ref="AM72:CX74" si="83">IF(AND(AM$7&lt;=$G72,AM$7&gt;=$F72,$H72&lt;&gt;0,$H72&lt;&gt;""),$C72/$H72,0)</f>
        <v>0</v>
      </c>
      <c r="AN72" s="130">
        <f t="shared" si="83"/>
        <v>0</v>
      </c>
      <c r="AO72" s="130">
        <f t="shared" si="83"/>
        <v>0</v>
      </c>
      <c r="AP72" s="130">
        <f t="shared" si="83"/>
        <v>0</v>
      </c>
      <c r="AQ72" s="130">
        <f t="shared" si="83"/>
        <v>0</v>
      </c>
      <c r="AR72" s="130">
        <f t="shared" si="83"/>
        <v>0</v>
      </c>
      <c r="AS72" s="130">
        <f t="shared" si="83"/>
        <v>0</v>
      </c>
      <c r="AT72" s="130">
        <f t="shared" si="83"/>
        <v>0</v>
      </c>
      <c r="AU72" s="130">
        <f t="shared" si="83"/>
        <v>0</v>
      </c>
      <c r="AV72" s="130">
        <f t="shared" si="83"/>
        <v>0</v>
      </c>
      <c r="AW72" s="130">
        <f t="shared" si="83"/>
        <v>0</v>
      </c>
      <c r="AX72" s="130">
        <f t="shared" si="83"/>
        <v>0</v>
      </c>
      <c r="AY72" s="130">
        <f t="shared" si="83"/>
        <v>0</v>
      </c>
      <c r="AZ72" s="130">
        <f t="shared" si="83"/>
        <v>0</v>
      </c>
      <c r="BA72" s="130">
        <f t="shared" si="83"/>
        <v>0</v>
      </c>
      <c r="BB72" s="130">
        <f t="shared" si="83"/>
        <v>0</v>
      </c>
      <c r="BC72" s="130">
        <f t="shared" si="83"/>
        <v>0</v>
      </c>
      <c r="BD72" s="130">
        <f t="shared" si="83"/>
        <v>0</v>
      </c>
      <c r="BE72" s="130">
        <f t="shared" si="83"/>
        <v>0</v>
      </c>
      <c r="BF72" s="130">
        <f t="shared" si="83"/>
        <v>0</v>
      </c>
      <c r="BG72" s="130">
        <f t="shared" si="83"/>
        <v>0</v>
      </c>
      <c r="BH72" s="130">
        <f t="shared" si="83"/>
        <v>0</v>
      </c>
      <c r="BI72" s="130">
        <f t="shared" si="83"/>
        <v>0</v>
      </c>
      <c r="BJ72" s="130">
        <f t="shared" si="83"/>
        <v>0</v>
      </c>
      <c r="BK72" s="130">
        <f t="shared" si="83"/>
        <v>0</v>
      </c>
      <c r="BL72" s="130">
        <f t="shared" si="83"/>
        <v>0</v>
      </c>
      <c r="BM72" s="130">
        <f t="shared" si="83"/>
        <v>0</v>
      </c>
      <c r="BN72" s="130">
        <f t="shared" si="83"/>
        <v>0</v>
      </c>
      <c r="BO72" s="130">
        <f t="shared" si="83"/>
        <v>0</v>
      </c>
      <c r="BP72" s="130">
        <f t="shared" si="83"/>
        <v>0</v>
      </c>
      <c r="BQ72" s="130">
        <f t="shared" si="83"/>
        <v>0</v>
      </c>
      <c r="BR72" s="130">
        <f t="shared" si="83"/>
        <v>0</v>
      </c>
      <c r="BS72" s="130">
        <f t="shared" si="83"/>
        <v>0</v>
      </c>
      <c r="BT72" s="130">
        <f t="shared" si="83"/>
        <v>0</v>
      </c>
      <c r="BU72" s="130">
        <f t="shared" si="83"/>
        <v>0</v>
      </c>
      <c r="BV72" s="130">
        <f t="shared" si="79"/>
        <v>0</v>
      </c>
      <c r="BW72" s="130">
        <f t="shared" si="79"/>
        <v>0</v>
      </c>
      <c r="BX72" s="130">
        <f t="shared" si="79"/>
        <v>0</v>
      </c>
      <c r="BY72" s="130">
        <f t="shared" si="79"/>
        <v>0</v>
      </c>
      <c r="BZ72" s="130">
        <f t="shared" si="79"/>
        <v>0</v>
      </c>
      <c r="CA72" s="130">
        <f t="shared" si="79"/>
        <v>0</v>
      </c>
      <c r="CB72" s="130">
        <f t="shared" si="79"/>
        <v>0</v>
      </c>
      <c r="CC72" s="130">
        <f t="shared" si="79"/>
        <v>0</v>
      </c>
      <c r="CD72" s="130">
        <f t="shared" si="79"/>
        <v>0</v>
      </c>
      <c r="CE72" s="130">
        <f t="shared" si="79"/>
        <v>0</v>
      </c>
      <c r="CF72" s="130">
        <f t="shared" si="79"/>
        <v>0</v>
      </c>
      <c r="CG72" s="130">
        <f t="shared" si="79"/>
        <v>0</v>
      </c>
      <c r="CH72" s="130">
        <f t="shared" si="79"/>
        <v>0</v>
      </c>
      <c r="CI72" s="130">
        <f t="shared" si="79"/>
        <v>0</v>
      </c>
      <c r="CJ72" s="130">
        <f t="shared" si="79"/>
        <v>0</v>
      </c>
      <c r="CK72" s="130">
        <f t="shared" si="79"/>
        <v>0</v>
      </c>
      <c r="CL72" s="130">
        <f t="shared" si="79"/>
        <v>0</v>
      </c>
      <c r="CM72" s="130">
        <f t="shared" si="79"/>
        <v>0</v>
      </c>
      <c r="CN72" s="130">
        <f t="shared" si="79"/>
        <v>0</v>
      </c>
      <c r="CO72" s="130">
        <f t="shared" si="79"/>
        <v>0</v>
      </c>
      <c r="CP72" s="130">
        <f t="shared" si="79"/>
        <v>0</v>
      </c>
      <c r="CQ72" s="130">
        <f t="shared" si="79"/>
        <v>0</v>
      </c>
      <c r="CR72" s="130">
        <f t="shared" si="79"/>
        <v>0</v>
      </c>
      <c r="CS72" s="130">
        <f t="shared" si="79"/>
        <v>0</v>
      </c>
      <c r="CT72" s="130">
        <f t="shared" si="79"/>
        <v>0</v>
      </c>
      <c r="CU72" s="130">
        <f t="shared" si="79"/>
        <v>0</v>
      </c>
      <c r="CV72" s="130">
        <f t="shared" si="79"/>
        <v>0</v>
      </c>
      <c r="CW72" s="130">
        <f t="shared" si="79"/>
        <v>0</v>
      </c>
      <c r="CX72" s="130">
        <f t="shared" si="79"/>
        <v>0</v>
      </c>
      <c r="CY72" s="130">
        <f t="shared" si="79"/>
        <v>0</v>
      </c>
      <c r="CZ72" s="130">
        <f t="shared" si="79"/>
        <v>0</v>
      </c>
    </row>
    <row r="73" spans="2:104" x14ac:dyDescent="0.35">
      <c r="B73" s="131" t="str">
        <f>'Development Costs'!B54</f>
        <v>Other Development Charges</v>
      </c>
      <c r="C73" s="130">
        <f>-'Development Costs'!H54</f>
        <v>0</v>
      </c>
      <c r="D73" s="130">
        <f t="shared" si="76"/>
        <v>0</v>
      </c>
      <c r="E73" s="130">
        <f t="shared" si="77"/>
        <v>0</v>
      </c>
      <c r="F73" s="304">
        <f>F72</f>
        <v>44593</v>
      </c>
      <c r="G73" s="304">
        <f>G72</f>
        <v>44958</v>
      </c>
      <c r="H73" s="141">
        <f t="shared" si="80"/>
        <v>13</v>
      </c>
      <c r="I73" s="130">
        <f t="shared" si="81"/>
        <v>0</v>
      </c>
      <c r="J73" s="130">
        <f t="shared" si="81"/>
        <v>0</v>
      </c>
      <c r="K73" s="130">
        <f t="shared" si="81"/>
        <v>0</v>
      </c>
      <c r="L73" s="130">
        <f t="shared" si="81"/>
        <v>0</v>
      </c>
      <c r="M73" s="130">
        <f t="shared" si="81"/>
        <v>0</v>
      </c>
      <c r="N73" s="130">
        <f t="shared" si="81"/>
        <v>0</v>
      </c>
      <c r="O73" s="130">
        <f t="shared" si="81"/>
        <v>0</v>
      </c>
      <c r="P73" s="130">
        <f t="shared" si="81"/>
        <v>0</v>
      </c>
      <c r="Q73" s="130">
        <f t="shared" si="81"/>
        <v>0</v>
      </c>
      <c r="R73" s="130">
        <f t="shared" si="81"/>
        <v>0</v>
      </c>
      <c r="S73" s="130">
        <f t="shared" si="81"/>
        <v>0</v>
      </c>
      <c r="T73" s="130">
        <f t="shared" si="81"/>
        <v>0</v>
      </c>
      <c r="U73" s="130">
        <f t="shared" si="81"/>
        <v>0</v>
      </c>
      <c r="V73" s="130">
        <f t="shared" si="81"/>
        <v>0</v>
      </c>
      <c r="W73" s="130">
        <f t="shared" si="81"/>
        <v>0</v>
      </c>
      <c r="X73" s="130">
        <f t="shared" si="81"/>
        <v>0</v>
      </c>
      <c r="Y73" s="130">
        <f t="shared" ref="Y73:BU77" si="84">IF(AND(Y$7&lt;=$G73,Y$7&gt;=$F73,$H73&lt;&gt;0,$H73&lt;&gt;""),$C73/$H73,0)</f>
        <v>0</v>
      </c>
      <c r="Z73" s="130">
        <f t="shared" si="84"/>
        <v>0</v>
      </c>
      <c r="AA73" s="130">
        <f t="shared" si="84"/>
        <v>0</v>
      </c>
      <c r="AB73" s="130">
        <f t="shared" si="84"/>
        <v>0</v>
      </c>
      <c r="AC73" s="130">
        <f t="shared" si="84"/>
        <v>0</v>
      </c>
      <c r="AD73" s="130">
        <f t="shared" si="84"/>
        <v>0</v>
      </c>
      <c r="AE73" s="130">
        <f t="shared" si="84"/>
        <v>0</v>
      </c>
      <c r="AF73" s="130">
        <f t="shared" si="84"/>
        <v>0</v>
      </c>
      <c r="AG73" s="130">
        <f t="shared" si="84"/>
        <v>0</v>
      </c>
      <c r="AH73" s="130">
        <f t="shared" si="84"/>
        <v>0</v>
      </c>
      <c r="AI73" s="130">
        <f t="shared" si="84"/>
        <v>0</v>
      </c>
      <c r="AJ73" s="130">
        <f t="shared" si="84"/>
        <v>0</v>
      </c>
      <c r="AK73" s="130">
        <f t="shared" si="84"/>
        <v>0</v>
      </c>
      <c r="AL73" s="130">
        <f t="shared" si="84"/>
        <v>0</v>
      </c>
      <c r="AM73" s="130">
        <f t="shared" si="84"/>
        <v>0</v>
      </c>
      <c r="AN73" s="130">
        <f t="shared" si="84"/>
        <v>0</v>
      </c>
      <c r="AO73" s="130">
        <f t="shared" si="84"/>
        <v>0</v>
      </c>
      <c r="AP73" s="130">
        <f t="shared" si="84"/>
        <v>0</v>
      </c>
      <c r="AQ73" s="130">
        <f t="shared" si="84"/>
        <v>0</v>
      </c>
      <c r="AR73" s="130">
        <f t="shared" si="84"/>
        <v>0</v>
      </c>
      <c r="AS73" s="130">
        <f t="shared" si="84"/>
        <v>0</v>
      </c>
      <c r="AT73" s="130">
        <f t="shared" si="84"/>
        <v>0</v>
      </c>
      <c r="AU73" s="130">
        <f t="shared" si="84"/>
        <v>0</v>
      </c>
      <c r="AV73" s="130">
        <f t="shared" si="84"/>
        <v>0</v>
      </c>
      <c r="AW73" s="130">
        <f t="shared" si="84"/>
        <v>0</v>
      </c>
      <c r="AX73" s="130">
        <f t="shared" si="84"/>
        <v>0</v>
      </c>
      <c r="AY73" s="130">
        <f t="shared" si="84"/>
        <v>0</v>
      </c>
      <c r="AZ73" s="130">
        <f t="shared" si="84"/>
        <v>0</v>
      </c>
      <c r="BA73" s="130">
        <f t="shared" si="84"/>
        <v>0</v>
      </c>
      <c r="BB73" s="130">
        <f t="shared" si="84"/>
        <v>0</v>
      </c>
      <c r="BC73" s="130">
        <f t="shared" si="84"/>
        <v>0</v>
      </c>
      <c r="BD73" s="130">
        <f t="shared" si="84"/>
        <v>0</v>
      </c>
      <c r="BE73" s="130">
        <f t="shared" si="84"/>
        <v>0</v>
      </c>
      <c r="BF73" s="130">
        <f t="shared" si="84"/>
        <v>0</v>
      </c>
      <c r="BG73" s="130">
        <f t="shared" si="84"/>
        <v>0</v>
      </c>
      <c r="BH73" s="130">
        <f t="shared" si="84"/>
        <v>0</v>
      </c>
      <c r="BI73" s="130">
        <f t="shared" si="84"/>
        <v>0</v>
      </c>
      <c r="BJ73" s="130">
        <f t="shared" si="84"/>
        <v>0</v>
      </c>
      <c r="BK73" s="130">
        <f t="shared" si="84"/>
        <v>0</v>
      </c>
      <c r="BL73" s="130">
        <f t="shared" si="84"/>
        <v>0</v>
      </c>
      <c r="BM73" s="130">
        <f t="shared" si="84"/>
        <v>0</v>
      </c>
      <c r="BN73" s="130">
        <f t="shared" si="84"/>
        <v>0</v>
      </c>
      <c r="BO73" s="130">
        <f t="shared" si="84"/>
        <v>0</v>
      </c>
      <c r="BP73" s="130">
        <f t="shared" si="84"/>
        <v>0</v>
      </c>
      <c r="BQ73" s="130">
        <f t="shared" si="84"/>
        <v>0</v>
      </c>
      <c r="BR73" s="130">
        <f t="shared" si="84"/>
        <v>0</v>
      </c>
      <c r="BS73" s="130">
        <f t="shared" si="84"/>
        <v>0</v>
      </c>
      <c r="BT73" s="130">
        <f t="shared" si="84"/>
        <v>0</v>
      </c>
      <c r="BU73" s="130">
        <f t="shared" si="83"/>
        <v>0</v>
      </c>
      <c r="BV73" s="130">
        <f t="shared" si="83"/>
        <v>0</v>
      </c>
      <c r="BW73" s="130">
        <f t="shared" si="83"/>
        <v>0</v>
      </c>
      <c r="BX73" s="130">
        <f t="shared" si="83"/>
        <v>0</v>
      </c>
      <c r="BY73" s="130">
        <f t="shared" si="83"/>
        <v>0</v>
      </c>
      <c r="BZ73" s="130">
        <f t="shared" si="83"/>
        <v>0</v>
      </c>
      <c r="CA73" s="130">
        <f t="shared" si="83"/>
        <v>0</v>
      </c>
      <c r="CB73" s="130">
        <f t="shared" si="83"/>
        <v>0</v>
      </c>
      <c r="CC73" s="130">
        <f t="shared" si="83"/>
        <v>0</v>
      </c>
      <c r="CD73" s="130">
        <f t="shared" si="83"/>
        <v>0</v>
      </c>
      <c r="CE73" s="130">
        <f t="shared" si="83"/>
        <v>0</v>
      </c>
      <c r="CF73" s="130">
        <f t="shared" si="83"/>
        <v>0</v>
      </c>
      <c r="CG73" s="130">
        <f t="shared" si="83"/>
        <v>0</v>
      </c>
      <c r="CH73" s="130">
        <f t="shared" si="83"/>
        <v>0</v>
      </c>
      <c r="CI73" s="130">
        <f t="shared" si="83"/>
        <v>0</v>
      </c>
      <c r="CJ73" s="130">
        <f t="shared" si="83"/>
        <v>0</v>
      </c>
      <c r="CK73" s="130">
        <f t="shared" si="83"/>
        <v>0</v>
      </c>
      <c r="CL73" s="130">
        <f t="shared" si="83"/>
        <v>0</v>
      </c>
      <c r="CM73" s="130">
        <f t="shared" si="83"/>
        <v>0</v>
      </c>
      <c r="CN73" s="130">
        <f t="shared" si="83"/>
        <v>0</v>
      </c>
      <c r="CO73" s="130">
        <f t="shared" si="83"/>
        <v>0</v>
      </c>
      <c r="CP73" s="130">
        <f t="shared" si="83"/>
        <v>0</v>
      </c>
      <c r="CQ73" s="130">
        <f t="shared" si="83"/>
        <v>0</v>
      </c>
      <c r="CR73" s="130">
        <f t="shared" si="83"/>
        <v>0</v>
      </c>
      <c r="CS73" s="130">
        <f t="shared" si="83"/>
        <v>0</v>
      </c>
      <c r="CT73" s="130">
        <f t="shared" si="83"/>
        <v>0</v>
      </c>
      <c r="CU73" s="130">
        <f t="shared" si="83"/>
        <v>0</v>
      </c>
      <c r="CV73" s="130">
        <f t="shared" si="83"/>
        <v>0</v>
      </c>
      <c r="CW73" s="130">
        <f t="shared" si="83"/>
        <v>0</v>
      </c>
      <c r="CX73" s="130">
        <f t="shared" si="83"/>
        <v>0</v>
      </c>
      <c r="CY73" s="130">
        <f t="shared" si="79"/>
        <v>0</v>
      </c>
      <c r="CZ73" s="130">
        <f t="shared" si="79"/>
        <v>0</v>
      </c>
    </row>
    <row r="74" spans="2:104" x14ac:dyDescent="0.35">
      <c r="B74" s="409" t="str">
        <f>'Development Costs'!B55</f>
        <v>Sub-Meter Installation Fee Credit</v>
      </c>
      <c r="C74" s="410">
        <f>-'Development Costs'!H55</f>
        <v>60000</v>
      </c>
      <c r="D74" s="410"/>
      <c r="E74" s="410">
        <f t="shared" ref="E74" si="85">SUM(I74:CZ74)</f>
        <v>60000</v>
      </c>
      <c r="F74" s="304">
        <f>+G41</f>
        <v>45536</v>
      </c>
      <c r="G74" s="304">
        <f>+F74</f>
        <v>45536</v>
      </c>
      <c r="H74" s="141">
        <f t="shared" ref="H74" si="86">DATEDIF(F74,G74,"m")+1</f>
        <v>1</v>
      </c>
      <c r="I74" s="130">
        <f t="shared" si="81"/>
        <v>0</v>
      </c>
      <c r="J74" s="130">
        <f t="shared" si="81"/>
        <v>0</v>
      </c>
      <c r="K74" s="130">
        <f t="shared" si="81"/>
        <v>0</v>
      </c>
      <c r="L74" s="130">
        <f t="shared" si="81"/>
        <v>0</v>
      </c>
      <c r="M74" s="130">
        <f t="shared" si="81"/>
        <v>0</v>
      </c>
      <c r="N74" s="130">
        <f t="shared" si="81"/>
        <v>0</v>
      </c>
      <c r="O74" s="130">
        <f t="shared" si="81"/>
        <v>0</v>
      </c>
      <c r="P74" s="130">
        <f t="shared" si="81"/>
        <v>0</v>
      </c>
      <c r="Q74" s="130">
        <f t="shared" si="81"/>
        <v>0</v>
      </c>
      <c r="R74" s="130">
        <f t="shared" si="81"/>
        <v>0</v>
      </c>
      <c r="S74" s="130">
        <f t="shared" si="81"/>
        <v>0</v>
      </c>
      <c r="T74" s="130">
        <f t="shared" si="81"/>
        <v>0</v>
      </c>
      <c r="U74" s="130">
        <f t="shared" si="81"/>
        <v>0</v>
      </c>
      <c r="V74" s="130">
        <f t="shared" si="81"/>
        <v>0</v>
      </c>
      <c r="W74" s="130">
        <f t="shared" si="81"/>
        <v>0</v>
      </c>
      <c r="X74" s="130">
        <f t="shared" si="81"/>
        <v>0</v>
      </c>
      <c r="Y74" s="130">
        <f t="shared" si="84"/>
        <v>0</v>
      </c>
      <c r="Z74" s="130">
        <f t="shared" si="84"/>
        <v>0</v>
      </c>
      <c r="AA74" s="130">
        <f t="shared" si="84"/>
        <v>0</v>
      </c>
      <c r="AB74" s="130">
        <f t="shared" si="84"/>
        <v>0</v>
      </c>
      <c r="AC74" s="130">
        <f t="shared" si="84"/>
        <v>0</v>
      </c>
      <c r="AD74" s="130">
        <f t="shared" si="84"/>
        <v>0</v>
      </c>
      <c r="AE74" s="130">
        <f t="shared" si="84"/>
        <v>0</v>
      </c>
      <c r="AF74" s="130">
        <f t="shared" si="84"/>
        <v>0</v>
      </c>
      <c r="AG74" s="130">
        <f t="shared" si="84"/>
        <v>0</v>
      </c>
      <c r="AH74" s="130">
        <f t="shared" si="84"/>
        <v>0</v>
      </c>
      <c r="AI74" s="130">
        <f t="shared" si="84"/>
        <v>0</v>
      </c>
      <c r="AJ74" s="130">
        <f t="shared" si="84"/>
        <v>0</v>
      </c>
      <c r="AK74" s="130">
        <f t="shared" si="84"/>
        <v>0</v>
      </c>
      <c r="AL74" s="130">
        <f t="shared" si="84"/>
        <v>0</v>
      </c>
      <c r="AM74" s="130">
        <f t="shared" si="84"/>
        <v>0</v>
      </c>
      <c r="AN74" s="130">
        <f t="shared" si="84"/>
        <v>0</v>
      </c>
      <c r="AO74" s="130">
        <f t="shared" si="84"/>
        <v>60000</v>
      </c>
      <c r="AP74" s="130">
        <f t="shared" si="84"/>
        <v>0</v>
      </c>
      <c r="AQ74" s="130">
        <f t="shared" si="84"/>
        <v>0</v>
      </c>
      <c r="AR74" s="130">
        <f t="shared" si="84"/>
        <v>0</v>
      </c>
      <c r="AS74" s="130">
        <f t="shared" si="84"/>
        <v>0</v>
      </c>
      <c r="AT74" s="130">
        <f t="shared" si="84"/>
        <v>0</v>
      </c>
      <c r="AU74" s="130">
        <f t="shared" si="84"/>
        <v>0</v>
      </c>
      <c r="AV74" s="130">
        <f t="shared" si="84"/>
        <v>0</v>
      </c>
      <c r="AW74" s="130">
        <f t="shared" si="84"/>
        <v>0</v>
      </c>
      <c r="AX74" s="130">
        <f t="shared" si="84"/>
        <v>0</v>
      </c>
      <c r="AY74" s="130">
        <f t="shared" si="84"/>
        <v>0</v>
      </c>
      <c r="AZ74" s="130">
        <f t="shared" si="84"/>
        <v>0</v>
      </c>
      <c r="BA74" s="130">
        <f t="shared" si="84"/>
        <v>0</v>
      </c>
      <c r="BB74" s="130">
        <f t="shared" si="84"/>
        <v>0</v>
      </c>
      <c r="BC74" s="130">
        <f t="shared" si="84"/>
        <v>0</v>
      </c>
      <c r="BD74" s="130">
        <f t="shared" si="84"/>
        <v>0</v>
      </c>
      <c r="BE74" s="130">
        <f t="shared" si="84"/>
        <v>0</v>
      </c>
      <c r="BF74" s="130">
        <f t="shared" si="84"/>
        <v>0</v>
      </c>
      <c r="BG74" s="130">
        <f t="shared" si="84"/>
        <v>0</v>
      </c>
      <c r="BH74" s="130">
        <f t="shared" si="84"/>
        <v>0</v>
      </c>
      <c r="BI74" s="130">
        <f t="shared" si="84"/>
        <v>0</v>
      </c>
      <c r="BJ74" s="130">
        <f t="shared" si="84"/>
        <v>0</v>
      </c>
      <c r="BK74" s="130">
        <f t="shared" si="84"/>
        <v>0</v>
      </c>
      <c r="BL74" s="130">
        <f t="shared" si="84"/>
        <v>0</v>
      </c>
      <c r="BM74" s="130">
        <f t="shared" si="84"/>
        <v>0</v>
      </c>
      <c r="BN74" s="130">
        <f t="shared" si="84"/>
        <v>0</v>
      </c>
      <c r="BO74" s="130">
        <f t="shared" si="84"/>
        <v>0</v>
      </c>
      <c r="BP74" s="130">
        <f t="shared" si="84"/>
        <v>0</v>
      </c>
      <c r="BQ74" s="130">
        <f t="shared" si="84"/>
        <v>0</v>
      </c>
      <c r="BR74" s="130">
        <f t="shared" si="84"/>
        <v>0</v>
      </c>
      <c r="BS74" s="130">
        <f t="shared" si="84"/>
        <v>0</v>
      </c>
      <c r="BT74" s="130">
        <f t="shared" si="84"/>
        <v>0</v>
      </c>
      <c r="BU74" s="130">
        <f t="shared" si="83"/>
        <v>0</v>
      </c>
      <c r="BV74" s="130">
        <f t="shared" si="83"/>
        <v>0</v>
      </c>
      <c r="BW74" s="130">
        <f t="shared" si="83"/>
        <v>0</v>
      </c>
      <c r="BX74" s="130">
        <f t="shared" si="83"/>
        <v>0</v>
      </c>
      <c r="BY74" s="130">
        <f t="shared" si="83"/>
        <v>0</v>
      </c>
      <c r="BZ74" s="130">
        <f t="shared" si="83"/>
        <v>0</v>
      </c>
      <c r="CA74" s="130">
        <f t="shared" si="83"/>
        <v>0</v>
      </c>
      <c r="CB74" s="130">
        <f t="shared" si="83"/>
        <v>0</v>
      </c>
      <c r="CC74" s="130">
        <f t="shared" si="83"/>
        <v>0</v>
      </c>
      <c r="CD74" s="130">
        <f t="shared" si="83"/>
        <v>0</v>
      </c>
      <c r="CE74" s="130">
        <f t="shared" si="83"/>
        <v>0</v>
      </c>
      <c r="CF74" s="130">
        <f t="shared" si="83"/>
        <v>0</v>
      </c>
      <c r="CG74" s="130">
        <f t="shared" si="83"/>
        <v>0</v>
      </c>
      <c r="CH74" s="130">
        <f t="shared" si="83"/>
        <v>0</v>
      </c>
      <c r="CI74" s="130">
        <f t="shared" si="83"/>
        <v>0</v>
      </c>
      <c r="CJ74" s="130">
        <f t="shared" si="83"/>
        <v>0</v>
      </c>
      <c r="CK74" s="130">
        <f t="shared" si="83"/>
        <v>0</v>
      </c>
      <c r="CL74" s="130">
        <f t="shared" si="83"/>
        <v>0</v>
      </c>
      <c r="CM74" s="130">
        <f t="shared" si="83"/>
        <v>0</v>
      </c>
      <c r="CN74" s="130">
        <f t="shared" si="83"/>
        <v>0</v>
      </c>
      <c r="CO74" s="130">
        <f t="shared" si="83"/>
        <v>0</v>
      </c>
      <c r="CP74" s="130">
        <f t="shared" si="83"/>
        <v>0</v>
      </c>
      <c r="CQ74" s="130">
        <f t="shared" si="83"/>
        <v>0</v>
      </c>
      <c r="CR74" s="130">
        <f t="shared" si="83"/>
        <v>0</v>
      </c>
      <c r="CS74" s="130">
        <f t="shared" si="83"/>
        <v>0</v>
      </c>
      <c r="CT74" s="130">
        <f t="shared" si="83"/>
        <v>0</v>
      </c>
      <c r="CU74" s="130">
        <f t="shared" si="83"/>
        <v>0</v>
      </c>
      <c r="CV74" s="130">
        <f t="shared" si="83"/>
        <v>0</v>
      </c>
      <c r="CW74" s="130">
        <f t="shared" si="83"/>
        <v>0</v>
      </c>
      <c r="CX74" s="130">
        <f t="shared" si="83"/>
        <v>0</v>
      </c>
      <c r="CY74" s="130">
        <f t="shared" si="79"/>
        <v>0</v>
      </c>
      <c r="CZ74" s="130">
        <f t="shared" si="79"/>
        <v>0</v>
      </c>
    </row>
    <row r="75" spans="2:104" x14ac:dyDescent="0.35">
      <c r="B75" s="131" t="str">
        <f>'Development Costs'!B56</f>
        <v>Utilities Connection</v>
      </c>
      <c r="C75" s="130">
        <f>-'Development Costs'!H56</f>
        <v>0</v>
      </c>
      <c r="D75" s="130">
        <f t="shared" si="76"/>
        <v>0</v>
      </c>
      <c r="E75" s="130">
        <f t="shared" si="77"/>
        <v>0</v>
      </c>
      <c r="F75" s="304">
        <f t="shared" ref="F75:G77" si="87">F$47</f>
        <v>44593</v>
      </c>
      <c r="G75" s="304">
        <f t="shared" si="87"/>
        <v>45536</v>
      </c>
      <c r="H75" s="141">
        <f t="shared" si="80"/>
        <v>32</v>
      </c>
      <c r="I75" s="130">
        <f t="shared" si="81"/>
        <v>0</v>
      </c>
      <c r="J75" s="130">
        <f t="shared" si="81"/>
        <v>0</v>
      </c>
      <c r="K75" s="130">
        <f t="shared" si="81"/>
        <v>0</v>
      </c>
      <c r="L75" s="130">
        <f t="shared" si="81"/>
        <v>0</v>
      </c>
      <c r="M75" s="130">
        <f t="shared" si="81"/>
        <v>0</v>
      </c>
      <c r="N75" s="130">
        <f t="shared" si="81"/>
        <v>0</v>
      </c>
      <c r="O75" s="130">
        <f t="shared" si="81"/>
        <v>0</v>
      </c>
      <c r="P75" s="130">
        <f t="shared" si="81"/>
        <v>0</v>
      </c>
      <c r="Q75" s="130">
        <f t="shared" si="81"/>
        <v>0</v>
      </c>
      <c r="R75" s="130">
        <f t="shared" si="81"/>
        <v>0</v>
      </c>
      <c r="S75" s="130">
        <f t="shared" si="81"/>
        <v>0</v>
      </c>
      <c r="T75" s="130">
        <f t="shared" si="81"/>
        <v>0</v>
      </c>
      <c r="U75" s="130">
        <f t="shared" si="81"/>
        <v>0</v>
      </c>
      <c r="V75" s="130">
        <f t="shared" si="81"/>
        <v>0</v>
      </c>
      <c r="W75" s="130">
        <f t="shared" si="81"/>
        <v>0</v>
      </c>
      <c r="X75" s="130">
        <f t="shared" si="81"/>
        <v>0</v>
      </c>
      <c r="Y75" s="130">
        <f t="shared" si="84"/>
        <v>0</v>
      </c>
      <c r="Z75" s="130">
        <f t="shared" si="84"/>
        <v>0</v>
      </c>
      <c r="AA75" s="130">
        <f t="shared" si="84"/>
        <v>0</v>
      </c>
      <c r="AB75" s="130">
        <f t="shared" si="84"/>
        <v>0</v>
      </c>
      <c r="AC75" s="130">
        <f t="shared" si="84"/>
        <v>0</v>
      </c>
      <c r="AD75" s="130">
        <f t="shared" si="84"/>
        <v>0</v>
      </c>
      <c r="AE75" s="130">
        <f t="shared" si="84"/>
        <v>0</v>
      </c>
      <c r="AF75" s="130">
        <f t="shared" si="84"/>
        <v>0</v>
      </c>
      <c r="AG75" s="130">
        <f t="shared" si="84"/>
        <v>0</v>
      </c>
      <c r="AH75" s="130">
        <f t="shared" si="84"/>
        <v>0</v>
      </c>
      <c r="AI75" s="130">
        <f t="shared" si="84"/>
        <v>0</v>
      </c>
      <c r="AJ75" s="130">
        <f t="shared" si="84"/>
        <v>0</v>
      </c>
      <c r="AK75" s="130">
        <f t="shared" si="84"/>
        <v>0</v>
      </c>
      <c r="AL75" s="130">
        <f t="shared" si="84"/>
        <v>0</v>
      </c>
      <c r="AM75" s="130">
        <f t="shared" si="84"/>
        <v>0</v>
      </c>
      <c r="AN75" s="130">
        <f t="shared" si="84"/>
        <v>0</v>
      </c>
      <c r="AO75" s="130">
        <f t="shared" si="84"/>
        <v>0</v>
      </c>
      <c r="AP75" s="130">
        <f t="shared" si="84"/>
        <v>0</v>
      </c>
      <c r="AQ75" s="130">
        <f t="shared" si="84"/>
        <v>0</v>
      </c>
      <c r="AR75" s="130">
        <f t="shared" si="84"/>
        <v>0</v>
      </c>
      <c r="AS75" s="130">
        <f t="shared" si="84"/>
        <v>0</v>
      </c>
      <c r="AT75" s="130">
        <f t="shared" si="84"/>
        <v>0</v>
      </c>
      <c r="AU75" s="130">
        <f t="shared" si="84"/>
        <v>0</v>
      </c>
      <c r="AV75" s="130">
        <f t="shared" si="84"/>
        <v>0</v>
      </c>
      <c r="AW75" s="130">
        <f t="shared" si="84"/>
        <v>0</v>
      </c>
      <c r="AX75" s="130">
        <f t="shared" si="84"/>
        <v>0</v>
      </c>
      <c r="AY75" s="130">
        <f t="shared" si="84"/>
        <v>0</v>
      </c>
      <c r="AZ75" s="130">
        <f t="shared" si="84"/>
        <v>0</v>
      </c>
      <c r="BA75" s="130">
        <f t="shared" si="84"/>
        <v>0</v>
      </c>
      <c r="BB75" s="130">
        <f t="shared" si="84"/>
        <v>0</v>
      </c>
      <c r="BC75" s="130">
        <f t="shared" si="84"/>
        <v>0</v>
      </c>
      <c r="BD75" s="130">
        <f t="shared" si="84"/>
        <v>0</v>
      </c>
      <c r="BE75" s="130">
        <f t="shared" si="84"/>
        <v>0</v>
      </c>
      <c r="BF75" s="130">
        <f t="shared" si="84"/>
        <v>0</v>
      </c>
      <c r="BG75" s="130">
        <f t="shared" si="84"/>
        <v>0</v>
      </c>
      <c r="BH75" s="130">
        <f t="shared" si="84"/>
        <v>0</v>
      </c>
      <c r="BI75" s="130">
        <f t="shared" si="84"/>
        <v>0</v>
      </c>
      <c r="BJ75" s="130">
        <f t="shared" si="84"/>
        <v>0</v>
      </c>
      <c r="BK75" s="130">
        <f t="shared" si="84"/>
        <v>0</v>
      </c>
      <c r="BL75" s="130">
        <f t="shared" si="84"/>
        <v>0</v>
      </c>
      <c r="BM75" s="130">
        <f t="shared" si="84"/>
        <v>0</v>
      </c>
      <c r="BN75" s="130">
        <f t="shared" si="84"/>
        <v>0</v>
      </c>
      <c r="BO75" s="130">
        <f t="shared" si="84"/>
        <v>0</v>
      </c>
      <c r="BP75" s="130">
        <f t="shared" si="84"/>
        <v>0</v>
      </c>
      <c r="BQ75" s="130">
        <f t="shared" si="84"/>
        <v>0</v>
      </c>
      <c r="BR75" s="130">
        <f t="shared" si="84"/>
        <v>0</v>
      </c>
      <c r="BS75" s="130">
        <f t="shared" si="84"/>
        <v>0</v>
      </c>
      <c r="BT75" s="130">
        <f t="shared" si="84"/>
        <v>0</v>
      </c>
      <c r="BU75" s="130">
        <f t="shared" si="84"/>
        <v>0</v>
      </c>
      <c r="BV75" s="130">
        <f t="shared" si="79"/>
        <v>0</v>
      </c>
      <c r="BW75" s="130">
        <f t="shared" si="79"/>
        <v>0</v>
      </c>
      <c r="BX75" s="130">
        <f t="shared" si="79"/>
        <v>0</v>
      </c>
      <c r="BY75" s="130">
        <f t="shared" si="79"/>
        <v>0</v>
      </c>
      <c r="BZ75" s="130">
        <f t="shared" si="79"/>
        <v>0</v>
      </c>
      <c r="CA75" s="130">
        <f t="shared" si="79"/>
        <v>0</v>
      </c>
      <c r="CB75" s="130">
        <f t="shared" si="79"/>
        <v>0</v>
      </c>
      <c r="CC75" s="130">
        <f t="shared" si="79"/>
        <v>0</v>
      </c>
      <c r="CD75" s="130">
        <f t="shared" si="79"/>
        <v>0</v>
      </c>
      <c r="CE75" s="130">
        <f t="shared" si="79"/>
        <v>0</v>
      </c>
      <c r="CF75" s="130">
        <f t="shared" si="79"/>
        <v>0</v>
      </c>
      <c r="CG75" s="130">
        <f t="shared" si="79"/>
        <v>0</v>
      </c>
      <c r="CH75" s="130">
        <f t="shared" si="79"/>
        <v>0</v>
      </c>
      <c r="CI75" s="130">
        <f t="shared" si="79"/>
        <v>0</v>
      </c>
      <c r="CJ75" s="130">
        <f t="shared" si="79"/>
        <v>0</v>
      </c>
      <c r="CK75" s="130">
        <f t="shared" si="79"/>
        <v>0</v>
      </c>
      <c r="CL75" s="130">
        <f t="shared" si="79"/>
        <v>0</v>
      </c>
      <c r="CM75" s="130">
        <f t="shared" si="79"/>
        <v>0</v>
      </c>
      <c r="CN75" s="130">
        <f t="shared" si="79"/>
        <v>0</v>
      </c>
      <c r="CO75" s="130">
        <f t="shared" si="79"/>
        <v>0</v>
      </c>
      <c r="CP75" s="130">
        <f t="shared" si="79"/>
        <v>0</v>
      </c>
      <c r="CQ75" s="130">
        <f t="shared" si="79"/>
        <v>0</v>
      </c>
      <c r="CR75" s="130">
        <f t="shared" si="79"/>
        <v>0</v>
      </c>
      <c r="CS75" s="130">
        <f t="shared" si="79"/>
        <v>0</v>
      </c>
      <c r="CT75" s="130">
        <f t="shared" si="79"/>
        <v>0</v>
      </c>
      <c r="CU75" s="130">
        <f t="shared" si="79"/>
        <v>0</v>
      </c>
      <c r="CV75" s="130">
        <f t="shared" si="79"/>
        <v>0</v>
      </c>
      <c r="CW75" s="130">
        <f t="shared" si="79"/>
        <v>0</v>
      </c>
      <c r="CX75" s="130">
        <f t="shared" si="79"/>
        <v>0</v>
      </c>
      <c r="CY75" s="130">
        <f t="shared" si="79"/>
        <v>0</v>
      </c>
      <c r="CZ75" s="130">
        <f t="shared" si="79"/>
        <v>0</v>
      </c>
    </row>
    <row r="76" spans="2:104" x14ac:dyDescent="0.35">
      <c r="B76" s="131" t="str">
        <f>'Development Costs'!B57</f>
        <v>Land titles</v>
      </c>
      <c r="C76" s="130">
        <f>-'Development Costs'!H57</f>
        <v>0</v>
      </c>
      <c r="D76" s="130">
        <f t="shared" si="76"/>
        <v>0</v>
      </c>
      <c r="E76" s="130">
        <f t="shared" si="77"/>
        <v>0</v>
      </c>
      <c r="F76" s="121">
        <f>F75</f>
        <v>44593</v>
      </c>
      <c r="G76" s="304">
        <f t="shared" si="87"/>
        <v>45536</v>
      </c>
      <c r="H76" s="141">
        <f t="shared" si="80"/>
        <v>32</v>
      </c>
      <c r="I76" s="130">
        <f t="shared" si="81"/>
        <v>0</v>
      </c>
      <c r="J76" s="130">
        <f t="shared" si="81"/>
        <v>0</v>
      </c>
      <c r="K76" s="130">
        <f t="shared" si="81"/>
        <v>0</v>
      </c>
      <c r="L76" s="130">
        <f t="shared" si="81"/>
        <v>0</v>
      </c>
      <c r="M76" s="130">
        <f t="shared" si="81"/>
        <v>0</v>
      </c>
      <c r="N76" s="130">
        <f t="shared" si="81"/>
        <v>0</v>
      </c>
      <c r="O76" s="130">
        <f t="shared" si="81"/>
        <v>0</v>
      </c>
      <c r="P76" s="130">
        <f t="shared" si="81"/>
        <v>0</v>
      </c>
      <c r="Q76" s="130">
        <f t="shared" si="81"/>
        <v>0</v>
      </c>
      <c r="R76" s="130">
        <f t="shared" si="81"/>
        <v>0</v>
      </c>
      <c r="S76" s="130">
        <f t="shared" si="81"/>
        <v>0</v>
      </c>
      <c r="T76" s="130">
        <f t="shared" si="81"/>
        <v>0</v>
      </c>
      <c r="U76" s="130">
        <f t="shared" si="81"/>
        <v>0</v>
      </c>
      <c r="V76" s="130">
        <f t="shared" si="81"/>
        <v>0</v>
      </c>
      <c r="W76" s="130">
        <f t="shared" si="81"/>
        <v>0</v>
      </c>
      <c r="X76" s="130">
        <f t="shared" si="81"/>
        <v>0</v>
      </c>
      <c r="Y76" s="130">
        <f t="shared" si="84"/>
        <v>0</v>
      </c>
      <c r="Z76" s="130">
        <f t="shared" si="84"/>
        <v>0</v>
      </c>
      <c r="AA76" s="130">
        <f t="shared" si="84"/>
        <v>0</v>
      </c>
      <c r="AB76" s="130">
        <f t="shared" si="84"/>
        <v>0</v>
      </c>
      <c r="AC76" s="130">
        <f t="shared" si="84"/>
        <v>0</v>
      </c>
      <c r="AD76" s="130">
        <f t="shared" si="84"/>
        <v>0</v>
      </c>
      <c r="AE76" s="130">
        <f t="shared" si="84"/>
        <v>0</v>
      </c>
      <c r="AF76" s="130">
        <f t="shared" si="84"/>
        <v>0</v>
      </c>
      <c r="AG76" s="130">
        <f t="shared" si="84"/>
        <v>0</v>
      </c>
      <c r="AH76" s="130">
        <f t="shared" si="84"/>
        <v>0</v>
      </c>
      <c r="AI76" s="130">
        <f t="shared" si="84"/>
        <v>0</v>
      </c>
      <c r="AJ76" s="130">
        <f t="shared" si="84"/>
        <v>0</v>
      </c>
      <c r="AK76" s="130">
        <f t="shared" si="84"/>
        <v>0</v>
      </c>
      <c r="AL76" s="130">
        <f t="shared" si="84"/>
        <v>0</v>
      </c>
      <c r="AM76" s="130">
        <f t="shared" si="84"/>
        <v>0</v>
      </c>
      <c r="AN76" s="130">
        <f t="shared" si="84"/>
        <v>0</v>
      </c>
      <c r="AO76" s="130">
        <f t="shared" si="84"/>
        <v>0</v>
      </c>
      <c r="AP76" s="130">
        <f t="shared" si="84"/>
        <v>0</v>
      </c>
      <c r="AQ76" s="130">
        <f t="shared" si="84"/>
        <v>0</v>
      </c>
      <c r="AR76" s="130">
        <f t="shared" si="84"/>
        <v>0</v>
      </c>
      <c r="AS76" s="130">
        <f t="shared" si="84"/>
        <v>0</v>
      </c>
      <c r="AT76" s="130">
        <f t="shared" si="84"/>
        <v>0</v>
      </c>
      <c r="AU76" s="130">
        <f t="shared" si="84"/>
        <v>0</v>
      </c>
      <c r="AV76" s="130">
        <f t="shared" si="84"/>
        <v>0</v>
      </c>
      <c r="AW76" s="130">
        <f t="shared" si="84"/>
        <v>0</v>
      </c>
      <c r="AX76" s="130">
        <f t="shared" si="84"/>
        <v>0</v>
      </c>
      <c r="AY76" s="130">
        <f t="shared" si="84"/>
        <v>0</v>
      </c>
      <c r="AZ76" s="130">
        <f t="shared" si="84"/>
        <v>0</v>
      </c>
      <c r="BA76" s="130">
        <f t="shared" si="84"/>
        <v>0</v>
      </c>
      <c r="BB76" s="130">
        <f t="shared" si="84"/>
        <v>0</v>
      </c>
      <c r="BC76" s="130">
        <f t="shared" si="84"/>
        <v>0</v>
      </c>
      <c r="BD76" s="130">
        <f t="shared" si="84"/>
        <v>0</v>
      </c>
      <c r="BE76" s="130">
        <f t="shared" si="84"/>
        <v>0</v>
      </c>
      <c r="BF76" s="130">
        <f t="shared" si="84"/>
        <v>0</v>
      </c>
      <c r="BG76" s="130">
        <f t="shared" si="84"/>
        <v>0</v>
      </c>
      <c r="BH76" s="130">
        <f t="shared" si="84"/>
        <v>0</v>
      </c>
      <c r="BI76" s="130">
        <f t="shared" si="84"/>
        <v>0</v>
      </c>
      <c r="BJ76" s="130">
        <f t="shared" si="84"/>
        <v>0</v>
      </c>
      <c r="BK76" s="130">
        <f t="shared" si="84"/>
        <v>0</v>
      </c>
      <c r="BL76" s="130">
        <f t="shared" si="84"/>
        <v>0</v>
      </c>
      <c r="BM76" s="130">
        <f t="shared" si="84"/>
        <v>0</v>
      </c>
      <c r="BN76" s="130">
        <f t="shared" si="84"/>
        <v>0</v>
      </c>
      <c r="BO76" s="130">
        <f t="shared" si="84"/>
        <v>0</v>
      </c>
      <c r="BP76" s="130">
        <f t="shared" si="84"/>
        <v>0</v>
      </c>
      <c r="BQ76" s="130">
        <f t="shared" si="84"/>
        <v>0</v>
      </c>
      <c r="BR76" s="130">
        <f t="shared" si="84"/>
        <v>0</v>
      </c>
      <c r="BS76" s="130">
        <f t="shared" si="84"/>
        <v>0</v>
      </c>
      <c r="BT76" s="130">
        <f t="shared" si="84"/>
        <v>0</v>
      </c>
      <c r="BU76" s="130">
        <f t="shared" si="84"/>
        <v>0</v>
      </c>
      <c r="BV76" s="130">
        <f t="shared" si="79"/>
        <v>0</v>
      </c>
      <c r="BW76" s="130">
        <f t="shared" si="79"/>
        <v>0</v>
      </c>
      <c r="BX76" s="130">
        <f t="shared" si="79"/>
        <v>0</v>
      </c>
      <c r="BY76" s="130">
        <f t="shared" si="79"/>
        <v>0</v>
      </c>
      <c r="BZ76" s="130">
        <f t="shared" si="79"/>
        <v>0</v>
      </c>
      <c r="CA76" s="130">
        <f t="shared" si="79"/>
        <v>0</v>
      </c>
      <c r="CB76" s="130">
        <f t="shared" si="79"/>
        <v>0</v>
      </c>
      <c r="CC76" s="130">
        <f t="shared" si="79"/>
        <v>0</v>
      </c>
      <c r="CD76" s="130">
        <f t="shared" si="79"/>
        <v>0</v>
      </c>
      <c r="CE76" s="130">
        <f t="shared" si="79"/>
        <v>0</v>
      </c>
      <c r="CF76" s="130">
        <f t="shared" si="79"/>
        <v>0</v>
      </c>
      <c r="CG76" s="130">
        <f t="shared" si="79"/>
        <v>0</v>
      </c>
      <c r="CH76" s="130">
        <f t="shared" si="79"/>
        <v>0</v>
      </c>
      <c r="CI76" s="130">
        <f t="shared" si="79"/>
        <v>0</v>
      </c>
      <c r="CJ76" s="130">
        <f t="shared" si="79"/>
        <v>0</v>
      </c>
      <c r="CK76" s="130">
        <f t="shared" si="79"/>
        <v>0</v>
      </c>
      <c r="CL76" s="130">
        <f t="shared" si="79"/>
        <v>0</v>
      </c>
      <c r="CM76" s="130">
        <f t="shared" si="79"/>
        <v>0</v>
      </c>
      <c r="CN76" s="130">
        <f t="shared" si="79"/>
        <v>0</v>
      </c>
      <c r="CO76" s="130">
        <f t="shared" si="79"/>
        <v>0</v>
      </c>
      <c r="CP76" s="130">
        <f t="shared" si="79"/>
        <v>0</v>
      </c>
      <c r="CQ76" s="130">
        <f t="shared" si="79"/>
        <v>0</v>
      </c>
      <c r="CR76" s="130">
        <f t="shared" si="79"/>
        <v>0</v>
      </c>
      <c r="CS76" s="130">
        <f t="shared" si="79"/>
        <v>0</v>
      </c>
      <c r="CT76" s="130">
        <f t="shared" si="79"/>
        <v>0</v>
      </c>
      <c r="CU76" s="130">
        <f t="shared" si="79"/>
        <v>0</v>
      </c>
      <c r="CV76" s="130">
        <f t="shared" si="79"/>
        <v>0</v>
      </c>
      <c r="CW76" s="130">
        <f t="shared" si="79"/>
        <v>0</v>
      </c>
      <c r="CX76" s="130">
        <f t="shared" si="79"/>
        <v>0</v>
      </c>
      <c r="CY76" s="130">
        <f t="shared" si="79"/>
        <v>0</v>
      </c>
      <c r="CZ76" s="130">
        <f t="shared" si="79"/>
        <v>0</v>
      </c>
    </row>
    <row r="77" spans="2:104" x14ac:dyDescent="0.35">
      <c r="B77" s="131" t="str">
        <f>'Development Costs'!B58</f>
        <v>Permit and approval contingency</v>
      </c>
      <c r="C77" s="130">
        <f>-'Development Costs'!H58</f>
        <v>-304000</v>
      </c>
      <c r="D77" s="130">
        <f t="shared" si="76"/>
        <v>0</v>
      </c>
      <c r="E77" s="130">
        <f t="shared" si="77"/>
        <v>-304000</v>
      </c>
      <c r="F77" s="304">
        <f t="shared" si="87"/>
        <v>44593</v>
      </c>
      <c r="G77" s="304">
        <f t="shared" si="87"/>
        <v>45536</v>
      </c>
      <c r="H77" s="141">
        <f t="shared" si="80"/>
        <v>32</v>
      </c>
      <c r="I77" s="130">
        <f t="shared" si="81"/>
        <v>0</v>
      </c>
      <c r="J77" s="130">
        <f t="shared" si="81"/>
        <v>-9500</v>
      </c>
      <c r="K77" s="130">
        <f t="shared" si="81"/>
        <v>-9500</v>
      </c>
      <c r="L77" s="130">
        <f t="shared" si="81"/>
        <v>-9500</v>
      </c>
      <c r="M77" s="130">
        <f t="shared" si="81"/>
        <v>-9500</v>
      </c>
      <c r="N77" s="130">
        <f t="shared" si="81"/>
        <v>-9500</v>
      </c>
      <c r="O77" s="130">
        <f t="shared" si="81"/>
        <v>-9500</v>
      </c>
      <c r="P77" s="130">
        <f t="shared" si="81"/>
        <v>-9500</v>
      </c>
      <c r="Q77" s="130">
        <f t="shared" si="81"/>
        <v>-9500</v>
      </c>
      <c r="R77" s="130">
        <f t="shared" si="81"/>
        <v>-9500</v>
      </c>
      <c r="S77" s="130">
        <f t="shared" si="81"/>
        <v>-9500</v>
      </c>
      <c r="T77" s="130">
        <f t="shared" si="81"/>
        <v>-9500</v>
      </c>
      <c r="U77" s="130">
        <f t="shared" si="81"/>
        <v>-9500</v>
      </c>
      <c r="V77" s="130">
        <f t="shared" si="81"/>
        <v>-9500</v>
      </c>
      <c r="W77" s="130">
        <f t="shared" si="81"/>
        <v>-9500</v>
      </c>
      <c r="X77" s="130">
        <f t="shared" si="81"/>
        <v>-9500</v>
      </c>
      <c r="Y77" s="130">
        <f t="shared" si="84"/>
        <v>-9500</v>
      </c>
      <c r="Z77" s="130">
        <f t="shared" si="84"/>
        <v>-9500</v>
      </c>
      <c r="AA77" s="130">
        <f t="shared" si="84"/>
        <v>-9500</v>
      </c>
      <c r="AB77" s="130">
        <f t="shared" si="84"/>
        <v>-9500</v>
      </c>
      <c r="AC77" s="130">
        <f t="shared" si="84"/>
        <v>-9500</v>
      </c>
      <c r="AD77" s="130">
        <f t="shared" si="84"/>
        <v>-9500</v>
      </c>
      <c r="AE77" s="130">
        <f t="shared" si="84"/>
        <v>-9500</v>
      </c>
      <c r="AF77" s="130">
        <f t="shared" si="84"/>
        <v>-9500</v>
      </c>
      <c r="AG77" s="130">
        <f t="shared" si="84"/>
        <v>-9500</v>
      </c>
      <c r="AH77" s="130">
        <f t="shared" si="84"/>
        <v>-9500</v>
      </c>
      <c r="AI77" s="130">
        <f t="shared" si="84"/>
        <v>-9500</v>
      </c>
      <c r="AJ77" s="130">
        <f t="shared" si="84"/>
        <v>-9500</v>
      </c>
      <c r="AK77" s="130">
        <f t="shared" si="84"/>
        <v>-9500</v>
      </c>
      <c r="AL77" s="130">
        <f t="shared" si="84"/>
        <v>-9500</v>
      </c>
      <c r="AM77" s="130">
        <f t="shared" si="84"/>
        <v>-9500</v>
      </c>
      <c r="AN77" s="130">
        <f t="shared" si="84"/>
        <v>-9500</v>
      </c>
      <c r="AO77" s="130">
        <f t="shared" si="84"/>
        <v>-9500</v>
      </c>
      <c r="AP77" s="130">
        <f t="shared" si="84"/>
        <v>0</v>
      </c>
      <c r="AQ77" s="130">
        <f t="shared" si="84"/>
        <v>0</v>
      </c>
      <c r="AR77" s="130">
        <f t="shared" si="84"/>
        <v>0</v>
      </c>
      <c r="AS77" s="130">
        <f t="shared" si="84"/>
        <v>0</v>
      </c>
      <c r="AT77" s="130">
        <f t="shared" si="84"/>
        <v>0</v>
      </c>
      <c r="AU77" s="130">
        <f t="shared" si="84"/>
        <v>0</v>
      </c>
      <c r="AV77" s="130">
        <f t="shared" si="84"/>
        <v>0</v>
      </c>
      <c r="AW77" s="130">
        <f t="shared" si="84"/>
        <v>0</v>
      </c>
      <c r="AX77" s="130">
        <f t="shared" si="84"/>
        <v>0</v>
      </c>
      <c r="AY77" s="130">
        <f t="shared" si="84"/>
        <v>0</v>
      </c>
      <c r="AZ77" s="130">
        <f t="shared" si="84"/>
        <v>0</v>
      </c>
      <c r="BA77" s="130">
        <f t="shared" si="84"/>
        <v>0</v>
      </c>
      <c r="BB77" s="130">
        <f t="shared" si="84"/>
        <v>0</v>
      </c>
      <c r="BC77" s="130">
        <f t="shared" si="84"/>
        <v>0</v>
      </c>
      <c r="BD77" s="130">
        <f t="shared" si="84"/>
        <v>0</v>
      </c>
      <c r="BE77" s="130">
        <f t="shared" si="84"/>
        <v>0</v>
      </c>
      <c r="BF77" s="130">
        <f t="shared" si="84"/>
        <v>0</v>
      </c>
      <c r="BG77" s="130">
        <f t="shared" si="84"/>
        <v>0</v>
      </c>
      <c r="BH77" s="130">
        <f t="shared" si="84"/>
        <v>0</v>
      </c>
      <c r="BI77" s="130">
        <f t="shared" si="84"/>
        <v>0</v>
      </c>
      <c r="BJ77" s="130">
        <f t="shared" si="84"/>
        <v>0</v>
      </c>
      <c r="BK77" s="130">
        <f t="shared" si="84"/>
        <v>0</v>
      </c>
      <c r="BL77" s="130">
        <f t="shared" si="84"/>
        <v>0</v>
      </c>
      <c r="BM77" s="130">
        <f t="shared" si="84"/>
        <v>0</v>
      </c>
      <c r="BN77" s="130">
        <f t="shared" si="84"/>
        <v>0</v>
      </c>
      <c r="BO77" s="130">
        <f t="shared" si="84"/>
        <v>0</v>
      </c>
      <c r="BP77" s="130">
        <f t="shared" si="84"/>
        <v>0</v>
      </c>
      <c r="BQ77" s="130">
        <f t="shared" si="84"/>
        <v>0</v>
      </c>
      <c r="BR77" s="130">
        <f t="shared" si="84"/>
        <v>0</v>
      </c>
      <c r="BS77" s="130">
        <f t="shared" si="84"/>
        <v>0</v>
      </c>
      <c r="BT77" s="130">
        <f t="shared" si="84"/>
        <v>0</v>
      </c>
      <c r="BU77" s="130">
        <f t="shared" si="84"/>
        <v>0</v>
      </c>
      <c r="BV77" s="130">
        <f t="shared" si="79"/>
        <v>0</v>
      </c>
      <c r="BW77" s="130">
        <f t="shared" si="79"/>
        <v>0</v>
      </c>
      <c r="BX77" s="130">
        <f t="shared" si="79"/>
        <v>0</v>
      </c>
      <c r="BY77" s="130">
        <f t="shared" si="79"/>
        <v>0</v>
      </c>
      <c r="BZ77" s="130">
        <f t="shared" si="79"/>
        <v>0</v>
      </c>
      <c r="CA77" s="130">
        <f t="shared" si="79"/>
        <v>0</v>
      </c>
      <c r="CB77" s="130">
        <f t="shared" si="79"/>
        <v>0</v>
      </c>
      <c r="CC77" s="130">
        <f t="shared" si="79"/>
        <v>0</v>
      </c>
      <c r="CD77" s="130">
        <f t="shared" si="79"/>
        <v>0</v>
      </c>
      <c r="CE77" s="130">
        <f t="shared" si="79"/>
        <v>0</v>
      </c>
      <c r="CF77" s="130">
        <f t="shared" si="79"/>
        <v>0</v>
      </c>
      <c r="CG77" s="130">
        <f t="shared" si="79"/>
        <v>0</v>
      </c>
      <c r="CH77" s="130">
        <f t="shared" si="79"/>
        <v>0</v>
      </c>
      <c r="CI77" s="130">
        <f t="shared" si="79"/>
        <v>0</v>
      </c>
      <c r="CJ77" s="130">
        <f t="shared" si="79"/>
        <v>0</v>
      </c>
      <c r="CK77" s="130">
        <f t="shared" si="79"/>
        <v>0</v>
      </c>
      <c r="CL77" s="130">
        <f t="shared" si="79"/>
        <v>0</v>
      </c>
      <c r="CM77" s="130">
        <f t="shared" si="79"/>
        <v>0</v>
      </c>
      <c r="CN77" s="130">
        <f t="shared" si="79"/>
        <v>0</v>
      </c>
      <c r="CO77" s="130">
        <f t="shared" si="79"/>
        <v>0</v>
      </c>
      <c r="CP77" s="130">
        <f t="shared" si="79"/>
        <v>0</v>
      </c>
      <c r="CQ77" s="130">
        <f t="shared" si="79"/>
        <v>0</v>
      </c>
      <c r="CR77" s="130">
        <f t="shared" si="79"/>
        <v>0</v>
      </c>
      <c r="CS77" s="130">
        <f t="shared" si="79"/>
        <v>0</v>
      </c>
      <c r="CT77" s="130">
        <f t="shared" si="79"/>
        <v>0</v>
      </c>
      <c r="CU77" s="130">
        <f t="shared" si="79"/>
        <v>0</v>
      </c>
      <c r="CV77" s="130">
        <f t="shared" si="79"/>
        <v>0</v>
      </c>
      <c r="CW77" s="130">
        <f t="shared" si="79"/>
        <v>0</v>
      </c>
      <c r="CX77" s="130">
        <f t="shared" si="79"/>
        <v>0</v>
      </c>
      <c r="CY77" s="130">
        <f t="shared" si="79"/>
        <v>0</v>
      </c>
      <c r="CZ77" s="130">
        <f t="shared" si="79"/>
        <v>0</v>
      </c>
    </row>
    <row r="78" spans="2:104" x14ac:dyDescent="0.35">
      <c r="B78" s="143" t="str">
        <f>'Development Costs'!B59</f>
        <v>Total Permit and Approvals</v>
      </c>
      <c r="C78" s="144">
        <f>-'Development Costs'!H59</f>
        <v>-3344000</v>
      </c>
      <c r="D78" s="144">
        <f t="shared" ref="D78" si="88">C78-E78</f>
        <v>0</v>
      </c>
      <c r="E78" s="144">
        <f t="shared" si="77"/>
        <v>-3344000</v>
      </c>
      <c r="F78" s="148"/>
      <c r="G78" s="148"/>
      <c r="H78" s="149"/>
      <c r="I78" s="144">
        <f>SUM(I68:I77)</f>
        <v>0</v>
      </c>
      <c r="J78" s="144">
        <f t="shared" ref="J78:BU78" si="89">SUM(J68:J77)</f>
        <v>-247961.53846153847</v>
      </c>
      <c r="K78" s="144">
        <f t="shared" si="89"/>
        <v>-247961.53846153847</v>
      </c>
      <c r="L78" s="144">
        <f t="shared" si="89"/>
        <v>-247961.53846153847</v>
      </c>
      <c r="M78" s="144">
        <f t="shared" si="89"/>
        <v>-247961.53846153847</v>
      </c>
      <c r="N78" s="144">
        <f t="shared" si="89"/>
        <v>-247961.53846153847</v>
      </c>
      <c r="O78" s="144">
        <f t="shared" si="89"/>
        <v>-247961.53846153847</v>
      </c>
      <c r="P78" s="144">
        <f t="shared" si="89"/>
        <v>-247961.53846153847</v>
      </c>
      <c r="Q78" s="144">
        <f t="shared" si="89"/>
        <v>-247961.53846153847</v>
      </c>
      <c r="R78" s="144">
        <f t="shared" si="89"/>
        <v>-247961.53846153847</v>
      </c>
      <c r="S78" s="144">
        <f t="shared" si="89"/>
        <v>-247961.53846153847</v>
      </c>
      <c r="T78" s="144">
        <f t="shared" si="89"/>
        <v>-247961.53846153847</v>
      </c>
      <c r="U78" s="144">
        <f t="shared" si="89"/>
        <v>-247961.53846153847</v>
      </c>
      <c r="V78" s="144">
        <f t="shared" si="89"/>
        <v>-247961.53846153847</v>
      </c>
      <c r="W78" s="144">
        <f t="shared" si="89"/>
        <v>-9500</v>
      </c>
      <c r="X78" s="144">
        <f t="shared" si="89"/>
        <v>-9500</v>
      </c>
      <c r="Y78" s="144">
        <f t="shared" si="89"/>
        <v>-9500</v>
      </c>
      <c r="Z78" s="144">
        <f t="shared" si="89"/>
        <v>-9500</v>
      </c>
      <c r="AA78" s="144">
        <f t="shared" si="89"/>
        <v>-9500</v>
      </c>
      <c r="AB78" s="144">
        <f t="shared" si="89"/>
        <v>-9500</v>
      </c>
      <c r="AC78" s="144">
        <f t="shared" si="89"/>
        <v>-9500</v>
      </c>
      <c r="AD78" s="144">
        <f t="shared" si="89"/>
        <v>-9500</v>
      </c>
      <c r="AE78" s="144">
        <f t="shared" si="89"/>
        <v>-9500</v>
      </c>
      <c r="AF78" s="144">
        <f t="shared" si="89"/>
        <v>-9500</v>
      </c>
      <c r="AG78" s="144">
        <f t="shared" si="89"/>
        <v>-9500</v>
      </c>
      <c r="AH78" s="144">
        <f t="shared" si="89"/>
        <v>-9500</v>
      </c>
      <c r="AI78" s="144">
        <f t="shared" si="89"/>
        <v>-9500</v>
      </c>
      <c r="AJ78" s="144">
        <f t="shared" si="89"/>
        <v>-9500</v>
      </c>
      <c r="AK78" s="144">
        <f t="shared" si="89"/>
        <v>-9500</v>
      </c>
      <c r="AL78" s="144">
        <f t="shared" si="89"/>
        <v>-9500</v>
      </c>
      <c r="AM78" s="144">
        <f t="shared" si="89"/>
        <v>-9500</v>
      </c>
      <c r="AN78" s="144">
        <f t="shared" si="89"/>
        <v>-9500</v>
      </c>
      <c r="AO78" s="144">
        <f t="shared" si="89"/>
        <v>50500</v>
      </c>
      <c r="AP78" s="144">
        <f t="shared" si="89"/>
        <v>0</v>
      </c>
      <c r="AQ78" s="144">
        <f t="shared" si="89"/>
        <v>0</v>
      </c>
      <c r="AR78" s="144">
        <f t="shared" si="89"/>
        <v>0</v>
      </c>
      <c r="AS78" s="144">
        <f t="shared" si="89"/>
        <v>0</v>
      </c>
      <c r="AT78" s="144">
        <f t="shared" si="89"/>
        <v>0</v>
      </c>
      <c r="AU78" s="144">
        <f t="shared" si="89"/>
        <v>0</v>
      </c>
      <c r="AV78" s="144">
        <f t="shared" si="89"/>
        <v>0</v>
      </c>
      <c r="AW78" s="144">
        <f t="shared" si="89"/>
        <v>0</v>
      </c>
      <c r="AX78" s="144">
        <f t="shared" si="89"/>
        <v>0</v>
      </c>
      <c r="AY78" s="144">
        <f t="shared" si="89"/>
        <v>0</v>
      </c>
      <c r="AZ78" s="144">
        <f t="shared" si="89"/>
        <v>0</v>
      </c>
      <c r="BA78" s="144">
        <f t="shared" si="89"/>
        <v>0</v>
      </c>
      <c r="BB78" s="144">
        <f t="shared" si="89"/>
        <v>0</v>
      </c>
      <c r="BC78" s="144">
        <f t="shared" si="89"/>
        <v>0</v>
      </c>
      <c r="BD78" s="144">
        <f t="shared" si="89"/>
        <v>0</v>
      </c>
      <c r="BE78" s="144">
        <f t="shared" si="89"/>
        <v>0</v>
      </c>
      <c r="BF78" s="144">
        <f t="shared" si="89"/>
        <v>0</v>
      </c>
      <c r="BG78" s="144">
        <f t="shared" si="89"/>
        <v>0</v>
      </c>
      <c r="BH78" s="144">
        <f t="shared" si="89"/>
        <v>0</v>
      </c>
      <c r="BI78" s="144">
        <f t="shared" si="89"/>
        <v>0</v>
      </c>
      <c r="BJ78" s="144">
        <f t="shared" si="89"/>
        <v>0</v>
      </c>
      <c r="BK78" s="144">
        <f t="shared" si="89"/>
        <v>0</v>
      </c>
      <c r="BL78" s="144">
        <f t="shared" si="89"/>
        <v>0</v>
      </c>
      <c r="BM78" s="144">
        <f t="shared" si="89"/>
        <v>0</v>
      </c>
      <c r="BN78" s="144">
        <f t="shared" si="89"/>
        <v>0</v>
      </c>
      <c r="BO78" s="144">
        <f t="shared" si="89"/>
        <v>0</v>
      </c>
      <c r="BP78" s="144">
        <f t="shared" si="89"/>
        <v>0</v>
      </c>
      <c r="BQ78" s="144">
        <f t="shared" si="89"/>
        <v>0</v>
      </c>
      <c r="BR78" s="144">
        <f t="shared" si="89"/>
        <v>0</v>
      </c>
      <c r="BS78" s="144">
        <f t="shared" si="89"/>
        <v>0</v>
      </c>
      <c r="BT78" s="144">
        <f t="shared" si="89"/>
        <v>0</v>
      </c>
      <c r="BU78" s="144">
        <f t="shared" si="89"/>
        <v>0</v>
      </c>
      <c r="BV78" s="144">
        <f t="shared" ref="BV78:CZ78" si="90">SUM(BV68:BV77)</f>
        <v>0</v>
      </c>
      <c r="BW78" s="144">
        <f t="shared" si="90"/>
        <v>0</v>
      </c>
      <c r="BX78" s="144">
        <f t="shared" si="90"/>
        <v>0</v>
      </c>
      <c r="BY78" s="144">
        <f t="shared" si="90"/>
        <v>0</v>
      </c>
      <c r="BZ78" s="144">
        <f t="shared" si="90"/>
        <v>0</v>
      </c>
      <c r="CA78" s="144">
        <f t="shared" si="90"/>
        <v>0</v>
      </c>
      <c r="CB78" s="144">
        <f t="shared" si="90"/>
        <v>0</v>
      </c>
      <c r="CC78" s="144">
        <f t="shared" si="90"/>
        <v>0</v>
      </c>
      <c r="CD78" s="144">
        <f t="shared" si="90"/>
        <v>0</v>
      </c>
      <c r="CE78" s="144">
        <f t="shared" si="90"/>
        <v>0</v>
      </c>
      <c r="CF78" s="144">
        <f t="shared" si="90"/>
        <v>0</v>
      </c>
      <c r="CG78" s="144">
        <f t="shared" si="90"/>
        <v>0</v>
      </c>
      <c r="CH78" s="144">
        <f t="shared" si="90"/>
        <v>0</v>
      </c>
      <c r="CI78" s="144">
        <f t="shared" si="90"/>
        <v>0</v>
      </c>
      <c r="CJ78" s="144">
        <f t="shared" si="90"/>
        <v>0</v>
      </c>
      <c r="CK78" s="144">
        <f t="shared" si="90"/>
        <v>0</v>
      </c>
      <c r="CL78" s="144">
        <f t="shared" si="90"/>
        <v>0</v>
      </c>
      <c r="CM78" s="144">
        <f t="shared" si="90"/>
        <v>0</v>
      </c>
      <c r="CN78" s="144">
        <f t="shared" si="90"/>
        <v>0</v>
      </c>
      <c r="CO78" s="144">
        <f t="shared" si="90"/>
        <v>0</v>
      </c>
      <c r="CP78" s="144">
        <f t="shared" si="90"/>
        <v>0</v>
      </c>
      <c r="CQ78" s="144">
        <f t="shared" si="90"/>
        <v>0</v>
      </c>
      <c r="CR78" s="144">
        <f t="shared" si="90"/>
        <v>0</v>
      </c>
      <c r="CS78" s="144">
        <f t="shared" si="90"/>
        <v>0</v>
      </c>
      <c r="CT78" s="144">
        <f t="shared" si="90"/>
        <v>0</v>
      </c>
      <c r="CU78" s="144">
        <f t="shared" si="90"/>
        <v>0</v>
      </c>
      <c r="CV78" s="144">
        <f t="shared" si="90"/>
        <v>0</v>
      </c>
      <c r="CW78" s="144">
        <f t="shared" si="90"/>
        <v>0</v>
      </c>
      <c r="CX78" s="144">
        <f t="shared" si="90"/>
        <v>0</v>
      </c>
      <c r="CY78" s="144">
        <f t="shared" si="90"/>
        <v>0</v>
      </c>
      <c r="CZ78" s="144">
        <f t="shared" si="90"/>
        <v>0</v>
      </c>
    </row>
    <row r="79" spans="2:104" x14ac:dyDescent="0.35">
      <c r="B79" s="131"/>
      <c r="C79" s="130"/>
      <c r="D79" s="130"/>
      <c r="E79" s="130"/>
      <c r="F79" s="109"/>
      <c r="G79" s="121"/>
      <c r="H79" s="141"/>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130"/>
      <c r="CA79" s="130"/>
      <c r="CB79" s="130"/>
      <c r="CC79" s="130"/>
      <c r="CD79" s="130"/>
      <c r="CE79" s="130"/>
      <c r="CF79" s="130"/>
      <c r="CG79" s="130"/>
      <c r="CH79" s="130"/>
      <c r="CI79" s="130"/>
      <c r="CJ79" s="130"/>
      <c r="CK79" s="130"/>
      <c r="CL79" s="130"/>
      <c r="CM79" s="130"/>
      <c r="CN79" s="130"/>
      <c r="CO79" s="130"/>
      <c r="CP79" s="130"/>
      <c r="CQ79" s="130"/>
      <c r="CR79" s="130"/>
      <c r="CS79" s="130"/>
      <c r="CT79" s="130"/>
      <c r="CU79" s="130"/>
      <c r="CV79" s="130"/>
      <c r="CW79" s="130"/>
      <c r="CX79" s="130"/>
      <c r="CY79" s="130"/>
      <c r="CZ79" s="130"/>
    </row>
    <row r="80" spans="2:104" x14ac:dyDescent="0.35">
      <c r="B80" s="142" t="s">
        <v>162</v>
      </c>
      <c r="C80" s="133"/>
      <c r="D80" s="37"/>
      <c r="E80" s="38"/>
      <c r="F80" s="38"/>
      <c r="G80" s="119"/>
      <c r="H80" s="138"/>
      <c r="I80" s="133"/>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row>
    <row r="81" spans="2:104" x14ac:dyDescent="0.35">
      <c r="B81" s="131" t="str">
        <f>'Development Costs'!B65</f>
        <v>Marketing</v>
      </c>
      <c r="C81" s="130">
        <f>-'Development Costs'!H66</f>
        <v>-726750</v>
      </c>
      <c r="D81" s="130">
        <f t="shared" ref="D81" si="91">ROUND(C81-E81,0)</f>
        <v>0</v>
      </c>
      <c r="E81" s="130">
        <f t="shared" ref="E81:E82" si="92">SUM(I81:CZ81)</f>
        <v>-726749.99999999988</v>
      </c>
      <c r="F81" s="121">
        <f>Schedule!D19</f>
        <v>45474</v>
      </c>
      <c r="G81" s="304">
        <f>Schedule!E19</f>
        <v>45658</v>
      </c>
      <c r="H81" s="141">
        <f>DATEDIF(F81,G81,"m")+1</f>
        <v>7</v>
      </c>
      <c r="I81" s="130">
        <f>IF(AND(I$7&lt;=$G81,I$7&gt;=$F81,$H81&lt;&gt;0,$H81&lt;&gt;""),$C81/$H81,0)</f>
        <v>0</v>
      </c>
      <c r="J81" s="130">
        <f t="shared" ref="J81:BU81" si="93">IF(AND(J$7&lt;=$G81,J$7&gt;=$F81,$H81&lt;&gt;0,$H81&lt;&gt;""),$C81/$H81,0)</f>
        <v>0</v>
      </c>
      <c r="K81" s="130">
        <f t="shared" si="93"/>
        <v>0</v>
      </c>
      <c r="L81" s="130">
        <f t="shared" si="93"/>
        <v>0</v>
      </c>
      <c r="M81" s="130">
        <f t="shared" si="93"/>
        <v>0</v>
      </c>
      <c r="N81" s="130">
        <f t="shared" si="93"/>
        <v>0</v>
      </c>
      <c r="O81" s="130">
        <f t="shared" si="93"/>
        <v>0</v>
      </c>
      <c r="P81" s="130">
        <f t="shared" si="93"/>
        <v>0</v>
      </c>
      <c r="Q81" s="130">
        <f t="shared" si="93"/>
        <v>0</v>
      </c>
      <c r="R81" s="130">
        <f t="shared" si="93"/>
        <v>0</v>
      </c>
      <c r="S81" s="130">
        <f t="shared" si="93"/>
        <v>0</v>
      </c>
      <c r="T81" s="130">
        <f t="shared" si="93"/>
        <v>0</v>
      </c>
      <c r="U81" s="130">
        <f t="shared" si="93"/>
        <v>0</v>
      </c>
      <c r="V81" s="130">
        <f t="shared" si="93"/>
        <v>0</v>
      </c>
      <c r="W81" s="130">
        <f t="shared" si="93"/>
        <v>0</v>
      </c>
      <c r="X81" s="130">
        <f t="shared" si="93"/>
        <v>0</v>
      </c>
      <c r="Y81" s="130">
        <f t="shared" si="93"/>
        <v>0</v>
      </c>
      <c r="Z81" s="130">
        <f t="shared" si="93"/>
        <v>0</v>
      </c>
      <c r="AA81" s="130">
        <f t="shared" si="93"/>
        <v>0</v>
      </c>
      <c r="AB81" s="130">
        <f t="shared" si="93"/>
        <v>0</v>
      </c>
      <c r="AC81" s="130">
        <f t="shared" si="93"/>
        <v>0</v>
      </c>
      <c r="AD81" s="130">
        <f t="shared" si="93"/>
        <v>0</v>
      </c>
      <c r="AE81" s="130">
        <f t="shared" si="93"/>
        <v>0</v>
      </c>
      <c r="AF81" s="130">
        <f t="shared" si="93"/>
        <v>0</v>
      </c>
      <c r="AG81" s="130">
        <f t="shared" si="93"/>
        <v>0</v>
      </c>
      <c r="AH81" s="130">
        <f t="shared" si="93"/>
        <v>0</v>
      </c>
      <c r="AI81" s="130">
        <f t="shared" si="93"/>
        <v>0</v>
      </c>
      <c r="AJ81" s="130">
        <f t="shared" si="93"/>
        <v>0</v>
      </c>
      <c r="AK81" s="130">
        <f t="shared" si="93"/>
        <v>0</v>
      </c>
      <c r="AL81" s="130">
        <f t="shared" si="93"/>
        <v>0</v>
      </c>
      <c r="AM81" s="130">
        <f t="shared" si="93"/>
        <v>-103821.42857142857</v>
      </c>
      <c r="AN81" s="130">
        <f t="shared" si="93"/>
        <v>-103821.42857142857</v>
      </c>
      <c r="AO81" s="130">
        <f t="shared" si="93"/>
        <v>-103821.42857142857</v>
      </c>
      <c r="AP81" s="130">
        <f t="shared" si="93"/>
        <v>-103821.42857142857</v>
      </c>
      <c r="AQ81" s="130">
        <f t="shared" si="93"/>
        <v>-103821.42857142857</v>
      </c>
      <c r="AR81" s="130">
        <f t="shared" si="93"/>
        <v>-103821.42857142857</v>
      </c>
      <c r="AS81" s="130">
        <f t="shared" si="93"/>
        <v>-103821.42857142857</v>
      </c>
      <c r="AT81" s="130">
        <f t="shared" si="93"/>
        <v>0</v>
      </c>
      <c r="AU81" s="130">
        <f t="shared" si="93"/>
        <v>0</v>
      </c>
      <c r="AV81" s="130">
        <f t="shared" si="93"/>
        <v>0</v>
      </c>
      <c r="AW81" s="130">
        <f t="shared" si="93"/>
        <v>0</v>
      </c>
      <c r="AX81" s="130">
        <f t="shared" si="93"/>
        <v>0</v>
      </c>
      <c r="AY81" s="130">
        <f t="shared" si="93"/>
        <v>0</v>
      </c>
      <c r="AZ81" s="130">
        <f t="shared" si="93"/>
        <v>0</v>
      </c>
      <c r="BA81" s="130">
        <f t="shared" si="93"/>
        <v>0</v>
      </c>
      <c r="BB81" s="130">
        <f t="shared" si="93"/>
        <v>0</v>
      </c>
      <c r="BC81" s="130">
        <f t="shared" si="93"/>
        <v>0</v>
      </c>
      <c r="BD81" s="130">
        <f t="shared" si="93"/>
        <v>0</v>
      </c>
      <c r="BE81" s="130">
        <f t="shared" si="93"/>
        <v>0</v>
      </c>
      <c r="BF81" s="130">
        <f t="shared" si="93"/>
        <v>0</v>
      </c>
      <c r="BG81" s="130">
        <f t="shared" si="93"/>
        <v>0</v>
      </c>
      <c r="BH81" s="130">
        <f t="shared" si="93"/>
        <v>0</v>
      </c>
      <c r="BI81" s="130">
        <f t="shared" si="93"/>
        <v>0</v>
      </c>
      <c r="BJ81" s="130">
        <f t="shared" si="93"/>
        <v>0</v>
      </c>
      <c r="BK81" s="130">
        <f t="shared" si="93"/>
        <v>0</v>
      </c>
      <c r="BL81" s="130">
        <f t="shared" si="93"/>
        <v>0</v>
      </c>
      <c r="BM81" s="130">
        <f t="shared" si="93"/>
        <v>0</v>
      </c>
      <c r="BN81" s="130">
        <f t="shared" si="93"/>
        <v>0</v>
      </c>
      <c r="BO81" s="130">
        <f t="shared" si="93"/>
        <v>0</v>
      </c>
      <c r="BP81" s="130">
        <f t="shared" si="93"/>
        <v>0</v>
      </c>
      <c r="BQ81" s="130">
        <f t="shared" si="93"/>
        <v>0</v>
      </c>
      <c r="BR81" s="130">
        <f t="shared" si="93"/>
        <v>0</v>
      </c>
      <c r="BS81" s="130">
        <f t="shared" si="93"/>
        <v>0</v>
      </c>
      <c r="BT81" s="130">
        <f t="shared" si="93"/>
        <v>0</v>
      </c>
      <c r="BU81" s="130">
        <f t="shared" si="93"/>
        <v>0</v>
      </c>
      <c r="BV81" s="130">
        <f t="shared" ref="BV81:CZ81" si="94">IF(AND(BV$7&lt;=$G81,BV$7&gt;=$F81,$H81&lt;&gt;0,$H81&lt;&gt;""),$C81/$H81,0)</f>
        <v>0</v>
      </c>
      <c r="BW81" s="130">
        <f t="shared" si="94"/>
        <v>0</v>
      </c>
      <c r="BX81" s="130">
        <f t="shared" si="94"/>
        <v>0</v>
      </c>
      <c r="BY81" s="130">
        <f t="shared" si="94"/>
        <v>0</v>
      </c>
      <c r="BZ81" s="130">
        <f t="shared" si="94"/>
        <v>0</v>
      </c>
      <c r="CA81" s="130">
        <f t="shared" si="94"/>
        <v>0</v>
      </c>
      <c r="CB81" s="130">
        <f t="shared" si="94"/>
        <v>0</v>
      </c>
      <c r="CC81" s="130">
        <f t="shared" si="94"/>
        <v>0</v>
      </c>
      <c r="CD81" s="130">
        <f t="shared" si="94"/>
        <v>0</v>
      </c>
      <c r="CE81" s="130">
        <f t="shared" si="94"/>
        <v>0</v>
      </c>
      <c r="CF81" s="130">
        <f t="shared" si="94"/>
        <v>0</v>
      </c>
      <c r="CG81" s="130">
        <f t="shared" si="94"/>
        <v>0</v>
      </c>
      <c r="CH81" s="130">
        <f t="shared" si="94"/>
        <v>0</v>
      </c>
      <c r="CI81" s="130">
        <f t="shared" si="94"/>
        <v>0</v>
      </c>
      <c r="CJ81" s="130">
        <f t="shared" si="94"/>
        <v>0</v>
      </c>
      <c r="CK81" s="130">
        <f t="shared" si="94"/>
        <v>0</v>
      </c>
      <c r="CL81" s="130">
        <f t="shared" si="94"/>
        <v>0</v>
      </c>
      <c r="CM81" s="130">
        <f t="shared" si="94"/>
        <v>0</v>
      </c>
      <c r="CN81" s="130">
        <f t="shared" si="94"/>
        <v>0</v>
      </c>
      <c r="CO81" s="130">
        <f t="shared" si="94"/>
        <v>0</v>
      </c>
      <c r="CP81" s="130">
        <f t="shared" si="94"/>
        <v>0</v>
      </c>
      <c r="CQ81" s="130">
        <f t="shared" si="94"/>
        <v>0</v>
      </c>
      <c r="CR81" s="130">
        <f t="shared" si="94"/>
        <v>0</v>
      </c>
      <c r="CS81" s="130">
        <f t="shared" si="94"/>
        <v>0</v>
      </c>
      <c r="CT81" s="130">
        <f t="shared" si="94"/>
        <v>0</v>
      </c>
      <c r="CU81" s="130">
        <f t="shared" si="94"/>
        <v>0</v>
      </c>
      <c r="CV81" s="130">
        <f t="shared" si="94"/>
        <v>0</v>
      </c>
      <c r="CW81" s="130">
        <f t="shared" si="94"/>
        <v>0</v>
      </c>
      <c r="CX81" s="130">
        <f t="shared" si="94"/>
        <v>0</v>
      </c>
      <c r="CY81" s="130">
        <f t="shared" si="94"/>
        <v>0</v>
      </c>
      <c r="CZ81" s="130">
        <f t="shared" si="94"/>
        <v>0</v>
      </c>
    </row>
    <row r="82" spans="2:104" x14ac:dyDescent="0.35">
      <c r="B82" s="143" t="str">
        <f>'Development Costs'!B66</f>
        <v>Total Marketing and Leasing</v>
      </c>
      <c r="C82" s="144">
        <f>C81</f>
        <v>-726750</v>
      </c>
      <c r="D82" s="144">
        <f t="shared" ref="D82" si="95">C82-E82</f>
        <v>0</v>
      </c>
      <c r="E82" s="144">
        <f t="shared" si="92"/>
        <v>-726749.99999999988</v>
      </c>
      <c r="F82" s="148"/>
      <c r="G82" s="148"/>
      <c r="H82" s="149"/>
      <c r="I82" s="144">
        <f t="shared" ref="I82:AN82" si="96">SUM(I81:I81)</f>
        <v>0</v>
      </c>
      <c r="J82" s="144">
        <f t="shared" si="96"/>
        <v>0</v>
      </c>
      <c r="K82" s="144">
        <f t="shared" si="96"/>
        <v>0</v>
      </c>
      <c r="L82" s="144">
        <f t="shared" si="96"/>
        <v>0</v>
      </c>
      <c r="M82" s="144">
        <f t="shared" si="96"/>
        <v>0</v>
      </c>
      <c r="N82" s="144">
        <f t="shared" si="96"/>
        <v>0</v>
      </c>
      <c r="O82" s="144">
        <f t="shared" si="96"/>
        <v>0</v>
      </c>
      <c r="P82" s="144">
        <f t="shared" si="96"/>
        <v>0</v>
      </c>
      <c r="Q82" s="144">
        <f t="shared" si="96"/>
        <v>0</v>
      </c>
      <c r="R82" s="144">
        <f t="shared" si="96"/>
        <v>0</v>
      </c>
      <c r="S82" s="144">
        <f t="shared" si="96"/>
        <v>0</v>
      </c>
      <c r="T82" s="144">
        <f t="shared" si="96"/>
        <v>0</v>
      </c>
      <c r="U82" s="144">
        <f t="shared" si="96"/>
        <v>0</v>
      </c>
      <c r="V82" s="144">
        <f t="shared" si="96"/>
        <v>0</v>
      </c>
      <c r="W82" s="144">
        <f t="shared" si="96"/>
        <v>0</v>
      </c>
      <c r="X82" s="144">
        <f t="shared" si="96"/>
        <v>0</v>
      </c>
      <c r="Y82" s="144">
        <f t="shared" si="96"/>
        <v>0</v>
      </c>
      <c r="Z82" s="144">
        <f t="shared" si="96"/>
        <v>0</v>
      </c>
      <c r="AA82" s="144">
        <f t="shared" si="96"/>
        <v>0</v>
      </c>
      <c r="AB82" s="144">
        <f t="shared" si="96"/>
        <v>0</v>
      </c>
      <c r="AC82" s="144">
        <f t="shared" si="96"/>
        <v>0</v>
      </c>
      <c r="AD82" s="144">
        <f t="shared" si="96"/>
        <v>0</v>
      </c>
      <c r="AE82" s="144">
        <f t="shared" si="96"/>
        <v>0</v>
      </c>
      <c r="AF82" s="144">
        <f t="shared" si="96"/>
        <v>0</v>
      </c>
      <c r="AG82" s="144">
        <f t="shared" si="96"/>
        <v>0</v>
      </c>
      <c r="AH82" s="144">
        <f t="shared" si="96"/>
        <v>0</v>
      </c>
      <c r="AI82" s="144">
        <f t="shared" si="96"/>
        <v>0</v>
      </c>
      <c r="AJ82" s="144">
        <f t="shared" si="96"/>
        <v>0</v>
      </c>
      <c r="AK82" s="144">
        <f t="shared" si="96"/>
        <v>0</v>
      </c>
      <c r="AL82" s="144">
        <f t="shared" si="96"/>
        <v>0</v>
      </c>
      <c r="AM82" s="144">
        <f t="shared" si="96"/>
        <v>-103821.42857142857</v>
      </c>
      <c r="AN82" s="144">
        <f t="shared" si="96"/>
        <v>-103821.42857142857</v>
      </c>
      <c r="AO82" s="144">
        <f t="shared" ref="AO82:BT82" si="97">SUM(AO81:AO81)</f>
        <v>-103821.42857142857</v>
      </c>
      <c r="AP82" s="144">
        <f t="shared" si="97"/>
        <v>-103821.42857142857</v>
      </c>
      <c r="AQ82" s="144">
        <f t="shared" si="97"/>
        <v>-103821.42857142857</v>
      </c>
      <c r="AR82" s="144">
        <f t="shared" si="97"/>
        <v>-103821.42857142857</v>
      </c>
      <c r="AS82" s="144">
        <f t="shared" si="97"/>
        <v>-103821.42857142857</v>
      </c>
      <c r="AT82" s="144">
        <f t="shared" si="97"/>
        <v>0</v>
      </c>
      <c r="AU82" s="144">
        <f t="shared" si="97"/>
        <v>0</v>
      </c>
      <c r="AV82" s="144">
        <f t="shared" si="97"/>
        <v>0</v>
      </c>
      <c r="AW82" s="144">
        <f t="shared" si="97"/>
        <v>0</v>
      </c>
      <c r="AX82" s="144">
        <f t="shared" si="97"/>
        <v>0</v>
      </c>
      <c r="AY82" s="144">
        <f t="shared" si="97"/>
        <v>0</v>
      </c>
      <c r="AZ82" s="144">
        <f t="shared" si="97"/>
        <v>0</v>
      </c>
      <c r="BA82" s="144">
        <f t="shared" si="97"/>
        <v>0</v>
      </c>
      <c r="BB82" s="144">
        <f t="shared" si="97"/>
        <v>0</v>
      </c>
      <c r="BC82" s="144">
        <f t="shared" si="97"/>
        <v>0</v>
      </c>
      <c r="BD82" s="144">
        <f t="shared" si="97"/>
        <v>0</v>
      </c>
      <c r="BE82" s="144">
        <f t="shared" si="97"/>
        <v>0</v>
      </c>
      <c r="BF82" s="144">
        <f t="shared" si="97"/>
        <v>0</v>
      </c>
      <c r="BG82" s="144">
        <f t="shared" si="97"/>
        <v>0</v>
      </c>
      <c r="BH82" s="144">
        <f t="shared" si="97"/>
        <v>0</v>
      </c>
      <c r="BI82" s="144">
        <f t="shared" si="97"/>
        <v>0</v>
      </c>
      <c r="BJ82" s="144">
        <f t="shared" si="97"/>
        <v>0</v>
      </c>
      <c r="BK82" s="144">
        <f t="shared" si="97"/>
        <v>0</v>
      </c>
      <c r="BL82" s="144">
        <f t="shared" si="97"/>
        <v>0</v>
      </c>
      <c r="BM82" s="144">
        <f t="shared" si="97"/>
        <v>0</v>
      </c>
      <c r="BN82" s="144">
        <f t="shared" si="97"/>
        <v>0</v>
      </c>
      <c r="BO82" s="144">
        <f t="shared" si="97"/>
        <v>0</v>
      </c>
      <c r="BP82" s="144">
        <f t="shared" si="97"/>
        <v>0</v>
      </c>
      <c r="BQ82" s="144">
        <f t="shared" si="97"/>
        <v>0</v>
      </c>
      <c r="BR82" s="144">
        <f t="shared" si="97"/>
        <v>0</v>
      </c>
      <c r="BS82" s="144">
        <f t="shared" si="97"/>
        <v>0</v>
      </c>
      <c r="BT82" s="144">
        <f t="shared" si="97"/>
        <v>0</v>
      </c>
      <c r="BU82" s="144">
        <f t="shared" ref="BU82:CZ82" si="98">SUM(BU81:BU81)</f>
        <v>0</v>
      </c>
      <c r="BV82" s="144">
        <f t="shared" si="98"/>
        <v>0</v>
      </c>
      <c r="BW82" s="144">
        <f t="shared" si="98"/>
        <v>0</v>
      </c>
      <c r="BX82" s="144">
        <f t="shared" si="98"/>
        <v>0</v>
      </c>
      <c r="BY82" s="144">
        <f t="shared" si="98"/>
        <v>0</v>
      </c>
      <c r="BZ82" s="144">
        <f t="shared" si="98"/>
        <v>0</v>
      </c>
      <c r="CA82" s="144">
        <f t="shared" si="98"/>
        <v>0</v>
      </c>
      <c r="CB82" s="144">
        <f t="shared" si="98"/>
        <v>0</v>
      </c>
      <c r="CC82" s="144">
        <f t="shared" si="98"/>
        <v>0</v>
      </c>
      <c r="CD82" s="144">
        <f t="shared" si="98"/>
        <v>0</v>
      </c>
      <c r="CE82" s="144">
        <f t="shared" si="98"/>
        <v>0</v>
      </c>
      <c r="CF82" s="144">
        <f t="shared" si="98"/>
        <v>0</v>
      </c>
      <c r="CG82" s="144">
        <f t="shared" si="98"/>
        <v>0</v>
      </c>
      <c r="CH82" s="144">
        <f t="shared" si="98"/>
        <v>0</v>
      </c>
      <c r="CI82" s="144">
        <f t="shared" si="98"/>
        <v>0</v>
      </c>
      <c r="CJ82" s="144">
        <f t="shared" si="98"/>
        <v>0</v>
      </c>
      <c r="CK82" s="144">
        <f t="shared" si="98"/>
        <v>0</v>
      </c>
      <c r="CL82" s="144">
        <f t="shared" si="98"/>
        <v>0</v>
      </c>
      <c r="CM82" s="144">
        <f t="shared" si="98"/>
        <v>0</v>
      </c>
      <c r="CN82" s="144">
        <f t="shared" si="98"/>
        <v>0</v>
      </c>
      <c r="CO82" s="144">
        <f t="shared" si="98"/>
        <v>0</v>
      </c>
      <c r="CP82" s="144">
        <f t="shared" si="98"/>
        <v>0</v>
      </c>
      <c r="CQ82" s="144">
        <f t="shared" si="98"/>
        <v>0</v>
      </c>
      <c r="CR82" s="144">
        <f t="shared" si="98"/>
        <v>0</v>
      </c>
      <c r="CS82" s="144">
        <f t="shared" si="98"/>
        <v>0</v>
      </c>
      <c r="CT82" s="144">
        <f t="shared" si="98"/>
        <v>0</v>
      </c>
      <c r="CU82" s="144">
        <f t="shared" si="98"/>
        <v>0</v>
      </c>
      <c r="CV82" s="144">
        <f t="shared" si="98"/>
        <v>0</v>
      </c>
      <c r="CW82" s="144">
        <f t="shared" si="98"/>
        <v>0</v>
      </c>
      <c r="CX82" s="144">
        <f t="shared" si="98"/>
        <v>0</v>
      </c>
      <c r="CY82" s="144">
        <f t="shared" si="98"/>
        <v>0</v>
      </c>
      <c r="CZ82" s="144">
        <f t="shared" si="98"/>
        <v>0</v>
      </c>
    </row>
    <row r="83" spans="2:104" x14ac:dyDescent="0.35">
      <c r="B83" s="131"/>
      <c r="C83" s="130"/>
      <c r="D83" s="130"/>
      <c r="E83" s="130"/>
      <c r="F83" s="109"/>
      <c r="G83" s="109"/>
      <c r="H83" s="141"/>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c r="BE83" s="130"/>
      <c r="BF83" s="130"/>
      <c r="BG83" s="130"/>
      <c r="BH83" s="130"/>
      <c r="BI83" s="130"/>
      <c r="BJ83" s="130"/>
      <c r="BK83" s="130"/>
      <c r="BL83" s="130"/>
      <c r="BM83" s="130"/>
      <c r="BN83" s="130"/>
      <c r="BO83" s="130"/>
      <c r="BP83" s="130"/>
      <c r="BQ83" s="130"/>
      <c r="BR83" s="130"/>
      <c r="BS83" s="130"/>
      <c r="BT83" s="130"/>
      <c r="BU83" s="130"/>
      <c r="BV83" s="130"/>
      <c r="BW83" s="130"/>
      <c r="BX83" s="130"/>
      <c r="BY83" s="130"/>
      <c r="BZ83" s="130"/>
      <c r="CA83" s="130"/>
      <c r="CB83" s="130"/>
      <c r="CC83" s="130"/>
      <c r="CD83" s="130"/>
      <c r="CE83" s="130"/>
      <c r="CF83" s="130"/>
      <c r="CG83" s="130"/>
      <c r="CH83" s="130"/>
      <c r="CI83" s="130"/>
      <c r="CJ83" s="130"/>
      <c r="CK83" s="130"/>
      <c r="CL83" s="130"/>
      <c r="CM83" s="130"/>
      <c r="CN83" s="130"/>
      <c r="CO83" s="130"/>
      <c r="CP83" s="130"/>
      <c r="CQ83" s="130"/>
      <c r="CR83" s="130"/>
      <c r="CS83" s="130"/>
      <c r="CT83" s="130"/>
      <c r="CU83" s="130"/>
      <c r="CV83" s="130"/>
      <c r="CW83" s="130"/>
      <c r="CX83" s="130"/>
      <c r="CY83" s="130"/>
      <c r="CZ83" s="130"/>
    </row>
    <row r="84" spans="2:104" x14ac:dyDescent="0.35">
      <c r="B84" s="142" t="s">
        <v>148</v>
      </c>
      <c r="C84" s="133"/>
      <c r="D84" s="37"/>
      <c r="E84" s="38"/>
      <c r="F84" s="38"/>
      <c r="G84" s="119"/>
      <c r="H84" s="138"/>
      <c r="I84" s="133"/>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row>
    <row r="85" spans="2:104" x14ac:dyDescent="0.35">
      <c r="B85" s="131" t="str">
        <f>'Development Costs'!B69</f>
        <v>Appraisal</v>
      </c>
      <c r="C85" s="130">
        <f>-'Development Costs'!H69</f>
        <v>-20000</v>
      </c>
      <c r="D85" s="130">
        <f t="shared" ref="D85:D96" si="99">ROUND(C85-E85,0)</f>
        <v>0</v>
      </c>
      <c r="E85" s="130">
        <f t="shared" ref="E85:E94" si="100">SUM(I85:CZ85)</f>
        <v>-20000</v>
      </c>
      <c r="F85" s="121">
        <f>Schedule!D13</f>
        <v>44562</v>
      </c>
      <c r="G85" s="121">
        <f>Schedule!E13</f>
        <v>44562</v>
      </c>
      <c r="H85" s="141">
        <f>DATEDIF(F85,G85,"m")+1</f>
        <v>1</v>
      </c>
      <c r="I85" s="130">
        <f>IF(AND(I$7&lt;=$G85,I$7&gt;=$F85,$H85&lt;&gt;0,$H85&lt;&gt;""),$C85/$H85,0)</f>
        <v>-20000</v>
      </c>
      <c r="J85" s="130">
        <f t="shared" ref="J85:BU89" si="101">IF(AND(J$7&lt;=$G85,J$7&gt;=$F85,$H85&lt;&gt;0,$H85&lt;&gt;""),$C85/$H85,0)</f>
        <v>0</v>
      </c>
      <c r="K85" s="130">
        <f t="shared" si="101"/>
        <v>0</v>
      </c>
      <c r="L85" s="130">
        <f t="shared" si="101"/>
        <v>0</v>
      </c>
      <c r="M85" s="130">
        <f t="shared" si="101"/>
        <v>0</v>
      </c>
      <c r="N85" s="130">
        <f t="shared" si="101"/>
        <v>0</v>
      </c>
      <c r="O85" s="130">
        <f t="shared" si="101"/>
        <v>0</v>
      </c>
      <c r="P85" s="130">
        <f t="shared" si="101"/>
        <v>0</v>
      </c>
      <c r="Q85" s="130">
        <f t="shared" si="101"/>
        <v>0</v>
      </c>
      <c r="R85" s="130">
        <f t="shared" si="101"/>
        <v>0</v>
      </c>
      <c r="S85" s="130">
        <f t="shared" si="101"/>
        <v>0</v>
      </c>
      <c r="T85" s="130">
        <f t="shared" si="101"/>
        <v>0</v>
      </c>
      <c r="U85" s="130">
        <f t="shared" si="101"/>
        <v>0</v>
      </c>
      <c r="V85" s="130">
        <f t="shared" si="101"/>
        <v>0</v>
      </c>
      <c r="W85" s="130">
        <f t="shared" si="101"/>
        <v>0</v>
      </c>
      <c r="X85" s="130">
        <f t="shared" si="101"/>
        <v>0</v>
      </c>
      <c r="Y85" s="130">
        <f t="shared" si="101"/>
        <v>0</v>
      </c>
      <c r="Z85" s="130">
        <f t="shared" si="101"/>
        <v>0</v>
      </c>
      <c r="AA85" s="130">
        <f t="shared" si="101"/>
        <v>0</v>
      </c>
      <c r="AB85" s="130">
        <f t="shared" si="101"/>
        <v>0</v>
      </c>
      <c r="AC85" s="130">
        <f t="shared" si="101"/>
        <v>0</v>
      </c>
      <c r="AD85" s="130">
        <f t="shared" si="101"/>
        <v>0</v>
      </c>
      <c r="AE85" s="130">
        <f t="shared" si="101"/>
        <v>0</v>
      </c>
      <c r="AF85" s="130">
        <f t="shared" si="101"/>
        <v>0</v>
      </c>
      <c r="AG85" s="130">
        <f t="shared" si="101"/>
        <v>0</v>
      </c>
      <c r="AH85" s="130">
        <f t="shared" si="101"/>
        <v>0</v>
      </c>
      <c r="AI85" s="130">
        <f t="shared" si="101"/>
        <v>0</v>
      </c>
      <c r="AJ85" s="130">
        <f t="shared" si="101"/>
        <v>0</v>
      </c>
      <c r="AK85" s="130">
        <f t="shared" si="101"/>
        <v>0</v>
      </c>
      <c r="AL85" s="130">
        <f t="shared" si="101"/>
        <v>0</v>
      </c>
      <c r="AM85" s="130">
        <f t="shared" si="101"/>
        <v>0</v>
      </c>
      <c r="AN85" s="130">
        <f t="shared" si="101"/>
        <v>0</v>
      </c>
      <c r="AO85" s="130">
        <f t="shared" si="101"/>
        <v>0</v>
      </c>
      <c r="AP85" s="130">
        <f t="shared" si="101"/>
        <v>0</v>
      </c>
      <c r="AQ85" s="130">
        <f t="shared" si="101"/>
        <v>0</v>
      </c>
      <c r="AR85" s="130">
        <f t="shared" si="101"/>
        <v>0</v>
      </c>
      <c r="AS85" s="130">
        <f t="shared" si="101"/>
        <v>0</v>
      </c>
      <c r="AT85" s="130">
        <f t="shared" si="101"/>
        <v>0</v>
      </c>
      <c r="AU85" s="130">
        <f t="shared" si="101"/>
        <v>0</v>
      </c>
      <c r="AV85" s="130">
        <f t="shared" si="101"/>
        <v>0</v>
      </c>
      <c r="AW85" s="130">
        <f t="shared" si="101"/>
        <v>0</v>
      </c>
      <c r="AX85" s="130">
        <f t="shared" si="101"/>
        <v>0</v>
      </c>
      <c r="AY85" s="130">
        <f t="shared" si="101"/>
        <v>0</v>
      </c>
      <c r="AZ85" s="130">
        <f t="shared" si="101"/>
        <v>0</v>
      </c>
      <c r="BA85" s="130">
        <f t="shared" si="101"/>
        <v>0</v>
      </c>
      <c r="BB85" s="130">
        <f t="shared" si="101"/>
        <v>0</v>
      </c>
      <c r="BC85" s="130">
        <f t="shared" si="101"/>
        <v>0</v>
      </c>
      <c r="BD85" s="130">
        <f t="shared" si="101"/>
        <v>0</v>
      </c>
      <c r="BE85" s="130">
        <f t="shared" si="101"/>
        <v>0</v>
      </c>
      <c r="BF85" s="130">
        <f t="shared" si="101"/>
        <v>0</v>
      </c>
      <c r="BG85" s="130">
        <f t="shared" si="101"/>
        <v>0</v>
      </c>
      <c r="BH85" s="130">
        <f t="shared" si="101"/>
        <v>0</v>
      </c>
      <c r="BI85" s="130">
        <f t="shared" si="101"/>
        <v>0</v>
      </c>
      <c r="BJ85" s="130">
        <f t="shared" si="101"/>
        <v>0</v>
      </c>
      <c r="BK85" s="130">
        <f t="shared" si="101"/>
        <v>0</v>
      </c>
      <c r="BL85" s="130">
        <f t="shared" si="101"/>
        <v>0</v>
      </c>
      <c r="BM85" s="130">
        <f t="shared" si="101"/>
        <v>0</v>
      </c>
      <c r="BN85" s="130">
        <f t="shared" si="101"/>
        <v>0</v>
      </c>
      <c r="BO85" s="130">
        <f t="shared" si="101"/>
        <v>0</v>
      </c>
      <c r="BP85" s="130">
        <f t="shared" si="101"/>
        <v>0</v>
      </c>
      <c r="BQ85" s="130">
        <f t="shared" si="101"/>
        <v>0</v>
      </c>
      <c r="BR85" s="130">
        <f t="shared" si="101"/>
        <v>0</v>
      </c>
      <c r="BS85" s="130">
        <f t="shared" si="101"/>
        <v>0</v>
      </c>
      <c r="BT85" s="130">
        <f t="shared" si="101"/>
        <v>0</v>
      </c>
      <c r="BU85" s="130">
        <f t="shared" si="101"/>
        <v>0</v>
      </c>
      <c r="BV85" s="130">
        <f t="shared" ref="BV85:CZ92" si="102">IF(AND(BV$7&lt;=$G85,BV$7&gt;=$F85,$H85&lt;&gt;0,$H85&lt;&gt;""),$C85/$H85,0)</f>
        <v>0</v>
      </c>
      <c r="BW85" s="130">
        <f t="shared" si="102"/>
        <v>0</v>
      </c>
      <c r="BX85" s="130">
        <f t="shared" si="102"/>
        <v>0</v>
      </c>
      <c r="BY85" s="130">
        <f t="shared" si="102"/>
        <v>0</v>
      </c>
      <c r="BZ85" s="130">
        <f t="shared" si="102"/>
        <v>0</v>
      </c>
      <c r="CA85" s="130">
        <f t="shared" si="102"/>
        <v>0</v>
      </c>
      <c r="CB85" s="130">
        <f t="shared" si="102"/>
        <v>0</v>
      </c>
      <c r="CC85" s="130">
        <f t="shared" si="102"/>
        <v>0</v>
      </c>
      <c r="CD85" s="130">
        <f t="shared" si="102"/>
        <v>0</v>
      </c>
      <c r="CE85" s="130">
        <f t="shared" si="102"/>
        <v>0</v>
      </c>
      <c r="CF85" s="130">
        <f t="shared" si="102"/>
        <v>0</v>
      </c>
      <c r="CG85" s="130">
        <f t="shared" si="102"/>
        <v>0</v>
      </c>
      <c r="CH85" s="130">
        <f t="shared" si="102"/>
        <v>0</v>
      </c>
      <c r="CI85" s="130">
        <f t="shared" si="102"/>
        <v>0</v>
      </c>
      <c r="CJ85" s="130">
        <f t="shared" si="102"/>
        <v>0</v>
      </c>
      <c r="CK85" s="130">
        <f t="shared" si="102"/>
        <v>0</v>
      </c>
      <c r="CL85" s="130">
        <f t="shared" si="102"/>
        <v>0</v>
      </c>
      <c r="CM85" s="130">
        <f t="shared" si="102"/>
        <v>0</v>
      </c>
      <c r="CN85" s="130">
        <f t="shared" si="102"/>
        <v>0</v>
      </c>
      <c r="CO85" s="130">
        <f t="shared" si="102"/>
        <v>0</v>
      </c>
      <c r="CP85" s="130">
        <f t="shared" si="102"/>
        <v>0</v>
      </c>
      <c r="CQ85" s="130">
        <f t="shared" si="102"/>
        <v>0</v>
      </c>
      <c r="CR85" s="130">
        <f t="shared" si="102"/>
        <v>0</v>
      </c>
      <c r="CS85" s="130">
        <f t="shared" si="102"/>
        <v>0</v>
      </c>
      <c r="CT85" s="130">
        <f t="shared" si="102"/>
        <v>0</v>
      </c>
      <c r="CU85" s="130">
        <f t="shared" si="102"/>
        <v>0</v>
      </c>
      <c r="CV85" s="130">
        <f t="shared" si="102"/>
        <v>0</v>
      </c>
      <c r="CW85" s="130">
        <f t="shared" si="102"/>
        <v>0</v>
      </c>
      <c r="CX85" s="130">
        <f t="shared" si="102"/>
        <v>0</v>
      </c>
      <c r="CY85" s="130">
        <f t="shared" si="102"/>
        <v>0</v>
      </c>
      <c r="CZ85" s="130">
        <f t="shared" si="102"/>
        <v>0</v>
      </c>
    </row>
    <row r="86" spans="2:104" x14ac:dyDescent="0.35">
      <c r="B86" s="131" t="str">
        <f>'Development Costs'!B70</f>
        <v>Legal fees</v>
      </c>
      <c r="C86" s="130">
        <f>-'Development Costs'!H70</f>
        <v>-75000</v>
      </c>
      <c r="D86" s="130">
        <f t="shared" si="99"/>
        <v>0</v>
      </c>
      <c r="E86" s="130">
        <f t="shared" si="100"/>
        <v>-75000</v>
      </c>
      <c r="F86" s="304">
        <f>F85</f>
        <v>44562</v>
      </c>
      <c r="G86" s="304">
        <f>G85</f>
        <v>44562</v>
      </c>
      <c r="H86" s="141">
        <f t="shared" ref="H86:H92" si="103">DATEDIF(F86,G86,"m")+1</f>
        <v>1</v>
      </c>
      <c r="I86" s="130">
        <f t="shared" ref="I86:X95" si="104">IF(AND(I$7&lt;=$G86,I$7&gt;=$F86,$H86&lt;&gt;0,$H86&lt;&gt;""),$C86/$H86,0)</f>
        <v>-75000</v>
      </c>
      <c r="J86" s="130">
        <f t="shared" si="104"/>
        <v>0</v>
      </c>
      <c r="K86" s="130">
        <f t="shared" si="104"/>
        <v>0</v>
      </c>
      <c r="L86" s="130">
        <f t="shared" si="104"/>
        <v>0</v>
      </c>
      <c r="M86" s="130">
        <f t="shared" si="104"/>
        <v>0</v>
      </c>
      <c r="N86" s="130">
        <f t="shared" si="104"/>
        <v>0</v>
      </c>
      <c r="O86" s="130">
        <f t="shared" si="104"/>
        <v>0</v>
      </c>
      <c r="P86" s="130">
        <f t="shared" si="104"/>
        <v>0</v>
      </c>
      <c r="Q86" s="130">
        <f t="shared" si="104"/>
        <v>0</v>
      </c>
      <c r="R86" s="130">
        <f t="shared" si="104"/>
        <v>0</v>
      </c>
      <c r="S86" s="130">
        <f t="shared" si="104"/>
        <v>0</v>
      </c>
      <c r="T86" s="130">
        <f t="shared" si="104"/>
        <v>0</v>
      </c>
      <c r="U86" s="130">
        <f t="shared" si="104"/>
        <v>0</v>
      </c>
      <c r="V86" s="130">
        <f t="shared" si="104"/>
        <v>0</v>
      </c>
      <c r="W86" s="130">
        <f t="shared" si="104"/>
        <v>0</v>
      </c>
      <c r="X86" s="130">
        <f t="shared" si="104"/>
        <v>0</v>
      </c>
      <c r="Y86" s="130">
        <f t="shared" si="101"/>
        <v>0</v>
      </c>
      <c r="Z86" s="130">
        <f t="shared" si="101"/>
        <v>0</v>
      </c>
      <c r="AA86" s="130">
        <f t="shared" si="101"/>
        <v>0</v>
      </c>
      <c r="AB86" s="130">
        <f t="shared" si="101"/>
        <v>0</v>
      </c>
      <c r="AC86" s="130">
        <f t="shared" si="101"/>
        <v>0</v>
      </c>
      <c r="AD86" s="130">
        <f t="shared" si="101"/>
        <v>0</v>
      </c>
      <c r="AE86" s="130">
        <f t="shared" si="101"/>
        <v>0</v>
      </c>
      <c r="AF86" s="130">
        <f t="shared" si="101"/>
        <v>0</v>
      </c>
      <c r="AG86" s="130">
        <f t="shared" si="101"/>
        <v>0</v>
      </c>
      <c r="AH86" s="130">
        <f t="shared" si="101"/>
        <v>0</v>
      </c>
      <c r="AI86" s="130">
        <f t="shared" si="101"/>
        <v>0</v>
      </c>
      <c r="AJ86" s="130">
        <f t="shared" si="101"/>
        <v>0</v>
      </c>
      <c r="AK86" s="130">
        <f t="shared" si="101"/>
        <v>0</v>
      </c>
      <c r="AL86" s="130">
        <f t="shared" si="101"/>
        <v>0</v>
      </c>
      <c r="AM86" s="130">
        <f t="shared" si="101"/>
        <v>0</v>
      </c>
      <c r="AN86" s="130">
        <f t="shared" si="101"/>
        <v>0</v>
      </c>
      <c r="AO86" s="130">
        <f t="shared" si="101"/>
        <v>0</v>
      </c>
      <c r="AP86" s="130">
        <f t="shared" si="101"/>
        <v>0</v>
      </c>
      <c r="AQ86" s="130">
        <f t="shared" si="101"/>
        <v>0</v>
      </c>
      <c r="AR86" s="130">
        <f t="shared" si="101"/>
        <v>0</v>
      </c>
      <c r="AS86" s="130">
        <f t="shared" si="101"/>
        <v>0</v>
      </c>
      <c r="AT86" s="130">
        <f t="shared" si="101"/>
        <v>0</v>
      </c>
      <c r="AU86" s="130">
        <f t="shared" si="101"/>
        <v>0</v>
      </c>
      <c r="AV86" s="130">
        <f t="shared" si="101"/>
        <v>0</v>
      </c>
      <c r="AW86" s="130">
        <f t="shared" si="101"/>
        <v>0</v>
      </c>
      <c r="AX86" s="130">
        <f t="shared" si="101"/>
        <v>0</v>
      </c>
      <c r="AY86" s="130">
        <f t="shared" si="101"/>
        <v>0</v>
      </c>
      <c r="AZ86" s="130">
        <f t="shared" si="101"/>
        <v>0</v>
      </c>
      <c r="BA86" s="130">
        <f t="shared" si="101"/>
        <v>0</v>
      </c>
      <c r="BB86" s="130">
        <f t="shared" si="101"/>
        <v>0</v>
      </c>
      <c r="BC86" s="130">
        <f t="shared" si="101"/>
        <v>0</v>
      </c>
      <c r="BD86" s="130">
        <f t="shared" si="101"/>
        <v>0</v>
      </c>
      <c r="BE86" s="130">
        <f t="shared" si="101"/>
        <v>0</v>
      </c>
      <c r="BF86" s="130">
        <f t="shared" si="101"/>
        <v>0</v>
      </c>
      <c r="BG86" s="130">
        <f t="shared" si="101"/>
        <v>0</v>
      </c>
      <c r="BH86" s="130">
        <f t="shared" si="101"/>
        <v>0</v>
      </c>
      <c r="BI86" s="130">
        <f t="shared" si="101"/>
        <v>0</v>
      </c>
      <c r="BJ86" s="130">
        <f t="shared" si="101"/>
        <v>0</v>
      </c>
      <c r="BK86" s="130">
        <f t="shared" si="101"/>
        <v>0</v>
      </c>
      <c r="BL86" s="130">
        <f t="shared" si="101"/>
        <v>0</v>
      </c>
      <c r="BM86" s="130">
        <f t="shared" si="101"/>
        <v>0</v>
      </c>
      <c r="BN86" s="130">
        <f t="shared" si="101"/>
        <v>0</v>
      </c>
      <c r="BO86" s="130">
        <f t="shared" si="101"/>
        <v>0</v>
      </c>
      <c r="BP86" s="130">
        <f t="shared" si="101"/>
        <v>0</v>
      </c>
      <c r="BQ86" s="130">
        <f t="shared" si="101"/>
        <v>0</v>
      </c>
      <c r="BR86" s="130">
        <f t="shared" si="101"/>
        <v>0</v>
      </c>
      <c r="BS86" s="130">
        <f t="shared" si="101"/>
        <v>0</v>
      </c>
      <c r="BT86" s="130">
        <f t="shared" si="101"/>
        <v>0</v>
      </c>
      <c r="BU86" s="130">
        <f t="shared" si="101"/>
        <v>0</v>
      </c>
      <c r="BV86" s="130">
        <f t="shared" si="102"/>
        <v>0</v>
      </c>
      <c r="BW86" s="130">
        <f t="shared" si="102"/>
        <v>0</v>
      </c>
      <c r="BX86" s="130">
        <f t="shared" si="102"/>
        <v>0</v>
      </c>
      <c r="BY86" s="130">
        <f t="shared" si="102"/>
        <v>0</v>
      </c>
      <c r="BZ86" s="130">
        <f t="shared" si="102"/>
        <v>0</v>
      </c>
      <c r="CA86" s="130">
        <f t="shared" si="102"/>
        <v>0</v>
      </c>
      <c r="CB86" s="130">
        <f t="shared" si="102"/>
        <v>0</v>
      </c>
      <c r="CC86" s="130">
        <f t="shared" si="102"/>
        <v>0</v>
      </c>
      <c r="CD86" s="130">
        <f t="shared" si="102"/>
        <v>0</v>
      </c>
      <c r="CE86" s="130">
        <f t="shared" si="102"/>
        <v>0</v>
      </c>
      <c r="CF86" s="130">
        <f t="shared" si="102"/>
        <v>0</v>
      </c>
      <c r="CG86" s="130">
        <f t="shared" si="102"/>
        <v>0</v>
      </c>
      <c r="CH86" s="130">
        <f t="shared" si="102"/>
        <v>0</v>
      </c>
      <c r="CI86" s="130">
        <f t="shared" si="102"/>
        <v>0</v>
      </c>
      <c r="CJ86" s="130">
        <f t="shared" si="102"/>
        <v>0</v>
      </c>
      <c r="CK86" s="130">
        <f t="shared" si="102"/>
        <v>0</v>
      </c>
      <c r="CL86" s="130">
        <f t="shared" si="102"/>
        <v>0</v>
      </c>
      <c r="CM86" s="130">
        <f t="shared" si="102"/>
        <v>0</v>
      </c>
      <c r="CN86" s="130">
        <f t="shared" si="102"/>
        <v>0</v>
      </c>
      <c r="CO86" s="130">
        <f t="shared" si="102"/>
        <v>0</v>
      </c>
      <c r="CP86" s="130">
        <f t="shared" si="102"/>
        <v>0</v>
      </c>
      <c r="CQ86" s="130">
        <f t="shared" si="102"/>
        <v>0</v>
      </c>
      <c r="CR86" s="130">
        <f t="shared" si="102"/>
        <v>0</v>
      </c>
      <c r="CS86" s="130">
        <f t="shared" si="102"/>
        <v>0</v>
      </c>
      <c r="CT86" s="130">
        <f t="shared" si="102"/>
        <v>0</v>
      </c>
      <c r="CU86" s="130">
        <f t="shared" si="102"/>
        <v>0</v>
      </c>
      <c r="CV86" s="130">
        <f t="shared" si="102"/>
        <v>0</v>
      </c>
      <c r="CW86" s="130">
        <f t="shared" si="102"/>
        <v>0</v>
      </c>
      <c r="CX86" s="130">
        <f t="shared" si="102"/>
        <v>0</v>
      </c>
      <c r="CY86" s="130">
        <f t="shared" si="102"/>
        <v>0</v>
      </c>
      <c r="CZ86" s="130">
        <f t="shared" si="102"/>
        <v>0</v>
      </c>
    </row>
    <row r="87" spans="2:104" x14ac:dyDescent="0.35">
      <c r="B87" s="131" t="str">
        <f>'Development Costs'!B71</f>
        <v>Property Taxes During Construction</v>
      </c>
      <c r="C87" s="130">
        <f>-'Development Costs'!H71</f>
        <v>0</v>
      </c>
      <c r="D87" s="130">
        <f t="shared" si="99"/>
        <v>0</v>
      </c>
      <c r="E87" s="130">
        <f t="shared" si="100"/>
        <v>0</v>
      </c>
      <c r="F87" s="304">
        <f>Schedule!D15</f>
        <v>44593</v>
      </c>
      <c r="G87" s="304">
        <f>Schedule!E17</f>
        <v>45536</v>
      </c>
      <c r="H87" s="141">
        <f t="shared" si="103"/>
        <v>32</v>
      </c>
      <c r="I87" s="130">
        <f t="shared" si="104"/>
        <v>0</v>
      </c>
      <c r="J87" s="130">
        <f t="shared" si="104"/>
        <v>0</v>
      </c>
      <c r="K87" s="130">
        <f t="shared" si="104"/>
        <v>0</v>
      </c>
      <c r="L87" s="130">
        <f t="shared" si="104"/>
        <v>0</v>
      </c>
      <c r="M87" s="130">
        <f t="shared" si="104"/>
        <v>0</v>
      </c>
      <c r="N87" s="130">
        <f t="shared" si="104"/>
        <v>0</v>
      </c>
      <c r="O87" s="130">
        <f t="shared" si="104"/>
        <v>0</v>
      </c>
      <c r="P87" s="130">
        <f t="shared" si="104"/>
        <v>0</v>
      </c>
      <c r="Q87" s="130">
        <f t="shared" si="104"/>
        <v>0</v>
      </c>
      <c r="R87" s="130">
        <f t="shared" si="104"/>
        <v>0</v>
      </c>
      <c r="S87" s="130">
        <f t="shared" si="104"/>
        <v>0</v>
      </c>
      <c r="T87" s="130">
        <f t="shared" si="104"/>
        <v>0</v>
      </c>
      <c r="U87" s="130">
        <f t="shared" si="104"/>
        <v>0</v>
      </c>
      <c r="V87" s="130">
        <f t="shared" si="104"/>
        <v>0</v>
      </c>
      <c r="W87" s="130">
        <f t="shared" si="104"/>
        <v>0</v>
      </c>
      <c r="X87" s="130">
        <f t="shared" si="104"/>
        <v>0</v>
      </c>
      <c r="Y87" s="130">
        <f t="shared" si="101"/>
        <v>0</v>
      </c>
      <c r="Z87" s="130">
        <f t="shared" si="101"/>
        <v>0</v>
      </c>
      <c r="AA87" s="130">
        <f t="shared" si="101"/>
        <v>0</v>
      </c>
      <c r="AB87" s="130">
        <f t="shared" si="101"/>
        <v>0</v>
      </c>
      <c r="AC87" s="130">
        <f t="shared" si="101"/>
        <v>0</v>
      </c>
      <c r="AD87" s="130">
        <f t="shared" si="101"/>
        <v>0</v>
      </c>
      <c r="AE87" s="130">
        <f t="shared" si="101"/>
        <v>0</v>
      </c>
      <c r="AF87" s="130">
        <f t="shared" si="101"/>
        <v>0</v>
      </c>
      <c r="AG87" s="130">
        <f t="shared" si="101"/>
        <v>0</v>
      </c>
      <c r="AH87" s="130">
        <f t="shared" si="101"/>
        <v>0</v>
      </c>
      <c r="AI87" s="130">
        <f t="shared" si="101"/>
        <v>0</v>
      </c>
      <c r="AJ87" s="130">
        <f t="shared" si="101"/>
        <v>0</v>
      </c>
      <c r="AK87" s="130">
        <f t="shared" si="101"/>
        <v>0</v>
      </c>
      <c r="AL87" s="130">
        <f t="shared" si="101"/>
        <v>0</v>
      </c>
      <c r="AM87" s="130">
        <f t="shared" si="101"/>
        <v>0</v>
      </c>
      <c r="AN87" s="130">
        <f t="shared" si="101"/>
        <v>0</v>
      </c>
      <c r="AO87" s="130">
        <f t="shared" si="101"/>
        <v>0</v>
      </c>
      <c r="AP87" s="130">
        <f t="shared" si="101"/>
        <v>0</v>
      </c>
      <c r="AQ87" s="130">
        <f t="shared" si="101"/>
        <v>0</v>
      </c>
      <c r="AR87" s="130">
        <f t="shared" si="101"/>
        <v>0</v>
      </c>
      <c r="AS87" s="130">
        <f t="shared" si="101"/>
        <v>0</v>
      </c>
      <c r="AT87" s="130">
        <f t="shared" si="101"/>
        <v>0</v>
      </c>
      <c r="AU87" s="130">
        <f t="shared" si="101"/>
        <v>0</v>
      </c>
      <c r="AV87" s="130">
        <f t="shared" si="101"/>
        <v>0</v>
      </c>
      <c r="AW87" s="130">
        <f t="shared" si="101"/>
        <v>0</v>
      </c>
      <c r="AX87" s="130">
        <f t="shared" si="101"/>
        <v>0</v>
      </c>
      <c r="AY87" s="130">
        <f t="shared" si="101"/>
        <v>0</v>
      </c>
      <c r="AZ87" s="130">
        <f t="shared" si="101"/>
        <v>0</v>
      </c>
      <c r="BA87" s="130">
        <f t="shared" si="101"/>
        <v>0</v>
      </c>
      <c r="BB87" s="130">
        <f t="shared" si="101"/>
        <v>0</v>
      </c>
      <c r="BC87" s="130">
        <f t="shared" si="101"/>
        <v>0</v>
      </c>
      <c r="BD87" s="130">
        <f t="shared" si="101"/>
        <v>0</v>
      </c>
      <c r="BE87" s="130">
        <f t="shared" si="101"/>
        <v>0</v>
      </c>
      <c r="BF87" s="130">
        <f t="shared" si="101"/>
        <v>0</v>
      </c>
      <c r="BG87" s="130">
        <f t="shared" si="101"/>
        <v>0</v>
      </c>
      <c r="BH87" s="130">
        <f t="shared" si="101"/>
        <v>0</v>
      </c>
      <c r="BI87" s="130">
        <f t="shared" si="101"/>
        <v>0</v>
      </c>
      <c r="BJ87" s="130">
        <f t="shared" si="101"/>
        <v>0</v>
      </c>
      <c r="BK87" s="130">
        <f t="shared" si="101"/>
        <v>0</v>
      </c>
      <c r="BL87" s="130">
        <f t="shared" si="101"/>
        <v>0</v>
      </c>
      <c r="BM87" s="130">
        <f t="shared" si="101"/>
        <v>0</v>
      </c>
      <c r="BN87" s="130">
        <f t="shared" si="101"/>
        <v>0</v>
      </c>
      <c r="BO87" s="130">
        <f t="shared" si="101"/>
        <v>0</v>
      </c>
      <c r="BP87" s="130">
        <f t="shared" si="101"/>
        <v>0</v>
      </c>
      <c r="BQ87" s="130">
        <f t="shared" si="101"/>
        <v>0</v>
      </c>
      <c r="BR87" s="130">
        <f t="shared" si="101"/>
        <v>0</v>
      </c>
      <c r="BS87" s="130">
        <f t="shared" si="101"/>
        <v>0</v>
      </c>
      <c r="BT87" s="130">
        <f t="shared" si="101"/>
        <v>0</v>
      </c>
      <c r="BU87" s="130">
        <f t="shared" si="101"/>
        <v>0</v>
      </c>
      <c r="BV87" s="130">
        <f t="shared" si="102"/>
        <v>0</v>
      </c>
      <c r="BW87" s="130">
        <f t="shared" si="102"/>
        <v>0</v>
      </c>
      <c r="BX87" s="130">
        <f t="shared" si="102"/>
        <v>0</v>
      </c>
      <c r="BY87" s="130">
        <f t="shared" si="102"/>
        <v>0</v>
      </c>
      <c r="BZ87" s="130">
        <f t="shared" si="102"/>
        <v>0</v>
      </c>
      <c r="CA87" s="130">
        <f t="shared" si="102"/>
        <v>0</v>
      </c>
      <c r="CB87" s="130">
        <f t="shared" si="102"/>
        <v>0</v>
      </c>
      <c r="CC87" s="130">
        <f t="shared" si="102"/>
        <v>0</v>
      </c>
      <c r="CD87" s="130">
        <f t="shared" si="102"/>
        <v>0</v>
      </c>
      <c r="CE87" s="130">
        <f t="shared" si="102"/>
        <v>0</v>
      </c>
      <c r="CF87" s="130">
        <f t="shared" si="102"/>
        <v>0</v>
      </c>
      <c r="CG87" s="130">
        <f t="shared" si="102"/>
        <v>0</v>
      </c>
      <c r="CH87" s="130">
        <f t="shared" si="102"/>
        <v>0</v>
      </c>
      <c r="CI87" s="130">
        <f t="shared" si="102"/>
        <v>0</v>
      </c>
      <c r="CJ87" s="130">
        <f t="shared" si="102"/>
        <v>0</v>
      </c>
      <c r="CK87" s="130">
        <f t="shared" si="102"/>
        <v>0</v>
      </c>
      <c r="CL87" s="130">
        <f t="shared" si="102"/>
        <v>0</v>
      </c>
      <c r="CM87" s="130">
        <f t="shared" si="102"/>
        <v>0</v>
      </c>
      <c r="CN87" s="130">
        <f t="shared" si="102"/>
        <v>0</v>
      </c>
      <c r="CO87" s="130">
        <f t="shared" si="102"/>
        <v>0</v>
      </c>
      <c r="CP87" s="130">
        <f t="shared" si="102"/>
        <v>0</v>
      </c>
      <c r="CQ87" s="130">
        <f t="shared" si="102"/>
        <v>0</v>
      </c>
      <c r="CR87" s="130">
        <f t="shared" si="102"/>
        <v>0</v>
      </c>
      <c r="CS87" s="130">
        <f t="shared" si="102"/>
        <v>0</v>
      </c>
      <c r="CT87" s="130">
        <f t="shared" si="102"/>
        <v>0</v>
      </c>
      <c r="CU87" s="130">
        <f t="shared" si="102"/>
        <v>0</v>
      </c>
      <c r="CV87" s="130">
        <f t="shared" si="102"/>
        <v>0</v>
      </c>
      <c r="CW87" s="130">
        <f t="shared" si="102"/>
        <v>0</v>
      </c>
      <c r="CX87" s="130">
        <f t="shared" si="102"/>
        <v>0</v>
      </c>
      <c r="CY87" s="130">
        <f t="shared" si="102"/>
        <v>0</v>
      </c>
      <c r="CZ87" s="130">
        <f t="shared" si="102"/>
        <v>0</v>
      </c>
    </row>
    <row r="88" spans="2:104" x14ac:dyDescent="0.35">
      <c r="B88" s="131" t="str">
        <f>'Development Costs'!B72</f>
        <v>Quantity Surveyor</v>
      </c>
      <c r="C88" s="130">
        <f>-'Development Costs'!H72</f>
        <v>0</v>
      </c>
      <c r="D88" s="130">
        <f t="shared" si="99"/>
        <v>0</v>
      </c>
      <c r="E88" s="130">
        <f t="shared" si="100"/>
        <v>0</v>
      </c>
      <c r="F88" s="304">
        <f t="shared" ref="F88" si="105">F87</f>
        <v>44593</v>
      </c>
      <c r="G88" s="121">
        <f>G87</f>
        <v>45536</v>
      </c>
      <c r="H88" s="141">
        <f t="shared" si="103"/>
        <v>32</v>
      </c>
      <c r="I88" s="130">
        <f t="shared" si="104"/>
        <v>0</v>
      </c>
      <c r="J88" s="130">
        <f t="shared" si="101"/>
        <v>0</v>
      </c>
      <c r="K88" s="130">
        <f t="shared" si="101"/>
        <v>0</v>
      </c>
      <c r="L88" s="130">
        <f t="shared" si="101"/>
        <v>0</v>
      </c>
      <c r="M88" s="130">
        <f t="shared" si="101"/>
        <v>0</v>
      </c>
      <c r="N88" s="130">
        <f t="shared" si="101"/>
        <v>0</v>
      </c>
      <c r="O88" s="130">
        <f t="shared" si="101"/>
        <v>0</v>
      </c>
      <c r="P88" s="130">
        <f t="shared" si="101"/>
        <v>0</v>
      </c>
      <c r="Q88" s="130">
        <f t="shared" si="101"/>
        <v>0</v>
      </c>
      <c r="R88" s="130">
        <f t="shared" si="101"/>
        <v>0</v>
      </c>
      <c r="S88" s="130">
        <f t="shared" si="101"/>
        <v>0</v>
      </c>
      <c r="T88" s="130">
        <f t="shared" si="101"/>
        <v>0</v>
      </c>
      <c r="U88" s="130">
        <f t="shared" si="101"/>
        <v>0</v>
      </c>
      <c r="V88" s="130">
        <f t="shared" si="101"/>
        <v>0</v>
      </c>
      <c r="W88" s="130">
        <f t="shared" si="101"/>
        <v>0</v>
      </c>
      <c r="X88" s="130">
        <f t="shared" si="101"/>
        <v>0</v>
      </c>
      <c r="Y88" s="130">
        <f t="shared" si="101"/>
        <v>0</v>
      </c>
      <c r="Z88" s="130">
        <f t="shared" si="101"/>
        <v>0</v>
      </c>
      <c r="AA88" s="130">
        <f t="shared" si="101"/>
        <v>0</v>
      </c>
      <c r="AB88" s="130">
        <f t="shared" si="101"/>
        <v>0</v>
      </c>
      <c r="AC88" s="130">
        <f t="shared" si="101"/>
        <v>0</v>
      </c>
      <c r="AD88" s="130">
        <f t="shared" si="101"/>
        <v>0</v>
      </c>
      <c r="AE88" s="130">
        <f t="shared" si="101"/>
        <v>0</v>
      </c>
      <c r="AF88" s="130">
        <f t="shared" si="101"/>
        <v>0</v>
      </c>
      <c r="AG88" s="130">
        <f t="shared" si="101"/>
        <v>0</v>
      </c>
      <c r="AH88" s="130">
        <f t="shared" si="101"/>
        <v>0</v>
      </c>
      <c r="AI88" s="130">
        <f t="shared" si="101"/>
        <v>0</v>
      </c>
      <c r="AJ88" s="130">
        <f t="shared" si="101"/>
        <v>0</v>
      </c>
      <c r="AK88" s="130">
        <f t="shared" si="101"/>
        <v>0</v>
      </c>
      <c r="AL88" s="130">
        <f t="shared" si="101"/>
        <v>0</v>
      </c>
      <c r="AM88" s="130">
        <f t="shared" si="101"/>
        <v>0</v>
      </c>
      <c r="AN88" s="130">
        <f t="shared" si="101"/>
        <v>0</v>
      </c>
      <c r="AO88" s="130">
        <f t="shared" si="101"/>
        <v>0</v>
      </c>
      <c r="AP88" s="130">
        <f t="shared" si="101"/>
        <v>0</v>
      </c>
      <c r="AQ88" s="130">
        <f t="shared" si="101"/>
        <v>0</v>
      </c>
      <c r="AR88" s="130">
        <f t="shared" si="101"/>
        <v>0</v>
      </c>
      <c r="AS88" s="130">
        <f t="shared" si="101"/>
        <v>0</v>
      </c>
      <c r="AT88" s="130">
        <f t="shared" si="101"/>
        <v>0</v>
      </c>
      <c r="AU88" s="130">
        <f t="shared" si="101"/>
        <v>0</v>
      </c>
      <c r="AV88" s="130">
        <f t="shared" si="101"/>
        <v>0</v>
      </c>
      <c r="AW88" s="130">
        <f t="shared" si="101"/>
        <v>0</v>
      </c>
      <c r="AX88" s="130">
        <f t="shared" si="101"/>
        <v>0</v>
      </c>
      <c r="AY88" s="130">
        <f t="shared" si="101"/>
        <v>0</v>
      </c>
      <c r="AZ88" s="130">
        <f t="shared" si="101"/>
        <v>0</v>
      </c>
      <c r="BA88" s="130">
        <f t="shared" si="101"/>
        <v>0</v>
      </c>
      <c r="BB88" s="130">
        <f t="shared" si="101"/>
        <v>0</v>
      </c>
      <c r="BC88" s="130">
        <f t="shared" si="101"/>
        <v>0</v>
      </c>
      <c r="BD88" s="130">
        <f t="shared" si="101"/>
        <v>0</v>
      </c>
      <c r="BE88" s="130">
        <f t="shared" si="101"/>
        <v>0</v>
      </c>
      <c r="BF88" s="130">
        <f t="shared" si="101"/>
        <v>0</v>
      </c>
      <c r="BG88" s="130">
        <f t="shared" si="101"/>
        <v>0</v>
      </c>
      <c r="BH88" s="130">
        <f t="shared" si="101"/>
        <v>0</v>
      </c>
      <c r="BI88" s="130">
        <f t="shared" si="101"/>
        <v>0</v>
      </c>
      <c r="BJ88" s="130">
        <f t="shared" si="101"/>
        <v>0</v>
      </c>
      <c r="BK88" s="130">
        <f t="shared" si="101"/>
        <v>0</v>
      </c>
      <c r="BL88" s="130">
        <f t="shared" si="101"/>
        <v>0</v>
      </c>
      <c r="BM88" s="130">
        <f t="shared" si="101"/>
        <v>0</v>
      </c>
      <c r="BN88" s="130">
        <f t="shared" si="101"/>
        <v>0</v>
      </c>
      <c r="BO88" s="130">
        <f t="shared" si="101"/>
        <v>0</v>
      </c>
      <c r="BP88" s="130">
        <f t="shared" si="101"/>
        <v>0</v>
      </c>
      <c r="BQ88" s="130">
        <f t="shared" si="101"/>
        <v>0</v>
      </c>
      <c r="BR88" s="130">
        <f t="shared" si="101"/>
        <v>0</v>
      </c>
      <c r="BS88" s="130">
        <f t="shared" si="101"/>
        <v>0</v>
      </c>
      <c r="BT88" s="130">
        <f t="shared" si="101"/>
        <v>0</v>
      </c>
      <c r="BU88" s="130">
        <f t="shared" si="101"/>
        <v>0</v>
      </c>
      <c r="BV88" s="130">
        <f t="shared" si="102"/>
        <v>0</v>
      </c>
      <c r="BW88" s="130">
        <f t="shared" si="102"/>
        <v>0</v>
      </c>
      <c r="BX88" s="130">
        <f t="shared" si="102"/>
        <v>0</v>
      </c>
      <c r="BY88" s="130">
        <f t="shared" si="102"/>
        <v>0</v>
      </c>
      <c r="BZ88" s="130">
        <f t="shared" si="102"/>
        <v>0</v>
      </c>
      <c r="CA88" s="130">
        <f t="shared" si="102"/>
        <v>0</v>
      </c>
      <c r="CB88" s="130">
        <f t="shared" si="102"/>
        <v>0</v>
      </c>
      <c r="CC88" s="130">
        <f t="shared" si="102"/>
        <v>0</v>
      </c>
      <c r="CD88" s="130">
        <f t="shared" si="102"/>
        <v>0</v>
      </c>
      <c r="CE88" s="130">
        <f t="shared" si="102"/>
        <v>0</v>
      </c>
      <c r="CF88" s="130">
        <f t="shared" si="102"/>
        <v>0</v>
      </c>
      <c r="CG88" s="130">
        <f t="shared" si="102"/>
        <v>0</v>
      </c>
      <c r="CH88" s="130">
        <f t="shared" si="102"/>
        <v>0</v>
      </c>
      <c r="CI88" s="130">
        <f t="shared" si="102"/>
        <v>0</v>
      </c>
      <c r="CJ88" s="130">
        <f t="shared" si="102"/>
        <v>0</v>
      </c>
      <c r="CK88" s="130">
        <f t="shared" si="102"/>
        <v>0</v>
      </c>
      <c r="CL88" s="130">
        <f t="shared" si="102"/>
        <v>0</v>
      </c>
      <c r="CM88" s="130">
        <f t="shared" si="102"/>
        <v>0</v>
      </c>
      <c r="CN88" s="130">
        <f t="shared" si="102"/>
        <v>0</v>
      </c>
      <c r="CO88" s="130">
        <f t="shared" si="102"/>
        <v>0</v>
      </c>
      <c r="CP88" s="130">
        <f t="shared" si="102"/>
        <v>0</v>
      </c>
      <c r="CQ88" s="130">
        <f t="shared" si="102"/>
        <v>0</v>
      </c>
      <c r="CR88" s="130">
        <f t="shared" si="102"/>
        <v>0</v>
      </c>
      <c r="CS88" s="130">
        <f t="shared" si="102"/>
        <v>0</v>
      </c>
      <c r="CT88" s="130">
        <f t="shared" si="102"/>
        <v>0</v>
      </c>
      <c r="CU88" s="130">
        <f t="shared" si="102"/>
        <v>0</v>
      </c>
      <c r="CV88" s="130">
        <f t="shared" si="102"/>
        <v>0</v>
      </c>
      <c r="CW88" s="130">
        <f t="shared" si="102"/>
        <v>0</v>
      </c>
      <c r="CX88" s="130">
        <f t="shared" si="102"/>
        <v>0</v>
      </c>
      <c r="CY88" s="130">
        <f t="shared" si="102"/>
        <v>0</v>
      </c>
      <c r="CZ88" s="130">
        <f t="shared" si="102"/>
        <v>0</v>
      </c>
    </row>
    <row r="89" spans="2:104" x14ac:dyDescent="0.35">
      <c r="B89" s="131" t="str">
        <f>'Development Costs'!B73</f>
        <v>Insurance</v>
      </c>
      <c r="C89" s="130">
        <f>-'Development Costs'!H73</f>
        <v>0</v>
      </c>
      <c r="D89" s="130">
        <f t="shared" si="99"/>
        <v>0</v>
      </c>
      <c r="E89" s="130">
        <f t="shared" si="100"/>
        <v>0</v>
      </c>
      <c r="F89" s="304">
        <f>F$47</f>
        <v>44593</v>
      </c>
      <c r="G89" s="304">
        <f>G$47</f>
        <v>45536</v>
      </c>
      <c r="H89" s="141">
        <f t="shared" si="103"/>
        <v>32</v>
      </c>
      <c r="I89" s="130">
        <f t="shared" si="104"/>
        <v>0</v>
      </c>
      <c r="J89" s="130">
        <f t="shared" si="101"/>
        <v>0</v>
      </c>
      <c r="K89" s="130">
        <f t="shared" si="101"/>
        <v>0</v>
      </c>
      <c r="L89" s="130">
        <f t="shared" si="101"/>
        <v>0</v>
      </c>
      <c r="M89" s="130">
        <f t="shared" si="101"/>
        <v>0</v>
      </c>
      <c r="N89" s="130">
        <f t="shared" si="101"/>
        <v>0</v>
      </c>
      <c r="O89" s="130">
        <f t="shared" si="101"/>
        <v>0</v>
      </c>
      <c r="P89" s="130">
        <f t="shared" si="101"/>
        <v>0</v>
      </c>
      <c r="Q89" s="130">
        <f t="shared" si="101"/>
        <v>0</v>
      </c>
      <c r="R89" s="130">
        <f t="shared" si="101"/>
        <v>0</v>
      </c>
      <c r="S89" s="130">
        <f t="shared" si="101"/>
        <v>0</v>
      </c>
      <c r="T89" s="130">
        <f t="shared" si="101"/>
        <v>0</v>
      </c>
      <c r="U89" s="130">
        <f t="shared" si="101"/>
        <v>0</v>
      </c>
      <c r="V89" s="130">
        <f t="shared" si="101"/>
        <v>0</v>
      </c>
      <c r="W89" s="130">
        <f t="shared" si="101"/>
        <v>0</v>
      </c>
      <c r="X89" s="130">
        <f t="shared" si="101"/>
        <v>0</v>
      </c>
      <c r="Y89" s="130">
        <f t="shared" si="101"/>
        <v>0</v>
      </c>
      <c r="Z89" s="130">
        <f t="shared" si="101"/>
        <v>0</v>
      </c>
      <c r="AA89" s="130">
        <f t="shared" si="101"/>
        <v>0</v>
      </c>
      <c r="AB89" s="130">
        <f t="shared" si="101"/>
        <v>0</v>
      </c>
      <c r="AC89" s="130">
        <f t="shared" si="101"/>
        <v>0</v>
      </c>
      <c r="AD89" s="130">
        <f t="shared" si="101"/>
        <v>0</v>
      </c>
      <c r="AE89" s="130">
        <f t="shared" si="101"/>
        <v>0</v>
      </c>
      <c r="AF89" s="130">
        <f t="shared" si="101"/>
        <v>0</v>
      </c>
      <c r="AG89" s="130">
        <f t="shared" si="101"/>
        <v>0</v>
      </c>
      <c r="AH89" s="130">
        <f t="shared" si="101"/>
        <v>0</v>
      </c>
      <c r="AI89" s="130">
        <f t="shared" si="101"/>
        <v>0</v>
      </c>
      <c r="AJ89" s="130">
        <f t="shared" si="101"/>
        <v>0</v>
      </c>
      <c r="AK89" s="130">
        <f t="shared" si="101"/>
        <v>0</v>
      </c>
      <c r="AL89" s="130">
        <f t="shared" si="101"/>
        <v>0</v>
      </c>
      <c r="AM89" s="130">
        <f t="shared" ref="AM89:CX90" si="106">IF(AND(AM$7&lt;=$G89,AM$7&gt;=$F89,$H89&lt;&gt;0,$H89&lt;&gt;""),$C89/$H89,0)</f>
        <v>0</v>
      </c>
      <c r="AN89" s="130">
        <f t="shared" si="106"/>
        <v>0</v>
      </c>
      <c r="AO89" s="130">
        <f t="shared" si="106"/>
        <v>0</v>
      </c>
      <c r="AP89" s="130">
        <f t="shared" si="106"/>
        <v>0</v>
      </c>
      <c r="AQ89" s="130">
        <f t="shared" si="106"/>
        <v>0</v>
      </c>
      <c r="AR89" s="130">
        <f t="shared" si="106"/>
        <v>0</v>
      </c>
      <c r="AS89" s="130">
        <f t="shared" si="106"/>
        <v>0</v>
      </c>
      <c r="AT89" s="130">
        <f t="shared" si="106"/>
        <v>0</v>
      </c>
      <c r="AU89" s="130">
        <f t="shared" si="106"/>
        <v>0</v>
      </c>
      <c r="AV89" s="130">
        <f t="shared" si="106"/>
        <v>0</v>
      </c>
      <c r="AW89" s="130">
        <f t="shared" si="106"/>
        <v>0</v>
      </c>
      <c r="AX89" s="130">
        <f t="shared" si="106"/>
        <v>0</v>
      </c>
      <c r="AY89" s="130">
        <f t="shared" si="106"/>
        <v>0</v>
      </c>
      <c r="AZ89" s="130">
        <f t="shared" si="106"/>
        <v>0</v>
      </c>
      <c r="BA89" s="130">
        <f t="shared" si="106"/>
        <v>0</v>
      </c>
      <c r="BB89" s="130">
        <f t="shared" si="106"/>
        <v>0</v>
      </c>
      <c r="BC89" s="130">
        <f t="shared" si="106"/>
        <v>0</v>
      </c>
      <c r="BD89" s="130">
        <f t="shared" si="106"/>
        <v>0</v>
      </c>
      <c r="BE89" s="130">
        <f t="shared" si="106"/>
        <v>0</v>
      </c>
      <c r="BF89" s="130">
        <f t="shared" si="106"/>
        <v>0</v>
      </c>
      <c r="BG89" s="130">
        <f t="shared" si="106"/>
        <v>0</v>
      </c>
      <c r="BH89" s="130">
        <f t="shared" si="106"/>
        <v>0</v>
      </c>
      <c r="BI89" s="130">
        <f t="shared" si="106"/>
        <v>0</v>
      </c>
      <c r="BJ89" s="130">
        <f t="shared" si="106"/>
        <v>0</v>
      </c>
      <c r="BK89" s="130">
        <f t="shared" si="106"/>
        <v>0</v>
      </c>
      <c r="BL89" s="130">
        <f t="shared" si="106"/>
        <v>0</v>
      </c>
      <c r="BM89" s="130">
        <f t="shared" si="106"/>
        <v>0</v>
      </c>
      <c r="BN89" s="130">
        <f t="shared" si="106"/>
        <v>0</v>
      </c>
      <c r="BO89" s="130">
        <f t="shared" si="106"/>
        <v>0</v>
      </c>
      <c r="BP89" s="130">
        <f t="shared" si="106"/>
        <v>0</v>
      </c>
      <c r="BQ89" s="130">
        <f t="shared" si="106"/>
        <v>0</v>
      </c>
      <c r="BR89" s="130">
        <f t="shared" si="106"/>
        <v>0</v>
      </c>
      <c r="BS89" s="130">
        <f t="shared" si="106"/>
        <v>0</v>
      </c>
      <c r="BT89" s="130">
        <f t="shared" si="106"/>
        <v>0</v>
      </c>
      <c r="BU89" s="130">
        <f t="shared" si="106"/>
        <v>0</v>
      </c>
      <c r="BV89" s="130">
        <f t="shared" si="102"/>
        <v>0</v>
      </c>
      <c r="BW89" s="130">
        <f t="shared" si="102"/>
        <v>0</v>
      </c>
      <c r="BX89" s="130">
        <f t="shared" si="102"/>
        <v>0</v>
      </c>
      <c r="BY89" s="130">
        <f t="shared" si="102"/>
        <v>0</v>
      </c>
      <c r="BZ89" s="130">
        <f t="shared" si="102"/>
        <v>0</v>
      </c>
      <c r="CA89" s="130">
        <f t="shared" si="102"/>
        <v>0</v>
      </c>
      <c r="CB89" s="130">
        <f t="shared" si="102"/>
        <v>0</v>
      </c>
      <c r="CC89" s="130">
        <f t="shared" si="102"/>
        <v>0</v>
      </c>
      <c r="CD89" s="130">
        <f t="shared" si="102"/>
        <v>0</v>
      </c>
      <c r="CE89" s="130">
        <f t="shared" si="102"/>
        <v>0</v>
      </c>
      <c r="CF89" s="130">
        <f t="shared" si="102"/>
        <v>0</v>
      </c>
      <c r="CG89" s="130">
        <f t="shared" si="102"/>
        <v>0</v>
      </c>
      <c r="CH89" s="130">
        <f t="shared" si="102"/>
        <v>0</v>
      </c>
      <c r="CI89" s="130">
        <f t="shared" si="102"/>
        <v>0</v>
      </c>
      <c r="CJ89" s="130">
        <f t="shared" si="102"/>
        <v>0</v>
      </c>
      <c r="CK89" s="130">
        <f t="shared" si="102"/>
        <v>0</v>
      </c>
      <c r="CL89" s="130">
        <f t="shared" si="102"/>
        <v>0</v>
      </c>
      <c r="CM89" s="130">
        <f t="shared" si="102"/>
        <v>0</v>
      </c>
      <c r="CN89" s="130">
        <f t="shared" si="102"/>
        <v>0</v>
      </c>
      <c r="CO89" s="130">
        <f t="shared" si="102"/>
        <v>0</v>
      </c>
      <c r="CP89" s="130">
        <f t="shared" si="102"/>
        <v>0</v>
      </c>
      <c r="CQ89" s="130">
        <f t="shared" si="102"/>
        <v>0</v>
      </c>
      <c r="CR89" s="130">
        <f t="shared" si="102"/>
        <v>0</v>
      </c>
      <c r="CS89" s="130">
        <f t="shared" si="102"/>
        <v>0</v>
      </c>
      <c r="CT89" s="130">
        <f t="shared" si="102"/>
        <v>0</v>
      </c>
      <c r="CU89" s="130">
        <f t="shared" si="102"/>
        <v>0</v>
      </c>
      <c r="CV89" s="130">
        <f t="shared" si="102"/>
        <v>0</v>
      </c>
      <c r="CW89" s="130">
        <f t="shared" si="102"/>
        <v>0</v>
      </c>
      <c r="CX89" s="130">
        <f t="shared" si="102"/>
        <v>0</v>
      </c>
      <c r="CY89" s="130">
        <f t="shared" si="102"/>
        <v>0</v>
      </c>
      <c r="CZ89" s="130">
        <f t="shared" si="102"/>
        <v>0</v>
      </c>
    </row>
    <row r="90" spans="2:104" x14ac:dyDescent="0.35">
      <c r="B90" s="131" t="str">
        <f>'Development Costs'!B74</f>
        <v>LC and Bonding</v>
      </c>
      <c r="C90" s="130">
        <f>-'Development Costs'!H74</f>
        <v>0</v>
      </c>
      <c r="D90" s="130">
        <f t="shared" si="99"/>
        <v>0</v>
      </c>
      <c r="E90" s="130">
        <f t="shared" si="100"/>
        <v>0</v>
      </c>
      <c r="F90" s="304">
        <f>F$47</f>
        <v>44593</v>
      </c>
      <c r="G90" s="304">
        <f>G$47</f>
        <v>45536</v>
      </c>
      <c r="H90" s="141">
        <f t="shared" si="103"/>
        <v>32</v>
      </c>
      <c r="I90" s="130">
        <f t="shared" si="104"/>
        <v>0</v>
      </c>
      <c r="J90" s="130">
        <f t="shared" si="104"/>
        <v>0</v>
      </c>
      <c r="K90" s="130">
        <f t="shared" si="104"/>
        <v>0</v>
      </c>
      <c r="L90" s="130">
        <f t="shared" si="104"/>
        <v>0</v>
      </c>
      <c r="M90" s="130">
        <f t="shared" si="104"/>
        <v>0</v>
      </c>
      <c r="N90" s="130">
        <f t="shared" si="104"/>
        <v>0</v>
      </c>
      <c r="O90" s="130">
        <f t="shared" si="104"/>
        <v>0</v>
      </c>
      <c r="P90" s="130">
        <f t="shared" si="104"/>
        <v>0</v>
      </c>
      <c r="Q90" s="130">
        <f t="shared" si="104"/>
        <v>0</v>
      </c>
      <c r="R90" s="130">
        <f t="shared" si="104"/>
        <v>0</v>
      </c>
      <c r="S90" s="130">
        <f t="shared" si="104"/>
        <v>0</v>
      </c>
      <c r="T90" s="130">
        <f t="shared" si="104"/>
        <v>0</v>
      </c>
      <c r="U90" s="130">
        <f t="shared" si="104"/>
        <v>0</v>
      </c>
      <c r="V90" s="130">
        <f t="shared" si="104"/>
        <v>0</v>
      </c>
      <c r="W90" s="130">
        <f t="shared" si="104"/>
        <v>0</v>
      </c>
      <c r="X90" s="130">
        <f t="shared" si="104"/>
        <v>0</v>
      </c>
      <c r="Y90" s="130">
        <f t="shared" ref="Y90:BU92" si="107">IF(AND(Y$7&lt;=$G90,Y$7&gt;=$F90,$H90&lt;&gt;0,$H90&lt;&gt;""),$C90/$H90,0)</f>
        <v>0</v>
      </c>
      <c r="Z90" s="130">
        <f t="shared" si="107"/>
        <v>0</v>
      </c>
      <c r="AA90" s="130">
        <f t="shared" si="107"/>
        <v>0</v>
      </c>
      <c r="AB90" s="130">
        <f t="shared" si="107"/>
        <v>0</v>
      </c>
      <c r="AC90" s="130">
        <f t="shared" si="107"/>
        <v>0</v>
      </c>
      <c r="AD90" s="130">
        <f t="shared" si="107"/>
        <v>0</v>
      </c>
      <c r="AE90" s="130">
        <f t="shared" si="107"/>
        <v>0</v>
      </c>
      <c r="AF90" s="130">
        <f t="shared" si="107"/>
        <v>0</v>
      </c>
      <c r="AG90" s="130">
        <f t="shared" si="107"/>
        <v>0</v>
      </c>
      <c r="AH90" s="130">
        <f t="shared" si="107"/>
        <v>0</v>
      </c>
      <c r="AI90" s="130">
        <f t="shared" si="107"/>
        <v>0</v>
      </c>
      <c r="AJ90" s="130">
        <f t="shared" si="107"/>
        <v>0</v>
      </c>
      <c r="AK90" s="130">
        <f t="shared" si="107"/>
        <v>0</v>
      </c>
      <c r="AL90" s="130">
        <f t="shared" si="107"/>
        <v>0</v>
      </c>
      <c r="AM90" s="130">
        <f t="shared" si="107"/>
        <v>0</v>
      </c>
      <c r="AN90" s="130">
        <f t="shared" si="107"/>
        <v>0</v>
      </c>
      <c r="AO90" s="130">
        <f t="shared" si="107"/>
        <v>0</v>
      </c>
      <c r="AP90" s="130">
        <f t="shared" si="107"/>
        <v>0</v>
      </c>
      <c r="AQ90" s="130">
        <f t="shared" si="107"/>
        <v>0</v>
      </c>
      <c r="AR90" s="130">
        <f t="shared" si="107"/>
        <v>0</v>
      </c>
      <c r="AS90" s="130">
        <f t="shared" si="107"/>
        <v>0</v>
      </c>
      <c r="AT90" s="130">
        <f t="shared" si="107"/>
        <v>0</v>
      </c>
      <c r="AU90" s="130">
        <f t="shared" si="107"/>
        <v>0</v>
      </c>
      <c r="AV90" s="130">
        <f t="shared" si="107"/>
        <v>0</v>
      </c>
      <c r="AW90" s="130">
        <f t="shared" si="107"/>
        <v>0</v>
      </c>
      <c r="AX90" s="130">
        <f t="shared" si="107"/>
        <v>0</v>
      </c>
      <c r="AY90" s="130">
        <f t="shared" si="107"/>
        <v>0</v>
      </c>
      <c r="AZ90" s="130">
        <f t="shared" si="107"/>
        <v>0</v>
      </c>
      <c r="BA90" s="130">
        <f t="shared" si="107"/>
        <v>0</v>
      </c>
      <c r="BB90" s="130">
        <f t="shared" si="107"/>
        <v>0</v>
      </c>
      <c r="BC90" s="130">
        <f t="shared" si="107"/>
        <v>0</v>
      </c>
      <c r="BD90" s="130">
        <f t="shared" si="107"/>
        <v>0</v>
      </c>
      <c r="BE90" s="130">
        <f t="shared" si="107"/>
        <v>0</v>
      </c>
      <c r="BF90" s="130">
        <f t="shared" si="107"/>
        <v>0</v>
      </c>
      <c r="BG90" s="130">
        <f t="shared" si="107"/>
        <v>0</v>
      </c>
      <c r="BH90" s="130">
        <f t="shared" si="107"/>
        <v>0</v>
      </c>
      <c r="BI90" s="130">
        <f t="shared" si="107"/>
        <v>0</v>
      </c>
      <c r="BJ90" s="130">
        <f t="shared" si="107"/>
        <v>0</v>
      </c>
      <c r="BK90" s="130">
        <f t="shared" si="107"/>
        <v>0</v>
      </c>
      <c r="BL90" s="130">
        <f t="shared" si="107"/>
        <v>0</v>
      </c>
      <c r="BM90" s="130">
        <f t="shared" si="107"/>
        <v>0</v>
      </c>
      <c r="BN90" s="130">
        <f t="shared" si="107"/>
        <v>0</v>
      </c>
      <c r="BO90" s="130">
        <f t="shared" si="107"/>
        <v>0</v>
      </c>
      <c r="BP90" s="130">
        <f t="shared" si="107"/>
        <v>0</v>
      </c>
      <c r="BQ90" s="130">
        <f t="shared" si="107"/>
        <v>0</v>
      </c>
      <c r="BR90" s="130">
        <f t="shared" si="107"/>
        <v>0</v>
      </c>
      <c r="BS90" s="130">
        <f t="shared" si="107"/>
        <v>0</v>
      </c>
      <c r="BT90" s="130">
        <f t="shared" si="107"/>
        <v>0</v>
      </c>
      <c r="BU90" s="130">
        <f t="shared" si="106"/>
        <v>0</v>
      </c>
      <c r="BV90" s="130">
        <f t="shared" si="106"/>
        <v>0</v>
      </c>
      <c r="BW90" s="130">
        <f t="shared" si="106"/>
        <v>0</v>
      </c>
      <c r="BX90" s="130">
        <f t="shared" si="106"/>
        <v>0</v>
      </c>
      <c r="BY90" s="130">
        <f t="shared" si="106"/>
        <v>0</v>
      </c>
      <c r="BZ90" s="130">
        <f t="shared" si="106"/>
        <v>0</v>
      </c>
      <c r="CA90" s="130">
        <f t="shared" si="106"/>
        <v>0</v>
      </c>
      <c r="CB90" s="130">
        <f t="shared" si="106"/>
        <v>0</v>
      </c>
      <c r="CC90" s="130">
        <f t="shared" si="106"/>
        <v>0</v>
      </c>
      <c r="CD90" s="130">
        <f t="shared" si="106"/>
        <v>0</v>
      </c>
      <c r="CE90" s="130">
        <f t="shared" si="106"/>
        <v>0</v>
      </c>
      <c r="CF90" s="130">
        <f t="shared" si="106"/>
        <v>0</v>
      </c>
      <c r="CG90" s="130">
        <f t="shared" si="106"/>
        <v>0</v>
      </c>
      <c r="CH90" s="130">
        <f t="shared" si="106"/>
        <v>0</v>
      </c>
      <c r="CI90" s="130">
        <f t="shared" si="106"/>
        <v>0</v>
      </c>
      <c r="CJ90" s="130">
        <f t="shared" si="106"/>
        <v>0</v>
      </c>
      <c r="CK90" s="130">
        <f t="shared" si="106"/>
        <v>0</v>
      </c>
      <c r="CL90" s="130">
        <f t="shared" si="106"/>
        <v>0</v>
      </c>
      <c r="CM90" s="130">
        <f t="shared" si="106"/>
        <v>0</v>
      </c>
      <c r="CN90" s="130">
        <f t="shared" si="106"/>
        <v>0</v>
      </c>
      <c r="CO90" s="130">
        <f t="shared" si="106"/>
        <v>0</v>
      </c>
      <c r="CP90" s="130">
        <f t="shared" si="106"/>
        <v>0</v>
      </c>
      <c r="CQ90" s="130">
        <f t="shared" si="106"/>
        <v>0</v>
      </c>
      <c r="CR90" s="130">
        <f t="shared" si="106"/>
        <v>0</v>
      </c>
      <c r="CS90" s="130">
        <f t="shared" si="106"/>
        <v>0</v>
      </c>
      <c r="CT90" s="130">
        <f t="shared" si="106"/>
        <v>0</v>
      </c>
      <c r="CU90" s="130">
        <f t="shared" si="106"/>
        <v>0</v>
      </c>
      <c r="CV90" s="130">
        <f t="shared" si="106"/>
        <v>0</v>
      </c>
      <c r="CW90" s="130">
        <f t="shared" si="106"/>
        <v>0</v>
      </c>
      <c r="CX90" s="130">
        <f t="shared" si="106"/>
        <v>0</v>
      </c>
      <c r="CY90" s="130">
        <f t="shared" si="102"/>
        <v>0</v>
      </c>
      <c r="CZ90" s="130">
        <f t="shared" si="102"/>
        <v>0</v>
      </c>
    </row>
    <row r="91" spans="2:104" x14ac:dyDescent="0.35">
      <c r="B91" s="131" t="str">
        <f>'Development Costs'!B75</f>
        <v>Loan fees</v>
      </c>
      <c r="C91" s="130">
        <f>-'Development Costs'!H75</f>
        <v>-480000</v>
      </c>
      <c r="D91" s="130">
        <f t="shared" si="99"/>
        <v>0</v>
      </c>
      <c r="E91" s="130">
        <f t="shared" si="100"/>
        <v>-480000</v>
      </c>
      <c r="F91" s="304">
        <f t="shared" ref="F91:G95" si="108">F$47</f>
        <v>44593</v>
      </c>
      <c r="G91" s="304">
        <f t="shared" si="108"/>
        <v>45536</v>
      </c>
      <c r="H91" s="141">
        <f t="shared" si="103"/>
        <v>32</v>
      </c>
      <c r="I91" s="130">
        <f t="shared" si="104"/>
        <v>0</v>
      </c>
      <c r="J91" s="130">
        <f t="shared" si="104"/>
        <v>-15000</v>
      </c>
      <c r="K91" s="130">
        <f t="shared" si="104"/>
        <v>-15000</v>
      </c>
      <c r="L91" s="130">
        <f t="shared" si="104"/>
        <v>-15000</v>
      </c>
      <c r="M91" s="130">
        <f t="shared" si="104"/>
        <v>-15000</v>
      </c>
      <c r="N91" s="130">
        <f t="shared" si="104"/>
        <v>-15000</v>
      </c>
      <c r="O91" s="130">
        <f t="shared" si="104"/>
        <v>-15000</v>
      </c>
      <c r="P91" s="130">
        <f t="shared" si="104"/>
        <v>-15000</v>
      </c>
      <c r="Q91" s="130">
        <f t="shared" si="104"/>
        <v>-15000</v>
      </c>
      <c r="R91" s="130">
        <f t="shared" si="104"/>
        <v>-15000</v>
      </c>
      <c r="S91" s="130">
        <f t="shared" si="104"/>
        <v>-15000</v>
      </c>
      <c r="T91" s="130">
        <f t="shared" si="104"/>
        <v>-15000</v>
      </c>
      <c r="U91" s="130">
        <f t="shared" si="104"/>
        <v>-15000</v>
      </c>
      <c r="V91" s="130">
        <f t="shared" si="104"/>
        <v>-15000</v>
      </c>
      <c r="W91" s="130">
        <f t="shared" si="104"/>
        <v>-15000</v>
      </c>
      <c r="X91" s="130">
        <f t="shared" si="104"/>
        <v>-15000</v>
      </c>
      <c r="Y91" s="130">
        <f t="shared" si="107"/>
        <v>-15000</v>
      </c>
      <c r="Z91" s="130">
        <f t="shared" si="107"/>
        <v>-15000</v>
      </c>
      <c r="AA91" s="130">
        <f t="shared" si="107"/>
        <v>-15000</v>
      </c>
      <c r="AB91" s="130">
        <f t="shared" si="107"/>
        <v>-15000</v>
      </c>
      <c r="AC91" s="130">
        <f t="shared" si="107"/>
        <v>-15000</v>
      </c>
      <c r="AD91" s="130">
        <f t="shared" si="107"/>
        <v>-15000</v>
      </c>
      <c r="AE91" s="130">
        <f t="shared" si="107"/>
        <v>-15000</v>
      </c>
      <c r="AF91" s="130">
        <f t="shared" si="107"/>
        <v>-15000</v>
      </c>
      <c r="AG91" s="130">
        <f t="shared" si="107"/>
        <v>-15000</v>
      </c>
      <c r="AH91" s="130">
        <f t="shared" si="107"/>
        <v>-15000</v>
      </c>
      <c r="AI91" s="130">
        <f t="shared" si="107"/>
        <v>-15000</v>
      </c>
      <c r="AJ91" s="130">
        <f t="shared" si="107"/>
        <v>-15000</v>
      </c>
      <c r="AK91" s="130">
        <f t="shared" si="107"/>
        <v>-15000</v>
      </c>
      <c r="AL91" s="130">
        <f t="shared" si="107"/>
        <v>-15000</v>
      </c>
      <c r="AM91" s="130">
        <f t="shared" si="107"/>
        <v>-15000</v>
      </c>
      <c r="AN91" s="130">
        <f t="shared" si="107"/>
        <v>-15000</v>
      </c>
      <c r="AO91" s="130">
        <f t="shared" si="107"/>
        <v>-15000</v>
      </c>
      <c r="AP91" s="130">
        <f t="shared" si="107"/>
        <v>0</v>
      </c>
      <c r="AQ91" s="130">
        <f t="shared" si="107"/>
        <v>0</v>
      </c>
      <c r="AR91" s="130">
        <f t="shared" si="107"/>
        <v>0</v>
      </c>
      <c r="AS91" s="130">
        <f t="shared" si="107"/>
        <v>0</v>
      </c>
      <c r="AT91" s="130">
        <f t="shared" si="107"/>
        <v>0</v>
      </c>
      <c r="AU91" s="130">
        <f t="shared" si="107"/>
        <v>0</v>
      </c>
      <c r="AV91" s="130">
        <f t="shared" si="107"/>
        <v>0</v>
      </c>
      <c r="AW91" s="130">
        <f t="shared" si="107"/>
        <v>0</v>
      </c>
      <c r="AX91" s="130">
        <f t="shared" si="107"/>
        <v>0</v>
      </c>
      <c r="AY91" s="130">
        <f t="shared" si="107"/>
        <v>0</v>
      </c>
      <c r="AZ91" s="130">
        <f t="shared" si="107"/>
        <v>0</v>
      </c>
      <c r="BA91" s="130">
        <f t="shared" si="107"/>
        <v>0</v>
      </c>
      <c r="BB91" s="130">
        <f t="shared" si="107"/>
        <v>0</v>
      </c>
      <c r="BC91" s="130">
        <f t="shared" si="107"/>
        <v>0</v>
      </c>
      <c r="BD91" s="130">
        <f t="shared" si="107"/>
        <v>0</v>
      </c>
      <c r="BE91" s="130">
        <f t="shared" si="107"/>
        <v>0</v>
      </c>
      <c r="BF91" s="130">
        <f t="shared" si="107"/>
        <v>0</v>
      </c>
      <c r="BG91" s="130">
        <f t="shared" si="107"/>
        <v>0</v>
      </c>
      <c r="BH91" s="130">
        <f t="shared" si="107"/>
        <v>0</v>
      </c>
      <c r="BI91" s="130">
        <f t="shared" si="107"/>
        <v>0</v>
      </c>
      <c r="BJ91" s="130">
        <f t="shared" si="107"/>
        <v>0</v>
      </c>
      <c r="BK91" s="130">
        <f t="shared" si="107"/>
        <v>0</v>
      </c>
      <c r="BL91" s="130">
        <f t="shared" si="107"/>
        <v>0</v>
      </c>
      <c r="BM91" s="130">
        <f t="shared" si="107"/>
        <v>0</v>
      </c>
      <c r="BN91" s="130">
        <f t="shared" si="107"/>
        <v>0</v>
      </c>
      <c r="BO91" s="130">
        <f t="shared" si="107"/>
        <v>0</v>
      </c>
      <c r="BP91" s="130">
        <f t="shared" si="107"/>
        <v>0</v>
      </c>
      <c r="BQ91" s="130">
        <f t="shared" si="107"/>
        <v>0</v>
      </c>
      <c r="BR91" s="130">
        <f t="shared" si="107"/>
        <v>0</v>
      </c>
      <c r="BS91" s="130">
        <f t="shared" si="107"/>
        <v>0</v>
      </c>
      <c r="BT91" s="130">
        <f t="shared" si="107"/>
        <v>0</v>
      </c>
      <c r="BU91" s="130">
        <f t="shared" si="107"/>
        <v>0</v>
      </c>
      <c r="BV91" s="130">
        <f t="shared" si="102"/>
        <v>0</v>
      </c>
      <c r="BW91" s="130">
        <f t="shared" si="102"/>
        <v>0</v>
      </c>
      <c r="BX91" s="130">
        <f t="shared" si="102"/>
        <v>0</v>
      </c>
      <c r="BY91" s="130">
        <f t="shared" si="102"/>
        <v>0</v>
      </c>
      <c r="BZ91" s="130">
        <f t="shared" si="102"/>
        <v>0</v>
      </c>
      <c r="CA91" s="130">
        <f t="shared" si="102"/>
        <v>0</v>
      </c>
      <c r="CB91" s="130">
        <f t="shared" si="102"/>
        <v>0</v>
      </c>
      <c r="CC91" s="130">
        <f t="shared" si="102"/>
        <v>0</v>
      </c>
      <c r="CD91" s="130">
        <f t="shared" si="102"/>
        <v>0</v>
      </c>
      <c r="CE91" s="130">
        <f t="shared" si="102"/>
        <v>0</v>
      </c>
      <c r="CF91" s="130">
        <f t="shared" si="102"/>
        <v>0</v>
      </c>
      <c r="CG91" s="130">
        <f t="shared" si="102"/>
        <v>0</v>
      </c>
      <c r="CH91" s="130">
        <f t="shared" si="102"/>
        <v>0</v>
      </c>
      <c r="CI91" s="130">
        <f t="shared" si="102"/>
        <v>0</v>
      </c>
      <c r="CJ91" s="130">
        <f t="shared" si="102"/>
        <v>0</v>
      </c>
      <c r="CK91" s="130">
        <f t="shared" si="102"/>
        <v>0</v>
      </c>
      <c r="CL91" s="130">
        <f t="shared" si="102"/>
        <v>0</v>
      </c>
      <c r="CM91" s="130">
        <f t="shared" si="102"/>
        <v>0</v>
      </c>
      <c r="CN91" s="130">
        <f t="shared" si="102"/>
        <v>0</v>
      </c>
      <c r="CO91" s="130">
        <f t="shared" si="102"/>
        <v>0</v>
      </c>
      <c r="CP91" s="130">
        <f t="shared" si="102"/>
        <v>0</v>
      </c>
      <c r="CQ91" s="130">
        <f t="shared" si="102"/>
        <v>0</v>
      </c>
      <c r="CR91" s="130">
        <f t="shared" si="102"/>
        <v>0</v>
      </c>
      <c r="CS91" s="130">
        <f t="shared" si="102"/>
        <v>0</v>
      </c>
      <c r="CT91" s="130">
        <f t="shared" si="102"/>
        <v>0</v>
      </c>
      <c r="CU91" s="130">
        <f t="shared" si="102"/>
        <v>0</v>
      </c>
      <c r="CV91" s="130">
        <f t="shared" si="102"/>
        <v>0</v>
      </c>
      <c r="CW91" s="130">
        <f t="shared" si="102"/>
        <v>0</v>
      </c>
      <c r="CX91" s="130">
        <f t="shared" si="102"/>
        <v>0</v>
      </c>
      <c r="CY91" s="130">
        <f t="shared" si="102"/>
        <v>0</v>
      </c>
      <c r="CZ91" s="130">
        <f t="shared" si="102"/>
        <v>0</v>
      </c>
    </row>
    <row r="92" spans="2:104" x14ac:dyDescent="0.35">
      <c r="B92" s="131" t="str">
        <f>'Development Costs'!B76</f>
        <v>Bank's Legal / Other charges</v>
      </c>
      <c r="C92" s="130">
        <f>-'Development Costs'!H76</f>
        <v>0</v>
      </c>
      <c r="D92" s="130">
        <f t="shared" si="99"/>
        <v>0</v>
      </c>
      <c r="E92" s="130">
        <f t="shared" si="100"/>
        <v>0</v>
      </c>
      <c r="F92" s="304">
        <f t="shared" si="108"/>
        <v>44593</v>
      </c>
      <c r="G92" s="304">
        <f t="shared" si="108"/>
        <v>45536</v>
      </c>
      <c r="H92" s="141">
        <f t="shared" si="103"/>
        <v>32</v>
      </c>
      <c r="I92" s="130">
        <f t="shared" si="104"/>
        <v>0</v>
      </c>
      <c r="J92" s="130">
        <f t="shared" si="104"/>
        <v>0</v>
      </c>
      <c r="K92" s="130">
        <f t="shared" si="104"/>
        <v>0</v>
      </c>
      <c r="L92" s="130">
        <f t="shared" si="104"/>
        <v>0</v>
      </c>
      <c r="M92" s="130">
        <f t="shared" si="104"/>
        <v>0</v>
      </c>
      <c r="N92" s="130">
        <f t="shared" si="104"/>
        <v>0</v>
      </c>
      <c r="O92" s="130">
        <f t="shared" si="104"/>
        <v>0</v>
      </c>
      <c r="P92" s="130">
        <f t="shared" si="104"/>
        <v>0</v>
      </c>
      <c r="Q92" s="130">
        <f t="shared" si="104"/>
        <v>0</v>
      </c>
      <c r="R92" s="130">
        <f t="shared" si="104"/>
        <v>0</v>
      </c>
      <c r="S92" s="130">
        <f t="shared" si="104"/>
        <v>0</v>
      </c>
      <c r="T92" s="130">
        <f t="shared" si="104"/>
        <v>0</v>
      </c>
      <c r="U92" s="130">
        <f t="shared" si="104"/>
        <v>0</v>
      </c>
      <c r="V92" s="130">
        <f t="shared" si="104"/>
        <v>0</v>
      </c>
      <c r="W92" s="130">
        <f t="shared" si="104"/>
        <v>0</v>
      </c>
      <c r="X92" s="130">
        <f t="shared" si="104"/>
        <v>0</v>
      </c>
      <c r="Y92" s="130">
        <f t="shared" si="107"/>
        <v>0</v>
      </c>
      <c r="Z92" s="130">
        <f t="shared" si="107"/>
        <v>0</v>
      </c>
      <c r="AA92" s="130">
        <f t="shared" si="107"/>
        <v>0</v>
      </c>
      <c r="AB92" s="130">
        <f t="shared" si="107"/>
        <v>0</v>
      </c>
      <c r="AC92" s="130">
        <f t="shared" si="107"/>
        <v>0</v>
      </c>
      <c r="AD92" s="130">
        <f t="shared" si="107"/>
        <v>0</v>
      </c>
      <c r="AE92" s="130">
        <f t="shared" si="107"/>
        <v>0</v>
      </c>
      <c r="AF92" s="130">
        <f t="shared" si="107"/>
        <v>0</v>
      </c>
      <c r="AG92" s="130">
        <f t="shared" si="107"/>
        <v>0</v>
      </c>
      <c r="AH92" s="130">
        <f t="shared" si="107"/>
        <v>0</v>
      </c>
      <c r="AI92" s="130">
        <f t="shared" si="107"/>
        <v>0</v>
      </c>
      <c r="AJ92" s="130">
        <f t="shared" si="107"/>
        <v>0</v>
      </c>
      <c r="AK92" s="130">
        <f t="shared" si="107"/>
        <v>0</v>
      </c>
      <c r="AL92" s="130">
        <f t="shared" si="107"/>
        <v>0</v>
      </c>
      <c r="AM92" s="130">
        <f t="shared" si="107"/>
        <v>0</v>
      </c>
      <c r="AN92" s="130">
        <f t="shared" si="107"/>
        <v>0</v>
      </c>
      <c r="AO92" s="130">
        <f t="shared" si="107"/>
        <v>0</v>
      </c>
      <c r="AP92" s="130">
        <f t="shared" si="107"/>
        <v>0</v>
      </c>
      <c r="AQ92" s="130">
        <f t="shared" si="107"/>
        <v>0</v>
      </c>
      <c r="AR92" s="130">
        <f t="shared" si="107"/>
        <v>0</v>
      </c>
      <c r="AS92" s="130">
        <f t="shared" si="107"/>
        <v>0</v>
      </c>
      <c r="AT92" s="130">
        <f t="shared" si="107"/>
        <v>0</v>
      </c>
      <c r="AU92" s="130">
        <f t="shared" si="107"/>
        <v>0</v>
      </c>
      <c r="AV92" s="130">
        <f t="shared" si="107"/>
        <v>0</v>
      </c>
      <c r="AW92" s="130">
        <f t="shared" si="107"/>
        <v>0</v>
      </c>
      <c r="AX92" s="130">
        <f t="shared" si="107"/>
        <v>0</v>
      </c>
      <c r="AY92" s="130">
        <f t="shared" si="107"/>
        <v>0</v>
      </c>
      <c r="AZ92" s="130">
        <f t="shared" si="107"/>
        <v>0</v>
      </c>
      <c r="BA92" s="130">
        <f t="shared" si="107"/>
        <v>0</v>
      </c>
      <c r="BB92" s="130">
        <f t="shared" si="107"/>
        <v>0</v>
      </c>
      <c r="BC92" s="130">
        <f t="shared" si="107"/>
        <v>0</v>
      </c>
      <c r="BD92" s="130">
        <f t="shared" si="107"/>
        <v>0</v>
      </c>
      <c r="BE92" s="130">
        <f t="shared" si="107"/>
        <v>0</v>
      </c>
      <c r="BF92" s="130">
        <f t="shared" si="107"/>
        <v>0</v>
      </c>
      <c r="BG92" s="130">
        <f t="shared" si="107"/>
        <v>0</v>
      </c>
      <c r="BH92" s="130">
        <f t="shared" si="107"/>
        <v>0</v>
      </c>
      <c r="BI92" s="130">
        <f t="shared" si="107"/>
        <v>0</v>
      </c>
      <c r="BJ92" s="130">
        <f t="shared" si="107"/>
        <v>0</v>
      </c>
      <c r="BK92" s="130">
        <f t="shared" si="107"/>
        <v>0</v>
      </c>
      <c r="BL92" s="130">
        <f t="shared" si="107"/>
        <v>0</v>
      </c>
      <c r="BM92" s="130">
        <f t="shared" si="107"/>
        <v>0</v>
      </c>
      <c r="BN92" s="130">
        <f t="shared" si="107"/>
        <v>0</v>
      </c>
      <c r="BO92" s="130">
        <f t="shared" si="107"/>
        <v>0</v>
      </c>
      <c r="BP92" s="130">
        <f t="shared" si="107"/>
        <v>0</v>
      </c>
      <c r="BQ92" s="130">
        <f t="shared" si="107"/>
        <v>0</v>
      </c>
      <c r="BR92" s="130">
        <f t="shared" si="107"/>
        <v>0</v>
      </c>
      <c r="BS92" s="130">
        <f t="shared" si="107"/>
        <v>0</v>
      </c>
      <c r="BT92" s="130">
        <f t="shared" si="107"/>
        <v>0</v>
      </c>
      <c r="BU92" s="130">
        <f t="shared" si="107"/>
        <v>0</v>
      </c>
      <c r="BV92" s="130">
        <f t="shared" si="102"/>
        <v>0</v>
      </c>
      <c r="BW92" s="130">
        <f t="shared" si="102"/>
        <v>0</v>
      </c>
      <c r="BX92" s="130">
        <f t="shared" si="102"/>
        <v>0</v>
      </c>
      <c r="BY92" s="130">
        <f t="shared" si="102"/>
        <v>0</v>
      </c>
      <c r="BZ92" s="130">
        <f t="shared" si="102"/>
        <v>0</v>
      </c>
      <c r="CA92" s="130">
        <f t="shared" si="102"/>
        <v>0</v>
      </c>
      <c r="CB92" s="130">
        <f t="shared" si="102"/>
        <v>0</v>
      </c>
      <c r="CC92" s="130">
        <f t="shared" si="102"/>
        <v>0</v>
      </c>
      <c r="CD92" s="130">
        <f t="shared" si="102"/>
        <v>0</v>
      </c>
      <c r="CE92" s="130">
        <f t="shared" si="102"/>
        <v>0</v>
      </c>
      <c r="CF92" s="130">
        <f t="shared" si="102"/>
        <v>0</v>
      </c>
      <c r="CG92" s="130">
        <f t="shared" si="102"/>
        <v>0</v>
      </c>
      <c r="CH92" s="130">
        <f t="shared" si="102"/>
        <v>0</v>
      </c>
      <c r="CI92" s="130">
        <f t="shared" si="102"/>
        <v>0</v>
      </c>
      <c r="CJ92" s="130">
        <f t="shared" si="102"/>
        <v>0</v>
      </c>
      <c r="CK92" s="130">
        <f t="shared" si="102"/>
        <v>0</v>
      </c>
      <c r="CL92" s="130">
        <f t="shared" si="102"/>
        <v>0</v>
      </c>
      <c r="CM92" s="130">
        <f t="shared" si="102"/>
        <v>0</v>
      </c>
      <c r="CN92" s="130">
        <f t="shared" si="102"/>
        <v>0</v>
      </c>
      <c r="CO92" s="130">
        <f t="shared" si="102"/>
        <v>0</v>
      </c>
      <c r="CP92" s="130">
        <f t="shared" si="102"/>
        <v>0</v>
      </c>
      <c r="CQ92" s="130">
        <f t="shared" si="102"/>
        <v>0</v>
      </c>
      <c r="CR92" s="130">
        <f t="shared" si="102"/>
        <v>0</v>
      </c>
      <c r="CS92" s="130">
        <f t="shared" si="102"/>
        <v>0</v>
      </c>
      <c r="CT92" s="130">
        <f t="shared" si="102"/>
        <v>0</v>
      </c>
      <c r="CU92" s="130">
        <f t="shared" si="102"/>
        <v>0</v>
      </c>
      <c r="CV92" s="130">
        <f t="shared" si="102"/>
        <v>0</v>
      </c>
      <c r="CW92" s="130">
        <f t="shared" si="102"/>
        <v>0</v>
      </c>
      <c r="CX92" s="130">
        <f t="shared" si="102"/>
        <v>0</v>
      </c>
      <c r="CY92" s="130">
        <f t="shared" si="102"/>
        <v>0</v>
      </c>
      <c r="CZ92" s="130">
        <f t="shared" si="102"/>
        <v>0</v>
      </c>
    </row>
    <row r="93" spans="2:104" x14ac:dyDescent="0.35">
      <c r="B93" s="131" t="str">
        <f>'Development Costs'!B77</f>
        <v>HST</v>
      </c>
      <c r="C93" s="130">
        <f>-'Development Costs'!H77</f>
        <v>-3820151.5153274327</v>
      </c>
      <c r="D93" s="130">
        <f t="shared" si="99"/>
        <v>0</v>
      </c>
      <c r="E93" s="130">
        <f t="shared" si="100"/>
        <v>-3820151.5153274327</v>
      </c>
      <c r="F93" s="109"/>
      <c r="G93" s="109"/>
      <c r="H93" s="141"/>
      <c r="I93" s="130">
        <f>$C$93/'Development Costs'!$I$9*I9</f>
        <v>0</v>
      </c>
      <c r="J93" s="130">
        <f>$C$93/'Development Costs'!$I$9*J9</f>
        <v>0</v>
      </c>
      <c r="K93" s="130">
        <f>$C$93/'Development Costs'!$I$9*K9</f>
        <v>0</v>
      </c>
      <c r="L93" s="130">
        <f>$C$93/'Development Costs'!$I$9*L9</f>
        <v>0</v>
      </c>
      <c r="M93" s="130">
        <f>$C$93/'Development Costs'!$I$9*M9</f>
        <v>0</v>
      </c>
      <c r="N93" s="130">
        <f>$C$93/'Development Costs'!$I$9*N9</f>
        <v>0</v>
      </c>
      <c r="O93" s="130">
        <f>$C$93/'Development Costs'!$I$9*O9</f>
        <v>0</v>
      </c>
      <c r="P93" s="130">
        <f>$C$93/'Development Costs'!$I$9*P9</f>
        <v>0</v>
      </c>
      <c r="Q93" s="130">
        <f>$C$93/'Development Costs'!$I$9*Q9</f>
        <v>0</v>
      </c>
      <c r="R93" s="130">
        <f>$C$93/'Development Costs'!$I$9*R9</f>
        <v>0</v>
      </c>
      <c r="S93" s="130">
        <f>$C$93/'Development Costs'!$I$9*S9</f>
        <v>0</v>
      </c>
      <c r="T93" s="130">
        <f>$C$93/'Development Costs'!$I$9*T9</f>
        <v>0</v>
      </c>
      <c r="U93" s="130">
        <f>$C$93/'Development Costs'!$I$9*U9</f>
        <v>0</v>
      </c>
      <c r="V93" s="130">
        <f>$C$93/'Development Costs'!$I$9*V9</f>
        <v>0</v>
      </c>
      <c r="W93" s="130">
        <f>$C$93/'Development Costs'!$I$9*W9</f>
        <v>0</v>
      </c>
      <c r="X93" s="130">
        <f>$C$93/'Development Costs'!$I$9*X9</f>
        <v>0</v>
      </c>
      <c r="Y93" s="130">
        <f>$C$93/'Development Costs'!$I$9*Y9</f>
        <v>0</v>
      </c>
      <c r="Z93" s="130">
        <f>$C$93/'Development Costs'!$I$9*Z9</f>
        <v>0</v>
      </c>
      <c r="AA93" s="130">
        <f>$C$93/'Development Costs'!$I$9*AA9</f>
        <v>0</v>
      </c>
      <c r="AB93" s="130">
        <f>$C$93/'Development Costs'!$I$9*AB9</f>
        <v>0</v>
      </c>
      <c r="AC93" s="130">
        <f>$C$93/'Development Costs'!$I$9*AC9</f>
        <v>0</v>
      </c>
      <c r="AD93" s="130">
        <f>$C$93/'Development Costs'!$I$9*AD9</f>
        <v>0</v>
      </c>
      <c r="AE93" s="130">
        <f>$C$93/'Development Costs'!$I$9*AE9</f>
        <v>0</v>
      </c>
      <c r="AF93" s="130">
        <f>$C$93/'Development Costs'!$I$9*AF9</f>
        <v>0</v>
      </c>
      <c r="AG93" s="130">
        <f>$C$93/'Development Costs'!$I$9*AG9</f>
        <v>0</v>
      </c>
      <c r="AH93" s="130">
        <f>$C$93/'Development Costs'!$I$9*AH9</f>
        <v>0</v>
      </c>
      <c r="AI93" s="130">
        <f>$C$93/'Development Costs'!$I$9*AI9</f>
        <v>0</v>
      </c>
      <c r="AJ93" s="130">
        <f>$C$93/'Development Costs'!$I$9*AJ9</f>
        <v>0</v>
      </c>
      <c r="AK93" s="130">
        <f>$C$93/'Development Costs'!$I$9*AK9</f>
        <v>0</v>
      </c>
      <c r="AL93" s="130">
        <f>$C$93/'Development Costs'!$I$9*AL9</f>
        <v>0</v>
      </c>
      <c r="AM93" s="130">
        <f>$C$93/'Development Costs'!$I$9*AM9</f>
        <v>0</v>
      </c>
      <c r="AN93" s="130">
        <f>$C$93/'Development Costs'!$I$9*AN9</f>
        <v>0</v>
      </c>
      <c r="AO93" s="130">
        <f>$C$93/'Development Costs'!$I$9*AO9</f>
        <v>-3820151.5153274327</v>
      </c>
      <c r="AP93" s="130">
        <f>$C$93/'Development Costs'!$I$9*AP9</f>
        <v>0</v>
      </c>
      <c r="AQ93" s="130">
        <f>$C$93/'Development Costs'!$I$9*AQ9</f>
        <v>0</v>
      </c>
      <c r="AR93" s="130">
        <f>$C$93/'Development Costs'!$I$9*AR9</f>
        <v>0</v>
      </c>
      <c r="AS93" s="130">
        <f>$C$93/'Development Costs'!$I$9*AS9</f>
        <v>0</v>
      </c>
      <c r="AT93" s="130">
        <f>$C$93/'Development Costs'!$I$9*AT9</f>
        <v>0</v>
      </c>
      <c r="AU93" s="130">
        <f>$C$93/'Development Costs'!$I$9*AU9</f>
        <v>0</v>
      </c>
      <c r="AV93" s="130">
        <f>$C$93/'Development Costs'!$I$9*AV9</f>
        <v>0</v>
      </c>
      <c r="AW93" s="130">
        <f>$C$93/'Development Costs'!$I$9*AW9</f>
        <v>0</v>
      </c>
      <c r="AX93" s="130">
        <f>$C$93/'Development Costs'!$I$9*AX9</f>
        <v>0</v>
      </c>
      <c r="AY93" s="130">
        <f>$C$93/'Development Costs'!$I$9*AY9</f>
        <v>0</v>
      </c>
      <c r="AZ93" s="130">
        <f>$C$93/'Development Costs'!$I$9*AZ9</f>
        <v>0</v>
      </c>
      <c r="BA93" s="130">
        <f>$C$93/'Development Costs'!$I$9*BA9</f>
        <v>0</v>
      </c>
      <c r="BB93" s="130">
        <f>$C$93/'Development Costs'!$I$9*BB9</f>
        <v>0</v>
      </c>
      <c r="BC93" s="130">
        <f>-HST!F20</f>
        <v>0</v>
      </c>
      <c r="BD93" s="130">
        <f>$C$93/'Development Costs'!$I$9*BD9</f>
        <v>0</v>
      </c>
      <c r="BE93" s="130">
        <f>$C$93/'Development Costs'!$I$9*BE9</f>
        <v>0</v>
      </c>
      <c r="BF93" s="130">
        <f>$C$93/'Development Costs'!$I$9*BF9</f>
        <v>0</v>
      </c>
      <c r="BG93" s="130">
        <f>$C$93/'Development Costs'!$I$9*BG9</f>
        <v>0</v>
      </c>
      <c r="BH93" s="130">
        <f>$C$93/'Development Costs'!$I$9*BH9</f>
        <v>0</v>
      </c>
      <c r="BI93" s="373">
        <f>$C$93/'Development Costs'!$I$9*BI9-BC93</f>
        <v>0</v>
      </c>
      <c r="BJ93" s="130">
        <f>$C$93/'Development Costs'!$I$9*BJ9</f>
        <v>0</v>
      </c>
      <c r="BK93" s="130">
        <f>$C$93/'Development Costs'!$I$9*BK9</f>
        <v>0</v>
      </c>
      <c r="BL93" s="130">
        <f>$C$93/'Development Costs'!$I$9*BL9</f>
        <v>0</v>
      </c>
      <c r="BM93" s="130">
        <f>$C$93/'Development Costs'!$I$9*BM9</f>
        <v>0</v>
      </c>
      <c r="BN93" s="130">
        <f>$C$93/'Development Costs'!$I$9*BN9</f>
        <v>0</v>
      </c>
      <c r="BO93" s="130">
        <f>$C$93/'Development Costs'!$I$9*BO9</f>
        <v>0</v>
      </c>
      <c r="BP93" s="130">
        <f>$C$93/'Development Costs'!$I$9*BP9</f>
        <v>0</v>
      </c>
      <c r="BQ93" s="130">
        <f>$C$93/'Development Costs'!$I$9*BQ9</f>
        <v>0</v>
      </c>
      <c r="BR93" s="130">
        <f>$C$93/'Development Costs'!$I$9*BR9</f>
        <v>0</v>
      </c>
      <c r="BS93" s="130">
        <f>$C$93/'Development Costs'!$I$9*BS9</f>
        <v>0</v>
      </c>
      <c r="BT93" s="130">
        <f>$C$93/'Development Costs'!$I$9*BT9</f>
        <v>0</v>
      </c>
      <c r="BU93" s="130">
        <f>$C$93/'Development Costs'!$I$9*BU9</f>
        <v>0</v>
      </c>
      <c r="BV93" s="130">
        <f>$C$93/'Development Costs'!$I$9*BV9</f>
        <v>0</v>
      </c>
      <c r="BW93" s="130">
        <f>$C$93/'Development Costs'!$I$9*BW9</f>
        <v>0</v>
      </c>
      <c r="BX93" s="130">
        <f>$C$93/'Development Costs'!$I$9*BX9</f>
        <v>0</v>
      </c>
      <c r="BY93" s="130">
        <f>$C$93/'Development Costs'!$I$9*BY9</f>
        <v>0</v>
      </c>
      <c r="BZ93" s="130">
        <f>$C$93/'Development Costs'!$I$9*BZ9</f>
        <v>0</v>
      </c>
      <c r="CA93" s="130">
        <f>$C$93/'Development Costs'!$I$9*CA9</f>
        <v>0</v>
      </c>
      <c r="CB93" s="130">
        <f>$C$93/'Development Costs'!$I$9*CB9</f>
        <v>0</v>
      </c>
      <c r="CC93" s="130">
        <f>$C$93/'Development Costs'!$I$9*CC9</f>
        <v>0</v>
      </c>
      <c r="CD93" s="130">
        <f>$C$93/'Development Costs'!$I$9*CD9</f>
        <v>0</v>
      </c>
      <c r="CE93" s="130">
        <f>$C$93/'Development Costs'!$I$9*CE9</f>
        <v>0</v>
      </c>
      <c r="CF93" s="130">
        <f>$C$93/'Development Costs'!$I$9*CF9</f>
        <v>0</v>
      </c>
      <c r="CG93" s="130">
        <f>$C$93/'Development Costs'!$I$9*CG9</f>
        <v>0</v>
      </c>
      <c r="CH93" s="130">
        <f>$C$93/'Development Costs'!$I$9*CH9</f>
        <v>0</v>
      </c>
      <c r="CI93" s="130">
        <f>$C$93/'Development Costs'!$I$9*CI9</f>
        <v>0</v>
      </c>
      <c r="CJ93" s="130">
        <f>$C$93/'Development Costs'!$I$9*CJ9</f>
        <v>0</v>
      </c>
      <c r="CK93" s="130">
        <f>$C$93/'Development Costs'!$I$9*CK9</f>
        <v>0</v>
      </c>
      <c r="CL93" s="130">
        <f>$C$93/'Development Costs'!$I$9*CL9</f>
        <v>0</v>
      </c>
      <c r="CM93" s="130">
        <f>$C$93/'Development Costs'!$I$9*CM9</f>
        <v>0</v>
      </c>
      <c r="CN93" s="130">
        <f>$C$93/'Development Costs'!$I$9*CN9</f>
        <v>0</v>
      </c>
      <c r="CO93" s="130">
        <f>$C$93/'Development Costs'!$I$9*CO9</f>
        <v>0</v>
      </c>
      <c r="CP93" s="130">
        <f>$C$93/'Development Costs'!$I$9*CP9</f>
        <v>0</v>
      </c>
      <c r="CQ93" s="130">
        <f>$C$93/'Development Costs'!$I$9*CQ9</f>
        <v>0</v>
      </c>
      <c r="CR93" s="130">
        <f>$C$93/'Development Costs'!$I$9*CR9</f>
        <v>0</v>
      </c>
      <c r="CS93" s="130">
        <f>$C$93/'Development Costs'!$I$9*CS9</f>
        <v>0</v>
      </c>
      <c r="CT93" s="130">
        <f>$C$93/'Development Costs'!$I$9*CT9</f>
        <v>0</v>
      </c>
      <c r="CU93" s="130">
        <f>$C$93/'Development Costs'!$I$9*CU9</f>
        <v>0</v>
      </c>
      <c r="CV93" s="130">
        <f>$C$93/'Development Costs'!$I$9*CV9</f>
        <v>0</v>
      </c>
      <c r="CW93" s="130">
        <f>$C$93/'Development Costs'!$I$9*CW9</f>
        <v>0</v>
      </c>
      <c r="CX93" s="130">
        <f>$C$93/'Development Costs'!$I$9*CX9</f>
        <v>0</v>
      </c>
      <c r="CY93" s="130">
        <f>$C$93/'Development Costs'!$I$9*CY9</f>
        <v>0</v>
      </c>
      <c r="CZ93" s="130">
        <f>$C$93/'Development Costs'!$I$9*CZ9</f>
        <v>0</v>
      </c>
    </row>
    <row r="94" spans="2:104" x14ac:dyDescent="0.35">
      <c r="B94" s="131" t="str">
        <f>'Development Costs'!B78</f>
        <v>Construction Loan Interest</v>
      </c>
      <c r="C94" s="130">
        <f>E94</f>
        <v>-2639932.5244444441</v>
      </c>
      <c r="D94" s="130">
        <f t="shared" si="99"/>
        <v>0</v>
      </c>
      <c r="E94" s="130">
        <f t="shared" si="100"/>
        <v>-2639932.5244444441</v>
      </c>
      <c r="F94" s="109"/>
      <c r="G94" s="109"/>
      <c r="H94" s="141"/>
      <c r="I94" s="130">
        <v>0</v>
      </c>
      <c r="J94" s="130">
        <f>IF(J111="PUD",-'Development Costs'!$G$78/12*I108,0)</f>
        <v>-4363.333333333333</v>
      </c>
      <c r="K94" s="130">
        <f>IF(K111="PUD",-'Development Costs'!$G$78/12*J108,0)</f>
        <v>-5783.9211111111099</v>
      </c>
      <c r="L94" s="130">
        <f>IF(L111="PUD",-'Development Costs'!$G$78/12*K108,0)</f>
        <v>-7210.0311111111105</v>
      </c>
      <c r="M94" s="130">
        <f>IF(M111="PUD",-'Development Costs'!$G$78/12*L108,0)</f>
        <v>-8641.6866666666647</v>
      </c>
      <c r="N94" s="130">
        <f>IF(N111="PUD",-'Development Costs'!$G$78/12*M108,0)</f>
        <v>-10078.911111111111</v>
      </c>
      <c r="O94" s="130">
        <f>IF(O111="PUD",-'Development Costs'!$G$78/12*N108,0)</f>
        <v>-11521.723888888888</v>
      </c>
      <c r="P94" s="130">
        <f>IF(P111="PUD",-'Development Costs'!$G$78/12*O108,0)</f>
        <v>-12970.148333333331</v>
      </c>
      <c r="Q94" s="130">
        <f>IF(Q111="PUD",-'Development Costs'!$G$78/12*P108,0)</f>
        <v>-14424.203888888887</v>
      </c>
      <c r="R94" s="130">
        <f>IF(R111="PUD",-'Development Costs'!$G$78/12*Q108,0)</f>
        <v>-15883.913888888887</v>
      </c>
      <c r="S94" s="130">
        <f>IF(S111="PUD",-'Development Costs'!$G$78/12*R108,0)</f>
        <v>-17349.301666666663</v>
      </c>
      <c r="T94" s="130">
        <f>IF(T111="PUD",-'Development Costs'!$G$78/12*S108,0)</f>
        <v>-18820.390555555554</v>
      </c>
      <c r="U94" s="130">
        <f>IF(U111="PUD",-'Development Costs'!$G$78/12*T108,0)</f>
        <v>-20297.199999999997</v>
      </c>
      <c r="V94" s="130">
        <f>IF(V111="PUD",-'Development Costs'!$G$78/12*U108,0)</f>
        <v>-21779.749444444442</v>
      </c>
      <c r="W94" s="130">
        <f>IF(W111="PUD",-'Development Costs'!$G$78/12*V108,0)</f>
        <v>-23268.066111111108</v>
      </c>
      <c r="X94" s="130">
        <f>IF(X111="PUD",-'Development Costs'!$G$78/12*W108,0)</f>
        <v>-28494.168888888886</v>
      </c>
      <c r="Y94" s="130">
        <f>IF(Y111="PUD",-'Development Costs'!$G$78/12*X108,0)</f>
        <v>-34170.017777777772</v>
      </c>
      <c r="Z94" s="130">
        <f>IF(Z111="PUD",-'Development Costs'!$G$78/12*Y108,0)</f>
        <v>-40281.89666666666</v>
      </c>
      <c r="AA94" s="130">
        <f>IF(AA111="PUD",-'Development Costs'!$G$78/12*Z108,0)</f>
        <v>-46805.181111111102</v>
      </c>
      <c r="AB94" s="130">
        <f>IF(AB111="PUD",-'Development Costs'!$G$78/12*AA108,0)</f>
        <v>-53704.342222222214</v>
      </c>
      <c r="AC94" s="130">
        <f>IF(AC111="PUD",-'Development Costs'!$G$78/12*AB108,0)</f>
        <v>-60933.417222222211</v>
      </c>
      <c r="AD94" s="130">
        <f>IF(AD111="PUD",-'Development Costs'!$G$78/12*AC108,0)</f>
        <v>-68437.001111111094</v>
      </c>
      <c r="AE94" s="130">
        <f>IF(AE111="PUD",-'Development Costs'!$G$78/12*AD108,0)</f>
        <v>-76151.701111111106</v>
      </c>
      <c r="AF94" s="130">
        <f>IF(AF111="PUD",-'Development Costs'!$G$78/12*AE108,0)</f>
        <v>-84008.003333333327</v>
      </c>
      <c r="AG94" s="130">
        <f>IF(AG111="PUD",-'Development Costs'!$G$78/12*AF108,0)</f>
        <v>-91932.473888888882</v>
      </c>
      <c r="AH94" s="130">
        <f>IF(AH111="PUD",-'Development Costs'!$G$78/12*AG108,0)</f>
        <v>-99850.146666666653</v>
      </c>
      <c r="AI94" s="130">
        <f>IF(AI111="PUD",-'Development Costs'!$G$78/12*AH108,0)</f>
        <v>-107687.00833333332</v>
      </c>
      <c r="AJ94" s="130">
        <f>IF(AJ111="PUD",-'Development Costs'!$G$78/12*AI108,0)</f>
        <v>-115372.41333333332</v>
      </c>
      <c r="AK94" s="130">
        <f>IF(AK111="PUD",-'Development Costs'!$G$78/12*AJ108,0)</f>
        <v>-122841.3122222222</v>
      </c>
      <c r="AL94" s="130">
        <f>IF(AL111="PUD",-'Development Costs'!$G$78/12*AK108,0)</f>
        <v>-130036.16888888887</v>
      </c>
      <c r="AM94" s="130">
        <f>IF(AM111="PUD",-'Development Costs'!$G$78/12*AL108,0)</f>
        <v>-136908.50055555554</v>
      </c>
      <c r="AN94" s="130">
        <f>IF(AN111="PUD",-'Development Costs'!$G$78/12*AM108,0)</f>
        <v>-143683.64499999999</v>
      </c>
      <c r="AO94" s="130">
        <f>IF(AO111="PUD",-'Development Costs'!$G$78/12*AN108,0)</f>
        <v>-150071.18388888886</v>
      </c>
      <c r="AP94" s="130">
        <f>IF(AP111="PUD",-'Development Costs'!$G$78/12*AO108,0)</f>
        <v>-170377.95055555552</v>
      </c>
      <c r="AQ94" s="130">
        <f>IF(AQ111="PUD",-'Development Costs'!$G$78/12*AP108,0)</f>
        <v>-170905.59111111108</v>
      </c>
      <c r="AR94" s="130">
        <f>IF(AR111="PUD",-'Development Costs'!$G$78/12*AQ108,0)</f>
        <v>-171335.61666666664</v>
      </c>
      <c r="AS94" s="130">
        <f>IF(AS111="PUD",-'Development Costs'!$G$78/12*AR108,0)</f>
        <v>-171667.64999999997</v>
      </c>
      <c r="AT94" s="130">
        <f>IF(AT111="PUD",-'Development Costs'!$G$78/12*AS108,0)</f>
        <v>-171884.55277777775</v>
      </c>
      <c r="AU94" s="130">
        <f>IF(AU111="PUD",-'Development Costs'!$G$78/12*AT108,0)</f>
        <v>0</v>
      </c>
      <c r="AV94" s="130">
        <f>IF(AV111="PUD",-'Development Costs'!$G$78/12*AU108,0)</f>
        <v>0</v>
      </c>
      <c r="AW94" s="130">
        <f>IF(AW111="PUD",-'Development Costs'!$G$78/12*AV108,0)</f>
        <v>0</v>
      </c>
      <c r="AX94" s="130">
        <f>IF(AX111="PUD",-'Development Costs'!$G$78/12*AW108,0)</f>
        <v>0</v>
      </c>
      <c r="AY94" s="130">
        <f>IF(AY111="PUD",-'Development Costs'!$G$78/12*AX108,0)</f>
        <v>0</v>
      </c>
      <c r="AZ94" s="130">
        <f>IF(AZ111="PUD",-'Development Costs'!$G$78/12*AY108,0)</f>
        <v>0</v>
      </c>
      <c r="BA94" s="130">
        <f>IF(BA111="PUD",-'Development Costs'!$G$78/12*AZ108,0)</f>
        <v>0</v>
      </c>
      <c r="BB94" s="130">
        <f>IF(BB111="PUD",-'Development Costs'!$G$78/12*BA108,0)</f>
        <v>0</v>
      </c>
      <c r="BC94" s="130">
        <f>IF(BC111="PUD",-'Development Costs'!$G$78/12*BB108,0)</f>
        <v>0</v>
      </c>
      <c r="BD94" s="130">
        <f>IF(BD111="PUD",-'Development Costs'!$G$78/12*BC108,0)</f>
        <v>0</v>
      </c>
      <c r="BE94" s="130">
        <f>IF(BE111="PUD",-'Development Costs'!$G$78/12*BD108,0)</f>
        <v>0</v>
      </c>
      <c r="BF94" s="130">
        <f>IF(BF111="PUD",-'Development Costs'!$G$78/12*BE108,0)</f>
        <v>0</v>
      </c>
      <c r="BG94" s="130">
        <f>IF(BG111="PUD",-'Development Costs'!$G$78/12*BF108,0)</f>
        <v>0</v>
      </c>
      <c r="BH94" s="130">
        <f>IF(BH111="PUD",-'Development Costs'!$G$78/12*BG108,0)</f>
        <v>0</v>
      </c>
      <c r="BI94" s="130">
        <f>IF(BI111="PUD",-'Development Costs'!$G$78/12*BH108,0)</f>
        <v>0</v>
      </c>
      <c r="BJ94" s="130">
        <f>IF(BJ111="PUD",-'Development Costs'!$G$78/12*BI108,0)</f>
        <v>0</v>
      </c>
      <c r="BK94" s="130">
        <f>IF(BK111="PUD",-'Development Costs'!$G$78/12*BJ108,0)</f>
        <v>0</v>
      </c>
      <c r="BL94" s="130">
        <f>IF(BL111="PUD",-'Development Costs'!$G$78/12*BK108,0)</f>
        <v>0</v>
      </c>
      <c r="BM94" s="130">
        <f>IF(BM111="PUD",-'Development Costs'!$G$78/12*BL108,0)</f>
        <v>0</v>
      </c>
      <c r="BN94" s="130">
        <f>IF(BN111="PUD",-'Development Costs'!$G$78/12*BM108,0)</f>
        <v>0</v>
      </c>
      <c r="BO94" s="130">
        <f>IF(BO111="PUD",-'Development Costs'!$G$78/12*BN108,0)</f>
        <v>0</v>
      </c>
      <c r="BP94" s="130">
        <f>IF(BP111="PUD",-'Development Costs'!$G$78/12*BO108,0)</f>
        <v>0</v>
      </c>
      <c r="BQ94" s="130">
        <f>IF(BQ111="PUD",-'Development Costs'!$G$78/12*BP108,0)</f>
        <v>0</v>
      </c>
      <c r="BR94" s="130">
        <f>IF(BR111="PUD",-'Development Costs'!$G$78/12*BQ108,0)</f>
        <v>0</v>
      </c>
      <c r="BS94" s="130">
        <f>IF(BS111="PUD",-'Development Costs'!$G$78/12*BR108,0)</f>
        <v>0</v>
      </c>
      <c r="BT94" s="130">
        <f>IF(BT111="PUD",-'Development Costs'!$G$78/12*BS108,0)</f>
        <v>0</v>
      </c>
      <c r="BU94" s="130">
        <f>IF(BU111="PUD",-'Development Costs'!$G$78/12*BT108,0)</f>
        <v>0</v>
      </c>
      <c r="BV94" s="130">
        <f>IF(BV111="PUD",-'Development Costs'!$G$78/12*BU108,0)</f>
        <v>0</v>
      </c>
      <c r="BW94" s="130">
        <f>IF(BW111="PUD",-'Development Costs'!$G$78/12*BV108,0)</f>
        <v>0</v>
      </c>
      <c r="BX94" s="130">
        <f>IF(BX111="PUD",-'Development Costs'!$G$78/12*BW108,0)</f>
        <v>0</v>
      </c>
      <c r="BY94" s="130">
        <f>IF(BY111="PUD",-'Development Costs'!$G$78/12*BX108,0)</f>
        <v>0</v>
      </c>
      <c r="BZ94" s="130">
        <f>IF(BZ111="PUD",-'Development Costs'!$G$78/12*BY108,0)</f>
        <v>0</v>
      </c>
      <c r="CA94" s="130">
        <f>IF(CA111="PUD",-'Development Costs'!$G$78/12*BZ108,0)</f>
        <v>0</v>
      </c>
      <c r="CB94" s="130">
        <f>IF(CB111="PUD",-'Development Costs'!$G$78/12*CA108,0)</f>
        <v>0</v>
      </c>
      <c r="CC94" s="130">
        <f>IF(CC111="PUD",-'Development Costs'!$G$78/12*CB108,0)</f>
        <v>0</v>
      </c>
      <c r="CD94" s="130">
        <f>IF(CD111="PUD",-'Development Costs'!$G$78/12*CC108,0)</f>
        <v>0</v>
      </c>
      <c r="CE94" s="130">
        <f>IF(CE111="PUD",-'Development Costs'!$G$78/12*CD108,0)</f>
        <v>0</v>
      </c>
      <c r="CF94" s="130">
        <f>IF(CF111="PUD",-'Development Costs'!$G$78/12*CE108,0)</f>
        <v>0</v>
      </c>
      <c r="CG94" s="130">
        <f>IF(CG111="PUD",-'Development Costs'!$G$78/12*CF108,0)</f>
        <v>0</v>
      </c>
      <c r="CH94" s="130">
        <f>IF(CH111="PUD",-'Development Costs'!$G$78/12*CG108,0)</f>
        <v>0</v>
      </c>
      <c r="CI94" s="130">
        <f>IF(CI111="PUD",-'Development Costs'!$G$78/12*CH108,0)</f>
        <v>0</v>
      </c>
      <c r="CJ94" s="130">
        <f>IF(CJ111="PUD",-'Development Costs'!$G$78/12*CI108,0)</f>
        <v>0</v>
      </c>
      <c r="CK94" s="130">
        <f>IF(CK111="PUD",-'Development Costs'!$G$78/12*CJ108,0)</f>
        <v>0</v>
      </c>
      <c r="CL94" s="130">
        <f>IF(CL111="PUD",-'Development Costs'!$G$78/12*CK108,0)</f>
        <v>0</v>
      </c>
      <c r="CM94" s="130">
        <f>IF(CM111="PUD",-'Development Costs'!$G$78/12*CL108,0)</f>
        <v>0</v>
      </c>
      <c r="CN94" s="130">
        <f>IF(CN111="PUD",-'Development Costs'!$G$78/12*CM108,0)</f>
        <v>0</v>
      </c>
      <c r="CO94" s="130">
        <f>IF(CO111="PUD",-'Development Costs'!$G$78/12*CN108,0)</f>
        <v>0</v>
      </c>
      <c r="CP94" s="130">
        <f>IF(CP111="PUD",-'Development Costs'!$G$78/12*CO108,0)</f>
        <v>0</v>
      </c>
      <c r="CQ94" s="130">
        <f>IF(CQ111="PUD",-'Development Costs'!$G$78/12*CP108,0)</f>
        <v>0</v>
      </c>
      <c r="CR94" s="130">
        <f>IF(CR111="PUD",-'Development Costs'!$G$78/12*CQ108,0)</f>
        <v>0</v>
      </c>
      <c r="CS94" s="130">
        <f>IF(CS111="PUD",-'Development Costs'!$G$78/12*CR108,0)</f>
        <v>0</v>
      </c>
      <c r="CT94" s="130">
        <f>IF(CT111="PUD",-'Development Costs'!$G$78/12*CS108,0)</f>
        <v>0</v>
      </c>
      <c r="CU94" s="130">
        <f>IF(CU111="PUD",-'Development Costs'!$G$78/12*CT108,0)</f>
        <v>0</v>
      </c>
      <c r="CV94" s="130">
        <f>IF(CV111="PUD",-'Development Costs'!$G$78/12*CU108,0)</f>
        <v>0</v>
      </c>
      <c r="CW94" s="130">
        <f>IF(CW111="PUD",-'Development Costs'!$G$78/12*CV108,0)</f>
        <v>0</v>
      </c>
      <c r="CX94" s="130">
        <f>IF(CX111="PUD",-'Development Costs'!$G$78/12*CW108,0)</f>
        <v>0</v>
      </c>
      <c r="CY94" s="130">
        <f>IF(CY111="PUD",-'Development Costs'!$G$78/12*CX108,0)</f>
        <v>0</v>
      </c>
      <c r="CZ94" s="130">
        <f>IF(CZ111="PUD",-'Development Costs'!$G$78/12*CY108,0)</f>
        <v>0</v>
      </c>
    </row>
    <row r="95" spans="2:104" x14ac:dyDescent="0.35">
      <c r="B95" s="131" t="str">
        <f>'Development Costs'!B79</f>
        <v>Financing contingency</v>
      </c>
      <c r="C95" s="130">
        <f>-'Development Costs'!H79</f>
        <v>-500000</v>
      </c>
      <c r="D95" s="130">
        <f t="shared" si="99"/>
        <v>0</v>
      </c>
      <c r="E95" s="130">
        <f t="shared" ref="E95:E96" si="109">SUM(I95:CZ95)</f>
        <v>-500000</v>
      </c>
      <c r="F95" s="304">
        <f t="shared" si="108"/>
        <v>44593</v>
      </c>
      <c r="G95" s="304">
        <f t="shared" si="108"/>
        <v>45536</v>
      </c>
      <c r="H95" s="141">
        <f>DATEDIF(F95,G95,"m")+1</f>
        <v>32</v>
      </c>
      <c r="I95" s="130">
        <f t="shared" si="104"/>
        <v>0</v>
      </c>
      <c r="J95" s="130">
        <f t="shared" ref="J95:BU95" si="110">IF(AND(J$7&lt;=$G95,J$7&gt;=$F95,$H95&lt;&gt;0,$H95&lt;&gt;""),$C95/$H95,0)</f>
        <v>-15625</v>
      </c>
      <c r="K95" s="130">
        <f t="shared" si="110"/>
        <v>-15625</v>
      </c>
      <c r="L95" s="130">
        <f t="shared" si="110"/>
        <v>-15625</v>
      </c>
      <c r="M95" s="130">
        <f t="shared" si="110"/>
        <v>-15625</v>
      </c>
      <c r="N95" s="130">
        <f t="shared" si="110"/>
        <v>-15625</v>
      </c>
      <c r="O95" s="130">
        <f t="shared" si="110"/>
        <v>-15625</v>
      </c>
      <c r="P95" s="130">
        <f t="shared" si="110"/>
        <v>-15625</v>
      </c>
      <c r="Q95" s="130">
        <f t="shared" si="110"/>
        <v>-15625</v>
      </c>
      <c r="R95" s="130">
        <f t="shared" si="110"/>
        <v>-15625</v>
      </c>
      <c r="S95" s="130">
        <f t="shared" si="110"/>
        <v>-15625</v>
      </c>
      <c r="T95" s="130">
        <f t="shared" si="110"/>
        <v>-15625</v>
      </c>
      <c r="U95" s="130">
        <f t="shared" si="110"/>
        <v>-15625</v>
      </c>
      <c r="V95" s="130">
        <f t="shared" si="110"/>
        <v>-15625</v>
      </c>
      <c r="W95" s="130">
        <f t="shared" si="110"/>
        <v>-15625</v>
      </c>
      <c r="X95" s="130">
        <f t="shared" si="110"/>
        <v>-15625</v>
      </c>
      <c r="Y95" s="130">
        <f t="shared" si="110"/>
        <v>-15625</v>
      </c>
      <c r="Z95" s="130">
        <f t="shared" si="110"/>
        <v>-15625</v>
      </c>
      <c r="AA95" s="130">
        <f t="shared" si="110"/>
        <v>-15625</v>
      </c>
      <c r="AB95" s="130">
        <f t="shared" si="110"/>
        <v>-15625</v>
      </c>
      <c r="AC95" s="130">
        <f t="shared" si="110"/>
        <v>-15625</v>
      </c>
      <c r="AD95" s="130">
        <f t="shared" si="110"/>
        <v>-15625</v>
      </c>
      <c r="AE95" s="130">
        <f t="shared" si="110"/>
        <v>-15625</v>
      </c>
      <c r="AF95" s="130">
        <f t="shared" si="110"/>
        <v>-15625</v>
      </c>
      <c r="AG95" s="130">
        <f t="shared" si="110"/>
        <v>-15625</v>
      </c>
      <c r="AH95" s="130">
        <f t="shared" si="110"/>
        <v>-15625</v>
      </c>
      <c r="AI95" s="130">
        <f t="shared" si="110"/>
        <v>-15625</v>
      </c>
      <c r="AJ95" s="130">
        <f t="shared" si="110"/>
        <v>-15625</v>
      </c>
      <c r="AK95" s="130">
        <f t="shared" si="110"/>
        <v>-15625</v>
      </c>
      <c r="AL95" s="130">
        <f t="shared" si="110"/>
        <v>-15625</v>
      </c>
      <c r="AM95" s="130">
        <f t="shared" si="110"/>
        <v>-15625</v>
      </c>
      <c r="AN95" s="130">
        <f t="shared" si="110"/>
        <v>-15625</v>
      </c>
      <c r="AO95" s="130">
        <f t="shared" si="110"/>
        <v>-15625</v>
      </c>
      <c r="AP95" s="130">
        <f t="shared" si="110"/>
        <v>0</v>
      </c>
      <c r="AQ95" s="130">
        <f t="shared" si="110"/>
        <v>0</v>
      </c>
      <c r="AR95" s="130">
        <f t="shared" si="110"/>
        <v>0</v>
      </c>
      <c r="AS95" s="130">
        <f t="shared" si="110"/>
        <v>0</v>
      </c>
      <c r="AT95" s="130">
        <f t="shared" si="110"/>
        <v>0</v>
      </c>
      <c r="AU95" s="130">
        <f t="shared" si="110"/>
        <v>0</v>
      </c>
      <c r="AV95" s="130">
        <f t="shared" si="110"/>
        <v>0</v>
      </c>
      <c r="AW95" s="130">
        <f t="shared" si="110"/>
        <v>0</v>
      </c>
      <c r="AX95" s="130">
        <f t="shared" si="110"/>
        <v>0</v>
      </c>
      <c r="AY95" s="130">
        <f t="shared" si="110"/>
        <v>0</v>
      </c>
      <c r="AZ95" s="130">
        <f t="shared" si="110"/>
        <v>0</v>
      </c>
      <c r="BA95" s="130">
        <f t="shared" si="110"/>
        <v>0</v>
      </c>
      <c r="BB95" s="130">
        <f t="shared" si="110"/>
        <v>0</v>
      </c>
      <c r="BC95" s="130">
        <f t="shared" si="110"/>
        <v>0</v>
      </c>
      <c r="BD95" s="130">
        <f t="shared" si="110"/>
        <v>0</v>
      </c>
      <c r="BE95" s="130">
        <f t="shared" si="110"/>
        <v>0</v>
      </c>
      <c r="BF95" s="130">
        <f t="shared" si="110"/>
        <v>0</v>
      </c>
      <c r="BG95" s="130">
        <f t="shared" si="110"/>
        <v>0</v>
      </c>
      <c r="BH95" s="130">
        <f t="shared" si="110"/>
        <v>0</v>
      </c>
      <c r="BI95" s="130">
        <f t="shared" si="110"/>
        <v>0</v>
      </c>
      <c r="BJ95" s="130">
        <f t="shared" si="110"/>
        <v>0</v>
      </c>
      <c r="BK95" s="130">
        <f t="shared" si="110"/>
        <v>0</v>
      </c>
      <c r="BL95" s="130">
        <f t="shared" si="110"/>
        <v>0</v>
      </c>
      <c r="BM95" s="130">
        <f t="shared" si="110"/>
        <v>0</v>
      </c>
      <c r="BN95" s="130">
        <f t="shared" si="110"/>
        <v>0</v>
      </c>
      <c r="BO95" s="130">
        <f t="shared" si="110"/>
        <v>0</v>
      </c>
      <c r="BP95" s="130">
        <f t="shared" si="110"/>
        <v>0</v>
      </c>
      <c r="BQ95" s="130">
        <f t="shared" si="110"/>
        <v>0</v>
      </c>
      <c r="BR95" s="130">
        <f t="shared" si="110"/>
        <v>0</v>
      </c>
      <c r="BS95" s="130">
        <f t="shared" si="110"/>
        <v>0</v>
      </c>
      <c r="BT95" s="130">
        <f t="shared" si="110"/>
        <v>0</v>
      </c>
      <c r="BU95" s="130">
        <f t="shared" si="110"/>
        <v>0</v>
      </c>
      <c r="BV95" s="130">
        <f t="shared" ref="BV95:CJ95" si="111">IF(AND(BV$7&lt;=$G95,BV$7&gt;=$F95,$H95&lt;&gt;0,$H95&lt;&gt;""),$C95/$H95,0)</f>
        <v>0</v>
      </c>
      <c r="BW95" s="130">
        <f t="shared" si="111"/>
        <v>0</v>
      </c>
      <c r="BX95" s="130">
        <f t="shared" si="111"/>
        <v>0</v>
      </c>
      <c r="BY95" s="130">
        <f t="shared" si="111"/>
        <v>0</v>
      </c>
      <c r="BZ95" s="130">
        <f t="shared" si="111"/>
        <v>0</v>
      </c>
      <c r="CA95" s="130">
        <f t="shared" si="111"/>
        <v>0</v>
      </c>
      <c r="CB95" s="130">
        <f t="shared" si="111"/>
        <v>0</v>
      </c>
      <c r="CC95" s="130">
        <f t="shared" si="111"/>
        <v>0</v>
      </c>
      <c r="CD95" s="130">
        <f t="shared" si="111"/>
        <v>0</v>
      </c>
      <c r="CE95" s="130">
        <f t="shared" si="111"/>
        <v>0</v>
      </c>
      <c r="CF95" s="130">
        <f t="shared" si="111"/>
        <v>0</v>
      </c>
      <c r="CG95" s="130">
        <f t="shared" si="111"/>
        <v>0</v>
      </c>
      <c r="CH95" s="130">
        <f t="shared" si="111"/>
        <v>0</v>
      </c>
      <c r="CI95" s="130">
        <f t="shared" si="111"/>
        <v>0</v>
      </c>
      <c r="CJ95" s="130">
        <f t="shared" si="111"/>
        <v>0</v>
      </c>
      <c r="CK95" s="130">
        <f t="shared" ref="CK95:CZ95" si="112">IF(AND(CK$7&lt;=$G95,CK$7&gt;=$F95,$H95&lt;&gt;0,$H95&lt;&gt;""),$C95/$H95,0)</f>
        <v>0</v>
      </c>
      <c r="CL95" s="130">
        <f t="shared" si="112"/>
        <v>0</v>
      </c>
      <c r="CM95" s="130">
        <f t="shared" si="112"/>
        <v>0</v>
      </c>
      <c r="CN95" s="130">
        <f t="shared" si="112"/>
        <v>0</v>
      </c>
      <c r="CO95" s="130">
        <f t="shared" si="112"/>
        <v>0</v>
      </c>
      <c r="CP95" s="130">
        <f t="shared" si="112"/>
        <v>0</v>
      </c>
      <c r="CQ95" s="130">
        <f t="shared" si="112"/>
        <v>0</v>
      </c>
      <c r="CR95" s="130">
        <f t="shared" si="112"/>
        <v>0</v>
      </c>
      <c r="CS95" s="130">
        <f t="shared" si="112"/>
        <v>0</v>
      </c>
      <c r="CT95" s="130">
        <f t="shared" si="112"/>
        <v>0</v>
      </c>
      <c r="CU95" s="130">
        <f t="shared" si="112"/>
        <v>0</v>
      </c>
      <c r="CV95" s="130">
        <f t="shared" si="112"/>
        <v>0</v>
      </c>
      <c r="CW95" s="130">
        <f t="shared" si="112"/>
        <v>0</v>
      </c>
      <c r="CX95" s="130">
        <f t="shared" si="112"/>
        <v>0</v>
      </c>
      <c r="CY95" s="130">
        <f t="shared" si="112"/>
        <v>0</v>
      </c>
      <c r="CZ95" s="130">
        <f t="shared" si="112"/>
        <v>0</v>
      </c>
    </row>
    <row r="96" spans="2:104" x14ac:dyDescent="0.35">
      <c r="B96" s="143" t="str">
        <f>'Development Costs'!B80</f>
        <v>Total Financing and Interest Costs</v>
      </c>
      <c r="C96" s="144">
        <f>SUM(C85:C95)</f>
        <v>-7535084.0397718772</v>
      </c>
      <c r="D96" s="144">
        <f t="shared" si="99"/>
        <v>0</v>
      </c>
      <c r="E96" s="144">
        <f t="shared" si="109"/>
        <v>-7535084.0397718763</v>
      </c>
      <c r="F96" s="148"/>
      <c r="G96" s="148"/>
      <c r="H96" s="149"/>
      <c r="I96" s="144">
        <f>SUM(I85:I95)</f>
        <v>-95000</v>
      </c>
      <c r="J96" s="144">
        <f t="shared" ref="J96:BU96" si="113">SUM(J85:J95)</f>
        <v>-34988.333333333328</v>
      </c>
      <c r="K96" s="144">
        <f t="shared" si="113"/>
        <v>-36408.921111111107</v>
      </c>
      <c r="L96" s="144">
        <f t="shared" si="113"/>
        <v>-37835.031111111108</v>
      </c>
      <c r="M96" s="144">
        <f t="shared" si="113"/>
        <v>-39266.686666666661</v>
      </c>
      <c r="N96" s="144">
        <f t="shared" si="113"/>
        <v>-40703.911111111112</v>
      </c>
      <c r="O96" s="144">
        <f t="shared" si="113"/>
        <v>-42146.72388888889</v>
      </c>
      <c r="P96" s="144">
        <f t="shared" si="113"/>
        <v>-43595.148333333331</v>
      </c>
      <c r="Q96" s="144">
        <f t="shared" si="113"/>
        <v>-45049.203888888886</v>
      </c>
      <c r="R96" s="144">
        <f t="shared" si="113"/>
        <v>-46508.913888888885</v>
      </c>
      <c r="S96" s="144">
        <f t="shared" si="113"/>
        <v>-47974.301666666666</v>
      </c>
      <c r="T96" s="144">
        <f t="shared" si="113"/>
        <v>-49445.390555555554</v>
      </c>
      <c r="U96" s="144">
        <f t="shared" si="113"/>
        <v>-50922.2</v>
      </c>
      <c r="V96" s="144">
        <f t="shared" si="113"/>
        <v>-52404.749444444446</v>
      </c>
      <c r="W96" s="144">
        <f t="shared" si="113"/>
        <v>-53893.066111111111</v>
      </c>
      <c r="X96" s="144">
        <f t="shared" si="113"/>
        <v>-59119.168888888889</v>
      </c>
      <c r="Y96" s="144">
        <f t="shared" si="113"/>
        <v>-64795.017777777772</v>
      </c>
      <c r="Z96" s="144">
        <f t="shared" si="113"/>
        <v>-70906.896666666667</v>
      </c>
      <c r="AA96" s="144">
        <f t="shared" si="113"/>
        <v>-77430.181111111102</v>
      </c>
      <c r="AB96" s="144">
        <f t="shared" si="113"/>
        <v>-84329.342222222214</v>
      </c>
      <c r="AC96" s="144">
        <f t="shared" si="113"/>
        <v>-91558.417222222211</v>
      </c>
      <c r="AD96" s="144">
        <f t="shared" si="113"/>
        <v>-99062.001111111094</v>
      </c>
      <c r="AE96" s="144">
        <f t="shared" si="113"/>
        <v>-106776.70111111111</v>
      </c>
      <c r="AF96" s="144">
        <f t="shared" si="113"/>
        <v>-114633.00333333333</v>
      </c>
      <c r="AG96" s="144">
        <f t="shared" si="113"/>
        <v>-122557.47388888888</v>
      </c>
      <c r="AH96" s="144">
        <f t="shared" si="113"/>
        <v>-130475.14666666665</v>
      </c>
      <c r="AI96" s="144">
        <f t="shared" si="113"/>
        <v>-138312.0083333333</v>
      </c>
      <c r="AJ96" s="144">
        <f t="shared" si="113"/>
        <v>-145997.41333333333</v>
      </c>
      <c r="AK96" s="144">
        <f t="shared" si="113"/>
        <v>-153466.31222222222</v>
      </c>
      <c r="AL96" s="144">
        <f t="shared" si="113"/>
        <v>-160661.16888888887</v>
      </c>
      <c r="AM96" s="144">
        <f t="shared" si="113"/>
        <v>-167533.50055555554</v>
      </c>
      <c r="AN96" s="144">
        <f t="shared" si="113"/>
        <v>-174308.64499999999</v>
      </c>
      <c r="AO96" s="144">
        <f t="shared" si="113"/>
        <v>-4000847.6992163216</v>
      </c>
      <c r="AP96" s="144">
        <f t="shared" si="113"/>
        <v>-170377.95055555552</v>
      </c>
      <c r="AQ96" s="144">
        <f t="shared" si="113"/>
        <v>-170905.59111111108</v>
      </c>
      <c r="AR96" s="144">
        <f t="shared" si="113"/>
        <v>-171335.61666666664</v>
      </c>
      <c r="AS96" s="144">
        <f t="shared" si="113"/>
        <v>-171667.64999999997</v>
      </c>
      <c r="AT96" s="144">
        <f t="shared" si="113"/>
        <v>-171884.55277777775</v>
      </c>
      <c r="AU96" s="144">
        <f t="shared" si="113"/>
        <v>0</v>
      </c>
      <c r="AV96" s="144">
        <f t="shared" si="113"/>
        <v>0</v>
      </c>
      <c r="AW96" s="144">
        <f t="shared" si="113"/>
        <v>0</v>
      </c>
      <c r="AX96" s="144">
        <f t="shared" si="113"/>
        <v>0</v>
      </c>
      <c r="AY96" s="144">
        <f t="shared" si="113"/>
        <v>0</v>
      </c>
      <c r="AZ96" s="144">
        <f t="shared" si="113"/>
        <v>0</v>
      </c>
      <c r="BA96" s="144">
        <f t="shared" si="113"/>
        <v>0</v>
      </c>
      <c r="BB96" s="144">
        <f t="shared" si="113"/>
        <v>0</v>
      </c>
      <c r="BC96" s="144">
        <f t="shared" si="113"/>
        <v>0</v>
      </c>
      <c r="BD96" s="144">
        <f t="shared" si="113"/>
        <v>0</v>
      </c>
      <c r="BE96" s="144">
        <f t="shared" si="113"/>
        <v>0</v>
      </c>
      <c r="BF96" s="144">
        <f t="shared" si="113"/>
        <v>0</v>
      </c>
      <c r="BG96" s="144">
        <f t="shared" si="113"/>
        <v>0</v>
      </c>
      <c r="BH96" s="144">
        <f t="shared" si="113"/>
        <v>0</v>
      </c>
      <c r="BI96" s="144">
        <f t="shared" si="113"/>
        <v>0</v>
      </c>
      <c r="BJ96" s="144">
        <f t="shared" si="113"/>
        <v>0</v>
      </c>
      <c r="BK96" s="144">
        <f t="shared" si="113"/>
        <v>0</v>
      </c>
      <c r="BL96" s="144">
        <f t="shared" si="113"/>
        <v>0</v>
      </c>
      <c r="BM96" s="144">
        <f t="shared" si="113"/>
        <v>0</v>
      </c>
      <c r="BN96" s="144">
        <f t="shared" si="113"/>
        <v>0</v>
      </c>
      <c r="BO96" s="144">
        <f t="shared" si="113"/>
        <v>0</v>
      </c>
      <c r="BP96" s="144">
        <f t="shared" si="113"/>
        <v>0</v>
      </c>
      <c r="BQ96" s="144">
        <f t="shared" si="113"/>
        <v>0</v>
      </c>
      <c r="BR96" s="144">
        <f t="shared" si="113"/>
        <v>0</v>
      </c>
      <c r="BS96" s="144">
        <f t="shared" si="113"/>
        <v>0</v>
      </c>
      <c r="BT96" s="144">
        <f t="shared" si="113"/>
        <v>0</v>
      </c>
      <c r="BU96" s="144">
        <f t="shared" si="113"/>
        <v>0</v>
      </c>
      <c r="BV96" s="144">
        <f t="shared" ref="BV96:CZ96" si="114">SUM(BV85:BV95)</f>
        <v>0</v>
      </c>
      <c r="BW96" s="144">
        <f t="shared" si="114"/>
        <v>0</v>
      </c>
      <c r="BX96" s="144">
        <f t="shared" si="114"/>
        <v>0</v>
      </c>
      <c r="BY96" s="144">
        <f t="shared" si="114"/>
        <v>0</v>
      </c>
      <c r="BZ96" s="144">
        <f t="shared" si="114"/>
        <v>0</v>
      </c>
      <c r="CA96" s="144">
        <f t="shared" si="114"/>
        <v>0</v>
      </c>
      <c r="CB96" s="144">
        <f t="shared" si="114"/>
        <v>0</v>
      </c>
      <c r="CC96" s="144">
        <f t="shared" si="114"/>
        <v>0</v>
      </c>
      <c r="CD96" s="144">
        <f t="shared" si="114"/>
        <v>0</v>
      </c>
      <c r="CE96" s="144">
        <f t="shared" si="114"/>
        <v>0</v>
      </c>
      <c r="CF96" s="144">
        <f t="shared" si="114"/>
        <v>0</v>
      </c>
      <c r="CG96" s="144">
        <f t="shared" si="114"/>
        <v>0</v>
      </c>
      <c r="CH96" s="144">
        <f t="shared" si="114"/>
        <v>0</v>
      </c>
      <c r="CI96" s="144">
        <f t="shared" si="114"/>
        <v>0</v>
      </c>
      <c r="CJ96" s="144">
        <f t="shared" si="114"/>
        <v>0</v>
      </c>
      <c r="CK96" s="144">
        <f t="shared" si="114"/>
        <v>0</v>
      </c>
      <c r="CL96" s="144">
        <f t="shared" si="114"/>
        <v>0</v>
      </c>
      <c r="CM96" s="144">
        <f t="shared" si="114"/>
        <v>0</v>
      </c>
      <c r="CN96" s="144">
        <f t="shared" si="114"/>
        <v>0</v>
      </c>
      <c r="CO96" s="144">
        <f t="shared" si="114"/>
        <v>0</v>
      </c>
      <c r="CP96" s="144">
        <f t="shared" si="114"/>
        <v>0</v>
      </c>
      <c r="CQ96" s="144">
        <f t="shared" si="114"/>
        <v>0</v>
      </c>
      <c r="CR96" s="144">
        <f t="shared" si="114"/>
        <v>0</v>
      </c>
      <c r="CS96" s="144">
        <f t="shared" si="114"/>
        <v>0</v>
      </c>
      <c r="CT96" s="144">
        <f t="shared" si="114"/>
        <v>0</v>
      </c>
      <c r="CU96" s="144">
        <f t="shared" si="114"/>
        <v>0</v>
      </c>
      <c r="CV96" s="144">
        <f t="shared" si="114"/>
        <v>0</v>
      </c>
      <c r="CW96" s="144">
        <f t="shared" si="114"/>
        <v>0</v>
      </c>
      <c r="CX96" s="144">
        <f t="shared" si="114"/>
        <v>0</v>
      </c>
      <c r="CY96" s="144">
        <f t="shared" si="114"/>
        <v>0</v>
      </c>
      <c r="CZ96" s="144">
        <f t="shared" si="114"/>
        <v>0</v>
      </c>
    </row>
    <row r="97" spans="2:104" x14ac:dyDescent="0.35">
      <c r="B97" s="131"/>
      <c r="C97" s="150"/>
      <c r="D97" s="150"/>
      <c r="E97" s="150"/>
      <c r="F97" s="151"/>
      <c r="G97" s="151"/>
      <c r="H97" s="141"/>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150"/>
    </row>
    <row r="98" spans="2:104" x14ac:dyDescent="0.35">
      <c r="B98" s="142" t="s">
        <v>69</v>
      </c>
      <c r="C98" s="136"/>
      <c r="D98" s="36"/>
      <c r="E98" s="36"/>
      <c r="F98" s="36"/>
      <c r="G98" s="120"/>
      <c r="H98" s="142"/>
      <c r="I98" s="1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row>
    <row r="99" spans="2:104" s="181" customFormat="1" ht="10.5" x14ac:dyDescent="0.35">
      <c r="B99" s="183" t="s">
        <v>71</v>
      </c>
      <c r="C99" s="186">
        <f>SUM(C22,C26,C31,C44,C62,C65,C78,C82,C96)</f>
        <v>-49187782.411580451</v>
      </c>
      <c r="D99" s="186">
        <f t="shared" ref="D99" si="115">ROUND(C99-E99,0)</f>
        <v>0</v>
      </c>
      <c r="E99" s="186">
        <f>SUM(E22,E26,E31,E44,E62,E65,E78,E82,E96)</f>
        <v>-49187782.411580443</v>
      </c>
      <c r="G99" s="182"/>
      <c r="H99" s="183"/>
      <c r="I99" s="186">
        <f>SUM(I22,I26,I31,I44,I62,I65,I78,I82,I96)</f>
        <v>-6122000</v>
      </c>
      <c r="J99" s="186">
        <f>SUM(J22,J26,J31,J44,J62,J65,J78,J82,J96)</f>
        <v>-365293.62179487181</v>
      </c>
      <c r="K99" s="186">
        <f t="shared" ref="K99:BV99" si="116">SUM(K22,K26,K31,K44,K62,K65,K78,K82,K96)</f>
        <v>-366714.20957264962</v>
      </c>
      <c r="L99" s="186">
        <f t="shared" si="116"/>
        <v>-368140.31957264961</v>
      </c>
      <c r="M99" s="186">
        <f t="shared" si="116"/>
        <v>-369571.97512820514</v>
      </c>
      <c r="N99" s="186">
        <f t="shared" si="116"/>
        <v>-371009.19957264961</v>
      </c>
      <c r="O99" s="186">
        <f t="shared" si="116"/>
        <v>-372452.01235042739</v>
      </c>
      <c r="P99" s="186">
        <f t="shared" si="116"/>
        <v>-373900.43679487181</v>
      </c>
      <c r="Q99" s="186">
        <f t="shared" si="116"/>
        <v>-375354.49235042738</v>
      </c>
      <c r="R99" s="186">
        <f t="shared" si="116"/>
        <v>-376814.2023504274</v>
      </c>
      <c r="S99" s="186">
        <f t="shared" si="116"/>
        <v>-378279.59012820513</v>
      </c>
      <c r="T99" s="186">
        <f t="shared" si="116"/>
        <v>-379750.67901709408</v>
      </c>
      <c r="U99" s="186">
        <f t="shared" si="116"/>
        <v>-381227.48846153851</v>
      </c>
      <c r="V99" s="186">
        <f t="shared" si="116"/>
        <v>-382710.03790598293</v>
      </c>
      <c r="W99" s="186">
        <f t="shared" si="116"/>
        <v>-1343854.9443250329</v>
      </c>
      <c r="X99" s="186">
        <f t="shared" si="116"/>
        <v>-1459504.1522738235</v>
      </c>
      <c r="Y99" s="186">
        <f t="shared" si="116"/>
        <v>-1571625.7429431023</v>
      </c>
      <c r="Z99" s="186">
        <f t="shared" si="116"/>
        <v>-1677416.4981699807</v>
      </c>
      <c r="AA99" s="186">
        <f t="shared" si="116"/>
        <v>-1774070.3205282402</v>
      </c>
      <c r="AB99" s="186">
        <f t="shared" si="116"/>
        <v>-1858905.4674969432</v>
      </c>
      <c r="AC99" s="186">
        <f t="shared" si="116"/>
        <v>-1929493.2866232926</v>
      </c>
      <c r="AD99" s="186">
        <f t="shared" si="116"/>
        <v>-1983779.8924331528</v>
      </c>
      <c r="AE99" s="186">
        <f t="shared" si="116"/>
        <v>-2020192.2216091368</v>
      </c>
      <c r="AF99" s="186">
        <f t="shared" si="116"/>
        <v>-2037720.7849723622</v>
      </c>
      <c r="AG99" s="186">
        <f t="shared" si="116"/>
        <v>-2035972.9943869177</v>
      </c>
      <c r="AH99" s="186">
        <f t="shared" si="116"/>
        <v>-2015193.0379887037</v>
      </c>
      <c r="AI99" s="186">
        <f t="shared" si="116"/>
        <v>-1976246.8777344066</v>
      </c>
      <c r="AJ99" s="186">
        <f t="shared" si="116"/>
        <v>-1920573.5386080528</v>
      </c>
      <c r="AK99" s="186">
        <f t="shared" si="116"/>
        <v>-1850106.4516393524</v>
      </c>
      <c r="AL99" s="186">
        <f t="shared" si="116"/>
        <v>-1767170.7703922037</v>
      </c>
      <c r="AM99" s="186">
        <f t="shared" si="116"/>
        <v>-1742180.3828637332</v>
      </c>
      <c r="AN99" s="186">
        <f t="shared" si="116"/>
        <v>-1642509.7855277928</v>
      </c>
      <c r="AO99" s="186">
        <f t="shared" si="116"/>
        <v>-5221739.6172159575</v>
      </c>
      <c r="AP99" s="186">
        <f t="shared" si="116"/>
        <v>-135679.2845555555</v>
      </c>
      <c r="AQ99" s="186">
        <f t="shared" si="116"/>
        <v>-110578.21932539674</v>
      </c>
      <c r="AR99" s="186">
        <f t="shared" si="116"/>
        <v>-85379.53909523804</v>
      </c>
      <c r="AS99" s="186">
        <f t="shared" si="116"/>
        <v>-55774.742404285658</v>
      </c>
      <c r="AT99" s="186">
        <f t="shared" si="116"/>
        <v>11104.40653222226</v>
      </c>
      <c r="AU99" s="186">
        <f t="shared" si="116"/>
        <v>0</v>
      </c>
      <c r="AV99" s="186">
        <f t="shared" si="116"/>
        <v>0</v>
      </c>
      <c r="AW99" s="186">
        <f t="shared" si="116"/>
        <v>0</v>
      </c>
      <c r="AX99" s="186">
        <f t="shared" si="116"/>
        <v>0</v>
      </c>
      <c r="AY99" s="186">
        <f t="shared" si="116"/>
        <v>0</v>
      </c>
      <c r="AZ99" s="186">
        <f t="shared" si="116"/>
        <v>0</v>
      </c>
      <c r="BA99" s="186">
        <f t="shared" si="116"/>
        <v>0</v>
      </c>
      <c r="BB99" s="186">
        <f t="shared" si="116"/>
        <v>0</v>
      </c>
      <c r="BC99" s="186">
        <f t="shared" si="116"/>
        <v>0</v>
      </c>
      <c r="BD99" s="186">
        <f t="shared" si="116"/>
        <v>0</v>
      </c>
      <c r="BE99" s="186">
        <f t="shared" si="116"/>
        <v>0</v>
      </c>
      <c r="BF99" s="186">
        <f t="shared" si="116"/>
        <v>0</v>
      </c>
      <c r="BG99" s="186">
        <f t="shared" si="116"/>
        <v>0</v>
      </c>
      <c r="BH99" s="186">
        <f t="shared" si="116"/>
        <v>0</v>
      </c>
      <c r="BI99" s="186">
        <f t="shared" si="116"/>
        <v>0</v>
      </c>
      <c r="BJ99" s="186">
        <f t="shared" si="116"/>
        <v>0</v>
      </c>
      <c r="BK99" s="186">
        <f t="shared" si="116"/>
        <v>0</v>
      </c>
      <c r="BL99" s="186">
        <f t="shared" si="116"/>
        <v>0</v>
      </c>
      <c r="BM99" s="186">
        <f t="shared" si="116"/>
        <v>0</v>
      </c>
      <c r="BN99" s="186">
        <f t="shared" si="116"/>
        <v>0</v>
      </c>
      <c r="BO99" s="186">
        <f t="shared" si="116"/>
        <v>0</v>
      </c>
      <c r="BP99" s="186">
        <f t="shared" si="116"/>
        <v>0</v>
      </c>
      <c r="BQ99" s="186">
        <f t="shared" si="116"/>
        <v>0</v>
      </c>
      <c r="BR99" s="186">
        <f t="shared" si="116"/>
        <v>0</v>
      </c>
      <c r="BS99" s="186">
        <f t="shared" si="116"/>
        <v>0</v>
      </c>
      <c r="BT99" s="186">
        <f t="shared" si="116"/>
        <v>0</v>
      </c>
      <c r="BU99" s="186">
        <f t="shared" si="116"/>
        <v>0</v>
      </c>
      <c r="BV99" s="186">
        <f t="shared" si="116"/>
        <v>0</v>
      </c>
      <c r="BW99" s="186">
        <f t="shared" ref="BW99:CZ99" si="117">SUM(BW22,BW26,BW31,BW44,BW62,BW65,BW78,BW82,BW96)</f>
        <v>0</v>
      </c>
      <c r="BX99" s="186">
        <f t="shared" si="117"/>
        <v>0</v>
      </c>
      <c r="BY99" s="186">
        <f t="shared" si="117"/>
        <v>0</v>
      </c>
      <c r="BZ99" s="186">
        <f t="shared" si="117"/>
        <v>0</v>
      </c>
      <c r="CA99" s="186">
        <f t="shared" si="117"/>
        <v>0</v>
      </c>
      <c r="CB99" s="186">
        <f t="shared" si="117"/>
        <v>0</v>
      </c>
      <c r="CC99" s="186">
        <f t="shared" si="117"/>
        <v>0</v>
      </c>
      <c r="CD99" s="186">
        <f t="shared" si="117"/>
        <v>0</v>
      </c>
      <c r="CE99" s="186">
        <f t="shared" si="117"/>
        <v>0</v>
      </c>
      <c r="CF99" s="186">
        <f t="shared" si="117"/>
        <v>0</v>
      </c>
      <c r="CG99" s="186">
        <f t="shared" si="117"/>
        <v>0</v>
      </c>
      <c r="CH99" s="186">
        <f t="shared" si="117"/>
        <v>0</v>
      </c>
      <c r="CI99" s="186">
        <f t="shared" si="117"/>
        <v>0</v>
      </c>
      <c r="CJ99" s="186">
        <f t="shared" si="117"/>
        <v>0</v>
      </c>
      <c r="CK99" s="186">
        <f t="shared" si="117"/>
        <v>0</v>
      </c>
      <c r="CL99" s="186">
        <f t="shared" si="117"/>
        <v>0</v>
      </c>
      <c r="CM99" s="186">
        <f t="shared" si="117"/>
        <v>0</v>
      </c>
      <c r="CN99" s="186">
        <f t="shared" si="117"/>
        <v>0</v>
      </c>
      <c r="CO99" s="186">
        <f t="shared" si="117"/>
        <v>0</v>
      </c>
      <c r="CP99" s="186">
        <f t="shared" si="117"/>
        <v>0</v>
      </c>
      <c r="CQ99" s="186">
        <f t="shared" si="117"/>
        <v>0</v>
      </c>
      <c r="CR99" s="186">
        <f t="shared" si="117"/>
        <v>0</v>
      </c>
      <c r="CS99" s="186">
        <f t="shared" si="117"/>
        <v>0</v>
      </c>
      <c r="CT99" s="186">
        <f t="shared" si="117"/>
        <v>0</v>
      </c>
      <c r="CU99" s="186">
        <f t="shared" si="117"/>
        <v>0</v>
      </c>
      <c r="CV99" s="186">
        <f t="shared" si="117"/>
        <v>0</v>
      </c>
      <c r="CW99" s="186">
        <f t="shared" si="117"/>
        <v>0</v>
      </c>
      <c r="CX99" s="186">
        <f t="shared" si="117"/>
        <v>0</v>
      </c>
      <c r="CY99" s="186">
        <f t="shared" si="117"/>
        <v>0</v>
      </c>
      <c r="CZ99" s="186">
        <f t="shared" si="117"/>
        <v>0</v>
      </c>
    </row>
    <row r="100" spans="2:104" s="181" customFormat="1" ht="10.5" x14ac:dyDescent="0.35">
      <c r="B100" s="183" t="s">
        <v>70</v>
      </c>
      <c r="C100" s="186"/>
      <c r="D100" s="186"/>
      <c r="E100" s="186">
        <f t="shared" ref="E100:E101" si="118">SUM(I100:CZ100)</f>
        <v>44187782.411580436</v>
      </c>
      <c r="G100" s="182"/>
      <c r="H100" s="183"/>
      <c r="I100" s="186">
        <f>-I115</f>
        <v>1122000</v>
      </c>
      <c r="J100" s="186">
        <f t="shared" ref="J100:BU100" si="119">-J115</f>
        <v>365293.62179487199</v>
      </c>
      <c r="K100" s="186">
        <f t="shared" si="119"/>
        <v>366714.20957264956</v>
      </c>
      <c r="L100" s="186">
        <f t="shared" si="119"/>
        <v>368140.3195726499</v>
      </c>
      <c r="M100" s="186">
        <f t="shared" si="119"/>
        <v>369571.97512820549</v>
      </c>
      <c r="N100" s="186">
        <f t="shared" si="119"/>
        <v>371009.19957264978</v>
      </c>
      <c r="O100" s="186">
        <f t="shared" si="119"/>
        <v>372452.01235042699</v>
      </c>
      <c r="P100" s="186">
        <f t="shared" si="119"/>
        <v>373900.43679487146</v>
      </c>
      <c r="Q100" s="186">
        <f t="shared" si="119"/>
        <v>375354.49235042743</v>
      </c>
      <c r="R100" s="186">
        <f t="shared" si="119"/>
        <v>376814.20235042647</v>
      </c>
      <c r="S100" s="186">
        <f t="shared" si="119"/>
        <v>378279.59012820572</v>
      </c>
      <c r="T100" s="186">
        <f t="shared" si="119"/>
        <v>379750.6790170949</v>
      </c>
      <c r="U100" s="186">
        <f t="shared" si="119"/>
        <v>381227.48846153915</v>
      </c>
      <c r="V100" s="186">
        <f t="shared" si="119"/>
        <v>382710.03790598363</v>
      </c>
      <c r="W100" s="186">
        <f t="shared" si="119"/>
        <v>1343854.9443250336</v>
      </c>
      <c r="X100" s="186">
        <f t="shared" si="119"/>
        <v>1459504.1522738244</v>
      </c>
      <c r="Y100" s="186">
        <f t="shared" si="119"/>
        <v>1571625.7429431025</v>
      </c>
      <c r="Z100" s="186">
        <f t="shared" si="119"/>
        <v>1677416.4981699791</v>
      </c>
      <c r="AA100" s="186">
        <f t="shared" si="119"/>
        <v>1774070.320528239</v>
      </c>
      <c r="AB100" s="186">
        <f t="shared" si="119"/>
        <v>1858905.4674969427</v>
      </c>
      <c r="AC100" s="186">
        <f t="shared" si="119"/>
        <v>1929493.2866232917</v>
      </c>
      <c r="AD100" s="186">
        <f t="shared" si="119"/>
        <v>1983779.8924331516</v>
      </c>
      <c r="AE100" s="186">
        <f t="shared" si="119"/>
        <v>2020192.221609138</v>
      </c>
      <c r="AF100" s="186">
        <f t="shared" si="119"/>
        <v>2037720.7849723622</v>
      </c>
      <c r="AG100" s="186">
        <f t="shared" si="119"/>
        <v>2035972.9943869188</v>
      </c>
      <c r="AH100" s="186">
        <f t="shared" si="119"/>
        <v>2015193.0379887037</v>
      </c>
      <c r="AI100" s="186">
        <f t="shared" si="119"/>
        <v>1976246.8777344041</v>
      </c>
      <c r="AJ100" s="186">
        <f t="shared" si="119"/>
        <v>1920573.5386080518</v>
      </c>
      <c r="AK100" s="186">
        <f t="shared" si="119"/>
        <v>1850106.4516393542</v>
      </c>
      <c r="AL100" s="186">
        <f t="shared" si="119"/>
        <v>1767170.7703922018</v>
      </c>
      <c r="AM100" s="186">
        <f t="shared" si="119"/>
        <v>1742180.3828637302</v>
      </c>
      <c r="AN100" s="186">
        <f t="shared" si="119"/>
        <v>1642509.7855277956</v>
      </c>
      <c r="AO100" s="186">
        <f t="shared" si="119"/>
        <v>5221739.6172159612</v>
      </c>
      <c r="AP100" s="186">
        <f t="shared" si="119"/>
        <v>135679.28455555439</v>
      </c>
      <c r="AQ100" s="186">
        <f t="shared" si="119"/>
        <v>110578.21932539344</v>
      </c>
      <c r="AR100" s="186">
        <f t="shared" si="119"/>
        <v>85379.539095237851</v>
      </c>
      <c r="AS100" s="186">
        <f t="shared" si="119"/>
        <v>55774.742404282093</v>
      </c>
      <c r="AT100" s="186">
        <f t="shared" si="119"/>
        <v>-11104.406532220542</v>
      </c>
      <c r="AU100" s="186">
        <f t="shared" si="119"/>
        <v>0</v>
      </c>
      <c r="AV100" s="186">
        <f t="shared" si="119"/>
        <v>0</v>
      </c>
      <c r="AW100" s="186">
        <f t="shared" si="119"/>
        <v>0</v>
      </c>
      <c r="AX100" s="186">
        <f t="shared" si="119"/>
        <v>0</v>
      </c>
      <c r="AY100" s="186">
        <f t="shared" si="119"/>
        <v>0</v>
      </c>
      <c r="AZ100" s="186">
        <f t="shared" si="119"/>
        <v>0</v>
      </c>
      <c r="BA100" s="186">
        <f t="shared" si="119"/>
        <v>0</v>
      </c>
      <c r="BB100" s="186">
        <f t="shared" si="119"/>
        <v>0</v>
      </c>
      <c r="BC100" s="186">
        <f t="shared" si="119"/>
        <v>0</v>
      </c>
      <c r="BD100" s="186">
        <f t="shared" si="119"/>
        <v>0</v>
      </c>
      <c r="BE100" s="186">
        <f t="shared" si="119"/>
        <v>0</v>
      </c>
      <c r="BF100" s="186">
        <f t="shared" si="119"/>
        <v>0</v>
      </c>
      <c r="BG100" s="186">
        <f t="shared" si="119"/>
        <v>0</v>
      </c>
      <c r="BH100" s="186">
        <f t="shared" si="119"/>
        <v>0</v>
      </c>
      <c r="BI100" s="186">
        <f t="shared" si="119"/>
        <v>0</v>
      </c>
      <c r="BJ100" s="186">
        <f t="shared" si="119"/>
        <v>0</v>
      </c>
      <c r="BK100" s="186">
        <f t="shared" si="119"/>
        <v>0</v>
      </c>
      <c r="BL100" s="186">
        <f t="shared" si="119"/>
        <v>0</v>
      </c>
      <c r="BM100" s="186">
        <f t="shared" si="119"/>
        <v>0</v>
      </c>
      <c r="BN100" s="186">
        <f t="shared" si="119"/>
        <v>0</v>
      </c>
      <c r="BO100" s="186">
        <f t="shared" si="119"/>
        <v>0</v>
      </c>
      <c r="BP100" s="186">
        <f t="shared" si="119"/>
        <v>0</v>
      </c>
      <c r="BQ100" s="186">
        <f t="shared" si="119"/>
        <v>0</v>
      </c>
      <c r="BR100" s="186">
        <f t="shared" si="119"/>
        <v>0</v>
      </c>
      <c r="BS100" s="186">
        <f t="shared" si="119"/>
        <v>0</v>
      </c>
      <c r="BT100" s="186">
        <f t="shared" si="119"/>
        <v>0</v>
      </c>
      <c r="BU100" s="186">
        <f t="shared" si="119"/>
        <v>0</v>
      </c>
      <c r="BV100" s="186">
        <f t="shared" ref="BV100:CZ100" si="120">-BV115</f>
        <v>0</v>
      </c>
      <c r="BW100" s="186">
        <f t="shared" si="120"/>
        <v>0</v>
      </c>
      <c r="BX100" s="186">
        <f t="shared" si="120"/>
        <v>0</v>
      </c>
      <c r="BY100" s="186">
        <f t="shared" si="120"/>
        <v>0</v>
      </c>
      <c r="BZ100" s="186">
        <f t="shared" si="120"/>
        <v>0</v>
      </c>
      <c r="CA100" s="186">
        <f t="shared" si="120"/>
        <v>0</v>
      </c>
      <c r="CB100" s="186">
        <f t="shared" si="120"/>
        <v>0</v>
      </c>
      <c r="CC100" s="186">
        <f t="shared" si="120"/>
        <v>0</v>
      </c>
      <c r="CD100" s="186">
        <f t="shared" si="120"/>
        <v>0</v>
      </c>
      <c r="CE100" s="186">
        <f t="shared" si="120"/>
        <v>0</v>
      </c>
      <c r="CF100" s="186">
        <f t="shared" si="120"/>
        <v>0</v>
      </c>
      <c r="CG100" s="186">
        <f t="shared" si="120"/>
        <v>0</v>
      </c>
      <c r="CH100" s="186">
        <f t="shared" si="120"/>
        <v>0</v>
      </c>
      <c r="CI100" s="186">
        <f t="shared" si="120"/>
        <v>0</v>
      </c>
      <c r="CJ100" s="186">
        <f t="shared" si="120"/>
        <v>0</v>
      </c>
      <c r="CK100" s="186">
        <f t="shared" si="120"/>
        <v>0</v>
      </c>
      <c r="CL100" s="186">
        <f t="shared" si="120"/>
        <v>0</v>
      </c>
      <c r="CM100" s="186">
        <f t="shared" si="120"/>
        <v>0</v>
      </c>
      <c r="CN100" s="186">
        <f t="shared" si="120"/>
        <v>0</v>
      </c>
      <c r="CO100" s="186">
        <f t="shared" si="120"/>
        <v>0</v>
      </c>
      <c r="CP100" s="186">
        <f t="shared" si="120"/>
        <v>0</v>
      </c>
      <c r="CQ100" s="186">
        <f t="shared" si="120"/>
        <v>0</v>
      </c>
      <c r="CR100" s="186">
        <f t="shared" si="120"/>
        <v>0</v>
      </c>
      <c r="CS100" s="186">
        <f t="shared" si="120"/>
        <v>0</v>
      </c>
      <c r="CT100" s="186">
        <f t="shared" si="120"/>
        <v>0</v>
      </c>
      <c r="CU100" s="186">
        <f t="shared" si="120"/>
        <v>0</v>
      </c>
      <c r="CV100" s="186">
        <f t="shared" si="120"/>
        <v>0</v>
      </c>
      <c r="CW100" s="186">
        <f t="shared" si="120"/>
        <v>0</v>
      </c>
      <c r="CX100" s="186">
        <f t="shared" si="120"/>
        <v>0</v>
      </c>
      <c r="CY100" s="186">
        <f t="shared" si="120"/>
        <v>0</v>
      </c>
      <c r="CZ100" s="186">
        <f t="shared" si="120"/>
        <v>0</v>
      </c>
    </row>
    <row r="101" spans="2:104" s="181" customFormat="1" ht="10.5" x14ac:dyDescent="0.35">
      <c r="B101" s="183" t="s">
        <v>186</v>
      </c>
      <c r="C101" s="186"/>
      <c r="D101" s="186"/>
      <c r="E101" s="186">
        <f t="shared" si="118"/>
        <v>-44187781</v>
      </c>
      <c r="G101" s="182"/>
      <c r="H101" s="183"/>
      <c r="I101" s="186">
        <v>0</v>
      </c>
      <c r="J101" s="186">
        <f>IF(AND(I94&lt;0,J111="SLD"),-I108,0)</f>
        <v>0</v>
      </c>
      <c r="K101" s="186">
        <f t="shared" ref="K101:BV101" si="121">IF(AND(J94&lt;0,K111="SLD"),-J108,0)</f>
        <v>0</v>
      </c>
      <c r="L101" s="186">
        <f t="shared" si="121"/>
        <v>0</v>
      </c>
      <c r="M101" s="186">
        <f t="shared" si="121"/>
        <v>0</v>
      </c>
      <c r="N101" s="186">
        <f t="shared" si="121"/>
        <v>0</v>
      </c>
      <c r="O101" s="186">
        <f t="shared" si="121"/>
        <v>0</v>
      </c>
      <c r="P101" s="186">
        <f t="shared" si="121"/>
        <v>0</v>
      </c>
      <c r="Q101" s="186">
        <f t="shared" si="121"/>
        <v>0</v>
      </c>
      <c r="R101" s="186">
        <f t="shared" si="121"/>
        <v>0</v>
      </c>
      <c r="S101" s="186">
        <f t="shared" si="121"/>
        <v>0</v>
      </c>
      <c r="T101" s="186">
        <f t="shared" si="121"/>
        <v>0</v>
      </c>
      <c r="U101" s="186">
        <f t="shared" si="121"/>
        <v>0</v>
      </c>
      <c r="V101" s="186">
        <f t="shared" si="121"/>
        <v>0</v>
      </c>
      <c r="W101" s="186">
        <f t="shared" si="121"/>
        <v>0</v>
      </c>
      <c r="X101" s="186">
        <f t="shared" si="121"/>
        <v>0</v>
      </c>
      <c r="Y101" s="186">
        <f t="shared" si="121"/>
        <v>0</v>
      </c>
      <c r="Z101" s="186">
        <f t="shared" si="121"/>
        <v>0</v>
      </c>
      <c r="AA101" s="186">
        <f t="shared" si="121"/>
        <v>0</v>
      </c>
      <c r="AB101" s="186">
        <f t="shared" si="121"/>
        <v>0</v>
      </c>
      <c r="AC101" s="186">
        <f t="shared" si="121"/>
        <v>0</v>
      </c>
      <c r="AD101" s="186">
        <f t="shared" si="121"/>
        <v>0</v>
      </c>
      <c r="AE101" s="186">
        <f t="shared" si="121"/>
        <v>0</v>
      </c>
      <c r="AF101" s="186">
        <f t="shared" si="121"/>
        <v>0</v>
      </c>
      <c r="AG101" s="186">
        <f t="shared" si="121"/>
        <v>0</v>
      </c>
      <c r="AH101" s="186">
        <f t="shared" si="121"/>
        <v>0</v>
      </c>
      <c r="AI101" s="186">
        <f t="shared" si="121"/>
        <v>0</v>
      </c>
      <c r="AJ101" s="186">
        <f t="shared" si="121"/>
        <v>0</v>
      </c>
      <c r="AK101" s="186">
        <f t="shared" si="121"/>
        <v>0</v>
      </c>
      <c r="AL101" s="186">
        <f t="shared" si="121"/>
        <v>0</v>
      </c>
      <c r="AM101" s="186">
        <f t="shared" si="121"/>
        <v>0</v>
      </c>
      <c r="AN101" s="186">
        <f t="shared" si="121"/>
        <v>0</v>
      </c>
      <c r="AO101" s="186">
        <f t="shared" si="121"/>
        <v>0</v>
      </c>
      <c r="AP101" s="186">
        <f t="shared" si="121"/>
        <v>0</v>
      </c>
      <c r="AQ101" s="186">
        <f t="shared" si="121"/>
        <v>0</v>
      </c>
      <c r="AR101" s="186">
        <f t="shared" si="121"/>
        <v>0</v>
      </c>
      <c r="AS101" s="186">
        <f t="shared" si="121"/>
        <v>0</v>
      </c>
      <c r="AT101" s="186">
        <f t="shared" si="121"/>
        <v>0</v>
      </c>
      <c r="AU101" s="186">
        <f t="shared" si="121"/>
        <v>-44187781</v>
      </c>
      <c r="AV101" s="186">
        <f t="shared" si="121"/>
        <v>0</v>
      </c>
      <c r="AW101" s="186">
        <f t="shared" si="121"/>
        <v>0</v>
      </c>
      <c r="AX101" s="186">
        <f t="shared" si="121"/>
        <v>0</v>
      </c>
      <c r="AY101" s="186">
        <f t="shared" si="121"/>
        <v>0</v>
      </c>
      <c r="AZ101" s="186">
        <f t="shared" si="121"/>
        <v>0</v>
      </c>
      <c r="BA101" s="186">
        <f t="shared" si="121"/>
        <v>0</v>
      </c>
      <c r="BB101" s="186">
        <f t="shared" si="121"/>
        <v>0</v>
      </c>
      <c r="BC101" s="186">
        <f t="shared" si="121"/>
        <v>0</v>
      </c>
      <c r="BD101" s="186">
        <f t="shared" si="121"/>
        <v>0</v>
      </c>
      <c r="BE101" s="186">
        <f t="shared" si="121"/>
        <v>0</v>
      </c>
      <c r="BF101" s="186">
        <f t="shared" si="121"/>
        <v>0</v>
      </c>
      <c r="BG101" s="186">
        <f t="shared" si="121"/>
        <v>0</v>
      </c>
      <c r="BH101" s="186">
        <f t="shared" si="121"/>
        <v>0</v>
      </c>
      <c r="BI101" s="186">
        <f t="shared" si="121"/>
        <v>0</v>
      </c>
      <c r="BJ101" s="186">
        <f t="shared" si="121"/>
        <v>0</v>
      </c>
      <c r="BK101" s="186">
        <f t="shared" si="121"/>
        <v>0</v>
      </c>
      <c r="BL101" s="186">
        <f t="shared" si="121"/>
        <v>0</v>
      </c>
      <c r="BM101" s="186">
        <f t="shared" si="121"/>
        <v>0</v>
      </c>
      <c r="BN101" s="186">
        <f t="shared" si="121"/>
        <v>0</v>
      </c>
      <c r="BO101" s="186">
        <f t="shared" si="121"/>
        <v>0</v>
      </c>
      <c r="BP101" s="186">
        <f t="shared" si="121"/>
        <v>0</v>
      </c>
      <c r="BQ101" s="186">
        <f t="shared" si="121"/>
        <v>0</v>
      </c>
      <c r="BR101" s="186">
        <f t="shared" si="121"/>
        <v>0</v>
      </c>
      <c r="BS101" s="186">
        <f t="shared" si="121"/>
        <v>0</v>
      </c>
      <c r="BT101" s="186">
        <f t="shared" si="121"/>
        <v>0</v>
      </c>
      <c r="BU101" s="186">
        <f t="shared" si="121"/>
        <v>0</v>
      </c>
      <c r="BV101" s="186">
        <f t="shared" si="121"/>
        <v>0</v>
      </c>
      <c r="BW101" s="186">
        <f t="shared" ref="BW101:CZ101" si="122">IF(AND(BV94&lt;0,BW111="SLD"),-BV108,0)</f>
        <v>0</v>
      </c>
      <c r="BX101" s="186">
        <f t="shared" si="122"/>
        <v>0</v>
      </c>
      <c r="BY101" s="186">
        <f t="shared" si="122"/>
        <v>0</v>
      </c>
      <c r="BZ101" s="186">
        <f t="shared" si="122"/>
        <v>0</v>
      </c>
      <c r="CA101" s="186">
        <f t="shared" si="122"/>
        <v>0</v>
      </c>
      <c r="CB101" s="186">
        <f t="shared" si="122"/>
        <v>0</v>
      </c>
      <c r="CC101" s="186">
        <f t="shared" si="122"/>
        <v>0</v>
      </c>
      <c r="CD101" s="186">
        <f t="shared" si="122"/>
        <v>0</v>
      </c>
      <c r="CE101" s="186">
        <f t="shared" si="122"/>
        <v>0</v>
      </c>
      <c r="CF101" s="186">
        <f t="shared" si="122"/>
        <v>0</v>
      </c>
      <c r="CG101" s="186">
        <f t="shared" si="122"/>
        <v>0</v>
      </c>
      <c r="CH101" s="186">
        <f t="shared" si="122"/>
        <v>0</v>
      </c>
      <c r="CI101" s="186">
        <f t="shared" si="122"/>
        <v>0</v>
      </c>
      <c r="CJ101" s="186">
        <f t="shared" si="122"/>
        <v>0</v>
      </c>
      <c r="CK101" s="186">
        <f t="shared" si="122"/>
        <v>0</v>
      </c>
      <c r="CL101" s="186">
        <f t="shared" si="122"/>
        <v>0</v>
      </c>
      <c r="CM101" s="186">
        <f t="shared" si="122"/>
        <v>0</v>
      </c>
      <c r="CN101" s="186">
        <f t="shared" si="122"/>
        <v>0</v>
      </c>
      <c r="CO101" s="186">
        <f t="shared" si="122"/>
        <v>0</v>
      </c>
      <c r="CP101" s="186">
        <f t="shared" si="122"/>
        <v>0</v>
      </c>
      <c r="CQ101" s="186">
        <f t="shared" si="122"/>
        <v>0</v>
      </c>
      <c r="CR101" s="186">
        <f t="shared" si="122"/>
        <v>0</v>
      </c>
      <c r="CS101" s="186">
        <f t="shared" si="122"/>
        <v>0</v>
      </c>
      <c r="CT101" s="186">
        <f t="shared" si="122"/>
        <v>0</v>
      </c>
      <c r="CU101" s="186">
        <f t="shared" si="122"/>
        <v>0</v>
      </c>
      <c r="CV101" s="186">
        <f t="shared" si="122"/>
        <v>0</v>
      </c>
      <c r="CW101" s="186">
        <f t="shared" si="122"/>
        <v>0</v>
      </c>
      <c r="CX101" s="186">
        <f t="shared" si="122"/>
        <v>0</v>
      </c>
      <c r="CY101" s="186">
        <f t="shared" si="122"/>
        <v>0</v>
      </c>
      <c r="CZ101" s="186">
        <f t="shared" si="122"/>
        <v>0</v>
      </c>
    </row>
    <row r="102" spans="2:104" s="181" customFormat="1" ht="10.5" x14ac:dyDescent="0.35">
      <c r="B102" s="183"/>
      <c r="C102" s="186"/>
      <c r="D102" s="186"/>
      <c r="E102" s="186"/>
      <c r="G102" s="182"/>
      <c r="H102" s="183"/>
      <c r="I102" s="186"/>
      <c r="J102" s="186"/>
      <c r="K102" s="186"/>
      <c r="L102" s="186"/>
      <c r="M102" s="186"/>
      <c r="N102" s="186"/>
      <c r="O102" s="186"/>
      <c r="P102" s="186"/>
      <c r="Q102" s="186"/>
      <c r="R102" s="186"/>
      <c r="S102" s="186"/>
      <c r="T102" s="186"/>
      <c r="U102" s="186"/>
      <c r="V102" s="186"/>
      <c r="W102" s="186"/>
      <c r="X102" s="186"/>
      <c r="Y102" s="186"/>
      <c r="Z102" s="186"/>
      <c r="AA102" s="186"/>
      <c r="AB102" s="186"/>
      <c r="AC102" s="186"/>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6"/>
      <c r="BE102" s="186"/>
      <c r="BF102" s="186"/>
      <c r="BG102" s="186"/>
      <c r="BH102" s="186"/>
      <c r="BI102" s="186"/>
      <c r="BJ102" s="186"/>
      <c r="BK102" s="186"/>
      <c r="BL102" s="186"/>
      <c r="BM102" s="186"/>
      <c r="BN102" s="186"/>
      <c r="BO102" s="186"/>
      <c r="BP102" s="186"/>
      <c r="BQ102" s="186"/>
      <c r="BR102" s="186"/>
      <c r="BS102" s="186"/>
      <c r="BT102" s="186"/>
      <c r="BU102" s="186"/>
      <c r="BV102" s="186"/>
      <c r="BW102" s="186"/>
      <c r="BX102" s="186"/>
      <c r="BY102" s="186"/>
      <c r="BZ102" s="186"/>
      <c r="CA102" s="186"/>
      <c r="CB102" s="186"/>
      <c r="CC102" s="186"/>
      <c r="CD102" s="186"/>
      <c r="CE102" s="186"/>
      <c r="CF102" s="186"/>
      <c r="CG102" s="186"/>
      <c r="CH102" s="186"/>
      <c r="CI102" s="186"/>
      <c r="CJ102" s="186"/>
      <c r="CK102" s="186"/>
      <c r="CL102" s="186"/>
      <c r="CM102" s="186"/>
      <c r="CN102" s="186"/>
      <c r="CO102" s="186"/>
      <c r="CP102" s="186"/>
      <c r="CQ102" s="186"/>
      <c r="CR102" s="186"/>
      <c r="CS102" s="186"/>
      <c r="CT102" s="186"/>
      <c r="CU102" s="186"/>
      <c r="CV102" s="186"/>
      <c r="CW102" s="186"/>
      <c r="CX102" s="186"/>
      <c r="CY102" s="186"/>
      <c r="CZ102" s="186"/>
    </row>
    <row r="103" spans="2:104" s="181" customFormat="1" ht="10.5" x14ac:dyDescent="0.35">
      <c r="B103" s="183" t="s">
        <v>221</v>
      </c>
      <c r="C103" s="186"/>
      <c r="D103" s="186"/>
      <c r="E103" s="186"/>
      <c r="G103" s="182"/>
      <c r="H103" s="183"/>
      <c r="I103" s="186">
        <v>0</v>
      </c>
      <c r="J103" s="186">
        <f>I26*12/Sensitivity!$H$10*(J111="SLD")*(I94&lt;0)</f>
        <v>0</v>
      </c>
      <c r="K103" s="186">
        <f>J26*12/Sensitivity!$H$10*(K111="SLD")*(J94&lt;0)</f>
        <v>0</v>
      </c>
      <c r="L103" s="186">
        <f>K26*12/Sensitivity!$H$10*(L111="SLD")*(K94&lt;0)</f>
        <v>0</v>
      </c>
      <c r="M103" s="186">
        <f>L26*12/Sensitivity!$H$10*(M111="SLD")*(L94&lt;0)</f>
        <v>0</v>
      </c>
      <c r="N103" s="186">
        <f>M26*12/Sensitivity!$H$10*(N111="SLD")*(M94&lt;0)</f>
        <v>0</v>
      </c>
      <c r="O103" s="186">
        <f>N26*12/Sensitivity!$H$10*(O111="SLD")*(N94&lt;0)</f>
        <v>0</v>
      </c>
      <c r="P103" s="186">
        <f>O26*12/Sensitivity!$H$10*(P111="SLD")*(O94&lt;0)</f>
        <v>0</v>
      </c>
      <c r="Q103" s="186">
        <f>P26*12/Sensitivity!$H$10*(Q111="SLD")*(P94&lt;0)</f>
        <v>0</v>
      </c>
      <c r="R103" s="186">
        <f>Q26*12/Sensitivity!$H$10*(R111="SLD")*(Q94&lt;0)</f>
        <v>0</v>
      </c>
      <c r="S103" s="186">
        <f>R26*12/Sensitivity!$H$10*(S111="SLD")*(R94&lt;0)</f>
        <v>0</v>
      </c>
      <c r="T103" s="186">
        <f>S26*12/Sensitivity!$H$10*(T111="SLD")*(S94&lt;0)</f>
        <v>0</v>
      </c>
      <c r="U103" s="186">
        <f>T26*12/Sensitivity!$H$10*(U111="SLD")*(T94&lt;0)</f>
        <v>0</v>
      </c>
      <c r="V103" s="186">
        <f>U26*12/Sensitivity!$H$10*(V111="SLD")*(U94&lt;0)</f>
        <v>0</v>
      </c>
      <c r="W103" s="186">
        <f>V26*12/Sensitivity!$H$10*(W111="SLD")*(V94&lt;0)</f>
        <v>0</v>
      </c>
      <c r="X103" s="186">
        <f>W26*12/Sensitivity!$H$10*(X111="SLD")*(W94&lt;0)</f>
        <v>0</v>
      </c>
      <c r="Y103" s="186">
        <f>X26*12/Sensitivity!$H$10*(Y111="SLD")*(X94&lt;0)</f>
        <v>0</v>
      </c>
      <c r="Z103" s="186">
        <f>Y26*12/Sensitivity!$H$10*(Z111="SLD")*(Y94&lt;0)</f>
        <v>0</v>
      </c>
      <c r="AA103" s="186">
        <f>Z26*12/Sensitivity!$H$10*(AA111="SLD")*(Z94&lt;0)</f>
        <v>0</v>
      </c>
      <c r="AB103" s="186">
        <f>AA26*12/Sensitivity!$H$10*(AB111="SLD")*(AA94&lt;0)</f>
        <v>0</v>
      </c>
      <c r="AC103" s="186">
        <f>AB26*12/Sensitivity!$H$10*(AC111="SLD")*(AB94&lt;0)</f>
        <v>0</v>
      </c>
      <c r="AD103" s="186">
        <f>AC26*12/Sensitivity!$H$10*(AD111="SLD")*(AC94&lt;0)</f>
        <v>0</v>
      </c>
      <c r="AE103" s="186">
        <f>AD26*12/Sensitivity!$H$10*(AE111="SLD")*(AD94&lt;0)</f>
        <v>0</v>
      </c>
      <c r="AF103" s="186">
        <f>AE26*12/Sensitivity!$H$10*(AF111="SLD")*(AE94&lt;0)</f>
        <v>0</v>
      </c>
      <c r="AG103" s="186">
        <f>AF26*12/Sensitivity!$H$10*(AG111="SLD")*(AF94&lt;0)</f>
        <v>0</v>
      </c>
      <c r="AH103" s="186">
        <f>AG26*12/Sensitivity!$H$10*(AH111="SLD")*(AG94&lt;0)</f>
        <v>0</v>
      </c>
      <c r="AI103" s="186">
        <f>AH26*12/Sensitivity!$H$10*(AI111="SLD")*(AH94&lt;0)</f>
        <v>0</v>
      </c>
      <c r="AJ103" s="186">
        <f>AI26*12/Sensitivity!$H$10*(AJ111="SLD")*(AI94&lt;0)</f>
        <v>0</v>
      </c>
      <c r="AK103" s="186">
        <f>AJ26*12/Sensitivity!$H$10*(AK111="SLD")*(AJ94&lt;0)</f>
        <v>0</v>
      </c>
      <c r="AL103" s="186">
        <f>AK26*12/Sensitivity!$H$10*(AL111="SLD")*(AK94&lt;0)</f>
        <v>0</v>
      </c>
      <c r="AM103" s="186">
        <f>AL26*12/Sensitivity!$H$10*(AM111="SLD")*(AL94&lt;0)</f>
        <v>0</v>
      </c>
      <c r="AN103" s="186">
        <f>AM26*12/Sensitivity!$H$10*(AN111="SLD")*(AM94&lt;0)</f>
        <v>0</v>
      </c>
      <c r="AO103" s="186">
        <f>AN26*12/Sensitivity!$H$10*(AO111="SLD")*(AN94&lt;0)</f>
        <v>0</v>
      </c>
      <c r="AP103" s="186">
        <f>AO26*12/Sensitivity!$H$10*(AP111="SLD")*(AO94&lt;0)</f>
        <v>0</v>
      </c>
      <c r="AQ103" s="186">
        <f>AP26*12/Sensitivity!$H$10*(AQ111="SLD")*(AP94&lt;0)</f>
        <v>0</v>
      </c>
      <c r="AR103" s="186">
        <f>AQ26*12/Sensitivity!$H$10*(AR111="SLD")*(AQ94&lt;0)</f>
        <v>0</v>
      </c>
      <c r="AS103" s="186">
        <f>AR26*12/Sensitivity!$H$10*(AS111="SLD")*(AR94&lt;0)</f>
        <v>0</v>
      </c>
      <c r="AT103" s="186">
        <f>AS26*12/Sensitivity!$H$10*(AT111="SLD")*(AS94&lt;0)</f>
        <v>0</v>
      </c>
      <c r="AU103" s="186">
        <f>AT26*12/Sensitivity!$H$10*(AU111="SLD")*(AT94&lt;0)</f>
        <v>54896687.792999998</v>
      </c>
      <c r="AV103" s="186">
        <f>AU26*12/Sensitivity!$H$10*(AV111="SLD")*(AU94&lt;0)</f>
        <v>0</v>
      </c>
      <c r="AW103" s="186">
        <f>AV26*12/Sensitivity!$H$10*(AW111="SLD")*(AV94&lt;0)</f>
        <v>0</v>
      </c>
      <c r="AX103" s="186">
        <f>AW26*12/Sensitivity!$H$10*(AX111="SLD")*(AW94&lt;0)</f>
        <v>0</v>
      </c>
      <c r="AY103" s="186">
        <f>AX26*12/Sensitivity!$H$10*(AY111="SLD")*(AX94&lt;0)</f>
        <v>0</v>
      </c>
      <c r="AZ103" s="186">
        <f>AY26*12/Sensitivity!$H$10*(AZ111="SLD")*(AY94&lt;0)</f>
        <v>0</v>
      </c>
      <c r="BA103" s="186">
        <f>AZ26*12/Sensitivity!$H$10*(BA111="SLD")*(AZ94&lt;0)</f>
        <v>0</v>
      </c>
      <c r="BB103" s="186">
        <f>BA26*12/Sensitivity!$H$10*(BB111="SLD")*(BA94&lt;0)</f>
        <v>0</v>
      </c>
      <c r="BC103" s="186">
        <f>BB26*12/Sensitivity!$H$10*(BC111="SLD")*(BB94&lt;0)</f>
        <v>0</v>
      </c>
      <c r="BD103" s="186">
        <f>BC26*12/Sensitivity!$H$10*(BD111="SLD")*(BC94&lt;0)</f>
        <v>0</v>
      </c>
      <c r="BE103" s="186">
        <f>BD26*12/Sensitivity!$H$10*(BE111="SLD")*(BD94&lt;0)</f>
        <v>0</v>
      </c>
      <c r="BF103" s="186">
        <f>BE26*12/Sensitivity!$H$10*(BF111="SLD")*(BE94&lt;0)</f>
        <v>0</v>
      </c>
      <c r="BG103" s="186">
        <f>BF26*12/Sensitivity!$H$10*(BG111="SLD")*(BF94&lt;0)</f>
        <v>0</v>
      </c>
      <c r="BH103" s="186">
        <f>BG26*12/Sensitivity!$H$10*(BH111="SLD")*(BG94&lt;0)</f>
        <v>0</v>
      </c>
      <c r="BI103" s="186">
        <f>BH26*12/Sensitivity!$H$10*(BI111="SLD")*(BH94&lt;0)</f>
        <v>0</v>
      </c>
      <c r="BJ103" s="186">
        <f>BI26*12/Sensitivity!$H$10*(BJ111="SLD")*(BI94&lt;0)</f>
        <v>0</v>
      </c>
      <c r="BK103" s="186">
        <f>BJ26*12/Sensitivity!$H$10*(BK111="SLD")*(BJ94&lt;0)</f>
        <v>0</v>
      </c>
      <c r="BL103" s="186">
        <f>BK26*12/Sensitivity!$H$10*(BL111="SLD")*(BK94&lt;0)</f>
        <v>0</v>
      </c>
      <c r="BM103" s="186">
        <f>BL26*12/Sensitivity!$H$10*(BM111="SLD")*(BL94&lt;0)</f>
        <v>0</v>
      </c>
      <c r="BN103" s="186">
        <f>BM26*12/Sensitivity!$H$10*(BN111="SLD")*(BM94&lt;0)</f>
        <v>0</v>
      </c>
      <c r="BO103" s="186">
        <f>BN26*12/Sensitivity!$H$10*(BO111="SLD")*(BN94&lt;0)</f>
        <v>0</v>
      </c>
      <c r="BP103" s="186">
        <f>BO26*12/Sensitivity!$H$10*(BP111="SLD")*(BO94&lt;0)</f>
        <v>0</v>
      </c>
      <c r="BQ103" s="186">
        <f>BP26*12/Sensitivity!$H$10*(BQ111="SLD")*(BP94&lt;0)</f>
        <v>0</v>
      </c>
      <c r="BR103" s="186">
        <f>BQ26*12/Sensitivity!$H$10*(BR111="SLD")*(BQ94&lt;0)</f>
        <v>0</v>
      </c>
      <c r="BS103" s="186">
        <f>BR26*12/Sensitivity!$H$10*(BS111="SLD")*(BR94&lt;0)</f>
        <v>0</v>
      </c>
      <c r="BT103" s="186">
        <f>BS26*12/Sensitivity!$H$10*(BT111="SLD")*(BS94&lt;0)</f>
        <v>0</v>
      </c>
      <c r="BU103" s="186">
        <f>BT26*12/Sensitivity!$H$10*(BU111="SLD")*(BT94&lt;0)</f>
        <v>0</v>
      </c>
      <c r="BV103" s="186">
        <f>BU26*12/Sensitivity!$H$10*(BV111="SLD")*(BU94&lt;0)</f>
        <v>0</v>
      </c>
      <c r="BW103" s="186">
        <f>BV26*12/Sensitivity!$H$10*(BW111="SLD")*(BV94&lt;0)</f>
        <v>0</v>
      </c>
      <c r="BX103" s="186">
        <f>BW26*12/Sensitivity!$H$10*(BX111="SLD")*(BW94&lt;0)</f>
        <v>0</v>
      </c>
      <c r="BY103" s="186">
        <f>BX26*12/Sensitivity!$H$10*(BY111="SLD")*(BX94&lt;0)</f>
        <v>0</v>
      </c>
      <c r="BZ103" s="186">
        <f>BY26*12/Sensitivity!$H$10*(BZ111="SLD")*(BY94&lt;0)</f>
        <v>0</v>
      </c>
      <c r="CA103" s="186">
        <f>BZ26*12/Sensitivity!$H$10*(CA111="SLD")*(BZ94&lt;0)</f>
        <v>0</v>
      </c>
      <c r="CB103" s="186">
        <f>CA26*12/Sensitivity!$H$10*(CB111="SLD")*(CA94&lt;0)</f>
        <v>0</v>
      </c>
      <c r="CC103" s="186">
        <f>CB26*12/Sensitivity!$H$10*(CC111="SLD")*(CB94&lt;0)</f>
        <v>0</v>
      </c>
      <c r="CD103" s="186">
        <f>CC26*12/Sensitivity!$H$10*(CD111="SLD")*(CC94&lt;0)</f>
        <v>0</v>
      </c>
      <c r="CE103" s="186">
        <f>CD26*12/Sensitivity!$H$10*(CE111="SLD")*(CD94&lt;0)</f>
        <v>0</v>
      </c>
      <c r="CF103" s="186">
        <f>CE26*12/Sensitivity!$H$10*(CF111="SLD")*(CE94&lt;0)</f>
        <v>0</v>
      </c>
      <c r="CG103" s="186">
        <f>CF26*12/Sensitivity!$H$10*(CG111="SLD")*(CF94&lt;0)</f>
        <v>0</v>
      </c>
      <c r="CH103" s="186">
        <f>CG26*12/Sensitivity!$H$10*(CH111="SLD")*(CG94&lt;0)</f>
        <v>0</v>
      </c>
      <c r="CI103" s="186">
        <f>CH26*12/Sensitivity!$H$10*(CI111="SLD")*(CH94&lt;0)</f>
        <v>0</v>
      </c>
      <c r="CJ103" s="186">
        <f>CI26*12/Sensitivity!$H$10*(CJ111="SLD")*(CI94&lt;0)</f>
        <v>0</v>
      </c>
      <c r="CK103" s="186">
        <f>CJ26*12/Sensitivity!$H$10*(CK111="SLD")*(CJ94&lt;0)</f>
        <v>0</v>
      </c>
      <c r="CL103" s="186">
        <f>CK26*12/Sensitivity!$H$10*(CL111="SLD")*(CK94&lt;0)</f>
        <v>0</v>
      </c>
      <c r="CM103" s="186">
        <f>CL26*12/Sensitivity!$H$10*(CM111="SLD")*(CL94&lt;0)</f>
        <v>0</v>
      </c>
      <c r="CN103" s="186">
        <f>CM26*12/Sensitivity!$H$10*(CN111="SLD")*(CM94&lt;0)</f>
        <v>0</v>
      </c>
      <c r="CO103" s="186">
        <f>CN26*12/Sensitivity!$H$10*(CO111="SLD")*(CN94&lt;0)</f>
        <v>0</v>
      </c>
      <c r="CP103" s="186">
        <f>CO26*12/Sensitivity!$H$10*(CP111="SLD")*(CO94&lt;0)</f>
        <v>0</v>
      </c>
      <c r="CQ103" s="186">
        <f>CP26*12/Sensitivity!$H$10*(CQ111="SLD")*(CP94&lt;0)</f>
        <v>0</v>
      </c>
      <c r="CR103" s="186">
        <f>CQ26*12/Sensitivity!$H$10*(CR111="SLD")*(CQ94&lt;0)</f>
        <v>0</v>
      </c>
      <c r="CS103" s="186">
        <f>CR26*12/Sensitivity!$H$10*(CS111="SLD")*(CR94&lt;0)</f>
        <v>0</v>
      </c>
      <c r="CT103" s="186">
        <f>CS26*12/Sensitivity!$H$10*(CT111="SLD")*(CS94&lt;0)</f>
        <v>0</v>
      </c>
      <c r="CU103" s="186">
        <f>CT26*12/Sensitivity!$H$10*(CU111="SLD")*(CT94&lt;0)</f>
        <v>0</v>
      </c>
      <c r="CV103" s="186">
        <f>CU26*12/Sensitivity!$H$10*(CV111="SLD")*(CU94&lt;0)</f>
        <v>0</v>
      </c>
      <c r="CW103" s="186">
        <f>CV26*12/Sensitivity!$H$10*(CW111="SLD")*(CV94&lt;0)</f>
        <v>0</v>
      </c>
      <c r="CX103" s="186">
        <f>CW26*12/Sensitivity!$H$10*(CX111="SLD")*(CW94&lt;0)</f>
        <v>0</v>
      </c>
      <c r="CY103" s="186">
        <f>CX26*12/Sensitivity!$H$10*(CY111="SLD")*(CX94&lt;0)</f>
        <v>0</v>
      </c>
      <c r="CZ103" s="186">
        <f>CY26*12/Sensitivity!$H$10*(CZ111="SLD")*(CY94&lt;0)</f>
        <v>0</v>
      </c>
    </row>
    <row r="104" spans="2:104" s="181" customFormat="1" ht="10.5" x14ac:dyDescent="0.35">
      <c r="B104" s="183" t="s">
        <v>116</v>
      </c>
      <c r="C104" s="186"/>
      <c r="D104" s="186"/>
      <c r="E104" s="186"/>
      <c r="G104" s="182"/>
      <c r="H104" s="229"/>
      <c r="I104" s="186">
        <f>-'10-Yr Cash Flow IRR'!$E$11*I103</f>
        <v>0</v>
      </c>
      <c r="J104" s="186">
        <f>-'10-Yr Cash Flow IRR'!$E$11*J103</f>
        <v>0</v>
      </c>
      <c r="K104" s="186">
        <f>-'10-Yr Cash Flow IRR'!$E$11*K103</f>
        <v>0</v>
      </c>
      <c r="L104" s="186">
        <f>-'10-Yr Cash Flow IRR'!$E$11*L103</f>
        <v>0</v>
      </c>
      <c r="M104" s="186">
        <f>-'10-Yr Cash Flow IRR'!$E$11*M103</f>
        <v>0</v>
      </c>
      <c r="N104" s="186">
        <f>-'10-Yr Cash Flow IRR'!$E$11*N103</f>
        <v>0</v>
      </c>
      <c r="O104" s="186">
        <f>-'10-Yr Cash Flow IRR'!$E$11*O103</f>
        <v>0</v>
      </c>
      <c r="P104" s="186">
        <f>-'10-Yr Cash Flow IRR'!$E$11*P103</f>
        <v>0</v>
      </c>
      <c r="Q104" s="186">
        <f>-'10-Yr Cash Flow IRR'!$E$11*Q103</f>
        <v>0</v>
      </c>
      <c r="R104" s="186">
        <f>-'10-Yr Cash Flow IRR'!$E$11*R103</f>
        <v>0</v>
      </c>
      <c r="S104" s="186">
        <f>-'10-Yr Cash Flow IRR'!$E$11*S103</f>
        <v>0</v>
      </c>
      <c r="T104" s="186">
        <f>-'10-Yr Cash Flow IRR'!$E$11*T103</f>
        <v>0</v>
      </c>
      <c r="U104" s="186">
        <f>-'10-Yr Cash Flow IRR'!$E$11*U103</f>
        <v>0</v>
      </c>
      <c r="V104" s="186">
        <f>-'10-Yr Cash Flow IRR'!$E$11*V103</f>
        <v>0</v>
      </c>
      <c r="W104" s="186">
        <f>-'10-Yr Cash Flow IRR'!$E$11*W103</f>
        <v>0</v>
      </c>
      <c r="X104" s="186">
        <f>-'10-Yr Cash Flow IRR'!$E$11*X103</f>
        <v>0</v>
      </c>
      <c r="Y104" s="186">
        <f>-'10-Yr Cash Flow IRR'!$E$11*Y103</f>
        <v>0</v>
      </c>
      <c r="Z104" s="186">
        <f>-'10-Yr Cash Flow IRR'!$E$11*Z103</f>
        <v>0</v>
      </c>
      <c r="AA104" s="186">
        <f>-'10-Yr Cash Flow IRR'!$E$11*AA103</f>
        <v>0</v>
      </c>
      <c r="AB104" s="186">
        <f>-'10-Yr Cash Flow IRR'!$E$11*AB103</f>
        <v>0</v>
      </c>
      <c r="AC104" s="186">
        <f>-'10-Yr Cash Flow IRR'!$E$11*AC103</f>
        <v>0</v>
      </c>
      <c r="AD104" s="186">
        <f>-'10-Yr Cash Flow IRR'!$E$11*AD103</f>
        <v>0</v>
      </c>
      <c r="AE104" s="186">
        <f>-'10-Yr Cash Flow IRR'!$E$11*AE103</f>
        <v>0</v>
      </c>
      <c r="AF104" s="186">
        <f>-'10-Yr Cash Flow IRR'!$E$11*AF103</f>
        <v>0</v>
      </c>
      <c r="AG104" s="186">
        <f>-'10-Yr Cash Flow IRR'!$E$11*AG103</f>
        <v>0</v>
      </c>
      <c r="AH104" s="186">
        <f>-'10-Yr Cash Flow IRR'!$E$11*AH103</f>
        <v>0</v>
      </c>
      <c r="AI104" s="186">
        <f>-'10-Yr Cash Flow IRR'!$E$11*AI103</f>
        <v>0</v>
      </c>
      <c r="AJ104" s="186">
        <f>-'10-Yr Cash Flow IRR'!$E$11*AJ103</f>
        <v>0</v>
      </c>
      <c r="AK104" s="186">
        <f>-'10-Yr Cash Flow IRR'!$E$11*AK103</f>
        <v>0</v>
      </c>
      <c r="AL104" s="186">
        <f>-'10-Yr Cash Flow IRR'!$E$11*AL103</f>
        <v>0</v>
      </c>
      <c r="AM104" s="186">
        <f>-'10-Yr Cash Flow IRR'!$E$11*AM103</f>
        <v>0</v>
      </c>
      <c r="AN104" s="186">
        <f>-'10-Yr Cash Flow IRR'!$E$11*AN103</f>
        <v>0</v>
      </c>
      <c r="AO104" s="186">
        <f>-'10-Yr Cash Flow IRR'!$E$11*AO103</f>
        <v>0</v>
      </c>
      <c r="AP104" s="186">
        <f>-'10-Yr Cash Flow IRR'!$E$11*AP103</f>
        <v>0</v>
      </c>
      <c r="AQ104" s="186">
        <f>-'10-Yr Cash Flow IRR'!$E$11*AQ103</f>
        <v>0</v>
      </c>
      <c r="AR104" s="186">
        <f>-'10-Yr Cash Flow IRR'!$E$11*AR103</f>
        <v>0</v>
      </c>
      <c r="AS104" s="186">
        <f>-'10-Yr Cash Flow IRR'!$E$11*AS103</f>
        <v>0</v>
      </c>
      <c r="AT104" s="186">
        <f>-'10-Yr Cash Flow IRR'!$E$11*AT103</f>
        <v>0</v>
      </c>
      <c r="AU104" s="186">
        <f>-'10-Yr Cash Flow IRR'!$E$11*AU103</f>
        <v>-548966.87792999996</v>
      </c>
      <c r="AV104" s="186">
        <f>-'10-Yr Cash Flow IRR'!$E$11*AV103</f>
        <v>0</v>
      </c>
      <c r="AW104" s="186">
        <f>-'10-Yr Cash Flow IRR'!$E$11*AW103</f>
        <v>0</v>
      </c>
      <c r="AX104" s="186">
        <f>-'10-Yr Cash Flow IRR'!$E$11*AX103</f>
        <v>0</v>
      </c>
      <c r="AY104" s="186">
        <f>-'10-Yr Cash Flow IRR'!$E$11*AY103</f>
        <v>0</v>
      </c>
      <c r="AZ104" s="186">
        <f>-'10-Yr Cash Flow IRR'!$E$11*AZ103</f>
        <v>0</v>
      </c>
      <c r="BA104" s="186">
        <f>-'10-Yr Cash Flow IRR'!$E$11*BA103</f>
        <v>0</v>
      </c>
      <c r="BB104" s="186">
        <f>-'10-Yr Cash Flow IRR'!$E$11*BB103</f>
        <v>0</v>
      </c>
      <c r="BC104" s="186">
        <f>-'10-Yr Cash Flow IRR'!$E$11*BC103</f>
        <v>0</v>
      </c>
      <c r="BD104" s="186">
        <f>-'10-Yr Cash Flow IRR'!$E$11*BD103</f>
        <v>0</v>
      </c>
      <c r="BE104" s="186">
        <f>-'10-Yr Cash Flow IRR'!$E$11*BE103</f>
        <v>0</v>
      </c>
      <c r="BF104" s="186">
        <f>-'10-Yr Cash Flow IRR'!$E$11*BF103</f>
        <v>0</v>
      </c>
      <c r="BG104" s="186">
        <f>-'10-Yr Cash Flow IRR'!$E$11*BG103</f>
        <v>0</v>
      </c>
      <c r="BH104" s="186">
        <f>-'10-Yr Cash Flow IRR'!$E$11*BH103</f>
        <v>0</v>
      </c>
      <c r="BI104" s="186">
        <f>-'10-Yr Cash Flow IRR'!$E$11*BI103</f>
        <v>0</v>
      </c>
      <c r="BJ104" s="186">
        <f>-'10-Yr Cash Flow IRR'!$E$11*BJ103</f>
        <v>0</v>
      </c>
      <c r="BK104" s="186">
        <f>-'10-Yr Cash Flow IRR'!$E$11*BK103</f>
        <v>0</v>
      </c>
      <c r="BL104" s="186">
        <f>-'10-Yr Cash Flow IRR'!$E$11*BL103</f>
        <v>0</v>
      </c>
      <c r="BM104" s="186">
        <f>-'10-Yr Cash Flow IRR'!$E$11*BM103</f>
        <v>0</v>
      </c>
      <c r="BN104" s="186">
        <f>-'10-Yr Cash Flow IRR'!$E$11*BN103</f>
        <v>0</v>
      </c>
      <c r="BO104" s="186">
        <f>-'10-Yr Cash Flow IRR'!$E$11*BO103</f>
        <v>0</v>
      </c>
      <c r="BP104" s="186">
        <f>-'10-Yr Cash Flow IRR'!$E$11*BP103</f>
        <v>0</v>
      </c>
      <c r="BQ104" s="186">
        <f>-'10-Yr Cash Flow IRR'!$E$11*BQ103</f>
        <v>0</v>
      </c>
      <c r="BR104" s="186">
        <f>-'10-Yr Cash Flow IRR'!$E$11*BR103</f>
        <v>0</v>
      </c>
      <c r="BS104" s="186">
        <f>-'10-Yr Cash Flow IRR'!$E$11*BS103</f>
        <v>0</v>
      </c>
      <c r="BT104" s="186">
        <f>-'10-Yr Cash Flow IRR'!$E$11*BT103</f>
        <v>0</v>
      </c>
      <c r="BU104" s="186">
        <f>-'10-Yr Cash Flow IRR'!$E$11*BU103</f>
        <v>0</v>
      </c>
      <c r="BV104" s="186">
        <f>-'10-Yr Cash Flow IRR'!$E$11*BV103</f>
        <v>0</v>
      </c>
      <c r="BW104" s="186">
        <f>-'10-Yr Cash Flow IRR'!$E$11*BW103</f>
        <v>0</v>
      </c>
      <c r="BX104" s="186">
        <f>-'10-Yr Cash Flow IRR'!$E$11*BX103</f>
        <v>0</v>
      </c>
      <c r="BY104" s="186">
        <f>-'10-Yr Cash Flow IRR'!$E$11*BY103</f>
        <v>0</v>
      </c>
      <c r="BZ104" s="186">
        <f>-'10-Yr Cash Flow IRR'!$E$11*BZ103</f>
        <v>0</v>
      </c>
      <c r="CA104" s="186">
        <f>-'10-Yr Cash Flow IRR'!$E$11*CA103</f>
        <v>0</v>
      </c>
      <c r="CB104" s="186">
        <f>-'10-Yr Cash Flow IRR'!$E$11*CB103</f>
        <v>0</v>
      </c>
      <c r="CC104" s="186">
        <f>-'10-Yr Cash Flow IRR'!$E$11*CC103</f>
        <v>0</v>
      </c>
      <c r="CD104" s="186">
        <f>-'10-Yr Cash Flow IRR'!$E$11*CD103</f>
        <v>0</v>
      </c>
      <c r="CE104" s="186">
        <f>-'10-Yr Cash Flow IRR'!$E$11*CE103</f>
        <v>0</v>
      </c>
      <c r="CF104" s="186">
        <f>-'10-Yr Cash Flow IRR'!$E$11*CF103</f>
        <v>0</v>
      </c>
      <c r="CG104" s="186">
        <f>-'10-Yr Cash Flow IRR'!$E$11*CG103</f>
        <v>0</v>
      </c>
      <c r="CH104" s="186">
        <f>-'10-Yr Cash Flow IRR'!$E$11*CH103</f>
        <v>0</v>
      </c>
      <c r="CI104" s="186">
        <f>-'10-Yr Cash Flow IRR'!$E$11*CI103</f>
        <v>0</v>
      </c>
      <c r="CJ104" s="186">
        <f>-'10-Yr Cash Flow IRR'!$E$11*CJ103</f>
        <v>0</v>
      </c>
      <c r="CK104" s="186">
        <f>-'10-Yr Cash Flow IRR'!$E$11*CK103</f>
        <v>0</v>
      </c>
      <c r="CL104" s="186">
        <f>-'10-Yr Cash Flow IRR'!$E$11*CL103</f>
        <v>0</v>
      </c>
      <c r="CM104" s="186">
        <f>-'10-Yr Cash Flow IRR'!$E$11*CM103</f>
        <v>0</v>
      </c>
      <c r="CN104" s="186">
        <f>-'10-Yr Cash Flow IRR'!$E$11*CN103</f>
        <v>0</v>
      </c>
      <c r="CO104" s="186">
        <f>-'10-Yr Cash Flow IRR'!$E$11*CO103</f>
        <v>0</v>
      </c>
      <c r="CP104" s="186">
        <f>-'10-Yr Cash Flow IRR'!$E$11*CP103</f>
        <v>0</v>
      </c>
      <c r="CQ104" s="186">
        <f>-'10-Yr Cash Flow IRR'!$E$11*CQ103</f>
        <v>0</v>
      </c>
      <c r="CR104" s="186">
        <f>-'10-Yr Cash Flow IRR'!$E$11*CR103</f>
        <v>0</v>
      </c>
      <c r="CS104" s="186">
        <f>-'10-Yr Cash Flow IRR'!$E$11*CS103</f>
        <v>0</v>
      </c>
      <c r="CT104" s="186">
        <f>-'10-Yr Cash Flow IRR'!$E$11*CT103</f>
        <v>0</v>
      </c>
      <c r="CU104" s="186">
        <f>-'10-Yr Cash Flow IRR'!$E$11*CU103</f>
        <v>0</v>
      </c>
      <c r="CV104" s="186">
        <f>-'10-Yr Cash Flow IRR'!$E$11*CV103</f>
        <v>0</v>
      </c>
      <c r="CW104" s="186">
        <f>-'10-Yr Cash Flow IRR'!$E$11*CW103</f>
        <v>0</v>
      </c>
      <c r="CX104" s="186">
        <f>-'10-Yr Cash Flow IRR'!$E$11*CX103</f>
        <v>0</v>
      </c>
      <c r="CY104" s="186">
        <f>-'10-Yr Cash Flow IRR'!$E$11*CY103</f>
        <v>0</v>
      </c>
      <c r="CZ104" s="186">
        <f>-'10-Yr Cash Flow IRR'!$E$11*CZ103</f>
        <v>0</v>
      </c>
    </row>
    <row r="105" spans="2:104" s="181" customFormat="1" ht="10.5" x14ac:dyDescent="0.35">
      <c r="B105" s="461" t="s">
        <v>73</v>
      </c>
      <c r="C105" s="323">
        <f>ROUND(SUM(C99:C104),0)</f>
        <v>-49187782</v>
      </c>
      <c r="D105" s="227">
        <f>SUM(D99:D100)</f>
        <v>0</v>
      </c>
      <c r="E105" s="460">
        <f>ROUND(SUM(I105:CZ105),0)</f>
        <v>5159940</v>
      </c>
      <c r="F105" s="227"/>
      <c r="G105" s="227"/>
      <c r="H105" s="267">
        <f>SUM(H99:H100)</f>
        <v>0</v>
      </c>
      <c r="I105" s="228">
        <f>SUM(I99:I104)</f>
        <v>-5000000</v>
      </c>
      <c r="J105" s="227">
        <f t="shared" ref="J105:BU105" si="123">SUM(J99:J104)</f>
        <v>1.7462298274040222E-10</v>
      </c>
      <c r="K105" s="227">
        <f t="shared" si="123"/>
        <v>-5.8207660913467407E-11</v>
      </c>
      <c r="L105" s="227">
        <f t="shared" si="123"/>
        <v>2.9103830456733704E-10</v>
      </c>
      <c r="M105" s="227">
        <f t="shared" si="123"/>
        <v>3.4924596548080444E-10</v>
      </c>
      <c r="N105" s="227">
        <f t="shared" si="123"/>
        <v>1.7462298274040222E-10</v>
      </c>
      <c r="O105" s="227">
        <f t="shared" si="123"/>
        <v>-4.0745362639427185E-10</v>
      </c>
      <c r="P105" s="227">
        <f t="shared" si="123"/>
        <v>-3.4924596548080444E-10</v>
      </c>
      <c r="Q105" s="227">
        <f t="shared" si="123"/>
        <v>5.8207660913467407E-11</v>
      </c>
      <c r="R105" s="227">
        <f t="shared" si="123"/>
        <v>-9.3132257461547852E-10</v>
      </c>
      <c r="S105" s="227">
        <f t="shared" si="123"/>
        <v>5.8207660913467407E-10</v>
      </c>
      <c r="T105" s="227">
        <f t="shared" si="123"/>
        <v>8.149072527885437E-10</v>
      </c>
      <c r="U105" s="227">
        <f t="shared" si="123"/>
        <v>6.4028427004814148E-10</v>
      </c>
      <c r="V105" s="227">
        <f t="shared" si="123"/>
        <v>6.9849193096160889E-10</v>
      </c>
      <c r="W105" s="227">
        <f t="shared" si="123"/>
        <v>6.9849193096160889E-10</v>
      </c>
      <c r="X105" s="227">
        <f t="shared" si="123"/>
        <v>9.3132257461547852E-10</v>
      </c>
      <c r="Y105" s="227">
        <f t="shared" si="123"/>
        <v>2.3283064365386963E-10</v>
      </c>
      <c r="Z105" s="227">
        <f t="shared" si="123"/>
        <v>-1.6298145055770874E-9</v>
      </c>
      <c r="AA105" s="227">
        <f t="shared" si="123"/>
        <v>-1.1641532182693481E-9</v>
      </c>
      <c r="AB105" s="227">
        <f t="shared" si="123"/>
        <v>-4.6566128730773926E-10</v>
      </c>
      <c r="AC105" s="227">
        <f t="shared" si="123"/>
        <v>-9.3132257461547852E-10</v>
      </c>
      <c r="AD105" s="227">
        <f t="shared" si="123"/>
        <v>-1.1641532182693481E-9</v>
      </c>
      <c r="AE105" s="227">
        <f t="shared" si="123"/>
        <v>1.1641532182693481E-9</v>
      </c>
      <c r="AF105" s="227">
        <f t="shared" si="123"/>
        <v>0</v>
      </c>
      <c r="AG105" s="227">
        <f t="shared" si="123"/>
        <v>1.1641532182693481E-9</v>
      </c>
      <c r="AH105" s="227">
        <f t="shared" si="123"/>
        <v>0</v>
      </c>
      <c r="AI105" s="227">
        <f t="shared" si="123"/>
        <v>-2.5611370801925659E-9</v>
      </c>
      <c r="AJ105" s="227">
        <f t="shared" si="123"/>
        <v>-9.3132257461547852E-10</v>
      </c>
      <c r="AK105" s="227">
        <f t="shared" si="123"/>
        <v>1.862645149230957E-9</v>
      </c>
      <c r="AL105" s="227">
        <f t="shared" si="123"/>
        <v>-1.862645149230957E-9</v>
      </c>
      <c r="AM105" s="227">
        <f t="shared" si="123"/>
        <v>-3.0267983675003052E-9</v>
      </c>
      <c r="AN105" s="227">
        <f t="shared" si="123"/>
        <v>2.7939677238464355E-9</v>
      </c>
      <c r="AO105" s="227">
        <f t="shared" si="123"/>
        <v>3.7252902984619141E-9</v>
      </c>
      <c r="AP105" s="227">
        <f t="shared" si="123"/>
        <v>-1.1059455573558807E-9</v>
      </c>
      <c r="AQ105" s="227">
        <f t="shared" si="123"/>
        <v>-3.3032847568392754E-9</v>
      </c>
      <c r="AR105" s="227">
        <f t="shared" si="123"/>
        <v>-1.8917489796876907E-10</v>
      </c>
      <c r="AS105" s="227">
        <f t="shared" si="123"/>
        <v>-3.5652192309498787E-9</v>
      </c>
      <c r="AT105" s="227">
        <f t="shared" si="123"/>
        <v>1.7171259969472885E-9</v>
      </c>
      <c r="AU105" s="227">
        <f t="shared" si="123"/>
        <v>10159939.915069997</v>
      </c>
      <c r="AV105" s="227">
        <f t="shared" si="123"/>
        <v>0</v>
      </c>
      <c r="AW105" s="227">
        <f t="shared" si="123"/>
        <v>0</v>
      </c>
      <c r="AX105" s="227">
        <f t="shared" si="123"/>
        <v>0</v>
      </c>
      <c r="AY105" s="227">
        <f t="shared" si="123"/>
        <v>0</v>
      </c>
      <c r="AZ105" s="227">
        <f t="shared" si="123"/>
        <v>0</v>
      </c>
      <c r="BA105" s="227">
        <f t="shared" si="123"/>
        <v>0</v>
      </c>
      <c r="BB105" s="227">
        <f t="shared" si="123"/>
        <v>0</v>
      </c>
      <c r="BC105" s="227">
        <f t="shared" si="123"/>
        <v>0</v>
      </c>
      <c r="BD105" s="227">
        <f t="shared" si="123"/>
        <v>0</v>
      </c>
      <c r="BE105" s="227">
        <f t="shared" si="123"/>
        <v>0</v>
      </c>
      <c r="BF105" s="227">
        <f t="shared" si="123"/>
        <v>0</v>
      </c>
      <c r="BG105" s="227">
        <f t="shared" si="123"/>
        <v>0</v>
      </c>
      <c r="BH105" s="227">
        <f t="shared" si="123"/>
        <v>0</v>
      </c>
      <c r="BI105" s="227">
        <f t="shared" si="123"/>
        <v>0</v>
      </c>
      <c r="BJ105" s="227">
        <f t="shared" si="123"/>
        <v>0</v>
      </c>
      <c r="BK105" s="227">
        <f t="shared" si="123"/>
        <v>0</v>
      </c>
      <c r="BL105" s="227">
        <f t="shared" si="123"/>
        <v>0</v>
      </c>
      <c r="BM105" s="227">
        <f t="shared" si="123"/>
        <v>0</v>
      </c>
      <c r="BN105" s="227">
        <f t="shared" si="123"/>
        <v>0</v>
      </c>
      <c r="BO105" s="227">
        <f t="shared" si="123"/>
        <v>0</v>
      </c>
      <c r="BP105" s="227">
        <f t="shared" si="123"/>
        <v>0</v>
      </c>
      <c r="BQ105" s="227">
        <f t="shared" si="123"/>
        <v>0</v>
      </c>
      <c r="BR105" s="227">
        <f t="shared" si="123"/>
        <v>0</v>
      </c>
      <c r="BS105" s="227">
        <f t="shared" si="123"/>
        <v>0</v>
      </c>
      <c r="BT105" s="227">
        <f t="shared" si="123"/>
        <v>0</v>
      </c>
      <c r="BU105" s="227">
        <f t="shared" si="123"/>
        <v>0</v>
      </c>
      <c r="BV105" s="463">
        <f t="shared" ref="BV105:CZ105" si="124">SUM(BV99:BV104)</f>
        <v>0</v>
      </c>
      <c r="BW105" s="227">
        <f t="shared" si="124"/>
        <v>0</v>
      </c>
      <c r="BX105" s="227">
        <f t="shared" si="124"/>
        <v>0</v>
      </c>
      <c r="BY105" s="227">
        <f t="shared" si="124"/>
        <v>0</v>
      </c>
      <c r="BZ105" s="227">
        <f t="shared" si="124"/>
        <v>0</v>
      </c>
      <c r="CA105" s="227">
        <f t="shared" si="124"/>
        <v>0</v>
      </c>
      <c r="CB105" s="227">
        <f t="shared" si="124"/>
        <v>0</v>
      </c>
      <c r="CC105" s="227">
        <f t="shared" si="124"/>
        <v>0</v>
      </c>
      <c r="CD105" s="227">
        <f t="shared" si="124"/>
        <v>0</v>
      </c>
      <c r="CE105" s="227">
        <f t="shared" si="124"/>
        <v>0</v>
      </c>
      <c r="CF105" s="227">
        <f t="shared" si="124"/>
        <v>0</v>
      </c>
      <c r="CG105" s="227">
        <f t="shared" si="124"/>
        <v>0</v>
      </c>
      <c r="CH105" s="227">
        <f t="shared" si="124"/>
        <v>0</v>
      </c>
      <c r="CI105" s="227">
        <f t="shared" si="124"/>
        <v>0</v>
      </c>
      <c r="CJ105" s="227">
        <f t="shared" si="124"/>
        <v>0</v>
      </c>
      <c r="CK105" s="227">
        <f t="shared" si="124"/>
        <v>0</v>
      </c>
      <c r="CL105" s="227">
        <f t="shared" si="124"/>
        <v>0</v>
      </c>
      <c r="CM105" s="227">
        <f t="shared" si="124"/>
        <v>0</v>
      </c>
      <c r="CN105" s="227">
        <f t="shared" si="124"/>
        <v>0</v>
      </c>
      <c r="CO105" s="227">
        <f t="shared" si="124"/>
        <v>0</v>
      </c>
      <c r="CP105" s="227">
        <f t="shared" si="124"/>
        <v>0</v>
      </c>
      <c r="CQ105" s="227">
        <f t="shared" si="124"/>
        <v>0</v>
      </c>
      <c r="CR105" s="227">
        <f t="shared" si="124"/>
        <v>0</v>
      </c>
      <c r="CS105" s="227">
        <f t="shared" si="124"/>
        <v>0</v>
      </c>
      <c r="CT105" s="227">
        <f t="shared" si="124"/>
        <v>0</v>
      </c>
      <c r="CU105" s="227">
        <f t="shared" si="124"/>
        <v>0</v>
      </c>
      <c r="CV105" s="227">
        <f t="shared" si="124"/>
        <v>0</v>
      </c>
      <c r="CW105" s="227">
        <f t="shared" si="124"/>
        <v>0</v>
      </c>
      <c r="CX105" s="227">
        <f t="shared" si="124"/>
        <v>0</v>
      </c>
      <c r="CY105" s="227">
        <f t="shared" si="124"/>
        <v>0</v>
      </c>
      <c r="CZ105" s="227">
        <f t="shared" si="124"/>
        <v>0</v>
      </c>
    </row>
    <row r="106" spans="2:104" x14ac:dyDescent="0.35">
      <c r="B106" s="139"/>
      <c r="C106" s="134"/>
      <c r="F106" s="34" t="s">
        <v>197</v>
      </c>
      <c r="G106" s="462">
        <f>+(1+IRR(I105:CZ105,0.02))^12-1</f>
        <v>0.2509451084275176</v>
      </c>
      <c r="H106" s="139"/>
      <c r="I106" s="134"/>
    </row>
    <row r="107" spans="2:104" s="181" customFormat="1" ht="10.5" x14ac:dyDescent="0.35">
      <c r="B107" s="180" t="s">
        <v>74</v>
      </c>
      <c r="D107" s="262" t="s">
        <v>208</v>
      </c>
      <c r="G107" s="182"/>
      <c r="H107" s="183"/>
      <c r="I107" s="184"/>
      <c r="AT107" s="191"/>
    </row>
    <row r="108" spans="2:104" s="181" customFormat="1" ht="10.5" x14ac:dyDescent="0.35">
      <c r="B108" s="185" t="s">
        <v>76</v>
      </c>
      <c r="C108" s="186">
        <f>-MAX(I108:CZ108)</f>
        <v>-44198885</v>
      </c>
      <c r="D108" s="317">
        <f>+C108/C105</f>
        <v>0.89857446713088218</v>
      </c>
      <c r="G108" s="182"/>
      <c r="H108" s="183"/>
      <c r="I108" s="187">
        <f>I100</f>
        <v>1122000</v>
      </c>
      <c r="J108" s="188">
        <f>ROUND(J100+I108+J101,0)</f>
        <v>1487294</v>
      </c>
      <c r="K108" s="188">
        <f t="shared" ref="K108:BV108" si="125">ROUND(K100+J108+K101,0)</f>
        <v>1854008</v>
      </c>
      <c r="L108" s="188">
        <f t="shared" si="125"/>
        <v>2222148</v>
      </c>
      <c r="M108" s="188">
        <f t="shared" si="125"/>
        <v>2591720</v>
      </c>
      <c r="N108" s="188">
        <f t="shared" si="125"/>
        <v>2962729</v>
      </c>
      <c r="O108" s="188">
        <f t="shared" si="125"/>
        <v>3335181</v>
      </c>
      <c r="P108" s="188">
        <f t="shared" si="125"/>
        <v>3709081</v>
      </c>
      <c r="Q108" s="188">
        <f t="shared" si="125"/>
        <v>4084435</v>
      </c>
      <c r="R108" s="188">
        <f t="shared" si="125"/>
        <v>4461249</v>
      </c>
      <c r="S108" s="188">
        <f t="shared" si="125"/>
        <v>4839529</v>
      </c>
      <c r="T108" s="188">
        <f t="shared" si="125"/>
        <v>5219280</v>
      </c>
      <c r="U108" s="188">
        <f t="shared" si="125"/>
        <v>5600507</v>
      </c>
      <c r="V108" s="188">
        <f t="shared" si="125"/>
        <v>5983217</v>
      </c>
      <c r="W108" s="188">
        <f t="shared" si="125"/>
        <v>7327072</v>
      </c>
      <c r="X108" s="188">
        <f t="shared" si="125"/>
        <v>8786576</v>
      </c>
      <c r="Y108" s="188">
        <f t="shared" si="125"/>
        <v>10358202</v>
      </c>
      <c r="Z108" s="188">
        <f t="shared" si="125"/>
        <v>12035618</v>
      </c>
      <c r="AA108" s="188">
        <f t="shared" si="125"/>
        <v>13809688</v>
      </c>
      <c r="AB108" s="188">
        <f t="shared" si="125"/>
        <v>15668593</v>
      </c>
      <c r="AC108" s="188">
        <f t="shared" si="125"/>
        <v>17598086</v>
      </c>
      <c r="AD108" s="188">
        <f t="shared" si="125"/>
        <v>19581866</v>
      </c>
      <c r="AE108" s="188">
        <f t="shared" si="125"/>
        <v>21602058</v>
      </c>
      <c r="AF108" s="188">
        <f t="shared" si="125"/>
        <v>23639779</v>
      </c>
      <c r="AG108" s="188">
        <f t="shared" si="125"/>
        <v>25675752</v>
      </c>
      <c r="AH108" s="188">
        <f t="shared" si="125"/>
        <v>27690945</v>
      </c>
      <c r="AI108" s="188">
        <f t="shared" si="125"/>
        <v>29667192</v>
      </c>
      <c r="AJ108" s="188">
        <f t="shared" si="125"/>
        <v>31587766</v>
      </c>
      <c r="AK108" s="188">
        <f t="shared" si="125"/>
        <v>33437872</v>
      </c>
      <c r="AL108" s="188">
        <f t="shared" si="125"/>
        <v>35205043</v>
      </c>
      <c r="AM108" s="188">
        <f t="shared" si="125"/>
        <v>36947223</v>
      </c>
      <c r="AN108" s="188">
        <f t="shared" si="125"/>
        <v>38589733</v>
      </c>
      <c r="AO108" s="188">
        <f t="shared" si="125"/>
        <v>43811473</v>
      </c>
      <c r="AP108" s="188">
        <f t="shared" si="125"/>
        <v>43947152</v>
      </c>
      <c r="AQ108" s="188">
        <f t="shared" si="125"/>
        <v>44057730</v>
      </c>
      <c r="AR108" s="188">
        <f t="shared" si="125"/>
        <v>44143110</v>
      </c>
      <c r="AS108" s="188">
        <f t="shared" si="125"/>
        <v>44198885</v>
      </c>
      <c r="AT108" s="188">
        <f t="shared" si="125"/>
        <v>44187781</v>
      </c>
      <c r="AU108" s="188">
        <f t="shared" si="125"/>
        <v>0</v>
      </c>
      <c r="AV108" s="188">
        <f t="shared" si="125"/>
        <v>0</v>
      </c>
      <c r="AW108" s="188">
        <f t="shared" si="125"/>
        <v>0</v>
      </c>
      <c r="AX108" s="188">
        <f t="shared" si="125"/>
        <v>0</v>
      </c>
      <c r="AY108" s="188">
        <f t="shared" si="125"/>
        <v>0</v>
      </c>
      <c r="AZ108" s="188">
        <f t="shared" si="125"/>
        <v>0</v>
      </c>
      <c r="BA108" s="188">
        <f t="shared" si="125"/>
        <v>0</v>
      </c>
      <c r="BB108" s="188">
        <f t="shared" si="125"/>
        <v>0</v>
      </c>
      <c r="BC108" s="188">
        <f t="shared" si="125"/>
        <v>0</v>
      </c>
      <c r="BD108" s="188">
        <f t="shared" si="125"/>
        <v>0</v>
      </c>
      <c r="BE108" s="188">
        <f t="shared" si="125"/>
        <v>0</v>
      </c>
      <c r="BF108" s="188">
        <f t="shared" si="125"/>
        <v>0</v>
      </c>
      <c r="BG108" s="188">
        <f t="shared" si="125"/>
        <v>0</v>
      </c>
      <c r="BH108" s="188">
        <f t="shared" si="125"/>
        <v>0</v>
      </c>
      <c r="BI108" s="188">
        <f t="shared" si="125"/>
        <v>0</v>
      </c>
      <c r="BJ108" s="188">
        <f t="shared" si="125"/>
        <v>0</v>
      </c>
      <c r="BK108" s="188">
        <f t="shared" si="125"/>
        <v>0</v>
      </c>
      <c r="BL108" s="188">
        <f t="shared" si="125"/>
        <v>0</v>
      </c>
      <c r="BM108" s="188">
        <f t="shared" si="125"/>
        <v>0</v>
      </c>
      <c r="BN108" s="188">
        <f t="shared" si="125"/>
        <v>0</v>
      </c>
      <c r="BO108" s="188">
        <f t="shared" si="125"/>
        <v>0</v>
      </c>
      <c r="BP108" s="188">
        <f t="shared" si="125"/>
        <v>0</v>
      </c>
      <c r="BQ108" s="188">
        <f t="shared" si="125"/>
        <v>0</v>
      </c>
      <c r="BR108" s="188">
        <f t="shared" si="125"/>
        <v>0</v>
      </c>
      <c r="BS108" s="188">
        <f t="shared" si="125"/>
        <v>0</v>
      </c>
      <c r="BT108" s="188">
        <f t="shared" si="125"/>
        <v>0</v>
      </c>
      <c r="BU108" s="188">
        <f t="shared" si="125"/>
        <v>0</v>
      </c>
      <c r="BV108" s="188">
        <f t="shared" si="125"/>
        <v>0</v>
      </c>
      <c r="BW108" s="188">
        <f t="shared" ref="BW108:CZ108" si="126">ROUND(BW100+BV108+BW101,0)</f>
        <v>0</v>
      </c>
      <c r="BX108" s="188">
        <f t="shared" si="126"/>
        <v>0</v>
      </c>
      <c r="BY108" s="188">
        <f t="shared" si="126"/>
        <v>0</v>
      </c>
      <c r="BZ108" s="188">
        <f t="shared" si="126"/>
        <v>0</v>
      </c>
      <c r="CA108" s="188">
        <f t="shared" si="126"/>
        <v>0</v>
      </c>
      <c r="CB108" s="188">
        <f t="shared" si="126"/>
        <v>0</v>
      </c>
      <c r="CC108" s="188">
        <f t="shared" si="126"/>
        <v>0</v>
      </c>
      <c r="CD108" s="188">
        <f t="shared" si="126"/>
        <v>0</v>
      </c>
      <c r="CE108" s="188">
        <f t="shared" si="126"/>
        <v>0</v>
      </c>
      <c r="CF108" s="188">
        <f t="shared" si="126"/>
        <v>0</v>
      </c>
      <c r="CG108" s="188">
        <f t="shared" si="126"/>
        <v>0</v>
      </c>
      <c r="CH108" s="188">
        <f t="shared" si="126"/>
        <v>0</v>
      </c>
      <c r="CI108" s="188">
        <f t="shared" si="126"/>
        <v>0</v>
      </c>
      <c r="CJ108" s="188">
        <f t="shared" si="126"/>
        <v>0</v>
      </c>
      <c r="CK108" s="188">
        <f t="shared" si="126"/>
        <v>0</v>
      </c>
      <c r="CL108" s="188">
        <f t="shared" si="126"/>
        <v>0</v>
      </c>
      <c r="CM108" s="188">
        <f t="shared" si="126"/>
        <v>0</v>
      </c>
      <c r="CN108" s="188">
        <f t="shared" si="126"/>
        <v>0</v>
      </c>
      <c r="CO108" s="188">
        <f t="shared" si="126"/>
        <v>0</v>
      </c>
      <c r="CP108" s="188">
        <f t="shared" si="126"/>
        <v>0</v>
      </c>
      <c r="CQ108" s="188">
        <f t="shared" si="126"/>
        <v>0</v>
      </c>
      <c r="CR108" s="188">
        <f t="shared" si="126"/>
        <v>0</v>
      </c>
      <c r="CS108" s="188">
        <f t="shared" si="126"/>
        <v>0</v>
      </c>
      <c r="CT108" s="188">
        <f t="shared" si="126"/>
        <v>0</v>
      </c>
      <c r="CU108" s="188">
        <f t="shared" si="126"/>
        <v>0</v>
      </c>
      <c r="CV108" s="188">
        <f t="shared" si="126"/>
        <v>0</v>
      </c>
      <c r="CW108" s="188">
        <f t="shared" si="126"/>
        <v>0</v>
      </c>
      <c r="CX108" s="188">
        <f t="shared" si="126"/>
        <v>0</v>
      </c>
      <c r="CY108" s="188">
        <f t="shared" si="126"/>
        <v>0</v>
      </c>
      <c r="CZ108" s="188">
        <f t="shared" si="126"/>
        <v>0</v>
      </c>
    </row>
    <row r="109" spans="2:104" s="181" customFormat="1" ht="10.5" x14ac:dyDescent="0.35">
      <c r="B109" s="233" t="s">
        <v>75</v>
      </c>
      <c r="C109" s="234">
        <f>E115</f>
        <v>-5000000</v>
      </c>
      <c r="D109" s="318">
        <f>1-D108</f>
        <v>0.10142553286911782</v>
      </c>
      <c r="G109" s="182"/>
      <c r="H109" s="183"/>
      <c r="I109" s="186">
        <f>-I105</f>
        <v>5000000</v>
      </c>
      <c r="J109" s="186">
        <f>(I111="PUD")*(I109-J105)</f>
        <v>5000000</v>
      </c>
      <c r="K109" s="186">
        <f t="shared" ref="K109:BV109" si="127">(J111="PUD")*(J109-K105)</f>
        <v>5000000</v>
      </c>
      <c r="L109" s="186">
        <f t="shared" si="127"/>
        <v>5000000</v>
      </c>
      <c r="M109" s="186">
        <f t="shared" si="127"/>
        <v>5000000</v>
      </c>
      <c r="N109" s="186">
        <f t="shared" si="127"/>
        <v>5000000</v>
      </c>
      <c r="O109" s="186">
        <f t="shared" si="127"/>
        <v>5000000</v>
      </c>
      <c r="P109" s="186">
        <f t="shared" si="127"/>
        <v>5000000</v>
      </c>
      <c r="Q109" s="186">
        <f t="shared" si="127"/>
        <v>5000000</v>
      </c>
      <c r="R109" s="186">
        <f t="shared" si="127"/>
        <v>5000000.0000000009</v>
      </c>
      <c r="S109" s="186">
        <f t="shared" si="127"/>
        <v>5000000</v>
      </c>
      <c r="T109" s="186">
        <f t="shared" si="127"/>
        <v>4999999.9999999991</v>
      </c>
      <c r="U109" s="186">
        <f t="shared" si="127"/>
        <v>4999999.9999999981</v>
      </c>
      <c r="V109" s="186">
        <f t="shared" si="127"/>
        <v>4999999.9999999972</v>
      </c>
      <c r="W109" s="186">
        <f t="shared" si="127"/>
        <v>4999999.9999999963</v>
      </c>
      <c r="X109" s="186">
        <f t="shared" si="127"/>
        <v>4999999.9999999953</v>
      </c>
      <c r="Y109" s="186">
        <f t="shared" si="127"/>
        <v>4999999.9999999953</v>
      </c>
      <c r="Z109" s="186">
        <f t="shared" si="127"/>
        <v>4999999.9999999972</v>
      </c>
      <c r="AA109" s="186">
        <f t="shared" si="127"/>
        <v>4999999.9999999981</v>
      </c>
      <c r="AB109" s="186">
        <f t="shared" si="127"/>
        <v>4999999.9999999981</v>
      </c>
      <c r="AC109" s="186">
        <f t="shared" si="127"/>
        <v>4999999.9999999991</v>
      </c>
      <c r="AD109" s="186">
        <f t="shared" si="127"/>
        <v>5000000</v>
      </c>
      <c r="AE109" s="186">
        <f t="shared" si="127"/>
        <v>4999999.9999999991</v>
      </c>
      <c r="AF109" s="186">
        <f t="shared" si="127"/>
        <v>4999999.9999999991</v>
      </c>
      <c r="AG109" s="186">
        <f t="shared" si="127"/>
        <v>4999999.9999999981</v>
      </c>
      <c r="AH109" s="186">
        <f t="shared" si="127"/>
        <v>4999999.9999999981</v>
      </c>
      <c r="AI109" s="186">
        <f t="shared" si="127"/>
        <v>5000000.0000000009</v>
      </c>
      <c r="AJ109" s="186">
        <f t="shared" si="127"/>
        <v>5000000.0000000019</v>
      </c>
      <c r="AK109" s="186">
        <f t="shared" si="127"/>
        <v>5000000</v>
      </c>
      <c r="AL109" s="186">
        <f t="shared" si="127"/>
        <v>5000000.0000000019</v>
      </c>
      <c r="AM109" s="186">
        <f t="shared" si="127"/>
        <v>5000000.0000000047</v>
      </c>
      <c r="AN109" s="186">
        <f t="shared" si="127"/>
        <v>5000000.0000000019</v>
      </c>
      <c r="AO109" s="186">
        <f t="shared" si="127"/>
        <v>4999999.9999999981</v>
      </c>
      <c r="AP109" s="186">
        <f t="shared" si="127"/>
        <v>4999999.9999999991</v>
      </c>
      <c r="AQ109" s="186">
        <f t="shared" si="127"/>
        <v>5000000.0000000028</v>
      </c>
      <c r="AR109" s="186">
        <f t="shared" si="127"/>
        <v>5000000.0000000028</v>
      </c>
      <c r="AS109" s="186">
        <f t="shared" si="127"/>
        <v>5000000.0000000065</v>
      </c>
      <c r="AT109" s="186">
        <f t="shared" si="127"/>
        <v>5000000.0000000047</v>
      </c>
      <c r="AU109" s="186">
        <f t="shared" si="127"/>
        <v>-5159939.9150699927</v>
      </c>
      <c r="AV109" s="186">
        <f t="shared" si="127"/>
        <v>0</v>
      </c>
      <c r="AW109" s="186">
        <f t="shared" si="127"/>
        <v>0</v>
      </c>
      <c r="AX109" s="186">
        <f t="shared" si="127"/>
        <v>0</v>
      </c>
      <c r="AY109" s="186">
        <f t="shared" si="127"/>
        <v>0</v>
      </c>
      <c r="AZ109" s="186">
        <f t="shared" si="127"/>
        <v>0</v>
      </c>
      <c r="BA109" s="186">
        <f t="shared" si="127"/>
        <v>0</v>
      </c>
      <c r="BB109" s="186">
        <f t="shared" si="127"/>
        <v>0</v>
      </c>
      <c r="BC109" s="186">
        <f t="shared" si="127"/>
        <v>0</v>
      </c>
      <c r="BD109" s="186">
        <f t="shared" si="127"/>
        <v>0</v>
      </c>
      <c r="BE109" s="186">
        <f t="shared" si="127"/>
        <v>0</v>
      </c>
      <c r="BF109" s="186">
        <f t="shared" si="127"/>
        <v>0</v>
      </c>
      <c r="BG109" s="186">
        <f t="shared" si="127"/>
        <v>0</v>
      </c>
      <c r="BH109" s="186">
        <f t="shared" si="127"/>
        <v>0</v>
      </c>
      <c r="BI109" s="186">
        <f t="shared" si="127"/>
        <v>0</v>
      </c>
      <c r="BJ109" s="186">
        <f t="shared" si="127"/>
        <v>0</v>
      </c>
      <c r="BK109" s="186">
        <f t="shared" si="127"/>
        <v>0</v>
      </c>
      <c r="BL109" s="186">
        <f t="shared" si="127"/>
        <v>0</v>
      </c>
      <c r="BM109" s="186">
        <f t="shared" si="127"/>
        <v>0</v>
      </c>
      <c r="BN109" s="186">
        <f t="shared" si="127"/>
        <v>0</v>
      </c>
      <c r="BO109" s="186">
        <f t="shared" si="127"/>
        <v>0</v>
      </c>
      <c r="BP109" s="186">
        <f t="shared" si="127"/>
        <v>0</v>
      </c>
      <c r="BQ109" s="186">
        <f t="shared" si="127"/>
        <v>0</v>
      </c>
      <c r="BR109" s="186">
        <f t="shared" si="127"/>
        <v>0</v>
      </c>
      <c r="BS109" s="186">
        <f t="shared" si="127"/>
        <v>0</v>
      </c>
      <c r="BT109" s="186">
        <f t="shared" si="127"/>
        <v>0</v>
      </c>
      <c r="BU109" s="186">
        <f t="shared" si="127"/>
        <v>0</v>
      </c>
      <c r="BV109" s="186">
        <f t="shared" si="127"/>
        <v>0</v>
      </c>
      <c r="BW109" s="186">
        <f t="shared" ref="BW109:CZ109" si="128">(BV111="PUD")*(BV109-BW105)</f>
        <v>0</v>
      </c>
      <c r="BX109" s="186">
        <f t="shared" si="128"/>
        <v>0</v>
      </c>
      <c r="BY109" s="186">
        <f t="shared" si="128"/>
        <v>0</v>
      </c>
      <c r="BZ109" s="186">
        <f t="shared" si="128"/>
        <v>0</v>
      </c>
      <c r="CA109" s="186">
        <f t="shared" si="128"/>
        <v>0</v>
      </c>
      <c r="CB109" s="186">
        <f t="shared" si="128"/>
        <v>0</v>
      </c>
      <c r="CC109" s="186">
        <f t="shared" si="128"/>
        <v>0</v>
      </c>
      <c r="CD109" s="186">
        <f t="shared" si="128"/>
        <v>0</v>
      </c>
      <c r="CE109" s="186">
        <f t="shared" si="128"/>
        <v>0</v>
      </c>
      <c r="CF109" s="186">
        <f t="shared" si="128"/>
        <v>0</v>
      </c>
      <c r="CG109" s="186">
        <f t="shared" si="128"/>
        <v>0</v>
      </c>
      <c r="CH109" s="186">
        <f t="shared" si="128"/>
        <v>0</v>
      </c>
      <c r="CI109" s="186">
        <f t="shared" si="128"/>
        <v>0</v>
      </c>
      <c r="CJ109" s="186">
        <f t="shared" si="128"/>
        <v>0</v>
      </c>
      <c r="CK109" s="186">
        <f t="shared" si="128"/>
        <v>0</v>
      </c>
      <c r="CL109" s="186">
        <f t="shared" si="128"/>
        <v>0</v>
      </c>
      <c r="CM109" s="186">
        <f t="shared" si="128"/>
        <v>0</v>
      </c>
      <c r="CN109" s="186">
        <f t="shared" si="128"/>
        <v>0</v>
      </c>
      <c r="CO109" s="186">
        <f t="shared" si="128"/>
        <v>0</v>
      </c>
      <c r="CP109" s="186">
        <f t="shared" si="128"/>
        <v>0</v>
      </c>
      <c r="CQ109" s="186">
        <f t="shared" si="128"/>
        <v>0</v>
      </c>
      <c r="CR109" s="186">
        <f t="shared" si="128"/>
        <v>0</v>
      </c>
      <c r="CS109" s="186">
        <f t="shared" si="128"/>
        <v>0</v>
      </c>
      <c r="CT109" s="186">
        <f t="shared" si="128"/>
        <v>0</v>
      </c>
      <c r="CU109" s="186">
        <f t="shared" si="128"/>
        <v>0</v>
      </c>
      <c r="CV109" s="186">
        <f t="shared" si="128"/>
        <v>0</v>
      </c>
      <c r="CW109" s="186">
        <f t="shared" si="128"/>
        <v>0</v>
      </c>
      <c r="CX109" s="186">
        <f t="shared" si="128"/>
        <v>0</v>
      </c>
      <c r="CY109" s="186">
        <f t="shared" si="128"/>
        <v>0</v>
      </c>
      <c r="CZ109" s="186">
        <f t="shared" si="128"/>
        <v>0</v>
      </c>
    </row>
    <row r="110" spans="2:104" s="181" customFormat="1" ht="10.5" x14ac:dyDescent="0.35">
      <c r="B110" s="183"/>
      <c r="C110" s="186"/>
      <c r="D110" s="189"/>
      <c r="E110" s="191"/>
      <c r="F110" s="191"/>
      <c r="G110" s="182"/>
      <c r="H110" s="183"/>
      <c r="I110" s="184"/>
    </row>
    <row r="111" spans="2:104" x14ac:dyDescent="0.35">
      <c r="B111" s="139" t="s">
        <v>171</v>
      </c>
      <c r="H111" s="139"/>
      <c r="I111" s="163" t="str">
        <f>IF(I7&lt;=Schedule!$E$21,"PUD","SLD")</f>
        <v>PUD</v>
      </c>
      <c r="J111" s="49" t="str">
        <f>IF(J7&lt;=Schedule!$E$21,"PUD","SLD")</f>
        <v>PUD</v>
      </c>
      <c r="K111" s="49" t="str">
        <f>IF(K7&lt;=Schedule!$E$21,"PUD","SLD")</f>
        <v>PUD</v>
      </c>
      <c r="L111" s="49" t="str">
        <f>IF(L7&lt;=Schedule!$E$21,"PUD","SLD")</f>
        <v>PUD</v>
      </c>
      <c r="M111" s="49" t="str">
        <f>IF(M7&lt;=Schedule!$E$21,"PUD","SLD")</f>
        <v>PUD</v>
      </c>
      <c r="N111" s="49" t="str">
        <f>IF(N7&lt;=Schedule!$E$21,"PUD","SLD")</f>
        <v>PUD</v>
      </c>
      <c r="O111" s="49" t="str">
        <f>IF(O7&lt;=Schedule!$E$21,"PUD","SLD")</f>
        <v>PUD</v>
      </c>
      <c r="P111" s="49" t="str">
        <f>IF(P7&lt;=Schedule!$E$21,"PUD","SLD")</f>
        <v>PUD</v>
      </c>
      <c r="Q111" s="49" t="str">
        <f>IF(Q7&lt;=Schedule!$E$21,"PUD","SLD")</f>
        <v>PUD</v>
      </c>
      <c r="R111" s="49" t="str">
        <f>IF(R7&lt;=Schedule!$E$21,"PUD","SLD")</f>
        <v>PUD</v>
      </c>
      <c r="S111" s="49" t="str">
        <f>IF(S7&lt;=Schedule!$E$21,"PUD","SLD")</f>
        <v>PUD</v>
      </c>
      <c r="T111" s="49" t="str">
        <f>IF(T7&lt;=Schedule!$E$21,"PUD","SLD")</f>
        <v>PUD</v>
      </c>
      <c r="U111" s="49" t="str">
        <f>IF(U7&lt;=Schedule!$E$21,"PUD","SLD")</f>
        <v>PUD</v>
      </c>
      <c r="V111" s="49" t="str">
        <f>IF(V7&lt;=Schedule!$E$21,"PUD","SLD")</f>
        <v>PUD</v>
      </c>
      <c r="W111" s="49" t="str">
        <f>IF(W7&lt;=Schedule!$E$21,"PUD","SLD")</f>
        <v>PUD</v>
      </c>
      <c r="X111" s="49" t="str">
        <f>IF(X7&lt;=Schedule!$E$21,"PUD","SLD")</f>
        <v>PUD</v>
      </c>
      <c r="Y111" s="49" t="str">
        <f>IF(Y7&lt;=Schedule!$E$21,"PUD","SLD")</f>
        <v>PUD</v>
      </c>
      <c r="Z111" s="49" t="str">
        <f>IF(Z7&lt;=Schedule!$E$21,"PUD","SLD")</f>
        <v>PUD</v>
      </c>
      <c r="AA111" s="49" t="str">
        <f>IF(AA7&lt;=Schedule!$E$21,"PUD","SLD")</f>
        <v>PUD</v>
      </c>
      <c r="AB111" s="49" t="str">
        <f>IF(AB7&lt;=Schedule!$E$21,"PUD","SLD")</f>
        <v>PUD</v>
      </c>
      <c r="AC111" s="49" t="str">
        <f>IF(AC7&lt;=Schedule!$E$21,"PUD","SLD")</f>
        <v>PUD</v>
      </c>
      <c r="AD111" s="49" t="str">
        <f>IF(AD7&lt;=Schedule!$E$21,"PUD","SLD")</f>
        <v>PUD</v>
      </c>
      <c r="AE111" s="49" t="str">
        <f>IF(AE7&lt;=Schedule!$E$21,"PUD","SLD")</f>
        <v>PUD</v>
      </c>
      <c r="AF111" s="49" t="str">
        <f>IF(AF7&lt;=Schedule!$E$21,"PUD","SLD")</f>
        <v>PUD</v>
      </c>
      <c r="AG111" s="49" t="str">
        <f>IF(AG7&lt;=Schedule!$E$21,"PUD","SLD")</f>
        <v>PUD</v>
      </c>
      <c r="AH111" s="49" t="str">
        <f>IF(AH7&lt;=Schedule!$E$21,"PUD","SLD")</f>
        <v>PUD</v>
      </c>
      <c r="AI111" s="49" t="str">
        <f>IF(AI7&lt;=Schedule!$E$21,"PUD","SLD")</f>
        <v>PUD</v>
      </c>
      <c r="AJ111" s="49" t="str">
        <f>IF(AJ7&lt;=Schedule!$E$21,"PUD","SLD")</f>
        <v>PUD</v>
      </c>
      <c r="AK111" s="49" t="str">
        <f>IF(AK7&lt;=Schedule!$E$21,"PUD","SLD")</f>
        <v>PUD</v>
      </c>
      <c r="AL111" s="49" t="str">
        <f>IF(AL7&lt;=Schedule!$E$21,"PUD","SLD")</f>
        <v>PUD</v>
      </c>
      <c r="AM111" s="49" t="str">
        <f>IF(AM7&lt;=Schedule!$E$21,"PUD","SLD")</f>
        <v>PUD</v>
      </c>
      <c r="AN111" s="49" t="str">
        <f>IF(AN7&lt;=Schedule!$E$21,"PUD","SLD")</f>
        <v>PUD</v>
      </c>
      <c r="AO111" s="49" t="str">
        <f>IF(AO7&lt;=Schedule!$E$21,"PUD","SLD")</f>
        <v>PUD</v>
      </c>
      <c r="AP111" s="49" t="str">
        <f>IF(AP7&lt;=Schedule!$E$21,"PUD","SLD")</f>
        <v>PUD</v>
      </c>
      <c r="AQ111" s="49" t="str">
        <f>IF(AQ7&lt;=Schedule!$E$21,"PUD","SLD")</f>
        <v>PUD</v>
      </c>
      <c r="AR111" s="49" t="str">
        <f>IF(AR7&lt;=Schedule!$E$21,"PUD","SLD")</f>
        <v>PUD</v>
      </c>
      <c r="AS111" s="49" t="str">
        <f>IF(AS7&lt;=Schedule!$E$21,"PUD","SLD")</f>
        <v>PUD</v>
      </c>
      <c r="AT111" s="49" t="str">
        <f>IF(AT7&lt;=Schedule!$E$21,"PUD","SLD")</f>
        <v>PUD</v>
      </c>
      <c r="AU111" s="49" t="str">
        <f>IF(AU7&lt;=Schedule!$E$21,"PUD","SLD")</f>
        <v>SLD</v>
      </c>
      <c r="AV111" s="49" t="str">
        <f>IF(AV7&lt;=Schedule!$E$21,"PUD","SLD")</f>
        <v>SLD</v>
      </c>
      <c r="AW111" s="49" t="str">
        <f>IF(AW7&lt;=Schedule!$E$21,"PUD","SLD")</f>
        <v>SLD</v>
      </c>
      <c r="AX111" s="49" t="str">
        <f>IF(AX7&lt;=Schedule!$E$21,"PUD","SLD")</f>
        <v>SLD</v>
      </c>
      <c r="AY111" s="49" t="str">
        <f>IF(AY7&lt;=Schedule!$E$21,"PUD","SLD")</f>
        <v>SLD</v>
      </c>
      <c r="AZ111" s="49" t="str">
        <f>IF(AZ7&lt;=Schedule!$E$21,"PUD","SLD")</f>
        <v>SLD</v>
      </c>
      <c r="BA111" s="49" t="str">
        <f>IF(BA7&lt;=Schedule!$E$21,"PUD","SLD")</f>
        <v>SLD</v>
      </c>
      <c r="BB111" s="49" t="str">
        <f>IF(BB7&lt;=Schedule!$E$21,"PUD","SLD")</f>
        <v>SLD</v>
      </c>
      <c r="BC111" s="49" t="str">
        <f>IF(BC7&lt;=Schedule!$E$21,"PUD","SLD")</f>
        <v>SLD</v>
      </c>
      <c r="BD111" s="49" t="str">
        <f>IF(BD7&lt;=Schedule!$E$21,"PUD","SLD")</f>
        <v>SLD</v>
      </c>
      <c r="BE111" s="49" t="str">
        <f>IF(BE7&lt;=Schedule!$E$21,"PUD","SLD")</f>
        <v>SLD</v>
      </c>
      <c r="BF111" s="49" t="str">
        <f>IF(BF7&lt;=Schedule!$E$21,"PUD","SLD")</f>
        <v>SLD</v>
      </c>
      <c r="BG111" s="49" t="str">
        <f>IF(BG7&lt;=Schedule!$E$21,"PUD","SLD")</f>
        <v>SLD</v>
      </c>
      <c r="BH111" s="49" t="str">
        <f>IF(BH7&lt;=Schedule!$E$21,"PUD","SLD")</f>
        <v>SLD</v>
      </c>
      <c r="BI111" s="49" t="str">
        <f>IF(BI7&lt;=Schedule!$E$21,"PUD","SLD")</f>
        <v>SLD</v>
      </c>
      <c r="BJ111" s="49" t="str">
        <f>IF(BJ7&lt;=Schedule!$E$21,"PUD","SLD")</f>
        <v>SLD</v>
      </c>
      <c r="BK111" s="49" t="str">
        <f>IF(BK7&lt;=Schedule!$E$21,"PUD","SLD")</f>
        <v>SLD</v>
      </c>
      <c r="BL111" s="49" t="str">
        <f>IF(BL7&lt;=Schedule!$E$21,"PUD","SLD")</f>
        <v>SLD</v>
      </c>
      <c r="BM111" s="49" t="str">
        <f>IF(BM7&lt;=Schedule!$E$21,"PUD","SLD")</f>
        <v>SLD</v>
      </c>
      <c r="BN111" s="49" t="str">
        <f>IF(BN7&lt;=Schedule!$E$21,"PUD","SLD")</f>
        <v>SLD</v>
      </c>
      <c r="BO111" s="49" t="str">
        <f>IF(BO7&lt;=Schedule!$E$21,"PUD","SLD")</f>
        <v>SLD</v>
      </c>
      <c r="BP111" s="49" t="str">
        <f>IF(BP7&lt;=Schedule!$E$21,"PUD","SLD")</f>
        <v>SLD</v>
      </c>
      <c r="BQ111" s="49" t="str">
        <f>IF(BQ7&lt;=Schedule!$E$21,"PUD","SLD")</f>
        <v>SLD</v>
      </c>
      <c r="BR111" s="49" t="str">
        <f>IF(BR7&lt;=Schedule!$E$21,"PUD","SLD")</f>
        <v>SLD</v>
      </c>
      <c r="BS111" s="49" t="str">
        <f>IF(BS7&lt;=Schedule!$E$21,"PUD","SLD")</f>
        <v>SLD</v>
      </c>
      <c r="BT111" s="49" t="str">
        <f>IF(BT7&lt;=Schedule!$E$21,"PUD","SLD")</f>
        <v>SLD</v>
      </c>
      <c r="BU111" s="49" t="str">
        <f>IF(BU7&lt;=Schedule!$E$21,"PUD","SLD")</f>
        <v>SLD</v>
      </c>
      <c r="BV111" s="49" t="str">
        <f>IF(BV7&lt;=Schedule!$E$21,"PUD","SLD")</f>
        <v>SLD</v>
      </c>
      <c r="BW111" s="49" t="str">
        <f>IF(BW7&lt;=Schedule!$E$21,"PUD","SLD")</f>
        <v>SLD</v>
      </c>
      <c r="BX111" s="49" t="str">
        <f>IF(BX7&lt;=Schedule!$E$21,"PUD","SLD")</f>
        <v>SLD</v>
      </c>
      <c r="BY111" s="49" t="str">
        <f>IF(BY7&lt;=Schedule!$E$21,"PUD","SLD")</f>
        <v>SLD</v>
      </c>
      <c r="BZ111" s="49" t="str">
        <f>IF(BZ7&lt;=Schedule!$E$21,"PUD","SLD")</f>
        <v>SLD</v>
      </c>
      <c r="CA111" s="49" t="str">
        <f>IF(CA7&lt;=Schedule!$E$21,"PUD","SLD")</f>
        <v>SLD</v>
      </c>
      <c r="CB111" s="49" t="str">
        <f>IF(CB7&lt;=Schedule!$E$21,"PUD","SLD")</f>
        <v>SLD</v>
      </c>
      <c r="CC111" s="49" t="str">
        <f>IF(CC7&lt;=Schedule!$E$21,"PUD","SLD")</f>
        <v>SLD</v>
      </c>
      <c r="CD111" s="49" t="str">
        <f>IF(CD7&lt;=Schedule!$E$21,"PUD","SLD")</f>
        <v>SLD</v>
      </c>
      <c r="CE111" s="49" t="str">
        <f>IF(CE7&lt;=Schedule!$E$21,"PUD","SLD")</f>
        <v>SLD</v>
      </c>
      <c r="CF111" s="49" t="str">
        <f>IF(CF7&lt;=Schedule!$E$21,"PUD","SLD")</f>
        <v>SLD</v>
      </c>
      <c r="CG111" s="49" t="str">
        <f>IF(CG7&lt;=Schedule!$E$21,"PUD","SLD")</f>
        <v>SLD</v>
      </c>
      <c r="CH111" s="49" t="str">
        <f>IF(CH7&lt;=Schedule!$E$21,"PUD","SLD")</f>
        <v>SLD</v>
      </c>
      <c r="CI111" s="49" t="str">
        <f>IF(CI7&lt;=Schedule!$E$21,"PUD","SLD")</f>
        <v>SLD</v>
      </c>
      <c r="CJ111" s="49" t="str">
        <f>IF(CJ7&lt;=Schedule!$E$21,"PUD","SLD")</f>
        <v>SLD</v>
      </c>
      <c r="CK111" s="49" t="str">
        <f>IF(CK7&lt;=Schedule!$E$21,"PUD","SLD")</f>
        <v>SLD</v>
      </c>
      <c r="CL111" s="49" t="str">
        <f>IF(CL7&lt;=Schedule!$E$21,"PUD","SLD")</f>
        <v>SLD</v>
      </c>
      <c r="CM111" s="49" t="str">
        <f>IF(CM7&lt;=Schedule!$E$21,"PUD","SLD")</f>
        <v>SLD</v>
      </c>
      <c r="CN111" s="49" t="str">
        <f>IF(CN7&lt;=Schedule!$E$21,"PUD","SLD")</f>
        <v>SLD</v>
      </c>
      <c r="CO111" s="49" t="str">
        <f>IF(CO7&lt;=Schedule!$E$21,"PUD","SLD")</f>
        <v>SLD</v>
      </c>
      <c r="CP111" s="49" t="str">
        <f>IF(CP7&lt;=Schedule!$E$21,"PUD","SLD")</f>
        <v>SLD</v>
      </c>
      <c r="CQ111" s="49" t="str">
        <f>IF(CQ7&lt;=Schedule!$E$21,"PUD","SLD")</f>
        <v>SLD</v>
      </c>
      <c r="CR111" s="49" t="str">
        <f>IF(CR7&lt;=Schedule!$E$21,"PUD","SLD")</f>
        <v>SLD</v>
      </c>
      <c r="CS111" s="49" t="str">
        <f>IF(CS7&lt;=Schedule!$E$21,"PUD","SLD")</f>
        <v>SLD</v>
      </c>
      <c r="CT111" s="49" t="str">
        <f>IF(CT7&lt;=Schedule!$E$21,"PUD","SLD")</f>
        <v>SLD</v>
      </c>
      <c r="CU111" s="49" t="str">
        <f>IF(CU7&lt;=Schedule!$E$21,"PUD","SLD")</f>
        <v>SLD</v>
      </c>
      <c r="CV111" s="49" t="str">
        <f>IF(CV7&lt;=Schedule!$E$21,"PUD","SLD")</f>
        <v>SLD</v>
      </c>
      <c r="CW111" s="49" t="str">
        <f>IF(CW7&lt;=Schedule!$E$21,"PUD","SLD")</f>
        <v>SLD</v>
      </c>
      <c r="CX111" s="49" t="str">
        <f>IF(CX7&lt;=Schedule!$E$21,"PUD","SLD")</f>
        <v>SLD</v>
      </c>
      <c r="CY111" s="49" t="str">
        <f>IF(CY7&lt;=Schedule!$E$21,"PUD","SLD")</f>
        <v>SLD</v>
      </c>
      <c r="CZ111" s="49" t="str">
        <f>IF(CZ7&lt;=Schedule!$E$21,"PUD","SLD")</f>
        <v>SLD</v>
      </c>
    </row>
    <row r="112" spans="2:104" x14ac:dyDescent="0.35">
      <c r="B112" s="139"/>
      <c r="C112" s="135"/>
      <c r="H112" s="139"/>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134"/>
      <c r="BS112" s="134"/>
      <c r="BT112" s="134"/>
      <c r="BU112" s="134"/>
      <c r="BV112" s="134"/>
      <c r="BW112" s="134"/>
      <c r="BX112" s="134"/>
      <c r="BY112" s="134"/>
      <c r="BZ112" s="134"/>
      <c r="CA112" s="134"/>
      <c r="CB112" s="134"/>
      <c r="CC112" s="134"/>
      <c r="CD112" s="134"/>
      <c r="CE112" s="134"/>
      <c r="CF112" s="134"/>
      <c r="CG112" s="134"/>
      <c r="CH112" s="134"/>
      <c r="CI112" s="134"/>
      <c r="CJ112" s="134"/>
      <c r="CK112" s="134"/>
      <c r="CL112" s="134"/>
      <c r="CM112" s="134"/>
      <c r="CN112" s="134"/>
      <c r="CO112" s="134"/>
      <c r="CP112" s="134"/>
      <c r="CQ112" s="134"/>
      <c r="CR112" s="134"/>
      <c r="CS112" s="134"/>
      <c r="CT112" s="134"/>
      <c r="CU112" s="134"/>
      <c r="CV112" s="134"/>
      <c r="CW112" s="134"/>
      <c r="CX112" s="134"/>
      <c r="CY112" s="134"/>
      <c r="CZ112" s="134"/>
    </row>
    <row r="113" spans="2:104" x14ac:dyDescent="0.35">
      <c r="B113" s="139" t="s">
        <v>173</v>
      </c>
      <c r="C113" s="134"/>
      <c r="H113" s="139"/>
      <c r="I113" s="164">
        <f>IF(I111="PUD",I99,0)</f>
        <v>-6122000</v>
      </c>
      <c r="J113" s="159">
        <f t="shared" ref="J113:AO113" si="129">IF(J111="PUD",I113+J99,0)</f>
        <v>-6487293.621794872</v>
      </c>
      <c r="K113" s="159">
        <f t="shared" si="129"/>
        <v>-6854007.8313675215</v>
      </c>
      <c r="L113" s="159">
        <f t="shared" si="129"/>
        <v>-7222148.1509401714</v>
      </c>
      <c r="M113" s="159">
        <f t="shared" si="129"/>
        <v>-7591720.1260683769</v>
      </c>
      <c r="N113" s="159">
        <f t="shared" si="129"/>
        <v>-7962729.3256410267</v>
      </c>
      <c r="O113" s="159">
        <f t="shared" si="129"/>
        <v>-8335181.3379914537</v>
      </c>
      <c r="P113" s="159">
        <f t="shared" si="129"/>
        <v>-8709081.7747863252</v>
      </c>
      <c r="Q113" s="159">
        <f t="shared" si="129"/>
        <v>-9084436.2671367526</v>
      </c>
      <c r="R113" s="159">
        <f t="shared" si="129"/>
        <v>-9461250.4694871791</v>
      </c>
      <c r="S113" s="159">
        <f t="shared" si="129"/>
        <v>-9839530.0596153848</v>
      </c>
      <c r="T113" s="159">
        <f t="shared" si="129"/>
        <v>-10219280.73863248</v>
      </c>
      <c r="U113" s="159">
        <f t="shared" si="129"/>
        <v>-10600508.227094019</v>
      </c>
      <c r="V113" s="159">
        <f t="shared" si="129"/>
        <v>-10983218.265000002</v>
      </c>
      <c r="W113" s="159">
        <f t="shared" si="129"/>
        <v>-12327073.209325036</v>
      </c>
      <c r="X113" s="159">
        <f t="shared" si="129"/>
        <v>-13786577.36159886</v>
      </c>
      <c r="Y113" s="159">
        <f t="shared" si="129"/>
        <v>-15358203.104541963</v>
      </c>
      <c r="Z113" s="159">
        <f t="shared" si="129"/>
        <v>-17035619.602711942</v>
      </c>
      <c r="AA113" s="159">
        <f t="shared" si="129"/>
        <v>-18809689.923240181</v>
      </c>
      <c r="AB113" s="159">
        <f t="shared" si="129"/>
        <v>-20668595.390737124</v>
      </c>
      <c r="AC113" s="159">
        <f t="shared" si="129"/>
        <v>-22598088.677360415</v>
      </c>
      <c r="AD113" s="159">
        <f t="shared" si="129"/>
        <v>-24581868.569793567</v>
      </c>
      <c r="AE113" s="159">
        <f t="shared" si="129"/>
        <v>-26602060.791402705</v>
      </c>
      <c r="AF113" s="159">
        <f t="shared" si="129"/>
        <v>-28639781.576375067</v>
      </c>
      <c r="AG113" s="159">
        <f t="shared" si="129"/>
        <v>-30675754.570761986</v>
      </c>
      <c r="AH113" s="159">
        <f t="shared" si="129"/>
        <v>-32690947.60875069</v>
      </c>
      <c r="AI113" s="159">
        <f t="shared" si="129"/>
        <v>-34667194.486485094</v>
      </c>
      <c r="AJ113" s="159">
        <f t="shared" si="129"/>
        <v>-36587768.025093146</v>
      </c>
      <c r="AK113" s="159">
        <f t="shared" si="129"/>
        <v>-38437874.4767325</v>
      </c>
      <c r="AL113" s="159">
        <f t="shared" si="129"/>
        <v>-40205045.247124702</v>
      </c>
      <c r="AM113" s="159">
        <f t="shared" si="129"/>
        <v>-41947225.629988432</v>
      </c>
      <c r="AN113" s="159">
        <f t="shared" si="129"/>
        <v>-43589735.415516227</v>
      </c>
      <c r="AO113" s="159">
        <f t="shared" si="129"/>
        <v>-48811475.032732189</v>
      </c>
      <c r="AP113" s="159">
        <f t="shared" ref="AP113:BU113" si="130">IF(AP111="PUD",AO113+AP99,0)</f>
        <v>-48947154.317287743</v>
      </c>
      <c r="AQ113" s="159">
        <f t="shared" si="130"/>
        <v>-49057732.536613137</v>
      </c>
      <c r="AR113" s="159">
        <f t="shared" si="130"/>
        <v>-49143112.075708374</v>
      </c>
      <c r="AS113" s="159">
        <f t="shared" si="130"/>
        <v>-49198886.818112656</v>
      </c>
      <c r="AT113" s="159">
        <f t="shared" si="130"/>
        <v>-49187782.411580436</v>
      </c>
      <c r="AU113" s="159">
        <f t="shared" si="130"/>
        <v>0</v>
      </c>
      <c r="AV113" s="159">
        <f t="shared" si="130"/>
        <v>0</v>
      </c>
      <c r="AW113" s="159">
        <f t="shared" si="130"/>
        <v>0</v>
      </c>
      <c r="AX113" s="159">
        <f t="shared" si="130"/>
        <v>0</v>
      </c>
      <c r="AY113" s="159">
        <f t="shared" si="130"/>
        <v>0</v>
      </c>
      <c r="AZ113" s="159">
        <f t="shared" si="130"/>
        <v>0</v>
      </c>
      <c r="BA113" s="159">
        <f t="shared" si="130"/>
        <v>0</v>
      </c>
      <c r="BB113" s="159">
        <f t="shared" si="130"/>
        <v>0</v>
      </c>
      <c r="BC113" s="159">
        <f t="shared" si="130"/>
        <v>0</v>
      </c>
      <c r="BD113" s="159">
        <f t="shared" si="130"/>
        <v>0</v>
      </c>
      <c r="BE113" s="159">
        <f t="shared" si="130"/>
        <v>0</v>
      </c>
      <c r="BF113" s="159">
        <f t="shared" si="130"/>
        <v>0</v>
      </c>
      <c r="BG113" s="159">
        <f t="shared" si="130"/>
        <v>0</v>
      </c>
      <c r="BH113" s="159">
        <f t="shared" si="130"/>
        <v>0</v>
      </c>
      <c r="BI113" s="159">
        <f t="shared" si="130"/>
        <v>0</v>
      </c>
      <c r="BJ113" s="159">
        <f t="shared" si="130"/>
        <v>0</v>
      </c>
      <c r="BK113" s="159">
        <f t="shared" si="130"/>
        <v>0</v>
      </c>
      <c r="BL113" s="159">
        <f t="shared" si="130"/>
        <v>0</v>
      </c>
      <c r="BM113" s="159">
        <f t="shared" si="130"/>
        <v>0</v>
      </c>
      <c r="BN113" s="159">
        <f t="shared" si="130"/>
        <v>0</v>
      </c>
      <c r="BO113" s="159">
        <f t="shared" si="130"/>
        <v>0</v>
      </c>
      <c r="BP113" s="159">
        <f t="shared" si="130"/>
        <v>0</v>
      </c>
      <c r="BQ113" s="159">
        <f t="shared" si="130"/>
        <v>0</v>
      </c>
      <c r="BR113" s="159">
        <f t="shared" si="130"/>
        <v>0</v>
      </c>
      <c r="BS113" s="159">
        <f t="shared" si="130"/>
        <v>0</v>
      </c>
      <c r="BT113" s="159">
        <f t="shared" si="130"/>
        <v>0</v>
      </c>
      <c r="BU113" s="159">
        <f t="shared" si="130"/>
        <v>0</v>
      </c>
      <c r="BV113" s="159">
        <f t="shared" ref="BV113:CZ113" si="131">IF(BV111="PUD",BU113+BV99,0)</f>
        <v>0</v>
      </c>
      <c r="BW113" s="159">
        <f t="shared" si="131"/>
        <v>0</v>
      </c>
      <c r="BX113" s="159">
        <f t="shared" si="131"/>
        <v>0</v>
      </c>
      <c r="BY113" s="159">
        <f t="shared" si="131"/>
        <v>0</v>
      </c>
      <c r="BZ113" s="159">
        <f t="shared" si="131"/>
        <v>0</v>
      </c>
      <c r="CA113" s="159">
        <f t="shared" si="131"/>
        <v>0</v>
      </c>
      <c r="CB113" s="159">
        <f t="shared" si="131"/>
        <v>0</v>
      </c>
      <c r="CC113" s="159">
        <f t="shared" si="131"/>
        <v>0</v>
      </c>
      <c r="CD113" s="159">
        <f t="shared" si="131"/>
        <v>0</v>
      </c>
      <c r="CE113" s="159">
        <f t="shared" si="131"/>
        <v>0</v>
      </c>
      <c r="CF113" s="159">
        <f t="shared" si="131"/>
        <v>0</v>
      </c>
      <c r="CG113" s="159">
        <f t="shared" si="131"/>
        <v>0</v>
      </c>
      <c r="CH113" s="159">
        <f t="shared" si="131"/>
        <v>0</v>
      </c>
      <c r="CI113" s="159">
        <f t="shared" si="131"/>
        <v>0</v>
      </c>
      <c r="CJ113" s="159">
        <f t="shared" si="131"/>
        <v>0</v>
      </c>
      <c r="CK113" s="159">
        <f t="shared" si="131"/>
        <v>0</v>
      </c>
      <c r="CL113" s="159">
        <f t="shared" si="131"/>
        <v>0</v>
      </c>
      <c r="CM113" s="159">
        <f t="shared" si="131"/>
        <v>0</v>
      </c>
      <c r="CN113" s="159">
        <f t="shared" si="131"/>
        <v>0</v>
      </c>
      <c r="CO113" s="159">
        <f t="shared" si="131"/>
        <v>0</v>
      </c>
      <c r="CP113" s="159">
        <f t="shared" si="131"/>
        <v>0</v>
      </c>
      <c r="CQ113" s="159">
        <f t="shared" si="131"/>
        <v>0</v>
      </c>
      <c r="CR113" s="159">
        <f t="shared" si="131"/>
        <v>0</v>
      </c>
      <c r="CS113" s="159">
        <f t="shared" si="131"/>
        <v>0</v>
      </c>
      <c r="CT113" s="159">
        <f t="shared" si="131"/>
        <v>0</v>
      </c>
      <c r="CU113" s="159">
        <f t="shared" si="131"/>
        <v>0</v>
      </c>
      <c r="CV113" s="159">
        <f t="shared" si="131"/>
        <v>0</v>
      </c>
      <c r="CW113" s="159">
        <f t="shared" si="131"/>
        <v>0</v>
      </c>
      <c r="CX113" s="159">
        <f t="shared" si="131"/>
        <v>0</v>
      </c>
      <c r="CY113" s="159">
        <f t="shared" si="131"/>
        <v>0</v>
      </c>
      <c r="CZ113" s="159">
        <f t="shared" si="131"/>
        <v>0</v>
      </c>
    </row>
    <row r="114" spans="2:104" x14ac:dyDescent="0.35">
      <c r="B114" s="139"/>
      <c r="C114" s="134"/>
      <c r="H114" s="139"/>
      <c r="I114" s="134"/>
    </row>
    <row r="115" spans="2:104" x14ac:dyDescent="0.35">
      <c r="B115" s="139" t="s">
        <v>174</v>
      </c>
      <c r="C115" s="134"/>
      <c r="D115" s="39">
        <f>C105*(1-D108)-E115</f>
        <v>11102.999999998137</v>
      </c>
      <c r="E115" s="371">
        <v>-5000000</v>
      </c>
      <c r="H115" s="139"/>
      <c r="I115" s="164">
        <f>IF(AND(I111="PUD",I113&lt;$E$115),I113-$E$115,0)</f>
        <v>-1122000</v>
      </c>
      <c r="J115" s="159">
        <f>IF(AND(J111="PUD",J113&lt;$E$115),J113-$E$115-SUM($I$115:I115),0)</f>
        <v>-365293.62179487199</v>
      </c>
      <c r="K115" s="159">
        <f>IF(AND(K111="PUD",K113&lt;$E$115),K113-$E$115-SUM($I$115:J115),0)</f>
        <v>-366714.20957264956</v>
      </c>
      <c r="L115" s="159">
        <f>IF(AND(L111="PUD",L113&lt;$E$115),L113-$E$115-SUM($I$115:K115),0)</f>
        <v>-368140.3195726499</v>
      </c>
      <c r="M115" s="159">
        <f>IF(AND(M111="PUD",M113&lt;$E$115),M113-$E$115-SUM($I$115:L115),0)</f>
        <v>-369571.97512820549</v>
      </c>
      <c r="N115" s="159">
        <f>IF(AND(N111="PUD",N113&lt;$E$115),N113-$E$115-SUM($I$115:M115),0)</f>
        <v>-371009.19957264978</v>
      </c>
      <c r="O115" s="159">
        <f>IF(AND(O111="PUD",O113&lt;$E$115),O113-$E$115-SUM($I$115:N115),0)</f>
        <v>-372452.01235042699</v>
      </c>
      <c r="P115" s="159">
        <f>IF(AND(P111="PUD",P113&lt;$E$115),P113-$E$115-SUM($I$115:O115),0)</f>
        <v>-373900.43679487146</v>
      </c>
      <c r="Q115" s="159">
        <f>IF(AND(Q111="PUD",Q113&lt;$E$115),Q113-$E$115-SUM($I$115:P115),0)</f>
        <v>-375354.49235042743</v>
      </c>
      <c r="R115" s="159">
        <f>IF(AND(R111="PUD",R113&lt;$E$115),R113-$E$115-SUM($I$115:Q115),0)</f>
        <v>-376814.20235042647</v>
      </c>
      <c r="S115" s="159">
        <f>IF(AND(S111="PUD",S113&lt;$E$115),S113-$E$115-SUM($I$115:R115),0)</f>
        <v>-378279.59012820572</v>
      </c>
      <c r="T115" s="159">
        <f>IF(AND(T111="PUD",T113&lt;$E$115),T113-$E$115-SUM($I$115:S115),0)</f>
        <v>-379750.6790170949</v>
      </c>
      <c r="U115" s="159">
        <f>IF(AND(U111="PUD",U113&lt;$E$115),U113-$E$115-SUM($I$115:T115),0)</f>
        <v>-381227.48846153915</v>
      </c>
      <c r="V115" s="159">
        <f>IF(AND(V111="PUD",V113&lt;$E$115),V113-$E$115-SUM($I$115:U115),0)</f>
        <v>-382710.03790598363</v>
      </c>
      <c r="W115" s="159">
        <f>IF(AND(W111="PUD",W113&lt;$E$115),W113-$E$115-SUM($I$115:V115),0)</f>
        <v>-1343854.9443250336</v>
      </c>
      <c r="X115" s="159">
        <f>IF(AND(X111="PUD",X113&lt;$E$115),X113-$E$115-SUM($I$115:W115),0)</f>
        <v>-1459504.1522738244</v>
      </c>
      <c r="Y115" s="159">
        <f>IF(AND(Y111="PUD",Y113&lt;$E$115),Y113-$E$115-SUM($I$115:X115),0)</f>
        <v>-1571625.7429431025</v>
      </c>
      <c r="Z115" s="159">
        <f>IF(AND(Z111="PUD",Z113&lt;$E$115),Z113-$E$115-SUM($I$115:Y115),0)</f>
        <v>-1677416.4981699791</v>
      </c>
      <c r="AA115" s="159">
        <f>IF(AND(AA111="PUD",AA113&lt;$E$115),AA113-$E$115-SUM($I$115:Z115),0)</f>
        <v>-1774070.320528239</v>
      </c>
      <c r="AB115" s="159">
        <f>IF(AND(AB111="PUD",AB113&lt;$E$115),AB113-$E$115-SUM($I$115:AA115),0)</f>
        <v>-1858905.4674969427</v>
      </c>
      <c r="AC115" s="159">
        <f>IF(AND(AC111="PUD",AC113&lt;$E$115),AC113-$E$115-SUM($I$115:AB115),0)</f>
        <v>-1929493.2866232917</v>
      </c>
      <c r="AD115" s="159">
        <f>IF(AND(AD111="PUD",AD113&lt;$E$115),AD113-$E$115-SUM($I$115:AC115),0)</f>
        <v>-1983779.8924331516</v>
      </c>
      <c r="AE115" s="159">
        <f>IF(AND(AE111="PUD",AE113&lt;$E$115),AE113-$E$115-SUM($I$115:AD115),0)</f>
        <v>-2020192.221609138</v>
      </c>
      <c r="AF115" s="159">
        <f>IF(AND(AF111="PUD",AF113&lt;$E$115),AF113-$E$115-SUM($I$115:AE115),0)</f>
        <v>-2037720.7849723622</v>
      </c>
      <c r="AG115" s="159">
        <f>IF(AND(AG111="PUD",AG113&lt;$E$115),AG113-$E$115-SUM($I$115:AF115),0)</f>
        <v>-2035972.9943869188</v>
      </c>
      <c r="AH115" s="159">
        <f>IF(AND(AH111="PUD",AH113&lt;$E$115),AH113-$E$115-SUM($I$115:AG115),0)</f>
        <v>-2015193.0379887037</v>
      </c>
      <c r="AI115" s="159">
        <f>IF(AND(AI111="PUD",AI113&lt;$E$115),AI113-$E$115-SUM($I$115:AH115),0)</f>
        <v>-1976246.8777344041</v>
      </c>
      <c r="AJ115" s="159">
        <f>IF(AND(AJ111="PUD",AJ113&lt;$E$115),AJ113-$E$115-SUM($I$115:AI115),0)</f>
        <v>-1920573.5386080518</v>
      </c>
      <c r="AK115" s="159">
        <f>IF(AND(AK111="PUD",AK113&lt;$E$115),AK113-$E$115-SUM($I$115:AJ115),0)</f>
        <v>-1850106.4516393542</v>
      </c>
      <c r="AL115" s="159">
        <f>IF(AND(AL111="PUD",AL113&lt;$E$115),AL113-$E$115-SUM($I$115:AK115),0)</f>
        <v>-1767170.7703922018</v>
      </c>
      <c r="AM115" s="159">
        <f>IF(AND(AM111="PUD",AM113&lt;$E$115),AM113-$E$115-SUM($I$115:AL115),0)</f>
        <v>-1742180.3828637302</v>
      </c>
      <c r="AN115" s="159">
        <f>IF(AND(AN111="PUD",AN113&lt;$E$115),AN113-$E$115-SUM($I$115:AM115),0)</f>
        <v>-1642509.7855277956</v>
      </c>
      <c r="AO115" s="159">
        <f>IF(AND(AO111="PUD",AO113&lt;$E$115),AO113-$E$115-SUM($I$115:AN115),0)</f>
        <v>-5221739.6172159612</v>
      </c>
      <c r="AP115" s="159">
        <f>IF(AND(AP111="PUD",AP113&lt;$E$115),AP113-$E$115-SUM($I$115:AO115),0)</f>
        <v>-135679.28455555439</v>
      </c>
      <c r="AQ115" s="159">
        <f>IF(AND(AQ111="PUD",AQ113&lt;$E$115),AQ113-$E$115-SUM($I$115:AP115),0)</f>
        <v>-110578.21932539344</v>
      </c>
      <c r="AR115" s="159">
        <f>IF(AND(AR111="PUD",AR113&lt;$E$115),AR113-$E$115-SUM($I$115:AQ115),0)</f>
        <v>-85379.539095237851</v>
      </c>
      <c r="AS115" s="159">
        <f>IF(AND(AS111="PUD",AS113&lt;$E$115),AS113-$E$115-SUM($I$115:AR115),0)</f>
        <v>-55774.742404282093</v>
      </c>
      <c r="AT115" s="159">
        <f>IF(AND(AT111="PUD",AT113&lt;$E$115),AT113-$E$115-SUM($I$115:AS115),0)</f>
        <v>11104.406532220542</v>
      </c>
      <c r="AU115" s="159">
        <f>IF(AND(AU111="PUD",AU113&lt;$E$115),AU113-$E$115-SUM($I$115:AT115),0)</f>
        <v>0</v>
      </c>
      <c r="AV115" s="159">
        <f>IF(AND(AV111="PUD",AV113&lt;$E$115),AV113-$E$115-SUM($I$115:AU115),0)</f>
        <v>0</v>
      </c>
      <c r="AW115" s="159">
        <f>IF(AND(AW111="PUD",AW113&lt;$E$115),AW113-$E$115-SUM($I$115:AV115),0)</f>
        <v>0</v>
      </c>
      <c r="AX115" s="159">
        <f>IF(AND(AX111="PUD",AX113&lt;$E$115),AX113-$E$115-SUM($I$115:AW115),0)</f>
        <v>0</v>
      </c>
      <c r="AY115" s="159">
        <f>IF(AND(AY111="PUD",AY113&lt;$E$115),AY113-$E$115-SUM($I$115:AX115),0)</f>
        <v>0</v>
      </c>
      <c r="AZ115" s="159">
        <f>IF(AND(AZ111="PUD",AZ113&lt;$E$115),AZ113-$E$115-SUM($I$115:AY115),0)</f>
        <v>0</v>
      </c>
      <c r="BA115" s="159">
        <f>IF(AND(BA111="PUD",BA113&lt;$E$115),BA113-$E$115-SUM($I$115:AZ115),0)</f>
        <v>0</v>
      </c>
      <c r="BB115" s="159">
        <f>IF(AND(BB111="PUD",BB113&lt;$E$115),BB113-$E$115-SUM($I$115:BA115),0)</f>
        <v>0</v>
      </c>
      <c r="BC115" s="159">
        <f>IF(AND(BC111="PUD",BC113&lt;$E$115),BC113-$E$115-SUM($I$115:BB115),0)</f>
        <v>0</v>
      </c>
      <c r="BD115" s="159">
        <f>IF(AND(BD111="PUD",BD113&lt;$E$115),BD113-$E$115-SUM($I$115:BC115),0)</f>
        <v>0</v>
      </c>
      <c r="BE115" s="159">
        <f>IF(AND(BE111="PUD",BE113&lt;$E$115),BE113-$E$115-SUM($I$115:BD115),0)</f>
        <v>0</v>
      </c>
      <c r="BF115" s="159">
        <f>IF(AND(BF111="PUD",BF113&lt;$E$115),BF113-$E$115-SUM($I$115:BE115),0)</f>
        <v>0</v>
      </c>
      <c r="BG115" s="159">
        <f>IF(AND(BG111="PUD",BG113&lt;$E$115),BG113-$E$115-SUM($I$115:BF115),0)</f>
        <v>0</v>
      </c>
      <c r="BH115" s="159">
        <f>IF(AND(BH111="PUD",BH113&lt;$E$115),BH113-$E$115-SUM($I$115:BG115),0)</f>
        <v>0</v>
      </c>
      <c r="BI115" s="159">
        <f>IF(AND(BI111="PUD",BI113&lt;$E$115),BI113-$E$115-SUM($I$115:BH115),0)</f>
        <v>0</v>
      </c>
      <c r="BJ115" s="159">
        <f>IF(AND(BJ111="PUD",BJ113&lt;$E$115),BJ113-$E$115-SUM($I$115:BI115),0)</f>
        <v>0</v>
      </c>
      <c r="BK115" s="159">
        <f>IF(AND(BK111="PUD",BK113&lt;$E$115),BK113-$E$115-SUM($I$115:BJ115),0)</f>
        <v>0</v>
      </c>
      <c r="BL115" s="159">
        <f>IF(AND(BL111="PUD",BL113&lt;$E$115),BL113-$E$115-SUM($I$115:BK115),0)</f>
        <v>0</v>
      </c>
      <c r="BM115" s="159">
        <f>IF(AND(BM111="PUD",BM113&lt;$E$115),BM113-$E$115-SUM($I$115:BL115),0)</f>
        <v>0</v>
      </c>
      <c r="BN115" s="159">
        <f>IF(AND(BN111="PUD",BN113&lt;$E$115),BN113-$E$115-SUM($I$115:BM115),0)</f>
        <v>0</v>
      </c>
      <c r="BO115" s="159">
        <f>IF(AND(BO111="PUD",BO113&lt;$E$115),BO113-$E$115-SUM($I$115:BN115),0)</f>
        <v>0</v>
      </c>
      <c r="BP115" s="159">
        <f>IF(AND(BP111="PUD",BP113&lt;$E$115),BP113-$E$115-SUM($I$115:BO115),0)</f>
        <v>0</v>
      </c>
      <c r="BQ115" s="159">
        <f>IF(AND(BQ111="PUD",BQ113&lt;$E$115),BQ113-$E$115-SUM($I$115:BP115),0)</f>
        <v>0</v>
      </c>
      <c r="BR115" s="159">
        <f>IF(AND(BR111="PUD",BR113&lt;$E$115),BR113-$E$115-SUM($I$115:BQ115),0)</f>
        <v>0</v>
      </c>
      <c r="BS115" s="159">
        <f>IF(AND(BS111="PUD",BS113&lt;$E$115),BS113-$E$115-SUM($I$115:BR115),0)</f>
        <v>0</v>
      </c>
      <c r="BT115" s="159">
        <f>IF(AND(BT111="PUD",BT113&lt;$E$115),BT113-$E$115-SUM($I$115:BS115),0)</f>
        <v>0</v>
      </c>
      <c r="BU115" s="159">
        <f>IF(AND(BU111="PUD",BU113&lt;$E$115),BU113-$E$115-SUM($I$115:BT115),0)</f>
        <v>0</v>
      </c>
      <c r="BV115" s="159">
        <f>IF(AND(BV111="PUD",BV113&lt;$E$115),BV113-$E$115-SUM($I$115:BU115),0)</f>
        <v>0</v>
      </c>
      <c r="BW115" s="159">
        <f>IF(AND(BW111="PUD",BW113&lt;$E$115),BW113-$E$115-SUM($I$115:BV115),0)</f>
        <v>0</v>
      </c>
      <c r="BX115" s="159">
        <f>IF(AND(BX111="PUD",BX113&lt;$E$115),BX113-$E$115-SUM($I$115:BW115),0)</f>
        <v>0</v>
      </c>
      <c r="BY115" s="159">
        <f>IF(AND(BY111="PUD",BY113&lt;$E$115),BY113-$E$115-SUM($I$115:BX115),0)</f>
        <v>0</v>
      </c>
      <c r="BZ115" s="159">
        <f>IF(AND(BZ111="PUD",BZ113&lt;$E$115),BZ113-$E$115-SUM($I$115:BY115),0)</f>
        <v>0</v>
      </c>
      <c r="CA115" s="159">
        <f>IF(AND(CA111="PUD",CA113&lt;$E$115),CA113-$E$115-SUM($I$115:BZ115),0)</f>
        <v>0</v>
      </c>
      <c r="CB115" s="159">
        <f>IF(AND(CB111="PUD",CB113&lt;$E$115),CB113-$E$115-SUM($I$115:CA115),0)</f>
        <v>0</v>
      </c>
      <c r="CC115" s="159">
        <f>IF(AND(CC111="PUD",CC113&lt;$E$115),CC113-$E$115-SUM($I$115:CB115),0)</f>
        <v>0</v>
      </c>
      <c r="CD115" s="159">
        <f>IF(AND(CD111="PUD",CD113&lt;$E$115),CD113-$E$115-SUM($I$115:CC115),0)</f>
        <v>0</v>
      </c>
      <c r="CE115" s="159">
        <f>IF(AND(CE111="PUD",CE113&lt;$E$115),CE113-$E$115-SUM($I$115:CD115),0)</f>
        <v>0</v>
      </c>
      <c r="CF115" s="159">
        <f>IF(AND(CF111="PUD",CF113&lt;$E$115),CF113-$E$115-SUM($I$115:CE115),0)</f>
        <v>0</v>
      </c>
      <c r="CG115" s="159">
        <f>IF(AND(CG111="PUD",CG113&lt;$E$115),CG113-$E$115-SUM($I$115:CF115),0)</f>
        <v>0</v>
      </c>
      <c r="CH115" s="159">
        <f>IF(AND(CH111="PUD",CH113&lt;$E$115),CH113-$E$115-SUM($I$115:CG115),0)</f>
        <v>0</v>
      </c>
      <c r="CI115" s="159">
        <f>IF(AND(CI111="PUD",CI113&lt;$E$115),CI113-$E$115-SUM($I$115:CH115),0)</f>
        <v>0</v>
      </c>
      <c r="CJ115" s="159">
        <f>IF(AND(CJ111="PUD",CJ113&lt;$E$115),CJ113-$E$115-SUM($I$115:CI115),0)</f>
        <v>0</v>
      </c>
      <c r="CK115" s="159">
        <f>IF(AND(CK111="PUD",CK113&lt;$E$115),CK113-$E$115-SUM($I$115:CJ115),0)</f>
        <v>0</v>
      </c>
      <c r="CL115" s="159">
        <f>IF(AND(CL111="PUD",CL113&lt;$E$115),CL113-$E$115-SUM($I$115:CK115),0)</f>
        <v>0</v>
      </c>
      <c r="CM115" s="159">
        <f>IF(AND(CM111="PUD",CM113&lt;$E$115),CM113-$E$115-SUM($I$115:CL115),0)</f>
        <v>0</v>
      </c>
      <c r="CN115" s="159">
        <f>IF(AND(CN111="PUD",CN113&lt;$E$115),CN113-$E$115-SUM($I$115:CM115),0)</f>
        <v>0</v>
      </c>
      <c r="CO115" s="159">
        <f>IF(AND(CO111="PUD",CO113&lt;$E$115),CO113-$E$115-SUM($I$115:CN115),0)</f>
        <v>0</v>
      </c>
      <c r="CP115" s="159">
        <f>IF(AND(CP111="PUD",CP113&lt;$E$115),CP113-$E$115-SUM($I$115:CO115),0)</f>
        <v>0</v>
      </c>
      <c r="CQ115" s="159">
        <f>IF(AND(CQ111="PUD",CQ113&lt;$E$115),CQ113-$E$115-SUM($I$115:CP115),0)</f>
        <v>0</v>
      </c>
      <c r="CR115" s="159">
        <f>IF(AND(CR111="PUD",CR113&lt;$E$115),CR113-$E$115-SUM($I$115:CQ115),0)</f>
        <v>0</v>
      </c>
      <c r="CS115" s="159">
        <f>IF(AND(CS111="PUD",CS113&lt;$E$115),CS113-$E$115-SUM($I$115:CR115),0)</f>
        <v>0</v>
      </c>
      <c r="CT115" s="159">
        <f>IF(AND(CT111="PUD",CT113&lt;$E$115),CT113-$E$115-SUM($I$115:CS115),0)</f>
        <v>0</v>
      </c>
      <c r="CU115" s="159">
        <f>IF(AND(CU111="PUD",CU113&lt;$E$115),CU113-$E$115-SUM($I$115:CT115),0)</f>
        <v>0</v>
      </c>
      <c r="CV115" s="159">
        <f>IF(AND(CV111="PUD",CV113&lt;$E$115),CV113-$E$115-SUM($I$115:CU115),0)</f>
        <v>0</v>
      </c>
      <c r="CW115" s="159">
        <f>IF(AND(CW111="PUD",CW113&lt;$E$115),CW113-$E$115-SUM($I$115:CV115),0)</f>
        <v>0</v>
      </c>
      <c r="CX115" s="159">
        <f>IF(AND(CX111="PUD",CX113&lt;$E$115),CX113-$E$115-SUM($I$115:CW115),0)</f>
        <v>0</v>
      </c>
      <c r="CY115" s="159">
        <f>IF(AND(CY111="PUD",CY113&lt;$E$115),CY113-$E$115-SUM($I$115:CX115),0)</f>
        <v>0</v>
      </c>
      <c r="CZ115" s="159">
        <f>IF(AND(CZ111="PUD",CZ113&lt;$E$115),CZ113-$E$115-SUM($I$115:CY115),0)</f>
        <v>0</v>
      </c>
    </row>
    <row r="116" spans="2:104" x14ac:dyDescent="0.35">
      <c r="B116" s="134"/>
      <c r="C116" s="134"/>
      <c r="H116" s="139"/>
      <c r="I116" s="134"/>
    </row>
    <row r="117" spans="2:104" x14ac:dyDescent="0.35">
      <c r="D117" s="298" t="s">
        <v>236</v>
      </c>
    </row>
    <row r="119" spans="2:104" x14ac:dyDescent="0.35">
      <c r="C119" s="35"/>
    </row>
    <row r="123" spans="2:104" x14ac:dyDescent="0.35">
      <c r="D123" s="320"/>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9 D105 J94:CZ94"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176213</xdr:colOff>
                    <xdr:row>34</xdr:row>
                    <xdr:rowOff>0</xdr:rowOff>
                  </from>
                  <to>
                    <xdr:col>1</xdr:col>
                    <xdr:colOff>1547813</xdr:colOff>
                    <xdr:row>35</xdr:row>
                    <xdr:rowOff>23813</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142875</xdr:colOff>
                    <xdr:row>38</xdr:row>
                    <xdr:rowOff>23813</xdr:rowOff>
                  </from>
                  <to>
                    <xdr:col>1</xdr:col>
                    <xdr:colOff>1552575</xdr:colOff>
                    <xdr:row>39</xdr:row>
                    <xdr:rowOff>23813</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S197"/>
  <sheetViews>
    <sheetView showGridLines="0" topLeftCell="A52" zoomScale="120" zoomScaleNormal="120" zoomScaleSheetLayoutView="115" workbookViewId="0">
      <selection activeCell="B64" sqref="B64"/>
    </sheetView>
  </sheetViews>
  <sheetFormatPr defaultRowHeight="14.25" outlineLevelRow="1" x14ac:dyDescent="0.45"/>
  <cols>
    <col min="1" max="1" width="7.1328125" customWidth="1"/>
    <col min="2" max="2" width="9.86328125" customWidth="1"/>
    <col min="3" max="7" width="9.53125" customWidth="1"/>
    <col min="8" max="8" width="10.46484375" customWidth="1"/>
    <col min="9" max="12" width="10.86328125" bestFit="1" customWidth="1"/>
    <col min="13" max="13" width="8.86328125" customWidth="1"/>
  </cols>
  <sheetData>
    <row r="1" spans="1:19" s="181" customFormat="1" ht="10.35" customHeight="1" x14ac:dyDescent="0.35">
      <c r="M1" s="63" t="str">
        <f>"Currently running: "&amp;CHOOSE(Sensitivity!$E$8,Sensitivity!$B$11,Sensitivity!$B$12,Sensitivity!$B$13)</f>
        <v>Currently running: Base Case</v>
      </c>
    </row>
    <row r="2" spans="1:19" s="181" customFormat="1" ht="10.35" customHeight="1" x14ac:dyDescent="0.35">
      <c r="A2" s="540" t="str">
        <f>Cover!A10</f>
        <v xml:space="preserve">Apartment Development Model 
</v>
      </c>
      <c r="B2" s="540"/>
      <c r="C2" s="540"/>
      <c r="D2" s="540"/>
      <c r="E2" s="540"/>
      <c r="F2" s="540"/>
      <c r="G2" s="540"/>
      <c r="H2" s="540"/>
      <c r="I2" s="540"/>
      <c r="J2" s="540"/>
      <c r="K2" s="540"/>
      <c r="L2" s="540"/>
      <c r="M2" s="540"/>
    </row>
    <row r="3" spans="1:19" s="181" customFormat="1" ht="10.35" customHeight="1" x14ac:dyDescent="0.35">
      <c r="A3" s="540" t="str">
        <f>Cover!A12</f>
        <v>Suburban / Urban Location</v>
      </c>
      <c r="B3" s="540"/>
      <c r="C3" s="540"/>
      <c r="D3" s="540"/>
      <c r="E3" s="540"/>
      <c r="F3" s="540"/>
      <c r="G3" s="540"/>
      <c r="H3" s="540"/>
      <c r="I3" s="540"/>
      <c r="J3" s="540"/>
      <c r="K3" s="540"/>
      <c r="L3" s="540"/>
      <c r="M3" s="540"/>
    </row>
    <row r="4" spans="1:19" s="181" customFormat="1" ht="10.35" customHeight="1" x14ac:dyDescent="0.35">
      <c r="A4" s="541" t="s">
        <v>224</v>
      </c>
      <c r="B4" s="541"/>
      <c r="C4" s="541"/>
      <c r="D4" s="541"/>
      <c r="E4" s="541"/>
      <c r="F4" s="541"/>
      <c r="G4" s="541"/>
      <c r="H4" s="541"/>
      <c r="I4" s="541"/>
      <c r="J4" s="541"/>
      <c r="K4" s="541"/>
      <c r="L4" s="541"/>
      <c r="M4" s="541"/>
    </row>
    <row r="5" spans="1:19" ht="3.6" customHeight="1" thickBot="1" x14ac:dyDescent="0.5">
      <c r="A5" s="1"/>
      <c r="B5" s="1"/>
      <c r="C5" s="1"/>
      <c r="D5" s="1"/>
      <c r="E5" s="1"/>
      <c r="F5" s="1"/>
      <c r="G5" s="1"/>
      <c r="H5" s="1"/>
      <c r="I5" s="1"/>
      <c r="J5" s="1"/>
      <c r="K5" s="1"/>
      <c r="L5" s="1"/>
      <c r="M5" s="1"/>
    </row>
    <row r="6" spans="1:19" ht="4.3499999999999996" customHeight="1" x14ac:dyDescent="0.45"/>
    <row r="7" spans="1:19" ht="36.6" customHeight="1" x14ac:dyDescent="0.45"/>
    <row r="8" spans="1:19" s="181" customFormat="1" ht="10.5" x14ac:dyDescent="0.35">
      <c r="A8" s="247"/>
      <c r="B8" s="255" t="s">
        <v>351</v>
      </c>
      <c r="C8" s="248"/>
      <c r="D8" s="248"/>
      <c r="E8" s="248"/>
      <c r="F8" s="248"/>
      <c r="G8" s="248"/>
      <c r="H8" s="255"/>
      <c r="I8" s="248"/>
      <c r="J8" s="248"/>
      <c r="K8" s="248"/>
      <c r="L8" s="248"/>
      <c r="M8" s="248"/>
    </row>
    <row r="9" spans="1:19" s="181" customFormat="1" ht="10.5" x14ac:dyDescent="0.35">
      <c r="B9" s="181" t="s">
        <v>200</v>
      </c>
      <c r="E9" s="306">
        <v>0.02</v>
      </c>
      <c r="H9" s="181" t="s">
        <v>222</v>
      </c>
      <c r="K9" s="250">
        <f>'Operating Revenue and Expenses'!I52</f>
        <v>2195867.5117199998</v>
      </c>
      <c r="O9" s="254"/>
    </row>
    <row r="10" spans="1:19" s="181" customFormat="1" ht="10.5" x14ac:dyDescent="0.35">
      <c r="B10" s="181" t="s">
        <v>201</v>
      </c>
      <c r="E10" s="306">
        <v>0.02</v>
      </c>
      <c r="H10" s="181" t="s">
        <v>19</v>
      </c>
      <c r="K10" s="322">
        <f>'Operating Revenue and Expenses'!E51</f>
        <v>0.04</v>
      </c>
    </row>
    <row r="11" spans="1:19" s="181" customFormat="1" ht="10.5" x14ac:dyDescent="0.35">
      <c r="B11" s="181" t="s">
        <v>116</v>
      </c>
      <c r="E11" s="306">
        <v>0.01</v>
      </c>
      <c r="H11" s="181" t="s">
        <v>23</v>
      </c>
      <c r="K11" s="251">
        <f>K9/K10</f>
        <v>54896687.792999998</v>
      </c>
    </row>
    <row r="12" spans="1:19" s="181" customFormat="1" ht="10.5" x14ac:dyDescent="0.35">
      <c r="B12" s="181" t="s">
        <v>235</v>
      </c>
      <c r="E12" s="297">
        <v>1.1000000000000001</v>
      </c>
      <c r="H12" s="181" t="s">
        <v>241</v>
      </c>
      <c r="K12" s="251">
        <f>MIN(E13*K11,-PV(E14,E15,K9/E12))</f>
        <v>34760877.53823591</v>
      </c>
    </row>
    <row r="13" spans="1:19" s="181" customFormat="1" ht="10.5" x14ac:dyDescent="0.35">
      <c r="B13" s="181" t="s">
        <v>18</v>
      </c>
      <c r="E13" s="249">
        <v>0.75</v>
      </c>
      <c r="H13" s="181" t="s">
        <v>239</v>
      </c>
      <c r="K13" s="181">
        <v>1</v>
      </c>
      <c r="S13" s="181" t="s">
        <v>240</v>
      </c>
    </row>
    <row r="14" spans="1:19" s="181" customFormat="1" ht="10.5" x14ac:dyDescent="0.35">
      <c r="B14" s="181" t="s">
        <v>198</v>
      </c>
      <c r="E14" s="308">
        <v>0.03</v>
      </c>
      <c r="H14" s="181" t="s">
        <v>223</v>
      </c>
      <c r="K14" s="251">
        <f>IF(K13=1,K12,MIN(K12,'Development Cash Flow'!E100))</f>
        <v>34760877.53823591</v>
      </c>
      <c r="S14" s="181" t="s">
        <v>238</v>
      </c>
    </row>
    <row r="15" spans="1:19" s="181" customFormat="1" ht="10.5" x14ac:dyDescent="0.35">
      <c r="B15" s="181" t="s">
        <v>17</v>
      </c>
      <c r="E15" s="252">
        <v>25</v>
      </c>
      <c r="H15" s="181" t="s">
        <v>237</v>
      </c>
      <c r="K15" s="251">
        <f>'Development Costs'!H89-'10-Yr Cash Flow IRR'!K14</f>
        <v>14426904.873344541</v>
      </c>
      <c r="L15" s="295">
        <f>K14/K11</f>
        <v>0.63320537059192761</v>
      </c>
      <c r="M15" s="256" t="s">
        <v>232</v>
      </c>
    </row>
    <row r="16" spans="1:19" s="181" customFormat="1" ht="10.5" x14ac:dyDescent="0.35">
      <c r="B16" s="181" t="s">
        <v>356</v>
      </c>
      <c r="E16" s="435">
        <f>+'Development Cash Flow'!D108</f>
        <v>0.89857446713088218</v>
      </c>
      <c r="H16" s="181" t="s">
        <v>20</v>
      </c>
      <c r="K16" s="253">
        <f>-PMT(E14/12,E15*12,K14)*12</f>
        <v>1978080.1689903033</v>
      </c>
      <c r="L16" s="299">
        <f>K9/K16</f>
        <v>1.1101003620297476</v>
      </c>
      <c r="M16" s="256" t="s">
        <v>234</v>
      </c>
    </row>
    <row r="17" spans="1:14" s="181" customFormat="1" ht="4.3499999999999996" customHeight="1" x14ac:dyDescent="0.35">
      <c r="A17" s="258"/>
      <c r="B17" s="258"/>
      <c r="C17" s="258"/>
      <c r="D17" s="258"/>
      <c r="E17" s="258"/>
      <c r="F17" s="258"/>
      <c r="G17" s="258"/>
      <c r="H17" s="258"/>
      <c r="I17" s="258"/>
      <c r="J17" s="258"/>
      <c r="K17" s="258"/>
      <c r="L17" s="258"/>
      <c r="M17" s="258"/>
    </row>
    <row r="18" spans="1:14" s="181" customFormat="1" ht="4.3499999999999996" customHeight="1" x14ac:dyDescent="0.35">
      <c r="A18" s="184"/>
      <c r="B18" s="184"/>
      <c r="C18" s="184"/>
      <c r="D18" s="184"/>
      <c r="E18" s="184"/>
      <c r="F18" s="184"/>
      <c r="G18" s="184"/>
      <c r="H18" s="184"/>
      <c r="I18" s="184"/>
      <c r="J18" s="184"/>
      <c r="K18" s="184"/>
      <c r="L18" s="184"/>
      <c r="M18" s="184"/>
    </row>
    <row r="19" spans="1:14" s="181" customFormat="1" ht="10.5" x14ac:dyDescent="0.35">
      <c r="A19" s="270"/>
      <c r="B19" s="255" t="s">
        <v>229</v>
      </c>
      <c r="C19" s="271">
        <v>1</v>
      </c>
      <c r="D19" s="271">
        <v>2</v>
      </c>
      <c r="E19" s="271">
        <v>3</v>
      </c>
      <c r="F19" s="271">
        <v>4</v>
      </c>
      <c r="G19" s="271">
        <v>5</v>
      </c>
      <c r="H19" s="271">
        <v>6</v>
      </c>
      <c r="I19" s="271">
        <v>7</v>
      </c>
      <c r="J19" s="271">
        <v>8</v>
      </c>
      <c r="K19" s="271">
        <v>9</v>
      </c>
      <c r="L19" s="271">
        <v>10</v>
      </c>
      <c r="M19" s="290"/>
      <c r="N19" s="182"/>
    </row>
    <row r="20" spans="1:14" s="181" customFormat="1" ht="10.5" x14ac:dyDescent="0.35">
      <c r="A20" s="287"/>
      <c r="B20" s="287"/>
      <c r="C20" s="288">
        <f>YEAR(Schedule!D8)</f>
        <v>2022</v>
      </c>
      <c r="D20" s="288">
        <f>C20+1</f>
        <v>2023</v>
      </c>
      <c r="E20" s="288">
        <f t="shared" ref="E20:L20" si="0">D20+1</f>
        <v>2024</v>
      </c>
      <c r="F20" s="288">
        <f t="shared" si="0"/>
        <v>2025</v>
      </c>
      <c r="G20" s="288">
        <f t="shared" si="0"/>
        <v>2026</v>
      </c>
      <c r="H20" s="288">
        <f t="shared" si="0"/>
        <v>2027</v>
      </c>
      <c r="I20" s="288">
        <f t="shared" si="0"/>
        <v>2028</v>
      </c>
      <c r="J20" s="288">
        <f t="shared" si="0"/>
        <v>2029</v>
      </c>
      <c r="K20" s="288">
        <f t="shared" si="0"/>
        <v>2030</v>
      </c>
      <c r="L20" s="288">
        <f t="shared" si="0"/>
        <v>2031</v>
      </c>
      <c r="M20" s="291"/>
      <c r="N20" s="182"/>
    </row>
    <row r="21" spans="1:14" s="256" customFormat="1" ht="12" customHeight="1" x14ac:dyDescent="0.35">
      <c r="A21" s="264" t="s">
        <v>209</v>
      </c>
      <c r="B21" s="264"/>
      <c r="C21" s="289">
        <f>IF(C$20&lt;YEAR(Schedule!$E$21),0,IF(C$20=YEAR(Schedule!$E$21),12-MONTH(Schedule!$E$21),12))</f>
        <v>0</v>
      </c>
      <c r="D21" s="289">
        <f>IF(D$20&lt;YEAR(Schedule!$E$21),0,IF(D$20=YEAR(Schedule!$E$21),12-MONTH(Schedule!$E$21),12))</f>
        <v>0</v>
      </c>
      <c r="E21" s="289">
        <f>IF(E$20&lt;YEAR(Schedule!$E$21),0,IF(E$20=YEAR(Schedule!$E$21),12-MONTH(Schedule!$E$21),12))</f>
        <v>0</v>
      </c>
      <c r="F21" s="289">
        <f>IF(F$20&lt;YEAR(Schedule!$E$21),0,IF(F$20=YEAR(Schedule!$E$21),12-MONTH(Schedule!$E$21),12))</f>
        <v>10</v>
      </c>
      <c r="G21" s="289">
        <f>IF(G$20&lt;YEAR(Schedule!$E$21),0,IF(G$20=YEAR(Schedule!$E$21),12-MONTH(Schedule!$E$21),12))</f>
        <v>12</v>
      </c>
      <c r="H21" s="289">
        <f>IF(H$20&lt;YEAR(Schedule!$E$21),0,IF(H$20=YEAR(Schedule!$E$21),12-MONTH(Schedule!$E$21),12))</f>
        <v>12</v>
      </c>
      <c r="I21" s="289">
        <f>IF(I$20&lt;YEAR(Schedule!$E$21),0,IF(I$20=YEAR(Schedule!$E$21),12-MONTH(Schedule!$E$21),12))</f>
        <v>12</v>
      </c>
      <c r="J21" s="289">
        <f>IF(J$20&lt;YEAR(Schedule!$E$21),0,IF(J$20=YEAR(Schedule!$E$21),12-MONTH(Schedule!$E$21),12))</f>
        <v>12</v>
      </c>
      <c r="K21" s="289">
        <f>IF(K$20&lt;YEAR(Schedule!$E$21),0,IF(K$20=YEAR(Schedule!$E$21),12-MONTH(Schedule!$E$21),12))</f>
        <v>12</v>
      </c>
      <c r="L21" s="289">
        <f>IF(L$20&lt;YEAR(Schedule!$E$21),0,IF(L$20=YEAR(Schedule!$E$21),12-MONTH(Schedule!$E$21),12))</f>
        <v>12</v>
      </c>
      <c r="M21" s="292"/>
    </row>
    <row r="22" spans="1:14" s="256" customFormat="1" ht="10.5" outlineLevel="1" x14ac:dyDescent="0.35">
      <c r="A22" s="256" t="s">
        <v>202</v>
      </c>
      <c r="C22" s="260">
        <f>(1+$E$9)^(C20-YEAR(Schedule!$D$8))</f>
        <v>1</v>
      </c>
      <c r="D22" s="260">
        <f>(1+$E$9)^(D20-YEAR(Schedule!$D$8))</f>
        <v>1.02</v>
      </c>
      <c r="E22" s="260">
        <f>(1+$E$9)^(E20-YEAR(Schedule!$D$8))</f>
        <v>1.0404</v>
      </c>
      <c r="F22" s="260">
        <f>(1+$E$9)^(F20-YEAR(Schedule!$D$8))</f>
        <v>1.0612079999999999</v>
      </c>
      <c r="G22" s="260">
        <f>(1+$E$9)^(G20-YEAR(Schedule!$D$8))</f>
        <v>1.08243216</v>
      </c>
      <c r="H22" s="260">
        <f>(1+$E$9)^(H20-YEAR(Schedule!$D$8))</f>
        <v>1.1040808032</v>
      </c>
      <c r="I22" s="260">
        <f>(1+$E$9)^(I20-YEAR(Schedule!$D$8))</f>
        <v>1.1261624192640001</v>
      </c>
      <c r="J22" s="260">
        <f>(1+$E$9)^(J20-YEAR(Schedule!$D$8))</f>
        <v>1.1486856676492798</v>
      </c>
      <c r="K22" s="260">
        <f>(1+$E$9)^(K20-YEAR(Schedule!$D$8))</f>
        <v>1.1716593810022655</v>
      </c>
      <c r="L22" s="260">
        <f>(1+$E$9)^(L20-YEAR(Schedule!$D$8))</f>
        <v>1.1950925686223108</v>
      </c>
      <c r="M22" s="260"/>
    </row>
    <row r="23" spans="1:14" s="256" customFormat="1" ht="10.5" outlineLevel="1" x14ac:dyDescent="0.35">
      <c r="A23" s="256" t="s">
        <v>203</v>
      </c>
      <c r="C23" s="260">
        <f>(1+$E$10)^(C20-YEAR(Schedule!$D$8))</f>
        <v>1</v>
      </c>
      <c r="D23" s="260">
        <f>(1+$E$10)^(D20-YEAR(Schedule!$D$8))</f>
        <v>1.02</v>
      </c>
      <c r="E23" s="260">
        <f>(1+$E$10)^(E20-YEAR(Schedule!$D$8))</f>
        <v>1.0404</v>
      </c>
      <c r="F23" s="260">
        <f>(1+$E$10)^(F20-YEAR(Schedule!$D$8))</f>
        <v>1.0612079999999999</v>
      </c>
      <c r="G23" s="260">
        <f>(1+$E$10)^(G20-YEAR(Schedule!$D$8))</f>
        <v>1.08243216</v>
      </c>
      <c r="H23" s="260">
        <f>(1+$E$10)^(H20-YEAR(Schedule!$D$8))</f>
        <v>1.1040808032</v>
      </c>
      <c r="I23" s="260">
        <f>(1+$E$10)^(I20-YEAR(Schedule!$D$8))</f>
        <v>1.1261624192640001</v>
      </c>
      <c r="J23" s="260">
        <f>(1+$E$10)^(J20-YEAR(Schedule!$D$8))</f>
        <v>1.1486856676492798</v>
      </c>
      <c r="K23" s="260">
        <f>(1+$E$10)^(K20-YEAR(Schedule!$D$8))</f>
        <v>1.1716593810022655</v>
      </c>
      <c r="L23" s="260">
        <f>(1+$E$10)^(L20-YEAR(Schedule!$D$8))</f>
        <v>1.1950925686223108</v>
      </c>
      <c r="M23" s="260"/>
    </row>
    <row r="24" spans="1:14" s="256" customFormat="1" ht="4.5" customHeight="1" outlineLevel="1" x14ac:dyDescent="0.35">
      <c r="A24" s="264"/>
      <c r="B24" s="264"/>
      <c r="C24" s="265"/>
      <c r="D24" s="265"/>
      <c r="E24" s="265"/>
      <c r="F24" s="265"/>
      <c r="G24" s="265"/>
      <c r="H24" s="265"/>
      <c r="I24" s="265"/>
      <c r="J24" s="265"/>
      <c r="K24" s="265"/>
      <c r="L24" s="265"/>
      <c r="M24" s="265"/>
    </row>
    <row r="25" spans="1:14" s="256" customFormat="1" ht="4.5" customHeight="1" x14ac:dyDescent="0.35">
      <c r="A25" s="264"/>
      <c r="B25" s="264"/>
      <c r="C25" s="265"/>
      <c r="D25" s="265"/>
      <c r="E25" s="265"/>
      <c r="F25" s="265"/>
      <c r="G25" s="265"/>
      <c r="H25" s="265"/>
      <c r="I25" s="265"/>
      <c r="J25" s="265"/>
      <c r="K25" s="265"/>
      <c r="L25" s="265"/>
      <c r="M25" s="265"/>
    </row>
    <row r="26" spans="1:14" s="181" customFormat="1" ht="10.5" x14ac:dyDescent="0.35">
      <c r="A26" s="184" t="s">
        <v>48</v>
      </c>
      <c r="B26" s="184"/>
      <c r="C26" s="232">
        <f>C$21/12*C$22*'Operating Revenue and Expenses'!$I$27</f>
        <v>0</v>
      </c>
      <c r="D26" s="232">
        <f>D$21/12*D$22*'Operating Revenue and Expenses'!$I$27</f>
        <v>0</v>
      </c>
      <c r="E26" s="232">
        <f>E$21/12*E$22*'Operating Revenue and Expenses'!$I$27</f>
        <v>0</v>
      </c>
      <c r="F26" s="232">
        <f>F$21/12*F$22*'Operating Revenue and Expenses'!$I$27</f>
        <v>2570776.38</v>
      </c>
      <c r="G26" s="232">
        <f>G$21/12*G$22*'Operating Revenue and Expenses'!$I$27</f>
        <v>3146630.2891199999</v>
      </c>
      <c r="H26" s="232">
        <f>H$21/12*H$22*'Operating Revenue and Expenses'!$I$27</f>
        <v>3209562.8949024002</v>
      </c>
      <c r="I26" s="232">
        <f>I$21/12*I$22*'Operating Revenue and Expenses'!$I$27</f>
        <v>3273754.1528004482</v>
      </c>
      <c r="J26" s="232">
        <f>J$21/12*J$22*'Operating Revenue and Expenses'!$I$27</f>
        <v>3339229.2358564562</v>
      </c>
      <c r="K26" s="232">
        <f>K$21/12*K$22*'Operating Revenue and Expenses'!$I$27</f>
        <v>3406013.820573586</v>
      </c>
      <c r="L26" s="232">
        <f>L$21/12*L$22*'Operating Revenue and Expenses'!$I$27</f>
        <v>3474134.0969850575</v>
      </c>
      <c r="M26" s="232"/>
    </row>
    <row r="27" spans="1:14" s="181" customFormat="1" ht="10.5" x14ac:dyDescent="0.35">
      <c r="A27" s="181" t="s">
        <v>169</v>
      </c>
      <c r="C27" s="186">
        <f>-C$21/12*C$22*'Operating Revenue and Expenses'!$I$28</f>
        <v>0</v>
      </c>
      <c r="D27" s="186">
        <f>-D$21/12*D$22*'Operating Revenue and Expenses'!$I$28</f>
        <v>0</v>
      </c>
      <c r="E27" s="186">
        <f>-E$21/12*E$22*'Operating Revenue and Expenses'!$I$28</f>
        <v>0</v>
      </c>
      <c r="F27" s="186">
        <f>-F$21/12*F$22*'Operating Revenue and Expenses'!$I$28</f>
        <v>-64269.409500000002</v>
      </c>
      <c r="G27" s="186">
        <f>-G$21/12*G$22*'Operating Revenue and Expenses'!$I$28</f>
        <v>-78665.757228000002</v>
      </c>
      <c r="H27" s="186">
        <f>-H$21/12*H$22*'Operating Revenue and Expenses'!$I$28</f>
        <v>-80239.072372559996</v>
      </c>
      <c r="I27" s="186">
        <f>-I$21/12*I$22*'Operating Revenue and Expenses'!$I$28</f>
        <v>-81843.853820011209</v>
      </c>
      <c r="J27" s="186">
        <f>-J$21/12*J$22*'Operating Revenue and Expenses'!$I$28</f>
        <v>-83480.730896411405</v>
      </c>
      <c r="K27" s="186">
        <f>-K$21/12*K$22*'Operating Revenue and Expenses'!$I$28</f>
        <v>-85150.345514339642</v>
      </c>
      <c r="L27" s="186">
        <f>-L$21/12*L$22*'Operating Revenue and Expenses'!$I$28</f>
        <v>-86853.352424626442</v>
      </c>
      <c r="M27" s="186"/>
    </row>
    <row r="28" spans="1:14" s="181" customFormat="1" ht="10.5" x14ac:dyDescent="0.35">
      <c r="A28" s="258" t="s">
        <v>32</v>
      </c>
      <c r="B28" s="258"/>
      <c r="C28" s="261">
        <f>-C$21/12*C$23*'Operating Revenue and Expenses'!$I$45</f>
        <v>0</v>
      </c>
      <c r="D28" s="261">
        <f>-D$21/12*D$23*'Operating Revenue and Expenses'!$I$45</f>
        <v>0</v>
      </c>
      <c r="E28" s="261">
        <f>-E$21/12*E$23*'Operating Revenue and Expenses'!$I$45</f>
        <v>0</v>
      </c>
      <c r="F28" s="261">
        <f>-F$21/12*F$23*'Operating Revenue and Expenses'!$I$45</f>
        <v>-676617.3774</v>
      </c>
      <c r="G28" s="261">
        <f>-G$21/12*G$23*'Operating Revenue and Expenses'!$I$45</f>
        <v>-828179.66993760003</v>
      </c>
      <c r="H28" s="261">
        <f>-H$21/12*H$23*'Operating Revenue and Expenses'!$I$45</f>
        <v>-844743.26333635196</v>
      </c>
      <c r="I28" s="261">
        <f>-I$21/12*I$23*'Operating Revenue and Expenses'!$I$45</f>
        <v>-861638.12860307912</v>
      </c>
      <c r="J28" s="261">
        <f>-J$21/12*J$23*'Operating Revenue and Expenses'!$I$45</f>
        <v>-878870.89117514051</v>
      </c>
      <c r="K28" s="261">
        <f>-K$21/12*K$23*'Operating Revenue and Expenses'!$I$45</f>
        <v>-896448.30899864342</v>
      </c>
      <c r="L28" s="261">
        <f>-L$21/12*L$23*'Operating Revenue and Expenses'!$I$45</f>
        <v>-914377.27517861628</v>
      </c>
      <c r="M28" s="261"/>
    </row>
    <row r="29" spans="1:14" s="181" customFormat="1" ht="10.5" x14ac:dyDescent="0.35">
      <c r="A29" s="181" t="s">
        <v>216</v>
      </c>
      <c r="C29" s="186">
        <f>SUM(C26:C28)</f>
        <v>0</v>
      </c>
      <c r="D29" s="186">
        <f t="shared" ref="D29:L29" si="1">SUM(D26:D28)</f>
        <v>0</v>
      </c>
      <c r="E29" s="186">
        <f t="shared" si="1"/>
        <v>0</v>
      </c>
      <c r="F29" s="186">
        <f t="shared" si="1"/>
        <v>1829889.5930999997</v>
      </c>
      <c r="G29" s="186">
        <f t="shared" si="1"/>
        <v>2239784.8619543999</v>
      </c>
      <c r="H29" s="186">
        <f t="shared" si="1"/>
        <v>2284580.5591934882</v>
      </c>
      <c r="I29" s="186">
        <f t="shared" si="1"/>
        <v>2330272.1703773579</v>
      </c>
      <c r="J29" s="186">
        <f t="shared" si="1"/>
        <v>2376877.6137849041</v>
      </c>
      <c r="K29" s="186">
        <f t="shared" si="1"/>
        <v>2424415.1660606028</v>
      </c>
      <c r="L29" s="186">
        <f t="shared" si="1"/>
        <v>2472903.4693818148</v>
      </c>
      <c r="M29" s="186"/>
    </row>
    <row r="30" spans="1:14" s="181" customFormat="1" ht="10.5" x14ac:dyDescent="0.35">
      <c r="G30" s="251"/>
    </row>
    <row r="31" spans="1:14" s="181" customFormat="1" ht="10.5" x14ac:dyDescent="0.35">
      <c r="A31" s="181" t="s">
        <v>219</v>
      </c>
      <c r="C31" s="186">
        <f>IF(C20&lt;=YEAR(Schedule!$E$21),SUMIFS('Development Cash Flow'!$I99:$CZ99,'Development Cash Flow'!$I5:$CZ5,C$20,'Development Cash Flow'!$I111:$CZ111,"PUD"),0)</f>
        <v>-10219280.73863248</v>
      </c>
      <c r="D31" s="186">
        <f>IF(D20&lt;=YEAR(Schedule!$E$21),SUMIFS('Development Cash Flow'!$I99:$CZ99,'Development Cash Flow'!$I5:$CZ5,D$20,'Development Cash Flow'!$I111:$CZ111,"PUD"),0)</f>
        <v>-18420500.837742589</v>
      </c>
      <c r="E31" s="186">
        <f>IF(E20&lt;=YEAR(Schedule!$E$21),SUMIFS('Development Cash Flow'!$I99:$CZ99,'Development Cash Flow'!$I5:$CZ5,E$20,'Development Cash Flow'!$I111:$CZ111,"PUD"),0)</f>
        <v>-20503330.499333311</v>
      </c>
      <c r="F31" s="186">
        <f>IF(F20&lt;=YEAR(Schedule!$E$21),SUMIFS('Development Cash Flow'!$I99:$CZ99,'Development Cash Flow'!$I5:$CZ5,F$20,'Development Cash Flow'!$I111:$CZ111,"PUD"),0)</f>
        <v>-44670.335872063399</v>
      </c>
      <c r="G31" s="186">
        <f>IF(G20&lt;=YEAR(Schedule!$E$21),SUMIFS('Development Cash Flow'!$I99:$CZ99,'Development Cash Flow'!$I5:$CZ5,G$20,'Development Cash Flow'!$I111:$CZ111,"PUD"),0)</f>
        <v>0</v>
      </c>
      <c r="H31" s="186">
        <f>IF(H20&lt;=YEAR(Schedule!$E$21),SUMIFS('Development Cash Flow'!$I99:$CZ99,'Development Cash Flow'!$I5:$CZ5,H$20,'Development Cash Flow'!$I111:$CZ111,"PUD"),0)</f>
        <v>0</v>
      </c>
      <c r="I31" s="186">
        <f>IF(I20&lt;=YEAR(Schedule!$E$21),SUMIFS('Development Cash Flow'!$I99:$CZ99,'Development Cash Flow'!$I5:$CZ5,I$20,'Development Cash Flow'!$I111:$CZ111,"PUD"),0)</f>
        <v>0</v>
      </c>
      <c r="J31" s="186">
        <f>IF(J20&lt;=YEAR(Schedule!$E$21),SUMIFS('Development Cash Flow'!$I99:$CZ99,'Development Cash Flow'!$I5:$CZ5,J$20,'Development Cash Flow'!$I111:$CZ111,"PUD"),0)</f>
        <v>0</v>
      </c>
      <c r="K31" s="186">
        <f>IF(K20&lt;=YEAR(Schedule!$E$21),SUMIFS('Development Cash Flow'!$I99:$CZ99,'Development Cash Flow'!$I5:$CZ5,K$20,'Development Cash Flow'!$I111:$CZ111,"PUD"),0)</f>
        <v>0</v>
      </c>
      <c r="L31" s="186">
        <f>IF(L20&lt;=YEAR(Schedule!$E$21),SUMIFS('Development Cash Flow'!$I99:$CZ99,'Development Cash Flow'!$I5:$CZ5,L$20,'Development Cash Flow'!$I111:$CZ111,"PUD"),0)</f>
        <v>0</v>
      </c>
    </row>
    <row r="32" spans="1:14" s="181" customFormat="1" ht="10.5" x14ac:dyDescent="0.35">
      <c r="A32" s="181" t="s">
        <v>199</v>
      </c>
      <c r="C32" s="186">
        <f t="shared" ref="C32:L32" si="2">IF(C34=MAX($C$34:$L$34),C57-C31-C34,C57-C31)</f>
        <v>5219280.7386324797</v>
      </c>
      <c r="D32" s="186">
        <f t="shared" si="2"/>
        <v>18420500.837742589</v>
      </c>
      <c r="E32" s="186">
        <f t="shared" si="2"/>
        <v>20503330.499333311</v>
      </c>
      <c r="F32" s="186">
        <f t="shared" si="2"/>
        <v>-44143112.202363849</v>
      </c>
      <c r="G32" s="186">
        <f>IF(G34=MAX($C$34:$L$34),G57-G31-G34,G57-G31)</f>
        <v>0</v>
      </c>
      <c r="H32" s="186">
        <f t="shared" si="2"/>
        <v>0</v>
      </c>
      <c r="I32" s="186">
        <f t="shared" si="2"/>
        <v>0</v>
      </c>
      <c r="J32" s="186">
        <f t="shared" si="2"/>
        <v>0</v>
      </c>
      <c r="K32" s="186">
        <f t="shared" si="2"/>
        <v>0</v>
      </c>
      <c r="L32" s="186">
        <f t="shared" si="2"/>
        <v>0</v>
      </c>
      <c r="M32" s="186"/>
    </row>
    <row r="33" spans="1:13" s="181" customFormat="1" ht="10.5" x14ac:dyDescent="0.35">
      <c r="A33" s="181" t="s">
        <v>76</v>
      </c>
      <c r="C33" s="191">
        <f>C32</f>
        <v>5219280.7386324797</v>
      </c>
      <c r="D33" s="191">
        <f>IF(AND(C33+D32&lt;10,C33+D32&gt;-10),0,C33+D32)</f>
        <v>23639781.576375067</v>
      </c>
      <c r="E33" s="191">
        <f t="shared" ref="E33:L33" si="3">IF(AND(D33+E32&lt;10,D33+E32&gt;-10),0,D33+E32)</f>
        <v>44143112.075708374</v>
      </c>
      <c r="F33" s="191">
        <f t="shared" si="3"/>
        <v>0</v>
      </c>
      <c r="G33" s="191">
        <f t="shared" si="3"/>
        <v>0</v>
      </c>
      <c r="H33" s="191">
        <f t="shared" si="3"/>
        <v>0</v>
      </c>
      <c r="I33" s="191">
        <f t="shared" si="3"/>
        <v>0</v>
      </c>
      <c r="J33" s="191">
        <f t="shared" si="3"/>
        <v>0</v>
      </c>
      <c r="K33" s="191">
        <f t="shared" si="3"/>
        <v>0</v>
      </c>
      <c r="L33" s="191">
        <f t="shared" si="3"/>
        <v>0</v>
      </c>
      <c r="M33" s="191"/>
    </row>
    <row r="34" spans="1:13" s="181" customFormat="1" ht="10.5" x14ac:dyDescent="0.35">
      <c r="A34" s="464" t="s">
        <v>204</v>
      </c>
      <c r="B34" s="464"/>
      <c r="C34" s="465">
        <v>0</v>
      </c>
      <c r="D34" s="465">
        <f>IF(D20&lt;YEAR(Schedule!$E$21),0,IF(D20=YEAR(Schedule!$E$21),$K$14,'10-Yr Cash Flow IRR'!C34+'10-Yr Cash Flow IRR'!C38))</f>
        <v>0</v>
      </c>
      <c r="E34" s="465">
        <f>IF(E20&lt;YEAR(Schedule!$E$21),0,IF(E20=YEAR(Schedule!$E$21),$K$14,'10-Yr Cash Flow IRR'!D34+'10-Yr Cash Flow IRR'!D38))</f>
        <v>0</v>
      </c>
      <c r="F34" s="465">
        <f>IF(F20&lt;YEAR(Schedule!$E$21),0,IF(F20=YEAR(Schedule!$E$21),$K$14,'10-Yr Cash Flow IRR'!E34+'10-Yr Cash Flow IRR'!E38))</f>
        <v>34760877.53823591</v>
      </c>
      <c r="G34" s="465">
        <f>IF(G20&lt;YEAR(Schedule!$E$21),0,IF(G20=YEAR(Schedule!$E$21),$K$14,'10-Yr Cash Flow IRR'!F34+'10-Yr Cash Flow IRR'!F38))</f>
        <v>33972672.621222451</v>
      </c>
      <c r="H34" s="465">
        <f>IF(H20&lt;YEAR(Schedule!$E$21),0,IF(H20=YEAR(Schedule!$E$21),$K$14,'10-Yr Cash Flow IRR'!G34+'10-Yr Cash Flow IRR'!G38))</f>
        <v>33000477.261523832</v>
      </c>
      <c r="I34" s="465">
        <f>IF(I20&lt;YEAR(Schedule!$E$21),0,IF(I20=YEAR(Schedule!$E$21),$K$14,'10-Yr Cash Flow IRR'!H34+'10-Yr Cash Flow IRR'!H38))</f>
        <v>31998711.649653107</v>
      </c>
      <c r="J34" s="465">
        <f>IF(J20&lt;YEAR(Schedule!$E$21),0,IF(J20=YEAR(Schedule!$E$21),$K$14,'10-Yr Cash Flow IRR'!I34+'10-Yr Cash Flow IRR'!I38))</f>
        <v>30966476.378094289</v>
      </c>
      <c r="K34" s="465">
        <f>IF(K20&lt;YEAR(Schedule!$E$21),0,IF(K20=YEAR(Schedule!$E$21),$K$14,'10-Yr Cash Flow IRR'!J34+'10-Yr Cash Flow IRR'!J38))</f>
        <v>29902844.682991136</v>
      </c>
      <c r="L34" s="465">
        <f>IF(L20&lt;YEAR(Schedule!$E$21),0,IF(L20=YEAR(Schedule!$E$21),$K$14,'10-Yr Cash Flow IRR'!K34+'10-Yr Cash Flow IRR'!K38))</f>
        <v>28806861.612077884</v>
      </c>
      <c r="M34" s="465"/>
    </row>
    <row r="35" spans="1:13" s="181" customFormat="1" ht="10.5" x14ac:dyDescent="0.35">
      <c r="C35" s="186"/>
      <c r="D35" s="186"/>
      <c r="E35" s="186"/>
      <c r="F35" s="186"/>
      <c r="G35" s="186"/>
      <c r="H35" s="186"/>
      <c r="I35" s="186"/>
      <c r="J35" s="186"/>
      <c r="K35" s="186"/>
      <c r="L35" s="186"/>
      <c r="M35" s="186"/>
    </row>
    <row r="36" spans="1:13" s="181" customFormat="1" ht="10.5" x14ac:dyDescent="0.35">
      <c r="A36" s="464" t="s">
        <v>216</v>
      </c>
      <c r="B36" s="464"/>
      <c r="C36" s="465">
        <f>C29</f>
        <v>0</v>
      </c>
      <c r="D36" s="465">
        <f t="shared" ref="D36:L36" si="4">D29</f>
        <v>0</v>
      </c>
      <c r="E36" s="465">
        <f t="shared" si="4"/>
        <v>0</v>
      </c>
      <c r="F36" s="465">
        <f t="shared" si="4"/>
        <v>1829889.5930999997</v>
      </c>
      <c r="G36" s="465">
        <f t="shared" si="4"/>
        <v>2239784.8619543999</v>
      </c>
      <c r="H36" s="465">
        <f t="shared" si="4"/>
        <v>2284580.5591934882</v>
      </c>
      <c r="I36" s="465">
        <f t="shared" si="4"/>
        <v>2330272.1703773579</v>
      </c>
      <c r="J36" s="465">
        <f t="shared" si="4"/>
        <v>2376877.6137849041</v>
      </c>
      <c r="K36" s="465">
        <f t="shared" si="4"/>
        <v>2424415.1660606028</v>
      </c>
      <c r="L36" s="465">
        <f t="shared" si="4"/>
        <v>2472903.4693818148</v>
      </c>
      <c r="M36" s="465"/>
    </row>
    <row r="37" spans="1:13" s="181" customFormat="1" ht="10.5" x14ac:dyDescent="0.35">
      <c r="A37" s="181" t="s">
        <v>217</v>
      </c>
      <c r="C37" s="186">
        <f t="shared" ref="C37:L37" si="5">SUMIF($C$76:$C$195,C$20,$E76:$E195)</f>
        <v>0</v>
      </c>
      <c r="D37" s="186">
        <f t="shared" si="5"/>
        <v>0</v>
      </c>
      <c r="E37" s="186">
        <f t="shared" si="5"/>
        <v>0</v>
      </c>
      <c r="F37" s="186">
        <f t="shared" si="5"/>
        <v>-860195.22381179116</v>
      </c>
      <c r="G37" s="186">
        <f t="shared" si="5"/>
        <v>-1005884.8092916837</v>
      </c>
      <c r="H37" s="186">
        <f t="shared" si="5"/>
        <v>-976314.55711957871</v>
      </c>
      <c r="I37" s="186">
        <f t="shared" si="5"/>
        <v>-945844.89743148535</v>
      </c>
      <c r="J37" s="186">
        <f t="shared" si="5"/>
        <v>-914448.47388714994</v>
      </c>
      <c r="K37" s="186">
        <f t="shared" si="5"/>
        <v>-882097.09807705157</v>
      </c>
      <c r="L37" s="186">
        <f t="shared" si="5"/>
        <v>-848761.72421422077</v>
      </c>
    </row>
    <row r="38" spans="1:13" s="181" customFormat="1" ht="10.5" x14ac:dyDescent="0.35">
      <c r="A38" s="258" t="s">
        <v>207</v>
      </c>
      <c r="B38" s="258"/>
      <c r="C38" s="261">
        <f t="shared" ref="C38:L38" si="6">SUMIF($C$76:$C$195,C$20,$D76:$D195)</f>
        <v>0</v>
      </c>
      <c r="D38" s="261">
        <f t="shared" si="6"/>
        <v>0</v>
      </c>
      <c r="E38" s="261">
        <f t="shared" si="6"/>
        <v>0</v>
      </c>
      <c r="F38" s="261">
        <f t="shared" si="6"/>
        <v>-788204.91701346147</v>
      </c>
      <c r="G38" s="261">
        <f t="shared" si="6"/>
        <v>-972195.35969861934</v>
      </c>
      <c r="H38" s="261">
        <f t="shared" si="6"/>
        <v>-1001765.6118707245</v>
      </c>
      <c r="I38" s="261">
        <f t="shared" si="6"/>
        <v>-1032235.2715588178</v>
      </c>
      <c r="J38" s="261">
        <f t="shared" si="6"/>
        <v>-1063631.6951031531</v>
      </c>
      <c r="K38" s="261">
        <f t="shared" si="6"/>
        <v>-1095983.0709132515</v>
      </c>
      <c r="L38" s="261">
        <f t="shared" si="6"/>
        <v>-1129318.4447760822</v>
      </c>
      <c r="M38" s="261"/>
    </row>
    <row r="39" spans="1:13" s="181" customFormat="1" ht="10.5" x14ac:dyDescent="0.35">
      <c r="A39" s="181" t="s">
        <v>220</v>
      </c>
      <c r="C39" s="186">
        <f>SUM(C36:C38)</f>
        <v>0</v>
      </c>
      <c r="D39" s="186">
        <f t="shared" ref="D39:L39" si="7">SUM(D36:D38)</f>
        <v>0</v>
      </c>
      <c r="E39" s="186">
        <f t="shared" si="7"/>
        <v>0</v>
      </c>
      <c r="F39" s="186">
        <f t="shared" si="7"/>
        <v>181489.45227474708</v>
      </c>
      <c r="G39" s="186">
        <f t="shared" si="7"/>
        <v>261704.6929640969</v>
      </c>
      <c r="H39" s="186">
        <f t="shared" si="7"/>
        <v>306500.39020318515</v>
      </c>
      <c r="I39" s="186">
        <f t="shared" si="7"/>
        <v>352192.00138705468</v>
      </c>
      <c r="J39" s="186">
        <f t="shared" si="7"/>
        <v>398797.44479460106</v>
      </c>
      <c r="K39" s="186">
        <f t="shared" si="7"/>
        <v>446334.99707029969</v>
      </c>
      <c r="L39" s="186">
        <f t="shared" si="7"/>
        <v>494823.30039151176</v>
      </c>
      <c r="M39" s="186"/>
    </row>
    <row r="40" spans="1:13" s="181" customFormat="1" ht="5.25" customHeight="1" thickBot="1" x14ac:dyDescent="0.4">
      <c r="C40" s="186"/>
      <c r="D40" s="186"/>
      <c r="E40" s="186"/>
      <c r="F40" s="186"/>
      <c r="G40" s="186"/>
      <c r="H40" s="186"/>
      <c r="I40" s="186"/>
      <c r="J40" s="186"/>
      <c r="K40" s="186"/>
      <c r="L40" s="186"/>
      <c r="M40" s="186"/>
    </row>
    <row r="41" spans="1:13" s="181" customFormat="1" ht="10.5" x14ac:dyDescent="0.35">
      <c r="A41" s="272" t="str">
        <f>"Valuation @ "&amp;TEXT(Sensitivity!H13,"0.00%")&amp;" Cap rate"</f>
        <v>Valuation @ 4.25% Cap rate</v>
      </c>
      <c r="B41" s="273"/>
      <c r="C41" s="274">
        <f>IF(AND(C21&lt;&gt;0,C20&gt;=YEAR(Schedule!$E$21)),'10-Yr Cash Flow IRR'!C36/'10-Yr Cash Flow IRR'!C21*12/Sensitivity!$H$13,0)</f>
        <v>0</v>
      </c>
      <c r="D41" s="274">
        <f>IF(AND(D21&lt;&gt;0,D20&gt;=YEAR(Schedule!$E$21)),'10-Yr Cash Flow IRR'!D36/'10-Yr Cash Flow IRR'!D21*12/Sensitivity!$H$13,0)</f>
        <v>0</v>
      </c>
      <c r="E41" s="274">
        <f>IF(AND(E21&lt;&gt;0,E20&gt;=YEAR(Schedule!$E$21)),'10-Yr Cash Flow IRR'!E36/'10-Yr Cash Flow IRR'!E21*12/Sensitivity!$H$13,0)</f>
        <v>0</v>
      </c>
      <c r="F41" s="274">
        <f>IF(AND(F21&lt;&gt;0,F20&gt;=YEAR(Schedule!$E$21)),'10-Yr Cash Flow IRR'!F36/'10-Yr Cash Flow IRR'!F21*12/Sensitivity!$H$13,0)</f>
        <v>51667470.863999993</v>
      </c>
      <c r="G41" s="274">
        <f>IF(AND(G21&lt;&gt;0,G20&gt;=YEAR(Schedule!$E$21)),'10-Yr Cash Flow IRR'!G36/'10-Yr Cash Flow IRR'!G21*12/Sensitivity!$H$13,0)</f>
        <v>52700820.281279996</v>
      </c>
      <c r="H41" s="274">
        <f>IF(AND(H21&lt;&gt;0,H20&gt;=YEAR(Schedule!$E$21)),'10-Yr Cash Flow IRR'!H36/'10-Yr Cash Flow IRR'!H21*12/Sensitivity!$H$13,0)</f>
        <v>53754836.6869056</v>
      </c>
      <c r="I41" s="274">
        <f>IF(AND(I21&lt;&gt;0,I20&gt;=YEAR(Schedule!$E$21)),'10-Yr Cash Flow IRR'!I36/'10-Yr Cash Flow IRR'!I21*12/Sensitivity!$H$13,0)</f>
        <v>54829933.42064371</v>
      </c>
      <c r="J41" s="274">
        <f>IF(AND(J21&lt;&gt;0,J20&gt;=YEAR(Schedule!$E$21)),'10-Yr Cash Flow IRR'!J36/'10-Yr Cash Flow IRR'!J21*12/Sensitivity!$H$13,0)</f>
        <v>55926532.089056566</v>
      </c>
      <c r="K41" s="274">
        <f>IF(AND(K21&lt;&gt;0,K20&gt;=YEAR(Schedule!$E$21)),'10-Yr Cash Flow IRR'!K36/'10-Yr Cash Flow IRR'!K21*12/Sensitivity!$H$13,0)</f>
        <v>57045062.73083771</v>
      </c>
      <c r="L41" s="274">
        <f>IF(AND(L21&lt;&gt;0,L20&gt;=YEAR(Schedule!$E$21)),'10-Yr Cash Flow IRR'!L36/'10-Yr Cash Flow IRR'!L21*12/Sensitivity!$H$13,0)</f>
        <v>58185963.985454462</v>
      </c>
      <c r="M41" s="275"/>
    </row>
    <row r="42" spans="1:13" s="181" customFormat="1" ht="10.5" x14ac:dyDescent="0.35">
      <c r="A42" s="276" t="str">
        <f>"Less: Selling Cost @ "&amp;TEXT($E$11,"0.00%")</f>
        <v>Less: Selling Cost @ 1.00%</v>
      </c>
      <c r="B42" s="184"/>
      <c r="C42" s="232">
        <f t="shared" ref="C42" si="8">-$E$11*C41</f>
        <v>0</v>
      </c>
      <c r="D42" s="232">
        <f t="shared" ref="D42" si="9">-$E$11*D41</f>
        <v>0</v>
      </c>
      <c r="E42" s="232">
        <f t="shared" ref="E42" si="10">-$E$11*E41</f>
        <v>0</v>
      </c>
      <c r="F42" s="232">
        <f t="shared" ref="F42" si="11">-$E$11*F41</f>
        <v>-516674.70863999991</v>
      </c>
      <c r="G42" s="232">
        <f t="shared" ref="G42" si="12">-$E$11*G41</f>
        <v>-527008.20281279995</v>
      </c>
      <c r="H42" s="232">
        <f t="shared" ref="H42:L42" si="13">-$E$11*H41</f>
        <v>-537548.36686905602</v>
      </c>
      <c r="I42" s="232">
        <f t="shared" ref="I42" si="14">-$E$11*I41</f>
        <v>-548299.33420643711</v>
      </c>
      <c r="J42" s="232">
        <f t="shared" ref="J42" si="15">-$E$11*J41</f>
        <v>-559265.32089056564</v>
      </c>
      <c r="K42" s="232">
        <f t="shared" ref="K42" si="16">-$E$11*K41</f>
        <v>-570450.62730837706</v>
      </c>
      <c r="L42" s="232">
        <f t="shared" si="13"/>
        <v>-581859.63985454466</v>
      </c>
      <c r="M42" s="277"/>
    </row>
    <row r="43" spans="1:13" s="181" customFormat="1" ht="10.5" x14ac:dyDescent="0.35">
      <c r="A43" s="278" t="s">
        <v>226</v>
      </c>
      <c r="B43" s="258"/>
      <c r="C43" s="266">
        <f t="shared" ref="C43:L43" si="17">-C$34</f>
        <v>0</v>
      </c>
      <c r="D43" s="266">
        <f t="shared" si="17"/>
        <v>0</v>
      </c>
      <c r="E43" s="266">
        <f t="shared" si="17"/>
        <v>0</v>
      </c>
      <c r="F43" s="266">
        <f t="shared" si="17"/>
        <v>-34760877.53823591</v>
      </c>
      <c r="G43" s="266">
        <f t="shared" si="17"/>
        <v>-33972672.621222451</v>
      </c>
      <c r="H43" s="266">
        <f t="shared" si="17"/>
        <v>-33000477.261523832</v>
      </c>
      <c r="I43" s="266">
        <f t="shared" si="17"/>
        <v>-31998711.649653107</v>
      </c>
      <c r="J43" s="266">
        <f t="shared" si="17"/>
        <v>-30966476.378094289</v>
      </c>
      <c r="K43" s="266">
        <f t="shared" si="17"/>
        <v>-29902844.682991136</v>
      </c>
      <c r="L43" s="266">
        <f t="shared" si="17"/>
        <v>-28806861.612077884</v>
      </c>
      <c r="M43" s="279"/>
    </row>
    <row r="44" spans="1:13" s="181" customFormat="1" ht="10.9" thickBot="1" x14ac:dyDescent="0.4">
      <c r="A44" s="280" t="s">
        <v>225</v>
      </c>
      <c r="B44" s="281"/>
      <c r="C44" s="282">
        <f t="shared" ref="C44" si="18">SUM(C41:C43)</f>
        <v>0</v>
      </c>
      <c r="D44" s="282">
        <f t="shared" ref="D44" si="19">SUM(D41:D43)</f>
        <v>0</v>
      </c>
      <c r="E44" s="282">
        <f t="shared" ref="E44" si="20">SUM(E41:E43)</f>
        <v>0</v>
      </c>
      <c r="F44" s="282">
        <f t="shared" ref="F44" si="21">SUM(F41:F43)</f>
        <v>16389918.617124081</v>
      </c>
      <c r="G44" s="282">
        <f t="shared" ref="G44" si="22">SUM(G41:G43)</f>
        <v>18201139.457244746</v>
      </c>
      <c r="H44" s="282">
        <f t="shared" ref="H44:L44" si="23">SUM(H41:H43)</f>
        <v>20216811.058512714</v>
      </c>
      <c r="I44" s="282">
        <f t="shared" ref="I44" si="24">SUM(I41:I43)</f>
        <v>22282922.436784163</v>
      </c>
      <c r="J44" s="282">
        <f t="shared" ref="J44" si="25">SUM(J41:J43)</f>
        <v>24400790.390071709</v>
      </c>
      <c r="K44" s="282">
        <f t="shared" ref="K44" si="26">SUM(K41:K43)</f>
        <v>26571767.420538198</v>
      </c>
      <c r="L44" s="282">
        <f t="shared" si="23"/>
        <v>28797242.733522035</v>
      </c>
      <c r="M44" s="283"/>
    </row>
    <row r="45" spans="1:13" s="181" customFormat="1" ht="10.9" thickBot="1" x14ac:dyDescent="0.4"/>
    <row r="46" spans="1:13" s="181" customFormat="1" ht="10.5" x14ac:dyDescent="0.35">
      <c r="A46" s="472" t="str">
        <f>"Valuation @ "&amp;TEXT(Sensitivity!H10,"0.00%")&amp;" Cap rate"</f>
        <v>Valuation @ 4.00% Cap rate</v>
      </c>
      <c r="B46" s="473"/>
      <c r="C46" s="474">
        <f>IF(AND(C21&lt;&gt;0,C20&gt;=YEAR(Schedule!$E$21)),'10-Yr Cash Flow IRR'!C36/'10-Yr Cash Flow IRR'!C21*12/Sensitivity!$H$10,0)</f>
        <v>0</v>
      </c>
      <c r="D46" s="474">
        <f>IF(AND(D21&lt;&gt;0,D20&gt;=YEAR(Schedule!$E$21)),'10-Yr Cash Flow IRR'!D36/'10-Yr Cash Flow IRR'!D21*12/Sensitivity!$H$10,0)</f>
        <v>0</v>
      </c>
      <c r="E46" s="474">
        <f>IF(AND(E21&lt;&gt;0,E20&gt;=YEAR(Schedule!$E$21)),'10-Yr Cash Flow IRR'!E36/'10-Yr Cash Flow IRR'!E21*12/Sensitivity!$H$10,0)</f>
        <v>0</v>
      </c>
      <c r="F46" s="474">
        <f>IF(AND(F21&lt;&gt;0,F20&gt;=YEAR(Schedule!$E$21)),'10-Yr Cash Flow IRR'!F36/'10-Yr Cash Flow IRR'!F21*12/Sensitivity!$H$10,0)</f>
        <v>54896687.792999998</v>
      </c>
      <c r="G46" s="474">
        <f>IF(AND(G21&lt;&gt;0,G20&gt;=YEAR(Schedule!$E$21)),'10-Yr Cash Flow IRR'!G36/'10-Yr Cash Flow IRR'!G21*12/Sensitivity!$H$10,0)</f>
        <v>55994621.548859999</v>
      </c>
      <c r="H46" s="474">
        <f>IF(AND(H21&lt;&gt;0,H20&gt;=YEAR(Schedule!$E$21)),'10-Yr Cash Flow IRR'!H36/'10-Yr Cash Flow IRR'!H21*12/Sensitivity!$H$10,0)</f>
        <v>57114513.979837202</v>
      </c>
      <c r="I46" s="474">
        <f>IF(AND(I21&lt;&gt;0,I20&gt;=YEAR(Schedule!$E$21)),'10-Yr Cash Flow IRR'!I36/'10-Yr Cash Flow IRR'!I21*12/Sensitivity!$H$10,0)</f>
        <v>58256804.259433948</v>
      </c>
      <c r="J46" s="474">
        <f>IF(AND(J21&lt;&gt;0,J20&gt;=YEAR(Schedule!$E$21)),'10-Yr Cash Flow IRR'!J36/'10-Yr Cash Flow IRR'!J21*12/Sensitivity!$H$10,0)</f>
        <v>59421940.344622605</v>
      </c>
      <c r="K46" s="474">
        <f>IF(AND(K21&lt;&gt;0,K20&gt;=YEAR(Schedule!$E$21)),'10-Yr Cash Flow IRR'!K36/'10-Yr Cash Flow IRR'!K21*12/Sensitivity!$H$10,0)</f>
        <v>60610379.151515067</v>
      </c>
      <c r="L46" s="474">
        <f>IF(AND(L21&lt;&gt;0,L20&gt;=YEAR(Schedule!$E$21)),'10-Yr Cash Flow IRR'!L36/'10-Yr Cash Flow IRR'!L21*12/Sensitivity!$H$10,0)</f>
        <v>61822586.734545372</v>
      </c>
      <c r="M46" s="475"/>
    </row>
    <row r="47" spans="1:13" s="181" customFormat="1" ht="10.5" x14ac:dyDescent="0.35">
      <c r="A47" s="276" t="str">
        <f>"Less: Selling Cost @ "&amp;TEXT($E$11,"0.00%")</f>
        <v>Less: Selling Cost @ 1.00%</v>
      </c>
      <c r="B47" s="184"/>
      <c r="C47" s="232">
        <f t="shared" ref="C47" si="27">-$E$11*C46</f>
        <v>0</v>
      </c>
      <c r="D47" s="232">
        <f t="shared" ref="D47" si="28">-$E$11*D46</f>
        <v>0</v>
      </c>
      <c r="E47" s="232">
        <f t="shared" ref="E47" si="29">-$E$11*E46</f>
        <v>0</v>
      </c>
      <c r="F47" s="232">
        <f t="shared" ref="F47" si="30">-$E$11*F46</f>
        <v>-548966.87792999996</v>
      </c>
      <c r="G47" s="232">
        <f t="shared" ref="G47" si="31">-$E$11*G46</f>
        <v>-559946.21548859996</v>
      </c>
      <c r="H47" s="232">
        <f t="shared" ref="H47" si="32">-$E$11*H46</f>
        <v>-571145.13979837205</v>
      </c>
      <c r="I47" s="232">
        <f t="shared" ref="I47" si="33">-$E$11*I46</f>
        <v>-582568.04259433947</v>
      </c>
      <c r="J47" s="232">
        <f t="shared" ref="J47" si="34">-$E$11*J46</f>
        <v>-594219.40344622603</v>
      </c>
      <c r="K47" s="232">
        <f t="shared" ref="K47" si="35">-$E$11*K46</f>
        <v>-606103.79151515069</v>
      </c>
      <c r="L47" s="232">
        <f t="shared" ref="L47" si="36">-$E$11*L46</f>
        <v>-618225.86734545371</v>
      </c>
      <c r="M47" s="277"/>
    </row>
    <row r="48" spans="1:13" s="181" customFormat="1" ht="10.5" x14ac:dyDescent="0.35">
      <c r="A48" s="278" t="s">
        <v>226</v>
      </c>
      <c r="B48" s="258"/>
      <c r="C48" s="266">
        <f t="shared" ref="C48:L48" si="37">-C$34</f>
        <v>0</v>
      </c>
      <c r="D48" s="266">
        <f t="shared" si="37"/>
        <v>0</v>
      </c>
      <c r="E48" s="266">
        <f t="shared" si="37"/>
        <v>0</v>
      </c>
      <c r="F48" s="266">
        <f t="shared" si="37"/>
        <v>-34760877.53823591</v>
      </c>
      <c r="G48" s="266">
        <f t="shared" si="37"/>
        <v>-33972672.621222451</v>
      </c>
      <c r="H48" s="266">
        <f t="shared" si="37"/>
        <v>-33000477.261523832</v>
      </c>
      <c r="I48" s="266">
        <f t="shared" si="37"/>
        <v>-31998711.649653107</v>
      </c>
      <c r="J48" s="266">
        <f t="shared" si="37"/>
        <v>-30966476.378094289</v>
      </c>
      <c r="K48" s="266">
        <f t="shared" si="37"/>
        <v>-29902844.682991136</v>
      </c>
      <c r="L48" s="266">
        <f t="shared" si="37"/>
        <v>-28806861.612077884</v>
      </c>
      <c r="M48" s="279"/>
    </row>
    <row r="49" spans="1:15" s="181" customFormat="1" ht="10.9" thickBot="1" x14ac:dyDescent="0.4">
      <c r="A49" s="466" t="s">
        <v>225</v>
      </c>
      <c r="B49" s="467"/>
      <c r="C49" s="468">
        <f t="shared" ref="C49" si="38">SUM(C46:C48)</f>
        <v>0</v>
      </c>
      <c r="D49" s="468">
        <f t="shared" ref="D49" si="39">SUM(D46:D48)</f>
        <v>0</v>
      </c>
      <c r="E49" s="468">
        <f t="shared" ref="E49" si="40">SUM(E46:E48)</f>
        <v>0</v>
      </c>
      <c r="F49" s="468">
        <f t="shared" ref="F49" si="41">SUM(F46:F48)</f>
        <v>19586843.376834087</v>
      </c>
      <c r="G49" s="468">
        <f t="shared" ref="G49" si="42">SUM(G46:G48)</f>
        <v>21462002.71214895</v>
      </c>
      <c r="H49" s="468">
        <f t="shared" ref="H49" si="43">SUM(H46:H48)</f>
        <v>23542891.578514997</v>
      </c>
      <c r="I49" s="468">
        <f t="shared" ref="I49" si="44">SUM(I46:I48)</f>
        <v>25675524.567186505</v>
      </c>
      <c r="J49" s="468">
        <f t="shared" ref="J49" si="45">SUM(J46:J48)</f>
        <v>27861244.563082088</v>
      </c>
      <c r="K49" s="468">
        <f t="shared" ref="K49" si="46">SUM(K46:K48)</f>
        <v>30101430.677008782</v>
      </c>
      <c r="L49" s="468">
        <f t="shared" ref="L49" si="47">SUM(L46:L48)</f>
        <v>32397499.255122036</v>
      </c>
      <c r="M49" s="469"/>
      <c r="O49" s="191"/>
    </row>
    <row r="50" spans="1:15" s="181" customFormat="1" ht="10.9" thickBot="1" x14ac:dyDescent="0.4"/>
    <row r="51" spans="1:15" s="181" customFormat="1" ht="10.5" x14ac:dyDescent="0.35">
      <c r="A51" s="272" t="str">
        <f>"Valuation @ "&amp;TEXT(Sensitivity!H12,"0.00%")&amp;" Cap rate"</f>
        <v>Valuation @ 3.75% Cap rate</v>
      </c>
      <c r="B51" s="273"/>
      <c r="C51" s="274">
        <f>IF(AND(C21&lt;&gt;0,C20&gt;=YEAR(Schedule!$E$21)),'10-Yr Cash Flow IRR'!C36/'10-Yr Cash Flow IRR'!C21*12/Sensitivity!$H$12,0)</f>
        <v>0</v>
      </c>
      <c r="D51" s="274">
        <f>IF(AND(D21&lt;&gt;0,D20&gt;=YEAR(Schedule!$E$21)),'10-Yr Cash Flow IRR'!D36/'10-Yr Cash Flow IRR'!D21*12/Sensitivity!$H$12,0)</f>
        <v>0</v>
      </c>
      <c r="E51" s="274">
        <f>IF(AND(E21&lt;&gt;0,E20&gt;=YEAR(Schedule!$E$21)),'10-Yr Cash Flow IRR'!E36/'10-Yr Cash Flow IRR'!E21*12/Sensitivity!$H$12,0)</f>
        <v>0</v>
      </c>
      <c r="F51" s="274">
        <f>IF(AND(F21&lt;&gt;0,F20&gt;=YEAR(Schedule!$E$21)),'10-Yr Cash Flow IRR'!F36/'10-Yr Cash Flow IRR'!F21*12/Sensitivity!$H$12,0)</f>
        <v>58556466.979199998</v>
      </c>
      <c r="G51" s="274">
        <f>IF(AND(G21&lt;&gt;0,G20&gt;=YEAR(Schedule!$E$21)),'10-Yr Cash Flow IRR'!G36/'10-Yr Cash Flow IRR'!G21*12/Sensitivity!$H$12,0)</f>
        <v>59727596.318783998</v>
      </c>
      <c r="H51" s="274">
        <f>IF(AND(H21&lt;&gt;0,H20&gt;=YEAR(Schedule!$E$21)),'10-Yr Cash Flow IRR'!H36/'10-Yr Cash Flow IRR'!H21*12/Sensitivity!$H$12,0)</f>
        <v>60922148.245159686</v>
      </c>
      <c r="I51" s="274">
        <f>IF(AND(I21&lt;&gt;0,I20&gt;=YEAR(Schedule!$E$21)),'10-Yr Cash Flow IRR'!I36/'10-Yr Cash Flow IRR'!I21*12/Sensitivity!$H$12,0)</f>
        <v>62140591.210062876</v>
      </c>
      <c r="J51" s="274">
        <f>IF(AND(J21&lt;&gt;0,J20&gt;=YEAR(Schedule!$E$21)),'10-Yr Cash Flow IRR'!J36/'10-Yr Cash Flow IRR'!J21*12/Sensitivity!$H$12,0)</f>
        <v>63383403.03426411</v>
      </c>
      <c r="K51" s="274">
        <f>IF(AND(K21&lt;&gt;0,K20&gt;=YEAR(Schedule!$E$21)),'10-Yr Cash Flow IRR'!K36/'10-Yr Cash Flow IRR'!K21*12/Sensitivity!$H$12,0)</f>
        <v>64651071.094949409</v>
      </c>
      <c r="L51" s="274">
        <f>IF(AND(L21&lt;&gt;0,L20&gt;=YEAR(Schedule!$E$21)),'10-Yr Cash Flow IRR'!L36/'10-Yr Cash Flow IRR'!L21*12/Sensitivity!$H$12,0)</f>
        <v>65944092.5168484</v>
      </c>
      <c r="M51" s="275"/>
    </row>
    <row r="52" spans="1:15" s="181" customFormat="1" ht="10.5" x14ac:dyDescent="0.35">
      <c r="A52" s="276" t="str">
        <f>"Less: Selling Cost @ "&amp;TEXT($E$11,"0.00%")</f>
        <v>Less: Selling Cost @ 1.00%</v>
      </c>
      <c r="B52" s="184"/>
      <c r="C52" s="232">
        <f t="shared" ref="C52" si="48">-$E$11*C51</f>
        <v>0</v>
      </c>
      <c r="D52" s="232">
        <f t="shared" ref="D52" si="49">-$E$11*D51</f>
        <v>0</v>
      </c>
      <c r="E52" s="232">
        <f t="shared" ref="E52" si="50">-$E$11*E51</f>
        <v>0</v>
      </c>
      <c r="F52" s="232">
        <f t="shared" ref="F52" si="51">-$E$11*F51</f>
        <v>-585564.66979199997</v>
      </c>
      <c r="G52" s="232">
        <f t="shared" ref="G52" si="52">-$E$11*G51</f>
        <v>-597275.96318783995</v>
      </c>
      <c r="H52" s="232">
        <f t="shared" ref="H52" si="53">-$E$11*H51</f>
        <v>-609221.48245159688</v>
      </c>
      <c r="I52" s="232">
        <f t="shared" ref="I52" si="54">-$E$11*I51</f>
        <v>-621405.91210062883</v>
      </c>
      <c r="J52" s="232">
        <f t="shared" ref="J52" si="55">-$E$11*J51</f>
        <v>-633834.03034264117</v>
      </c>
      <c r="K52" s="232">
        <f t="shared" ref="K52" si="56">-$E$11*K51</f>
        <v>-646510.71094949415</v>
      </c>
      <c r="L52" s="232">
        <f t="shared" ref="L52" si="57">-$E$11*L51</f>
        <v>-659440.92516848398</v>
      </c>
      <c r="M52" s="277"/>
    </row>
    <row r="53" spans="1:15" s="181" customFormat="1" ht="10.5" x14ac:dyDescent="0.35">
      <c r="A53" s="278" t="s">
        <v>226</v>
      </c>
      <c r="B53" s="258"/>
      <c r="C53" s="266">
        <f t="shared" ref="C53:L53" si="58">-C$34</f>
        <v>0</v>
      </c>
      <c r="D53" s="266">
        <f t="shared" si="58"/>
        <v>0</v>
      </c>
      <c r="E53" s="266">
        <f t="shared" si="58"/>
        <v>0</v>
      </c>
      <c r="F53" s="266">
        <f t="shared" si="58"/>
        <v>-34760877.53823591</v>
      </c>
      <c r="G53" s="266">
        <f t="shared" si="58"/>
        <v>-33972672.621222451</v>
      </c>
      <c r="H53" s="266">
        <f t="shared" si="58"/>
        <v>-33000477.261523832</v>
      </c>
      <c r="I53" s="266">
        <f t="shared" si="58"/>
        <v>-31998711.649653107</v>
      </c>
      <c r="J53" s="266">
        <f t="shared" si="58"/>
        <v>-30966476.378094289</v>
      </c>
      <c r="K53" s="266">
        <f t="shared" si="58"/>
        <v>-29902844.682991136</v>
      </c>
      <c r="L53" s="266">
        <f t="shared" si="58"/>
        <v>-28806861.612077884</v>
      </c>
      <c r="M53" s="279"/>
    </row>
    <row r="54" spans="1:15" s="181" customFormat="1" ht="10.9" thickBot="1" x14ac:dyDescent="0.4">
      <c r="A54" s="280" t="s">
        <v>225</v>
      </c>
      <c r="B54" s="281"/>
      <c r="C54" s="282">
        <f t="shared" ref="C54" si="59">SUM(C51:C53)</f>
        <v>0</v>
      </c>
      <c r="D54" s="282">
        <f t="shared" ref="D54" si="60">SUM(D51:D53)</f>
        <v>0</v>
      </c>
      <c r="E54" s="282">
        <f t="shared" ref="E54" si="61">SUM(E51:E53)</f>
        <v>0</v>
      </c>
      <c r="F54" s="282">
        <f t="shared" ref="F54" si="62">SUM(F51:F53)</f>
        <v>23210024.771172091</v>
      </c>
      <c r="G54" s="282">
        <f t="shared" ref="G54" si="63">SUM(G51:G53)</f>
        <v>25157647.734373704</v>
      </c>
      <c r="H54" s="282">
        <f t="shared" ref="H54" si="64">SUM(H51:H53)</f>
        <v>27312449.501184259</v>
      </c>
      <c r="I54" s="282">
        <f t="shared" ref="I54" si="65">SUM(I51:I53)</f>
        <v>29520473.648309141</v>
      </c>
      <c r="J54" s="282">
        <f t="shared" ref="J54" si="66">SUM(J51:J53)</f>
        <v>31783092.625827182</v>
      </c>
      <c r="K54" s="282">
        <f t="shared" ref="K54" si="67">SUM(K51:K53)</f>
        <v>34101715.701008782</v>
      </c>
      <c r="L54" s="282">
        <f t="shared" ref="L54" si="68">SUM(L51:L53)</f>
        <v>36477789.979602031</v>
      </c>
      <c r="M54" s="283"/>
    </row>
    <row r="55" spans="1:15" s="181" customFormat="1" ht="10.5" x14ac:dyDescent="0.35"/>
    <row r="56" spans="1:15" s="181" customFormat="1" ht="10.5" x14ac:dyDescent="0.35">
      <c r="A56" s="271"/>
      <c r="B56" s="284" t="s">
        <v>227</v>
      </c>
      <c r="C56" s="271"/>
      <c r="D56" s="286" t="str">
        <f>"Based on valuation @ "&amp;TEXT(Sensitivity!H10,"0.00%")&amp;" Cap rate"</f>
        <v>Based on valuation @ 4.00% Cap rate</v>
      </c>
      <c r="E56" s="285"/>
      <c r="F56" s="271"/>
      <c r="G56" s="271"/>
      <c r="H56" s="271"/>
      <c r="I56" s="271"/>
      <c r="J56" s="271"/>
      <c r="K56" s="271"/>
      <c r="L56" s="271"/>
      <c r="M56" s="271"/>
    </row>
    <row r="57" spans="1:15" s="181" customFormat="1" ht="10.5" x14ac:dyDescent="0.35">
      <c r="A57" s="181" t="s">
        <v>218</v>
      </c>
      <c r="C57" s="186">
        <f>ROUND(SUMIFS('Development Cash Flow'!$I105:$CZ105,'Development Cash Flow'!$I5:$CZ5,C$20,'Development Cash Flow'!$I111:$CZ111,"PUD"),0)</f>
        <v>-5000000</v>
      </c>
      <c r="D57" s="186">
        <f>ROUND(IF(D34=MAX($C34:$L34),-$K$15-SUM($C$57:C57),0)+SUMIFS('Development Cash Flow'!$I105:$CZ105,'Development Cash Flow'!$I5:$CZ5,D$20,'Development Cash Flow'!$I111:$CZ111,"PUD"),0)</f>
        <v>0</v>
      </c>
      <c r="E57" s="186">
        <f>ROUND(IF(E34=MAX($C34:$L34),-$K$15-SUM($C$57:D57),0)+SUMIFS('Development Cash Flow'!$I105:$CZ105,'Development Cash Flow'!$I5:$CZ5,E$20,'Development Cash Flow'!$I111:$CZ111,"PUD"),0)</f>
        <v>0</v>
      </c>
      <c r="F57" s="186">
        <f>ROUND(IF(F34=MAX($C34:$L34),-$K$15-SUM($C$57:E57),0)+SUMIFS('Development Cash Flow'!$I105:$CZ105,'Development Cash Flow'!$I5:$CZ5,F$20,'Development Cash Flow'!$I111:$CZ111,"PUD"),0)</f>
        <v>-9426905</v>
      </c>
      <c r="G57" s="186">
        <f>ROUND(IF(G34=MAX($C34:$L34),-$K$15-SUM($C$57:F57),0)+SUMIFS('Development Cash Flow'!$I105:$CZ105,'Development Cash Flow'!$I5:$CZ5,G$20,'Development Cash Flow'!$I111:$CZ111,"PUD"),0)</f>
        <v>0</v>
      </c>
      <c r="H57" s="465">
        <f>ROUND(IF(H34=MAX($C34:$L34),-$K$15-SUM($C$57:G57),0)+SUMIFS('Development Cash Flow'!$I105:$CZ105,'Development Cash Flow'!$I5:$CZ5,H$20,'Development Cash Flow'!$I111:$CZ111,"PUD"),0)</f>
        <v>0</v>
      </c>
      <c r="I57" s="186">
        <f>ROUND(IF(I34=MAX($C34:$L34),-$K$15-SUM($C$57:H57),0)+SUMIFS('Development Cash Flow'!$I105:$CZ105,'Development Cash Flow'!$I5:$CZ5,I$20,'Development Cash Flow'!$I111:$CZ111,"PUD"),0)</f>
        <v>0</v>
      </c>
      <c r="J57" s="186">
        <f>ROUND(IF(J34=MAX($C34:$L34),-$K$15-SUM($C$57:I57),0)+SUMIFS('Development Cash Flow'!$I105:$CZ105,'Development Cash Flow'!$I5:$CZ5,J$20,'Development Cash Flow'!$I111:$CZ111,"PUD"),0)</f>
        <v>0</v>
      </c>
      <c r="K57" s="186">
        <f>ROUND(IF(K34=MAX($C34:$L34),-$K$15-SUM($C$57:J57),0)+SUMIFS('Development Cash Flow'!$I105:$CZ105,'Development Cash Flow'!$I5:$CZ5,K$20,'Development Cash Flow'!$I111:$CZ111,"PUD"),0)</f>
        <v>0</v>
      </c>
      <c r="L57" s="186">
        <f>ROUND(IF(L34=MAX($C34:$L34),-$K$15-SUM($C$57:K57),0)+SUMIFS('Development Cash Flow'!$I105:$CZ105,'Development Cash Flow'!$I5:$CZ5,L$20,'Development Cash Flow'!$I111:$CZ111,"PUD"),0)</f>
        <v>0</v>
      </c>
      <c r="M57" s="186"/>
    </row>
    <row r="58" spans="1:15" s="181" customFormat="1" ht="10.5" x14ac:dyDescent="0.35">
      <c r="A58" s="258" t="s">
        <v>220</v>
      </c>
      <c r="B58" s="258"/>
      <c r="C58" s="261">
        <f t="shared" ref="C58:L58" si="69">C39</f>
        <v>0</v>
      </c>
      <c r="D58" s="261">
        <f t="shared" si="69"/>
        <v>0</v>
      </c>
      <c r="E58" s="261">
        <f t="shared" si="69"/>
        <v>0</v>
      </c>
      <c r="F58" s="261">
        <f t="shared" si="69"/>
        <v>181489.45227474708</v>
      </c>
      <c r="G58" s="261">
        <f t="shared" si="69"/>
        <v>261704.6929640969</v>
      </c>
      <c r="H58" s="261">
        <f t="shared" si="69"/>
        <v>306500.39020318515</v>
      </c>
      <c r="I58" s="261">
        <f t="shared" si="69"/>
        <v>352192.00138705468</v>
      </c>
      <c r="J58" s="261">
        <f t="shared" si="69"/>
        <v>398797.44479460106</v>
      </c>
      <c r="K58" s="261">
        <f t="shared" si="69"/>
        <v>446334.99707029969</v>
      </c>
      <c r="L58" s="261">
        <f t="shared" si="69"/>
        <v>494823.30039151176</v>
      </c>
      <c r="M58" s="261"/>
    </row>
    <row r="59" spans="1:15" s="181" customFormat="1" ht="10.5" x14ac:dyDescent="0.35">
      <c r="C59" s="186"/>
      <c r="D59" s="186"/>
      <c r="E59" s="186"/>
      <c r="F59" s="186"/>
      <c r="G59" s="186"/>
      <c r="H59" s="186"/>
      <c r="I59" s="186"/>
      <c r="J59" s="186"/>
      <c r="K59" s="186"/>
      <c r="L59" s="186"/>
      <c r="M59" s="186"/>
    </row>
    <row r="60" spans="1:15" s="181" customFormat="1" ht="10.5" x14ac:dyDescent="0.35">
      <c r="A60" s="293">
        <v>5</v>
      </c>
      <c r="B60" s="294" t="s">
        <v>228</v>
      </c>
      <c r="C60" s="186">
        <f t="shared" ref="C60:L60" si="70">IF(C$19&lt;=$A60,SUM(C$57:C$58),0)+IF(C$19=$A60,C$49,0)</f>
        <v>-5000000</v>
      </c>
      <c r="D60" s="186">
        <f t="shared" si="70"/>
        <v>0</v>
      </c>
      <c r="E60" s="186">
        <f t="shared" si="70"/>
        <v>0</v>
      </c>
      <c r="F60" s="186">
        <f t="shared" si="70"/>
        <v>-9245415.5477252528</v>
      </c>
      <c r="G60" s="465">
        <f t="shared" si="70"/>
        <v>21723707.405113045</v>
      </c>
      <c r="H60" s="186">
        <f t="shared" si="70"/>
        <v>0</v>
      </c>
      <c r="I60" s="186">
        <f t="shared" si="70"/>
        <v>0</v>
      </c>
      <c r="J60" s="186">
        <f t="shared" si="70"/>
        <v>0</v>
      </c>
      <c r="K60" s="186">
        <f t="shared" si="70"/>
        <v>0</v>
      </c>
      <c r="L60" s="186">
        <f t="shared" si="70"/>
        <v>0</v>
      </c>
      <c r="M60" s="186"/>
    </row>
    <row r="61" spans="1:15" s="181" customFormat="1" ht="10.5" x14ac:dyDescent="0.35">
      <c r="A61" s="511" t="s">
        <v>197</v>
      </c>
      <c r="B61" s="512">
        <f>IFERROR(IRR(C60:L60),"-")</f>
        <v>0.20592816109034429</v>
      </c>
      <c r="C61" s="258"/>
      <c r="D61" s="258"/>
      <c r="E61" s="258"/>
      <c r="F61" s="258"/>
      <c r="G61" s="258"/>
      <c r="H61" s="258"/>
      <c r="I61" s="258"/>
      <c r="J61" s="258"/>
      <c r="K61" s="258"/>
      <c r="L61" s="258"/>
      <c r="M61" s="258"/>
    </row>
    <row r="62" spans="1:15" s="181" customFormat="1" ht="10.5" x14ac:dyDescent="0.35"/>
    <row r="63" spans="1:15" s="181" customFormat="1" ht="10.5" x14ac:dyDescent="0.35">
      <c r="A63" s="293">
        <v>7</v>
      </c>
      <c r="B63" s="294" t="s">
        <v>228</v>
      </c>
      <c r="C63" s="186">
        <f t="shared" ref="C63:L63" si="71">IF(C$19&lt;=$A63,SUM(C$57:C$58),0)+IF(C$19=$A63,C$49,0)</f>
        <v>-5000000</v>
      </c>
      <c r="D63" s="186">
        <f t="shared" si="71"/>
        <v>0</v>
      </c>
      <c r="E63" s="186">
        <f t="shared" si="71"/>
        <v>0</v>
      </c>
      <c r="F63" s="186">
        <f t="shared" si="71"/>
        <v>-9245415.5477252528</v>
      </c>
      <c r="G63" s="186">
        <f t="shared" si="71"/>
        <v>261704.6929640969</v>
      </c>
      <c r="H63" s="186">
        <f t="shared" si="71"/>
        <v>306500.39020318515</v>
      </c>
      <c r="I63" s="465">
        <f t="shared" si="71"/>
        <v>26027716.568573561</v>
      </c>
      <c r="J63" s="186">
        <f t="shared" si="71"/>
        <v>0</v>
      </c>
      <c r="K63" s="186">
        <f t="shared" si="71"/>
        <v>0</v>
      </c>
      <c r="L63" s="186">
        <f t="shared" si="71"/>
        <v>0</v>
      </c>
      <c r="M63" s="186"/>
    </row>
    <row r="64" spans="1:15" s="181" customFormat="1" ht="10.5" x14ac:dyDescent="0.35">
      <c r="A64" s="470" t="s">
        <v>197</v>
      </c>
      <c r="B64" s="471">
        <f>IRR(C63:L63)</f>
        <v>0.16122753903303044</v>
      </c>
      <c r="C64" s="258"/>
      <c r="D64" s="258"/>
      <c r="E64" s="258"/>
      <c r="F64" s="258"/>
      <c r="G64" s="258"/>
      <c r="H64" s="258"/>
      <c r="I64" s="258"/>
      <c r="J64" s="258"/>
      <c r="K64" s="258"/>
      <c r="L64" s="258"/>
      <c r="M64" s="258"/>
    </row>
    <row r="65" spans="1:13" s="181" customFormat="1" ht="10.5" x14ac:dyDescent="0.35"/>
    <row r="66" spans="1:13" s="181" customFormat="1" ht="10.5" x14ac:dyDescent="0.35">
      <c r="A66" s="293">
        <v>10</v>
      </c>
      <c r="B66" s="294" t="s">
        <v>228</v>
      </c>
      <c r="C66" s="186">
        <f t="shared" ref="C66:L66" si="72">IF(C$19&lt;=$A66,SUM(C$57:C$58),0)+IF(C$19=$A66,C$49,0)</f>
        <v>-5000000</v>
      </c>
      <c r="D66" s="186">
        <f t="shared" si="72"/>
        <v>0</v>
      </c>
      <c r="E66" s="186">
        <f t="shared" si="72"/>
        <v>0</v>
      </c>
      <c r="F66" s="186">
        <f t="shared" si="72"/>
        <v>-9245415.5477252528</v>
      </c>
      <c r="G66" s="186">
        <f t="shared" si="72"/>
        <v>261704.6929640969</v>
      </c>
      <c r="H66" s="186">
        <f t="shared" si="72"/>
        <v>306500.39020318515</v>
      </c>
      <c r="I66" s="186">
        <f t="shared" si="72"/>
        <v>352192.00138705468</v>
      </c>
      <c r="J66" s="186">
        <f t="shared" si="72"/>
        <v>398797.44479460106</v>
      </c>
      <c r="K66" s="186">
        <f t="shared" si="72"/>
        <v>446334.99707029969</v>
      </c>
      <c r="L66" s="465">
        <f t="shared" si="72"/>
        <v>32892322.555513546</v>
      </c>
      <c r="M66" s="186"/>
    </row>
    <row r="67" spans="1:13" s="181" customFormat="1" ht="10.5" x14ac:dyDescent="0.35">
      <c r="A67" s="470" t="s">
        <v>197</v>
      </c>
      <c r="B67" s="471">
        <f>IRR(C66:L66)</f>
        <v>0.13515737554549911</v>
      </c>
      <c r="C67" s="258"/>
      <c r="D67" s="258"/>
      <c r="E67" s="258"/>
      <c r="F67" s="258"/>
      <c r="G67" s="258"/>
      <c r="H67" s="258"/>
      <c r="I67" s="258"/>
      <c r="J67" s="258"/>
      <c r="K67" s="258"/>
      <c r="L67" s="258"/>
      <c r="M67" s="258"/>
    </row>
    <row r="68" spans="1:13" s="181" customFormat="1" ht="10.5" x14ac:dyDescent="0.35"/>
    <row r="69" spans="1:13" s="181" customFormat="1" ht="10.5" x14ac:dyDescent="0.35"/>
    <row r="70" spans="1:13" s="181" customFormat="1" ht="10.5" x14ac:dyDescent="0.35">
      <c r="B70" s="449"/>
    </row>
    <row r="71" spans="1:13" s="181" customFormat="1" ht="10.5" x14ac:dyDescent="0.35"/>
    <row r="72" spans="1:13" s="181" customFormat="1" ht="10.5" x14ac:dyDescent="0.35"/>
    <row r="73" spans="1:13" s="181" customFormat="1" ht="10.5" x14ac:dyDescent="0.35"/>
    <row r="74" spans="1:13" s="181" customFormat="1" ht="10.5" x14ac:dyDescent="0.35">
      <c r="A74" s="181" t="s">
        <v>210</v>
      </c>
    </row>
    <row r="75" spans="1:13" s="181" customFormat="1" ht="10.5" x14ac:dyDescent="0.35">
      <c r="A75" s="257" t="s">
        <v>211</v>
      </c>
      <c r="B75" s="257" t="s">
        <v>212</v>
      </c>
      <c r="C75" s="257" t="s">
        <v>215</v>
      </c>
      <c r="D75" s="257" t="s">
        <v>205</v>
      </c>
      <c r="E75" s="257" t="s">
        <v>206</v>
      </c>
      <c r="F75" s="257" t="s">
        <v>213</v>
      </c>
      <c r="G75" s="257" t="s">
        <v>214</v>
      </c>
    </row>
    <row r="76" spans="1:13" s="181" customFormat="1" ht="10.5" x14ac:dyDescent="0.35">
      <c r="A76" s="182">
        <v>1</v>
      </c>
      <c r="B76" s="263">
        <f>EDATE(Schedule!$E$21,1)</f>
        <v>45717</v>
      </c>
      <c r="C76" s="182">
        <f>YEAR(B76)</f>
        <v>2025</v>
      </c>
      <c r="D76" s="186">
        <f t="shared" ref="D76:D107" si="73">PPMT($E$14/12,A76,$E$15*12,$F$76)</f>
        <v>-77937.820236935484</v>
      </c>
      <c r="E76" s="186">
        <f t="shared" ref="E76:E107" si="74">IPMT($E$14/12,A76,$E$15*12,$F$76)</f>
        <v>-86902.193845589776</v>
      </c>
      <c r="F76" s="186">
        <f>K14</f>
        <v>34760877.53823591</v>
      </c>
      <c r="G76" s="186">
        <f>F76+D76</f>
        <v>34682939.717998974</v>
      </c>
    </row>
    <row r="77" spans="1:13" s="181" customFormat="1" ht="10.5" x14ac:dyDescent="0.35">
      <c r="A77" s="182">
        <v>2</v>
      </c>
      <c r="B77" s="263">
        <f>EDATE(B76,1)</f>
        <v>45748</v>
      </c>
      <c r="C77" s="182">
        <f t="shared" ref="C77:C140" si="75">YEAR(B77)</f>
        <v>2025</v>
      </c>
      <c r="D77" s="186">
        <f t="shared" si="73"/>
        <v>-78132.664787527814</v>
      </c>
      <c r="E77" s="186">
        <f t="shared" si="74"/>
        <v>-86707.349294997461</v>
      </c>
      <c r="F77" s="186">
        <f>G76</f>
        <v>34682939.717998974</v>
      </c>
      <c r="G77" s="186">
        <f t="shared" ref="G77:G140" si="76">F77+D77</f>
        <v>34604807.053211443</v>
      </c>
    </row>
    <row r="78" spans="1:13" s="181" customFormat="1" ht="10.5" x14ac:dyDescent="0.35">
      <c r="A78" s="182">
        <v>3</v>
      </c>
      <c r="B78" s="263">
        <f t="shared" ref="B78:B141" si="77">EDATE(B77,1)</f>
        <v>45778</v>
      </c>
      <c r="C78" s="182">
        <f t="shared" si="75"/>
        <v>2025</v>
      </c>
      <c r="D78" s="186">
        <f t="shared" si="73"/>
        <v>-78327.996449496641</v>
      </c>
      <c r="E78" s="186">
        <f t="shared" si="74"/>
        <v>-86512.017633028605</v>
      </c>
      <c r="F78" s="186">
        <f t="shared" ref="F78:F141" si="78">G77</f>
        <v>34604807.053211443</v>
      </c>
      <c r="G78" s="186">
        <f t="shared" si="76"/>
        <v>34526479.056761943</v>
      </c>
    </row>
    <row r="79" spans="1:13" s="181" customFormat="1" ht="10.5" x14ac:dyDescent="0.35">
      <c r="A79" s="182">
        <v>4</v>
      </c>
      <c r="B79" s="263">
        <f t="shared" si="77"/>
        <v>45809</v>
      </c>
      <c r="C79" s="182">
        <f t="shared" si="75"/>
        <v>2025</v>
      </c>
      <c r="D79" s="186">
        <f t="shared" si="73"/>
        <v>-78523.816440620372</v>
      </c>
      <c r="E79" s="186">
        <f t="shared" si="74"/>
        <v>-86316.197641904873</v>
      </c>
      <c r="F79" s="186">
        <f t="shared" si="78"/>
        <v>34526479.056761943</v>
      </c>
      <c r="G79" s="186">
        <f t="shared" si="76"/>
        <v>34447955.240321323</v>
      </c>
    </row>
    <row r="80" spans="1:13" s="181" customFormat="1" ht="10.5" x14ac:dyDescent="0.35">
      <c r="A80" s="182">
        <v>5</v>
      </c>
      <c r="B80" s="263">
        <f t="shared" si="77"/>
        <v>45839</v>
      </c>
      <c r="C80" s="182">
        <f t="shared" si="75"/>
        <v>2025</v>
      </c>
      <c r="D80" s="186">
        <f t="shared" si="73"/>
        <v>-78720.12598172194</v>
      </c>
      <c r="E80" s="186">
        <f t="shared" si="74"/>
        <v>-86119.888100803335</v>
      </c>
      <c r="F80" s="186">
        <f t="shared" si="78"/>
        <v>34447955.240321323</v>
      </c>
      <c r="G80" s="186">
        <f t="shared" si="76"/>
        <v>34369235.114339605</v>
      </c>
    </row>
    <row r="81" spans="1:7" s="181" customFormat="1" ht="10.5" x14ac:dyDescent="0.35">
      <c r="A81" s="182">
        <v>6</v>
      </c>
      <c r="B81" s="263">
        <f t="shared" si="77"/>
        <v>45870</v>
      </c>
      <c r="C81" s="182">
        <f t="shared" si="75"/>
        <v>2025</v>
      </c>
      <c r="D81" s="186">
        <f t="shared" si="73"/>
        <v>-78916.926296676247</v>
      </c>
      <c r="E81" s="186">
        <f t="shared" si="74"/>
        <v>-85923.087785849028</v>
      </c>
      <c r="F81" s="186">
        <f t="shared" si="78"/>
        <v>34369235.114339605</v>
      </c>
      <c r="G81" s="186">
        <f t="shared" si="76"/>
        <v>34290318.188042931</v>
      </c>
    </row>
    <row r="82" spans="1:7" s="181" customFormat="1" ht="10.5" x14ac:dyDescent="0.35">
      <c r="A82" s="182">
        <v>7</v>
      </c>
      <c r="B82" s="263">
        <f t="shared" si="77"/>
        <v>45901</v>
      </c>
      <c r="C82" s="182">
        <f t="shared" si="75"/>
        <v>2025</v>
      </c>
      <c r="D82" s="186">
        <f t="shared" si="73"/>
        <v>-79114.218612417928</v>
      </c>
      <c r="E82" s="186">
        <f t="shared" si="74"/>
        <v>-85725.795470107332</v>
      </c>
      <c r="F82" s="186">
        <f t="shared" si="78"/>
        <v>34290318.188042931</v>
      </c>
      <c r="G82" s="186">
        <f t="shared" si="76"/>
        <v>34211203.969430514</v>
      </c>
    </row>
    <row r="83" spans="1:7" s="181" customFormat="1" ht="10.5" x14ac:dyDescent="0.35">
      <c r="A83" s="182">
        <v>8</v>
      </c>
      <c r="B83" s="263">
        <f t="shared" si="77"/>
        <v>45931</v>
      </c>
      <c r="C83" s="182">
        <f t="shared" si="75"/>
        <v>2025</v>
      </c>
      <c r="D83" s="186">
        <f t="shared" si="73"/>
        <v>-79312.004158948985</v>
      </c>
      <c r="E83" s="186">
        <f t="shared" si="74"/>
        <v>-85528.009923576305</v>
      </c>
      <c r="F83" s="186">
        <f t="shared" si="78"/>
        <v>34211203.969430514</v>
      </c>
      <c r="G83" s="186">
        <f t="shared" si="76"/>
        <v>34131891.965271562</v>
      </c>
    </row>
    <row r="84" spans="1:7" s="181" customFormat="1" ht="10.5" x14ac:dyDescent="0.35">
      <c r="A84" s="182">
        <v>9</v>
      </c>
      <c r="B84" s="263">
        <f t="shared" si="77"/>
        <v>45962</v>
      </c>
      <c r="C84" s="182">
        <f t="shared" si="75"/>
        <v>2025</v>
      </c>
      <c r="D84" s="186">
        <f t="shared" si="73"/>
        <v>-79510.284169346342</v>
      </c>
      <c r="E84" s="186">
        <f t="shared" si="74"/>
        <v>-85329.729913178933</v>
      </c>
      <c r="F84" s="186">
        <f t="shared" si="78"/>
        <v>34131891.965271562</v>
      </c>
      <c r="G84" s="186">
        <f t="shared" si="76"/>
        <v>34052381.681102216</v>
      </c>
    </row>
    <row r="85" spans="1:7" s="181" customFormat="1" ht="10.5" x14ac:dyDescent="0.35">
      <c r="A85" s="182">
        <v>10</v>
      </c>
      <c r="B85" s="263">
        <f t="shared" si="77"/>
        <v>45992</v>
      </c>
      <c r="C85" s="182">
        <f t="shared" si="75"/>
        <v>2025</v>
      </c>
      <c r="D85" s="186">
        <f t="shared" si="73"/>
        <v>-79709.059879769717</v>
      </c>
      <c r="E85" s="186">
        <f t="shared" si="74"/>
        <v>-85130.954202755544</v>
      </c>
      <c r="F85" s="186">
        <f t="shared" si="78"/>
        <v>34052381.681102216</v>
      </c>
      <c r="G85" s="186">
        <f t="shared" si="76"/>
        <v>33972672.621222444</v>
      </c>
    </row>
    <row r="86" spans="1:7" s="181" customFormat="1" ht="10.5" x14ac:dyDescent="0.35">
      <c r="A86" s="182">
        <v>11</v>
      </c>
      <c r="B86" s="263">
        <f t="shared" si="77"/>
        <v>46023</v>
      </c>
      <c r="C86" s="182">
        <f t="shared" si="75"/>
        <v>2026</v>
      </c>
      <c r="D86" s="186">
        <f t="shared" si="73"/>
        <v>-79908.332529469146</v>
      </c>
      <c r="E86" s="186">
        <f t="shared" si="74"/>
        <v>-84931.681553056129</v>
      </c>
      <c r="F86" s="186">
        <f t="shared" si="78"/>
        <v>33972672.621222444</v>
      </c>
      <c r="G86" s="186">
        <f t="shared" si="76"/>
        <v>33892764.288692974</v>
      </c>
    </row>
    <row r="87" spans="1:7" s="181" customFormat="1" ht="10.5" x14ac:dyDescent="0.35">
      <c r="A87" s="182">
        <v>12</v>
      </c>
      <c r="B87" s="263">
        <f t="shared" si="77"/>
        <v>46054</v>
      </c>
      <c r="C87" s="182">
        <f t="shared" si="75"/>
        <v>2026</v>
      </c>
      <c r="D87" s="186">
        <f t="shared" si="73"/>
        <v>-80108.103360792811</v>
      </c>
      <c r="E87" s="186">
        <f t="shared" si="74"/>
        <v>-84731.910721732434</v>
      </c>
      <c r="F87" s="186">
        <f t="shared" si="78"/>
        <v>33892764.288692974</v>
      </c>
      <c r="G87" s="186">
        <f t="shared" si="76"/>
        <v>33812656.185332179</v>
      </c>
    </row>
    <row r="88" spans="1:7" s="181" customFormat="1" ht="10.5" x14ac:dyDescent="0.35">
      <c r="A88" s="182">
        <v>13</v>
      </c>
      <c r="B88" s="263">
        <f t="shared" si="77"/>
        <v>46082</v>
      </c>
      <c r="C88" s="182">
        <f t="shared" si="75"/>
        <v>2026</v>
      </c>
      <c r="D88" s="186">
        <f t="shared" si="73"/>
        <v>-80308.373619194797</v>
      </c>
      <c r="E88" s="186">
        <f t="shared" si="74"/>
        <v>-84531.640463330463</v>
      </c>
      <c r="F88" s="186">
        <f t="shared" si="78"/>
        <v>33812656.185332179</v>
      </c>
      <c r="G88" s="186">
        <f t="shared" si="76"/>
        <v>33732347.811712988</v>
      </c>
    </row>
    <row r="89" spans="1:7" s="181" customFormat="1" ht="10.5" x14ac:dyDescent="0.35">
      <c r="A89" s="182">
        <v>14</v>
      </c>
      <c r="B89" s="263">
        <f t="shared" si="77"/>
        <v>46113</v>
      </c>
      <c r="C89" s="182">
        <f t="shared" si="75"/>
        <v>2026</v>
      </c>
      <c r="D89" s="186">
        <f t="shared" si="73"/>
        <v>-80509.144553242775</v>
      </c>
      <c r="E89" s="186">
        <f t="shared" si="74"/>
        <v>-84330.869529282485</v>
      </c>
      <c r="F89" s="186">
        <f t="shared" si="78"/>
        <v>33732347.811712988</v>
      </c>
      <c r="G89" s="186">
        <f t="shared" si="76"/>
        <v>33651838.667159744</v>
      </c>
    </row>
    <row r="90" spans="1:7" s="181" customFormat="1" ht="10.5" x14ac:dyDescent="0.35">
      <c r="A90" s="182">
        <v>15</v>
      </c>
      <c r="B90" s="263">
        <f t="shared" si="77"/>
        <v>46143</v>
      </c>
      <c r="C90" s="182">
        <f t="shared" si="75"/>
        <v>2026</v>
      </c>
      <c r="D90" s="186">
        <f t="shared" si="73"/>
        <v>-80710.417414625888</v>
      </c>
      <c r="E90" s="186">
        <f t="shared" si="74"/>
        <v>-84129.596667899401</v>
      </c>
      <c r="F90" s="186">
        <f t="shared" si="78"/>
        <v>33651838.667159744</v>
      </c>
      <c r="G90" s="186">
        <f t="shared" si="76"/>
        <v>33571128.249745116</v>
      </c>
    </row>
    <row r="91" spans="1:7" s="181" customFormat="1" ht="10.5" x14ac:dyDescent="0.35">
      <c r="A91" s="182">
        <v>16</v>
      </c>
      <c r="B91" s="263">
        <f t="shared" si="77"/>
        <v>46174</v>
      </c>
      <c r="C91" s="182">
        <f t="shared" si="75"/>
        <v>2026</v>
      </c>
      <c r="D91" s="186">
        <f t="shared" si="73"/>
        <v>-80912.193458162452</v>
      </c>
      <c r="E91" s="186">
        <f t="shared" si="74"/>
        <v>-83927.820624362823</v>
      </c>
      <c r="F91" s="186">
        <f t="shared" si="78"/>
        <v>33571128.249745116</v>
      </c>
      <c r="G91" s="186">
        <f t="shared" si="76"/>
        <v>33490216.056286953</v>
      </c>
    </row>
    <row r="92" spans="1:7" s="181" customFormat="1" ht="10.5" x14ac:dyDescent="0.35">
      <c r="A92" s="182">
        <v>17</v>
      </c>
      <c r="B92" s="263">
        <f t="shared" si="77"/>
        <v>46204</v>
      </c>
      <c r="C92" s="182">
        <f t="shared" si="75"/>
        <v>2026</v>
      </c>
      <c r="D92" s="186">
        <f t="shared" si="73"/>
        <v>-81114.473941807853</v>
      </c>
      <c r="E92" s="186">
        <f t="shared" si="74"/>
        <v>-83725.540140717407</v>
      </c>
      <c r="F92" s="186">
        <f t="shared" si="78"/>
        <v>33490216.056286953</v>
      </c>
      <c r="G92" s="186">
        <f t="shared" si="76"/>
        <v>33409101.582345147</v>
      </c>
    </row>
    <row r="93" spans="1:7" s="181" customFormat="1" ht="10.5" x14ac:dyDescent="0.35">
      <c r="A93" s="182">
        <v>18</v>
      </c>
      <c r="B93" s="263">
        <f t="shared" si="77"/>
        <v>46235</v>
      </c>
      <c r="C93" s="182">
        <f t="shared" si="75"/>
        <v>2026</v>
      </c>
      <c r="D93" s="186">
        <f t="shared" si="73"/>
        <v>-81317.260126662382</v>
      </c>
      <c r="E93" s="186">
        <f t="shared" si="74"/>
        <v>-83522.753955862863</v>
      </c>
      <c r="F93" s="186">
        <f t="shared" si="78"/>
        <v>33409101.582345147</v>
      </c>
      <c r="G93" s="186">
        <f t="shared" si="76"/>
        <v>33327784.322218485</v>
      </c>
    </row>
    <row r="94" spans="1:7" s="181" customFormat="1" ht="10.5" x14ac:dyDescent="0.35">
      <c r="A94" s="182">
        <v>19</v>
      </c>
      <c r="B94" s="263">
        <f t="shared" si="77"/>
        <v>46266</v>
      </c>
      <c r="C94" s="182">
        <f t="shared" si="75"/>
        <v>2026</v>
      </c>
      <c r="D94" s="186">
        <f t="shared" si="73"/>
        <v>-81520.553276979044</v>
      </c>
      <c r="E94" s="186">
        <f t="shared" si="74"/>
        <v>-83319.46080554623</v>
      </c>
      <c r="F94" s="186">
        <f t="shared" si="78"/>
        <v>33327784.322218485</v>
      </c>
      <c r="G94" s="186">
        <f t="shared" si="76"/>
        <v>33246263.768941507</v>
      </c>
    </row>
    <row r="95" spans="1:7" s="181" customFormat="1" ht="10.5" x14ac:dyDescent="0.35">
      <c r="A95" s="182">
        <v>20</v>
      </c>
      <c r="B95" s="263">
        <f t="shared" si="77"/>
        <v>46296</v>
      </c>
      <c r="C95" s="182">
        <f t="shared" si="75"/>
        <v>2026</v>
      </c>
      <c r="D95" s="186">
        <f t="shared" si="73"/>
        <v>-81724.354660171492</v>
      </c>
      <c r="E95" s="186">
        <f t="shared" si="74"/>
        <v>-83115.659422353783</v>
      </c>
      <c r="F95" s="186">
        <f t="shared" si="78"/>
        <v>33246263.768941507</v>
      </c>
      <c r="G95" s="186">
        <f t="shared" si="76"/>
        <v>33164539.414281335</v>
      </c>
    </row>
    <row r="96" spans="1:7" s="181" customFormat="1" ht="10.5" x14ac:dyDescent="0.35">
      <c r="A96" s="182">
        <v>21</v>
      </c>
      <c r="B96" s="263">
        <f t="shared" si="77"/>
        <v>46327</v>
      </c>
      <c r="C96" s="182">
        <f t="shared" si="75"/>
        <v>2026</v>
      </c>
      <c r="D96" s="186">
        <f t="shared" si="73"/>
        <v>-81928.665546821911</v>
      </c>
      <c r="E96" s="186">
        <f t="shared" si="74"/>
        <v>-82911.34853570335</v>
      </c>
      <c r="F96" s="186">
        <f t="shared" si="78"/>
        <v>33164539.414281335</v>
      </c>
      <c r="G96" s="186">
        <f t="shared" si="76"/>
        <v>33082610.748734511</v>
      </c>
    </row>
    <row r="97" spans="1:7" s="181" customFormat="1" ht="10.5" x14ac:dyDescent="0.35">
      <c r="A97" s="182">
        <v>22</v>
      </c>
      <c r="B97" s="263">
        <f t="shared" si="77"/>
        <v>46357</v>
      </c>
      <c r="C97" s="182">
        <f t="shared" si="75"/>
        <v>2026</v>
      </c>
      <c r="D97" s="186">
        <f t="shared" si="73"/>
        <v>-82133.487210688967</v>
      </c>
      <c r="E97" s="186">
        <f t="shared" si="74"/>
        <v>-82706.526871836308</v>
      </c>
      <c r="F97" s="186">
        <f t="shared" si="78"/>
        <v>33082610.748734511</v>
      </c>
      <c r="G97" s="186">
        <f t="shared" si="76"/>
        <v>33000477.261523824</v>
      </c>
    </row>
    <row r="98" spans="1:7" s="181" customFormat="1" ht="10.5" x14ac:dyDescent="0.35">
      <c r="A98" s="182">
        <v>23</v>
      </c>
      <c r="B98" s="263">
        <f t="shared" si="77"/>
        <v>46388</v>
      </c>
      <c r="C98" s="182">
        <f t="shared" si="75"/>
        <v>2027</v>
      </c>
      <c r="D98" s="186">
        <f t="shared" si="73"/>
        <v>-82338.820928715679</v>
      </c>
      <c r="E98" s="186">
        <f t="shared" si="74"/>
        <v>-82501.193153809567</v>
      </c>
      <c r="F98" s="186">
        <f t="shared" si="78"/>
        <v>33000477.261523824</v>
      </c>
      <c r="G98" s="186">
        <f t="shared" si="76"/>
        <v>32918138.440595109</v>
      </c>
    </row>
    <row r="99" spans="1:7" s="181" customFormat="1" ht="10.5" x14ac:dyDescent="0.35">
      <c r="A99" s="182">
        <v>24</v>
      </c>
      <c r="B99" s="263">
        <f t="shared" si="77"/>
        <v>46419</v>
      </c>
      <c r="C99" s="182">
        <f t="shared" si="75"/>
        <v>2027</v>
      </c>
      <c r="D99" s="186">
        <f t="shared" si="73"/>
        <v>-82544.667981037477</v>
      </c>
      <c r="E99" s="186">
        <f t="shared" si="74"/>
        <v>-82295.346101487783</v>
      </c>
      <c r="F99" s="186">
        <f t="shared" si="78"/>
        <v>32918138.440595109</v>
      </c>
      <c r="G99" s="186">
        <f t="shared" si="76"/>
        <v>32835593.772614073</v>
      </c>
    </row>
    <row r="100" spans="1:7" s="181" customFormat="1" ht="10.5" x14ac:dyDescent="0.35">
      <c r="A100" s="182">
        <v>25</v>
      </c>
      <c r="B100" s="263">
        <f t="shared" si="77"/>
        <v>46447</v>
      </c>
      <c r="C100" s="182">
        <f t="shared" si="75"/>
        <v>2027</v>
      </c>
      <c r="D100" s="186">
        <f t="shared" si="73"/>
        <v>-82751.029650990065</v>
      </c>
      <c r="E100" s="186">
        <f t="shared" si="74"/>
        <v>-82088.984431535195</v>
      </c>
      <c r="F100" s="186">
        <f t="shared" si="78"/>
        <v>32835593.772614073</v>
      </c>
      <c r="G100" s="186">
        <f t="shared" si="76"/>
        <v>32752842.742963083</v>
      </c>
    </row>
    <row r="101" spans="1:7" s="181" customFormat="1" ht="10.5" x14ac:dyDescent="0.35">
      <c r="A101" s="182">
        <v>26</v>
      </c>
      <c r="B101" s="263">
        <f t="shared" si="77"/>
        <v>46478</v>
      </c>
      <c r="C101" s="182">
        <f t="shared" si="75"/>
        <v>2027</v>
      </c>
      <c r="D101" s="186">
        <f t="shared" si="73"/>
        <v>-82957.907225117538</v>
      </c>
      <c r="E101" s="186">
        <f t="shared" si="74"/>
        <v>-81882.106857407722</v>
      </c>
      <c r="F101" s="186">
        <f t="shared" si="78"/>
        <v>32752842.742963083</v>
      </c>
      <c r="G101" s="186">
        <f t="shared" si="76"/>
        <v>32669884.835737966</v>
      </c>
    </row>
    <row r="102" spans="1:7" s="181" customFormat="1" ht="10.5" x14ac:dyDescent="0.35">
      <c r="A102" s="182">
        <v>27</v>
      </c>
      <c r="B102" s="263">
        <f t="shared" si="77"/>
        <v>46508</v>
      </c>
      <c r="C102" s="182">
        <f t="shared" si="75"/>
        <v>2027</v>
      </c>
      <c r="D102" s="186">
        <f t="shared" si="73"/>
        <v>-83165.301993180328</v>
      </c>
      <c r="E102" s="186">
        <f t="shared" si="74"/>
        <v>-81674.712089344917</v>
      </c>
      <c r="F102" s="186">
        <f t="shared" si="78"/>
        <v>32669884.835737966</v>
      </c>
      <c r="G102" s="186">
        <f t="shared" si="76"/>
        <v>32586719.533744786</v>
      </c>
    </row>
    <row r="103" spans="1:7" s="181" customFormat="1" ht="10.5" x14ac:dyDescent="0.35">
      <c r="A103" s="182">
        <v>28</v>
      </c>
      <c r="B103" s="263">
        <f t="shared" si="77"/>
        <v>46539</v>
      </c>
      <c r="C103" s="182">
        <f t="shared" si="75"/>
        <v>2027</v>
      </c>
      <c r="D103" s="186">
        <f t="shared" si="73"/>
        <v>-83373.215248163295</v>
      </c>
      <c r="E103" s="186">
        <f t="shared" si="74"/>
        <v>-81466.79883436198</v>
      </c>
      <c r="F103" s="186">
        <f t="shared" si="78"/>
        <v>32586719.533744786</v>
      </c>
      <c r="G103" s="186">
        <f t="shared" si="76"/>
        <v>32503346.318496622</v>
      </c>
    </row>
    <row r="104" spans="1:7" s="181" customFormat="1" ht="10.5" x14ac:dyDescent="0.35">
      <c r="A104" s="182">
        <v>29</v>
      </c>
      <c r="B104" s="263">
        <f t="shared" si="77"/>
        <v>46569</v>
      </c>
      <c r="C104" s="182">
        <f t="shared" si="75"/>
        <v>2027</v>
      </c>
      <c r="D104" s="186">
        <f t="shared" si="73"/>
        <v>-83581.6482862837</v>
      </c>
      <c r="E104" s="186">
        <f t="shared" si="74"/>
        <v>-81258.365796241575</v>
      </c>
      <c r="F104" s="186">
        <f t="shared" si="78"/>
        <v>32503346.318496622</v>
      </c>
      <c r="G104" s="186">
        <f t="shared" si="76"/>
        <v>32419764.670210339</v>
      </c>
    </row>
    <row r="105" spans="1:7" s="181" customFormat="1" ht="10.5" x14ac:dyDescent="0.35">
      <c r="A105" s="182">
        <v>30</v>
      </c>
      <c r="B105" s="263">
        <f t="shared" si="77"/>
        <v>46600</v>
      </c>
      <c r="C105" s="182">
        <f t="shared" si="75"/>
        <v>2027</v>
      </c>
      <c r="D105" s="186">
        <f t="shared" si="73"/>
        <v>-83790.602406999402</v>
      </c>
      <c r="E105" s="186">
        <f t="shared" si="74"/>
        <v>-81049.411675525844</v>
      </c>
      <c r="F105" s="186">
        <f t="shared" si="78"/>
        <v>32419764.670210339</v>
      </c>
      <c r="G105" s="186">
        <f t="shared" si="76"/>
        <v>32335974.067803338</v>
      </c>
    </row>
    <row r="106" spans="1:7" s="181" customFormat="1" ht="10.5" x14ac:dyDescent="0.35">
      <c r="A106" s="182">
        <v>31</v>
      </c>
      <c r="B106" s="263">
        <f t="shared" si="77"/>
        <v>46631</v>
      </c>
      <c r="C106" s="182">
        <f t="shared" si="75"/>
        <v>2027</v>
      </c>
      <c r="D106" s="186">
        <f t="shared" si="73"/>
        <v>-84000.078913016914</v>
      </c>
      <c r="E106" s="186">
        <f t="shared" si="74"/>
        <v>-80839.935169508361</v>
      </c>
      <c r="F106" s="186">
        <f t="shared" si="78"/>
        <v>32335974.067803338</v>
      </c>
      <c r="G106" s="186">
        <f t="shared" si="76"/>
        <v>32251973.98889032</v>
      </c>
    </row>
    <row r="107" spans="1:7" s="181" customFormat="1" ht="10.5" x14ac:dyDescent="0.35">
      <c r="A107" s="182">
        <v>32</v>
      </c>
      <c r="B107" s="263">
        <f t="shared" si="77"/>
        <v>46661</v>
      </c>
      <c r="C107" s="182">
        <f t="shared" si="75"/>
        <v>2027</v>
      </c>
      <c r="D107" s="186">
        <f t="shared" si="73"/>
        <v>-84210.079110299441</v>
      </c>
      <c r="E107" s="186">
        <f t="shared" si="74"/>
        <v>-80629.934972225819</v>
      </c>
      <c r="F107" s="186">
        <f t="shared" si="78"/>
        <v>32251973.98889032</v>
      </c>
      <c r="G107" s="186">
        <f t="shared" si="76"/>
        <v>32167763.909780022</v>
      </c>
    </row>
    <row r="108" spans="1:7" s="181" customFormat="1" ht="10.5" x14ac:dyDescent="0.35">
      <c r="A108" s="182">
        <v>33</v>
      </c>
      <c r="B108" s="263">
        <f t="shared" si="77"/>
        <v>46692</v>
      </c>
      <c r="C108" s="182">
        <f t="shared" si="75"/>
        <v>2027</v>
      </c>
      <c r="D108" s="186">
        <f t="shared" ref="D108:D139" si="79">PPMT($E$14/12,A108,$E$15*12,$F$76)</f>
        <v>-84420.604308075199</v>
      </c>
      <c r="E108" s="186">
        <f t="shared" ref="E108:E139" si="80">IPMT($E$14/12,A108,$E$15*12,$F$76)</f>
        <v>-80419.409774450061</v>
      </c>
      <c r="F108" s="186">
        <f t="shared" si="78"/>
        <v>32167763.909780022</v>
      </c>
      <c r="G108" s="186">
        <f t="shared" si="76"/>
        <v>32083343.305471946</v>
      </c>
    </row>
    <row r="109" spans="1:7" s="181" customFormat="1" ht="10.5" x14ac:dyDescent="0.35">
      <c r="A109" s="182">
        <v>34</v>
      </c>
      <c r="B109" s="263">
        <f t="shared" si="77"/>
        <v>46722</v>
      </c>
      <c r="C109" s="182">
        <f t="shared" si="75"/>
        <v>2027</v>
      </c>
      <c r="D109" s="186">
        <f t="shared" si="79"/>
        <v>-84631.655818845393</v>
      </c>
      <c r="E109" s="186">
        <f t="shared" si="80"/>
        <v>-80208.358263679882</v>
      </c>
      <c r="F109" s="186">
        <f t="shared" si="78"/>
        <v>32083343.305471946</v>
      </c>
      <c r="G109" s="186">
        <f t="shared" si="76"/>
        <v>31998711.649653099</v>
      </c>
    </row>
    <row r="110" spans="1:7" s="181" customFormat="1" ht="10.5" x14ac:dyDescent="0.35">
      <c r="A110" s="182">
        <v>35</v>
      </c>
      <c r="B110" s="263">
        <f t="shared" si="77"/>
        <v>46753</v>
      </c>
      <c r="C110" s="182">
        <f t="shared" si="75"/>
        <v>2028</v>
      </c>
      <c r="D110" s="186">
        <f t="shared" si="79"/>
        <v>-84843.234958392495</v>
      </c>
      <c r="E110" s="186">
        <f t="shared" si="80"/>
        <v>-79996.779124132765</v>
      </c>
      <c r="F110" s="186">
        <f t="shared" si="78"/>
        <v>31998711.649653099</v>
      </c>
      <c r="G110" s="186">
        <f t="shared" si="76"/>
        <v>31913868.414694708</v>
      </c>
    </row>
    <row r="111" spans="1:7" s="181" customFormat="1" ht="10.5" x14ac:dyDescent="0.35">
      <c r="A111" s="182">
        <v>36</v>
      </c>
      <c r="B111" s="263">
        <f t="shared" si="77"/>
        <v>46784</v>
      </c>
      <c r="C111" s="182">
        <f t="shared" si="75"/>
        <v>2028</v>
      </c>
      <c r="D111" s="186">
        <f t="shared" si="79"/>
        <v>-85055.343045788482</v>
      </c>
      <c r="E111" s="186">
        <f t="shared" si="80"/>
        <v>-79784.671036736778</v>
      </c>
      <c r="F111" s="186">
        <f t="shared" si="78"/>
        <v>31913868.414694708</v>
      </c>
      <c r="G111" s="186">
        <f t="shared" si="76"/>
        <v>31828813.071648918</v>
      </c>
    </row>
    <row r="112" spans="1:7" s="181" customFormat="1" ht="10.5" x14ac:dyDescent="0.35">
      <c r="A112" s="182">
        <v>37</v>
      </c>
      <c r="B112" s="263">
        <f t="shared" si="77"/>
        <v>46813</v>
      </c>
      <c r="C112" s="182">
        <f t="shared" si="75"/>
        <v>2028</v>
      </c>
      <c r="D112" s="186">
        <f t="shared" si="79"/>
        <v>-85267.981403402955</v>
      </c>
      <c r="E112" s="186">
        <f t="shared" si="80"/>
        <v>-79572.032679122291</v>
      </c>
      <c r="F112" s="186">
        <f t="shared" si="78"/>
        <v>31828813.071648918</v>
      </c>
      <c r="G112" s="186">
        <f t="shared" si="76"/>
        <v>31743545.090245515</v>
      </c>
    </row>
    <row r="113" spans="1:7" s="181" customFormat="1" ht="10.5" x14ac:dyDescent="0.35">
      <c r="A113" s="182">
        <v>38</v>
      </c>
      <c r="B113" s="263">
        <f t="shared" si="77"/>
        <v>46844</v>
      </c>
      <c r="C113" s="182">
        <f t="shared" si="75"/>
        <v>2028</v>
      </c>
      <c r="D113" s="186">
        <f t="shared" si="79"/>
        <v>-85481.151356911476</v>
      </c>
      <c r="E113" s="186">
        <f t="shared" si="80"/>
        <v>-79358.862725613813</v>
      </c>
      <c r="F113" s="186">
        <f t="shared" si="78"/>
        <v>31743545.090245515</v>
      </c>
      <c r="G113" s="186">
        <f t="shared" si="76"/>
        <v>31658063.938888602</v>
      </c>
    </row>
    <row r="114" spans="1:7" s="181" customFormat="1" ht="10.5" x14ac:dyDescent="0.35">
      <c r="A114" s="182">
        <v>39</v>
      </c>
      <c r="B114" s="263">
        <f t="shared" si="77"/>
        <v>46874</v>
      </c>
      <c r="C114" s="182">
        <f t="shared" si="75"/>
        <v>2028</v>
      </c>
      <c r="D114" s="186">
        <f t="shared" si="79"/>
        <v>-85694.854235303719</v>
      </c>
      <c r="E114" s="186">
        <f t="shared" si="80"/>
        <v>-79145.159847221526</v>
      </c>
      <c r="F114" s="186">
        <f t="shared" si="78"/>
        <v>31658063.938888602</v>
      </c>
      <c r="G114" s="186">
        <f t="shared" si="76"/>
        <v>31572369.084653299</v>
      </c>
    </row>
    <row r="115" spans="1:7" s="181" customFormat="1" ht="10.5" x14ac:dyDescent="0.35">
      <c r="A115" s="182">
        <v>40</v>
      </c>
      <c r="B115" s="263">
        <f t="shared" si="77"/>
        <v>46905</v>
      </c>
      <c r="C115" s="182">
        <f t="shared" si="75"/>
        <v>2028</v>
      </c>
      <c r="D115" s="186">
        <f t="shared" si="79"/>
        <v>-85909.091370891983</v>
      </c>
      <c r="E115" s="186">
        <f t="shared" si="80"/>
        <v>-78930.922711633262</v>
      </c>
      <c r="F115" s="186">
        <f t="shared" si="78"/>
        <v>31572369.084653299</v>
      </c>
      <c r="G115" s="186">
        <f t="shared" si="76"/>
        <v>31486459.993282408</v>
      </c>
    </row>
    <row r="116" spans="1:7" s="181" customFormat="1" ht="10.5" x14ac:dyDescent="0.35">
      <c r="A116" s="182">
        <v>41</v>
      </c>
      <c r="B116" s="263">
        <f t="shared" si="77"/>
        <v>46935</v>
      </c>
      <c r="C116" s="182">
        <f t="shared" si="75"/>
        <v>2028</v>
      </c>
      <c r="D116" s="186">
        <f t="shared" si="79"/>
        <v>-86123.864099319224</v>
      </c>
      <c r="E116" s="186">
        <f t="shared" si="80"/>
        <v>-78716.149983206036</v>
      </c>
      <c r="F116" s="186">
        <f t="shared" si="78"/>
        <v>31486459.993282408</v>
      </c>
      <c r="G116" s="186">
        <f t="shared" si="76"/>
        <v>31400336.129183087</v>
      </c>
    </row>
    <row r="117" spans="1:7" s="181" customFormat="1" ht="10.5" x14ac:dyDescent="0.35">
      <c r="A117" s="182">
        <v>42</v>
      </c>
      <c r="B117" s="263">
        <f t="shared" si="77"/>
        <v>46966</v>
      </c>
      <c r="C117" s="182">
        <f t="shared" si="75"/>
        <v>2028</v>
      </c>
      <c r="D117" s="186">
        <f t="shared" si="79"/>
        <v>-86339.173759567537</v>
      </c>
      <c r="E117" s="186">
        <f t="shared" si="80"/>
        <v>-78500.840322957753</v>
      </c>
      <c r="F117" s="186">
        <f t="shared" si="78"/>
        <v>31400336.129183087</v>
      </c>
      <c r="G117" s="186">
        <f t="shared" si="76"/>
        <v>31313996.955423519</v>
      </c>
    </row>
    <row r="118" spans="1:7" s="181" customFormat="1" ht="10.5" x14ac:dyDescent="0.35">
      <c r="A118" s="182">
        <v>43</v>
      </c>
      <c r="B118" s="263">
        <f t="shared" si="77"/>
        <v>46997</v>
      </c>
      <c r="C118" s="182">
        <f t="shared" si="75"/>
        <v>2028</v>
      </c>
      <c r="D118" s="186">
        <f t="shared" si="79"/>
        <v>-86555.021693966453</v>
      </c>
      <c r="E118" s="186">
        <f t="shared" si="80"/>
        <v>-78284.992388558821</v>
      </c>
      <c r="F118" s="186">
        <f t="shared" si="78"/>
        <v>31313996.955423519</v>
      </c>
      <c r="G118" s="186">
        <f t="shared" si="76"/>
        <v>31227441.933729552</v>
      </c>
    </row>
    <row r="119" spans="1:7" s="181" customFormat="1" ht="10.5" x14ac:dyDescent="0.35">
      <c r="A119" s="182">
        <v>44</v>
      </c>
      <c r="B119" s="263">
        <f t="shared" si="77"/>
        <v>47027</v>
      </c>
      <c r="C119" s="182">
        <f t="shared" si="75"/>
        <v>2028</v>
      </c>
      <c r="D119" s="186">
        <f t="shared" si="79"/>
        <v>-86771.409248201366</v>
      </c>
      <c r="E119" s="186">
        <f t="shared" si="80"/>
        <v>-78068.604834323894</v>
      </c>
      <c r="F119" s="186">
        <f t="shared" si="78"/>
        <v>31227441.933729552</v>
      </c>
      <c r="G119" s="186">
        <f t="shared" si="76"/>
        <v>31140670.524481349</v>
      </c>
    </row>
    <row r="120" spans="1:7" s="181" customFormat="1" ht="10.5" x14ac:dyDescent="0.35">
      <c r="A120" s="182">
        <v>45</v>
      </c>
      <c r="B120" s="263">
        <f t="shared" si="77"/>
        <v>47058</v>
      </c>
      <c r="C120" s="182">
        <f t="shared" si="75"/>
        <v>2028</v>
      </c>
      <c r="D120" s="186">
        <f t="shared" si="79"/>
        <v>-86988.337771321851</v>
      </c>
      <c r="E120" s="186">
        <f t="shared" si="80"/>
        <v>-77851.676311203395</v>
      </c>
      <c r="F120" s="186">
        <f t="shared" si="78"/>
        <v>31140670.524481349</v>
      </c>
      <c r="G120" s="186">
        <f t="shared" si="76"/>
        <v>31053682.186710026</v>
      </c>
    </row>
    <row r="121" spans="1:7" s="181" customFormat="1" ht="10.5" x14ac:dyDescent="0.35">
      <c r="A121" s="182">
        <v>46</v>
      </c>
      <c r="B121" s="263">
        <f t="shared" si="77"/>
        <v>47088</v>
      </c>
      <c r="C121" s="182">
        <f t="shared" si="75"/>
        <v>2028</v>
      </c>
      <c r="D121" s="186">
        <f t="shared" si="79"/>
        <v>-87205.808615750168</v>
      </c>
      <c r="E121" s="186">
        <f t="shared" si="80"/>
        <v>-77634.205466775093</v>
      </c>
      <c r="F121" s="186">
        <f t="shared" si="78"/>
        <v>31053682.186710026</v>
      </c>
      <c r="G121" s="186">
        <f t="shared" si="76"/>
        <v>30966476.378094275</v>
      </c>
    </row>
    <row r="122" spans="1:7" s="181" customFormat="1" ht="10.5" x14ac:dyDescent="0.35">
      <c r="A122" s="182">
        <v>47</v>
      </c>
      <c r="B122" s="263">
        <f t="shared" si="77"/>
        <v>47119</v>
      </c>
      <c r="C122" s="182">
        <f t="shared" si="75"/>
        <v>2029</v>
      </c>
      <c r="D122" s="186">
        <f t="shared" si="79"/>
        <v>-87423.823137289553</v>
      </c>
      <c r="E122" s="186">
        <f t="shared" si="80"/>
        <v>-77416.190945235721</v>
      </c>
      <c r="F122" s="186">
        <f t="shared" si="78"/>
        <v>30966476.378094275</v>
      </c>
      <c r="G122" s="186">
        <f t="shared" si="76"/>
        <v>30879052.554956984</v>
      </c>
    </row>
    <row r="123" spans="1:7" s="181" customFormat="1" ht="10.5" x14ac:dyDescent="0.35">
      <c r="A123" s="182">
        <v>48</v>
      </c>
      <c r="B123" s="263">
        <f t="shared" si="77"/>
        <v>47150</v>
      </c>
      <c r="C123" s="182">
        <f t="shared" si="75"/>
        <v>2029</v>
      </c>
      <c r="D123" s="186">
        <f t="shared" si="79"/>
        <v>-87642.38269513275</v>
      </c>
      <c r="E123" s="186">
        <f t="shared" si="80"/>
        <v>-77197.63138739251</v>
      </c>
      <c r="F123" s="186">
        <f t="shared" si="78"/>
        <v>30879052.554956984</v>
      </c>
      <c r="G123" s="186">
        <f t="shared" si="76"/>
        <v>30791410.172261853</v>
      </c>
    </row>
    <row r="124" spans="1:7" s="181" customFormat="1" ht="10.5" x14ac:dyDescent="0.35">
      <c r="A124" s="182">
        <v>49</v>
      </c>
      <c r="B124" s="263">
        <f t="shared" si="77"/>
        <v>47178</v>
      </c>
      <c r="C124" s="182">
        <f t="shared" si="75"/>
        <v>2029</v>
      </c>
      <c r="D124" s="186">
        <f t="shared" si="79"/>
        <v>-87861.488651870604</v>
      </c>
      <c r="E124" s="186">
        <f t="shared" si="80"/>
        <v>-76978.525430654656</v>
      </c>
      <c r="F124" s="186">
        <f t="shared" si="78"/>
        <v>30791410.172261853</v>
      </c>
      <c r="G124" s="186">
        <f t="shared" si="76"/>
        <v>30703548.683609981</v>
      </c>
    </row>
    <row r="125" spans="1:7" s="181" customFormat="1" ht="10.5" x14ac:dyDescent="0.35">
      <c r="A125" s="182">
        <v>50</v>
      </c>
      <c r="B125" s="263">
        <f t="shared" si="77"/>
        <v>47209</v>
      </c>
      <c r="C125" s="182">
        <f t="shared" si="75"/>
        <v>2029</v>
      </c>
      <c r="D125" s="186">
        <f t="shared" si="79"/>
        <v>-88081.142373500275</v>
      </c>
      <c r="E125" s="186">
        <f t="shared" si="80"/>
        <v>-76758.871709024999</v>
      </c>
      <c r="F125" s="186">
        <f t="shared" si="78"/>
        <v>30703548.683609981</v>
      </c>
      <c r="G125" s="186">
        <f t="shared" si="76"/>
        <v>30615467.541236483</v>
      </c>
    </row>
    <row r="126" spans="1:7" s="181" customFormat="1" ht="10.5" x14ac:dyDescent="0.35">
      <c r="A126" s="182">
        <v>51</v>
      </c>
      <c r="B126" s="263">
        <f t="shared" si="77"/>
        <v>47239</v>
      </c>
      <c r="C126" s="182">
        <f t="shared" si="75"/>
        <v>2029</v>
      </c>
      <c r="D126" s="186">
        <f t="shared" si="79"/>
        <v>-88301.345229434024</v>
      </c>
      <c r="E126" s="186">
        <f t="shared" si="80"/>
        <v>-76538.668853091222</v>
      </c>
      <c r="F126" s="186">
        <f t="shared" si="78"/>
        <v>30615467.541236483</v>
      </c>
      <c r="G126" s="186">
        <f t="shared" si="76"/>
        <v>30527166.196007047</v>
      </c>
    </row>
    <row r="127" spans="1:7" s="181" customFormat="1" ht="10.5" x14ac:dyDescent="0.35">
      <c r="A127" s="182">
        <v>52</v>
      </c>
      <c r="B127" s="263">
        <f t="shared" si="77"/>
        <v>47270</v>
      </c>
      <c r="C127" s="182">
        <f t="shared" si="75"/>
        <v>2029</v>
      </c>
      <c r="D127" s="186">
        <f t="shared" si="79"/>
        <v>-88522.098592507595</v>
      </c>
      <c r="E127" s="186">
        <f t="shared" si="80"/>
        <v>-76317.915490017651</v>
      </c>
      <c r="F127" s="186">
        <f t="shared" si="78"/>
        <v>30527166.196007047</v>
      </c>
      <c r="G127" s="186">
        <f t="shared" si="76"/>
        <v>30438644.097414538</v>
      </c>
    </row>
    <row r="128" spans="1:7" s="181" customFormat="1" ht="10.5" x14ac:dyDescent="0.35">
      <c r="A128" s="182">
        <v>53</v>
      </c>
      <c r="B128" s="263">
        <f t="shared" si="77"/>
        <v>47300</v>
      </c>
      <c r="C128" s="182">
        <f t="shared" si="75"/>
        <v>2029</v>
      </c>
      <c r="D128" s="186">
        <f t="shared" si="79"/>
        <v>-88743.403838988874</v>
      </c>
      <c r="E128" s="186">
        <f t="shared" si="80"/>
        <v>-76096.610243536401</v>
      </c>
      <c r="F128" s="186">
        <f t="shared" si="78"/>
        <v>30438644.097414538</v>
      </c>
      <c r="G128" s="186">
        <f t="shared" si="76"/>
        <v>30349900.69357555</v>
      </c>
    </row>
    <row r="129" spans="1:7" s="181" customFormat="1" ht="10.5" x14ac:dyDescent="0.35">
      <c r="A129" s="182">
        <v>54</v>
      </c>
      <c r="B129" s="263">
        <f t="shared" si="77"/>
        <v>47331</v>
      </c>
      <c r="C129" s="182">
        <f t="shared" si="75"/>
        <v>2029</v>
      </c>
      <c r="D129" s="186">
        <f t="shared" si="79"/>
        <v>-88965.262348586344</v>
      </c>
      <c r="E129" s="186">
        <f t="shared" si="80"/>
        <v>-75874.751733938916</v>
      </c>
      <c r="F129" s="186">
        <f t="shared" si="78"/>
        <v>30349900.69357555</v>
      </c>
      <c r="G129" s="186">
        <f t="shared" si="76"/>
        <v>30260935.431226965</v>
      </c>
    </row>
    <row r="130" spans="1:7" s="181" customFormat="1" ht="10.5" x14ac:dyDescent="0.35">
      <c r="A130" s="182">
        <v>55</v>
      </c>
      <c r="B130" s="263">
        <f t="shared" si="77"/>
        <v>47362</v>
      </c>
      <c r="C130" s="182">
        <f t="shared" si="75"/>
        <v>2029</v>
      </c>
      <c r="D130" s="186">
        <f t="shared" si="79"/>
        <v>-89187.675504457817</v>
      </c>
      <c r="E130" s="186">
        <f t="shared" si="80"/>
        <v>-75652.338578067429</v>
      </c>
      <c r="F130" s="186">
        <f t="shared" si="78"/>
        <v>30260935.431226965</v>
      </c>
      <c r="G130" s="186">
        <f t="shared" si="76"/>
        <v>30171747.755722508</v>
      </c>
    </row>
    <row r="131" spans="1:7" s="181" customFormat="1" ht="10.5" x14ac:dyDescent="0.35">
      <c r="A131" s="182">
        <v>56</v>
      </c>
      <c r="B131" s="263">
        <f t="shared" si="77"/>
        <v>47392</v>
      </c>
      <c r="C131" s="182">
        <f t="shared" si="75"/>
        <v>2029</v>
      </c>
      <c r="D131" s="186">
        <f t="shared" si="79"/>
        <v>-89410.644693218972</v>
      </c>
      <c r="E131" s="186">
        <f t="shared" si="80"/>
        <v>-75429.369389306288</v>
      </c>
      <c r="F131" s="186">
        <f t="shared" si="78"/>
        <v>30171747.755722508</v>
      </c>
      <c r="G131" s="186">
        <f t="shared" si="76"/>
        <v>30082337.11102929</v>
      </c>
    </row>
    <row r="132" spans="1:7" s="181" customFormat="1" ht="10.5" x14ac:dyDescent="0.35">
      <c r="A132" s="182">
        <v>57</v>
      </c>
      <c r="B132" s="263">
        <f t="shared" si="77"/>
        <v>47423</v>
      </c>
      <c r="C132" s="182">
        <f t="shared" si="75"/>
        <v>2029</v>
      </c>
      <c r="D132" s="186">
        <f t="shared" si="79"/>
        <v>-89634.171304952019</v>
      </c>
      <c r="E132" s="186">
        <f t="shared" si="80"/>
        <v>-75205.842777573256</v>
      </c>
      <c r="F132" s="186">
        <f t="shared" si="78"/>
        <v>30082337.11102929</v>
      </c>
      <c r="G132" s="186">
        <f t="shared" si="76"/>
        <v>29992702.939724337</v>
      </c>
    </row>
    <row r="133" spans="1:7" s="181" customFormat="1" ht="10.5" x14ac:dyDescent="0.35">
      <c r="A133" s="182">
        <v>58</v>
      </c>
      <c r="B133" s="263">
        <f t="shared" si="77"/>
        <v>47453</v>
      </c>
      <c r="C133" s="182">
        <f t="shared" si="75"/>
        <v>2029</v>
      </c>
      <c r="D133" s="186">
        <f t="shared" si="79"/>
        <v>-89858.256733214395</v>
      </c>
      <c r="E133" s="186">
        <f t="shared" si="80"/>
        <v>-74981.757349310879</v>
      </c>
      <c r="F133" s="186">
        <f t="shared" si="78"/>
        <v>29992702.939724337</v>
      </c>
      <c r="G133" s="186">
        <f t="shared" si="76"/>
        <v>29902844.682991125</v>
      </c>
    </row>
    <row r="134" spans="1:7" s="181" customFormat="1" ht="10.5" x14ac:dyDescent="0.35">
      <c r="A134" s="182">
        <v>59</v>
      </c>
      <c r="B134" s="263">
        <f t="shared" si="77"/>
        <v>47484</v>
      </c>
      <c r="C134" s="182">
        <f t="shared" si="75"/>
        <v>2030</v>
      </c>
      <c r="D134" s="186">
        <f t="shared" si="79"/>
        <v>-90082.902375047415</v>
      </c>
      <c r="E134" s="186">
        <f t="shared" si="80"/>
        <v>-74757.111707477845</v>
      </c>
      <c r="F134" s="186">
        <f t="shared" si="78"/>
        <v>29902844.682991125</v>
      </c>
      <c r="G134" s="186">
        <f t="shared" si="76"/>
        <v>29812761.780616079</v>
      </c>
    </row>
    <row r="135" spans="1:7" s="181" customFormat="1" ht="10.5" x14ac:dyDescent="0.35">
      <c r="A135" s="182">
        <v>60</v>
      </c>
      <c r="B135" s="263">
        <f t="shared" si="77"/>
        <v>47515</v>
      </c>
      <c r="C135" s="182">
        <f t="shared" si="75"/>
        <v>2030</v>
      </c>
      <c r="D135" s="186">
        <f t="shared" si="79"/>
        <v>-90308.10963098504</v>
      </c>
      <c r="E135" s="186">
        <f t="shared" si="80"/>
        <v>-74531.904451540235</v>
      </c>
      <c r="F135" s="186">
        <f t="shared" si="78"/>
        <v>29812761.780616079</v>
      </c>
      <c r="G135" s="186">
        <f t="shared" si="76"/>
        <v>29722453.670985095</v>
      </c>
    </row>
    <row r="136" spans="1:7" s="181" customFormat="1" ht="10.5" x14ac:dyDescent="0.35">
      <c r="A136" s="182">
        <v>61</v>
      </c>
      <c r="B136" s="263">
        <f t="shared" si="77"/>
        <v>47543</v>
      </c>
      <c r="C136" s="182">
        <f t="shared" si="75"/>
        <v>2030</v>
      </c>
      <c r="D136" s="186">
        <f t="shared" si="79"/>
        <v>-90533.879905062509</v>
      </c>
      <c r="E136" s="186">
        <f t="shared" si="80"/>
        <v>-74306.134177462751</v>
      </c>
      <c r="F136" s="186">
        <f t="shared" si="78"/>
        <v>29722453.670985095</v>
      </c>
      <c r="G136" s="186">
        <f t="shared" si="76"/>
        <v>29631919.791080032</v>
      </c>
    </row>
    <row r="137" spans="1:7" s="181" customFormat="1" ht="10.5" x14ac:dyDescent="0.35">
      <c r="A137" s="182">
        <v>62</v>
      </c>
      <c r="B137" s="263">
        <f t="shared" si="77"/>
        <v>47574</v>
      </c>
      <c r="C137" s="182">
        <f t="shared" si="75"/>
        <v>2030</v>
      </c>
      <c r="D137" s="186">
        <f t="shared" si="79"/>
        <v>-90760.214604825174</v>
      </c>
      <c r="E137" s="186">
        <f t="shared" si="80"/>
        <v>-74079.799477700086</v>
      </c>
      <c r="F137" s="186">
        <f t="shared" si="78"/>
        <v>29631919.791080032</v>
      </c>
      <c r="G137" s="186">
        <f t="shared" si="76"/>
        <v>29541159.576475207</v>
      </c>
    </row>
    <row r="138" spans="1:7" s="181" customFormat="1" ht="10.5" x14ac:dyDescent="0.35">
      <c r="A138" s="182">
        <v>63</v>
      </c>
      <c r="B138" s="263">
        <f t="shared" si="77"/>
        <v>47604</v>
      </c>
      <c r="C138" s="182">
        <f t="shared" si="75"/>
        <v>2030</v>
      </c>
      <c r="D138" s="186">
        <f t="shared" si="79"/>
        <v>-90987.115141337214</v>
      </c>
      <c r="E138" s="186">
        <f t="shared" si="80"/>
        <v>-73852.898941188032</v>
      </c>
      <c r="F138" s="186">
        <f t="shared" si="78"/>
        <v>29541159.576475207</v>
      </c>
      <c r="G138" s="186">
        <f t="shared" si="76"/>
        <v>29450172.461333871</v>
      </c>
    </row>
    <row r="139" spans="1:7" s="181" customFormat="1" ht="10.5" x14ac:dyDescent="0.35">
      <c r="A139" s="182">
        <v>64</v>
      </c>
      <c r="B139" s="263">
        <f t="shared" si="77"/>
        <v>47635</v>
      </c>
      <c r="C139" s="182">
        <f t="shared" si="75"/>
        <v>2030</v>
      </c>
      <c r="D139" s="186">
        <f t="shared" si="79"/>
        <v>-91214.582929190568</v>
      </c>
      <c r="E139" s="186">
        <f t="shared" si="80"/>
        <v>-73625.431153334692</v>
      </c>
      <c r="F139" s="186">
        <f t="shared" si="78"/>
        <v>29450172.461333871</v>
      </c>
      <c r="G139" s="186">
        <f t="shared" si="76"/>
        <v>29358957.878404681</v>
      </c>
    </row>
    <row r="140" spans="1:7" s="181" customFormat="1" ht="10.5" x14ac:dyDescent="0.35">
      <c r="A140" s="182">
        <v>65</v>
      </c>
      <c r="B140" s="263">
        <f t="shared" si="77"/>
        <v>47665</v>
      </c>
      <c r="C140" s="182">
        <f t="shared" si="75"/>
        <v>2030</v>
      </c>
      <c r="D140" s="186">
        <f t="shared" ref="D140:D171" si="81">PPMT($E$14/12,A140,$E$15*12,$F$76)</f>
        <v>-91442.619386513557</v>
      </c>
      <c r="E140" s="186">
        <f t="shared" ref="E140:E171" si="82">IPMT($E$14/12,A140,$E$15*12,$F$76)</f>
        <v>-73397.394696011717</v>
      </c>
      <c r="F140" s="186">
        <f t="shared" si="78"/>
        <v>29358957.878404681</v>
      </c>
      <c r="G140" s="186">
        <f t="shared" si="76"/>
        <v>29267515.259018168</v>
      </c>
    </row>
    <row r="141" spans="1:7" s="181" customFormat="1" ht="10.5" x14ac:dyDescent="0.35">
      <c r="A141" s="182">
        <v>66</v>
      </c>
      <c r="B141" s="263">
        <f t="shared" si="77"/>
        <v>47696</v>
      </c>
      <c r="C141" s="182">
        <f t="shared" ref="C141:C195" si="83">YEAR(B141)</f>
        <v>2030</v>
      </c>
      <c r="D141" s="186">
        <f t="shared" si="81"/>
        <v>-91671.225934979826</v>
      </c>
      <c r="E141" s="186">
        <f t="shared" si="82"/>
        <v>-73168.788147545449</v>
      </c>
      <c r="F141" s="186">
        <f t="shared" si="78"/>
        <v>29267515.259018168</v>
      </c>
      <c r="G141" s="186">
        <f t="shared" ref="G141:G195" si="84">F141+D141</f>
        <v>29175844.033083189</v>
      </c>
    </row>
    <row r="142" spans="1:7" s="181" customFormat="1" ht="10.5" x14ac:dyDescent="0.35">
      <c r="A142" s="182">
        <v>67</v>
      </c>
      <c r="B142" s="263">
        <f t="shared" ref="B142:B195" si="85">EDATE(B141,1)</f>
        <v>47727</v>
      </c>
      <c r="C142" s="182">
        <f t="shared" si="83"/>
        <v>2030</v>
      </c>
      <c r="D142" s="186">
        <f t="shared" si="81"/>
        <v>-91900.403999817281</v>
      </c>
      <c r="E142" s="186">
        <f t="shared" si="82"/>
        <v>-72939.610082707979</v>
      </c>
      <c r="F142" s="186">
        <f t="shared" ref="F142:F195" si="86">G141</f>
        <v>29175844.033083189</v>
      </c>
      <c r="G142" s="186">
        <f t="shared" si="84"/>
        <v>29083943.629083373</v>
      </c>
    </row>
    <row r="143" spans="1:7" s="181" customFormat="1" ht="10.5" x14ac:dyDescent="0.35">
      <c r="A143" s="182">
        <v>68</v>
      </c>
      <c r="B143" s="263">
        <f t="shared" si="85"/>
        <v>47757</v>
      </c>
      <c r="C143" s="182">
        <f t="shared" si="83"/>
        <v>2030</v>
      </c>
      <c r="D143" s="186">
        <f t="shared" si="81"/>
        <v>-92130.155009816808</v>
      </c>
      <c r="E143" s="186">
        <f t="shared" si="82"/>
        <v>-72709.859072708423</v>
      </c>
      <c r="F143" s="186">
        <f t="shared" si="86"/>
        <v>29083943.629083373</v>
      </c>
      <c r="G143" s="186">
        <f t="shared" si="84"/>
        <v>28991813.474073555</v>
      </c>
    </row>
    <row r="144" spans="1:7" s="181" customFormat="1" ht="10.5" x14ac:dyDescent="0.35">
      <c r="A144" s="182">
        <v>69</v>
      </c>
      <c r="B144" s="263">
        <f t="shared" si="85"/>
        <v>47788</v>
      </c>
      <c r="C144" s="182">
        <f t="shared" si="83"/>
        <v>2030</v>
      </c>
      <c r="D144" s="186">
        <f t="shared" si="81"/>
        <v>-92360.480397341365</v>
      </c>
      <c r="E144" s="186">
        <f t="shared" si="82"/>
        <v>-72479.533685183895</v>
      </c>
      <c r="F144" s="186">
        <f t="shared" si="86"/>
        <v>28991813.474073555</v>
      </c>
      <c r="G144" s="186">
        <f t="shared" si="84"/>
        <v>28899452.993676215</v>
      </c>
    </row>
    <row r="145" spans="1:7" s="181" customFormat="1" ht="10.5" x14ac:dyDescent="0.35">
      <c r="A145" s="182">
        <v>70</v>
      </c>
      <c r="B145" s="263">
        <f t="shared" si="85"/>
        <v>47818</v>
      </c>
      <c r="C145" s="182">
        <f t="shared" si="83"/>
        <v>2030</v>
      </c>
      <c r="D145" s="186">
        <f t="shared" si="81"/>
        <v>-92591.38159833473</v>
      </c>
      <c r="E145" s="186">
        <f t="shared" si="82"/>
        <v>-72248.632484190559</v>
      </c>
      <c r="F145" s="186">
        <f t="shared" si="86"/>
        <v>28899452.993676215</v>
      </c>
      <c r="G145" s="186">
        <f t="shared" si="84"/>
        <v>28806861.612077881</v>
      </c>
    </row>
    <row r="146" spans="1:7" s="181" customFormat="1" ht="10.5" x14ac:dyDescent="0.35">
      <c r="A146" s="182">
        <v>71</v>
      </c>
      <c r="B146" s="263">
        <f t="shared" si="85"/>
        <v>47849</v>
      </c>
      <c r="C146" s="182">
        <f t="shared" si="83"/>
        <v>2031</v>
      </c>
      <c r="D146" s="186">
        <f t="shared" si="81"/>
        <v>-92822.86005233055</v>
      </c>
      <c r="E146" s="186">
        <f t="shared" si="82"/>
        <v>-72017.15403019471</v>
      </c>
      <c r="F146" s="186">
        <f t="shared" si="86"/>
        <v>28806861.612077881</v>
      </c>
      <c r="G146" s="186">
        <f t="shared" si="84"/>
        <v>28714038.752025548</v>
      </c>
    </row>
    <row r="147" spans="1:7" s="181" customFormat="1" ht="10.5" x14ac:dyDescent="0.35">
      <c r="A147" s="182">
        <v>72</v>
      </c>
      <c r="B147" s="263">
        <f t="shared" si="85"/>
        <v>47880</v>
      </c>
      <c r="C147" s="182">
        <f t="shared" si="83"/>
        <v>2031</v>
      </c>
      <c r="D147" s="186">
        <f t="shared" si="81"/>
        <v>-93054.91720246138</v>
      </c>
      <c r="E147" s="186">
        <f t="shared" si="82"/>
        <v>-71785.096880063895</v>
      </c>
      <c r="F147" s="186">
        <f t="shared" si="86"/>
        <v>28714038.752025548</v>
      </c>
      <c r="G147" s="186">
        <f t="shared" si="84"/>
        <v>28620983.834823087</v>
      </c>
    </row>
    <row r="148" spans="1:7" s="181" customFormat="1" ht="10.5" x14ac:dyDescent="0.35">
      <c r="A148" s="182">
        <v>73</v>
      </c>
      <c r="B148" s="263">
        <f t="shared" si="85"/>
        <v>47908</v>
      </c>
      <c r="C148" s="182">
        <f t="shared" si="83"/>
        <v>2031</v>
      </c>
      <c r="D148" s="186">
        <f t="shared" si="81"/>
        <v>-93287.554495467528</v>
      </c>
      <c r="E148" s="186">
        <f t="shared" si="82"/>
        <v>-71552.459587057732</v>
      </c>
      <c r="F148" s="186">
        <f t="shared" si="86"/>
        <v>28620983.834823087</v>
      </c>
      <c r="G148" s="186">
        <f t="shared" si="84"/>
        <v>28527696.280327618</v>
      </c>
    </row>
    <row r="149" spans="1:7" s="181" customFormat="1" ht="10.5" x14ac:dyDescent="0.35">
      <c r="A149" s="182">
        <v>74</v>
      </c>
      <c r="B149" s="263">
        <f t="shared" si="85"/>
        <v>47939</v>
      </c>
      <c r="C149" s="182">
        <f t="shared" si="83"/>
        <v>2031</v>
      </c>
      <c r="D149" s="186">
        <f t="shared" si="81"/>
        <v>-93520.773381706211</v>
      </c>
      <c r="E149" s="186">
        <f t="shared" si="82"/>
        <v>-71319.240700819064</v>
      </c>
      <c r="F149" s="186">
        <f t="shared" si="86"/>
        <v>28527696.280327618</v>
      </c>
      <c r="G149" s="186">
        <f t="shared" si="84"/>
        <v>28434175.506945912</v>
      </c>
    </row>
    <row r="150" spans="1:7" s="181" customFormat="1" ht="10.5" x14ac:dyDescent="0.35">
      <c r="A150" s="182">
        <v>75</v>
      </c>
      <c r="B150" s="263">
        <f t="shared" si="85"/>
        <v>47969</v>
      </c>
      <c r="C150" s="182">
        <f t="shared" si="83"/>
        <v>2031</v>
      </c>
      <c r="D150" s="186">
        <f t="shared" si="81"/>
        <v>-93754.575315160459</v>
      </c>
      <c r="E150" s="186">
        <f t="shared" si="82"/>
        <v>-71085.438767364787</v>
      </c>
      <c r="F150" s="186">
        <f t="shared" si="86"/>
        <v>28434175.506945912</v>
      </c>
      <c r="G150" s="186">
        <f t="shared" si="84"/>
        <v>28340420.931630753</v>
      </c>
    </row>
    <row r="151" spans="1:7" s="181" customFormat="1" ht="10.5" x14ac:dyDescent="0.35">
      <c r="A151" s="182">
        <v>76</v>
      </c>
      <c r="B151" s="263">
        <f t="shared" si="85"/>
        <v>48000</v>
      </c>
      <c r="C151" s="182">
        <f t="shared" si="83"/>
        <v>2031</v>
      </c>
      <c r="D151" s="186">
        <f t="shared" si="81"/>
        <v>-93988.961753448384</v>
      </c>
      <c r="E151" s="186">
        <f t="shared" si="82"/>
        <v>-70851.052329076891</v>
      </c>
      <c r="F151" s="186">
        <f t="shared" si="86"/>
        <v>28340420.931630753</v>
      </c>
      <c r="G151" s="186">
        <f t="shared" si="84"/>
        <v>28246431.969877306</v>
      </c>
    </row>
    <row r="152" spans="1:7" s="181" customFormat="1" ht="10.5" x14ac:dyDescent="0.35">
      <c r="A152" s="182">
        <v>77</v>
      </c>
      <c r="B152" s="263">
        <f t="shared" si="85"/>
        <v>48030</v>
      </c>
      <c r="C152" s="182">
        <f t="shared" si="83"/>
        <v>2031</v>
      </c>
      <c r="D152" s="186">
        <f t="shared" si="81"/>
        <v>-94223.934157831987</v>
      </c>
      <c r="E152" s="186">
        <f t="shared" si="82"/>
        <v>-70616.079924693273</v>
      </c>
      <c r="F152" s="186">
        <f t="shared" si="86"/>
        <v>28246431.969877306</v>
      </c>
      <c r="G152" s="186">
        <f t="shared" si="84"/>
        <v>28152208.035719473</v>
      </c>
    </row>
    <row r="153" spans="1:7" s="181" customFormat="1" ht="10.5" x14ac:dyDescent="0.35">
      <c r="A153" s="182">
        <v>78</v>
      </c>
      <c r="B153" s="263">
        <f t="shared" si="85"/>
        <v>48061</v>
      </c>
      <c r="C153" s="182">
        <f t="shared" si="83"/>
        <v>2031</v>
      </c>
      <c r="D153" s="186">
        <f t="shared" si="81"/>
        <v>-94459.493993226555</v>
      </c>
      <c r="E153" s="186">
        <f t="shared" si="82"/>
        <v>-70380.52008929869</v>
      </c>
      <c r="F153" s="186">
        <f t="shared" si="86"/>
        <v>28152208.035719473</v>
      </c>
      <c r="G153" s="186">
        <f t="shared" si="84"/>
        <v>28057748.541726246</v>
      </c>
    </row>
    <row r="154" spans="1:7" s="181" customFormat="1" ht="10.5" x14ac:dyDescent="0.35">
      <c r="A154" s="182">
        <v>79</v>
      </c>
      <c r="B154" s="263">
        <f t="shared" si="85"/>
        <v>48092</v>
      </c>
      <c r="C154" s="182">
        <f t="shared" si="83"/>
        <v>2031</v>
      </c>
      <c r="D154" s="186">
        <f t="shared" si="81"/>
        <v>-94695.642728209627</v>
      </c>
      <c r="E154" s="186">
        <f t="shared" si="82"/>
        <v>-70144.371354315619</v>
      </c>
      <c r="F154" s="186">
        <f t="shared" si="86"/>
        <v>28057748.541726246</v>
      </c>
      <c r="G154" s="186">
        <f t="shared" si="84"/>
        <v>27963052.898998037</v>
      </c>
    </row>
    <row r="155" spans="1:7" s="181" customFormat="1" ht="10.5" x14ac:dyDescent="0.35">
      <c r="A155" s="182">
        <v>80</v>
      </c>
      <c r="B155" s="263">
        <f t="shared" si="85"/>
        <v>48122</v>
      </c>
      <c r="C155" s="182">
        <f t="shared" si="83"/>
        <v>2031</v>
      </c>
      <c r="D155" s="186">
        <f t="shared" si="81"/>
        <v>-94932.381835030174</v>
      </c>
      <c r="E155" s="186">
        <f t="shared" si="82"/>
        <v>-69907.632247495087</v>
      </c>
      <c r="F155" s="186">
        <f t="shared" si="86"/>
        <v>27963052.898998037</v>
      </c>
      <c r="G155" s="186">
        <f t="shared" si="84"/>
        <v>27868120.517163008</v>
      </c>
    </row>
    <row r="156" spans="1:7" s="181" customFormat="1" ht="10.5" x14ac:dyDescent="0.35">
      <c r="A156" s="182">
        <v>81</v>
      </c>
      <c r="B156" s="263">
        <f t="shared" si="85"/>
        <v>48153</v>
      </c>
      <c r="C156" s="182">
        <f t="shared" si="83"/>
        <v>2031</v>
      </c>
      <c r="D156" s="186">
        <f t="shared" si="81"/>
        <v>-95169.712789617726</v>
      </c>
      <c r="E156" s="186">
        <f t="shared" si="82"/>
        <v>-69670.301292907519</v>
      </c>
      <c r="F156" s="186">
        <f t="shared" si="86"/>
        <v>27868120.517163008</v>
      </c>
      <c r="G156" s="186">
        <f t="shared" si="84"/>
        <v>27772950.804373391</v>
      </c>
    </row>
    <row r="157" spans="1:7" s="181" customFormat="1" ht="10.5" x14ac:dyDescent="0.35">
      <c r="A157" s="182">
        <v>82</v>
      </c>
      <c r="B157" s="263">
        <f t="shared" si="85"/>
        <v>48183</v>
      </c>
      <c r="C157" s="182">
        <f t="shared" si="83"/>
        <v>2031</v>
      </c>
      <c r="D157" s="186">
        <f t="shared" si="81"/>
        <v>-95407.637071591787</v>
      </c>
      <c r="E157" s="186">
        <f t="shared" si="82"/>
        <v>-69432.377010933473</v>
      </c>
      <c r="F157" s="186">
        <f t="shared" si="86"/>
        <v>27772950.804373391</v>
      </c>
      <c r="G157" s="186">
        <f t="shared" si="84"/>
        <v>27677543.1673018</v>
      </c>
    </row>
    <row r="158" spans="1:7" s="181" customFormat="1" ht="10.5" x14ac:dyDescent="0.35">
      <c r="A158" s="182">
        <v>83</v>
      </c>
      <c r="B158" s="263">
        <f t="shared" si="85"/>
        <v>48214</v>
      </c>
      <c r="C158" s="182">
        <f t="shared" si="83"/>
        <v>2032</v>
      </c>
      <c r="D158" s="186">
        <f t="shared" si="81"/>
        <v>-95646.156164270767</v>
      </c>
      <c r="E158" s="186">
        <f t="shared" si="82"/>
        <v>-69193.857918254507</v>
      </c>
      <c r="F158" s="186">
        <f t="shared" si="86"/>
        <v>27677543.1673018</v>
      </c>
      <c r="G158" s="186">
        <f t="shared" si="84"/>
        <v>27581897.01113753</v>
      </c>
    </row>
    <row r="159" spans="1:7" s="181" customFormat="1" ht="10.5" x14ac:dyDescent="0.35">
      <c r="A159" s="182">
        <v>84</v>
      </c>
      <c r="B159" s="263">
        <f t="shared" si="85"/>
        <v>48245</v>
      </c>
      <c r="C159" s="182">
        <f t="shared" si="83"/>
        <v>2032</v>
      </c>
      <c r="D159" s="186">
        <f t="shared" si="81"/>
        <v>-95885.271554681443</v>
      </c>
      <c r="E159" s="186">
        <f t="shared" si="82"/>
        <v>-68954.742527843831</v>
      </c>
      <c r="F159" s="186">
        <f t="shared" si="86"/>
        <v>27581897.01113753</v>
      </c>
      <c r="G159" s="186">
        <f t="shared" si="84"/>
        <v>27486011.739582848</v>
      </c>
    </row>
    <row r="160" spans="1:7" s="181" customFormat="1" ht="10.5" x14ac:dyDescent="0.35">
      <c r="A160" s="182">
        <v>85</v>
      </c>
      <c r="B160" s="263">
        <f t="shared" si="85"/>
        <v>48274</v>
      </c>
      <c r="C160" s="182">
        <f t="shared" si="83"/>
        <v>2032</v>
      </c>
      <c r="D160" s="186">
        <f t="shared" si="81"/>
        <v>-96124.984733568155</v>
      </c>
      <c r="E160" s="186">
        <f t="shared" si="82"/>
        <v>-68715.029348957134</v>
      </c>
      <c r="F160" s="186">
        <f t="shared" si="86"/>
        <v>27486011.739582848</v>
      </c>
      <c r="G160" s="186">
        <f t="shared" si="84"/>
        <v>27389886.754849281</v>
      </c>
    </row>
    <row r="161" spans="1:7" s="181" customFormat="1" ht="10.5" x14ac:dyDescent="0.35">
      <c r="A161" s="182">
        <v>86</v>
      </c>
      <c r="B161" s="263">
        <f t="shared" si="85"/>
        <v>48305</v>
      </c>
      <c r="C161" s="182">
        <f t="shared" si="83"/>
        <v>2032</v>
      </c>
      <c r="D161" s="186">
        <f t="shared" si="81"/>
        <v>-96365.297195402076</v>
      </c>
      <c r="E161" s="186">
        <f t="shared" si="82"/>
        <v>-68474.716887123199</v>
      </c>
      <c r="F161" s="186">
        <f t="shared" si="86"/>
        <v>27389886.754849281</v>
      </c>
      <c r="G161" s="186">
        <f t="shared" si="84"/>
        <v>27293521.45765388</v>
      </c>
    </row>
    <row r="162" spans="1:7" s="181" customFormat="1" ht="10.5" x14ac:dyDescent="0.35">
      <c r="A162" s="182">
        <v>87</v>
      </c>
      <c r="B162" s="263">
        <f t="shared" si="85"/>
        <v>48335</v>
      </c>
      <c r="C162" s="182">
        <f t="shared" si="83"/>
        <v>2032</v>
      </c>
      <c r="D162" s="186">
        <f t="shared" si="81"/>
        <v>-96606.210438390583</v>
      </c>
      <c r="E162" s="186">
        <f t="shared" si="82"/>
        <v>-68233.803644134692</v>
      </c>
      <c r="F162" s="186">
        <f t="shared" si="86"/>
        <v>27293521.45765388</v>
      </c>
      <c r="G162" s="186">
        <f t="shared" si="84"/>
        <v>27196915.247215491</v>
      </c>
    </row>
    <row r="163" spans="1:7" s="181" customFormat="1" ht="10.5" x14ac:dyDescent="0.35">
      <c r="A163" s="182">
        <v>88</v>
      </c>
      <c r="B163" s="263">
        <f t="shared" si="85"/>
        <v>48366</v>
      </c>
      <c r="C163" s="182">
        <f t="shared" si="83"/>
        <v>2032</v>
      </c>
      <c r="D163" s="186">
        <f t="shared" si="81"/>
        <v>-96847.725964486541</v>
      </c>
      <c r="E163" s="186">
        <f t="shared" si="82"/>
        <v>-67992.288118038719</v>
      </c>
      <c r="F163" s="186">
        <f t="shared" si="86"/>
        <v>27196915.247215491</v>
      </c>
      <c r="G163" s="186">
        <f t="shared" si="84"/>
        <v>27100067.521251004</v>
      </c>
    </row>
    <row r="164" spans="1:7" s="181" customFormat="1" ht="10.5" x14ac:dyDescent="0.35">
      <c r="A164" s="182">
        <v>89</v>
      </c>
      <c r="B164" s="263">
        <f t="shared" si="85"/>
        <v>48396</v>
      </c>
      <c r="C164" s="182">
        <f t="shared" si="83"/>
        <v>2032</v>
      </c>
      <c r="D164" s="186">
        <f t="shared" si="81"/>
        <v>-97089.845279397763</v>
      </c>
      <c r="E164" s="186">
        <f t="shared" si="82"/>
        <v>-67750.168803127497</v>
      </c>
      <c r="F164" s="186">
        <f t="shared" si="86"/>
        <v>27100067.521251004</v>
      </c>
      <c r="G164" s="186">
        <f t="shared" si="84"/>
        <v>27002977.675971605</v>
      </c>
    </row>
    <row r="165" spans="1:7" s="181" customFormat="1" ht="10.5" x14ac:dyDescent="0.35">
      <c r="A165" s="182">
        <v>90</v>
      </c>
      <c r="B165" s="263">
        <f t="shared" si="85"/>
        <v>48427</v>
      </c>
      <c r="C165" s="182">
        <f t="shared" si="83"/>
        <v>2032</v>
      </c>
      <c r="D165" s="186">
        <f t="shared" si="81"/>
        <v>-97332.56989259625</v>
      </c>
      <c r="E165" s="186">
        <f t="shared" si="82"/>
        <v>-67507.444189928996</v>
      </c>
      <c r="F165" s="186">
        <f t="shared" si="86"/>
        <v>27002977.675971605</v>
      </c>
      <c r="G165" s="186">
        <f t="shared" si="84"/>
        <v>26905645.106079008</v>
      </c>
    </row>
    <row r="166" spans="1:7" s="181" customFormat="1" ht="10.5" x14ac:dyDescent="0.35">
      <c r="A166" s="182">
        <v>91</v>
      </c>
      <c r="B166" s="263">
        <f t="shared" si="85"/>
        <v>48458</v>
      </c>
      <c r="C166" s="182">
        <f t="shared" si="83"/>
        <v>2032</v>
      </c>
      <c r="D166" s="186">
        <f t="shared" si="81"/>
        <v>-97575.901317327749</v>
      </c>
      <c r="E166" s="186">
        <f t="shared" si="82"/>
        <v>-67264.112765197526</v>
      </c>
      <c r="F166" s="186">
        <f t="shared" si="86"/>
        <v>26905645.106079008</v>
      </c>
      <c r="G166" s="186">
        <f t="shared" si="84"/>
        <v>26808069.20476168</v>
      </c>
    </row>
    <row r="167" spans="1:7" s="181" customFormat="1" ht="10.5" x14ac:dyDescent="0.35">
      <c r="A167" s="182">
        <v>92</v>
      </c>
      <c r="B167" s="263">
        <f t="shared" si="85"/>
        <v>48488</v>
      </c>
      <c r="C167" s="182">
        <f t="shared" si="83"/>
        <v>2032</v>
      </c>
      <c r="D167" s="186">
        <f t="shared" si="81"/>
        <v>-97819.841070621071</v>
      </c>
      <c r="E167" s="186">
        <f t="shared" si="82"/>
        <v>-67020.173011904189</v>
      </c>
      <c r="F167" s="186">
        <f t="shared" si="86"/>
        <v>26808069.20476168</v>
      </c>
      <c r="G167" s="186">
        <f t="shared" si="84"/>
        <v>26710249.363691058</v>
      </c>
    </row>
    <row r="168" spans="1:7" s="181" customFormat="1" ht="10.5" x14ac:dyDescent="0.35">
      <c r="A168" s="182">
        <v>93</v>
      </c>
      <c r="B168" s="263">
        <f t="shared" si="85"/>
        <v>48519</v>
      </c>
      <c r="C168" s="182">
        <f t="shared" si="83"/>
        <v>2032</v>
      </c>
      <c r="D168" s="186">
        <f t="shared" si="81"/>
        <v>-98064.390673297632</v>
      </c>
      <c r="E168" s="186">
        <f t="shared" si="82"/>
        <v>-66775.623409227643</v>
      </c>
      <c r="F168" s="186">
        <f t="shared" si="86"/>
        <v>26710249.363691058</v>
      </c>
      <c r="G168" s="186">
        <f t="shared" si="84"/>
        <v>26612184.97301776</v>
      </c>
    </row>
    <row r="169" spans="1:7" s="181" customFormat="1" ht="10.5" x14ac:dyDescent="0.35">
      <c r="A169" s="182">
        <v>94</v>
      </c>
      <c r="B169" s="263">
        <f t="shared" si="85"/>
        <v>48549</v>
      </c>
      <c r="C169" s="182">
        <f t="shared" si="83"/>
        <v>2032</v>
      </c>
      <c r="D169" s="186">
        <f t="shared" si="81"/>
        <v>-98309.551649980844</v>
      </c>
      <c r="E169" s="186">
        <f t="shared" si="82"/>
        <v>-66530.462432544402</v>
      </c>
      <c r="F169" s="186">
        <f t="shared" si="86"/>
        <v>26612184.97301776</v>
      </c>
      <c r="G169" s="186">
        <f t="shared" si="84"/>
        <v>26513875.421367779</v>
      </c>
    </row>
    <row r="170" spans="1:7" s="181" customFormat="1" ht="10.5" x14ac:dyDescent="0.35">
      <c r="A170" s="182">
        <v>95</v>
      </c>
      <c r="B170" s="263">
        <f t="shared" si="85"/>
        <v>48580</v>
      </c>
      <c r="C170" s="182">
        <f t="shared" si="83"/>
        <v>2033</v>
      </c>
      <c r="D170" s="186">
        <f t="shared" si="81"/>
        <v>-98555.325529105816</v>
      </c>
      <c r="E170" s="186">
        <f t="shared" si="82"/>
        <v>-66284.688553419444</v>
      </c>
      <c r="F170" s="186">
        <f t="shared" si="86"/>
        <v>26513875.421367779</v>
      </c>
      <c r="G170" s="186">
        <f t="shared" si="84"/>
        <v>26415320.095838673</v>
      </c>
    </row>
    <row r="171" spans="1:7" s="181" customFormat="1" ht="10.5" x14ac:dyDescent="0.35">
      <c r="A171" s="182">
        <v>96</v>
      </c>
      <c r="B171" s="263">
        <f t="shared" si="85"/>
        <v>48611</v>
      </c>
      <c r="C171" s="182">
        <f t="shared" si="83"/>
        <v>2033</v>
      </c>
      <c r="D171" s="186">
        <f t="shared" si="81"/>
        <v>-98801.713842928584</v>
      </c>
      <c r="E171" s="186">
        <f t="shared" si="82"/>
        <v>-66038.300239596691</v>
      </c>
      <c r="F171" s="186">
        <f t="shared" si="86"/>
        <v>26415320.095838673</v>
      </c>
      <c r="G171" s="186">
        <f t="shared" si="84"/>
        <v>26316518.381995745</v>
      </c>
    </row>
    <row r="172" spans="1:7" s="181" customFormat="1" ht="10.5" x14ac:dyDescent="0.35">
      <c r="A172" s="182">
        <v>97</v>
      </c>
      <c r="B172" s="263">
        <f t="shared" si="85"/>
        <v>48639</v>
      </c>
      <c r="C172" s="182">
        <f t="shared" si="83"/>
        <v>2033</v>
      </c>
      <c r="D172" s="186">
        <f t="shared" ref="D172:D195" si="87">PPMT($E$14/12,A172,$E$15*12,$F$76)</f>
        <v>-99048.718127535903</v>
      </c>
      <c r="E172" s="186">
        <f t="shared" ref="E172:E195" si="88">IPMT($E$14/12,A172,$E$15*12,$F$76)</f>
        <v>-65791.295954989386</v>
      </c>
      <c r="F172" s="186">
        <f t="shared" si="86"/>
        <v>26316518.381995745</v>
      </c>
      <c r="G172" s="186">
        <f t="shared" si="84"/>
        <v>26217469.663868207</v>
      </c>
    </row>
    <row r="173" spans="1:7" s="181" customFormat="1" ht="10.5" x14ac:dyDescent="0.35">
      <c r="A173" s="182">
        <v>98</v>
      </c>
      <c r="B173" s="263">
        <f t="shared" si="85"/>
        <v>48670</v>
      </c>
      <c r="C173" s="182">
        <f t="shared" si="83"/>
        <v>2033</v>
      </c>
      <c r="D173" s="186">
        <f t="shared" si="87"/>
        <v>-99296.339922854735</v>
      </c>
      <c r="E173" s="186">
        <f t="shared" si="88"/>
        <v>-65543.674159670525</v>
      </c>
      <c r="F173" s="186">
        <f t="shared" si="86"/>
        <v>26217469.663868207</v>
      </c>
      <c r="G173" s="186">
        <f t="shared" si="84"/>
        <v>26118173.323945351</v>
      </c>
    </row>
    <row r="174" spans="1:7" s="181" customFormat="1" ht="10.5" x14ac:dyDescent="0.35">
      <c r="A174" s="182">
        <v>99</v>
      </c>
      <c r="B174" s="263">
        <f t="shared" si="85"/>
        <v>48700</v>
      </c>
      <c r="C174" s="182">
        <f t="shared" si="83"/>
        <v>2033</v>
      </c>
      <c r="D174" s="186">
        <f t="shared" si="87"/>
        <v>-99544.58077266188</v>
      </c>
      <c r="E174" s="186">
        <f t="shared" si="88"/>
        <v>-65295.433309863387</v>
      </c>
      <c r="F174" s="186">
        <f t="shared" si="86"/>
        <v>26118173.323945351</v>
      </c>
      <c r="G174" s="186">
        <f t="shared" si="84"/>
        <v>26018628.74317269</v>
      </c>
    </row>
    <row r="175" spans="1:7" s="181" customFormat="1" ht="10.5" x14ac:dyDescent="0.35">
      <c r="A175" s="182">
        <v>100</v>
      </c>
      <c r="B175" s="263">
        <f t="shared" si="85"/>
        <v>48731</v>
      </c>
      <c r="C175" s="182">
        <f t="shared" si="83"/>
        <v>2033</v>
      </c>
      <c r="D175" s="186">
        <f t="shared" si="87"/>
        <v>-99793.442224593513</v>
      </c>
      <c r="E175" s="186">
        <f t="shared" si="88"/>
        <v>-65046.571857931725</v>
      </c>
      <c r="F175" s="186">
        <f t="shared" si="86"/>
        <v>26018628.74317269</v>
      </c>
      <c r="G175" s="186">
        <f t="shared" si="84"/>
        <v>25918835.300948098</v>
      </c>
    </row>
    <row r="176" spans="1:7" s="181" customFormat="1" ht="10.5" x14ac:dyDescent="0.35">
      <c r="A176" s="182">
        <v>101</v>
      </c>
      <c r="B176" s="263">
        <f t="shared" si="85"/>
        <v>48761</v>
      </c>
      <c r="C176" s="182">
        <f t="shared" si="83"/>
        <v>2033</v>
      </c>
      <c r="D176" s="186">
        <f t="shared" si="87"/>
        <v>-100042.92583015501</v>
      </c>
      <c r="E176" s="186">
        <f t="shared" si="88"/>
        <v>-64797.088252370246</v>
      </c>
      <c r="F176" s="186">
        <f t="shared" si="86"/>
        <v>25918835.300948098</v>
      </c>
      <c r="G176" s="186">
        <f t="shared" si="84"/>
        <v>25818792.375117943</v>
      </c>
    </row>
    <row r="177" spans="1:7" s="181" customFormat="1" ht="10.5" x14ac:dyDescent="0.35">
      <c r="A177" s="182">
        <v>102</v>
      </c>
      <c r="B177" s="263">
        <f t="shared" si="85"/>
        <v>48792</v>
      </c>
      <c r="C177" s="182">
        <f t="shared" si="83"/>
        <v>2033</v>
      </c>
      <c r="D177" s="186">
        <f t="shared" si="87"/>
        <v>-100293.03314473041</v>
      </c>
      <c r="E177" s="186">
        <f t="shared" si="88"/>
        <v>-64546.98093779487</v>
      </c>
      <c r="F177" s="186">
        <f t="shared" si="86"/>
        <v>25818792.375117943</v>
      </c>
      <c r="G177" s="186">
        <f t="shared" si="84"/>
        <v>25718499.341973212</v>
      </c>
    </row>
    <row r="178" spans="1:7" s="181" customFormat="1" ht="10.5" x14ac:dyDescent="0.35">
      <c r="A178" s="182">
        <v>103</v>
      </c>
      <c r="B178" s="263">
        <f t="shared" si="85"/>
        <v>48823</v>
      </c>
      <c r="C178" s="182">
        <f t="shared" si="83"/>
        <v>2033</v>
      </c>
      <c r="D178" s="186">
        <f t="shared" si="87"/>
        <v>-100543.76572759224</v>
      </c>
      <c r="E178" s="186">
        <f t="shared" si="88"/>
        <v>-64296.248354933028</v>
      </c>
      <c r="F178" s="186">
        <f t="shared" si="86"/>
        <v>25718499.341973212</v>
      </c>
      <c r="G178" s="186">
        <f t="shared" si="84"/>
        <v>25617955.576245621</v>
      </c>
    </row>
    <row r="179" spans="1:7" s="181" customFormat="1" ht="10.5" x14ac:dyDescent="0.35">
      <c r="A179" s="182">
        <v>104</v>
      </c>
      <c r="B179" s="263">
        <f t="shared" si="85"/>
        <v>48853</v>
      </c>
      <c r="C179" s="182">
        <f t="shared" si="83"/>
        <v>2033</v>
      </c>
      <c r="D179" s="186">
        <f t="shared" si="87"/>
        <v>-100795.12514191121</v>
      </c>
      <c r="E179" s="186">
        <f t="shared" si="88"/>
        <v>-64044.888940614052</v>
      </c>
      <c r="F179" s="186">
        <f t="shared" si="86"/>
        <v>25617955.576245621</v>
      </c>
      <c r="G179" s="186">
        <f t="shared" si="84"/>
        <v>25517160.45110371</v>
      </c>
    </row>
    <row r="180" spans="1:7" s="181" customFormat="1" ht="10.5" x14ac:dyDescent="0.35">
      <c r="A180" s="182">
        <v>105</v>
      </c>
      <c r="B180" s="263">
        <f t="shared" si="85"/>
        <v>48884</v>
      </c>
      <c r="C180" s="182">
        <f t="shared" si="83"/>
        <v>2033</v>
      </c>
      <c r="D180" s="186">
        <f t="shared" si="87"/>
        <v>-101047.11295476599</v>
      </c>
      <c r="E180" s="186">
        <f t="shared" si="88"/>
        <v>-63792.901127759273</v>
      </c>
      <c r="F180" s="186">
        <f t="shared" si="86"/>
        <v>25517160.45110371</v>
      </c>
      <c r="G180" s="186">
        <f t="shared" si="84"/>
        <v>25416113.338148944</v>
      </c>
    </row>
    <row r="181" spans="1:7" s="181" customFormat="1" ht="10.5" x14ac:dyDescent="0.35">
      <c r="A181" s="182">
        <v>106</v>
      </c>
      <c r="B181" s="263">
        <f t="shared" si="85"/>
        <v>48914</v>
      </c>
      <c r="C181" s="182">
        <f t="shared" si="83"/>
        <v>2033</v>
      </c>
      <c r="D181" s="186">
        <f t="shared" si="87"/>
        <v>-101299.7307371529</v>
      </c>
      <c r="E181" s="186">
        <f t="shared" si="88"/>
        <v>-63540.283345372365</v>
      </c>
      <c r="F181" s="186">
        <f t="shared" si="86"/>
        <v>25416113.338148944</v>
      </c>
      <c r="G181" s="186">
        <f t="shared" si="84"/>
        <v>25314813.607411791</v>
      </c>
    </row>
    <row r="182" spans="1:7" s="181" customFormat="1" ht="10.5" x14ac:dyDescent="0.35">
      <c r="A182" s="182">
        <v>107</v>
      </c>
      <c r="B182" s="263">
        <f t="shared" si="85"/>
        <v>48945</v>
      </c>
      <c r="C182" s="182">
        <f t="shared" si="83"/>
        <v>2034</v>
      </c>
      <c r="D182" s="186">
        <f t="shared" si="87"/>
        <v>-101552.98006399578</v>
      </c>
      <c r="E182" s="186">
        <f t="shared" si="88"/>
        <v>-63287.03401852947</v>
      </c>
      <c r="F182" s="186">
        <f t="shared" si="86"/>
        <v>25314813.607411791</v>
      </c>
      <c r="G182" s="186">
        <f t="shared" si="84"/>
        <v>25213260.627347793</v>
      </c>
    </row>
    <row r="183" spans="1:7" s="181" customFormat="1" ht="10.5" x14ac:dyDescent="0.35">
      <c r="A183" s="182">
        <v>108</v>
      </c>
      <c r="B183" s="263">
        <f t="shared" si="85"/>
        <v>48976</v>
      </c>
      <c r="C183" s="182">
        <f t="shared" si="83"/>
        <v>2034</v>
      </c>
      <c r="D183" s="186">
        <f t="shared" si="87"/>
        <v>-101806.86251415577</v>
      </c>
      <c r="E183" s="186">
        <f t="shared" si="88"/>
        <v>-63033.151568369496</v>
      </c>
      <c r="F183" s="186">
        <f t="shared" si="86"/>
        <v>25213260.627347793</v>
      </c>
      <c r="G183" s="186">
        <f t="shared" si="84"/>
        <v>25111453.764833637</v>
      </c>
    </row>
    <row r="184" spans="1:7" s="181" customFormat="1" ht="10.5" x14ac:dyDescent="0.35">
      <c r="A184" s="182">
        <v>109</v>
      </c>
      <c r="B184" s="263">
        <f t="shared" si="85"/>
        <v>49004</v>
      </c>
      <c r="C184" s="182">
        <f t="shared" si="83"/>
        <v>2034</v>
      </c>
      <c r="D184" s="186">
        <f t="shared" si="87"/>
        <v>-102061.37967044115</v>
      </c>
      <c r="E184" s="186">
        <f t="shared" si="88"/>
        <v>-62778.634412084102</v>
      </c>
      <c r="F184" s="186">
        <f t="shared" si="86"/>
        <v>25111453.764833637</v>
      </c>
      <c r="G184" s="186">
        <f t="shared" si="84"/>
        <v>25009392.385163195</v>
      </c>
    </row>
    <row r="185" spans="1:7" s="181" customFormat="1" ht="10.5" x14ac:dyDescent="0.35">
      <c r="A185" s="182">
        <v>110</v>
      </c>
      <c r="B185" s="263">
        <f t="shared" si="85"/>
        <v>49035</v>
      </c>
      <c r="C185" s="182">
        <f t="shared" si="83"/>
        <v>2034</v>
      </c>
      <c r="D185" s="186">
        <f t="shared" si="87"/>
        <v>-102316.53311961728</v>
      </c>
      <c r="E185" s="186">
        <f t="shared" si="88"/>
        <v>-62523.480962907997</v>
      </c>
      <c r="F185" s="186">
        <f t="shared" si="86"/>
        <v>25009392.385163195</v>
      </c>
      <c r="G185" s="186">
        <f t="shared" si="84"/>
        <v>24907075.852043577</v>
      </c>
    </row>
    <row r="186" spans="1:7" s="181" customFormat="1" ht="10.5" x14ac:dyDescent="0.35">
      <c r="A186" s="182">
        <v>111</v>
      </c>
      <c r="B186" s="263">
        <f t="shared" si="85"/>
        <v>49065</v>
      </c>
      <c r="C186" s="182">
        <f t="shared" si="83"/>
        <v>2034</v>
      </c>
      <c r="D186" s="186">
        <f t="shared" si="87"/>
        <v>-102572.3244524163</v>
      </c>
      <c r="E186" s="186">
        <f t="shared" si="88"/>
        <v>-62267.689630108958</v>
      </c>
      <c r="F186" s="186">
        <f t="shared" si="86"/>
        <v>24907075.852043577</v>
      </c>
      <c r="G186" s="186">
        <f t="shared" si="84"/>
        <v>24804503.527591161</v>
      </c>
    </row>
    <row r="187" spans="1:7" s="181" customFormat="1" ht="10.5" x14ac:dyDescent="0.35">
      <c r="A187" s="182">
        <v>112</v>
      </c>
      <c r="B187" s="263">
        <f t="shared" si="85"/>
        <v>49096</v>
      </c>
      <c r="C187" s="182">
        <f t="shared" si="83"/>
        <v>2034</v>
      </c>
      <c r="D187" s="186">
        <f t="shared" si="87"/>
        <v>-102828.75526354735</v>
      </c>
      <c r="E187" s="186">
        <f t="shared" si="88"/>
        <v>-62011.258818977913</v>
      </c>
      <c r="F187" s="186">
        <f t="shared" si="86"/>
        <v>24804503.527591161</v>
      </c>
      <c r="G187" s="186">
        <f t="shared" si="84"/>
        <v>24701674.772327613</v>
      </c>
    </row>
    <row r="188" spans="1:7" s="181" customFormat="1" ht="10.5" x14ac:dyDescent="0.35">
      <c r="A188" s="182">
        <v>113</v>
      </c>
      <c r="B188" s="263">
        <f t="shared" si="85"/>
        <v>49126</v>
      </c>
      <c r="C188" s="182">
        <f t="shared" si="83"/>
        <v>2034</v>
      </c>
      <c r="D188" s="186">
        <f t="shared" si="87"/>
        <v>-103085.82715170622</v>
      </c>
      <c r="E188" s="186">
        <f t="shared" si="88"/>
        <v>-61754.186930819043</v>
      </c>
      <c r="F188" s="186">
        <f t="shared" si="86"/>
        <v>24701674.772327613</v>
      </c>
      <c r="G188" s="186">
        <f t="shared" si="84"/>
        <v>24598588.945175909</v>
      </c>
    </row>
    <row r="189" spans="1:7" s="181" customFormat="1" ht="10.5" x14ac:dyDescent="0.35">
      <c r="A189" s="182">
        <v>114</v>
      </c>
      <c r="B189" s="263">
        <f t="shared" si="85"/>
        <v>49157</v>
      </c>
      <c r="C189" s="182">
        <f t="shared" si="83"/>
        <v>2034</v>
      </c>
      <c r="D189" s="186">
        <f t="shared" si="87"/>
        <v>-103343.5417195855</v>
      </c>
      <c r="E189" s="186">
        <f t="shared" si="88"/>
        <v>-61496.472362939785</v>
      </c>
      <c r="F189" s="186">
        <f t="shared" si="86"/>
        <v>24598588.945175909</v>
      </c>
      <c r="G189" s="186">
        <f t="shared" si="84"/>
        <v>24495245.403456323</v>
      </c>
    </row>
    <row r="190" spans="1:7" s="181" customFormat="1" ht="10.5" x14ac:dyDescent="0.35">
      <c r="A190" s="182">
        <v>115</v>
      </c>
      <c r="B190" s="263">
        <f t="shared" si="85"/>
        <v>49188</v>
      </c>
      <c r="C190" s="182">
        <f t="shared" si="83"/>
        <v>2034</v>
      </c>
      <c r="D190" s="186">
        <f t="shared" si="87"/>
        <v>-103601.90057388444</v>
      </c>
      <c r="E190" s="186">
        <f t="shared" si="88"/>
        <v>-61238.113508640825</v>
      </c>
      <c r="F190" s="186">
        <f t="shared" si="86"/>
        <v>24495245.403456323</v>
      </c>
      <c r="G190" s="186">
        <f t="shared" si="84"/>
        <v>24391643.50288244</v>
      </c>
    </row>
    <row r="191" spans="1:7" s="181" customFormat="1" ht="10.5" x14ac:dyDescent="0.35">
      <c r="A191" s="182">
        <v>116</v>
      </c>
      <c r="B191" s="263">
        <f t="shared" si="85"/>
        <v>49218</v>
      </c>
      <c r="C191" s="182">
        <f t="shared" si="83"/>
        <v>2034</v>
      </c>
      <c r="D191" s="186">
        <f t="shared" si="87"/>
        <v>-103860.90532531917</v>
      </c>
      <c r="E191" s="186">
        <f t="shared" si="88"/>
        <v>-60979.108757206108</v>
      </c>
      <c r="F191" s="186">
        <f t="shared" si="86"/>
        <v>24391643.50288244</v>
      </c>
      <c r="G191" s="186">
        <f t="shared" si="84"/>
        <v>24287782.59755712</v>
      </c>
    </row>
    <row r="192" spans="1:7" s="181" customFormat="1" ht="10.5" x14ac:dyDescent="0.35">
      <c r="A192" s="182">
        <v>117</v>
      </c>
      <c r="B192" s="263">
        <f t="shared" si="85"/>
        <v>49249</v>
      </c>
      <c r="C192" s="182">
        <f t="shared" si="83"/>
        <v>2034</v>
      </c>
      <c r="D192" s="186">
        <f t="shared" si="87"/>
        <v>-104120.55758863247</v>
      </c>
      <c r="E192" s="186">
        <f t="shared" si="88"/>
        <v>-60719.456493892809</v>
      </c>
      <c r="F192" s="186">
        <f t="shared" si="86"/>
        <v>24287782.59755712</v>
      </c>
      <c r="G192" s="186">
        <f t="shared" si="84"/>
        <v>24183662.039968487</v>
      </c>
    </row>
    <row r="193" spans="1:7" s="181" customFormat="1" ht="10.5" x14ac:dyDescent="0.35">
      <c r="A193" s="182">
        <v>118</v>
      </c>
      <c r="B193" s="263">
        <f t="shared" si="85"/>
        <v>49279</v>
      </c>
      <c r="C193" s="182">
        <f t="shared" si="83"/>
        <v>2034</v>
      </c>
      <c r="D193" s="186">
        <f t="shared" si="87"/>
        <v>-104380.85898260404</v>
      </c>
      <c r="E193" s="186">
        <f t="shared" si="88"/>
        <v>-60459.155099921234</v>
      </c>
      <c r="F193" s="186">
        <f t="shared" si="86"/>
        <v>24183662.039968487</v>
      </c>
      <c r="G193" s="186">
        <f t="shared" si="84"/>
        <v>24079281.180985883</v>
      </c>
    </row>
    <row r="194" spans="1:7" s="181" customFormat="1" ht="10.5" x14ac:dyDescent="0.35">
      <c r="A194" s="182">
        <v>119</v>
      </c>
      <c r="B194" s="263">
        <f t="shared" si="85"/>
        <v>49310</v>
      </c>
      <c r="C194" s="182">
        <f t="shared" si="83"/>
        <v>2035</v>
      </c>
      <c r="D194" s="186">
        <f t="shared" si="87"/>
        <v>-104641.81113006055</v>
      </c>
      <c r="E194" s="186">
        <f t="shared" si="88"/>
        <v>-60198.202952464715</v>
      </c>
      <c r="F194" s="186">
        <f t="shared" si="86"/>
        <v>24079281.180985883</v>
      </c>
      <c r="G194" s="186">
        <f t="shared" si="84"/>
        <v>23974639.369855821</v>
      </c>
    </row>
    <row r="195" spans="1:7" s="181" customFormat="1" ht="10.5" x14ac:dyDescent="0.35">
      <c r="A195" s="182">
        <v>120</v>
      </c>
      <c r="B195" s="263">
        <f t="shared" si="85"/>
        <v>49341</v>
      </c>
      <c r="C195" s="182">
        <f t="shared" si="83"/>
        <v>2035</v>
      </c>
      <c r="D195" s="186">
        <f t="shared" si="87"/>
        <v>-104903.41565788569</v>
      </c>
      <c r="E195" s="186">
        <f t="shared" si="88"/>
        <v>-59936.59842463956</v>
      </c>
      <c r="F195" s="186">
        <f t="shared" si="86"/>
        <v>23974639.369855821</v>
      </c>
      <c r="G195" s="186">
        <f t="shared" si="84"/>
        <v>23869735.954197936</v>
      </c>
    </row>
    <row r="196" spans="1:7" s="181" customFormat="1" ht="10.5" x14ac:dyDescent="0.35"/>
    <row r="197" spans="1:7" s="181" customFormat="1" ht="10.5" x14ac:dyDescent="0.35"/>
  </sheetData>
  <mergeCells count="3">
    <mergeCell ref="A2:M2"/>
    <mergeCell ref="A3:M3"/>
    <mergeCell ref="A4:M4"/>
  </mergeCells>
  <printOptions horizontalCentered="1"/>
  <pageMargins left="0.78740157480314998" right="0.78740157480314998" top="0.27559055118110198" bottom="0.196850393700787" header="0.31496062992126" footer="0.31496062992126"/>
  <pageSetup scale="8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266700</xdr:colOff>
                    <xdr:row>11</xdr:row>
                    <xdr:rowOff>142875</xdr:rowOff>
                  </from>
                  <to>
                    <xdr:col>11</xdr:col>
                    <xdr:colOff>219075</xdr:colOff>
                    <xdr:row>13</xdr:row>
                    <xdr:rowOff>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8F674-2364-445F-89A9-C7E4ABC36453}">
  <sheetPr>
    <pageSetUpPr fitToPage="1"/>
  </sheetPr>
  <dimension ref="B1:P37"/>
  <sheetViews>
    <sheetView showGridLines="0" topLeftCell="A7" workbookViewId="0">
      <selection activeCell="F18" sqref="F18"/>
    </sheetView>
  </sheetViews>
  <sheetFormatPr defaultRowHeight="14.25" x14ac:dyDescent="0.45"/>
  <cols>
    <col min="2" max="2" width="64.86328125" customWidth="1"/>
    <col min="3" max="4" width="3.1328125" customWidth="1"/>
    <col min="5" max="5" width="4.86328125" customWidth="1"/>
    <col min="6" max="6" width="16.86328125" bestFit="1" customWidth="1"/>
    <col min="7" max="7" width="2.1328125" customWidth="1"/>
    <col min="8" max="8" width="12.46484375" bestFit="1" customWidth="1"/>
    <col min="9" max="9" width="10.1328125" bestFit="1" customWidth="1"/>
    <col min="11" max="11" width="14.796875" bestFit="1" customWidth="1"/>
    <col min="13" max="13" width="10.86328125" bestFit="1" customWidth="1"/>
  </cols>
  <sheetData>
    <row r="1" spans="2:14" x14ac:dyDescent="0.45">
      <c r="K1" s="62" t="str">
        <f>'Executive Summary'!J1</f>
        <v>Currently running: Base Case</v>
      </c>
    </row>
    <row r="4" spans="2:14" x14ac:dyDescent="0.45">
      <c r="B4" s="536" t="str">
        <f>'Executive Summary'!B3:I3</f>
        <v xml:space="preserve">Apartment Development Model 
</v>
      </c>
      <c r="C4" s="536"/>
      <c r="D4" s="536"/>
      <c r="E4" s="536"/>
      <c r="F4" s="536"/>
      <c r="G4" s="536"/>
      <c r="H4" s="536"/>
      <c r="I4" s="536"/>
      <c r="J4" s="536"/>
      <c r="K4" s="536"/>
    </row>
    <row r="5" spans="2:14" x14ac:dyDescent="0.45">
      <c r="B5" s="536" t="str">
        <f>'Executive Summary'!B4:I4</f>
        <v>Suburban / Urban Location</v>
      </c>
      <c r="C5" s="536"/>
      <c r="D5" s="536"/>
      <c r="E5" s="536"/>
      <c r="F5" s="536"/>
      <c r="G5" s="536"/>
      <c r="H5" s="536"/>
      <c r="I5" s="536"/>
      <c r="J5" s="536"/>
      <c r="K5" s="536"/>
    </row>
    <row r="8" spans="2:14" x14ac:dyDescent="0.45">
      <c r="B8" s="45" t="s">
        <v>258</v>
      </c>
      <c r="C8" s="45"/>
      <c r="D8" s="45"/>
      <c r="E8" s="45"/>
      <c r="F8" s="45"/>
      <c r="G8" s="45"/>
      <c r="H8" s="45"/>
      <c r="I8" s="45"/>
      <c r="J8" s="45"/>
      <c r="K8" s="45"/>
    </row>
    <row r="9" spans="2:14" ht="14.65" thickBot="1" x14ac:dyDescent="0.5"/>
    <row r="10" spans="2:14" x14ac:dyDescent="0.45">
      <c r="B10" s="328"/>
      <c r="C10" s="329"/>
      <c r="D10" s="329"/>
      <c r="E10" s="329"/>
      <c r="F10" s="339"/>
      <c r="G10" s="329"/>
      <c r="H10" s="339" t="s">
        <v>263</v>
      </c>
      <c r="I10" s="329" t="s">
        <v>265</v>
      </c>
      <c r="J10" s="339" t="s">
        <v>268</v>
      </c>
      <c r="K10" s="331" t="s">
        <v>269</v>
      </c>
    </row>
    <row r="11" spans="2:14" ht="14.65" thickBot="1" x14ac:dyDescent="0.5">
      <c r="B11" s="334"/>
      <c r="C11" s="1"/>
      <c r="D11" s="1"/>
      <c r="E11" s="1"/>
      <c r="F11" s="340"/>
      <c r="G11" s="1"/>
      <c r="H11" s="340" t="s">
        <v>264</v>
      </c>
      <c r="I11" s="1" t="s">
        <v>266</v>
      </c>
      <c r="J11" s="340" t="s">
        <v>267</v>
      </c>
      <c r="K11" s="336" t="s">
        <v>267</v>
      </c>
    </row>
    <row r="12" spans="2:14" x14ac:dyDescent="0.45">
      <c r="B12" s="332"/>
      <c r="C12" s="326"/>
      <c r="D12" s="326"/>
      <c r="E12" s="326"/>
      <c r="F12" s="341"/>
      <c r="G12" s="326"/>
      <c r="H12" s="341"/>
      <c r="I12" s="326"/>
      <c r="J12" s="341"/>
      <c r="K12" s="333"/>
    </row>
    <row r="13" spans="2:14" x14ac:dyDescent="0.45">
      <c r="B13" s="332" t="s">
        <v>262</v>
      </c>
      <c r="C13" s="326"/>
      <c r="D13" s="326"/>
      <c r="E13" s="326"/>
      <c r="F13" s="343">
        <f>F31</f>
        <v>516674.70863999991</v>
      </c>
      <c r="G13" s="326"/>
      <c r="H13" s="342">
        <f>IFERROR(IF(AND($F13&gt;=0,$F13&lt;=368200),$F13/1.052,IF(AND($F13&gt;=368200,$F13&lt;=424850),($F13+28350)/1.133,IF(AND($F13&gt;=424850,$F13&lt;=484500),($F13+52350)/1.193,IF($F13&gt;=484500,($F13+24000)/1.13)))),0)</f>
        <v>478473.19348672556</v>
      </c>
      <c r="I13" s="337">
        <f>H13*0.13</f>
        <v>62201.515153274326</v>
      </c>
      <c r="J13" s="342">
        <f t="shared" ref="J13" si="0">IF(6300*((450000-$H13)/100000)&lt;0,0,IF(AND($C13&gt;=0,$C13&lt;=368200),($H13*5%)*36%,IF($C13&gt;=368200,6300*(450000-$H13)/100000)))</f>
        <v>0</v>
      </c>
      <c r="K13" s="338">
        <f t="shared" ref="K13" si="1">IF(AND($H13*8%*75%&gt;=0,$H13*8%*75%&lt;=24000),$H13*8%*75%,24000)</f>
        <v>24000</v>
      </c>
      <c r="M13" s="21">
        <f>+H13</f>
        <v>478473.19348672556</v>
      </c>
      <c r="N13" t="s">
        <v>381</v>
      </c>
    </row>
    <row r="14" spans="2:14" x14ac:dyDescent="0.45">
      <c r="B14" s="332"/>
      <c r="C14" s="326"/>
      <c r="D14" s="326"/>
      <c r="E14" s="326"/>
      <c r="F14" s="343"/>
      <c r="G14" s="326"/>
      <c r="H14" s="342"/>
      <c r="I14" s="326"/>
      <c r="J14" s="341"/>
      <c r="K14" s="333"/>
      <c r="M14" s="21">
        <f>+M13*0.13</f>
        <v>62201.515153274326</v>
      </c>
      <c r="N14" t="s">
        <v>380</v>
      </c>
    </row>
    <row r="15" spans="2:14" x14ac:dyDescent="0.45">
      <c r="B15" s="332" t="s">
        <v>271</v>
      </c>
      <c r="C15" s="326"/>
      <c r="D15" s="326"/>
      <c r="E15" s="326"/>
      <c r="F15" s="343">
        <f>I13-K13-J13</f>
        <v>38201.515153274326</v>
      </c>
      <c r="G15" s="326"/>
      <c r="H15" s="341"/>
      <c r="I15" s="326"/>
      <c r="J15" s="341"/>
      <c r="K15" s="333"/>
      <c r="M15" s="21">
        <f>-K13-J13</f>
        <v>-24000</v>
      </c>
      <c r="N15" t="s">
        <v>382</v>
      </c>
    </row>
    <row r="16" spans="2:14" ht="14.65" thickBot="1" x14ac:dyDescent="0.5">
      <c r="B16" s="334" t="s">
        <v>270</v>
      </c>
      <c r="C16" s="1"/>
      <c r="D16" s="1"/>
      <c r="E16" s="1"/>
      <c r="F16" s="344">
        <f>F15/F13</f>
        <v>7.393726558404419E-2</v>
      </c>
      <c r="G16" s="1"/>
      <c r="H16" s="340"/>
      <c r="I16" s="1"/>
      <c r="J16" s="340"/>
      <c r="K16" s="336"/>
      <c r="M16" s="545">
        <f>+M13+M14+M15</f>
        <v>516674.70863999985</v>
      </c>
      <c r="N16" t="s">
        <v>383</v>
      </c>
    </row>
    <row r="17" spans="2:14" ht="14.65" thickBot="1" x14ac:dyDescent="0.5">
      <c r="F17" s="316"/>
    </row>
    <row r="18" spans="2:14" ht="14.65" thickBot="1" x14ac:dyDescent="0.5">
      <c r="B18" s="345" t="s">
        <v>292</v>
      </c>
      <c r="C18" s="346"/>
      <c r="D18" s="346"/>
      <c r="E18" s="346"/>
      <c r="F18" s="347">
        <f>F15*F29</f>
        <v>3820151.5153274327</v>
      </c>
      <c r="G18" s="346"/>
      <c r="H18" s="346"/>
      <c r="I18" s="346"/>
      <c r="J18" s="346"/>
      <c r="K18" s="348"/>
    </row>
    <row r="20" spans="2:14" x14ac:dyDescent="0.45">
      <c r="F20" s="372"/>
    </row>
    <row r="21" spans="2:14" x14ac:dyDescent="0.45">
      <c r="F21" s="372"/>
    </row>
    <row r="22" spans="2:14" ht="14.65" thickBot="1" x14ac:dyDescent="0.5"/>
    <row r="23" spans="2:14" x14ac:dyDescent="0.45">
      <c r="B23" s="328" t="s">
        <v>290</v>
      </c>
      <c r="C23" s="329"/>
      <c r="D23" s="329"/>
      <c r="E23" s="329"/>
      <c r="F23" s="330">
        <f>'Executive Summary'!G11*1</f>
        <v>51667470.863999993</v>
      </c>
      <c r="G23" s="329"/>
      <c r="H23" s="329" t="s">
        <v>376</v>
      </c>
      <c r="I23" s="329"/>
      <c r="J23" s="329"/>
      <c r="K23" s="331"/>
    </row>
    <row r="24" spans="2:14" x14ac:dyDescent="0.45">
      <c r="B24" s="332"/>
      <c r="C24" s="326"/>
      <c r="D24" s="326"/>
      <c r="E24" s="326"/>
      <c r="F24" s="326"/>
      <c r="G24" s="326"/>
      <c r="H24" s="326" t="s">
        <v>294</v>
      </c>
      <c r="I24" s="326"/>
      <c r="J24" s="326"/>
      <c r="K24" s="333"/>
    </row>
    <row r="25" spans="2:14" x14ac:dyDescent="0.45">
      <c r="B25" s="332" t="s">
        <v>259</v>
      </c>
      <c r="C25" s="326"/>
      <c r="D25" s="326"/>
      <c r="E25" s="326"/>
      <c r="F25" s="357">
        <v>0</v>
      </c>
      <c r="G25" s="326"/>
      <c r="H25" s="326"/>
      <c r="I25" s="326"/>
      <c r="J25" s="326"/>
      <c r="K25" s="333"/>
    </row>
    <row r="26" spans="2:14" x14ac:dyDescent="0.45">
      <c r="B26" s="332"/>
      <c r="C26" s="326"/>
      <c r="D26" s="326"/>
      <c r="E26" s="326"/>
      <c r="F26" s="326"/>
      <c r="G26" s="326"/>
      <c r="H26" s="326"/>
      <c r="I26" s="326"/>
      <c r="J26" s="326"/>
      <c r="K26" s="333"/>
    </row>
    <row r="27" spans="2:14" x14ac:dyDescent="0.45">
      <c r="B27" s="332" t="s">
        <v>260</v>
      </c>
      <c r="C27" s="326"/>
      <c r="D27" s="326"/>
      <c r="E27" s="326"/>
      <c r="F27" s="327">
        <f>F23-F25</f>
        <v>51667470.863999993</v>
      </c>
      <c r="G27" s="326"/>
      <c r="H27" s="326"/>
      <c r="I27" s="326"/>
      <c r="J27" s="326"/>
      <c r="K27" s="333"/>
    </row>
    <row r="28" spans="2:14" x14ac:dyDescent="0.45">
      <c r="B28" s="332"/>
      <c r="C28" s="326"/>
      <c r="D28" s="326"/>
      <c r="E28" s="326"/>
      <c r="F28" s="326"/>
      <c r="G28" s="326"/>
      <c r="H28" s="326"/>
      <c r="I28" s="326"/>
      <c r="J28" s="326"/>
      <c r="K28" s="333"/>
    </row>
    <row r="29" spans="2:14" x14ac:dyDescent="0.45">
      <c r="B29" s="332" t="s">
        <v>261</v>
      </c>
      <c r="C29" s="326"/>
      <c r="D29" s="326"/>
      <c r="E29" s="326"/>
      <c r="F29" s="326">
        <f>'Operating Revenue and Expenses'!F19</f>
        <v>100</v>
      </c>
      <c r="G29" s="326"/>
      <c r="H29" s="326"/>
      <c r="I29" s="326"/>
      <c r="J29" s="326"/>
      <c r="K29" s="333"/>
    </row>
    <row r="30" spans="2:14" x14ac:dyDescent="0.45">
      <c r="B30" s="332"/>
      <c r="C30" s="326"/>
      <c r="D30" s="326"/>
      <c r="E30" s="326"/>
      <c r="F30" s="326"/>
      <c r="G30" s="326"/>
      <c r="H30" s="326"/>
      <c r="I30" s="326"/>
      <c r="J30" s="326"/>
      <c r="K30" s="333"/>
    </row>
    <row r="31" spans="2:14" ht="14.65" thickBot="1" x14ac:dyDescent="0.5">
      <c r="B31" s="334" t="s">
        <v>262</v>
      </c>
      <c r="C31" s="1"/>
      <c r="D31" s="1"/>
      <c r="E31" s="1"/>
      <c r="F31" s="335">
        <f>F27/F29</f>
        <v>516674.70863999991</v>
      </c>
      <c r="G31" s="1"/>
      <c r="H31" s="1"/>
      <c r="I31" s="1"/>
      <c r="J31" s="1"/>
      <c r="K31" s="336"/>
      <c r="M31" s="324">
        <f>IFERROR(IF(AND(#REF!&gt;=0,#REF!&lt;=368200),#REF!/1.052,IF(AND(#REF!&gt;=368200,#REF!&lt;=424850),(#REF!+28350)/1.133,IF(AND(#REF!&gt;=424850,#REF!&lt;=484500),(#REF!+52350)/1.193,IF(#REF!&gt;=484500,(#REF!+24000)/1.13)))),0)</f>
        <v>0</v>
      </c>
      <c r="N31" s="324"/>
    </row>
    <row r="36" spans="2:16" x14ac:dyDescent="0.45">
      <c r="B36" t="s">
        <v>291</v>
      </c>
    </row>
    <row r="37" spans="2:16" x14ac:dyDescent="0.45">
      <c r="F37" s="325"/>
      <c r="G37" s="325"/>
      <c r="H37" s="324"/>
      <c r="N37" s="325"/>
      <c r="O37" s="325"/>
      <c r="P37" s="324"/>
    </row>
  </sheetData>
  <mergeCells count="2">
    <mergeCell ref="B4:K4"/>
    <mergeCell ref="B5:K5"/>
  </mergeCells>
  <pageMargins left="0.7" right="0.7" top="0.75" bottom="0.75" header="0.3" footer="0.3"/>
  <pageSetup scale="7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6812B43E40854BA1E712792C679085" ma:contentTypeVersion="11" ma:contentTypeDescription="Create a new document." ma:contentTypeScope="" ma:versionID="414499eb25f99a8cdea110bf2f6f6a83">
  <xsd:schema xmlns:xsd="http://www.w3.org/2001/XMLSchema" xmlns:xs="http://www.w3.org/2001/XMLSchema" xmlns:p="http://schemas.microsoft.com/office/2006/metadata/properties" xmlns:ns2="dcb3892f-b249-4db3-9c24-9c504097943a" xmlns:ns3="a284b7b8-912e-481b-8d96-eae7139e4d52" targetNamespace="http://schemas.microsoft.com/office/2006/metadata/properties" ma:root="true" ma:fieldsID="aa3094402626713830434b8a35c86963" ns2:_="" ns3:_="">
    <xsd:import namespace="dcb3892f-b249-4db3-9c24-9c504097943a"/>
    <xsd:import namespace="a284b7b8-912e-481b-8d96-eae7139e4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3892f-b249-4db3-9c24-9c50409794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242e553-f25f-4899-9be1-e566b287523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284b7b8-912e-481b-8d96-eae7139e4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828de32-b653-4741-a59a-0adf3546ef8d}" ma:internalName="TaxCatchAll" ma:showField="CatchAllData" ma:web="a284b7b8-912e-481b-8d96-eae7139e4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cb3892f-b249-4db3-9c24-9c504097943a">
      <Terms xmlns="http://schemas.microsoft.com/office/infopath/2007/PartnerControls"/>
    </lcf76f155ced4ddcb4097134ff3c332f>
    <TaxCatchAll xmlns="a284b7b8-912e-481b-8d96-eae7139e4d52" xsi:nil="true"/>
  </documentManagement>
</p:properties>
</file>

<file path=customXml/itemProps1.xml><?xml version="1.0" encoding="utf-8"?>
<ds:datastoreItem xmlns:ds="http://schemas.openxmlformats.org/officeDocument/2006/customXml" ds:itemID="{09B8A57E-FBCC-4861-8650-55AD279387FC}"/>
</file>

<file path=customXml/itemProps2.xml><?xml version="1.0" encoding="utf-8"?>
<ds:datastoreItem xmlns:ds="http://schemas.openxmlformats.org/officeDocument/2006/customXml" ds:itemID="{D3566E69-C6DC-44C7-A667-FD9A6AC176B0}"/>
</file>

<file path=customXml/itemProps3.xml><?xml version="1.0" encoding="utf-8"?>
<ds:datastoreItem xmlns:ds="http://schemas.openxmlformats.org/officeDocument/2006/customXml" ds:itemID="{86F5D0CC-A676-41E5-A3A6-774812C630C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DevCon Pres Tbl</vt:lpstr>
      <vt:lpstr>Sensitiv2</vt:lpstr>
      <vt:lpstr>Cover (2)</vt:lpstr>
      <vt:lpstr>Cover</vt:lpstr>
      <vt:lpstr>Executive Summary</vt:lpstr>
      <vt:lpstr>Schedule</vt:lpstr>
      <vt:lpstr>Operating Revenue and Expenses</vt:lpstr>
      <vt:lpstr>Development Costs</vt:lpstr>
      <vt:lpstr>Sensitivity</vt:lpstr>
      <vt:lpstr>Debt Stack</vt:lpstr>
      <vt:lpstr>Development Cash Flow</vt:lpstr>
      <vt:lpstr>10-Yr Cash Flow IRR</vt:lpstr>
      <vt:lpstr>HST</vt:lpstr>
      <vt:lpstr>'10-Yr Cash Flow IRR'!Print_Area</vt:lpstr>
      <vt:lpstr>Cover!Print_Area</vt:lpstr>
      <vt:lpstr>'Cover (2)'!Print_Area</vt:lpstr>
      <vt:lpstr>'Development Cash Flow'!Print_Area</vt:lpstr>
      <vt:lpstr>'Executive Summary'!Print_Area</vt:lpstr>
      <vt:lpstr>'Development Cash Flow'!Print_Titles</vt:lpstr>
      <vt:lpstr>'Development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noork</cp:lastModifiedBy>
  <cp:lastPrinted>2019-02-04T21:25:39Z</cp:lastPrinted>
  <dcterms:created xsi:type="dcterms:W3CDTF">2016-10-27T18:40:36Z</dcterms:created>
  <dcterms:modified xsi:type="dcterms:W3CDTF">2022-03-22T18:24:39Z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0x010100876812B43E40854BA1E712792C679085</vt:lpwstr>
  </property>
</Properties>
</file>